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KiNESYS_29R_Jan2025\"/>
    </mc:Choice>
  </mc:AlternateContent>
  <xr:revisionPtr revIDLastSave="0" documentId="13_ncr:1_{E911BC30-6B16-4B50-9E63-86E526ED9929}" xr6:coauthVersionLast="47" xr6:coauthVersionMax="47" xr10:uidLastSave="{00000000-0000-0000-0000-000000000000}"/>
  <bookViews>
    <workbookView xWindow="-98" yWindow="-98" windowWidth="28996" windowHeight="17475" firstSheet="2" activeTab="6" xr2:uid="{D3E3067E-5191-434A-9D10-0E1E0C00A76D}"/>
  </bookViews>
  <sheets>
    <sheet name="Agri" sheetId="10" r:id="rId1"/>
    <sheet name="COM balance" sheetId="6" r:id="rId2"/>
    <sheet name="RES balance" sheetId="1" r:id="rId3"/>
    <sheet name="RES Assumptions" sheetId="3" r:id="rId4"/>
    <sheet name="RES Assumptions T15" sheetId="11" r:id="rId5"/>
    <sheet name="RES Veda input" sheetId="8" r:id="rId6"/>
    <sheet name="RES Techs T15" sheetId="12" r:id="rId7"/>
    <sheet name="COM Assumptions" sheetId="9" r:id="rId8"/>
    <sheet name="COM Assumptions T15" sheetId="13" r:id="rId9"/>
    <sheet name="COM Veda input" sheetId="5" r:id="rId10"/>
    <sheet name="COM Techs T15" sheetId="14" r:id="rId11"/>
  </sheets>
  <definedNames>
    <definedName name="_xlnm._FilterDatabase" localSheetId="0" hidden="1">Agri!$S$4:$S$19</definedName>
    <definedName name="_xlnm._FilterDatabase" localSheetId="7" hidden="1">'COM Assumptions'!$A$80:$C$127</definedName>
    <definedName name="_xlnm._FilterDatabase" localSheetId="8" hidden="1">'COM Assumptions T15'!#REF!</definedName>
    <definedName name="_xlnm._FilterDatabase" localSheetId="1" hidden="1">'COM balance'!$S$4:$T$25</definedName>
    <definedName name="_xlnm._FilterDatabase" localSheetId="10" hidden="1">'COM Techs T15'!$E$3:$F$52</definedName>
    <definedName name="_xlnm._FilterDatabase" localSheetId="9" hidden="1">'COM Veda input'!$D$3:$F$50</definedName>
    <definedName name="_xlnm._FilterDatabase" localSheetId="3" hidden="1">'RES Assumptions'!$AK$86:$AM$260</definedName>
    <definedName name="_xlnm._FilterDatabase" localSheetId="4" hidden="1">'RES Assumptions T15'!#REF!</definedName>
    <definedName name="_xlnm._FilterDatabase" localSheetId="2" hidden="1">'RES balance'!$S$4:$T$25</definedName>
    <definedName name="_xlnm._FilterDatabase" localSheetId="6" hidden="1">'RES Techs T15'!$D$3:$G$61</definedName>
    <definedName name="_xlnm._FilterDatabase" localSheetId="5" hidden="1">'RES Veda input'!$E$3:$F$61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4" i="11" l="1"/>
  <c r="BP50" i="5"/>
  <c r="BO50" i="5"/>
  <c r="BN50" i="5"/>
  <c r="BM50" i="5"/>
  <c r="BL50" i="5"/>
  <c r="BK50" i="5"/>
  <c r="BJ50" i="5"/>
  <c r="BI50" i="5"/>
  <c r="BH50" i="5"/>
  <c r="BG50" i="5"/>
  <c r="BF50" i="5"/>
  <c r="BE50" i="5"/>
  <c r="BD50" i="5"/>
  <c r="BC50" i="5"/>
  <c r="BB50" i="5"/>
  <c r="BA50" i="5"/>
  <c r="AZ50" i="5"/>
  <c r="AY50" i="5"/>
  <c r="AX50" i="5"/>
  <c r="AW50" i="5"/>
  <c r="AV50" i="5"/>
  <c r="AU50" i="5"/>
  <c r="AT50" i="5"/>
  <c r="AS50" i="5"/>
  <c r="AR50" i="5"/>
  <c r="AQ50" i="5"/>
  <c r="AP50" i="5"/>
  <c r="AO50" i="5"/>
  <c r="AN50" i="5"/>
  <c r="AM50" i="5"/>
  <c r="AJ50" i="5"/>
  <c r="AI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BP49" i="5"/>
  <c r="BO49" i="5"/>
  <c r="BN49" i="5"/>
  <c r="BM49" i="5"/>
  <c r="BL49" i="5"/>
  <c r="BK49" i="5"/>
  <c r="BJ49" i="5"/>
  <c r="BI49" i="5"/>
  <c r="BH49" i="5"/>
  <c r="BG49" i="5"/>
  <c r="BF49" i="5"/>
  <c r="BE49" i="5"/>
  <c r="BD49" i="5"/>
  <c r="BC49" i="5"/>
  <c r="BB49" i="5"/>
  <c r="BA49" i="5"/>
  <c r="AZ49" i="5"/>
  <c r="AY49" i="5"/>
  <c r="AX49" i="5"/>
  <c r="AW49" i="5"/>
  <c r="AV49" i="5"/>
  <c r="AU49" i="5"/>
  <c r="AT49" i="5"/>
  <c r="AS49" i="5"/>
  <c r="AR49" i="5"/>
  <c r="AQ49" i="5"/>
  <c r="AP49" i="5"/>
  <c r="AO49" i="5"/>
  <c r="AN49" i="5"/>
  <c r="AM49" i="5"/>
  <c r="AJ49" i="5"/>
  <c r="AI49" i="5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BP48" i="5"/>
  <c r="BO48" i="5"/>
  <c r="BN48" i="5"/>
  <c r="BM48" i="5"/>
  <c r="BL48" i="5"/>
  <c r="BK48" i="5"/>
  <c r="BJ48" i="5"/>
  <c r="BI48" i="5"/>
  <c r="BH48" i="5"/>
  <c r="BG48" i="5"/>
  <c r="BF48" i="5"/>
  <c r="BE48" i="5"/>
  <c r="BD48" i="5"/>
  <c r="BC48" i="5"/>
  <c r="BB48" i="5"/>
  <c r="BA48" i="5"/>
  <c r="AZ48" i="5"/>
  <c r="AY48" i="5"/>
  <c r="AX48" i="5"/>
  <c r="AW48" i="5"/>
  <c r="AV48" i="5"/>
  <c r="AU48" i="5"/>
  <c r="AT48" i="5"/>
  <c r="AS48" i="5"/>
  <c r="AR48" i="5"/>
  <c r="AQ48" i="5"/>
  <c r="AP48" i="5"/>
  <c r="AO48" i="5"/>
  <c r="AN48" i="5"/>
  <c r="AM48" i="5"/>
  <c r="AJ48" i="5"/>
  <c r="AI48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BP47" i="5"/>
  <c r="BO47" i="5"/>
  <c r="BN47" i="5"/>
  <c r="BM47" i="5"/>
  <c r="BL47" i="5"/>
  <c r="BK47" i="5"/>
  <c r="BJ47" i="5"/>
  <c r="BI47" i="5"/>
  <c r="BH47" i="5"/>
  <c r="BG47" i="5"/>
  <c r="BF47" i="5"/>
  <c r="BE47" i="5"/>
  <c r="BD47" i="5"/>
  <c r="BC47" i="5"/>
  <c r="BB47" i="5"/>
  <c r="BA47" i="5"/>
  <c r="AZ47" i="5"/>
  <c r="AY47" i="5"/>
  <c r="AX47" i="5"/>
  <c r="AW47" i="5"/>
  <c r="AV47" i="5"/>
  <c r="AU47" i="5"/>
  <c r="AT47" i="5"/>
  <c r="AS47" i="5"/>
  <c r="AR47" i="5"/>
  <c r="AQ47" i="5"/>
  <c r="AP47" i="5"/>
  <c r="AO47" i="5"/>
  <c r="AN47" i="5"/>
  <c r="AM47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CX46" i="5"/>
  <c r="CW46" i="5"/>
  <c r="CV46" i="5"/>
  <c r="CU46" i="5"/>
  <c r="CT46" i="5"/>
  <c r="CS46" i="5"/>
  <c r="CR46" i="5"/>
  <c r="CQ46" i="5"/>
  <c r="CP46" i="5"/>
  <c r="CO46" i="5"/>
  <c r="CN46" i="5"/>
  <c r="CM46" i="5"/>
  <c r="CL46" i="5"/>
  <c r="CK46" i="5"/>
  <c r="CJ46" i="5"/>
  <c r="CI46" i="5"/>
  <c r="CH46" i="5"/>
  <c r="CG46" i="5"/>
  <c r="CF46" i="5"/>
  <c r="CE46" i="5"/>
  <c r="CD46" i="5"/>
  <c r="CC46" i="5"/>
  <c r="CB46" i="5"/>
  <c r="CA46" i="5"/>
  <c r="BZ46" i="5"/>
  <c r="BY46" i="5"/>
  <c r="BX46" i="5"/>
  <c r="BW46" i="5"/>
  <c r="BV46" i="5"/>
  <c r="BU46" i="5"/>
  <c r="BP46" i="5"/>
  <c r="BO46" i="5"/>
  <c r="BN46" i="5"/>
  <c r="BM46" i="5"/>
  <c r="BL46" i="5"/>
  <c r="BK46" i="5"/>
  <c r="BJ46" i="5"/>
  <c r="BI46" i="5"/>
  <c r="BH46" i="5"/>
  <c r="BG46" i="5"/>
  <c r="BF46" i="5"/>
  <c r="BE46" i="5"/>
  <c r="BD46" i="5"/>
  <c r="BC46" i="5"/>
  <c r="BB46" i="5"/>
  <c r="BA46" i="5"/>
  <c r="AZ46" i="5"/>
  <c r="AY46" i="5"/>
  <c r="AX46" i="5"/>
  <c r="AW46" i="5"/>
  <c r="AV46" i="5"/>
  <c r="AU46" i="5"/>
  <c r="AT46" i="5"/>
  <c r="AS46" i="5"/>
  <c r="AR46" i="5"/>
  <c r="AQ46" i="5"/>
  <c r="AP46" i="5"/>
  <c r="AO46" i="5"/>
  <c r="AN46" i="5"/>
  <c r="AM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CX45" i="5"/>
  <c r="CW45" i="5"/>
  <c r="CV45" i="5"/>
  <c r="CU45" i="5"/>
  <c r="CT45" i="5"/>
  <c r="CS45" i="5"/>
  <c r="CR45" i="5"/>
  <c r="CQ45" i="5"/>
  <c r="CP45" i="5"/>
  <c r="CO45" i="5"/>
  <c r="CN45" i="5"/>
  <c r="CM45" i="5"/>
  <c r="CL45" i="5"/>
  <c r="CK45" i="5"/>
  <c r="CJ45" i="5"/>
  <c r="CI45" i="5"/>
  <c r="CH45" i="5"/>
  <c r="CG45" i="5"/>
  <c r="CF45" i="5"/>
  <c r="CE45" i="5"/>
  <c r="CD45" i="5"/>
  <c r="CC45" i="5"/>
  <c r="CB45" i="5"/>
  <c r="CA45" i="5"/>
  <c r="BZ45" i="5"/>
  <c r="BY45" i="5"/>
  <c r="BX45" i="5"/>
  <c r="BW45" i="5"/>
  <c r="BV45" i="5"/>
  <c r="BU45" i="5"/>
  <c r="BP45" i="5"/>
  <c r="BO45" i="5"/>
  <c r="BN45" i="5"/>
  <c r="BM45" i="5"/>
  <c r="BL45" i="5"/>
  <c r="BK45" i="5"/>
  <c r="BJ45" i="5"/>
  <c r="BI45" i="5"/>
  <c r="BH45" i="5"/>
  <c r="BG45" i="5"/>
  <c r="BF45" i="5"/>
  <c r="BE45" i="5"/>
  <c r="BD45" i="5"/>
  <c r="BC45" i="5"/>
  <c r="BB45" i="5"/>
  <c r="BA45" i="5"/>
  <c r="AZ45" i="5"/>
  <c r="AY45" i="5"/>
  <c r="AX45" i="5"/>
  <c r="AW45" i="5"/>
  <c r="AV45" i="5"/>
  <c r="AU45" i="5"/>
  <c r="AT45" i="5"/>
  <c r="AS45" i="5"/>
  <c r="AR45" i="5"/>
  <c r="AQ45" i="5"/>
  <c r="AP45" i="5"/>
  <c r="AO45" i="5"/>
  <c r="AN45" i="5"/>
  <c r="AM45" i="5"/>
  <c r="AJ45" i="5"/>
  <c r="AI45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CX44" i="5"/>
  <c r="CW44" i="5"/>
  <c r="CV44" i="5"/>
  <c r="CU44" i="5"/>
  <c r="CT44" i="5"/>
  <c r="CS44" i="5"/>
  <c r="CR44" i="5"/>
  <c r="CQ44" i="5"/>
  <c r="CP44" i="5"/>
  <c r="CO44" i="5"/>
  <c r="CN44" i="5"/>
  <c r="CM44" i="5"/>
  <c r="CL44" i="5"/>
  <c r="CK44" i="5"/>
  <c r="CJ44" i="5"/>
  <c r="CI44" i="5"/>
  <c r="CH44" i="5"/>
  <c r="CG44" i="5"/>
  <c r="CF44" i="5"/>
  <c r="CE44" i="5"/>
  <c r="CD44" i="5"/>
  <c r="CC44" i="5"/>
  <c r="CB44" i="5"/>
  <c r="CA44" i="5"/>
  <c r="BZ44" i="5"/>
  <c r="BY44" i="5"/>
  <c r="BX44" i="5"/>
  <c r="BW44" i="5"/>
  <c r="BV44" i="5"/>
  <c r="BU44" i="5"/>
  <c r="BP44" i="5"/>
  <c r="BO44" i="5"/>
  <c r="BN44" i="5"/>
  <c r="BM44" i="5"/>
  <c r="BL44" i="5"/>
  <c r="BK44" i="5"/>
  <c r="BJ44" i="5"/>
  <c r="BI44" i="5"/>
  <c r="BH44" i="5"/>
  <c r="BG44" i="5"/>
  <c r="BF44" i="5"/>
  <c r="BE44" i="5"/>
  <c r="BD44" i="5"/>
  <c r="BC44" i="5"/>
  <c r="BB44" i="5"/>
  <c r="BA44" i="5"/>
  <c r="AZ44" i="5"/>
  <c r="AY44" i="5"/>
  <c r="AX44" i="5"/>
  <c r="AW44" i="5"/>
  <c r="AV44" i="5"/>
  <c r="AU44" i="5"/>
  <c r="AT44" i="5"/>
  <c r="AS44" i="5"/>
  <c r="AR44" i="5"/>
  <c r="AQ44" i="5"/>
  <c r="AP44" i="5"/>
  <c r="AO44" i="5"/>
  <c r="AN44" i="5"/>
  <c r="AM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CX43" i="5"/>
  <c r="CW43" i="5"/>
  <c r="CV43" i="5"/>
  <c r="CU43" i="5"/>
  <c r="CT43" i="5"/>
  <c r="CS43" i="5"/>
  <c r="CR43" i="5"/>
  <c r="CQ43" i="5"/>
  <c r="CP43" i="5"/>
  <c r="CO43" i="5"/>
  <c r="CN43" i="5"/>
  <c r="CM43" i="5"/>
  <c r="CL43" i="5"/>
  <c r="CK43" i="5"/>
  <c r="CJ43" i="5"/>
  <c r="CI43" i="5"/>
  <c r="CH43" i="5"/>
  <c r="CG43" i="5"/>
  <c r="CF43" i="5"/>
  <c r="CE43" i="5"/>
  <c r="CD43" i="5"/>
  <c r="CC43" i="5"/>
  <c r="CB43" i="5"/>
  <c r="CA43" i="5"/>
  <c r="BZ43" i="5"/>
  <c r="BY43" i="5"/>
  <c r="BX43" i="5"/>
  <c r="BW43" i="5"/>
  <c r="BV43" i="5"/>
  <c r="BU43" i="5"/>
  <c r="BP43" i="5"/>
  <c r="BO43" i="5"/>
  <c r="BN43" i="5"/>
  <c r="BM43" i="5"/>
  <c r="BL43" i="5"/>
  <c r="BK43" i="5"/>
  <c r="BJ43" i="5"/>
  <c r="BI43" i="5"/>
  <c r="BH43" i="5"/>
  <c r="BG43" i="5"/>
  <c r="BF43" i="5"/>
  <c r="BE43" i="5"/>
  <c r="BD43" i="5"/>
  <c r="BC43" i="5"/>
  <c r="BB43" i="5"/>
  <c r="BA43" i="5"/>
  <c r="AZ43" i="5"/>
  <c r="AY43" i="5"/>
  <c r="AX43" i="5"/>
  <c r="AW43" i="5"/>
  <c r="AV43" i="5"/>
  <c r="AU43" i="5"/>
  <c r="AT43" i="5"/>
  <c r="AS43" i="5"/>
  <c r="AR43" i="5"/>
  <c r="AQ43" i="5"/>
  <c r="AP43" i="5"/>
  <c r="AO43" i="5"/>
  <c r="AN43" i="5"/>
  <c r="AM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CX42" i="5"/>
  <c r="CW42" i="5"/>
  <c r="CV42" i="5"/>
  <c r="CU42" i="5"/>
  <c r="CT42" i="5"/>
  <c r="CS42" i="5"/>
  <c r="CR42" i="5"/>
  <c r="CQ42" i="5"/>
  <c r="CP42" i="5"/>
  <c r="CO42" i="5"/>
  <c r="CN42" i="5"/>
  <c r="CM42" i="5"/>
  <c r="CL42" i="5"/>
  <c r="CK42" i="5"/>
  <c r="CJ42" i="5"/>
  <c r="CI42" i="5"/>
  <c r="CH42" i="5"/>
  <c r="CG42" i="5"/>
  <c r="CF42" i="5"/>
  <c r="CE42" i="5"/>
  <c r="CD42" i="5"/>
  <c r="CC42" i="5"/>
  <c r="CB42" i="5"/>
  <c r="CA42" i="5"/>
  <c r="BZ42" i="5"/>
  <c r="BY42" i="5"/>
  <c r="BX42" i="5"/>
  <c r="BW42" i="5"/>
  <c r="BV42" i="5"/>
  <c r="BU42" i="5"/>
  <c r="BP42" i="5"/>
  <c r="BO42" i="5"/>
  <c r="BN42" i="5"/>
  <c r="BM42" i="5"/>
  <c r="BL42" i="5"/>
  <c r="BK42" i="5"/>
  <c r="BJ42" i="5"/>
  <c r="BI42" i="5"/>
  <c r="BH42" i="5"/>
  <c r="BG42" i="5"/>
  <c r="BF42" i="5"/>
  <c r="BE42" i="5"/>
  <c r="BD42" i="5"/>
  <c r="BC42" i="5"/>
  <c r="BB42" i="5"/>
  <c r="BA42" i="5"/>
  <c r="AZ42" i="5"/>
  <c r="AY42" i="5"/>
  <c r="AX42" i="5"/>
  <c r="AW42" i="5"/>
  <c r="AV42" i="5"/>
  <c r="AU42" i="5"/>
  <c r="AT42" i="5"/>
  <c r="AS42" i="5"/>
  <c r="AR42" i="5"/>
  <c r="AQ42" i="5"/>
  <c r="AP42" i="5"/>
  <c r="AO42" i="5"/>
  <c r="AN42" i="5"/>
  <c r="AM42" i="5"/>
  <c r="AJ42" i="5"/>
  <c r="AI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CX41" i="5"/>
  <c r="CW41" i="5"/>
  <c r="CV41" i="5"/>
  <c r="CU41" i="5"/>
  <c r="CT41" i="5"/>
  <c r="CS41" i="5"/>
  <c r="CR41" i="5"/>
  <c r="CQ41" i="5"/>
  <c r="CP41" i="5"/>
  <c r="CO41" i="5"/>
  <c r="CN41" i="5"/>
  <c r="CM41" i="5"/>
  <c r="CL41" i="5"/>
  <c r="CK41" i="5"/>
  <c r="CJ41" i="5"/>
  <c r="CI41" i="5"/>
  <c r="CH41" i="5"/>
  <c r="CG41" i="5"/>
  <c r="CF41" i="5"/>
  <c r="CE41" i="5"/>
  <c r="CD41" i="5"/>
  <c r="CC41" i="5"/>
  <c r="CB41" i="5"/>
  <c r="CA41" i="5"/>
  <c r="BZ41" i="5"/>
  <c r="BY41" i="5"/>
  <c r="BX41" i="5"/>
  <c r="BW41" i="5"/>
  <c r="BV41" i="5"/>
  <c r="BU41" i="5"/>
  <c r="BP41" i="5"/>
  <c r="BO41" i="5"/>
  <c r="BN41" i="5"/>
  <c r="BM41" i="5"/>
  <c r="BL41" i="5"/>
  <c r="BK41" i="5"/>
  <c r="BJ41" i="5"/>
  <c r="BI41" i="5"/>
  <c r="BH41" i="5"/>
  <c r="BG41" i="5"/>
  <c r="BF41" i="5"/>
  <c r="BE41" i="5"/>
  <c r="BD41" i="5"/>
  <c r="BC41" i="5"/>
  <c r="BB41" i="5"/>
  <c r="BA41" i="5"/>
  <c r="AZ41" i="5"/>
  <c r="AY41" i="5"/>
  <c r="AX41" i="5"/>
  <c r="AW41" i="5"/>
  <c r="AV41" i="5"/>
  <c r="AU41" i="5"/>
  <c r="AT41" i="5"/>
  <c r="AS41" i="5"/>
  <c r="AR41" i="5"/>
  <c r="AQ41" i="5"/>
  <c r="AP41" i="5"/>
  <c r="AO41" i="5"/>
  <c r="AN41" i="5"/>
  <c r="AM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CX40" i="5"/>
  <c r="CW40" i="5"/>
  <c r="CV40" i="5"/>
  <c r="CU40" i="5"/>
  <c r="CT40" i="5"/>
  <c r="CS40" i="5"/>
  <c r="CR40" i="5"/>
  <c r="CQ40" i="5"/>
  <c r="CP40" i="5"/>
  <c r="CO40" i="5"/>
  <c r="CN40" i="5"/>
  <c r="CM40" i="5"/>
  <c r="CL40" i="5"/>
  <c r="CK40" i="5"/>
  <c r="CJ40" i="5"/>
  <c r="CI40" i="5"/>
  <c r="CH40" i="5"/>
  <c r="CG40" i="5"/>
  <c r="CF40" i="5"/>
  <c r="CE40" i="5"/>
  <c r="CD40" i="5"/>
  <c r="CC40" i="5"/>
  <c r="CB40" i="5"/>
  <c r="CA40" i="5"/>
  <c r="BZ40" i="5"/>
  <c r="BY40" i="5"/>
  <c r="BX40" i="5"/>
  <c r="BW40" i="5"/>
  <c r="BV40" i="5"/>
  <c r="BU40" i="5"/>
  <c r="BP40" i="5"/>
  <c r="BO40" i="5"/>
  <c r="BN40" i="5"/>
  <c r="BM40" i="5"/>
  <c r="BL40" i="5"/>
  <c r="BK40" i="5"/>
  <c r="BJ40" i="5"/>
  <c r="BI40" i="5"/>
  <c r="BH40" i="5"/>
  <c r="BG40" i="5"/>
  <c r="BF40" i="5"/>
  <c r="BE40" i="5"/>
  <c r="BD40" i="5"/>
  <c r="BC40" i="5"/>
  <c r="BB40" i="5"/>
  <c r="BA40" i="5"/>
  <c r="AZ40" i="5"/>
  <c r="AY40" i="5"/>
  <c r="AX40" i="5"/>
  <c r="AW40" i="5"/>
  <c r="AV40" i="5"/>
  <c r="AU40" i="5"/>
  <c r="AT40" i="5"/>
  <c r="AS40" i="5"/>
  <c r="AR40" i="5"/>
  <c r="AQ40" i="5"/>
  <c r="AP40" i="5"/>
  <c r="AO40" i="5"/>
  <c r="AN40" i="5"/>
  <c r="AM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CX39" i="5"/>
  <c r="CW39" i="5"/>
  <c r="CV39" i="5"/>
  <c r="CU39" i="5"/>
  <c r="CT39" i="5"/>
  <c r="CS39" i="5"/>
  <c r="CR39" i="5"/>
  <c r="CQ39" i="5"/>
  <c r="CP39" i="5"/>
  <c r="CO39" i="5"/>
  <c r="CN39" i="5"/>
  <c r="CM39" i="5"/>
  <c r="CL39" i="5"/>
  <c r="CK39" i="5"/>
  <c r="CJ39" i="5"/>
  <c r="CI39" i="5"/>
  <c r="CH39" i="5"/>
  <c r="CG39" i="5"/>
  <c r="CF39" i="5"/>
  <c r="CE39" i="5"/>
  <c r="CD39" i="5"/>
  <c r="CC39" i="5"/>
  <c r="CB39" i="5"/>
  <c r="CA39" i="5"/>
  <c r="BZ39" i="5"/>
  <c r="BY39" i="5"/>
  <c r="BX39" i="5"/>
  <c r="BW39" i="5"/>
  <c r="BV39" i="5"/>
  <c r="BU39" i="5"/>
  <c r="BP39" i="5"/>
  <c r="BO39" i="5"/>
  <c r="BN39" i="5"/>
  <c r="BM39" i="5"/>
  <c r="BL39" i="5"/>
  <c r="BK39" i="5"/>
  <c r="BJ39" i="5"/>
  <c r="BI39" i="5"/>
  <c r="BH39" i="5"/>
  <c r="BG39" i="5"/>
  <c r="BF39" i="5"/>
  <c r="BE39" i="5"/>
  <c r="BD39" i="5"/>
  <c r="BC39" i="5"/>
  <c r="BB39" i="5"/>
  <c r="BA39" i="5"/>
  <c r="AZ39" i="5"/>
  <c r="AY39" i="5"/>
  <c r="AX39" i="5"/>
  <c r="AW39" i="5"/>
  <c r="AV39" i="5"/>
  <c r="AU39" i="5"/>
  <c r="AT39" i="5"/>
  <c r="AS39" i="5"/>
  <c r="AR39" i="5"/>
  <c r="AQ39" i="5"/>
  <c r="AP39" i="5"/>
  <c r="AO39" i="5"/>
  <c r="AN39" i="5"/>
  <c r="AM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CX38" i="5"/>
  <c r="CW38" i="5"/>
  <c r="CV38" i="5"/>
  <c r="CU38" i="5"/>
  <c r="CT38" i="5"/>
  <c r="CS38" i="5"/>
  <c r="CR38" i="5"/>
  <c r="CQ38" i="5"/>
  <c r="CP38" i="5"/>
  <c r="CO38" i="5"/>
  <c r="CN38" i="5"/>
  <c r="CM38" i="5"/>
  <c r="CL38" i="5"/>
  <c r="CK38" i="5"/>
  <c r="CJ38" i="5"/>
  <c r="CI38" i="5"/>
  <c r="CH38" i="5"/>
  <c r="CG38" i="5"/>
  <c r="CF38" i="5"/>
  <c r="CE38" i="5"/>
  <c r="CD38" i="5"/>
  <c r="CC38" i="5"/>
  <c r="CB38" i="5"/>
  <c r="CA38" i="5"/>
  <c r="BZ38" i="5"/>
  <c r="BY38" i="5"/>
  <c r="BX38" i="5"/>
  <c r="BW38" i="5"/>
  <c r="BV38" i="5"/>
  <c r="BU38" i="5"/>
  <c r="BP38" i="5"/>
  <c r="BO38" i="5"/>
  <c r="BN38" i="5"/>
  <c r="BM38" i="5"/>
  <c r="BL38" i="5"/>
  <c r="BK38" i="5"/>
  <c r="BJ38" i="5"/>
  <c r="BI38" i="5"/>
  <c r="BH38" i="5"/>
  <c r="BG38" i="5"/>
  <c r="BF38" i="5"/>
  <c r="BE38" i="5"/>
  <c r="BD38" i="5"/>
  <c r="BC38" i="5"/>
  <c r="BB38" i="5"/>
  <c r="BA38" i="5"/>
  <c r="AZ38" i="5"/>
  <c r="AY38" i="5"/>
  <c r="AX38" i="5"/>
  <c r="AW38" i="5"/>
  <c r="AV38" i="5"/>
  <c r="AU38" i="5"/>
  <c r="AT38" i="5"/>
  <c r="AS38" i="5"/>
  <c r="AR38" i="5"/>
  <c r="AQ38" i="5"/>
  <c r="AP38" i="5"/>
  <c r="AO38" i="5"/>
  <c r="AN38" i="5"/>
  <c r="AM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CX37" i="5"/>
  <c r="CW37" i="5"/>
  <c r="CV37" i="5"/>
  <c r="CU37" i="5"/>
  <c r="CT37" i="5"/>
  <c r="CS37" i="5"/>
  <c r="CR37" i="5"/>
  <c r="CQ37" i="5"/>
  <c r="CP37" i="5"/>
  <c r="CO37" i="5"/>
  <c r="CN37" i="5"/>
  <c r="CM37" i="5"/>
  <c r="CL37" i="5"/>
  <c r="CK37" i="5"/>
  <c r="CJ37" i="5"/>
  <c r="CI37" i="5"/>
  <c r="CH37" i="5"/>
  <c r="CG37" i="5"/>
  <c r="CF37" i="5"/>
  <c r="CE37" i="5"/>
  <c r="CD37" i="5"/>
  <c r="CC37" i="5"/>
  <c r="CB37" i="5"/>
  <c r="CA37" i="5"/>
  <c r="BZ37" i="5"/>
  <c r="BY37" i="5"/>
  <c r="BX37" i="5"/>
  <c r="BW37" i="5"/>
  <c r="BV37" i="5"/>
  <c r="BU37" i="5"/>
  <c r="BP37" i="5"/>
  <c r="BO37" i="5"/>
  <c r="BN37" i="5"/>
  <c r="BM37" i="5"/>
  <c r="BL37" i="5"/>
  <c r="BK37" i="5"/>
  <c r="BJ37" i="5"/>
  <c r="BI37" i="5"/>
  <c r="BH37" i="5"/>
  <c r="BG37" i="5"/>
  <c r="BF37" i="5"/>
  <c r="BE37" i="5"/>
  <c r="BD37" i="5"/>
  <c r="BC37" i="5"/>
  <c r="BB37" i="5"/>
  <c r="BA37" i="5"/>
  <c r="AZ37" i="5"/>
  <c r="AY37" i="5"/>
  <c r="AX37" i="5"/>
  <c r="AW37" i="5"/>
  <c r="AV37" i="5"/>
  <c r="AU37" i="5"/>
  <c r="AT37" i="5"/>
  <c r="AS37" i="5"/>
  <c r="AR37" i="5"/>
  <c r="AQ37" i="5"/>
  <c r="AP37" i="5"/>
  <c r="AO37" i="5"/>
  <c r="AN37" i="5"/>
  <c r="AM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CX36" i="5"/>
  <c r="CW36" i="5"/>
  <c r="CV36" i="5"/>
  <c r="CU36" i="5"/>
  <c r="CT36" i="5"/>
  <c r="CS36" i="5"/>
  <c r="CR36" i="5"/>
  <c r="CQ36" i="5"/>
  <c r="CP36" i="5"/>
  <c r="CO36" i="5"/>
  <c r="CN36" i="5"/>
  <c r="CM36" i="5"/>
  <c r="CL36" i="5"/>
  <c r="CK36" i="5"/>
  <c r="CJ36" i="5"/>
  <c r="CI36" i="5"/>
  <c r="CH36" i="5"/>
  <c r="CG36" i="5"/>
  <c r="CF36" i="5"/>
  <c r="CE36" i="5"/>
  <c r="CD36" i="5"/>
  <c r="CC36" i="5"/>
  <c r="CB36" i="5"/>
  <c r="CA36" i="5"/>
  <c r="BZ36" i="5"/>
  <c r="BY36" i="5"/>
  <c r="BX36" i="5"/>
  <c r="BW36" i="5"/>
  <c r="BV36" i="5"/>
  <c r="BU36" i="5"/>
  <c r="BP36" i="5"/>
  <c r="BO36" i="5"/>
  <c r="BN36" i="5"/>
  <c r="BM36" i="5"/>
  <c r="BL36" i="5"/>
  <c r="BK36" i="5"/>
  <c r="BJ36" i="5"/>
  <c r="BI36" i="5"/>
  <c r="BH36" i="5"/>
  <c r="BG36" i="5"/>
  <c r="BF36" i="5"/>
  <c r="BE36" i="5"/>
  <c r="BD36" i="5"/>
  <c r="BC36" i="5"/>
  <c r="BB36" i="5"/>
  <c r="BA36" i="5"/>
  <c r="AZ36" i="5"/>
  <c r="AY36" i="5"/>
  <c r="AX36" i="5"/>
  <c r="AW36" i="5"/>
  <c r="AV36" i="5"/>
  <c r="AU36" i="5"/>
  <c r="AT36" i="5"/>
  <c r="AS36" i="5"/>
  <c r="AR36" i="5"/>
  <c r="AQ36" i="5"/>
  <c r="AP36" i="5"/>
  <c r="AO36" i="5"/>
  <c r="AN36" i="5"/>
  <c r="AM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CX35" i="5"/>
  <c r="CW35" i="5"/>
  <c r="CV35" i="5"/>
  <c r="CU35" i="5"/>
  <c r="CT35" i="5"/>
  <c r="CS35" i="5"/>
  <c r="CR35" i="5"/>
  <c r="CQ35" i="5"/>
  <c r="CP35" i="5"/>
  <c r="CO35" i="5"/>
  <c r="CN35" i="5"/>
  <c r="CM35" i="5"/>
  <c r="CL35" i="5"/>
  <c r="CK35" i="5"/>
  <c r="CJ35" i="5"/>
  <c r="CI35" i="5"/>
  <c r="CH35" i="5"/>
  <c r="CG35" i="5"/>
  <c r="CF35" i="5"/>
  <c r="CE35" i="5"/>
  <c r="CD35" i="5"/>
  <c r="CC35" i="5"/>
  <c r="CB35" i="5"/>
  <c r="CA35" i="5"/>
  <c r="BZ35" i="5"/>
  <c r="BY35" i="5"/>
  <c r="BX35" i="5"/>
  <c r="BW35" i="5"/>
  <c r="BV35" i="5"/>
  <c r="BU35" i="5"/>
  <c r="BP35" i="5"/>
  <c r="BO35" i="5"/>
  <c r="BN35" i="5"/>
  <c r="BM35" i="5"/>
  <c r="BL35" i="5"/>
  <c r="BK35" i="5"/>
  <c r="BJ35" i="5"/>
  <c r="BI35" i="5"/>
  <c r="BH35" i="5"/>
  <c r="BG35" i="5"/>
  <c r="BF35" i="5"/>
  <c r="BE35" i="5"/>
  <c r="BD35" i="5"/>
  <c r="BC35" i="5"/>
  <c r="BB35" i="5"/>
  <c r="BA35" i="5"/>
  <c r="AZ35" i="5"/>
  <c r="AY35" i="5"/>
  <c r="AX35" i="5"/>
  <c r="AW35" i="5"/>
  <c r="AV35" i="5"/>
  <c r="AU35" i="5"/>
  <c r="AT35" i="5"/>
  <c r="AS35" i="5"/>
  <c r="AR35" i="5"/>
  <c r="AQ35" i="5"/>
  <c r="AP35" i="5"/>
  <c r="AO35" i="5"/>
  <c r="AN35" i="5"/>
  <c r="AM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CX34" i="5"/>
  <c r="CW34" i="5"/>
  <c r="CV34" i="5"/>
  <c r="CU34" i="5"/>
  <c r="CT34" i="5"/>
  <c r="CS34" i="5"/>
  <c r="CR34" i="5"/>
  <c r="CQ34" i="5"/>
  <c r="CP34" i="5"/>
  <c r="CO34" i="5"/>
  <c r="CN34" i="5"/>
  <c r="CM34" i="5"/>
  <c r="CL34" i="5"/>
  <c r="CK34" i="5"/>
  <c r="CJ34" i="5"/>
  <c r="CI34" i="5"/>
  <c r="CH34" i="5"/>
  <c r="CG34" i="5"/>
  <c r="CF34" i="5"/>
  <c r="CE34" i="5"/>
  <c r="CD34" i="5"/>
  <c r="CC34" i="5"/>
  <c r="CB34" i="5"/>
  <c r="CA34" i="5"/>
  <c r="BZ34" i="5"/>
  <c r="BY34" i="5"/>
  <c r="BX34" i="5"/>
  <c r="BW34" i="5"/>
  <c r="BV34" i="5"/>
  <c r="BU34" i="5"/>
  <c r="BP34" i="5"/>
  <c r="BO34" i="5"/>
  <c r="BN34" i="5"/>
  <c r="BM34" i="5"/>
  <c r="BL34" i="5"/>
  <c r="BK34" i="5"/>
  <c r="BJ34" i="5"/>
  <c r="BI34" i="5"/>
  <c r="BH34" i="5"/>
  <c r="BG34" i="5"/>
  <c r="BF34" i="5"/>
  <c r="BE34" i="5"/>
  <c r="BD34" i="5"/>
  <c r="BC34" i="5"/>
  <c r="BB34" i="5"/>
  <c r="BA34" i="5"/>
  <c r="AZ34" i="5"/>
  <c r="AY34" i="5"/>
  <c r="AX34" i="5"/>
  <c r="AW34" i="5"/>
  <c r="AV34" i="5"/>
  <c r="AU34" i="5"/>
  <c r="AT34" i="5"/>
  <c r="AS34" i="5"/>
  <c r="AR34" i="5"/>
  <c r="AQ34" i="5"/>
  <c r="AP34" i="5"/>
  <c r="AO34" i="5"/>
  <c r="AN34" i="5"/>
  <c r="AM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CX33" i="5"/>
  <c r="CW33" i="5"/>
  <c r="CV33" i="5"/>
  <c r="CU33" i="5"/>
  <c r="CT33" i="5"/>
  <c r="CS33" i="5"/>
  <c r="CR33" i="5"/>
  <c r="CQ33" i="5"/>
  <c r="CP33" i="5"/>
  <c r="CO33" i="5"/>
  <c r="CN33" i="5"/>
  <c r="CM33" i="5"/>
  <c r="CL33" i="5"/>
  <c r="CK33" i="5"/>
  <c r="CJ33" i="5"/>
  <c r="CI33" i="5"/>
  <c r="CH33" i="5"/>
  <c r="CG33" i="5"/>
  <c r="CF33" i="5"/>
  <c r="CE33" i="5"/>
  <c r="CD33" i="5"/>
  <c r="CC33" i="5"/>
  <c r="CB33" i="5"/>
  <c r="CA33" i="5"/>
  <c r="BZ33" i="5"/>
  <c r="BY33" i="5"/>
  <c r="BX33" i="5"/>
  <c r="BW33" i="5"/>
  <c r="BV33" i="5"/>
  <c r="BU33" i="5"/>
  <c r="BP33" i="5"/>
  <c r="BO33" i="5"/>
  <c r="BN33" i="5"/>
  <c r="BM33" i="5"/>
  <c r="BL33" i="5"/>
  <c r="BK33" i="5"/>
  <c r="BJ33" i="5"/>
  <c r="BI33" i="5"/>
  <c r="BH33" i="5"/>
  <c r="BG33" i="5"/>
  <c r="BF33" i="5"/>
  <c r="BE33" i="5"/>
  <c r="BD33" i="5"/>
  <c r="BC33" i="5"/>
  <c r="BB33" i="5"/>
  <c r="BA33" i="5"/>
  <c r="AZ33" i="5"/>
  <c r="AY33" i="5"/>
  <c r="AX33" i="5"/>
  <c r="AW33" i="5"/>
  <c r="AV33" i="5"/>
  <c r="AU33" i="5"/>
  <c r="AT33" i="5"/>
  <c r="AS33" i="5"/>
  <c r="AR33" i="5"/>
  <c r="AQ33" i="5"/>
  <c r="AP33" i="5"/>
  <c r="AO33" i="5"/>
  <c r="AN33" i="5"/>
  <c r="AM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CX32" i="5"/>
  <c r="CW32" i="5"/>
  <c r="CV32" i="5"/>
  <c r="CU32" i="5"/>
  <c r="CT32" i="5"/>
  <c r="CS32" i="5"/>
  <c r="CR32" i="5"/>
  <c r="CQ32" i="5"/>
  <c r="CP32" i="5"/>
  <c r="CO32" i="5"/>
  <c r="CN32" i="5"/>
  <c r="CM32" i="5"/>
  <c r="CL32" i="5"/>
  <c r="CK32" i="5"/>
  <c r="CJ32" i="5"/>
  <c r="CI32" i="5"/>
  <c r="CH32" i="5"/>
  <c r="CG32" i="5"/>
  <c r="CF32" i="5"/>
  <c r="CE32" i="5"/>
  <c r="CD32" i="5"/>
  <c r="CC32" i="5"/>
  <c r="CB32" i="5"/>
  <c r="CA32" i="5"/>
  <c r="BZ32" i="5"/>
  <c r="BY32" i="5"/>
  <c r="BX32" i="5"/>
  <c r="BW32" i="5"/>
  <c r="BV32" i="5"/>
  <c r="BU32" i="5"/>
  <c r="BP32" i="5"/>
  <c r="BO32" i="5"/>
  <c r="BN32" i="5"/>
  <c r="BM32" i="5"/>
  <c r="BL32" i="5"/>
  <c r="BK32" i="5"/>
  <c r="BJ32" i="5"/>
  <c r="BI32" i="5"/>
  <c r="BH32" i="5"/>
  <c r="BG32" i="5"/>
  <c r="BF32" i="5"/>
  <c r="BE32" i="5"/>
  <c r="BD32" i="5"/>
  <c r="BC32" i="5"/>
  <c r="BB32" i="5"/>
  <c r="BA32" i="5"/>
  <c r="AZ32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CX31" i="5"/>
  <c r="CW31" i="5"/>
  <c r="CV31" i="5"/>
  <c r="CU31" i="5"/>
  <c r="CT31" i="5"/>
  <c r="CS31" i="5"/>
  <c r="CR31" i="5"/>
  <c r="CQ31" i="5"/>
  <c r="CP31" i="5"/>
  <c r="CO31" i="5"/>
  <c r="CN31" i="5"/>
  <c r="CM31" i="5"/>
  <c r="CL31" i="5"/>
  <c r="CK31" i="5"/>
  <c r="CJ31" i="5"/>
  <c r="CI31" i="5"/>
  <c r="CH31" i="5"/>
  <c r="CG31" i="5"/>
  <c r="CF31" i="5"/>
  <c r="CE31" i="5"/>
  <c r="CD31" i="5"/>
  <c r="CC31" i="5"/>
  <c r="CB31" i="5"/>
  <c r="CA31" i="5"/>
  <c r="BZ31" i="5"/>
  <c r="BY31" i="5"/>
  <c r="BX31" i="5"/>
  <c r="BW31" i="5"/>
  <c r="BV31" i="5"/>
  <c r="BU31" i="5"/>
  <c r="BP31" i="5"/>
  <c r="BO31" i="5"/>
  <c r="BN31" i="5"/>
  <c r="BM31" i="5"/>
  <c r="BL31" i="5"/>
  <c r="BK31" i="5"/>
  <c r="BJ31" i="5"/>
  <c r="BI31" i="5"/>
  <c r="BH31" i="5"/>
  <c r="BG31" i="5"/>
  <c r="BF31" i="5"/>
  <c r="BE31" i="5"/>
  <c r="BD31" i="5"/>
  <c r="BC31" i="5"/>
  <c r="BB31" i="5"/>
  <c r="BA31" i="5"/>
  <c r="AZ31" i="5"/>
  <c r="AY31" i="5"/>
  <c r="AX31" i="5"/>
  <c r="AW31" i="5"/>
  <c r="AV31" i="5"/>
  <c r="AU31" i="5"/>
  <c r="AT31" i="5"/>
  <c r="AS31" i="5"/>
  <c r="AR31" i="5"/>
  <c r="AQ31" i="5"/>
  <c r="AP31" i="5"/>
  <c r="AO31" i="5"/>
  <c r="AN31" i="5"/>
  <c r="AM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CX30" i="5"/>
  <c r="CW30" i="5"/>
  <c r="CV30" i="5"/>
  <c r="CU30" i="5"/>
  <c r="CT30" i="5"/>
  <c r="CS30" i="5"/>
  <c r="CR30" i="5"/>
  <c r="CQ30" i="5"/>
  <c r="CP30" i="5"/>
  <c r="CO30" i="5"/>
  <c r="CN30" i="5"/>
  <c r="CM30" i="5"/>
  <c r="CL30" i="5"/>
  <c r="CK30" i="5"/>
  <c r="CJ30" i="5"/>
  <c r="CI30" i="5"/>
  <c r="CH30" i="5"/>
  <c r="CG30" i="5"/>
  <c r="CF30" i="5"/>
  <c r="CE30" i="5"/>
  <c r="CD30" i="5"/>
  <c r="CC30" i="5"/>
  <c r="CB30" i="5"/>
  <c r="CA30" i="5"/>
  <c r="BZ30" i="5"/>
  <c r="BY30" i="5"/>
  <c r="BX30" i="5"/>
  <c r="BW30" i="5"/>
  <c r="BV30" i="5"/>
  <c r="BU30" i="5"/>
  <c r="BP30" i="5"/>
  <c r="BO30" i="5"/>
  <c r="BN30" i="5"/>
  <c r="BM30" i="5"/>
  <c r="BL30" i="5"/>
  <c r="BK30" i="5"/>
  <c r="BJ30" i="5"/>
  <c r="BI30" i="5"/>
  <c r="BH30" i="5"/>
  <c r="BG30" i="5"/>
  <c r="BF30" i="5"/>
  <c r="BE30" i="5"/>
  <c r="BD30" i="5"/>
  <c r="BC30" i="5"/>
  <c r="BB30" i="5"/>
  <c r="BA30" i="5"/>
  <c r="AZ30" i="5"/>
  <c r="AY30" i="5"/>
  <c r="AX30" i="5"/>
  <c r="AW30" i="5"/>
  <c r="AV30" i="5"/>
  <c r="AU30" i="5"/>
  <c r="AT30" i="5"/>
  <c r="AS30" i="5"/>
  <c r="AR30" i="5"/>
  <c r="AQ30" i="5"/>
  <c r="AP30" i="5"/>
  <c r="AO30" i="5"/>
  <c r="AN30" i="5"/>
  <c r="AM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CX29" i="5"/>
  <c r="CW29" i="5"/>
  <c r="CV29" i="5"/>
  <c r="CU29" i="5"/>
  <c r="CT29" i="5"/>
  <c r="CS29" i="5"/>
  <c r="CR29" i="5"/>
  <c r="CQ29" i="5"/>
  <c r="CP29" i="5"/>
  <c r="CO29" i="5"/>
  <c r="CN29" i="5"/>
  <c r="CM29" i="5"/>
  <c r="CL29" i="5"/>
  <c r="CK29" i="5"/>
  <c r="CJ29" i="5"/>
  <c r="CI29" i="5"/>
  <c r="CH29" i="5"/>
  <c r="CG29" i="5"/>
  <c r="CF29" i="5"/>
  <c r="CE29" i="5"/>
  <c r="CD29" i="5"/>
  <c r="CC29" i="5"/>
  <c r="CB29" i="5"/>
  <c r="CA29" i="5"/>
  <c r="BZ29" i="5"/>
  <c r="BY29" i="5"/>
  <c r="BX29" i="5"/>
  <c r="BW29" i="5"/>
  <c r="BV29" i="5"/>
  <c r="BU29" i="5"/>
  <c r="BP29" i="5"/>
  <c r="BO29" i="5"/>
  <c r="BN29" i="5"/>
  <c r="BM29" i="5"/>
  <c r="BL29" i="5"/>
  <c r="BK29" i="5"/>
  <c r="BJ29" i="5"/>
  <c r="BI29" i="5"/>
  <c r="BH29" i="5"/>
  <c r="BG29" i="5"/>
  <c r="BF29" i="5"/>
  <c r="BE29" i="5"/>
  <c r="BD29" i="5"/>
  <c r="BC29" i="5"/>
  <c r="BB29" i="5"/>
  <c r="BA29" i="5"/>
  <c r="AZ29" i="5"/>
  <c r="AY29" i="5"/>
  <c r="AX29" i="5"/>
  <c r="AW29" i="5"/>
  <c r="AV29" i="5"/>
  <c r="AU29" i="5"/>
  <c r="AT29" i="5"/>
  <c r="AS29" i="5"/>
  <c r="AR29" i="5"/>
  <c r="AQ29" i="5"/>
  <c r="AP29" i="5"/>
  <c r="AO29" i="5"/>
  <c r="AN29" i="5"/>
  <c r="AM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CX28" i="5"/>
  <c r="CW28" i="5"/>
  <c r="CV28" i="5"/>
  <c r="CU28" i="5"/>
  <c r="CT28" i="5"/>
  <c r="CS28" i="5"/>
  <c r="CR28" i="5"/>
  <c r="CQ28" i="5"/>
  <c r="CP28" i="5"/>
  <c r="CO28" i="5"/>
  <c r="CN28" i="5"/>
  <c r="CM28" i="5"/>
  <c r="CL28" i="5"/>
  <c r="CK28" i="5"/>
  <c r="CJ28" i="5"/>
  <c r="CI28" i="5"/>
  <c r="CH28" i="5"/>
  <c r="CG28" i="5"/>
  <c r="CF28" i="5"/>
  <c r="CE28" i="5"/>
  <c r="CD28" i="5"/>
  <c r="CC28" i="5"/>
  <c r="CB28" i="5"/>
  <c r="CA28" i="5"/>
  <c r="BZ28" i="5"/>
  <c r="BY28" i="5"/>
  <c r="BX28" i="5"/>
  <c r="BW28" i="5"/>
  <c r="BV28" i="5"/>
  <c r="BU28" i="5"/>
  <c r="BP28" i="5"/>
  <c r="BO28" i="5"/>
  <c r="BN28" i="5"/>
  <c r="BM28" i="5"/>
  <c r="BL28" i="5"/>
  <c r="BK28" i="5"/>
  <c r="BJ28" i="5"/>
  <c r="BI28" i="5"/>
  <c r="BH28" i="5"/>
  <c r="BG28" i="5"/>
  <c r="BF28" i="5"/>
  <c r="BE28" i="5"/>
  <c r="BD28" i="5"/>
  <c r="BC28" i="5"/>
  <c r="BB28" i="5"/>
  <c r="BA28" i="5"/>
  <c r="AZ28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CX27" i="5"/>
  <c r="CW27" i="5"/>
  <c r="CV27" i="5"/>
  <c r="CU27" i="5"/>
  <c r="CT27" i="5"/>
  <c r="CS27" i="5"/>
  <c r="CR27" i="5"/>
  <c r="CQ27" i="5"/>
  <c r="CP27" i="5"/>
  <c r="CO27" i="5"/>
  <c r="CN27" i="5"/>
  <c r="CM27" i="5"/>
  <c r="CL27" i="5"/>
  <c r="CK27" i="5"/>
  <c r="CJ27" i="5"/>
  <c r="CI27" i="5"/>
  <c r="CH27" i="5"/>
  <c r="CG27" i="5"/>
  <c r="CF27" i="5"/>
  <c r="CE27" i="5"/>
  <c r="CD27" i="5"/>
  <c r="CC27" i="5"/>
  <c r="CB27" i="5"/>
  <c r="CA27" i="5"/>
  <c r="BZ27" i="5"/>
  <c r="BY27" i="5"/>
  <c r="BX27" i="5"/>
  <c r="BW27" i="5"/>
  <c r="BV27" i="5"/>
  <c r="BU27" i="5"/>
  <c r="BP27" i="5"/>
  <c r="BO27" i="5"/>
  <c r="BN27" i="5"/>
  <c r="BM27" i="5"/>
  <c r="BL27" i="5"/>
  <c r="BK27" i="5"/>
  <c r="BJ27" i="5"/>
  <c r="BI27" i="5"/>
  <c r="BH27" i="5"/>
  <c r="BG27" i="5"/>
  <c r="BF27" i="5"/>
  <c r="BE27" i="5"/>
  <c r="BD27" i="5"/>
  <c r="BC27" i="5"/>
  <c r="BB27" i="5"/>
  <c r="BA27" i="5"/>
  <c r="AZ27" i="5"/>
  <c r="AY27" i="5"/>
  <c r="AX27" i="5"/>
  <c r="AW27" i="5"/>
  <c r="AV27" i="5"/>
  <c r="AU27" i="5"/>
  <c r="AT27" i="5"/>
  <c r="AS27" i="5"/>
  <c r="AR27" i="5"/>
  <c r="AQ27" i="5"/>
  <c r="AP27" i="5"/>
  <c r="AO27" i="5"/>
  <c r="AN27" i="5"/>
  <c r="AM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CX26" i="5"/>
  <c r="CW26" i="5"/>
  <c r="CV26" i="5"/>
  <c r="CU26" i="5"/>
  <c r="CT26" i="5"/>
  <c r="CS26" i="5"/>
  <c r="CR26" i="5"/>
  <c r="CQ26" i="5"/>
  <c r="CP26" i="5"/>
  <c r="CO26" i="5"/>
  <c r="CN26" i="5"/>
  <c r="CM26" i="5"/>
  <c r="CL26" i="5"/>
  <c r="CK26" i="5"/>
  <c r="CJ26" i="5"/>
  <c r="CI26" i="5"/>
  <c r="CH26" i="5"/>
  <c r="CG26" i="5"/>
  <c r="CF26" i="5"/>
  <c r="CE26" i="5"/>
  <c r="CD26" i="5"/>
  <c r="CC26" i="5"/>
  <c r="CB26" i="5"/>
  <c r="CA26" i="5"/>
  <c r="BZ26" i="5"/>
  <c r="BY26" i="5"/>
  <c r="BX26" i="5"/>
  <c r="BW26" i="5"/>
  <c r="BV26" i="5"/>
  <c r="BU26" i="5"/>
  <c r="BP26" i="5"/>
  <c r="BO26" i="5"/>
  <c r="BN26" i="5"/>
  <c r="BM26" i="5"/>
  <c r="BL26" i="5"/>
  <c r="BK26" i="5"/>
  <c r="BJ26" i="5"/>
  <c r="BI26" i="5"/>
  <c r="BH26" i="5"/>
  <c r="BG26" i="5"/>
  <c r="BF26" i="5"/>
  <c r="BE26" i="5"/>
  <c r="BD26" i="5"/>
  <c r="BC26" i="5"/>
  <c r="BB26" i="5"/>
  <c r="BA26" i="5"/>
  <c r="AZ26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CX25" i="5"/>
  <c r="CW25" i="5"/>
  <c r="CV25" i="5"/>
  <c r="CU25" i="5"/>
  <c r="CT25" i="5"/>
  <c r="CS25" i="5"/>
  <c r="CR25" i="5"/>
  <c r="CQ25" i="5"/>
  <c r="CP25" i="5"/>
  <c r="CO25" i="5"/>
  <c r="CN25" i="5"/>
  <c r="CM25" i="5"/>
  <c r="CL25" i="5"/>
  <c r="CK25" i="5"/>
  <c r="CJ25" i="5"/>
  <c r="CI25" i="5"/>
  <c r="CH25" i="5"/>
  <c r="CG25" i="5"/>
  <c r="CF25" i="5"/>
  <c r="CE25" i="5"/>
  <c r="CD25" i="5"/>
  <c r="CC25" i="5"/>
  <c r="CB25" i="5"/>
  <c r="CA25" i="5"/>
  <c r="BZ25" i="5"/>
  <c r="BY25" i="5"/>
  <c r="BX25" i="5"/>
  <c r="BW25" i="5"/>
  <c r="BV25" i="5"/>
  <c r="BU25" i="5"/>
  <c r="BP25" i="5"/>
  <c r="BO25" i="5"/>
  <c r="BN25" i="5"/>
  <c r="BM25" i="5"/>
  <c r="BL25" i="5"/>
  <c r="BK25" i="5"/>
  <c r="BJ25" i="5"/>
  <c r="BI25" i="5"/>
  <c r="BH25" i="5"/>
  <c r="BG25" i="5"/>
  <c r="BF25" i="5"/>
  <c r="BE25" i="5"/>
  <c r="BD25" i="5"/>
  <c r="BC25" i="5"/>
  <c r="BB25" i="5"/>
  <c r="BA25" i="5"/>
  <c r="AZ25" i="5"/>
  <c r="AY25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CX24" i="5"/>
  <c r="CW24" i="5"/>
  <c r="CV24" i="5"/>
  <c r="CU24" i="5"/>
  <c r="CT24" i="5"/>
  <c r="CS24" i="5"/>
  <c r="CR24" i="5"/>
  <c r="CQ24" i="5"/>
  <c r="CP24" i="5"/>
  <c r="CO24" i="5"/>
  <c r="CN24" i="5"/>
  <c r="CM24" i="5"/>
  <c r="CL24" i="5"/>
  <c r="CK24" i="5"/>
  <c r="CJ24" i="5"/>
  <c r="CI24" i="5"/>
  <c r="CH24" i="5"/>
  <c r="CG24" i="5"/>
  <c r="CF24" i="5"/>
  <c r="CE24" i="5"/>
  <c r="CD24" i="5"/>
  <c r="CC24" i="5"/>
  <c r="CB24" i="5"/>
  <c r="CA24" i="5"/>
  <c r="BZ24" i="5"/>
  <c r="BY24" i="5"/>
  <c r="BX24" i="5"/>
  <c r="BW24" i="5"/>
  <c r="BV24" i="5"/>
  <c r="BU24" i="5"/>
  <c r="BP24" i="5"/>
  <c r="BO24" i="5"/>
  <c r="BN24" i="5"/>
  <c r="BM24" i="5"/>
  <c r="BL24" i="5"/>
  <c r="BK24" i="5"/>
  <c r="BJ24" i="5"/>
  <c r="BI24" i="5"/>
  <c r="BH24" i="5"/>
  <c r="BG24" i="5"/>
  <c r="BF24" i="5"/>
  <c r="BE24" i="5"/>
  <c r="BD24" i="5"/>
  <c r="BC24" i="5"/>
  <c r="BB24" i="5"/>
  <c r="BA24" i="5"/>
  <c r="AZ24" i="5"/>
  <c r="AY24" i="5"/>
  <c r="AX24" i="5"/>
  <c r="AW24" i="5"/>
  <c r="AV24" i="5"/>
  <c r="AU24" i="5"/>
  <c r="AT24" i="5"/>
  <c r="AS24" i="5"/>
  <c r="AR24" i="5"/>
  <c r="AQ24" i="5"/>
  <c r="AP24" i="5"/>
  <c r="AO24" i="5"/>
  <c r="AN24" i="5"/>
  <c r="AM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CX23" i="5"/>
  <c r="CW23" i="5"/>
  <c r="CV23" i="5"/>
  <c r="CU23" i="5"/>
  <c r="CT23" i="5"/>
  <c r="CS23" i="5"/>
  <c r="CR23" i="5"/>
  <c r="CQ23" i="5"/>
  <c r="CP23" i="5"/>
  <c r="CO23" i="5"/>
  <c r="CN23" i="5"/>
  <c r="CM23" i="5"/>
  <c r="CL23" i="5"/>
  <c r="CK23" i="5"/>
  <c r="CJ23" i="5"/>
  <c r="CI23" i="5"/>
  <c r="CH23" i="5"/>
  <c r="CG23" i="5"/>
  <c r="CF23" i="5"/>
  <c r="CE23" i="5"/>
  <c r="CD23" i="5"/>
  <c r="CC23" i="5"/>
  <c r="CB23" i="5"/>
  <c r="CA23" i="5"/>
  <c r="BZ23" i="5"/>
  <c r="BY23" i="5"/>
  <c r="BX23" i="5"/>
  <c r="BW23" i="5"/>
  <c r="BV23" i="5"/>
  <c r="BU23" i="5"/>
  <c r="BP23" i="5"/>
  <c r="BO23" i="5"/>
  <c r="BN23" i="5"/>
  <c r="BM23" i="5"/>
  <c r="BL23" i="5"/>
  <c r="BK23" i="5"/>
  <c r="BJ23" i="5"/>
  <c r="BI23" i="5"/>
  <c r="BH23" i="5"/>
  <c r="BG23" i="5"/>
  <c r="BF23" i="5"/>
  <c r="BE23" i="5"/>
  <c r="BD23" i="5"/>
  <c r="BC23" i="5"/>
  <c r="BB23" i="5"/>
  <c r="BA23" i="5"/>
  <c r="AZ23" i="5"/>
  <c r="AY23" i="5"/>
  <c r="AX23" i="5"/>
  <c r="AW23" i="5"/>
  <c r="AV23" i="5"/>
  <c r="AU23" i="5"/>
  <c r="AT23" i="5"/>
  <c r="AS23" i="5"/>
  <c r="AR23" i="5"/>
  <c r="AQ23" i="5"/>
  <c r="AP23" i="5"/>
  <c r="AO23" i="5"/>
  <c r="AN23" i="5"/>
  <c r="AM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CX22" i="5"/>
  <c r="CW22" i="5"/>
  <c r="CV22" i="5"/>
  <c r="CU22" i="5"/>
  <c r="CT22" i="5"/>
  <c r="CS22" i="5"/>
  <c r="CR22" i="5"/>
  <c r="CQ22" i="5"/>
  <c r="CP22" i="5"/>
  <c r="CO22" i="5"/>
  <c r="CN22" i="5"/>
  <c r="CM22" i="5"/>
  <c r="CL22" i="5"/>
  <c r="CK22" i="5"/>
  <c r="CJ22" i="5"/>
  <c r="CI22" i="5"/>
  <c r="CH22" i="5"/>
  <c r="CG22" i="5"/>
  <c r="CF22" i="5"/>
  <c r="CE22" i="5"/>
  <c r="CD22" i="5"/>
  <c r="CC22" i="5"/>
  <c r="CB22" i="5"/>
  <c r="CA22" i="5"/>
  <c r="BZ22" i="5"/>
  <c r="BY22" i="5"/>
  <c r="BX22" i="5"/>
  <c r="BW22" i="5"/>
  <c r="BV22" i="5"/>
  <c r="BU22" i="5"/>
  <c r="BP22" i="5"/>
  <c r="BO22" i="5"/>
  <c r="BN22" i="5"/>
  <c r="BM22" i="5"/>
  <c r="BL22" i="5"/>
  <c r="BK22" i="5"/>
  <c r="BJ22" i="5"/>
  <c r="BI22" i="5"/>
  <c r="BH22" i="5"/>
  <c r="BG22" i="5"/>
  <c r="BF22" i="5"/>
  <c r="BE22" i="5"/>
  <c r="BD22" i="5"/>
  <c r="BC22" i="5"/>
  <c r="BB22" i="5"/>
  <c r="BA22" i="5"/>
  <c r="AZ22" i="5"/>
  <c r="AY22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CX21" i="5"/>
  <c r="CW21" i="5"/>
  <c r="CV21" i="5"/>
  <c r="CU21" i="5"/>
  <c r="CT21" i="5"/>
  <c r="CS21" i="5"/>
  <c r="CR21" i="5"/>
  <c r="CQ21" i="5"/>
  <c r="CP21" i="5"/>
  <c r="CO21" i="5"/>
  <c r="CN21" i="5"/>
  <c r="CM21" i="5"/>
  <c r="CL21" i="5"/>
  <c r="CK21" i="5"/>
  <c r="CJ21" i="5"/>
  <c r="CI21" i="5"/>
  <c r="CH21" i="5"/>
  <c r="CG21" i="5"/>
  <c r="CF21" i="5"/>
  <c r="CE21" i="5"/>
  <c r="CD21" i="5"/>
  <c r="CC21" i="5"/>
  <c r="CB21" i="5"/>
  <c r="CA21" i="5"/>
  <c r="BZ21" i="5"/>
  <c r="BY21" i="5"/>
  <c r="BX21" i="5"/>
  <c r="BW21" i="5"/>
  <c r="BV21" i="5"/>
  <c r="BU21" i="5"/>
  <c r="BP21" i="5"/>
  <c r="BO21" i="5"/>
  <c r="BN21" i="5"/>
  <c r="BM21" i="5"/>
  <c r="BL21" i="5"/>
  <c r="BK21" i="5"/>
  <c r="BJ21" i="5"/>
  <c r="BI21" i="5"/>
  <c r="BH21" i="5"/>
  <c r="BG21" i="5"/>
  <c r="BF21" i="5"/>
  <c r="BE21" i="5"/>
  <c r="BD21" i="5"/>
  <c r="BC21" i="5"/>
  <c r="BB21" i="5"/>
  <c r="BA21" i="5"/>
  <c r="AZ21" i="5"/>
  <c r="AY21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CX20" i="5"/>
  <c r="CW20" i="5"/>
  <c r="CV20" i="5"/>
  <c r="CU20" i="5"/>
  <c r="CT20" i="5"/>
  <c r="CS20" i="5"/>
  <c r="CR20" i="5"/>
  <c r="CQ20" i="5"/>
  <c r="CP20" i="5"/>
  <c r="CO20" i="5"/>
  <c r="CN20" i="5"/>
  <c r="CM20" i="5"/>
  <c r="CL20" i="5"/>
  <c r="CK20" i="5"/>
  <c r="CJ20" i="5"/>
  <c r="CI20" i="5"/>
  <c r="CH20" i="5"/>
  <c r="CG20" i="5"/>
  <c r="CF20" i="5"/>
  <c r="CE20" i="5"/>
  <c r="CD20" i="5"/>
  <c r="CC20" i="5"/>
  <c r="CB20" i="5"/>
  <c r="CA20" i="5"/>
  <c r="BZ20" i="5"/>
  <c r="BY20" i="5"/>
  <c r="BX20" i="5"/>
  <c r="BW20" i="5"/>
  <c r="BV20" i="5"/>
  <c r="BU20" i="5"/>
  <c r="BP20" i="5"/>
  <c r="BO20" i="5"/>
  <c r="BN20" i="5"/>
  <c r="BM20" i="5"/>
  <c r="BL20" i="5"/>
  <c r="BK20" i="5"/>
  <c r="BJ20" i="5"/>
  <c r="BI20" i="5"/>
  <c r="BH20" i="5"/>
  <c r="BG20" i="5"/>
  <c r="BF20" i="5"/>
  <c r="BE20" i="5"/>
  <c r="BD20" i="5"/>
  <c r="BC20" i="5"/>
  <c r="BB20" i="5"/>
  <c r="BA20" i="5"/>
  <c r="AZ20" i="5"/>
  <c r="AY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CX19" i="5"/>
  <c r="CW19" i="5"/>
  <c r="CV19" i="5"/>
  <c r="CU19" i="5"/>
  <c r="CT19" i="5"/>
  <c r="CS19" i="5"/>
  <c r="CR19" i="5"/>
  <c r="CQ19" i="5"/>
  <c r="CP19" i="5"/>
  <c r="CO19" i="5"/>
  <c r="CN19" i="5"/>
  <c r="CM19" i="5"/>
  <c r="CL19" i="5"/>
  <c r="CK19" i="5"/>
  <c r="CJ19" i="5"/>
  <c r="CI19" i="5"/>
  <c r="CH19" i="5"/>
  <c r="CG19" i="5"/>
  <c r="CF19" i="5"/>
  <c r="CE19" i="5"/>
  <c r="CD19" i="5"/>
  <c r="CC19" i="5"/>
  <c r="CB19" i="5"/>
  <c r="CA19" i="5"/>
  <c r="BZ19" i="5"/>
  <c r="BY19" i="5"/>
  <c r="BX19" i="5"/>
  <c r="BW19" i="5"/>
  <c r="BV19" i="5"/>
  <c r="BU19" i="5"/>
  <c r="BP19" i="5"/>
  <c r="BO19" i="5"/>
  <c r="BN19" i="5"/>
  <c r="BM19" i="5"/>
  <c r="BL19" i="5"/>
  <c r="BK19" i="5"/>
  <c r="BJ19" i="5"/>
  <c r="BI19" i="5"/>
  <c r="BH19" i="5"/>
  <c r="BG19" i="5"/>
  <c r="BF19" i="5"/>
  <c r="BE19" i="5"/>
  <c r="BD19" i="5"/>
  <c r="BC19" i="5"/>
  <c r="BB19" i="5"/>
  <c r="BA19" i="5"/>
  <c r="AZ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CX18" i="5"/>
  <c r="CW18" i="5"/>
  <c r="CV18" i="5"/>
  <c r="CU18" i="5"/>
  <c r="CT18" i="5"/>
  <c r="CS18" i="5"/>
  <c r="CR18" i="5"/>
  <c r="CQ18" i="5"/>
  <c r="CP18" i="5"/>
  <c r="CO18" i="5"/>
  <c r="CN18" i="5"/>
  <c r="CM18" i="5"/>
  <c r="CL18" i="5"/>
  <c r="CK18" i="5"/>
  <c r="CJ18" i="5"/>
  <c r="CI18" i="5"/>
  <c r="CH18" i="5"/>
  <c r="CG18" i="5"/>
  <c r="CF18" i="5"/>
  <c r="CE18" i="5"/>
  <c r="CD18" i="5"/>
  <c r="CC18" i="5"/>
  <c r="CB18" i="5"/>
  <c r="CA18" i="5"/>
  <c r="BZ18" i="5"/>
  <c r="BY18" i="5"/>
  <c r="BX18" i="5"/>
  <c r="BW18" i="5"/>
  <c r="BV18" i="5"/>
  <c r="BU18" i="5"/>
  <c r="BP18" i="5"/>
  <c r="BO18" i="5"/>
  <c r="BN18" i="5"/>
  <c r="BM18" i="5"/>
  <c r="BL18" i="5"/>
  <c r="BK18" i="5"/>
  <c r="BJ18" i="5"/>
  <c r="BI18" i="5"/>
  <c r="BH18" i="5"/>
  <c r="BG18" i="5"/>
  <c r="BF18" i="5"/>
  <c r="BE18" i="5"/>
  <c r="BD18" i="5"/>
  <c r="BC18" i="5"/>
  <c r="BB18" i="5"/>
  <c r="BA18" i="5"/>
  <c r="AZ18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CX17" i="5"/>
  <c r="CW17" i="5"/>
  <c r="CV17" i="5"/>
  <c r="CU17" i="5"/>
  <c r="CT17" i="5"/>
  <c r="CS17" i="5"/>
  <c r="CR17" i="5"/>
  <c r="CQ17" i="5"/>
  <c r="CP17" i="5"/>
  <c r="CO17" i="5"/>
  <c r="CN17" i="5"/>
  <c r="CM17" i="5"/>
  <c r="CL17" i="5"/>
  <c r="CK17" i="5"/>
  <c r="CJ17" i="5"/>
  <c r="CI17" i="5"/>
  <c r="CH17" i="5"/>
  <c r="CG17" i="5"/>
  <c r="CF17" i="5"/>
  <c r="CE17" i="5"/>
  <c r="CD17" i="5"/>
  <c r="CC17" i="5"/>
  <c r="CB17" i="5"/>
  <c r="CA17" i="5"/>
  <c r="BZ17" i="5"/>
  <c r="BY17" i="5"/>
  <c r="BX17" i="5"/>
  <c r="BW17" i="5"/>
  <c r="BV17" i="5"/>
  <c r="BU17" i="5"/>
  <c r="BP17" i="5"/>
  <c r="BO17" i="5"/>
  <c r="BN17" i="5"/>
  <c r="BM17" i="5"/>
  <c r="BL17" i="5"/>
  <c r="BK17" i="5"/>
  <c r="BJ17" i="5"/>
  <c r="BI17" i="5"/>
  <c r="BH17" i="5"/>
  <c r="BG17" i="5"/>
  <c r="BF17" i="5"/>
  <c r="BE17" i="5"/>
  <c r="BD17" i="5"/>
  <c r="BC17" i="5"/>
  <c r="BB17" i="5"/>
  <c r="BA17" i="5"/>
  <c r="AZ17" i="5"/>
  <c r="AY17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CX16" i="5"/>
  <c r="CW16" i="5"/>
  <c r="CV16" i="5"/>
  <c r="CU16" i="5"/>
  <c r="CT16" i="5"/>
  <c r="CS16" i="5"/>
  <c r="CR16" i="5"/>
  <c r="CQ16" i="5"/>
  <c r="CP16" i="5"/>
  <c r="CO16" i="5"/>
  <c r="CN16" i="5"/>
  <c r="CM16" i="5"/>
  <c r="CL16" i="5"/>
  <c r="CK16" i="5"/>
  <c r="CJ16" i="5"/>
  <c r="CI16" i="5"/>
  <c r="CH16" i="5"/>
  <c r="CG16" i="5"/>
  <c r="CF16" i="5"/>
  <c r="CE16" i="5"/>
  <c r="CD16" i="5"/>
  <c r="CC16" i="5"/>
  <c r="CB16" i="5"/>
  <c r="CA16" i="5"/>
  <c r="BZ16" i="5"/>
  <c r="BY16" i="5"/>
  <c r="BX16" i="5"/>
  <c r="BW16" i="5"/>
  <c r="BV16" i="5"/>
  <c r="BU16" i="5"/>
  <c r="BP16" i="5"/>
  <c r="BO16" i="5"/>
  <c r="BN16" i="5"/>
  <c r="BM16" i="5"/>
  <c r="BL16" i="5"/>
  <c r="BK16" i="5"/>
  <c r="BJ16" i="5"/>
  <c r="BI16" i="5"/>
  <c r="BH16" i="5"/>
  <c r="BG16" i="5"/>
  <c r="BF16" i="5"/>
  <c r="BE16" i="5"/>
  <c r="BD16" i="5"/>
  <c r="BC16" i="5"/>
  <c r="BB16" i="5"/>
  <c r="BA16" i="5"/>
  <c r="AZ16" i="5"/>
  <c r="AY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CX15" i="5"/>
  <c r="CW15" i="5"/>
  <c r="CV15" i="5"/>
  <c r="CU15" i="5"/>
  <c r="CT15" i="5"/>
  <c r="CS15" i="5"/>
  <c r="CR15" i="5"/>
  <c r="CQ15" i="5"/>
  <c r="CP15" i="5"/>
  <c r="CO15" i="5"/>
  <c r="CN15" i="5"/>
  <c r="CM15" i="5"/>
  <c r="CL15" i="5"/>
  <c r="CK15" i="5"/>
  <c r="CJ15" i="5"/>
  <c r="CI15" i="5"/>
  <c r="CH15" i="5"/>
  <c r="CG15" i="5"/>
  <c r="CF15" i="5"/>
  <c r="CE15" i="5"/>
  <c r="CD15" i="5"/>
  <c r="CC15" i="5"/>
  <c r="CB15" i="5"/>
  <c r="CA15" i="5"/>
  <c r="BZ15" i="5"/>
  <c r="BY15" i="5"/>
  <c r="BX15" i="5"/>
  <c r="BW15" i="5"/>
  <c r="BV15" i="5"/>
  <c r="BU15" i="5"/>
  <c r="BP15" i="5"/>
  <c r="BO15" i="5"/>
  <c r="BN15" i="5"/>
  <c r="BM15" i="5"/>
  <c r="BL15" i="5"/>
  <c r="BK15" i="5"/>
  <c r="BJ15" i="5"/>
  <c r="BI15" i="5"/>
  <c r="BH15" i="5"/>
  <c r="BG15" i="5"/>
  <c r="BF15" i="5"/>
  <c r="BE15" i="5"/>
  <c r="BD15" i="5"/>
  <c r="BC15" i="5"/>
  <c r="BB15" i="5"/>
  <c r="BA15" i="5"/>
  <c r="AZ15" i="5"/>
  <c r="AY15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CX14" i="5"/>
  <c r="CW14" i="5"/>
  <c r="CV14" i="5"/>
  <c r="CU14" i="5"/>
  <c r="CT14" i="5"/>
  <c r="CS14" i="5"/>
  <c r="CR14" i="5"/>
  <c r="CQ14" i="5"/>
  <c r="CP14" i="5"/>
  <c r="CO14" i="5"/>
  <c r="CN14" i="5"/>
  <c r="CM14" i="5"/>
  <c r="CL14" i="5"/>
  <c r="CK14" i="5"/>
  <c r="CJ14" i="5"/>
  <c r="CI14" i="5"/>
  <c r="CH14" i="5"/>
  <c r="CG14" i="5"/>
  <c r="CF14" i="5"/>
  <c r="CE14" i="5"/>
  <c r="CD14" i="5"/>
  <c r="CC14" i="5"/>
  <c r="CB14" i="5"/>
  <c r="CA14" i="5"/>
  <c r="BZ14" i="5"/>
  <c r="BY14" i="5"/>
  <c r="BX14" i="5"/>
  <c r="BW14" i="5"/>
  <c r="BV14" i="5"/>
  <c r="BU14" i="5"/>
  <c r="BP14" i="5"/>
  <c r="BO14" i="5"/>
  <c r="BN14" i="5"/>
  <c r="BM14" i="5"/>
  <c r="BL14" i="5"/>
  <c r="BK14" i="5"/>
  <c r="BJ14" i="5"/>
  <c r="BI14" i="5"/>
  <c r="BH14" i="5"/>
  <c r="BG14" i="5"/>
  <c r="BF14" i="5"/>
  <c r="BE14" i="5"/>
  <c r="BD14" i="5"/>
  <c r="BC14" i="5"/>
  <c r="BB14" i="5"/>
  <c r="BA14" i="5"/>
  <c r="AZ14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CX13" i="5"/>
  <c r="CW13" i="5"/>
  <c r="CV13" i="5"/>
  <c r="CU13" i="5"/>
  <c r="CT13" i="5"/>
  <c r="CS13" i="5"/>
  <c r="CR13" i="5"/>
  <c r="CQ13" i="5"/>
  <c r="CP13" i="5"/>
  <c r="CO13" i="5"/>
  <c r="CN13" i="5"/>
  <c r="CM13" i="5"/>
  <c r="CL13" i="5"/>
  <c r="CK13" i="5"/>
  <c r="CJ13" i="5"/>
  <c r="CI13" i="5"/>
  <c r="CH13" i="5"/>
  <c r="CG13" i="5"/>
  <c r="CF13" i="5"/>
  <c r="CE13" i="5"/>
  <c r="CD13" i="5"/>
  <c r="CC13" i="5"/>
  <c r="CB13" i="5"/>
  <c r="CA13" i="5"/>
  <c r="BZ13" i="5"/>
  <c r="BY13" i="5"/>
  <c r="BX13" i="5"/>
  <c r="BW13" i="5"/>
  <c r="BV13" i="5"/>
  <c r="BU13" i="5"/>
  <c r="BP13" i="5"/>
  <c r="BO13" i="5"/>
  <c r="BN13" i="5"/>
  <c r="BM13" i="5"/>
  <c r="BL13" i="5"/>
  <c r="BK13" i="5"/>
  <c r="BJ13" i="5"/>
  <c r="BI13" i="5"/>
  <c r="BH13" i="5"/>
  <c r="BG13" i="5"/>
  <c r="BF13" i="5"/>
  <c r="BE13" i="5"/>
  <c r="BD13" i="5"/>
  <c r="BC13" i="5"/>
  <c r="BB13" i="5"/>
  <c r="BA13" i="5"/>
  <c r="AZ13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CX12" i="5"/>
  <c r="CW12" i="5"/>
  <c r="CV12" i="5"/>
  <c r="CU12" i="5"/>
  <c r="CT12" i="5"/>
  <c r="CS12" i="5"/>
  <c r="CR12" i="5"/>
  <c r="CQ12" i="5"/>
  <c r="CP12" i="5"/>
  <c r="CO12" i="5"/>
  <c r="CN12" i="5"/>
  <c r="CM12" i="5"/>
  <c r="CL12" i="5"/>
  <c r="CK12" i="5"/>
  <c r="CJ12" i="5"/>
  <c r="CI12" i="5"/>
  <c r="CH12" i="5"/>
  <c r="CG12" i="5"/>
  <c r="CF12" i="5"/>
  <c r="CE12" i="5"/>
  <c r="CD12" i="5"/>
  <c r="CC12" i="5"/>
  <c r="CB12" i="5"/>
  <c r="CA12" i="5"/>
  <c r="BZ12" i="5"/>
  <c r="BY12" i="5"/>
  <c r="BX12" i="5"/>
  <c r="BW12" i="5"/>
  <c r="BV12" i="5"/>
  <c r="BU12" i="5"/>
  <c r="BP12" i="5"/>
  <c r="BO12" i="5"/>
  <c r="BN12" i="5"/>
  <c r="BM12" i="5"/>
  <c r="BL12" i="5"/>
  <c r="BK12" i="5"/>
  <c r="BJ12" i="5"/>
  <c r="BI12" i="5"/>
  <c r="BH12" i="5"/>
  <c r="BG12" i="5"/>
  <c r="BF12" i="5"/>
  <c r="BE12" i="5"/>
  <c r="BD12" i="5"/>
  <c r="BC12" i="5"/>
  <c r="BB12" i="5"/>
  <c r="BA12" i="5"/>
  <c r="AZ12" i="5"/>
  <c r="AY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CX11" i="5"/>
  <c r="CW11" i="5"/>
  <c r="CV11" i="5"/>
  <c r="CU11" i="5"/>
  <c r="CT11" i="5"/>
  <c r="CS11" i="5"/>
  <c r="CR11" i="5"/>
  <c r="CQ11" i="5"/>
  <c r="CP11" i="5"/>
  <c r="CO11" i="5"/>
  <c r="CN11" i="5"/>
  <c r="CM11" i="5"/>
  <c r="CL11" i="5"/>
  <c r="CK11" i="5"/>
  <c r="CJ11" i="5"/>
  <c r="CI11" i="5"/>
  <c r="CH11" i="5"/>
  <c r="CG11" i="5"/>
  <c r="CF11" i="5"/>
  <c r="CE11" i="5"/>
  <c r="CD11" i="5"/>
  <c r="CC11" i="5"/>
  <c r="CB11" i="5"/>
  <c r="CA11" i="5"/>
  <c r="BZ11" i="5"/>
  <c r="BY11" i="5"/>
  <c r="BX11" i="5"/>
  <c r="BW11" i="5"/>
  <c r="BV11" i="5"/>
  <c r="BU11" i="5"/>
  <c r="BP11" i="5"/>
  <c r="BO11" i="5"/>
  <c r="BN11" i="5"/>
  <c r="BM11" i="5"/>
  <c r="BL11" i="5"/>
  <c r="BK11" i="5"/>
  <c r="BJ11" i="5"/>
  <c r="BI11" i="5"/>
  <c r="BH11" i="5"/>
  <c r="BG11" i="5"/>
  <c r="BF11" i="5"/>
  <c r="BE11" i="5"/>
  <c r="BD11" i="5"/>
  <c r="BC11" i="5"/>
  <c r="BB11" i="5"/>
  <c r="BA11" i="5"/>
  <c r="AZ11" i="5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CX10" i="5"/>
  <c r="CW10" i="5"/>
  <c r="CV10" i="5"/>
  <c r="CU10" i="5"/>
  <c r="CT10" i="5"/>
  <c r="CS10" i="5"/>
  <c r="CR10" i="5"/>
  <c r="CQ10" i="5"/>
  <c r="CP10" i="5"/>
  <c r="CO10" i="5"/>
  <c r="CN10" i="5"/>
  <c r="CM10" i="5"/>
  <c r="CL10" i="5"/>
  <c r="CK10" i="5"/>
  <c r="CJ10" i="5"/>
  <c r="CI10" i="5"/>
  <c r="CH10" i="5"/>
  <c r="CG10" i="5"/>
  <c r="CF10" i="5"/>
  <c r="CE10" i="5"/>
  <c r="CD10" i="5"/>
  <c r="CC10" i="5"/>
  <c r="CB10" i="5"/>
  <c r="CA10" i="5"/>
  <c r="BZ10" i="5"/>
  <c r="BY10" i="5"/>
  <c r="BX10" i="5"/>
  <c r="BW10" i="5"/>
  <c r="BV10" i="5"/>
  <c r="BU10" i="5"/>
  <c r="BP10" i="5"/>
  <c r="BO10" i="5"/>
  <c r="BN10" i="5"/>
  <c r="BM10" i="5"/>
  <c r="BL10" i="5"/>
  <c r="BK10" i="5"/>
  <c r="BJ10" i="5"/>
  <c r="BI10" i="5"/>
  <c r="BH10" i="5"/>
  <c r="BG10" i="5"/>
  <c r="BF10" i="5"/>
  <c r="BE10" i="5"/>
  <c r="BD10" i="5"/>
  <c r="BC10" i="5"/>
  <c r="BB10" i="5"/>
  <c r="BA10" i="5"/>
  <c r="AZ10" i="5"/>
  <c r="AY10" i="5"/>
  <c r="AX10" i="5"/>
  <c r="AW10" i="5"/>
  <c r="AV10" i="5"/>
  <c r="AU10" i="5"/>
  <c r="AT10" i="5"/>
  <c r="AS10" i="5"/>
  <c r="AR10" i="5"/>
  <c r="AQ10" i="5"/>
  <c r="AP10" i="5"/>
  <c r="AO10" i="5"/>
  <c r="AN10" i="5"/>
  <c r="AM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CX9" i="5"/>
  <c r="CW9" i="5"/>
  <c r="CV9" i="5"/>
  <c r="CU9" i="5"/>
  <c r="CT9" i="5"/>
  <c r="CS9" i="5"/>
  <c r="CR9" i="5"/>
  <c r="CQ9" i="5"/>
  <c r="CP9" i="5"/>
  <c r="CO9" i="5"/>
  <c r="CN9" i="5"/>
  <c r="CM9" i="5"/>
  <c r="CL9" i="5"/>
  <c r="CK9" i="5"/>
  <c r="CJ9" i="5"/>
  <c r="CI9" i="5"/>
  <c r="CH9" i="5"/>
  <c r="CG9" i="5"/>
  <c r="CF9" i="5"/>
  <c r="CE9" i="5"/>
  <c r="CD9" i="5"/>
  <c r="CC9" i="5"/>
  <c r="CB9" i="5"/>
  <c r="CA9" i="5"/>
  <c r="BZ9" i="5"/>
  <c r="BY9" i="5"/>
  <c r="BX9" i="5"/>
  <c r="BW9" i="5"/>
  <c r="BV9" i="5"/>
  <c r="BU9" i="5"/>
  <c r="BP9" i="5"/>
  <c r="BO9" i="5"/>
  <c r="BN9" i="5"/>
  <c r="BM9" i="5"/>
  <c r="BL9" i="5"/>
  <c r="BK9" i="5"/>
  <c r="BJ9" i="5"/>
  <c r="BI9" i="5"/>
  <c r="BH9" i="5"/>
  <c r="BG9" i="5"/>
  <c r="BF9" i="5"/>
  <c r="BE9" i="5"/>
  <c r="BD9" i="5"/>
  <c r="BC9" i="5"/>
  <c r="BB9" i="5"/>
  <c r="BA9" i="5"/>
  <c r="AZ9" i="5"/>
  <c r="AY9" i="5"/>
  <c r="AX9" i="5"/>
  <c r="AW9" i="5"/>
  <c r="AV9" i="5"/>
  <c r="AU9" i="5"/>
  <c r="AT9" i="5"/>
  <c r="AS9" i="5"/>
  <c r="AR9" i="5"/>
  <c r="AQ9" i="5"/>
  <c r="AP9" i="5"/>
  <c r="AO9" i="5"/>
  <c r="AN9" i="5"/>
  <c r="AM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CX8" i="5"/>
  <c r="CW8" i="5"/>
  <c r="CV8" i="5"/>
  <c r="CU8" i="5"/>
  <c r="CT8" i="5"/>
  <c r="CS8" i="5"/>
  <c r="CR8" i="5"/>
  <c r="CQ8" i="5"/>
  <c r="CP8" i="5"/>
  <c r="CO8" i="5"/>
  <c r="CN8" i="5"/>
  <c r="CM8" i="5"/>
  <c r="CL8" i="5"/>
  <c r="CK8" i="5"/>
  <c r="CJ8" i="5"/>
  <c r="CI8" i="5"/>
  <c r="CH8" i="5"/>
  <c r="CG8" i="5"/>
  <c r="CF8" i="5"/>
  <c r="CE8" i="5"/>
  <c r="CD8" i="5"/>
  <c r="CC8" i="5"/>
  <c r="CB8" i="5"/>
  <c r="CA8" i="5"/>
  <c r="BZ8" i="5"/>
  <c r="BY8" i="5"/>
  <c r="BX8" i="5"/>
  <c r="BW8" i="5"/>
  <c r="BV8" i="5"/>
  <c r="BU8" i="5"/>
  <c r="BP8" i="5"/>
  <c r="BO8" i="5"/>
  <c r="BN8" i="5"/>
  <c r="BM8" i="5"/>
  <c r="BL8" i="5"/>
  <c r="BK8" i="5"/>
  <c r="BJ8" i="5"/>
  <c r="BI8" i="5"/>
  <c r="BH8" i="5"/>
  <c r="BG8" i="5"/>
  <c r="BF8" i="5"/>
  <c r="BE8" i="5"/>
  <c r="BD8" i="5"/>
  <c r="BC8" i="5"/>
  <c r="BB8" i="5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CX7" i="5"/>
  <c r="CW7" i="5"/>
  <c r="CV7" i="5"/>
  <c r="CU7" i="5"/>
  <c r="CT7" i="5"/>
  <c r="CS7" i="5"/>
  <c r="CR7" i="5"/>
  <c r="CQ7" i="5"/>
  <c r="CP7" i="5"/>
  <c r="CO7" i="5"/>
  <c r="CN7" i="5"/>
  <c r="CM7" i="5"/>
  <c r="CL7" i="5"/>
  <c r="CK7" i="5"/>
  <c r="CJ7" i="5"/>
  <c r="CI7" i="5"/>
  <c r="CH7" i="5"/>
  <c r="CG7" i="5"/>
  <c r="CF7" i="5"/>
  <c r="CE7" i="5"/>
  <c r="CD7" i="5"/>
  <c r="CC7" i="5"/>
  <c r="CB7" i="5"/>
  <c r="CA7" i="5"/>
  <c r="BZ7" i="5"/>
  <c r="BY7" i="5"/>
  <c r="BX7" i="5"/>
  <c r="BW7" i="5"/>
  <c r="BV7" i="5"/>
  <c r="BU7" i="5"/>
  <c r="BP7" i="5"/>
  <c r="BO7" i="5"/>
  <c r="BN7" i="5"/>
  <c r="BM7" i="5"/>
  <c r="BL7" i="5"/>
  <c r="BK7" i="5"/>
  <c r="BJ7" i="5"/>
  <c r="BI7" i="5"/>
  <c r="BH7" i="5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CX6" i="5"/>
  <c r="CW6" i="5"/>
  <c r="CV6" i="5"/>
  <c r="CU6" i="5"/>
  <c r="CT6" i="5"/>
  <c r="CS6" i="5"/>
  <c r="CR6" i="5"/>
  <c r="CQ6" i="5"/>
  <c r="CP6" i="5"/>
  <c r="CO6" i="5"/>
  <c r="CN6" i="5"/>
  <c r="CM6" i="5"/>
  <c r="CL6" i="5"/>
  <c r="CK6" i="5"/>
  <c r="CJ6" i="5"/>
  <c r="CI6" i="5"/>
  <c r="CH6" i="5"/>
  <c r="CG6" i="5"/>
  <c r="CF6" i="5"/>
  <c r="CE6" i="5"/>
  <c r="CD6" i="5"/>
  <c r="CC6" i="5"/>
  <c r="CB6" i="5"/>
  <c r="CA6" i="5"/>
  <c r="BZ6" i="5"/>
  <c r="BY6" i="5"/>
  <c r="BX6" i="5"/>
  <c r="BW6" i="5"/>
  <c r="BV6" i="5"/>
  <c r="BU6" i="5"/>
  <c r="BP6" i="5"/>
  <c r="BO6" i="5"/>
  <c r="BN6" i="5"/>
  <c r="BM6" i="5"/>
  <c r="BL6" i="5"/>
  <c r="BK6" i="5"/>
  <c r="BJ6" i="5"/>
  <c r="BI6" i="5"/>
  <c r="BH6" i="5"/>
  <c r="BG6" i="5"/>
  <c r="BF6" i="5"/>
  <c r="BE6" i="5"/>
  <c r="BD6" i="5"/>
  <c r="BC6" i="5"/>
  <c r="BB6" i="5"/>
  <c r="BA6" i="5"/>
  <c r="AZ6" i="5"/>
  <c r="AY6" i="5"/>
  <c r="AX6" i="5"/>
  <c r="AW6" i="5"/>
  <c r="AV6" i="5"/>
  <c r="AU6" i="5"/>
  <c r="AT6" i="5"/>
  <c r="AS6" i="5"/>
  <c r="AR6" i="5"/>
  <c r="AQ6" i="5"/>
  <c r="AP6" i="5"/>
  <c r="AO6" i="5"/>
  <c r="AN6" i="5"/>
  <c r="AM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CX5" i="5"/>
  <c r="CW5" i="5"/>
  <c r="CV5" i="5"/>
  <c r="CU5" i="5"/>
  <c r="CT5" i="5"/>
  <c r="CS5" i="5"/>
  <c r="CR5" i="5"/>
  <c r="CQ5" i="5"/>
  <c r="CP5" i="5"/>
  <c r="CO5" i="5"/>
  <c r="CN5" i="5"/>
  <c r="CM5" i="5"/>
  <c r="CL5" i="5"/>
  <c r="CK5" i="5"/>
  <c r="CJ5" i="5"/>
  <c r="CI5" i="5"/>
  <c r="CH5" i="5"/>
  <c r="CG5" i="5"/>
  <c r="CF5" i="5"/>
  <c r="CE5" i="5"/>
  <c r="CD5" i="5"/>
  <c r="CC5" i="5"/>
  <c r="CB5" i="5"/>
  <c r="CA5" i="5"/>
  <c r="BZ5" i="5"/>
  <c r="BY5" i="5"/>
  <c r="BX5" i="5"/>
  <c r="BW5" i="5"/>
  <c r="BV5" i="5"/>
  <c r="BU5" i="5"/>
  <c r="BP5" i="5"/>
  <c r="BO5" i="5"/>
  <c r="BN5" i="5"/>
  <c r="BM5" i="5"/>
  <c r="BL5" i="5"/>
  <c r="BK5" i="5"/>
  <c r="BJ5" i="5"/>
  <c r="BI5" i="5"/>
  <c r="BH5" i="5"/>
  <c r="BG5" i="5"/>
  <c r="BF5" i="5"/>
  <c r="BE5" i="5"/>
  <c r="BD5" i="5"/>
  <c r="BC5" i="5"/>
  <c r="BB5" i="5"/>
  <c r="BA5" i="5"/>
  <c r="AZ5" i="5"/>
  <c r="AY5" i="5"/>
  <c r="AX5" i="5"/>
  <c r="AW5" i="5"/>
  <c r="AV5" i="5"/>
  <c r="AU5" i="5"/>
  <c r="AT5" i="5"/>
  <c r="AS5" i="5"/>
  <c r="AR5" i="5"/>
  <c r="AQ5" i="5"/>
  <c r="AP5" i="5"/>
  <c r="AO5" i="5"/>
  <c r="AN5" i="5"/>
  <c r="AM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CX4" i="5"/>
  <c r="CW4" i="5"/>
  <c r="CV4" i="5"/>
  <c r="CU4" i="5"/>
  <c r="CT4" i="5"/>
  <c r="CS4" i="5"/>
  <c r="CR4" i="5"/>
  <c r="CQ4" i="5"/>
  <c r="CP4" i="5"/>
  <c r="CO4" i="5"/>
  <c r="CN4" i="5"/>
  <c r="CM4" i="5"/>
  <c r="CL4" i="5"/>
  <c r="CK4" i="5"/>
  <c r="CJ4" i="5"/>
  <c r="CI4" i="5"/>
  <c r="CH4" i="5"/>
  <c r="CG4" i="5"/>
  <c r="CF4" i="5"/>
  <c r="CE4" i="5"/>
  <c r="CD4" i="5"/>
  <c r="CC4" i="5"/>
  <c r="CB4" i="5"/>
  <c r="CA4" i="5"/>
  <c r="BZ4" i="5"/>
  <c r="BY4" i="5"/>
  <c r="BX4" i="5"/>
  <c r="BW4" i="5"/>
  <c r="BV4" i="5"/>
  <c r="BU4" i="5"/>
  <c r="BP4" i="5"/>
  <c r="BO4" i="5"/>
  <c r="BN4" i="5"/>
  <c r="BM4" i="5"/>
  <c r="BL4" i="5"/>
  <c r="BK4" i="5"/>
  <c r="BJ4" i="5"/>
  <c r="BI4" i="5"/>
  <c r="BH4" i="5"/>
  <c r="BG4" i="5"/>
  <c r="BF4" i="5"/>
  <c r="BE4" i="5"/>
  <c r="BD4" i="5"/>
  <c r="BC4" i="5"/>
  <c r="BB4" i="5"/>
  <c r="BA4" i="5"/>
  <c r="AZ4" i="5"/>
  <c r="AY4" i="5"/>
  <c r="AX4" i="5"/>
  <c r="AW4" i="5"/>
  <c r="AV4" i="5"/>
  <c r="AU4" i="5"/>
  <c r="AT4" i="5"/>
  <c r="AS4" i="5"/>
  <c r="AR4" i="5"/>
  <c r="AQ4" i="5"/>
  <c r="AP4" i="5"/>
  <c r="AO4" i="5"/>
  <c r="AN4" i="5"/>
  <c r="AM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AH78" i="9"/>
  <c r="AD78" i="9"/>
  <c r="AC78" i="9"/>
  <c r="AB78" i="9"/>
  <c r="AA78" i="9"/>
  <c r="Z78" i="9"/>
  <c r="Y78" i="9"/>
  <c r="X78" i="9"/>
  <c r="W78" i="9"/>
  <c r="V78" i="9"/>
  <c r="U78" i="9"/>
  <c r="T78" i="9"/>
  <c r="S78" i="9"/>
  <c r="R78" i="9"/>
  <c r="Q78" i="9"/>
  <c r="P78" i="9"/>
  <c r="O78" i="9"/>
  <c r="N78" i="9"/>
  <c r="M78" i="9"/>
  <c r="L78" i="9"/>
  <c r="K78" i="9"/>
  <c r="J78" i="9"/>
  <c r="I78" i="9"/>
  <c r="H78" i="9"/>
  <c r="G78" i="9"/>
  <c r="F78" i="9"/>
  <c r="E78" i="9"/>
  <c r="AH77" i="9"/>
  <c r="AD77" i="9"/>
  <c r="AC77" i="9"/>
  <c r="AB77" i="9"/>
  <c r="AA77" i="9"/>
  <c r="Z77" i="9"/>
  <c r="Y77" i="9"/>
  <c r="X77" i="9"/>
  <c r="W77" i="9"/>
  <c r="V77" i="9"/>
  <c r="U77" i="9"/>
  <c r="T77" i="9"/>
  <c r="S77" i="9"/>
  <c r="R77" i="9"/>
  <c r="Q77" i="9"/>
  <c r="P77" i="9"/>
  <c r="O77" i="9"/>
  <c r="N77" i="9"/>
  <c r="M77" i="9"/>
  <c r="L77" i="9"/>
  <c r="K77" i="9"/>
  <c r="J77" i="9"/>
  <c r="I77" i="9"/>
  <c r="H77" i="9"/>
  <c r="G77" i="9"/>
  <c r="F77" i="9"/>
  <c r="E77" i="9"/>
  <c r="AH76" i="9"/>
  <c r="AD76" i="9"/>
  <c r="AC76" i="9"/>
  <c r="AB76" i="9"/>
  <c r="AA76" i="9"/>
  <c r="Z76" i="9"/>
  <c r="Y76" i="9"/>
  <c r="X76" i="9"/>
  <c r="W76" i="9"/>
  <c r="V76" i="9"/>
  <c r="U76" i="9"/>
  <c r="T76" i="9"/>
  <c r="S76" i="9"/>
  <c r="R76" i="9"/>
  <c r="Q76" i="9"/>
  <c r="P76" i="9"/>
  <c r="O76" i="9"/>
  <c r="N76" i="9"/>
  <c r="M76" i="9"/>
  <c r="L76" i="9"/>
  <c r="K76" i="9"/>
  <c r="J76" i="9"/>
  <c r="I76" i="9"/>
  <c r="H76" i="9"/>
  <c r="G76" i="9"/>
  <c r="F76" i="9"/>
  <c r="E76" i="9"/>
  <c r="AH75" i="9"/>
  <c r="AD75" i="9"/>
  <c r="AC75" i="9"/>
  <c r="AB75" i="9"/>
  <c r="AA75" i="9"/>
  <c r="Z75" i="9"/>
  <c r="Y75" i="9"/>
  <c r="X75" i="9"/>
  <c r="W75" i="9"/>
  <c r="V75" i="9"/>
  <c r="U75" i="9"/>
  <c r="T75" i="9"/>
  <c r="S75" i="9"/>
  <c r="R75" i="9"/>
  <c r="Q75" i="9"/>
  <c r="P75" i="9"/>
  <c r="O75" i="9"/>
  <c r="N75" i="9"/>
  <c r="M75" i="9"/>
  <c r="L75" i="9"/>
  <c r="K75" i="9"/>
  <c r="J75" i="9"/>
  <c r="I75" i="9"/>
  <c r="H75" i="9"/>
  <c r="G75" i="9"/>
  <c r="F75" i="9"/>
  <c r="E75" i="9"/>
  <c r="AH74" i="9"/>
  <c r="AD74" i="9"/>
  <c r="AC74" i="9"/>
  <c r="AB74" i="9"/>
  <c r="AA74" i="9"/>
  <c r="Z74" i="9"/>
  <c r="Y74" i="9"/>
  <c r="X74" i="9"/>
  <c r="W74" i="9"/>
  <c r="V74" i="9"/>
  <c r="U74" i="9"/>
  <c r="T74" i="9"/>
  <c r="S74" i="9"/>
  <c r="R74" i="9"/>
  <c r="Q74" i="9"/>
  <c r="P74" i="9"/>
  <c r="O74" i="9"/>
  <c r="N74" i="9"/>
  <c r="M74" i="9"/>
  <c r="L74" i="9"/>
  <c r="K74" i="9"/>
  <c r="J74" i="9"/>
  <c r="I74" i="9"/>
  <c r="H74" i="9"/>
  <c r="G74" i="9"/>
  <c r="F74" i="9"/>
  <c r="E74" i="9"/>
  <c r="AH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AH71" i="9"/>
  <c r="AD71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AH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AH69" i="9"/>
  <c r="AD69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AH67" i="9"/>
  <c r="AD67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AH66" i="9"/>
  <c r="AD66" i="9"/>
  <c r="AC66" i="9"/>
  <c r="AB66" i="9"/>
  <c r="AA66" i="9"/>
  <c r="Z66" i="9"/>
  <c r="Y66" i="9"/>
  <c r="X66" i="9"/>
  <c r="W66" i="9"/>
  <c r="V66" i="9"/>
  <c r="U66" i="9"/>
  <c r="T66" i="9"/>
  <c r="S66" i="9"/>
  <c r="R66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AH65" i="9"/>
  <c r="AD65" i="9"/>
  <c r="AC65" i="9"/>
  <c r="AB65" i="9"/>
  <c r="AA65" i="9"/>
  <c r="Z65" i="9"/>
  <c r="Y65" i="9"/>
  <c r="X65" i="9"/>
  <c r="W65" i="9"/>
  <c r="V65" i="9"/>
  <c r="U65" i="9"/>
  <c r="T65" i="9"/>
  <c r="S65" i="9"/>
  <c r="R65" i="9"/>
  <c r="Q65" i="9"/>
  <c r="P65" i="9"/>
  <c r="O65" i="9"/>
  <c r="N65" i="9"/>
  <c r="M65" i="9"/>
  <c r="L65" i="9"/>
  <c r="K65" i="9"/>
  <c r="J65" i="9"/>
  <c r="I65" i="9"/>
  <c r="H65" i="9"/>
  <c r="G65" i="9"/>
  <c r="F65" i="9"/>
  <c r="E65" i="9"/>
  <c r="AH64" i="9"/>
  <c r="AD64" i="9"/>
  <c r="AC64" i="9"/>
  <c r="AB64" i="9"/>
  <c r="AA64" i="9"/>
  <c r="Z64" i="9"/>
  <c r="Y64" i="9"/>
  <c r="X64" i="9"/>
  <c r="W64" i="9"/>
  <c r="V64" i="9"/>
  <c r="U64" i="9"/>
  <c r="T64" i="9"/>
  <c r="S64" i="9"/>
  <c r="R64" i="9"/>
  <c r="Q64" i="9"/>
  <c r="P64" i="9"/>
  <c r="O64" i="9"/>
  <c r="N64" i="9"/>
  <c r="M64" i="9"/>
  <c r="L64" i="9"/>
  <c r="K64" i="9"/>
  <c r="J64" i="9"/>
  <c r="I64" i="9"/>
  <c r="H64" i="9"/>
  <c r="G64" i="9"/>
  <c r="F64" i="9"/>
  <c r="E64" i="9"/>
  <c r="AH61" i="9"/>
  <c r="AD61" i="9"/>
  <c r="AC61" i="9"/>
  <c r="AB61" i="9"/>
  <c r="AA61" i="9"/>
  <c r="Z61" i="9"/>
  <c r="Y61" i="9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AH60" i="9"/>
  <c r="AD60" i="9"/>
  <c r="AC60" i="9"/>
  <c r="AB60" i="9"/>
  <c r="AA60" i="9"/>
  <c r="Z60" i="9"/>
  <c r="Y60" i="9"/>
  <c r="X60" i="9"/>
  <c r="W60" i="9"/>
  <c r="V60" i="9"/>
  <c r="U60" i="9"/>
  <c r="T60" i="9"/>
  <c r="S60" i="9"/>
  <c r="R60" i="9"/>
  <c r="Q60" i="9"/>
  <c r="P60" i="9"/>
  <c r="O60" i="9"/>
  <c r="N60" i="9"/>
  <c r="M60" i="9"/>
  <c r="L60" i="9"/>
  <c r="K60" i="9"/>
  <c r="J60" i="9"/>
  <c r="I60" i="9"/>
  <c r="H60" i="9"/>
  <c r="G60" i="9"/>
  <c r="F60" i="9"/>
  <c r="E60" i="9"/>
  <c r="AH59" i="9"/>
  <c r="AD59" i="9"/>
  <c r="AC59" i="9"/>
  <c r="AB59" i="9"/>
  <c r="AA59" i="9"/>
  <c r="Z59" i="9"/>
  <c r="Y59" i="9"/>
  <c r="X59" i="9"/>
  <c r="W59" i="9"/>
  <c r="V59" i="9"/>
  <c r="U59" i="9"/>
  <c r="T59" i="9"/>
  <c r="S59" i="9"/>
  <c r="R59" i="9"/>
  <c r="Q59" i="9"/>
  <c r="P59" i="9"/>
  <c r="O59" i="9"/>
  <c r="N59" i="9"/>
  <c r="M59" i="9"/>
  <c r="L59" i="9"/>
  <c r="K59" i="9"/>
  <c r="J59" i="9"/>
  <c r="I59" i="9"/>
  <c r="H59" i="9"/>
  <c r="G59" i="9"/>
  <c r="F59" i="9"/>
  <c r="E59" i="9"/>
  <c r="AH58" i="9"/>
  <c r="AD58" i="9"/>
  <c r="AC58" i="9"/>
  <c r="AB58" i="9"/>
  <c r="AA58" i="9"/>
  <c r="Z58" i="9"/>
  <c r="Y58" i="9"/>
  <c r="X58" i="9"/>
  <c r="W58" i="9"/>
  <c r="V58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AH57" i="9"/>
  <c r="AD57" i="9"/>
  <c r="AC57" i="9"/>
  <c r="AB57" i="9"/>
  <c r="AA57" i="9"/>
  <c r="Z57" i="9"/>
  <c r="Y57" i="9"/>
  <c r="X57" i="9"/>
  <c r="W57" i="9"/>
  <c r="V57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AH56" i="9"/>
  <c r="AD56" i="9"/>
  <c r="AC56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AH55" i="9"/>
  <c r="AD55" i="9"/>
  <c r="AC55" i="9"/>
  <c r="AB55" i="9"/>
  <c r="AA55" i="9"/>
  <c r="Z55" i="9"/>
  <c r="Y55" i="9"/>
  <c r="X55" i="9"/>
  <c r="W55" i="9"/>
  <c r="V55" i="9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AH54" i="9"/>
  <c r="AD54" i="9"/>
  <c r="AC54" i="9"/>
  <c r="AB54" i="9"/>
  <c r="AA54" i="9"/>
  <c r="Z54" i="9"/>
  <c r="Y54" i="9"/>
  <c r="X54" i="9"/>
  <c r="W54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AH53" i="9"/>
  <c r="AD53" i="9"/>
  <c r="AC53" i="9"/>
  <c r="AB53" i="9"/>
  <c r="AA53" i="9"/>
  <c r="Z53" i="9"/>
  <c r="Y53" i="9"/>
  <c r="X53" i="9"/>
  <c r="W53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AH52" i="9"/>
  <c r="AD52" i="9"/>
  <c r="AC52" i="9"/>
  <c r="AB52" i="9"/>
  <c r="AA52" i="9"/>
  <c r="Z52" i="9"/>
  <c r="Y52" i="9"/>
  <c r="X52" i="9"/>
  <c r="W52" i="9"/>
  <c r="V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AH51" i="9"/>
  <c r="AD51" i="9"/>
  <c r="AC51" i="9"/>
  <c r="AB51" i="9"/>
  <c r="AA51" i="9"/>
  <c r="Z51" i="9"/>
  <c r="Y51" i="9"/>
  <c r="X51" i="9"/>
  <c r="W51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AH50" i="9"/>
  <c r="AD50" i="9"/>
  <c r="AC50" i="9"/>
  <c r="AB50" i="9"/>
  <c r="AA50" i="9"/>
  <c r="Z50" i="9"/>
  <c r="Y50" i="9"/>
  <c r="X50" i="9"/>
  <c r="W50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AH49" i="9"/>
  <c r="AD49" i="9"/>
  <c r="AC49" i="9"/>
  <c r="AB49" i="9"/>
  <c r="AA49" i="9"/>
  <c r="Z49" i="9"/>
  <c r="Y49" i="9"/>
  <c r="X49" i="9"/>
  <c r="W49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AH48" i="9"/>
  <c r="AD48" i="9"/>
  <c r="AC48" i="9"/>
  <c r="AB48" i="9"/>
  <c r="AA48" i="9"/>
  <c r="Z48" i="9"/>
  <c r="Y48" i="9"/>
  <c r="X48" i="9"/>
  <c r="W48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AH47" i="9"/>
  <c r="AD47" i="9"/>
  <c r="AC47" i="9"/>
  <c r="AB47" i="9"/>
  <c r="AA47" i="9"/>
  <c r="Z47" i="9"/>
  <c r="Y47" i="9"/>
  <c r="X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AH46" i="9"/>
  <c r="AD46" i="9"/>
  <c r="AC46" i="9"/>
  <c r="AB46" i="9"/>
  <c r="AA46" i="9"/>
  <c r="Z46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AH45" i="9"/>
  <c r="AD45" i="9"/>
  <c r="AC45" i="9"/>
  <c r="AB45" i="9"/>
  <c r="AA45" i="9"/>
  <c r="Z45" i="9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AH44" i="9"/>
  <c r="AD44" i="9"/>
  <c r="AC44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AH43" i="9"/>
  <c r="AD43" i="9"/>
  <c r="AC43" i="9"/>
  <c r="AB43" i="9"/>
  <c r="AA43" i="9"/>
  <c r="Z43" i="9"/>
  <c r="Y43" i="9"/>
  <c r="X43" i="9"/>
  <c r="W43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AH42" i="9"/>
  <c r="AD42" i="9"/>
  <c r="AC42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AH41" i="9"/>
  <c r="AD41" i="9"/>
  <c r="AC41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AH40" i="9"/>
  <c r="AD40" i="9"/>
  <c r="AC40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AH39" i="9"/>
  <c r="AD39" i="9"/>
  <c r="AC39" i="9"/>
  <c r="AB39" i="9"/>
  <c r="AA39" i="9"/>
  <c r="Z39" i="9"/>
  <c r="Y39" i="9"/>
  <c r="X39" i="9"/>
  <c r="W39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AH38" i="9"/>
  <c r="AD38" i="9"/>
  <c r="AC38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AH37" i="9"/>
  <c r="AD37" i="9"/>
  <c r="AC37" i="9"/>
  <c r="AB37" i="9"/>
  <c r="AA37" i="9"/>
  <c r="Z37" i="9"/>
  <c r="Y37" i="9"/>
  <c r="X37" i="9"/>
  <c r="W37" i="9"/>
  <c r="V37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AH36" i="9"/>
  <c r="AD36" i="9"/>
  <c r="AC36" i="9"/>
  <c r="AB36" i="9"/>
  <c r="AA36" i="9"/>
  <c r="Z36" i="9"/>
  <c r="Y36" i="9"/>
  <c r="X36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AH35" i="9"/>
  <c r="AD35" i="9"/>
  <c r="AC35" i="9"/>
  <c r="AB35" i="9"/>
  <c r="AA35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AH34" i="9"/>
  <c r="AD34" i="9"/>
  <c r="AC34" i="9"/>
  <c r="AB34" i="9"/>
  <c r="AA34" i="9"/>
  <c r="Z34" i="9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AH33" i="9"/>
  <c r="AD33" i="9"/>
  <c r="AC33" i="9"/>
  <c r="AB33" i="9"/>
  <c r="AA33" i="9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AH32" i="9"/>
  <c r="AD32" i="9"/>
  <c r="AC32" i="9"/>
  <c r="AB32" i="9"/>
  <c r="AA32" i="9"/>
  <c r="Z32" i="9"/>
  <c r="Y32" i="9"/>
  <c r="X32" i="9"/>
  <c r="W32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AH31" i="9"/>
  <c r="AD31" i="9"/>
  <c r="AC31" i="9"/>
  <c r="AB31" i="9"/>
  <c r="AA31" i="9"/>
  <c r="Z31" i="9"/>
  <c r="Y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AH30" i="9"/>
  <c r="AD30" i="9"/>
  <c r="AC30" i="9"/>
  <c r="AB30" i="9"/>
  <c r="AA30" i="9"/>
  <c r="Z30" i="9"/>
  <c r="Y30" i="9"/>
  <c r="X30" i="9"/>
  <c r="W30" i="9"/>
  <c r="V30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AH29" i="9"/>
  <c r="AD29" i="9"/>
  <c r="AC29" i="9"/>
  <c r="AB29" i="9"/>
  <c r="AA29" i="9"/>
  <c r="Z29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AH28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AH27" i="9"/>
  <c r="AD27" i="9"/>
  <c r="AC27" i="9"/>
  <c r="AB27" i="9"/>
  <c r="AA27" i="9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AH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AH25" i="9"/>
  <c r="AD25" i="9"/>
  <c r="AC25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AH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AH23" i="9"/>
  <c r="AD23" i="9"/>
  <c r="AC23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AH22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AH21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AH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AH19" i="9"/>
  <c r="AD19" i="9"/>
  <c r="AC19" i="9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AH18" i="9"/>
  <c r="AD18" i="9"/>
  <c r="AC18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AH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AH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AH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AH14" i="9"/>
  <c r="AD14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AH13" i="9"/>
  <c r="AD13" i="9"/>
  <c r="AC13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AH12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AH11" i="9"/>
  <c r="AD11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AH10" i="9"/>
  <c r="AD10" i="9"/>
  <c r="AC10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AH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AH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AH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AH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AH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AH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AH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CW61" i="8"/>
  <c r="CV61" i="8"/>
  <c r="CU61" i="8"/>
  <c r="CT61" i="8"/>
  <c r="CS61" i="8"/>
  <c r="CR61" i="8"/>
  <c r="CQ61" i="8"/>
  <c r="CP61" i="8"/>
  <c r="CO61" i="8"/>
  <c r="CN61" i="8"/>
  <c r="CM61" i="8"/>
  <c r="CL61" i="8"/>
  <c r="CK61" i="8"/>
  <c r="CJ61" i="8"/>
  <c r="CI61" i="8"/>
  <c r="CH61" i="8"/>
  <c r="CG61" i="8"/>
  <c r="CF61" i="8"/>
  <c r="CE61" i="8"/>
  <c r="CD61" i="8"/>
  <c r="CC61" i="8"/>
  <c r="CB61" i="8"/>
  <c r="CA61" i="8"/>
  <c r="BZ61" i="8"/>
  <c r="BY61" i="8"/>
  <c r="BX61" i="8"/>
  <c r="BW61" i="8"/>
  <c r="BV61" i="8"/>
  <c r="BU61" i="8"/>
  <c r="BT61" i="8"/>
  <c r="BP61" i="8"/>
  <c r="BO61" i="8"/>
  <c r="BN61" i="8"/>
  <c r="BM61" i="8"/>
  <c r="BL61" i="8"/>
  <c r="BK61" i="8"/>
  <c r="BJ61" i="8"/>
  <c r="BI61" i="8"/>
  <c r="BH61" i="8"/>
  <c r="BG61" i="8"/>
  <c r="BF61" i="8"/>
  <c r="BE61" i="8"/>
  <c r="BD61" i="8"/>
  <c r="BC61" i="8"/>
  <c r="BB61" i="8"/>
  <c r="BA61" i="8"/>
  <c r="AZ61" i="8"/>
  <c r="AY61" i="8"/>
  <c r="AX61" i="8"/>
  <c r="AW61" i="8"/>
  <c r="AV61" i="8"/>
  <c r="AU61" i="8"/>
  <c r="AT61" i="8"/>
  <c r="AS61" i="8"/>
  <c r="AR61" i="8"/>
  <c r="AQ61" i="8"/>
  <c r="AP61" i="8"/>
  <c r="AO61" i="8"/>
  <c r="AN61" i="8"/>
  <c r="AM61" i="8"/>
  <c r="AJ61" i="8"/>
  <c r="AI61" i="8"/>
  <c r="AH61" i="8"/>
  <c r="AG61" i="8"/>
  <c r="AF61" i="8"/>
  <c r="AE61" i="8"/>
  <c r="AD61" i="8"/>
  <c r="AC61" i="8"/>
  <c r="AB61" i="8"/>
  <c r="AA61" i="8"/>
  <c r="Z61" i="8"/>
  <c r="Y61" i="8"/>
  <c r="X61" i="8"/>
  <c r="W61" i="8"/>
  <c r="V61" i="8"/>
  <c r="U61" i="8"/>
  <c r="T61" i="8"/>
  <c r="S61" i="8"/>
  <c r="R61" i="8"/>
  <c r="Q61" i="8"/>
  <c r="P61" i="8"/>
  <c r="O61" i="8"/>
  <c r="N61" i="8"/>
  <c r="M61" i="8"/>
  <c r="L61" i="8"/>
  <c r="K61" i="8"/>
  <c r="J61" i="8"/>
  <c r="I61" i="8"/>
  <c r="H61" i="8"/>
  <c r="G61" i="8"/>
  <c r="CW60" i="8"/>
  <c r="CV60" i="8"/>
  <c r="CU60" i="8"/>
  <c r="CT60" i="8"/>
  <c r="CS60" i="8"/>
  <c r="CR60" i="8"/>
  <c r="CQ60" i="8"/>
  <c r="CP60" i="8"/>
  <c r="CO60" i="8"/>
  <c r="CN60" i="8"/>
  <c r="CM60" i="8"/>
  <c r="CL60" i="8"/>
  <c r="CK60" i="8"/>
  <c r="CJ60" i="8"/>
  <c r="CI60" i="8"/>
  <c r="CH60" i="8"/>
  <c r="CG60" i="8"/>
  <c r="CF60" i="8"/>
  <c r="CE60" i="8"/>
  <c r="CD60" i="8"/>
  <c r="CC60" i="8"/>
  <c r="CB60" i="8"/>
  <c r="CA60" i="8"/>
  <c r="BZ60" i="8"/>
  <c r="BY60" i="8"/>
  <c r="BX60" i="8"/>
  <c r="BW60" i="8"/>
  <c r="BV60" i="8"/>
  <c r="BU60" i="8"/>
  <c r="BT60" i="8"/>
  <c r="BP60" i="8"/>
  <c r="BO60" i="8"/>
  <c r="BN60" i="8"/>
  <c r="BM60" i="8"/>
  <c r="BL60" i="8"/>
  <c r="BK60" i="8"/>
  <c r="BJ60" i="8"/>
  <c r="BI60" i="8"/>
  <c r="BH60" i="8"/>
  <c r="BG60" i="8"/>
  <c r="BF60" i="8"/>
  <c r="BE60" i="8"/>
  <c r="BD60" i="8"/>
  <c r="BC60" i="8"/>
  <c r="BB60" i="8"/>
  <c r="BA60" i="8"/>
  <c r="AZ60" i="8"/>
  <c r="AY60" i="8"/>
  <c r="AX60" i="8"/>
  <c r="AW60" i="8"/>
  <c r="AV60" i="8"/>
  <c r="AU60" i="8"/>
  <c r="AT60" i="8"/>
  <c r="AS60" i="8"/>
  <c r="AR60" i="8"/>
  <c r="AQ60" i="8"/>
  <c r="AP60" i="8"/>
  <c r="AO60" i="8"/>
  <c r="AN60" i="8"/>
  <c r="AM60" i="8"/>
  <c r="AJ60" i="8"/>
  <c r="AI60" i="8"/>
  <c r="AH60" i="8"/>
  <c r="AG60" i="8"/>
  <c r="AF60" i="8"/>
  <c r="AE60" i="8"/>
  <c r="AD60" i="8"/>
  <c r="AC60" i="8"/>
  <c r="AB60" i="8"/>
  <c r="AA60" i="8"/>
  <c r="Z60" i="8"/>
  <c r="Y60" i="8"/>
  <c r="X60" i="8"/>
  <c r="W60" i="8"/>
  <c r="V60" i="8"/>
  <c r="U60" i="8"/>
  <c r="T60" i="8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CW59" i="8"/>
  <c r="CV59" i="8"/>
  <c r="CU59" i="8"/>
  <c r="CT59" i="8"/>
  <c r="CS59" i="8"/>
  <c r="CR59" i="8"/>
  <c r="CQ59" i="8"/>
  <c r="CP59" i="8"/>
  <c r="CO59" i="8"/>
  <c r="CN59" i="8"/>
  <c r="CM59" i="8"/>
  <c r="CL59" i="8"/>
  <c r="CK59" i="8"/>
  <c r="CJ59" i="8"/>
  <c r="CI59" i="8"/>
  <c r="CH59" i="8"/>
  <c r="CG59" i="8"/>
  <c r="CF59" i="8"/>
  <c r="CE59" i="8"/>
  <c r="CD59" i="8"/>
  <c r="CC59" i="8"/>
  <c r="CB59" i="8"/>
  <c r="CA59" i="8"/>
  <c r="BZ59" i="8"/>
  <c r="BY59" i="8"/>
  <c r="BX59" i="8"/>
  <c r="BW59" i="8"/>
  <c r="BV59" i="8"/>
  <c r="BU59" i="8"/>
  <c r="BT59" i="8"/>
  <c r="BP59" i="8"/>
  <c r="BO59" i="8"/>
  <c r="BN59" i="8"/>
  <c r="BM59" i="8"/>
  <c r="BL59" i="8"/>
  <c r="BK59" i="8"/>
  <c r="BJ59" i="8"/>
  <c r="BI59" i="8"/>
  <c r="BH59" i="8"/>
  <c r="BG59" i="8"/>
  <c r="BF59" i="8"/>
  <c r="BE59" i="8"/>
  <c r="BD59" i="8"/>
  <c r="BC59" i="8"/>
  <c r="BB59" i="8"/>
  <c r="BA59" i="8"/>
  <c r="AZ59" i="8"/>
  <c r="AY59" i="8"/>
  <c r="AX59" i="8"/>
  <c r="AW59" i="8"/>
  <c r="AV59" i="8"/>
  <c r="AU59" i="8"/>
  <c r="AT59" i="8"/>
  <c r="AS59" i="8"/>
  <c r="AR59" i="8"/>
  <c r="AQ59" i="8"/>
  <c r="AP59" i="8"/>
  <c r="AO59" i="8"/>
  <c r="AN59" i="8"/>
  <c r="AM59" i="8"/>
  <c r="AJ59" i="8"/>
  <c r="AI59" i="8"/>
  <c r="AH59" i="8"/>
  <c r="AG59" i="8"/>
  <c r="AF59" i="8"/>
  <c r="AE59" i="8"/>
  <c r="AD59" i="8"/>
  <c r="AC59" i="8"/>
  <c r="AB59" i="8"/>
  <c r="AA59" i="8"/>
  <c r="Z59" i="8"/>
  <c r="Y59" i="8"/>
  <c r="X59" i="8"/>
  <c r="W59" i="8"/>
  <c r="V59" i="8"/>
  <c r="U59" i="8"/>
  <c r="T59" i="8"/>
  <c r="S59" i="8"/>
  <c r="R59" i="8"/>
  <c r="Q59" i="8"/>
  <c r="P59" i="8"/>
  <c r="O59" i="8"/>
  <c r="N59" i="8"/>
  <c r="M59" i="8"/>
  <c r="L59" i="8"/>
  <c r="K59" i="8"/>
  <c r="J59" i="8"/>
  <c r="I59" i="8"/>
  <c r="H59" i="8"/>
  <c r="G59" i="8"/>
  <c r="CW58" i="8"/>
  <c r="CV58" i="8"/>
  <c r="CU58" i="8"/>
  <c r="CT58" i="8"/>
  <c r="CS58" i="8"/>
  <c r="CR58" i="8"/>
  <c r="CQ58" i="8"/>
  <c r="CP58" i="8"/>
  <c r="CO58" i="8"/>
  <c r="CN58" i="8"/>
  <c r="CM58" i="8"/>
  <c r="CL58" i="8"/>
  <c r="CK58" i="8"/>
  <c r="CJ58" i="8"/>
  <c r="CI58" i="8"/>
  <c r="CH58" i="8"/>
  <c r="CG58" i="8"/>
  <c r="CF58" i="8"/>
  <c r="CE58" i="8"/>
  <c r="CD58" i="8"/>
  <c r="CC58" i="8"/>
  <c r="CB58" i="8"/>
  <c r="CA58" i="8"/>
  <c r="BZ58" i="8"/>
  <c r="BY58" i="8"/>
  <c r="BX58" i="8"/>
  <c r="BW58" i="8"/>
  <c r="BV58" i="8"/>
  <c r="BU58" i="8"/>
  <c r="BT58" i="8"/>
  <c r="BP58" i="8"/>
  <c r="BO58" i="8"/>
  <c r="BN58" i="8"/>
  <c r="BM58" i="8"/>
  <c r="BL58" i="8"/>
  <c r="BK58" i="8"/>
  <c r="BJ58" i="8"/>
  <c r="BI58" i="8"/>
  <c r="BH58" i="8"/>
  <c r="BG58" i="8"/>
  <c r="BF58" i="8"/>
  <c r="BE58" i="8"/>
  <c r="BD58" i="8"/>
  <c r="BC58" i="8"/>
  <c r="BB58" i="8"/>
  <c r="BA58" i="8"/>
  <c r="AZ58" i="8"/>
  <c r="AY58" i="8"/>
  <c r="AX58" i="8"/>
  <c r="AW58" i="8"/>
  <c r="AV58" i="8"/>
  <c r="AU58" i="8"/>
  <c r="AT58" i="8"/>
  <c r="AS58" i="8"/>
  <c r="AR58" i="8"/>
  <c r="AQ58" i="8"/>
  <c r="AP58" i="8"/>
  <c r="AO58" i="8"/>
  <c r="AN58" i="8"/>
  <c r="AM58" i="8"/>
  <c r="AJ58" i="8"/>
  <c r="AI58" i="8"/>
  <c r="AH58" i="8"/>
  <c r="AG58" i="8"/>
  <c r="AF58" i="8"/>
  <c r="AE58" i="8"/>
  <c r="AD58" i="8"/>
  <c r="AC58" i="8"/>
  <c r="AB58" i="8"/>
  <c r="AA58" i="8"/>
  <c r="Z58" i="8"/>
  <c r="Y58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CW57" i="8"/>
  <c r="CV57" i="8"/>
  <c r="CU57" i="8"/>
  <c r="CT57" i="8"/>
  <c r="CS57" i="8"/>
  <c r="CR57" i="8"/>
  <c r="CQ57" i="8"/>
  <c r="CP57" i="8"/>
  <c r="CO57" i="8"/>
  <c r="CN57" i="8"/>
  <c r="CM57" i="8"/>
  <c r="CL57" i="8"/>
  <c r="CK57" i="8"/>
  <c r="CJ57" i="8"/>
  <c r="CI57" i="8"/>
  <c r="CH57" i="8"/>
  <c r="CG57" i="8"/>
  <c r="CF57" i="8"/>
  <c r="CE57" i="8"/>
  <c r="CD57" i="8"/>
  <c r="CC57" i="8"/>
  <c r="CB57" i="8"/>
  <c r="CA57" i="8"/>
  <c r="BZ57" i="8"/>
  <c r="BY57" i="8"/>
  <c r="BX57" i="8"/>
  <c r="BW57" i="8"/>
  <c r="BV57" i="8"/>
  <c r="BU57" i="8"/>
  <c r="BT57" i="8"/>
  <c r="BP57" i="8"/>
  <c r="BO57" i="8"/>
  <c r="BN57" i="8"/>
  <c r="BM57" i="8"/>
  <c r="BL57" i="8"/>
  <c r="BK57" i="8"/>
  <c r="BJ57" i="8"/>
  <c r="BI57" i="8"/>
  <c r="BH57" i="8"/>
  <c r="BG57" i="8"/>
  <c r="BF57" i="8"/>
  <c r="BE57" i="8"/>
  <c r="BD57" i="8"/>
  <c r="BC57" i="8"/>
  <c r="BB57" i="8"/>
  <c r="BA57" i="8"/>
  <c r="AZ57" i="8"/>
  <c r="AY57" i="8"/>
  <c r="AX57" i="8"/>
  <c r="AW57" i="8"/>
  <c r="AV57" i="8"/>
  <c r="AU57" i="8"/>
  <c r="AT57" i="8"/>
  <c r="AS57" i="8"/>
  <c r="AR57" i="8"/>
  <c r="AQ57" i="8"/>
  <c r="AP57" i="8"/>
  <c r="AO57" i="8"/>
  <c r="AN57" i="8"/>
  <c r="AM57" i="8"/>
  <c r="AJ57" i="8"/>
  <c r="AI57" i="8"/>
  <c r="AH57" i="8"/>
  <c r="AG57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CW56" i="8"/>
  <c r="CV56" i="8"/>
  <c r="CU56" i="8"/>
  <c r="CT56" i="8"/>
  <c r="CS56" i="8"/>
  <c r="CR56" i="8"/>
  <c r="CQ56" i="8"/>
  <c r="CP56" i="8"/>
  <c r="CO56" i="8"/>
  <c r="CN56" i="8"/>
  <c r="CM56" i="8"/>
  <c r="CL56" i="8"/>
  <c r="CK56" i="8"/>
  <c r="CJ56" i="8"/>
  <c r="CI56" i="8"/>
  <c r="CH56" i="8"/>
  <c r="CG56" i="8"/>
  <c r="CF56" i="8"/>
  <c r="CE56" i="8"/>
  <c r="CD56" i="8"/>
  <c r="CC56" i="8"/>
  <c r="CB56" i="8"/>
  <c r="CA56" i="8"/>
  <c r="BZ56" i="8"/>
  <c r="BY56" i="8"/>
  <c r="BX56" i="8"/>
  <c r="BW56" i="8"/>
  <c r="BV56" i="8"/>
  <c r="BU56" i="8"/>
  <c r="BT56" i="8"/>
  <c r="BP56" i="8"/>
  <c r="BO56" i="8"/>
  <c r="BN56" i="8"/>
  <c r="BM56" i="8"/>
  <c r="BL56" i="8"/>
  <c r="BK56" i="8"/>
  <c r="BJ56" i="8"/>
  <c r="BI56" i="8"/>
  <c r="BH56" i="8"/>
  <c r="BG56" i="8"/>
  <c r="BF56" i="8"/>
  <c r="BE56" i="8"/>
  <c r="BD56" i="8"/>
  <c r="BC56" i="8"/>
  <c r="BB56" i="8"/>
  <c r="BA56" i="8"/>
  <c r="AZ56" i="8"/>
  <c r="AY56" i="8"/>
  <c r="AX56" i="8"/>
  <c r="AW56" i="8"/>
  <c r="AV56" i="8"/>
  <c r="AU56" i="8"/>
  <c r="AT56" i="8"/>
  <c r="AS56" i="8"/>
  <c r="AR56" i="8"/>
  <c r="AQ56" i="8"/>
  <c r="AP56" i="8"/>
  <c r="AO56" i="8"/>
  <c r="AN56" i="8"/>
  <c r="AM56" i="8"/>
  <c r="AJ56" i="8"/>
  <c r="AI56" i="8"/>
  <c r="AH56" i="8"/>
  <c r="AG56" i="8"/>
  <c r="AF56" i="8"/>
  <c r="AE56" i="8"/>
  <c r="AD56" i="8"/>
  <c r="AC56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CW55" i="8"/>
  <c r="CV55" i="8"/>
  <c r="CU55" i="8"/>
  <c r="CT55" i="8"/>
  <c r="CS55" i="8"/>
  <c r="CR55" i="8"/>
  <c r="CQ55" i="8"/>
  <c r="CP55" i="8"/>
  <c r="CO55" i="8"/>
  <c r="CN55" i="8"/>
  <c r="CM55" i="8"/>
  <c r="CL55" i="8"/>
  <c r="CK55" i="8"/>
  <c r="CJ55" i="8"/>
  <c r="CI55" i="8"/>
  <c r="CH55" i="8"/>
  <c r="CG55" i="8"/>
  <c r="CF55" i="8"/>
  <c r="CE55" i="8"/>
  <c r="CD55" i="8"/>
  <c r="CC55" i="8"/>
  <c r="CB55" i="8"/>
  <c r="CA55" i="8"/>
  <c r="BZ55" i="8"/>
  <c r="BY55" i="8"/>
  <c r="BX55" i="8"/>
  <c r="BW55" i="8"/>
  <c r="BV55" i="8"/>
  <c r="BU55" i="8"/>
  <c r="BT55" i="8"/>
  <c r="BP55" i="8"/>
  <c r="BO55" i="8"/>
  <c r="BN55" i="8"/>
  <c r="BM55" i="8"/>
  <c r="BL55" i="8"/>
  <c r="BK55" i="8"/>
  <c r="BJ55" i="8"/>
  <c r="BI55" i="8"/>
  <c r="BH55" i="8"/>
  <c r="BG55" i="8"/>
  <c r="BF55" i="8"/>
  <c r="BE55" i="8"/>
  <c r="BD55" i="8"/>
  <c r="BC55" i="8"/>
  <c r="BB55" i="8"/>
  <c r="BA55" i="8"/>
  <c r="AZ55" i="8"/>
  <c r="AY55" i="8"/>
  <c r="AX55" i="8"/>
  <c r="AW55" i="8"/>
  <c r="AV55" i="8"/>
  <c r="AU55" i="8"/>
  <c r="AT55" i="8"/>
  <c r="AS55" i="8"/>
  <c r="AR55" i="8"/>
  <c r="AQ55" i="8"/>
  <c r="AP55" i="8"/>
  <c r="AO55" i="8"/>
  <c r="AN55" i="8"/>
  <c r="AM55" i="8"/>
  <c r="AJ55" i="8"/>
  <c r="AI55" i="8"/>
  <c r="AH55" i="8"/>
  <c r="AG55" i="8"/>
  <c r="AF55" i="8"/>
  <c r="AE55" i="8"/>
  <c r="AD55" i="8"/>
  <c r="AC55" i="8"/>
  <c r="AB55" i="8"/>
  <c r="AA55" i="8"/>
  <c r="Z55" i="8"/>
  <c r="Y55" i="8"/>
  <c r="X55" i="8"/>
  <c r="W55" i="8"/>
  <c r="V55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CW54" i="8"/>
  <c r="CV54" i="8"/>
  <c r="CU54" i="8"/>
  <c r="CT54" i="8"/>
  <c r="CS54" i="8"/>
  <c r="CR54" i="8"/>
  <c r="CQ54" i="8"/>
  <c r="CP54" i="8"/>
  <c r="CO54" i="8"/>
  <c r="CN54" i="8"/>
  <c r="CM54" i="8"/>
  <c r="CL54" i="8"/>
  <c r="CK54" i="8"/>
  <c r="CJ54" i="8"/>
  <c r="CI54" i="8"/>
  <c r="CH54" i="8"/>
  <c r="CG54" i="8"/>
  <c r="CF54" i="8"/>
  <c r="CE54" i="8"/>
  <c r="CD54" i="8"/>
  <c r="CC54" i="8"/>
  <c r="CB54" i="8"/>
  <c r="CA54" i="8"/>
  <c r="BZ54" i="8"/>
  <c r="BY54" i="8"/>
  <c r="BX54" i="8"/>
  <c r="BW54" i="8"/>
  <c r="BV54" i="8"/>
  <c r="BU54" i="8"/>
  <c r="BT54" i="8"/>
  <c r="BP54" i="8"/>
  <c r="BO54" i="8"/>
  <c r="BN54" i="8"/>
  <c r="BM54" i="8"/>
  <c r="BL54" i="8"/>
  <c r="BK54" i="8"/>
  <c r="BJ54" i="8"/>
  <c r="BI54" i="8"/>
  <c r="BH54" i="8"/>
  <c r="BG54" i="8"/>
  <c r="BF54" i="8"/>
  <c r="BE54" i="8"/>
  <c r="BD54" i="8"/>
  <c r="BC54" i="8"/>
  <c r="BB54" i="8"/>
  <c r="BA54" i="8"/>
  <c r="AZ54" i="8"/>
  <c r="AY54" i="8"/>
  <c r="AX54" i="8"/>
  <c r="AW54" i="8"/>
  <c r="AV54" i="8"/>
  <c r="AU54" i="8"/>
  <c r="AT54" i="8"/>
  <c r="AS54" i="8"/>
  <c r="AR54" i="8"/>
  <c r="AQ54" i="8"/>
  <c r="AP54" i="8"/>
  <c r="AO54" i="8"/>
  <c r="AN54" i="8"/>
  <c r="AM54" i="8"/>
  <c r="AJ54" i="8"/>
  <c r="AI54" i="8"/>
  <c r="AH54" i="8"/>
  <c r="AG54" i="8"/>
  <c r="AF54" i="8"/>
  <c r="AE54" i="8"/>
  <c r="AD54" i="8"/>
  <c r="AC54" i="8"/>
  <c r="AB54" i="8"/>
  <c r="AA54" i="8"/>
  <c r="Z54" i="8"/>
  <c r="Y54" i="8"/>
  <c r="X54" i="8"/>
  <c r="W54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CW53" i="8"/>
  <c r="CV53" i="8"/>
  <c r="CU53" i="8"/>
  <c r="CT53" i="8"/>
  <c r="CS53" i="8"/>
  <c r="CR53" i="8"/>
  <c r="CQ53" i="8"/>
  <c r="CP53" i="8"/>
  <c r="CO53" i="8"/>
  <c r="CN53" i="8"/>
  <c r="CM53" i="8"/>
  <c r="CL53" i="8"/>
  <c r="CK53" i="8"/>
  <c r="CJ53" i="8"/>
  <c r="CI53" i="8"/>
  <c r="CH53" i="8"/>
  <c r="CG53" i="8"/>
  <c r="CF53" i="8"/>
  <c r="CE53" i="8"/>
  <c r="CD53" i="8"/>
  <c r="CC53" i="8"/>
  <c r="CB53" i="8"/>
  <c r="CA53" i="8"/>
  <c r="BZ53" i="8"/>
  <c r="BY53" i="8"/>
  <c r="BX53" i="8"/>
  <c r="BW53" i="8"/>
  <c r="BV53" i="8"/>
  <c r="BU53" i="8"/>
  <c r="BT53" i="8"/>
  <c r="BP53" i="8"/>
  <c r="BO53" i="8"/>
  <c r="BN53" i="8"/>
  <c r="BM53" i="8"/>
  <c r="BL53" i="8"/>
  <c r="BK53" i="8"/>
  <c r="BJ53" i="8"/>
  <c r="BI53" i="8"/>
  <c r="BH53" i="8"/>
  <c r="BG53" i="8"/>
  <c r="BF53" i="8"/>
  <c r="BE53" i="8"/>
  <c r="BD53" i="8"/>
  <c r="BC53" i="8"/>
  <c r="BB53" i="8"/>
  <c r="BA53" i="8"/>
  <c r="AZ53" i="8"/>
  <c r="AY53" i="8"/>
  <c r="AX53" i="8"/>
  <c r="AW53" i="8"/>
  <c r="AV53" i="8"/>
  <c r="AU53" i="8"/>
  <c r="AT53" i="8"/>
  <c r="AS53" i="8"/>
  <c r="AR53" i="8"/>
  <c r="AQ53" i="8"/>
  <c r="AP53" i="8"/>
  <c r="AO53" i="8"/>
  <c r="AN53" i="8"/>
  <c r="AM53" i="8"/>
  <c r="AJ53" i="8"/>
  <c r="AI53" i="8"/>
  <c r="AH53" i="8"/>
  <c r="AG53" i="8"/>
  <c r="AF53" i="8"/>
  <c r="AE53" i="8"/>
  <c r="AD53" i="8"/>
  <c r="AC53" i="8"/>
  <c r="AB53" i="8"/>
  <c r="AA53" i="8"/>
  <c r="Z53" i="8"/>
  <c r="Y53" i="8"/>
  <c r="X53" i="8"/>
  <c r="W53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CW52" i="8"/>
  <c r="CV52" i="8"/>
  <c r="CU52" i="8"/>
  <c r="CT52" i="8"/>
  <c r="CS52" i="8"/>
  <c r="CR52" i="8"/>
  <c r="CQ52" i="8"/>
  <c r="CP52" i="8"/>
  <c r="CO52" i="8"/>
  <c r="CN52" i="8"/>
  <c r="CM52" i="8"/>
  <c r="CL52" i="8"/>
  <c r="CK52" i="8"/>
  <c r="CJ52" i="8"/>
  <c r="CI52" i="8"/>
  <c r="CH52" i="8"/>
  <c r="CG52" i="8"/>
  <c r="CF52" i="8"/>
  <c r="CE52" i="8"/>
  <c r="CD52" i="8"/>
  <c r="CC52" i="8"/>
  <c r="CB52" i="8"/>
  <c r="CA52" i="8"/>
  <c r="BZ52" i="8"/>
  <c r="BY52" i="8"/>
  <c r="BX52" i="8"/>
  <c r="BW52" i="8"/>
  <c r="BV52" i="8"/>
  <c r="BU52" i="8"/>
  <c r="BT52" i="8"/>
  <c r="BP52" i="8"/>
  <c r="BO52" i="8"/>
  <c r="BN52" i="8"/>
  <c r="BM52" i="8"/>
  <c r="BL52" i="8"/>
  <c r="BK52" i="8"/>
  <c r="BJ52" i="8"/>
  <c r="BI52" i="8"/>
  <c r="BH52" i="8"/>
  <c r="BG52" i="8"/>
  <c r="BF52" i="8"/>
  <c r="BE52" i="8"/>
  <c r="BD52" i="8"/>
  <c r="BC52" i="8"/>
  <c r="BB52" i="8"/>
  <c r="BA52" i="8"/>
  <c r="AZ52" i="8"/>
  <c r="AY52" i="8"/>
  <c r="AX52" i="8"/>
  <c r="AW52" i="8"/>
  <c r="AV52" i="8"/>
  <c r="AU52" i="8"/>
  <c r="AT52" i="8"/>
  <c r="AS52" i="8"/>
  <c r="AR52" i="8"/>
  <c r="AQ52" i="8"/>
  <c r="AP52" i="8"/>
  <c r="AO52" i="8"/>
  <c r="AN52" i="8"/>
  <c r="AM52" i="8"/>
  <c r="AJ52" i="8"/>
  <c r="AI52" i="8"/>
  <c r="AH52" i="8"/>
  <c r="AG52" i="8"/>
  <c r="AF52" i="8"/>
  <c r="AE52" i="8"/>
  <c r="AD52" i="8"/>
  <c r="AC52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CW51" i="8"/>
  <c r="CV51" i="8"/>
  <c r="CU51" i="8"/>
  <c r="CT51" i="8"/>
  <c r="CS51" i="8"/>
  <c r="CR51" i="8"/>
  <c r="CQ51" i="8"/>
  <c r="CP51" i="8"/>
  <c r="CO51" i="8"/>
  <c r="CN51" i="8"/>
  <c r="CM51" i="8"/>
  <c r="CL51" i="8"/>
  <c r="CK51" i="8"/>
  <c r="CJ51" i="8"/>
  <c r="CI51" i="8"/>
  <c r="CH51" i="8"/>
  <c r="CG51" i="8"/>
  <c r="CF51" i="8"/>
  <c r="CE51" i="8"/>
  <c r="CD51" i="8"/>
  <c r="CC51" i="8"/>
  <c r="CB51" i="8"/>
  <c r="CA51" i="8"/>
  <c r="BZ51" i="8"/>
  <c r="BY51" i="8"/>
  <c r="BX51" i="8"/>
  <c r="BW51" i="8"/>
  <c r="BV51" i="8"/>
  <c r="BU51" i="8"/>
  <c r="BT51" i="8"/>
  <c r="BP51" i="8"/>
  <c r="BO51" i="8"/>
  <c r="BN51" i="8"/>
  <c r="BM51" i="8"/>
  <c r="BL51" i="8"/>
  <c r="BK51" i="8"/>
  <c r="BJ51" i="8"/>
  <c r="BI51" i="8"/>
  <c r="BH51" i="8"/>
  <c r="BG51" i="8"/>
  <c r="BF51" i="8"/>
  <c r="BE51" i="8"/>
  <c r="BD51" i="8"/>
  <c r="BC51" i="8"/>
  <c r="BB51" i="8"/>
  <c r="BA51" i="8"/>
  <c r="AZ51" i="8"/>
  <c r="AY51" i="8"/>
  <c r="AX51" i="8"/>
  <c r="AW51" i="8"/>
  <c r="AV51" i="8"/>
  <c r="AU51" i="8"/>
  <c r="AT51" i="8"/>
  <c r="AS51" i="8"/>
  <c r="AR51" i="8"/>
  <c r="AQ51" i="8"/>
  <c r="AP51" i="8"/>
  <c r="AO51" i="8"/>
  <c r="AN51" i="8"/>
  <c r="AM51" i="8"/>
  <c r="AJ51" i="8"/>
  <c r="AI51" i="8"/>
  <c r="AH51" i="8"/>
  <c r="AG51" i="8"/>
  <c r="AF51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CW50" i="8"/>
  <c r="CV50" i="8"/>
  <c r="CU50" i="8"/>
  <c r="CT50" i="8"/>
  <c r="CS50" i="8"/>
  <c r="CR50" i="8"/>
  <c r="CQ50" i="8"/>
  <c r="CP50" i="8"/>
  <c r="CO50" i="8"/>
  <c r="CN50" i="8"/>
  <c r="CM50" i="8"/>
  <c r="CL50" i="8"/>
  <c r="CK50" i="8"/>
  <c r="CJ50" i="8"/>
  <c r="CI50" i="8"/>
  <c r="CH50" i="8"/>
  <c r="CG50" i="8"/>
  <c r="CF50" i="8"/>
  <c r="CE50" i="8"/>
  <c r="CD50" i="8"/>
  <c r="CC50" i="8"/>
  <c r="CB50" i="8"/>
  <c r="CA50" i="8"/>
  <c r="BZ50" i="8"/>
  <c r="BY50" i="8"/>
  <c r="BX50" i="8"/>
  <c r="BW50" i="8"/>
  <c r="BV50" i="8"/>
  <c r="BU50" i="8"/>
  <c r="BT50" i="8"/>
  <c r="BP50" i="8"/>
  <c r="BO50" i="8"/>
  <c r="BN50" i="8"/>
  <c r="BM50" i="8"/>
  <c r="BL50" i="8"/>
  <c r="BK50" i="8"/>
  <c r="BJ50" i="8"/>
  <c r="BI50" i="8"/>
  <c r="BH50" i="8"/>
  <c r="BG50" i="8"/>
  <c r="BF50" i="8"/>
  <c r="BE50" i="8"/>
  <c r="BD50" i="8"/>
  <c r="BC50" i="8"/>
  <c r="BB50" i="8"/>
  <c r="BA50" i="8"/>
  <c r="AZ50" i="8"/>
  <c r="AY50" i="8"/>
  <c r="AX50" i="8"/>
  <c r="AW50" i="8"/>
  <c r="AV50" i="8"/>
  <c r="AU50" i="8"/>
  <c r="AT50" i="8"/>
  <c r="AS50" i="8"/>
  <c r="AR50" i="8"/>
  <c r="AQ50" i="8"/>
  <c r="AP50" i="8"/>
  <c r="AO50" i="8"/>
  <c r="AN50" i="8"/>
  <c r="AM50" i="8"/>
  <c r="AJ50" i="8"/>
  <c r="AI50" i="8"/>
  <c r="AH50" i="8"/>
  <c r="AG50" i="8"/>
  <c r="AF50" i="8"/>
  <c r="AE50" i="8"/>
  <c r="AD50" i="8"/>
  <c r="AC50" i="8"/>
  <c r="AB50" i="8"/>
  <c r="AA50" i="8"/>
  <c r="Z50" i="8"/>
  <c r="Y50" i="8"/>
  <c r="X50" i="8"/>
  <c r="W50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CW49" i="8"/>
  <c r="CV49" i="8"/>
  <c r="CU49" i="8"/>
  <c r="CT49" i="8"/>
  <c r="CS49" i="8"/>
  <c r="CR49" i="8"/>
  <c r="CQ49" i="8"/>
  <c r="CP49" i="8"/>
  <c r="CO49" i="8"/>
  <c r="CN49" i="8"/>
  <c r="CM49" i="8"/>
  <c r="CL49" i="8"/>
  <c r="CK49" i="8"/>
  <c r="CJ49" i="8"/>
  <c r="CI49" i="8"/>
  <c r="CH49" i="8"/>
  <c r="CG49" i="8"/>
  <c r="CF49" i="8"/>
  <c r="CE49" i="8"/>
  <c r="CD49" i="8"/>
  <c r="CC49" i="8"/>
  <c r="CB49" i="8"/>
  <c r="CA49" i="8"/>
  <c r="BZ49" i="8"/>
  <c r="BY49" i="8"/>
  <c r="BX49" i="8"/>
  <c r="BW49" i="8"/>
  <c r="BV49" i="8"/>
  <c r="BU49" i="8"/>
  <c r="BT49" i="8"/>
  <c r="BP49" i="8"/>
  <c r="BO49" i="8"/>
  <c r="BN49" i="8"/>
  <c r="BM49" i="8"/>
  <c r="BL49" i="8"/>
  <c r="BK49" i="8"/>
  <c r="BJ49" i="8"/>
  <c r="BI49" i="8"/>
  <c r="BH49" i="8"/>
  <c r="BG49" i="8"/>
  <c r="BF49" i="8"/>
  <c r="BE49" i="8"/>
  <c r="BD49" i="8"/>
  <c r="BC49" i="8"/>
  <c r="BB49" i="8"/>
  <c r="BA49" i="8"/>
  <c r="AZ49" i="8"/>
  <c r="AY49" i="8"/>
  <c r="AX49" i="8"/>
  <c r="AW49" i="8"/>
  <c r="AV49" i="8"/>
  <c r="AU49" i="8"/>
  <c r="AT49" i="8"/>
  <c r="AS49" i="8"/>
  <c r="AR49" i="8"/>
  <c r="AQ49" i="8"/>
  <c r="AP49" i="8"/>
  <c r="AO49" i="8"/>
  <c r="AN49" i="8"/>
  <c r="AM49" i="8"/>
  <c r="AJ49" i="8"/>
  <c r="AI49" i="8"/>
  <c r="AH49" i="8"/>
  <c r="AG49" i="8"/>
  <c r="AF49" i="8"/>
  <c r="AE49" i="8"/>
  <c r="AD49" i="8"/>
  <c r="AC49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CW48" i="8"/>
  <c r="CV48" i="8"/>
  <c r="CU48" i="8"/>
  <c r="CT48" i="8"/>
  <c r="CS48" i="8"/>
  <c r="CR48" i="8"/>
  <c r="CQ48" i="8"/>
  <c r="CP48" i="8"/>
  <c r="CO48" i="8"/>
  <c r="CN48" i="8"/>
  <c r="CM48" i="8"/>
  <c r="CL48" i="8"/>
  <c r="CK48" i="8"/>
  <c r="CJ48" i="8"/>
  <c r="CI48" i="8"/>
  <c r="CH48" i="8"/>
  <c r="CG48" i="8"/>
  <c r="CF48" i="8"/>
  <c r="CE48" i="8"/>
  <c r="CD48" i="8"/>
  <c r="CC48" i="8"/>
  <c r="CB48" i="8"/>
  <c r="CA48" i="8"/>
  <c r="BZ48" i="8"/>
  <c r="BY48" i="8"/>
  <c r="BX48" i="8"/>
  <c r="BW48" i="8"/>
  <c r="BV48" i="8"/>
  <c r="BU48" i="8"/>
  <c r="BT48" i="8"/>
  <c r="BP48" i="8"/>
  <c r="BO48" i="8"/>
  <c r="BN48" i="8"/>
  <c r="BM48" i="8"/>
  <c r="BL48" i="8"/>
  <c r="BK48" i="8"/>
  <c r="BJ48" i="8"/>
  <c r="BI48" i="8"/>
  <c r="BH48" i="8"/>
  <c r="BG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T48" i="8"/>
  <c r="AS48" i="8"/>
  <c r="AR48" i="8"/>
  <c r="AQ48" i="8"/>
  <c r="AP48" i="8"/>
  <c r="AO48" i="8"/>
  <c r="AN48" i="8"/>
  <c r="AM48" i="8"/>
  <c r="AJ48" i="8"/>
  <c r="AI48" i="8"/>
  <c r="AH48" i="8"/>
  <c r="AG48" i="8"/>
  <c r="AF48" i="8"/>
  <c r="AE48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CW47" i="8"/>
  <c r="CV47" i="8"/>
  <c r="CU47" i="8"/>
  <c r="CT47" i="8"/>
  <c r="CS47" i="8"/>
  <c r="CR47" i="8"/>
  <c r="CQ47" i="8"/>
  <c r="CP47" i="8"/>
  <c r="CO47" i="8"/>
  <c r="CN47" i="8"/>
  <c r="CM47" i="8"/>
  <c r="CL47" i="8"/>
  <c r="CK47" i="8"/>
  <c r="CJ47" i="8"/>
  <c r="CI47" i="8"/>
  <c r="CH47" i="8"/>
  <c r="CG47" i="8"/>
  <c r="CF47" i="8"/>
  <c r="CE47" i="8"/>
  <c r="CD47" i="8"/>
  <c r="CC47" i="8"/>
  <c r="CB47" i="8"/>
  <c r="CA47" i="8"/>
  <c r="BZ47" i="8"/>
  <c r="BY47" i="8"/>
  <c r="BX47" i="8"/>
  <c r="BW47" i="8"/>
  <c r="BV47" i="8"/>
  <c r="BU47" i="8"/>
  <c r="BT47" i="8"/>
  <c r="BP47" i="8"/>
  <c r="BO47" i="8"/>
  <c r="BN47" i="8"/>
  <c r="BM47" i="8"/>
  <c r="BL47" i="8"/>
  <c r="BK47" i="8"/>
  <c r="BJ47" i="8"/>
  <c r="BI47" i="8"/>
  <c r="BH47" i="8"/>
  <c r="BG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T47" i="8"/>
  <c r="AS47" i="8"/>
  <c r="AR47" i="8"/>
  <c r="AQ47" i="8"/>
  <c r="AP47" i="8"/>
  <c r="AO47" i="8"/>
  <c r="AN47" i="8"/>
  <c r="AM47" i="8"/>
  <c r="AJ47" i="8"/>
  <c r="AI47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CW46" i="8"/>
  <c r="CV46" i="8"/>
  <c r="CU46" i="8"/>
  <c r="CT46" i="8"/>
  <c r="CS46" i="8"/>
  <c r="CR46" i="8"/>
  <c r="CQ46" i="8"/>
  <c r="CP46" i="8"/>
  <c r="CO46" i="8"/>
  <c r="CN46" i="8"/>
  <c r="CM46" i="8"/>
  <c r="CL46" i="8"/>
  <c r="CK46" i="8"/>
  <c r="CJ46" i="8"/>
  <c r="CI46" i="8"/>
  <c r="CH46" i="8"/>
  <c r="CG46" i="8"/>
  <c r="CF46" i="8"/>
  <c r="CE46" i="8"/>
  <c r="CD46" i="8"/>
  <c r="CC46" i="8"/>
  <c r="CB46" i="8"/>
  <c r="CA46" i="8"/>
  <c r="BZ46" i="8"/>
  <c r="BY46" i="8"/>
  <c r="BX46" i="8"/>
  <c r="BW46" i="8"/>
  <c r="BV46" i="8"/>
  <c r="BU46" i="8"/>
  <c r="BT46" i="8"/>
  <c r="BP46" i="8"/>
  <c r="BO46" i="8"/>
  <c r="BN46" i="8"/>
  <c r="BM46" i="8"/>
  <c r="BL46" i="8"/>
  <c r="BK46" i="8"/>
  <c r="BJ46" i="8"/>
  <c r="BI46" i="8"/>
  <c r="BH46" i="8"/>
  <c r="BG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T46" i="8"/>
  <c r="AS46" i="8"/>
  <c r="AR46" i="8"/>
  <c r="AQ46" i="8"/>
  <c r="AP46" i="8"/>
  <c r="AO46" i="8"/>
  <c r="AN46" i="8"/>
  <c r="AM46" i="8"/>
  <c r="AJ46" i="8"/>
  <c r="AI46" i="8"/>
  <c r="AH46" i="8"/>
  <c r="AG46" i="8"/>
  <c r="AF46" i="8"/>
  <c r="AE46" i="8"/>
  <c r="AD46" i="8"/>
  <c r="AC46" i="8"/>
  <c r="AB46" i="8"/>
  <c r="AA46" i="8"/>
  <c r="Z46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CW45" i="8"/>
  <c r="CV45" i="8"/>
  <c r="CU45" i="8"/>
  <c r="CT45" i="8"/>
  <c r="CS45" i="8"/>
  <c r="CR45" i="8"/>
  <c r="CQ45" i="8"/>
  <c r="CP45" i="8"/>
  <c r="CO45" i="8"/>
  <c r="CN45" i="8"/>
  <c r="CM45" i="8"/>
  <c r="CL45" i="8"/>
  <c r="CK45" i="8"/>
  <c r="CJ45" i="8"/>
  <c r="CI45" i="8"/>
  <c r="CH45" i="8"/>
  <c r="CG45" i="8"/>
  <c r="CF45" i="8"/>
  <c r="CE45" i="8"/>
  <c r="CD45" i="8"/>
  <c r="CC45" i="8"/>
  <c r="CB45" i="8"/>
  <c r="CA45" i="8"/>
  <c r="BZ45" i="8"/>
  <c r="BY45" i="8"/>
  <c r="BX45" i="8"/>
  <c r="BW45" i="8"/>
  <c r="BV45" i="8"/>
  <c r="BU45" i="8"/>
  <c r="BT45" i="8"/>
  <c r="BP45" i="8"/>
  <c r="BO45" i="8"/>
  <c r="BN45" i="8"/>
  <c r="BM45" i="8"/>
  <c r="BL45" i="8"/>
  <c r="BK45" i="8"/>
  <c r="BJ45" i="8"/>
  <c r="BI45" i="8"/>
  <c r="BH45" i="8"/>
  <c r="BG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T45" i="8"/>
  <c r="AS45" i="8"/>
  <c r="AR45" i="8"/>
  <c r="AQ45" i="8"/>
  <c r="AP45" i="8"/>
  <c r="AO45" i="8"/>
  <c r="AN45" i="8"/>
  <c r="AM45" i="8"/>
  <c r="AJ45" i="8"/>
  <c r="AI45" i="8"/>
  <c r="AH45" i="8"/>
  <c r="AG45" i="8"/>
  <c r="AF45" i="8"/>
  <c r="AE45" i="8"/>
  <c r="AD45" i="8"/>
  <c r="AC45" i="8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CW44" i="8"/>
  <c r="CV44" i="8"/>
  <c r="CU44" i="8"/>
  <c r="CT44" i="8"/>
  <c r="CS44" i="8"/>
  <c r="CR44" i="8"/>
  <c r="CQ44" i="8"/>
  <c r="CP44" i="8"/>
  <c r="CO44" i="8"/>
  <c r="CN44" i="8"/>
  <c r="CM44" i="8"/>
  <c r="CL44" i="8"/>
  <c r="CK44" i="8"/>
  <c r="CJ44" i="8"/>
  <c r="CI44" i="8"/>
  <c r="CH44" i="8"/>
  <c r="CG44" i="8"/>
  <c r="CF44" i="8"/>
  <c r="CE44" i="8"/>
  <c r="CD44" i="8"/>
  <c r="CC44" i="8"/>
  <c r="CB44" i="8"/>
  <c r="CA44" i="8"/>
  <c r="BZ44" i="8"/>
  <c r="BY44" i="8"/>
  <c r="BX44" i="8"/>
  <c r="BW44" i="8"/>
  <c r="BV44" i="8"/>
  <c r="BU44" i="8"/>
  <c r="BT44" i="8"/>
  <c r="BP44" i="8"/>
  <c r="BO44" i="8"/>
  <c r="BN44" i="8"/>
  <c r="BM44" i="8"/>
  <c r="BL44" i="8"/>
  <c r="BK44" i="8"/>
  <c r="BJ44" i="8"/>
  <c r="BI44" i="8"/>
  <c r="BH44" i="8"/>
  <c r="BG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T44" i="8"/>
  <c r="AS44" i="8"/>
  <c r="AR44" i="8"/>
  <c r="AQ44" i="8"/>
  <c r="AP44" i="8"/>
  <c r="AO44" i="8"/>
  <c r="AN44" i="8"/>
  <c r="AM44" i="8"/>
  <c r="AJ44" i="8"/>
  <c r="AI44" i="8"/>
  <c r="AH44" i="8"/>
  <c r="AG44" i="8"/>
  <c r="AF44" i="8"/>
  <c r="AE44" i="8"/>
  <c r="AD44" i="8"/>
  <c r="AC44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CW43" i="8"/>
  <c r="CV43" i="8"/>
  <c r="CU43" i="8"/>
  <c r="CT43" i="8"/>
  <c r="CS43" i="8"/>
  <c r="CR43" i="8"/>
  <c r="CQ43" i="8"/>
  <c r="CP43" i="8"/>
  <c r="CO43" i="8"/>
  <c r="CN43" i="8"/>
  <c r="CM43" i="8"/>
  <c r="CL43" i="8"/>
  <c r="CK43" i="8"/>
  <c r="CJ43" i="8"/>
  <c r="CI43" i="8"/>
  <c r="CH43" i="8"/>
  <c r="CG43" i="8"/>
  <c r="CF43" i="8"/>
  <c r="CE43" i="8"/>
  <c r="CD43" i="8"/>
  <c r="CC43" i="8"/>
  <c r="CB43" i="8"/>
  <c r="CA43" i="8"/>
  <c r="BZ43" i="8"/>
  <c r="BY43" i="8"/>
  <c r="BX43" i="8"/>
  <c r="BW43" i="8"/>
  <c r="BV43" i="8"/>
  <c r="BU43" i="8"/>
  <c r="BT43" i="8"/>
  <c r="BP43" i="8"/>
  <c r="BO43" i="8"/>
  <c r="BN43" i="8"/>
  <c r="BM43" i="8"/>
  <c r="BL43" i="8"/>
  <c r="BK43" i="8"/>
  <c r="BJ43" i="8"/>
  <c r="BI43" i="8"/>
  <c r="BH43" i="8"/>
  <c r="BG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T43" i="8"/>
  <c r="AS43" i="8"/>
  <c r="AR43" i="8"/>
  <c r="AQ43" i="8"/>
  <c r="AP43" i="8"/>
  <c r="AO43" i="8"/>
  <c r="AN43" i="8"/>
  <c r="AM43" i="8"/>
  <c r="AJ43" i="8"/>
  <c r="AI43" i="8"/>
  <c r="AH43" i="8"/>
  <c r="AG43" i="8"/>
  <c r="AF43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CW42" i="8"/>
  <c r="CV42" i="8"/>
  <c r="CU42" i="8"/>
  <c r="CT42" i="8"/>
  <c r="CS42" i="8"/>
  <c r="CR42" i="8"/>
  <c r="CQ42" i="8"/>
  <c r="CP42" i="8"/>
  <c r="CO42" i="8"/>
  <c r="CN42" i="8"/>
  <c r="CM42" i="8"/>
  <c r="CL42" i="8"/>
  <c r="CK42" i="8"/>
  <c r="CJ42" i="8"/>
  <c r="CI42" i="8"/>
  <c r="CH42" i="8"/>
  <c r="CG42" i="8"/>
  <c r="CF42" i="8"/>
  <c r="CE42" i="8"/>
  <c r="CD42" i="8"/>
  <c r="CC42" i="8"/>
  <c r="CB42" i="8"/>
  <c r="CA42" i="8"/>
  <c r="BZ42" i="8"/>
  <c r="BY42" i="8"/>
  <c r="BX42" i="8"/>
  <c r="BW42" i="8"/>
  <c r="BV42" i="8"/>
  <c r="BU42" i="8"/>
  <c r="BT42" i="8"/>
  <c r="BP42" i="8"/>
  <c r="BO42" i="8"/>
  <c r="BN42" i="8"/>
  <c r="BM42" i="8"/>
  <c r="BL42" i="8"/>
  <c r="BK42" i="8"/>
  <c r="BJ42" i="8"/>
  <c r="BI42" i="8"/>
  <c r="BH42" i="8"/>
  <c r="BG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T42" i="8"/>
  <c r="AS42" i="8"/>
  <c r="AR42" i="8"/>
  <c r="AQ42" i="8"/>
  <c r="AP42" i="8"/>
  <c r="AO42" i="8"/>
  <c r="AN42" i="8"/>
  <c r="AM42" i="8"/>
  <c r="AG42" i="8"/>
  <c r="H42" i="8"/>
  <c r="G42" i="8"/>
  <c r="CW41" i="8"/>
  <c r="CV41" i="8"/>
  <c r="CU41" i="8"/>
  <c r="CT41" i="8"/>
  <c r="CS41" i="8"/>
  <c r="CR41" i="8"/>
  <c r="CQ41" i="8"/>
  <c r="CP41" i="8"/>
  <c r="CO41" i="8"/>
  <c r="CN41" i="8"/>
  <c r="CM41" i="8"/>
  <c r="CL41" i="8"/>
  <c r="CK41" i="8"/>
  <c r="CJ41" i="8"/>
  <c r="CI41" i="8"/>
  <c r="CH41" i="8"/>
  <c r="CG41" i="8"/>
  <c r="CF41" i="8"/>
  <c r="CE41" i="8"/>
  <c r="CD41" i="8"/>
  <c r="CC41" i="8"/>
  <c r="CB41" i="8"/>
  <c r="CA41" i="8"/>
  <c r="BZ41" i="8"/>
  <c r="BY41" i="8"/>
  <c r="BX41" i="8"/>
  <c r="BW41" i="8"/>
  <c r="BV41" i="8"/>
  <c r="BU41" i="8"/>
  <c r="BT41" i="8"/>
  <c r="BP41" i="8"/>
  <c r="BO41" i="8"/>
  <c r="BN41" i="8"/>
  <c r="BM41" i="8"/>
  <c r="BL41" i="8"/>
  <c r="BK41" i="8"/>
  <c r="BJ41" i="8"/>
  <c r="BI41" i="8"/>
  <c r="BH41" i="8"/>
  <c r="BG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T41" i="8"/>
  <c r="AS41" i="8"/>
  <c r="AR41" i="8"/>
  <c r="AQ41" i="8"/>
  <c r="AP41" i="8"/>
  <c r="AO41" i="8"/>
  <c r="AN41" i="8"/>
  <c r="AM41" i="8"/>
  <c r="AJ41" i="8"/>
  <c r="AI41" i="8"/>
  <c r="AH41" i="8"/>
  <c r="AG41" i="8"/>
  <c r="AF41" i="8"/>
  <c r="AE41" i="8"/>
  <c r="AD41" i="8"/>
  <c r="AC41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CW40" i="8"/>
  <c r="CV40" i="8"/>
  <c r="CU40" i="8"/>
  <c r="CT40" i="8"/>
  <c r="CS40" i="8"/>
  <c r="CR40" i="8"/>
  <c r="CQ40" i="8"/>
  <c r="CP40" i="8"/>
  <c r="CO40" i="8"/>
  <c r="CN40" i="8"/>
  <c r="CM40" i="8"/>
  <c r="CL40" i="8"/>
  <c r="CK40" i="8"/>
  <c r="CJ40" i="8"/>
  <c r="CI40" i="8"/>
  <c r="CH40" i="8"/>
  <c r="CG40" i="8"/>
  <c r="CF40" i="8"/>
  <c r="CE40" i="8"/>
  <c r="CD40" i="8"/>
  <c r="CC40" i="8"/>
  <c r="CB40" i="8"/>
  <c r="CA40" i="8"/>
  <c r="BZ40" i="8"/>
  <c r="BY40" i="8"/>
  <c r="BX40" i="8"/>
  <c r="BW40" i="8"/>
  <c r="BV40" i="8"/>
  <c r="BU40" i="8"/>
  <c r="BT40" i="8"/>
  <c r="BP40" i="8"/>
  <c r="BO40" i="8"/>
  <c r="BN40" i="8"/>
  <c r="BM40" i="8"/>
  <c r="BL40" i="8"/>
  <c r="BK40" i="8"/>
  <c r="BJ40" i="8"/>
  <c r="BI40" i="8"/>
  <c r="BH40" i="8"/>
  <c r="BG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T40" i="8"/>
  <c r="AS40" i="8"/>
  <c r="AR40" i="8"/>
  <c r="AQ40" i="8"/>
  <c r="AP40" i="8"/>
  <c r="AO40" i="8"/>
  <c r="AN40" i="8"/>
  <c r="AM40" i="8"/>
  <c r="AG40" i="8"/>
  <c r="H40" i="8"/>
  <c r="G40" i="8"/>
  <c r="CW39" i="8"/>
  <c r="CV39" i="8"/>
  <c r="CU39" i="8"/>
  <c r="CT39" i="8"/>
  <c r="CS39" i="8"/>
  <c r="CR39" i="8"/>
  <c r="CQ39" i="8"/>
  <c r="CP39" i="8"/>
  <c r="CO39" i="8"/>
  <c r="CN39" i="8"/>
  <c r="CM39" i="8"/>
  <c r="CL39" i="8"/>
  <c r="CK39" i="8"/>
  <c r="CJ39" i="8"/>
  <c r="CI39" i="8"/>
  <c r="CH39" i="8"/>
  <c r="CG39" i="8"/>
  <c r="CF39" i="8"/>
  <c r="CE39" i="8"/>
  <c r="CD39" i="8"/>
  <c r="CC39" i="8"/>
  <c r="CB39" i="8"/>
  <c r="CA39" i="8"/>
  <c r="BZ39" i="8"/>
  <c r="BY39" i="8"/>
  <c r="BX39" i="8"/>
  <c r="BW39" i="8"/>
  <c r="BV39" i="8"/>
  <c r="BU39" i="8"/>
  <c r="BT39" i="8"/>
  <c r="BP39" i="8"/>
  <c r="BO39" i="8"/>
  <c r="BN39" i="8"/>
  <c r="BM39" i="8"/>
  <c r="BL39" i="8"/>
  <c r="BK39" i="8"/>
  <c r="BJ39" i="8"/>
  <c r="BI39" i="8"/>
  <c r="BH39" i="8"/>
  <c r="BG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T39" i="8"/>
  <c r="AS39" i="8"/>
  <c r="AR39" i="8"/>
  <c r="AQ39" i="8"/>
  <c r="AP39" i="8"/>
  <c r="AO39" i="8"/>
  <c r="AN39" i="8"/>
  <c r="AM39" i="8"/>
  <c r="AJ39" i="8"/>
  <c r="AI39" i="8"/>
  <c r="AH39" i="8"/>
  <c r="AG39" i="8"/>
  <c r="AF39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CW38" i="8"/>
  <c r="CV38" i="8"/>
  <c r="CU38" i="8"/>
  <c r="CT38" i="8"/>
  <c r="CS38" i="8"/>
  <c r="CR38" i="8"/>
  <c r="CQ38" i="8"/>
  <c r="CP38" i="8"/>
  <c r="CO38" i="8"/>
  <c r="CN38" i="8"/>
  <c r="CM38" i="8"/>
  <c r="CL38" i="8"/>
  <c r="CK38" i="8"/>
  <c r="CJ38" i="8"/>
  <c r="CI38" i="8"/>
  <c r="CH38" i="8"/>
  <c r="CG38" i="8"/>
  <c r="CF38" i="8"/>
  <c r="CE38" i="8"/>
  <c r="CD38" i="8"/>
  <c r="CC38" i="8"/>
  <c r="CB38" i="8"/>
  <c r="CA38" i="8"/>
  <c r="BZ38" i="8"/>
  <c r="BY38" i="8"/>
  <c r="BX38" i="8"/>
  <c r="BW38" i="8"/>
  <c r="BV38" i="8"/>
  <c r="BU38" i="8"/>
  <c r="BT38" i="8"/>
  <c r="BP38" i="8"/>
  <c r="BO38" i="8"/>
  <c r="BN38" i="8"/>
  <c r="BM38" i="8"/>
  <c r="BL38" i="8"/>
  <c r="BK38" i="8"/>
  <c r="BJ38" i="8"/>
  <c r="BI38" i="8"/>
  <c r="BH38" i="8"/>
  <c r="BG38" i="8"/>
  <c r="BF38" i="8"/>
  <c r="BE38" i="8"/>
  <c r="BD38" i="8"/>
  <c r="BC38" i="8"/>
  <c r="BB38" i="8"/>
  <c r="BA38" i="8"/>
  <c r="AZ38" i="8"/>
  <c r="AY38" i="8"/>
  <c r="AX38" i="8"/>
  <c r="AW38" i="8"/>
  <c r="AV38" i="8"/>
  <c r="AU38" i="8"/>
  <c r="AT38" i="8"/>
  <c r="AS38" i="8"/>
  <c r="AR38" i="8"/>
  <c r="AQ38" i="8"/>
  <c r="AP38" i="8"/>
  <c r="AO38" i="8"/>
  <c r="AN38" i="8"/>
  <c r="AM38" i="8"/>
  <c r="AG38" i="8"/>
  <c r="H38" i="8"/>
  <c r="G38" i="8"/>
  <c r="CW37" i="8"/>
  <c r="CV37" i="8"/>
  <c r="CU37" i="8"/>
  <c r="CT37" i="8"/>
  <c r="CS37" i="8"/>
  <c r="CR37" i="8"/>
  <c r="CQ37" i="8"/>
  <c r="CP37" i="8"/>
  <c r="CO37" i="8"/>
  <c r="CN37" i="8"/>
  <c r="CM37" i="8"/>
  <c r="CL37" i="8"/>
  <c r="CK37" i="8"/>
  <c r="CJ37" i="8"/>
  <c r="CI37" i="8"/>
  <c r="CH37" i="8"/>
  <c r="CG37" i="8"/>
  <c r="CF37" i="8"/>
  <c r="CE37" i="8"/>
  <c r="CD37" i="8"/>
  <c r="CC37" i="8"/>
  <c r="CB37" i="8"/>
  <c r="CA37" i="8"/>
  <c r="BZ37" i="8"/>
  <c r="BY37" i="8"/>
  <c r="BX37" i="8"/>
  <c r="BW37" i="8"/>
  <c r="BV37" i="8"/>
  <c r="BU37" i="8"/>
  <c r="BT37" i="8"/>
  <c r="BP37" i="8"/>
  <c r="BO37" i="8"/>
  <c r="BN37" i="8"/>
  <c r="BM37" i="8"/>
  <c r="BL37" i="8"/>
  <c r="BK37" i="8"/>
  <c r="BJ37" i="8"/>
  <c r="BI37" i="8"/>
  <c r="BH37" i="8"/>
  <c r="BG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T37" i="8"/>
  <c r="AS37" i="8"/>
  <c r="AR37" i="8"/>
  <c r="AQ37" i="8"/>
  <c r="AP37" i="8"/>
  <c r="AO37" i="8"/>
  <c r="AN37" i="8"/>
  <c r="AM37" i="8"/>
  <c r="AG37" i="8"/>
  <c r="H37" i="8"/>
  <c r="G37" i="8"/>
  <c r="CW36" i="8"/>
  <c r="CV36" i="8"/>
  <c r="CU36" i="8"/>
  <c r="CT36" i="8"/>
  <c r="CS36" i="8"/>
  <c r="CR36" i="8"/>
  <c r="CQ36" i="8"/>
  <c r="CP36" i="8"/>
  <c r="CO36" i="8"/>
  <c r="CN36" i="8"/>
  <c r="CM36" i="8"/>
  <c r="CL36" i="8"/>
  <c r="CK36" i="8"/>
  <c r="CJ36" i="8"/>
  <c r="CI36" i="8"/>
  <c r="CH36" i="8"/>
  <c r="CG36" i="8"/>
  <c r="CF36" i="8"/>
  <c r="CE36" i="8"/>
  <c r="CD36" i="8"/>
  <c r="CC36" i="8"/>
  <c r="CB36" i="8"/>
  <c r="CA36" i="8"/>
  <c r="BZ36" i="8"/>
  <c r="BY36" i="8"/>
  <c r="BX36" i="8"/>
  <c r="BW36" i="8"/>
  <c r="BV36" i="8"/>
  <c r="BU36" i="8"/>
  <c r="BT36" i="8"/>
  <c r="BP36" i="8"/>
  <c r="BO36" i="8"/>
  <c r="BN36" i="8"/>
  <c r="BM36" i="8"/>
  <c r="BL36" i="8"/>
  <c r="BK36" i="8"/>
  <c r="BJ36" i="8"/>
  <c r="BI36" i="8"/>
  <c r="BH36" i="8"/>
  <c r="BG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T36" i="8"/>
  <c r="AS36" i="8"/>
  <c r="AR36" i="8"/>
  <c r="AQ36" i="8"/>
  <c r="AP36" i="8"/>
  <c r="AO36" i="8"/>
  <c r="AN36" i="8"/>
  <c r="AM36" i="8"/>
  <c r="AJ36" i="8"/>
  <c r="AI36" i="8"/>
  <c r="AH36" i="8"/>
  <c r="AG36" i="8"/>
  <c r="AF36" i="8"/>
  <c r="AE36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CW35" i="8"/>
  <c r="CV35" i="8"/>
  <c r="CU35" i="8"/>
  <c r="CT35" i="8"/>
  <c r="CS35" i="8"/>
  <c r="CR35" i="8"/>
  <c r="CQ35" i="8"/>
  <c r="CP35" i="8"/>
  <c r="CO35" i="8"/>
  <c r="CN35" i="8"/>
  <c r="CM35" i="8"/>
  <c r="CL35" i="8"/>
  <c r="CK35" i="8"/>
  <c r="CJ35" i="8"/>
  <c r="CI35" i="8"/>
  <c r="CH35" i="8"/>
  <c r="CG35" i="8"/>
  <c r="CF35" i="8"/>
  <c r="CE35" i="8"/>
  <c r="CD35" i="8"/>
  <c r="CC35" i="8"/>
  <c r="CB35" i="8"/>
  <c r="CA35" i="8"/>
  <c r="BZ35" i="8"/>
  <c r="BY35" i="8"/>
  <c r="BX35" i="8"/>
  <c r="BW35" i="8"/>
  <c r="BV35" i="8"/>
  <c r="BU35" i="8"/>
  <c r="BT35" i="8"/>
  <c r="BP35" i="8"/>
  <c r="BO35" i="8"/>
  <c r="BN35" i="8"/>
  <c r="BM35" i="8"/>
  <c r="BL35" i="8"/>
  <c r="BK35" i="8"/>
  <c r="BJ35" i="8"/>
  <c r="BI35" i="8"/>
  <c r="BH35" i="8"/>
  <c r="BG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T35" i="8"/>
  <c r="AS35" i="8"/>
  <c r="AR35" i="8"/>
  <c r="AQ35" i="8"/>
  <c r="AP35" i="8"/>
  <c r="AO35" i="8"/>
  <c r="AN35" i="8"/>
  <c r="AM35" i="8"/>
  <c r="AJ35" i="8"/>
  <c r="AI35" i="8"/>
  <c r="AH35" i="8"/>
  <c r="AG35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CW34" i="8"/>
  <c r="CV34" i="8"/>
  <c r="CU34" i="8"/>
  <c r="CT34" i="8"/>
  <c r="CS34" i="8"/>
  <c r="CR34" i="8"/>
  <c r="CQ34" i="8"/>
  <c r="CP34" i="8"/>
  <c r="CO34" i="8"/>
  <c r="CN34" i="8"/>
  <c r="CM34" i="8"/>
  <c r="CL34" i="8"/>
  <c r="CK34" i="8"/>
  <c r="CJ34" i="8"/>
  <c r="CI34" i="8"/>
  <c r="CH34" i="8"/>
  <c r="CG34" i="8"/>
  <c r="CF34" i="8"/>
  <c r="CE34" i="8"/>
  <c r="CD34" i="8"/>
  <c r="CC34" i="8"/>
  <c r="CB34" i="8"/>
  <c r="CA34" i="8"/>
  <c r="BZ34" i="8"/>
  <c r="BY34" i="8"/>
  <c r="BX34" i="8"/>
  <c r="BW34" i="8"/>
  <c r="BV34" i="8"/>
  <c r="BU34" i="8"/>
  <c r="BT34" i="8"/>
  <c r="BP34" i="8"/>
  <c r="BO34" i="8"/>
  <c r="BN34" i="8"/>
  <c r="BM34" i="8"/>
  <c r="BL34" i="8"/>
  <c r="BK34" i="8"/>
  <c r="BJ34" i="8"/>
  <c r="BI34" i="8"/>
  <c r="BH34" i="8"/>
  <c r="BG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T34" i="8"/>
  <c r="AS34" i="8"/>
  <c r="AR34" i="8"/>
  <c r="AQ34" i="8"/>
  <c r="AP34" i="8"/>
  <c r="AO34" i="8"/>
  <c r="AN34" i="8"/>
  <c r="AM34" i="8"/>
  <c r="AJ34" i="8"/>
  <c r="AI34" i="8"/>
  <c r="AH34" i="8"/>
  <c r="AG34" i="8"/>
  <c r="AF34" i="8"/>
  <c r="AE34" i="8"/>
  <c r="AD34" i="8"/>
  <c r="AC34" i="8"/>
  <c r="AB34" i="8"/>
  <c r="AA34" i="8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CW33" i="8"/>
  <c r="CV33" i="8"/>
  <c r="CU33" i="8"/>
  <c r="CT33" i="8"/>
  <c r="CS33" i="8"/>
  <c r="CR33" i="8"/>
  <c r="CQ33" i="8"/>
  <c r="CP33" i="8"/>
  <c r="CO33" i="8"/>
  <c r="CN33" i="8"/>
  <c r="CM33" i="8"/>
  <c r="CL33" i="8"/>
  <c r="CK33" i="8"/>
  <c r="CJ33" i="8"/>
  <c r="CI33" i="8"/>
  <c r="CH33" i="8"/>
  <c r="CG33" i="8"/>
  <c r="CF33" i="8"/>
  <c r="CE33" i="8"/>
  <c r="CD33" i="8"/>
  <c r="CC33" i="8"/>
  <c r="CB33" i="8"/>
  <c r="CA33" i="8"/>
  <c r="BZ33" i="8"/>
  <c r="BY33" i="8"/>
  <c r="BX33" i="8"/>
  <c r="BW33" i="8"/>
  <c r="BV33" i="8"/>
  <c r="BU33" i="8"/>
  <c r="BT33" i="8"/>
  <c r="BP33" i="8"/>
  <c r="BO33" i="8"/>
  <c r="BN33" i="8"/>
  <c r="BM33" i="8"/>
  <c r="BL33" i="8"/>
  <c r="BK33" i="8"/>
  <c r="BJ33" i="8"/>
  <c r="BI33" i="8"/>
  <c r="BH33" i="8"/>
  <c r="BG33" i="8"/>
  <c r="BF33" i="8"/>
  <c r="BE33" i="8"/>
  <c r="BD33" i="8"/>
  <c r="BC33" i="8"/>
  <c r="BB33" i="8"/>
  <c r="BA33" i="8"/>
  <c r="AZ33" i="8"/>
  <c r="AY33" i="8"/>
  <c r="AX33" i="8"/>
  <c r="AW33" i="8"/>
  <c r="AV33" i="8"/>
  <c r="AU33" i="8"/>
  <c r="AT33" i="8"/>
  <c r="AS33" i="8"/>
  <c r="AR33" i="8"/>
  <c r="AQ33" i="8"/>
  <c r="AP33" i="8"/>
  <c r="AO33" i="8"/>
  <c r="AN33" i="8"/>
  <c r="AM33" i="8"/>
  <c r="AJ33" i="8"/>
  <c r="AI33" i="8"/>
  <c r="AH33" i="8"/>
  <c r="AG33" i="8"/>
  <c r="AF33" i="8"/>
  <c r="AE33" i="8"/>
  <c r="AD33" i="8"/>
  <c r="AC33" i="8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CW32" i="8"/>
  <c r="CV32" i="8"/>
  <c r="CU32" i="8"/>
  <c r="CT32" i="8"/>
  <c r="CS32" i="8"/>
  <c r="CR32" i="8"/>
  <c r="CQ32" i="8"/>
  <c r="CP32" i="8"/>
  <c r="CO32" i="8"/>
  <c r="CN32" i="8"/>
  <c r="CM32" i="8"/>
  <c r="CL32" i="8"/>
  <c r="CK32" i="8"/>
  <c r="CJ32" i="8"/>
  <c r="CI32" i="8"/>
  <c r="CH32" i="8"/>
  <c r="CG32" i="8"/>
  <c r="CF32" i="8"/>
  <c r="CE32" i="8"/>
  <c r="CD32" i="8"/>
  <c r="CC32" i="8"/>
  <c r="CB32" i="8"/>
  <c r="CA32" i="8"/>
  <c r="BZ32" i="8"/>
  <c r="BY32" i="8"/>
  <c r="BX32" i="8"/>
  <c r="BW32" i="8"/>
  <c r="BV32" i="8"/>
  <c r="BU32" i="8"/>
  <c r="BT32" i="8"/>
  <c r="BP32" i="8"/>
  <c r="BO32" i="8"/>
  <c r="BN32" i="8"/>
  <c r="BM32" i="8"/>
  <c r="BL32" i="8"/>
  <c r="BK32" i="8"/>
  <c r="BJ32" i="8"/>
  <c r="BI32" i="8"/>
  <c r="BH32" i="8"/>
  <c r="BG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T32" i="8"/>
  <c r="AS32" i="8"/>
  <c r="AR32" i="8"/>
  <c r="AQ32" i="8"/>
  <c r="AP32" i="8"/>
  <c r="AO32" i="8"/>
  <c r="AN32" i="8"/>
  <c r="AM32" i="8"/>
  <c r="AJ32" i="8"/>
  <c r="AI32" i="8"/>
  <c r="AH32" i="8"/>
  <c r="AG32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CW31" i="8"/>
  <c r="CV31" i="8"/>
  <c r="CU31" i="8"/>
  <c r="CT31" i="8"/>
  <c r="CS31" i="8"/>
  <c r="CR31" i="8"/>
  <c r="CQ31" i="8"/>
  <c r="CP31" i="8"/>
  <c r="CO31" i="8"/>
  <c r="CN31" i="8"/>
  <c r="CM31" i="8"/>
  <c r="CL31" i="8"/>
  <c r="CK31" i="8"/>
  <c r="CJ31" i="8"/>
  <c r="CI31" i="8"/>
  <c r="CH31" i="8"/>
  <c r="CG31" i="8"/>
  <c r="CF31" i="8"/>
  <c r="CE31" i="8"/>
  <c r="CD31" i="8"/>
  <c r="CC31" i="8"/>
  <c r="CB31" i="8"/>
  <c r="CA31" i="8"/>
  <c r="BZ31" i="8"/>
  <c r="BY31" i="8"/>
  <c r="BX31" i="8"/>
  <c r="BW31" i="8"/>
  <c r="BV31" i="8"/>
  <c r="BU31" i="8"/>
  <c r="BT31" i="8"/>
  <c r="BP31" i="8"/>
  <c r="BO31" i="8"/>
  <c r="BN31" i="8"/>
  <c r="BM31" i="8"/>
  <c r="BL31" i="8"/>
  <c r="BK31" i="8"/>
  <c r="BJ31" i="8"/>
  <c r="BI31" i="8"/>
  <c r="BH31" i="8"/>
  <c r="BG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T31" i="8"/>
  <c r="AS31" i="8"/>
  <c r="AR31" i="8"/>
  <c r="AQ31" i="8"/>
  <c r="AP31" i="8"/>
  <c r="AO31" i="8"/>
  <c r="AN31" i="8"/>
  <c r="AM31" i="8"/>
  <c r="AJ31" i="8"/>
  <c r="AI31" i="8"/>
  <c r="AH31" i="8"/>
  <c r="AG31" i="8"/>
  <c r="AF31" i="8"/>
  <c r="AE31" i="8"/>
  <c r="AD31" i="8"/>
  <c r="AC31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CW30" i="8"/>
  <c r="CV30" i="8"/>
  <c r="CU30" i="8"/>
  <c r="CT30" i="8"/>
  <c r="CS30" i="8"/>
  <c r="CR30" i="8"/>
  <c r="CQ30" i="8"/>
  <c r="CP30" i="8"/>
  <c r="CO30" i="8"/>
  <c r="CN30" i="8"/>
  <c r="CM30" i="8"/>
  <c r="CL30" i="8"/>
  <c r="CK30" i="8"/>
  <c r="CJ30" i="8"/>
  <c r="CI30" i="8"/>
  <c r="CH30" i="8"/>
  <c r="CG30" i="8"/>
  <c r="CF30" i="8"/>
  <c r="CE30" i="8"/>
  <c r="CD30" i="8"/>
  <c r="CC30" i="8"/>
  <c r="CB30" i="8"/>
  <c r="CA30" i="8"/>
  <c r="BZ30" i="8"/>
  <c r="BY30" i="8"/>
  <c r="BX30" i="8"/>
  <c r="BW30" i="8"/>
  <c r="BV30" i="8"/>
  <c r="BU30" i="8"/>
  <c r="BT30" i="8"/>
  <c r="BP30" i="8"/>
  <c r="BO30" i="8"/>
  <c r="BN30" i="8"/>
  <c r="BM30" i="8"/>
  <c r="BL30" i="8"/>
  <c r="BK30" i="8"/>
  <c r="BJ30" i="8"/>
  <c r="BI30" i="8"/>
  <c r="BH30" i="8"/>
  <c r="BG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T30" i="8"/>
  <c r="AS30" i="8"/>
  <c r="AR30" i="8"/>
  <c r="AQ30" i="8"/>
  <c r="AP30" i="8"/>
  <c r="AO30" i="8"/>
  <c r="AN30" i="8"/>
  <c r="AM30" i="8"/>
  <c r="AJ30" i="8"/>
  <c r="AI30" i="8"/>
  <c r="AH30" i="8"/>
  <c r="AG30" i="8"/>
  <c r="AF30" i="8"/>
  <c r="AE30" i="8"/>
  <c r="AD30" i="8"/>
  <c r="AC30" i="8"/>
  <c r="AB30" i="8"/>
  <c r="AA30" i="8"/>
  <c r="Z30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CW29" i="8"/>
  <c r="CV29" i="8"/>
  <c r="CU29" i="8"/>
  <c r="CT29" i="8"/>
  <c r="CS29" i="8"/>
  <c r="CR29" i="8"/>
  <c r="CQ29" i="8"/>
  <c r="CP29" i="8"/>
  <c r="CO29" i="8"/>
  <c r="CN29" i="8"/>
  <c r="CM29" i="8"/>
  <c r="CL29" i="8"/>
  <c r="CK29" i="8"/>
  <c r="CJ29" i="8"/>
  <c r="CI29" i="8"/>
  <c r="CH29" i="8"/>
  <c r="CG29" i="8"/>
  <c r="CF29" i="8"/>
  <c r="CE29" i="8"/>
  <c r="CD29" i="8"/>
  <c r="CC29" i="8"/>
  <c r="CB29" i="8"/>
  <c r="CA29" i="8"/>
  <c r="BZ29" i="8"/>
  <c r="BY29" i="8"/>
  <c r="BX29" i="8"/>
  <c r="BW29" i="8"/>
  <c r="BV29" i="8"/>
  <c r="BU29" i="8"/>
  <c r="BT29" i="8"/>
  <c r="BP29" i="8"/>
  <c r="BO29" i="8"/>
  <c r="BN29" i="8"/>
  <c r="BM29" i="8"/>
  <c r="BL29" i="8"/>
  <c r="BK29" i="8"/>
  <c r="BJ29" i="8"/>
  <c r="BI29" i="8"/>
  <c r="BH29" i="8"/>
  <c r="BG29" i="8"/>
  <c r="BF29" i="8"/>
  <c r="BE29" i="8"/>
  <c r="BD29" i="8"/>
  <c r="BC29" i="8"/>
  <c r="BB29" i="8"/>
  <c r="BA29" i="8"/>
  <c r="AZ29" i="8"/>
  <c r="AY29" i="8"/>
  <c r="AX29" i="8"/>
  <c r="AW29" i="8"/>
  <c r="AV29" i="8"/>
  <c r="AU29" i="8"/>
  <c r="AT29" i="8"/>
  <c r="AS29" i="8"/>
  <c r="AR29" i="8"/>
  <c r="AQ29" i="8"/>
  <c r="AP29" i="8"/>
  <c r="AO29" i="8"/>
  <c r="AN29" i="8"/>
  <c r="AM29" i="8"/>
  <c r="AJ29" i="8"/>
  <c r="AI29" i="8"/>
  <c r="AH29" i="8"/>
  <c r="AG29" i="8"/>
  <c r="AF29" i="8"/>
  <c r="AE29" i="8"/>
  <c r="AD29" i="8"/>
  <c r="AC29" i="8"/>
  <c r="AB29" i="8"/>
  <c r="AA29" i="8"/>
  <c r="Z29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CW28" i="8"/>
  <c r="CV28" i="8"/>
  <c r="CU28" i="8"/>
  <c r="CT28" i="8"/>
  <c r="CS28" i="8"/>
  <c r="CR28" i="8"/>
  <c r="CQ28" i="8"/>
  <c r="CP28" i="8"/>
  <c r="CO28" i="8"/>
  <c r="CN28" i="8"/>
  <c r="CM28" i="8"/>
  <c r="CL28" i="8"/>
  <c r="CK28" i="8"/>
  <c r="CJ28" i="8"/>
  <c r="CI28" i="8"/>
  <c r="CH28" i="8"/>
  <c r="CG28" i="8"/>
  <c r="CF28" i="8"/>
  <c r="CE28" i="8"/>
  <c r="CD28" i="8"/>
  <c r="CC28" i="8"/>
  <c r="CB28" i="8"/>
  <c r="CA28" i="8"/>
  <c r="BZ28" i="8"/>
  <c r="BY28" i="8"/>
  <c r="BX28" i="8"/>
  <c r="BW28" i="8"/>
  <c r="BV28" i="8"/>
  <c r="BU28" i="8"/>
  <c r="BT28" i="8"/>
  <c r="BP28" i="8"/>
  <c r="BO28" i="8"/>
  <c r="BN28" i="8"/>
  <c r="BM28" i="8"/>
  <c r="BL28" i="8"/>
  <c r="BK28" i="8"/>
  <c r="BJ28" i="8"/>
  <c r="BI28" i="8"/>
  <c r="BH28" i="8"/>
  <c r="BG28" i="8"/>
  <c r="BF28" i="8"/>
  <c r="BE28" i="8"/>
  <c r="BD28" i="8"/>
  <c r="BC28" i="8"/>
  <c r="BB28" i="8"/>
  <c r="BA28" i="8"/>
  <c r="AZ28" i="8"/>
  <c r="AY28" i="8"/>
  <c r="AX28" i="8"/>
  <c r="AW28" i="8"/>
  <c r="AV28" i="8"/>
  <c r="AU28" i="8"/>
  <c r="AT28" i="8"/>
  <c r="AS28" i="8"/>
  <c r="AR28" i="8"/>
  <c r="AQ28" i="8"/>
  <c r="AP28" i="8"/>
  <c r="AO28" i="8"/>
  <c r="AN28" i="8"/>
  <c r="AM28" i="8"/>
  <c r="AJ28" i="8"/>
  <c r="AI28" i="8"/>
  <c r="AH28" i="8"/>
  <c r="AG28" i="8"/>
  <c r="AF28" i="8"/>
  <c r="AE28" i="8"/>
  <c r="AD28" i="8"/>
  <c r="AC28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CW27" i="8"/>
  <c r="CV27" i="8"/>
  <c r="CU27" i="8"/>
  <c r="CT27" i="8"/>
  <c r="CS27" i="8"/>
  <c r="CR27" i="8"/>
  <c r="CQ27" i="8"/>
  <c r="CP27" i="8"/>
  <c r="CO27" i="8"/>
  <c r="CN27" i="8"/>
  <c r="CM27" i="8"/>
  <c r="CL27" i="8"/>
  <c r="CK27" i="8"/>
  <c r="CJ27" i="8"/>
  <c r="CI27" i="8"/>
  <c r="CH27" i="8"/>
  <c r="CG27" i="8"/>
  <c r="CF27" i="8"/>
  <c r="CE27" i="8"/>
  <c r="CD27" i="8"/>
  <c r="CC27" i="8"/>
  <c r="CB27" i="8"/>
  <c r="CA27" i="8"/>
  <c r="BZ27" i="8"/>
  <c r="BY27" i="8"/>
  <c r="BX27" i="8"/>
  <c r="BW27" i="8"/>
  <c r="BV27" i="8"/>
  <c r="BU27" i="8"/>
  <c r="BT27" i="8"/>
  <c r="BP27" i="8"/>
  <c r="BO27" i="8"/>
  <c r="BN27" i="8"/>
  <c r="BM27" i="8"/>
  <c r="BL27" i="8"/>
  <c r="BK27" i="8"/>
  <c r="BJ27" i="8"/>
  <c r="BI27" i="8"/>
  <c r="BH27" i="8"/>
  <c r="BG27" i="8"/>
  <c r="BF27" i="8"/>
  <c r="BE27" i="8"/>
  <c r="BD27" i="8"/>
  <c r="BC27" i="8"/>
  <c r="BB27" i="8"/>
  <c r="BA27" i="8"/>
  <c r="AZ27" i="8"/>
  <c r="AY27" i="8"/>
  <c r="AX27" i="8"/>
  <c r="AW27" i="8"/>
  <c r="AV27" i="8"/>
  <c r="AU27" i="8"/>
  <c r="AT27" i="8"/>
  <c r="AS27" i="8"/>
  <c r="AR27" i="8"/>
  <c r="AQ27" i="8"/>
  <c r="AP27" i="8"/>
  <c r="AO27" i="8"/>
  <c r="AN27" i="8"/>
  <c r="AM27" i="8"/>
  <c r="AJ27" i="8"/>
  <c r="AI27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CW26" i="8"/>
  <c r="CV26" i="8"/>
  <c r="CU26" i="8"/>
  <c r="CT26" i="8"/>
  <c r="CS26" i="8"/>
  <c r="CR26" i="8"/>
  <c r="CQ26" i="8"/>
  <c r="CP26" i="8"/>
  <c r="CO26" i="8"/>
  <c r="CN26" i="8"/>
  <c r="CM26" i="8"/>
  <c r="CL26" i="8"/>
  <c r="CK26" i="8"/>
  <c r="CJ26" i="8"/>
  <c r="CI26" i="8"/>
  <c r="CH26" i="8"/>
  <c r="CG26" i="8"/>
  <c r="CF26" i="8"/>
  <c r="CE26" i="8"/>
  <c r="CD26" i="8"/>
  <c r="CC26" i="8"/>
  <c r="CB26" i="8"/>
  <c r="CA26" i="8"/>
  <c r="BZ26" i="8"/>
  <c r="BY26" i="8"/>
  <c r="BX26" i="8"/>
  <c r="BW26" i="8"/>
  <c r="BV26" i="8"/>
  <c r="BU26" i="8"/>
  <c r="BT26" i="8"/>
  <c r="BP26" i="8"/>
  <c r="BO26" i="8"/>
  <c r="BN26" i="8"/>
  <c r="BM26" i="8"/>
  <c r="BL26" i="8"/>
  <c r="BK26" i="8"/>
  <c r="BJ26" i="8"/>
  <c r="BI26" i="8"/>
  <c r="BH26" i="8"/>
  <c r="BG26" i="8"/>
  <c r="BF26" i="8"/>
  <c r="BE26" i="8"/>
  <c r="BD26" i="8"/>
  <c r="BC26" i="8"/>
  <c r="BB26" i="8"/>
  <c r="BA26" i="8"/>
  <c r="AZ26" i="8"/>
  <c r="AY26" i="8"/>
  <c r="AX26" i="8"/>
  <c r="AW26" i="8"/>
  <c r="AV26" i="8"/>
  <c r="AU26" i="8"/>
  <c r="AT26" i="8"/>
  <c r="AS26" i="8"/>
  <c r="AR26" i="8"/>
  <c r="AQ26" i="8"/>
  <c r="AP26" i="8"/>
  <c r="AO26" i="8"/>
  <c r="AN26" i="8"/>
  <c r="AM26" i="8"/>
  <c r="AG26" i="8"/>
  <c r="H26" i="8"/>
  <c r="G26" i="8"/>
  <c r="CW25" i="8"/>
  <c r="CV25" i="8"/>
  <c r="CU25" i="8"/>
  <c r="CT25" i="8"/>
  <c r="CS25" i="8"/>
  <c r="CR25" i="8"/>
  <c r="CQ25" i="8"/>
  <c r="CP25" i="8"/>
  <c r="CO25" i="8"/>
  <c r="CN25" i="8"/>
  <c r="CM25" i="8"/>
  <c r="CL25" i="8"/>
  <c r="CK25" i="8"/>
  <c r="CJ25" i="8"/>
  <c r="CI25" i="8"/>
  <c r="CH25" i="8"/>
  <c r="CG25" i="8"/>
  <c r="CF25" i="8"/>
  <c r="CE25" i="8"/>
  <c r="CD25" i="8"/>
  <c r="CC25" i="8"/>
  <c r="CB25" i="8"/>
  <c r="CA25" i="8"/>
  <c r="BZ25" i="8"/>
  <c r="BY25" i="8"/>
  <c r="BX25" i="8"/>
  <c r="BW25" i="8"/>
  <c r="BV25" i="8"/>
  <c r="BU25" i="8"/>
  <c r="BT25" i="8"/>
  <c r="BP25" i="8"/>
  <c r="BO25" i="8"/>
  <c r="BN25" i="8"/>
  <c r="BM25" i="8"/>
  <c r="BL25" i="8"/>
  <c r="BK25" i="8"/>
  <c r="BJ25" i="8"/>
  <c r="BI25" i="8"/>
  <c r="BH25" i="8"/>
  <c r="BG25" i="8"/>
  <c r="BF25" i="8"/>
  <c r="BE25" i="8"/>
  <c r="BD25" i="8"/>
  <c r="BC25" i="8"/>
  <c r="BB25" i="8"/>
  <c r="BA25" i="8"/>
  <c r="AZ25" i="8"/>
  <c r="AY25" i="8"/>
  <c r="AX25" i="8"/>
  <c r="AW25" i="8"/>
  <c r="AV25" i="8"/>
  <c r="AU25" i="8"/>
  <c r="AT25" i="8"/>
  <c r="AS25" i="8"/>
  <c r="AR25" i="8"/>
  <c r="AQ25" i="8"/>
  <c r="AP25" i="8"/>
  <c r="AO25" i="8"/>
  <c r="AN25" i="8"/>
  <c r="AM25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CW24" i="8"/>
  <c r="CV24" i="8"/>
  <c r="CU24" i="8"/>
  <c r="CT24" i="8"/>
  <c r="CS24" i="8"/>
  <c r="CR24" i="8"/>
  <c r="CQ24" i="8"/>
  <c r="CP24" i="8"/>
  <c r="CO24" i="8"/>
  <c r="CN24" i="8"/>
  <c r="CM24" i="8"/>
  <c r="CL24" i="8"/>
  <c r="CK24" i="8"/>
  <c r="CJ24" i="8"/>
  <c r="CI24" i="8"/>
  <c r="CH24" i="8"/>
  <c r="CG24" i="8"/>
  <c r="CF24" i="8"/>
  <c r="CE24" i="8"/>
  <c r="CD24" i="8"/>
  <c r="CC24" i="8"/>
  <c r="CB24" i="8"/>
  <c r="CA24" i="8"/>
  <c r="BZ24" i="8"/>
  <c r="BY24" i="8"/>
  <c r="BX24" i="8"/>
  <c r="BW24" i="8"/>
  <c r="BV24" i="8"/>
  <c r="BU24" i="8"/>
  <c r="BT24" i="8"/>
  <c r="BP24" i="8"/>
  <c r="BO24" i="8"/>
  <c r="BN24" i="8"/>
  <c r="BM24" i="8"/>
  <c r="BL24" i="8"/>
  <c r="BK24" i="8"/>
  <c r="BJ24" i="8"/>
  <c r="BI24" i="8"/>
  <c r="BH24" i="8"/>
  <c r="BG24" i="8"/>
  <c r="BF24" i="8"/>
  <c r="BE24" i="8"/>
  <c r="BD24" i="8"/>
  <c r="BC24" i="8"/>
  <c r="BB24" i="8"/>
  <c r="BA24" i="8"/>
  <c r="AZ24" i="8"/>
  <c r="AY24" i="8"/>
  <c r="AX24" i="8"/>
  <c r="AW24" i="8"/>
  <c r="AV24" i="8"/>
  <c r="AU24" i="8"/>
  <c r="AT24" i="8"/>
  <c r="AS24" i="8"/>
  <c r="AR24" i="8"/>
  <c r="AQ24" i="8"/>
  <c r="AP24" i="8"/>
  <c r="AO24" i="8"/>
  <c r="AN24" i="8"/>
  <c r="AM24" i="8"/>
  <c r="AJ24" i="8"/>
  <c r="AI24" i="8"/>
  <c r="AH24" i="8"/>
  <c r="AG24" i="8"/>
  <c r="AF24" i="8"/>
  <c r="AE24" i="8"/>
  <c r="AD24" i="8"/>
  <c r="AC24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CW23" i="8"/>
  <c r="CV23" i="8"/>
  <c r="CU23" i="8"/>
  <c r="CT23" i="8"/>
  <c r="CS23" i="8"/>
  <c r="CR23" i="8"/>
  <c r="CQ23" i="8"/>
  <c r="CP23" i="8"/>
  <c r="CO23" i="8"/>
  <c r="CN23" i="8"/>
  <c r="CM23" i="8"/>
  <c r="CL23" i="8"/>
  <c r="CK23" i="8"/>
  <c r="CJ23" i="8"/>
  <c r="CI23" i="8"/>
  <c r="CH23" i="8"/>
  <c r="CG23" i="8"/>
  <c r="CF23" i="8"/>
  <c r="CE23" i="8"/>
  <c r="CD23" i="8"/>
  <c r="CC23" i="8"/>
  <c r="CB23" i="8"/>
  <c r="CA23" i="8"/>
  <c r="BZ23" i="8"/>
  <c r="BY23" i="8"/>
  <c r="BX23" i="8"/>
  <c r="BW23" i="8"/>
  <c r="BV23" i="8"/>
  <c r="BU23" i="8"/>
  <c r="BT23" i="8"/>
  <c r="BP23" i="8"/>
  <c r="BO23" i="8"/>
  <c r="BN23" i="8"/>
  <c r="BM23" i="8"/>
  <c r="BL23" i="8"/>
  <c r="BK23" i="8"/>
  <c r="BJ23" i="8"/>
  <c r="BI23" i="8"/>
  <c r="BH23" i="8"/>
  <c r="BG23" i="8"/>
  <c r="BF23" i="8"/>
  <c r="BE23" i="8"/>
  <c r="BD23" i="8"/>
  <c r="BC23" i="8"/>
  <c r="BB23" i="8"/>
  <c r="BA23" i="8"/>
  <c r="AZ23" i="8"/>
  <c r="AY23" i="8"/>
  <c r="AX23" i="8"/>
  <c r="AW23" i="8"/>
  <c r="AV23" i="8"/>
  <c r="AU23" i="8"/>
  <c r="AT23" i="8"/>
  <c r="AS23" i="8"/>
  <c r="AR23" i="8"/>
  <c r="AQ23" i="8"/>
  <c r="AP23" i="8"/>
  <c r="AO23" i="8"/>
  <c r="AN23" i="8"/>
  <c r="AM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CW22" i="8"/>
  <c r="CV22" i="8"/>
  <c r="CU22" i="8"/>
  <c r="CT22" i="8"/>
  <c r="CS22" i="8"/>
  <c r="CR22" i="8"/>
  <c r="CQ22" i="8"/>
  <c r="CP22" i="8"/>
  <c r="CO22" i="8"/>
  <c r="CN22" i="8"/>
  <c r="CM22" i="8"/>
  <c r="CL22" i="8"/>
  <c r="CK22" i="8"/>
  <c r="CJ22" i="8"/>
  <c r="CI22" i="8"/>
  <c r="CH22" i="8"/>
  <c r="CG22" i="8"/>
  <c r="CF22" i="8"/>
  <c r="CE22" i="8"/>
  <c r="CD22" i="8"/>
  <c r="CC22" i="8"/>
  <c r="CB22" i="8"/>
  <c r="CA22" i="8"/>
  <c r="BZ22" i="8"/>
  <c r="BY22" i="8"/>
  <c r="BX22" i="8"/>
  <c r="BW22" i="8"/>
  <c r="BV22" i="8"/>
  <c r="BU22" i="8"/>
  <c r="BT22" i="8"/>
  <c r="BP22" i="8"/>
  <c r="BO22" i="8"/>
  <c r="BN22" i="8"/>
  <c r="BM22" i="8"/>
  <c r="BL22" i="8"/>
  <c r="BK22" i="8"/>
  <c r="BJ22" i="8"/>
  <c r="BI22" i="8"/>
  <c r="BH22" i="8"/>
  <c r="BG22" i="8"/>
  <c r="BF22" i="8"/>
  <c r="BE22" i="8"/>
  <c r="BD22" i="8"/>
  <c r="BC22" i="8"/>
  <c r="BB22" i="8"/>
  <c r="BA22" i="8"/>
  <c r="AZ22" i="8"/>
  <c r="AY22" i="8"/>
  <c r="AX22" i="8"/>
  <c r="AW22" i="8"/>
  <c r="AV22" i="8"/>
  <c r="AU22" i="8"/>
  <c r="AT22" i="8"/>
  <c r="AS22" i="8"/>
  <c r="AR22" i="8"/>
  <c r="AQ22" i="8"/>
  <c r="AP22" i="8"/>
  <c r="AO22" i="8"/>
  <c r="AN22" i="8"/>
  <c r="AM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CW21" i="8"/>
  <c r="CV21" i="8"/>
  <c r="CU21" i="8"/>
  <c r="CT21" i="8"/>
  <c r="CS21" i="8"/>
  <c r="CR21" i="8"/>
  <c r="CQ21" i="8"/>
  <c r="CP21" i="8"/>
  <c r="CO21" i="8"/>
  <c r="CN21" i="8"/>
  <c r="CM21" i="8"/>
  <c r="CL21" i="8"/>
  <c r="CK21" i="8"/>
  <c r="CJ21" i="8"/>
  <c r="CI21" i="8"/>
  <c r="CH21" i="8"/>
  <c r="CG21" i="8"/>
  <c r="CF21" i="8"/>
  <c r="CE21" i="8"/>
  <c r="CD21" i="8"/>
  <c r="CC21" i="8"/>
  <c r="CB21" i="8"/>
  <c r="CA21" i="8"/>
  <c r="BZ21" i="8"/>
  <c r="BY21" i="8"/>
  <c r="BX21" i="8"/>
  <c r="BW21" i="8"/>
  <c r="BV21" i="8"/>
  <c r="BU21" i="8"/>
  <c r="BT21" i="8"/>
  <c r="BP21" i="8"/>
  <c r="BO21" i="8"/>
  <c r="BN21" i="8"/>
  <c r="BM21" i="8"/>
  <c r="BL21" i="8"/>
  <c r="BK21" i="8"/>
  <c r="BJ21" i="8"/>
  <c r="BI21" i="8"/>
  <c r="BH21" i="8"/>
  <c r="BG21" i="8"/>
  <c r="BF21" i="8"/>
  <c r="BE21" i="8"/>
  <c r="BD21" i="8"/>
  <c r="BC21" i="8"/>
  <c r="BB21" i="8"/>
  <c r="BA21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N21" i="8"/>
  <c r="AM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CW20" i="8"/>
  <c r="CV20" i="8"/>
  <c r="CU20" i="8"/>
  <c r="CT20" i="8"/>
  <c r="CS20" i="8"/>
  <c r="CR20" i="8"/>
  <c r="CQ20" i="8"/>
  <c r="CP20" i="8"/>
  <c r="CO20" i="8"/>
  <c r="CN20" i="8"/>
  <c r="CM20" i="8"/>
  <c r="CL20" i="8"/>
  <c r="CK20" i="8"/>
  <c r="CJ20" i="8"/>
  <c r="CI20" i="8"/>
  <c r="CH20" i="8"/>
  <c r="CG20" i="8"/>
  <c r="CF20" i="8"/>
  <c r="CE20" i="8"/>
  <c r="CD20" i="8"/>
  <c r="CC20" i="8"/>
  <c r="CB20" i="8"/>
  <c r="CA20" i="8"/>
  <c r="BZ20" i="8"/>
  <c r="BY20" i="8"/>
  <c r="BX20" i="8"/>
  <c r="BW20" i="8"/>
  <c r="BV20" i="8"/>
  <c r="BU20" i="8"/>
  <c r="BT20" i="8"/>
  <c r="BP20" i="8"/>
  <c r="BO20" i="8"/>
  <c r="BN20" i="8"/>
  <c r="BM20" i="8"/>
  <c r="BL20" i="8"/>
  <c r="BK20" i="8"/>
  <c r="BJ20" i="8"/>
  <c r="BI20" i="8"/>
  <c r="BH20" i="8"/>
  <c r="BG20" i="8"/>
  <c r="BF20" i="8"/>
  <c r="BE20" i="8"/>
  <c r="BD20" i="8"/>
  <c r="BC20" i="8"/>
  <c r="BB20" i="8"/>
  <c r="BA20" i="8"/>
  <c r="AZ20" i="8"/>
  <c r="AY20" i="8"/>
  <c r="AX20" i="8"/>
  <c r="AW20" i="8"/>
  <c r="AV20" i="8"/>
  <c r="AU20" i="8"/>
  <c r="AT20" i="8"/>
  <c r="AS20" i="8"/>
  <c r="AR20" i="8"/>
  <c r="AQ20" i="8"/>
  <c r="AP20" i="8"/>
  <c r="AO20" i="8"/>
  <c r="AN20" i="8"/>
  <c r="AM20" i="8"/>
  <c r="AJ20" i="8"/>
  <c r="AI20" i="8"/>
  <c r="AH20" i="8"/>
  <c r="AG20" i="8"/>
  <c r="AF20" i="8"/>
  <c r="AE20" i="8"/>
  <c r="AD20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CW19" i="8"/>
  <c r="CV19" i="8"/>
  <c r="CU19" i="8"/>
  <c r="CT19" i="8"/>
  <c r="CS19" i="8"/>
  <c r="CR19" i="8"/>
  <c r="CQ19" i="8"/>
  <c r="CP19" i="8"/>
  <c r="CO19" i="8"/>
  <c r="CN19" i="8"/>
  <c r="CM19" i="8"/>
  <c r="CL19" i="8"/>
  <c r="CK19" i="8"/>
  <c r="CJ19" i="8"/>
  <c r="CI19" i="8"/>
  <c r="CH19" i="8"/>
  <c r="CG19" i="8"/>
  <c r="CF19" i="8"/>
  <c r="CE19" i="8"/>
  <c r="CD19" i="8"/>
  <c r="CC19" i="8"/>
  <c r="CB19" i="8"/>
  <c r="CA19" i="8"/>
  <c r="BZ19" i="8"/>
  <c r="BY19" i="8"/>
  <c r="BX19" i="8"/>
  <c r="BW19" i="8"/>
  <c r="BV19" i="8"/>
  <c r="BU19" i="8"/>
  <c r="BT19" i="8"/>
  <c r="BP19" i="8"/>
  <c r="BO19" i="8"/>
  <c r="BN19" i="8"/>
  <c r="BM19" i="8"/>
  <c r="BL19" i="8"/>
  <c r="BK19" i="8"/>
  <c r="BJ19" i="8"/>
  <c r="BI19" i="8"/>
  <c r="BH19" i="8"/>
  <c r="BG19" i="8"/>
  <c r="BF19" i="8"/>
  <c r="BE19" i="8"/>
  <c r="BD19" i="8"/>
  <c r="BC19" i="8"/>
  <c r="BB19" i="8"/>
  <c r="BA19" i="8"/>
  <c r="AZ19" i="8"/>
  <c r="AY19" i="8"/>
  <c r="AX19" i="8"/>
  <c r="AW19" i="8"/>
  <c r="AV19" i="8"/>
  <c r="AU19" i="8"/>
  <c r="AT19" i="8"/>
  <c r="AS19" i="8"/>
  <c r="AR19" i="8"/>
  <c r="AQ19" i="8"/>
  <c r="AP19" i="8"/>
  <c r="AO19" i="8"/>
  <c r="AN19" i="8"/>
  <c r="AM19" i="8"/>
  <c r="AG19" i="8"/>
  <c r="H19" i="8"/>
  <c r="G19" i="8"/>
  <c r="CW18" i="8"/>
  <c r="CV18" i="8"/>
  <c r="CU18" i="8"/>
  <c r="CT18" i="8"/>
  <c r="CS18" i="8"/>
  <c r="CR18" i="8"/>
  <c r="CQ18" i="8"/>
  <c r="CP18" i="8"/>
  <c r="CO18" i="8"/>
  <c r="CN18" i="8"/>
  <c r="CM18" i="8"/>
  <c r="CL18" i="8"/>
  <c r="CK18" i="8"/>
  <c r="CJ18" i="8"/>
  <c r="CI18" i="8"/>
  <c r="CH18" i="8"/>
  <c r="CG18" i="8"/>
  <c r="CF18" i="8"/>
  <c r="CE18" i="8"/>
  <c r="CD18" i="8"/>
  <c r="CC18" i="8"/>
  <c r="CB18" i="8"/>
  <c r="CA18" i="8"/>
  <c r="BZ18" i="8"/>
  <c r="BY18" i="8"/>
  <c r="BX18" i="8"/>
  <c r="BW18" i="8"/>
  <c r="BV18" i="8"/>
  <c r="BU18" i="8"/>
  <c r="BT18" i="8"/>
  <c r="BP18" i="8"/>
  <c r="BO18" i="8"/>
  <c r="BN18" i="8"/>
  <c r="BM18" i="8"/>
  <c r="BL18" i="8"/>
  <c r="BK18" i="8"/>
  <c r="BJ18" i="8"/>
  <c r="BI18" i="8"/>
  <c r="BH18" i="8"/>
  <c r="BG18" i="8"/>
  <c r="BF18" i="8"/>
  <c r="BE18" i="8"/>
  <c r="BD18" i="8"/>
  <c r="BC18" i="8"/>
  <c r="BB18" i="8"/>
  <c r="BA18" i="8"/>
  <c r="AZ18" i="8"/>
  <c r="AY18" i="8"/>
  <c r="AX18" i="8"/>
  <c r="AW18" i="8"/>
  <c r="AV18" i="8"/>
  <c r="AU18" i="8"/>
  <c r="AT18" i="8"/>
  <c r="AS18" i="8"/>
  <c r="AR18" i="8"/>
  <c r="AQ18" i="8"/>
  <c r="AP18" i="8"/>
  <c r="AO18" i="8"/>
  <c r="AN18" i="8"/>
  <c r="AM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CW17" i="8"/>
  <c r="CV17" i="8"/>
  <c r="CU17" i="8"/>
  <c r="CT17" i="8"/>
  <c r="CS17" i="8"/>
  <c r="CR17" i="8"/>
  <c r="CQ17" i="8"/>
  <c r="CP17" i="8"/>
  <c r="CO17" i="8"/>
  <c r="CN17" i="8"/>
  <c r="CM17" i="8"/>
  <c r="CL17" i="8"/>
  <c r="CK17" i="8"/>
  <c r="CJ17" i="8"/>
  <c r="CI17" i="8"/>
  <c r="CH17" i="8"/>
  <c r="CG17" i="8"/>
  <c r="CF17" i="8"/>
  <c r="CE17" i="8"/>
  <c r="CD17" i="8"/>
  <c r="CC17" i="8"/>
  <c r="CB17" i="8"/>
  <c r="CA17" i="8"/>
  <c r="BZ17" i="8"/>
  <c r="BY17" i="8"/>
  <c r="BX17" i="8"/>
  <c r="BW17" i="8"/>
  <c r="BV17" i="8"/>
  <c r="BU17" i="8"/>
  <c r="BT17" i="8"/>
  <c r="BP17" i="8"/>
  <c r="BO17" i="8"/>
  <c r="BN17" i="8"/>
  <c r="BM17" i="8"/>
  <c r="BL17" i="8"/>
  <c r="BK17" i="8"/>
  <c r="BJ17" i="8"/>
  <c r="BI17" i="8"/>
  <c r="BH17" i="8"/>
  <c r="BG17" i="8"/>
  <c r="BF17" i="8"/>
  <c r="BE17" i="8"/>
  <c r="BD17" i="8"/>
  <c r="BC17" i="8"/>
  <c r="BB17" i="8"/>
  <c r="BA17" i="8"/>
  <c r="AZ17" i="8"/>
  <c r="AY17" i="8"/>
  <c r="AX17" i="8"/>
  <c r="AW17" i="8"/>
  <c r="AV17" i="8"/>
  <c r="AU17" i="8"/>
  <c r="AT17" i="8"/>
  <c r="AS17" i="8"/>
  <c r="AR17" i="8"/>
  <c r="AQ17" i="8"/>
  <c r="AP17" i="8"/>
  <c r="AO17" i="8"/>
  <c r="AN17" i="8"/>
  <c r="AM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CW16" i="8"/>
  <c r="CV16" i="8"/>
  <c r="CU16" i="8"/>
  <c r="CT16" i="8"/>
  <c r="CS16" i="8"/>
  <c r="CR16" i="8"/>
  <c r="CQ16" i="8"/>
  <c r="CP16" i="8"/>
  <c r="CO16" i="8"/>
  <c r="CN16" i="8"/>
  <c r="CM16" i="8"/>
  <c r="CL16" i="8"/>
  <c r="CK16" i="8"/>
  <c r="CJ16" i="8"/>
  <c r="CI16" i="8"/>
  <c r="CH16" i="8"/>
  <c r="CG16" i="8"/>
  <c r="CF16" i="8"/>
  <c r="CE16" i="8"/>
  <c r="CD16" i="8"/>
  <c r="CC16" i="8"/>
  <c r="CB16" i="8"/>
  <c r="CA16" i="8"/>
  <c r="BZ16" i="8"/>
  <c r="BY16" i="8"/>
  <c r="BX16" i="8"/>
  <c r="BW16" i="8"/>
  <c r="BV16" i="8"/>
  <c r="BU16" i="8"/>
  <c r="BT16" i="8"/>
  <c r="BP16" i="8"/>
  <c r="BO16" i="8"/>
  <c r="BN16" i="8"/>
  <c r="BM16" i="8"/>
  <c r="BL16" i="8"/>
  <c r="BK16" i="8"/>
  <c r="BJ16" i="8"/>
  <c r="BI16" i="8"/>
  <c r="BH16" i="8"/>
  <c r="BG16" i="8"/>
  <c r="BF16" i="8"/>
  <c r="BE16" i="8"/>
  <c r="BD16" i="8"/>
  <c r="BC16" i="8"/>
  <c r="BB16" i="8"/>
  <c r="BA16" i="8"/>
  <c r="AZ16" i="8"/>
  <c r="AY16" i="8"/>
  <c r="AX16" i="8"/>
  <c r="AW16" i="8"/>
  <c r="AV16" i="8"/>
  <c r="AU16" i="8"/>
  <c r="AT16" i="8"/>
  <c r="AS16" i="8"/>
  <c r="AR16" i="8"/>
  <c r="AQ16" i="8"/>
  <c r="AP16" i="8"/>
  <c r="AO16" i="8"/>
  <c r="AN16" i="8"/>
  <c r="AM16" i="8"/>
  <c r="AJ16" i="8"/>
  <c r="AI16" i="8"/>
  <c r="AH16" i="8"/>
  <c r="AG16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CW15" i="8"/>
  <c r="CV15" i="8"/>
  <c r="CU15" i="8"/>
  <c r="CT15" i="8"/>
  <c r="CS15" i="8"/>
  <c r="CR15" i="8"/>
  <c r="CQ15" i="8"/>
  <c r="CP15" i="8"/>
  <c r="CO15" i="8"/>
  <c r="CN15" i="8"/>
  <c r="CM15" i="8"/>
  <c r="CL15" i="8"/>
  <c r="CK15" i="8"/>
  <c r="CJ15" i="8"/>
  <c r="CI15" i="8"/>
  <c r="CH15" i="8"/>
  <c r="CG15" i="8"/>
  <c r="CF15" i="8"/>
  <c r="CE15" i="8"/>
  <c r="CD15" i="8"/>
  <c r="CC15" i="8"/>
  <c r="CB15" i="8"/>
  <c r="CA15" i="8"/>
  <c r="BZ15" i="8"/>
  <c r="BY15" i="8"/>
  <c r="BX15" i="8"/>
  <c r="BW15" i="8"/>
  <c r="BV15" i="8"/>
  <c r="BU15" i="8"/>
  <c r="BT15" i="8"/>
  <c r="BP15" i="8"/>
  <c r="BO15" i="8"/>
  <c r="BN15" i="8"/>
  <c r="BM15" i="8"/>
  <c r="BL15" i="8"/>
  <c r="BK15" i="8"/>
  <c r="BJ15" i="8"/>
  <c r="BI15" i="8"/>
  <c r="BH15" i="8"/>
  <c r="BG15" i="8"/>
  <c r="BF15" i="8"/>
  <c r="BE15" i="8"/>
  <c r="BD15" i="8"/>
  <c r="BC15" i="8"/>
  <c r="BB15" i="8"/>
  <c r="BA15" i="8"/>
  <c r="AZ15" i="8"/>
  <c r="AY15" i="8"/>
  <c r="AX15" i="8"/>
  <c r="AW15" i="8"/>
  <c r="AV15" i="8"/>
  <c r="AU15" i="8"/>
  <c r="AT15" i="8"/>
  <c r="AS15" i="8"/>
  <c r="AR15" i="8"/>
  <c r="AQ15" i="8"/>
  <c r="AP15" i="8"/>
  <c r="AO15" i="8"/>
  <c r="AN15" i="8"/>
  <c r="AM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CW14" i="8"/>
  <c r="CV14" i="8"/>
  <c r="CU14" i="8"/>
  <c r="CT14" i="8"/>
  <c r="CS14" i="8"/>
  <c r="CR14" i="8"/>
  <c r="CQ14" i="8"/>
  <c r="CP14" i="8"/>
  <c r="CO14" i="8"/>
  <c r="CN14" i="8"/>
  <c r="CM14" i="8"/>
  <c r="CL14" i="8"/>
  <c r="CK14" i="8"/>
  <c r="CJ14" i="8"/>
  <c r="CI14" i="8"/>
  <c r="CH14" i="8"/>
  <c r="CG14" i="8"/>
  <c r="CF14" i="8"/>
  <c r="CE14" i="8"/>
  <c r="CD14" i="8"/>
  <c r="CC14" i="8"/>
  <c r="CB14" i="8"/>
  <c r="CA14" i="8"/>
  <c r="BZ14" i="8"/>
  <c r="BY14" i="8"/>
  <c r="BX14" i="8"/>
  <c r="BW14" i="8"/>
  <c r="BV14" i="8"/>
  <c r="BU14" i="8"/>
  <c r="BT14" i="8"/>
  <c r="BP14" i="8"/>
  <c r="BO14" i="8"/>
  <c r="BN14" i="8"/>
  <c r="BM14" i="8"/>
  <c r="BL14" i="8"/>
  <c r="BK14" i="8"/>
  <c r="BJ14" i="8"/>
  <c r="BI14" i="8"/>
  <c r="BH14" i="8"/>
  <c r="BG14" i="8"/>
  <c r="BF14" i="8"/>
  <c r="BE14" i="8"/>
  <c r="BD14" i="8"/>
  <c r="BC14" i="8"/>
  <c r="BB14" i="8"/>
  <c r="BA14" i="8"/>
  <c r="AZ14" i="8"/>
  <c r="AY14" i="8"/>
  <c r="AX14" i="8"/>
  <c r="AW14" i="8"/>
  <c r="AV14" i="8"/>
  <c r="AU14" i="8"/>
  <c r="AT14" i="8"/>
  <c r="AS14" i="8"/>
  <c r="AR14" i="8"/>
  <c r="AQ14" i="8"/>
  <c r="AP14" i="8"/>
  <c r="AO14" i="8"/>
  <c r="AN14" i="8"/>
  <c r="AM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CW13" i="8"/>
  <c r="CV13" i="8"/>
  <c r="CU13" i="8"/>
  <c r="CT13" i="8"/>
  <c r="CS13" i="8"/>
  <c r="CR13" i="8"/>
  <c r="CQ13" i="8"/>
  <c r="CP13" i="8"/>
  <c r="CO13" i="8"/>
  <c r="CN13" i="8"/>
  <c r="CM13" i="8"/>
  <c r="CL13" i="8"/>
  <c r="CK13" i="8"/>
  <c r="CJ13" i="8"/>
  <c r="CI13" i="8"/>
  <c r="CH13" i="8"/>
  <c r="CG13" i="8"/>
  <c r="CF13" i="8"/>
  <c r="CE13" i="8"/>
  <c r="CD13" i="8"/>
  <c r="CC13" i="8"/>
  <c r="CB13" i="8"/>
  <c r="CA13" i="8"/>
  <c r="BZ13" i="8"/>
  <c r="BY13" i="8"/>
  <c r="BX13" i="8"/>
  <c r="BW13" i="8"/>
  <c r="BV13" i="8"/>
  <c r="BU13" i="8"/>
  <c r="BT13" i="8"/>
  <c r="BP13" i="8"/>
  <c r="BO13" i="8"/>
  <c r="BN13" i="8"/>
  <c r="BM13" i="8"/>
  <c r="BL13" i="8"/>
  <c r="BK13" i="8"/>
  <c r="BJ13" i="8"/>
  <c r="BI13" i="8"/>
  <c r="BH13" i="8"/>
  <c r="BG13" i="8"/>
  <c r="BF13" i="8"/>
  <c r="BE13" i="8"/>
  <c r="BD13" i="8"/>
  <c r="BC13" i="8"/>
  <c r="BB13" i="8"/>
  <c r="BA13" i="8"/>
  <c r="AZ13" i="8"/>
  <c r="AY13" i="8"/>
  <c r="AX13" i="8"/>
  <c r="AW13" i="8"/>
  <c r="AV13" i="8"/>
  <c r="AU13" i="8"/>
  <c r="AT13" i="8"/>
  <c r="AS13" i="8"/>
  <c r="AR13" i="8"/>
  <c r="AQ13" i="8"/>
  <c r="AP13" i="8"/>
  <c r="AO13" i="8"/>
  <c r="AN13" i="8"/>
  <c r="AM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CW12" i="8"/>
  <c r="CV12" i="8"/>
  <c r="CU12" i="8"/>
  <c r="CT12" i="8"/>
  <c r="CS12" i="8"/>
  <c r="CR12" i="8"/>
  <c r="CQ12" i="8"/>
  <c r="CP12" i="8"/>
  <c r="CO12" i="8"/>
  <c r="CN12" i="8"/>
  <c r="CM12" i="8"/>
  <c r="CL12" i="8"/>
  <c r="CK12" i="8"/>
  <c r="CJ12" i="8"/>
  <c r="CI12" i="8"/>
  <c r="CH12" i="8"/>
  <c r="CG12" i="8"/>
  <c r="CF12" i="8"/>
  <c r="CE12" i="8"/>
  <c r="CD12" i="8"/>
  <c r="CC12" i="8"/>
  <c r="CB12" i="8"/>
  <c r="CA12" i="8"/>
  <c r="BZ12" i="8"/>
  <c r="BY12" i="8"/>
  <c r="BX12" i="8"/>
  <c r="BW12" i="8"/>
  <c r="BV12" i="8"/>
  <c r="BU12" i="8"/>
  <c r="BT12" i="8"/>
  <c r="BP12" i="8"/>
  <c r="BO12" i="8"/>
  <c r="BN12" i="8"/>
  <c r="BM12" i="8"/>
  <c r="BL12" i="8"/>
  <c r="BK12" i="8"/>
  <c r="BJ12" i="8"/>
  <c r="BI12" i="8"/>
  <c r="BH12" i="8"/>
  <c r="BG12" i="8"/>
  <c r="BF12" i="8"/>
  <c r="BE12" i="8"/>
  <c r="BD12" i="8"/>
  <c r="BC12" i="8"/>
  <c r="BB12" i="8"/>
  <c r="BA12" i="8"/>
  <c r="AZ12" i="8"/>
  <c r="AY12" i="8"/>
  <c r="AX12" i="8"/>
  <c r="AW12" i="8"/>
  <c r="AV12" i="8"/>
  <c r="AU12" i="8"/>
  <c r="AT12" i="8"/>
  <c r="AS12" i="8"/>
  <c r="AR12" i="8"/>
  <c r="AQ12" i="8"/>
  <c r="AP12" i="8"/>
  <c r="AO12" i="8"/>
  <c r="AN12" i="8"/>
  <c r="AM12" i="8"/>
  <c r="AJ12" i="8"/>
  <c r="AI12" i="8"/>
  <c r="AH12" i="8"/>
  <c r="AG12" i="8"/>
  <c r="AF12" i="8"/>
  <c r="AE12" i="8"/>
  <c r="AD12" i="8"/>
  <c r="AC12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CW11" i="8"/>
  <c r="CV11" i="8"/>
  <c r="CU11" i="8"/>
  <c r="CT11" i="8"/>
  <c r="CS11" i="8"/>
  <c r="CR11" i="8"/>
  <c r="CQ11" i="8"/>
  <c r="CP11" i="8"/>
  <c r="CO11" i="8"/>
  <c r="CN11" i="8"/>
  <c r="CM11" i="8"/>
  <c r="CL11" i="8"/>
  <c r="CK11" i="8"/>
  <c r="CJ11" i="8"/>
  <c r="CI11" i="8"/>
  <c r="CH11" i="8"/>
  <c r="CG11" i="8"/>
  <c r="CF11" i="8"/>
  <c r="CE11" i="8"/>
  <c r="CD11" i="8"/>
  <c r="CC11" i="8"/>
  <c r="CB11" i="8"/>
  <c r="CA11" i="8"/>
  <c r="BZ11" i="8"/>
  <c r="BY11" i="8"/>
  <c r="BX11" i="8"/>
  <c r="BW11" i="8"/>
  <c r="BV11" i="8"/>
  <c r="BU11" i="8"/>
  <c r="BT11" i="8"/>
  <c r="BP11" i="8"/>
  <c r="BO11" i="8"/>
  <c r="BN11" i="8"/>
  <c r="BM11" i="8"/>
  <c r="BL11" i="8"/>
  <c r="BK11" i="8"/>
  <c r="BJ11" i="8"/>
  <c r="BI11" i="8"/>
  <c r="BH11" i="8"/>
  <c r="BG11" i="8"/>
  <c r="BF11" i="8"/>
  <c r="BE11" i="8"/>
  <c r="BD11" i="8"/>
  <c r="BC11" i="8"/>
  <c r="BB11" i="8"/>
  <c r="BA11" i="8"/>
  <c r="AZ11" i="8"/>
  <c r="AY11" i="8"/>
  <c r="AX11" i="8"/>
  <c r="AW11" i="8"/>
  <c r="AV11" i="8"/>
  <c r="AU11" i="8"/>
  <c r="AT11" i="8"/>
  <c r="AS11" i="8"/>
  <c r="AR11" i="8"/>
  <c r="AQ11" i="8"/>
  <c r="AP11" i="8"/>
  <c r="AO11" i="8"/>
  <c r="AN11" i="8"/>
  <c r="AM11" i="8"/>
  <c r="AJ11" i="8"/>
  <c r="AI11" i="8"/>
  <c r="AH11" i="8"/>
  <c r="AG11" i="8"/>
  <c r="AF11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CW10" i="8"/>
  <c r="CV10" i="8"/>
  <c r="CU10" i="8"/>
  <c r="CT10" i="8"/>
  <c r="CS10" i="8"/>
  <c r="CR10" i="8"/>
  <c r="CQ10" i="8"/>
  <c r="CP10" i="8"/>
  <c r="CO10" i="8"/>
  <c r="CN10" i="8"/>
  <c r="CM10" i="8"/>
  <c r="CL10" i="8"/>
  <c r="CK10" i="8"/>
  <c r="CJ10" i="8"/>
  <c r="CI10" i="8"/>
  <c r="CH10" i="8"/>
  <c r="CG10" i="8"/>
  <c r="CF10" i="8"/>
  <c r="CE10" i="8"/>
  <c r="CD10" i="8"/>
  <c r="CC10" i="8"/>
  <c r="CB10" i="8"/>
  <c r="CA10" i="8"/>
  <c r="BZ10" i="8"/>
  <c r="BY10" i="8"/>
  <c r="BX10" i="8"/>
  <c r="BW10" i="8"/>
  <c r="BV10" i="8"/>
  <c r="BU10" i="8"/>
  <c r="BT10" i="8"/>
  <c r="BP10" i="8"/>
  <c r="BO10" i="8"/>
  <c r="BN10" i="8"/>
  <c r="BM10" i="8"/>
  <c r="BL10" i="8"/>
  <c r="BK10" i="8"/>
  <c r="BJ10" i="8"/>
  <c r="BI10" i="8"/>
  <c r="BH10" i="8"/>
  <c r="BG10" i="8"/>
  <c r="BF10" i="8"/>
  <c r="BE10" i="8"/>
  <c r="BD10" i="8"/>
  <c r="BC10" i="8"/>
  <c r="BB10" i="8"/>
  <c r="BA10" i="8"/>
  <c r="AZ10" i="8"/>
  <c r="AY10" i="8"/>
  <c r="AX10" i="8"/>
  <c r="AW10" i="8"/>
  <c r="AV10" i="8"/>
  <c r="AU10" i="8"/>
  <c r="AT10" i="8"/>
  <c r="AS10" i="8"/>
  <c r="AR10" i="8"/>
  <c r="AQ10" i="8"/>
  <c r="AP10" i="8"/>
  <c r="AO10" i="8"/>
  <c r="AN10" i="8"/>
  <c r="AM10" i="8"/>
  <c r="AJ10" i="8"/>
  <c r="AI10" i="8"/>
  <c r="AH10" i="8"/>
  <c r="AG10" i="8"/>
  <c r="AF10" i="8"/>
  <c r="AE10" i="8"/>
  <c r="AD10" i="8"/>
  <c r="AC10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CW9" i="8"/>
  <c r="CV9" i="8"/>
  <c r="CU9" i="8"/>
  <c r="CT9" i="8"/>
  <c r="CS9" i="8"/>
  <c r="CR9" i="8"/>
  <c r="CQ9" i="8"/>
  <c r="CP9" i="8"/>
  <c r="CO9" i="8"/>
  <c r="CN9" i="8"/>
  <c r="CM9" i="8"/>
  <c r="CL9" i="8"/>
  <c r="CK9" i="8"/>
  <c r="CJ9" i="8"/>
  <c r="CI9" i="8"/>
  <c r="CH9" i="8"/>
  <c r="CG9" i="8"/>
  <c r="CF9" i="8"/>
  <c r="CE9" i="8"/>
  <c r="CD9" i="8"/>
  <c r="CC9" i="8"/>
  <c r="CB9" i="8"/>
  <c r="CA9" i="8"/>
  <c r="BZ9" i="8"/>
  <c r="BY9" i="8"/>
  <c r="BX9" i="8"/>
  <c r="BW9" i="8"/>
  <c r="BV9" i="8"/>
  <c r="BU9" i="8"/>
  <c r="BT9" i="8"/>
  <c r="BP9" i="8"/>
  <c r="BO9" i="8"/>
  <c r="BN9" i="8"/>
  <c r="BM9" i="8"/>
  <c r="BL9" i="8"/>
  <c r="BK9" i="8"/>
  <c r="BJ9" i="8"/>
  <c r="BI9" i="8"/>
  <c r="BH9" i="8"/>
  <c r="BG9" i="8"/>
  <c r="BF9" i="8"/>
  <c r="BE9" i="8"/>
  <c r="BD9" i="8"/>
  <c r="BC9" i="8"/>
  <c r="BB9" i="8"/>
  <c r="BA9" i="8"/>
  <c r="AZ9" i="8"/>
  <c r="AY9" i="8"/>
  <c r="AX9" i="8"/>
  <c r="AW9" i="8"/>
  <c r="AV9" i="8"/>
  <c r="AU9" i="8"/>
  <c r="AT9" i="8"/>
  <c r="AS9" i="8"/>
  <c r="AR9" i="8"/>
  <c r="AQ9" i="8"/>
  <c r="AP9" i="8"/>
  <c r="AO9" i="8"/>
  <c r="AN9" i="8"/>
  <c r="AM9" i="8"/>
  <c r="AJ9" i="8"/>
  <c r="AI9" i="8"/>
  <c r="AH9" i="8"/>
  <c r="AG9" i="8"/>
  <c r="AF9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CW8" i="8"/>
  <c r="CV8" i="8"/>
  <c r="CU8" i="8"/>
  <c r="CT8" i="8"/>
  <c r="CS8" i="8"/>
  <c r="CR8" i="8"/>
  <c r="CQ8" i="8"/>
  <c r="CP8" i="8"/>
  <c r="CO8" i="8"/>
  <c r="CN8" i="8"/>
  <c r="CM8" i="8"/>
  <c r="CL8" i="8"/>
  <c r="CK8" i="8"/>
  <c r="CJ8" i="8"/>
  <c r="CI8" i="8"/>
  <c r="CH8" i="8"/>
  <c r="CG8" i="8"/>
  <c r="CF8" i="8"/>
  <c r="CE8" i="8"/>
  <c r="CD8" i="8"/>
  <c r="CC8" i="8"/>
  <c r="CB8" i="8"/>
  <c r="CA8" i="8"/>
  <c r="BZ8" i="8"/>
  <c r="BY8" i="8"/>
  <c r="BX8" i="8"/>
  <c r="BW8" i="8"/>
  <c r="BV8" i="8"/>
  <c r="BU8" i="8"/>
  <c r="BT8" i="8"/>
  <c r="BP8" i="8"/>
  <c r="BO8" i="8"/>
  <c r="BN8" i="8"/>
  <c r="BM8" i="8"/>
  <c r="BL8" i="8"/>
  <c r="BK8" i="8"/>
  <c r="BJ8" i="8"/>
  <c r="BI8" i="8"/>
  <c r="BH8" i="8"/>
  <c r="BG8" i="8"/>
  <c r="BF8" i="8"/>
  <c r="BE8" i="8"/>
  <c r="BD8" i="8"/>
  <c r="BC8" i="8"/>
  <c r="BB8" i="8"/>
  <c r="BA8" i="8"/>
  <c r="AZ8" i="8"/>
  <c r="AY8" i="8"/>
  <c r="AX8" i="8"/>
  <c r="AW8" i="8"/>
  <c r="AV8" i="8"/>
  <c r="AU8" i="8"/>
  <c r="AT8" i="8"/>
  <c r="AS8" i="8"/>
  <c r="AR8" i="8"/>
  <c r="AQ8" i="8"/>
  <c r="AP8" i="8"/>
  <c r="AO8" i="8"/>
  <c r="AN8" i="8"/>
  <c r="AM8" i="8"/>
  <c r="AJ8" i="8"/>
  <c r="AI8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CW7" i="8"/>
  <c r="CV7" i="8"/>
  <c r="CU7" i="8"/>
  <c r="CT7" i="8"/>
  <c r="CS7" i="8"/>
  <c r="CR7" i="8"/>
  <c r="CQ7" i="8"/>
  <c r="CP7" i="8"/>
  <c r="CO7" i="8"/>
  <c r="CN7" i="8"/>
  <c r="CM7" i="8"/>
  <c r="CL7" i="8"/>
  <c r="CK7" i="8"/>
  <c r="CJ7" i="8"/>
  <c r="CI7" i="8"/>
  <c r="CH7" i="8"/>
  <c r="CG7" i="8"/>
  <c r="CF7" i="8"/>
  <c r="CE7" i="8"/>
  <c r="CD7" i="8"/>
  <c r="CC7" i="8"/>
  <c r="CB7" i="8"/>
  <c r="CA7" i="8"/>
  <c r="BZ7" i="8"/>
  <c r="BY7" i="8"/>
  <c r="BX7" i="8"/>
  <c r="BW7" i="8"/>
  <c r="BV7" i="8"/>
  <c r="BU7" i="8"/>
  <c r="BT7" i="8"/>
  <c r="BP7" i="8"/>
  <c r="BO7" i="8"/>
  <c r="BN7" i="8"/>
  <c r="BM7" i="8"/>
  <c r="BL7" i="8"/>
  <c r="BK7" i="8"/>
  <c r="BJ7" i="8"/>
  <c r="BI7" i="8"/>
  <c r="BH7" i="8"/>
  <c r="BG7" i="8"/>
  <c r="BF7" i="8"/>
  <c r="BE7" i="8"/>
  <c r="BD7" i="8"/>
  <c r="BC7" i="8"/>
  <c r="BB7" i="8"/>
  <c r="BA7" i="8"/>
  <c r="AZ7" i="8"/>
  <c r="AY7" i="8"/>
  <c r="AX7" i="8"/>
  <c r="AW7" i="8"/>
  <c r="AV7" i="8"/>
  <c r="AU7" i="8"/>
  <c r="AT7" i="8"/>
  <c r="AS7" i="8"/>
  <c r="AR7" i="8"/>
  <c r="AQ7" i="8"/>
  <c r="AP7" i="8"/>
  <c r="AO7" i="8"/>
  <c r="AN7" i="8"/>
  <c r="AM7" i="8"/>
  <c r="AJ7" i="8"/>
  <c r="AI7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CW6" i="8"/>
  <c r="CV6" i="8"/>
  <c r="CU6" i="8"/>
  <c r="CT6" i="8"/>
  <c r="CS6" i="8"/>
  <c r="CR6" i="8"/>
  <c r="CQ6" i="8"/>
  <c r="CP6" i="8"/>
  <c r="CO6" i="8"/>
  <c r="CN6" i="8"/>
  <c r="CM6" i="8"/>
  <c r="CL6" i="8"/>
  <c r="CK6" i="8"/>
  <c r="CJ6" i="8"/>
  <c r="CI6" i="8"/>
  <c r="CH6" i="8"/>
  <c r="CG6" i="8"/>
  <c r="CF6" i="8"/>
  <c r="CE6" i="8"/>
  <c r="CD6" i="8"/>
  <c r="CC6" i="8"/>
  <c r="CB6" i="8"/>
  <c r="CA6" i="8"/>
  <c r="BZ6" i="8"/>
  <c r="BY6" i="8"/>
  <c r="BX6" i="8"/>
  <c r="BW6" i="8"/>
  <c r="BV6" i="8"/>
  <c r="BU6" i="8"/>
  <c r="BT6" i="8"/>
  <c r="BP6" i="8"/>
  <c r="BO6" i="8"/>
  <c r="BN6" i="8"/>
  <c r="BM6" i="8"/>
  <c r="BL6" i="8"/>
  <c r="BK6" i="8"/>
  <c r="BJ6" i="8"/>
  <c r="BI6" i="8"/>
  <c r="BH6" i="8"/>
  <c r="BG6" i="8"/>
  <c r="BF6" i="8"/>
  <c r="BE6" i="8"/>
  <c r="BD6" i="8"/>
  <c r="BC6" i="8"/>
  <c r="BB6" i="8"/>
  <c r="BA6" i="8"/>
  <c r="AZ6" i="8"/>
  <c r="AY6" i="8"/>
  <c r="AX6" i="8"/>
  <c r="AW6" i="8"/>
  <c r="AV6" i="8"/>
  <c r="AU6" i="8"/>
  <c r="AT6" i="8"/>
  <c r="AS6" i="8"/>
  <c r="AR6" i="8"/>
  <c r="AQ6" i="8"/>
  <c r="AP6" i="8"/>
  <c r="AO6" i="8"/>
  <c r="AN6" i="8"/>
  <c r="AM6" i="8"/>
  <c r="AG6" i="8"/>
  <c r="H6" i="8"/>
  <c r="G6" i="8"/>
  <c r="CW5" i="8"/>
  <c r="CV5" i="8"/>
  <c r="CU5" i="8"/>
  <c r="CT5" i="8"/>
  <c r="CS5" i="8"/>
  <c r="CR5" i="8"/>
  <c r="CQ5" i="8"/>
  <c r="CP5" i="8"/>
  <c r="CO5" i="8"/>
  <c r="CN5" i="8"/>
  <c r="CM5" i="8"/>
  <c r="CL5" i="8"/>
  <c r="CK5" i="8"/>
  <c r="CJ5" i="8"/>
  <c r="CI5" i="8"/>
  <c r="CH5" i="8"/>
  <c r="CG5" i="8"/>
  <c r="CF5" i="8"/>
  <c r="CE5" i="8"/>
  <c r="CD5" i="8"/>
  <c r="CC5" i="8"/>
  <c r="CB5" i="8"/>
  <c r="CA5" i="8"/>
  <c r="BZ5" i="8"/>
  <c r="BY5" i="8"/>
  <c r="BX5" i="8"/>
  <c r="BW5" i="8"/>
  <c r="BV5" i="8"/>
  <c r="BU5" i="8"/>
  <c r="BT5" i="8"/>
  <c r="BP5" i="8"/>
  <c r="BO5" i="8"/>
  <c r="BN5" i="8"/>
  <c r="BM5" i="8"/>
  <c r="BL5" i="8"/>
  <c r="BK5" i="8"/>
  <c r="BJ5" i="8"/>
  <c r="BI5" i="8"/>
  <c r="BH5" i="8"/>
  <c r="BG5" i="8"/>
  <c r="BF5" i="8"/>
  <c r="BE5" i="8"/>
  <c r="BD5" i="8"/>
  <c r="BC5" i="8"/>
  <c r="BB5" i="8"/>
  <c r="BA5" i="8"/>
  <c r="AZ5" i="8"/>
  <c r="AY5" i="8"/>
  <c r="AX5" i="8"/>
  <c r="AW5" i="8"/>
  <c r="AV5" i="8"/>
  <c r="AU5" i="8"/>
  <c r="AT5" i="8"/>
  <c r="AS5" i="8"/>
  <c r="AR5" i="8"/>
  <c r="AQ5" i="8"/>
  <c r="AP5" i="8"/>
  <c r="AO5" i="8"/>
  <c r="AN5" i="8"/>
  <c r="AM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CW4" i="8"/>
  <c r="CV4" i="8"/>
  <c r="CU4" i="8"/>
  <c r="CT4" i="8"/>
  <c r="CS4" i="8"/>
  <c r="CR4" i="8"/>
  <c r="CQ4" i="8"/>
  <c r="CP4" i="8"/>
  <c r="CO4" i="8"/>
  <c r="CN4" i="8"/>
  <c r="CM4" i="8"/>
  <c r="CL4" i="8"/>
  <c r="CK4" i="8"/>
  <c r="CJ4" i="8"/>
  <c r="CI4" i="8"/>
  <c r="CH4" i="8"/>
  <c r="CG4" i="8"/>
  <c r="CF4" i="8"/>
  <c r="CE4" i="8"/>
  <c r="CD4" i="8"/>
  <c r="CC4" i="8"/>
  <c r="CB4" i="8"/>
  <c r="CA4" i="8"/>
  <c r="BZ4" i="8"/>
  <c r="BY4" i="8"/>
  <c r="BX4" i="8"/>
  <c r="BW4" i="8"/>
  <c r="BV4" i="8"/>
  <c r="BU4" i="8"/>
  <c r="BT4" i="8"/>
  <c r="BP4" i="8"/>
  <c r="BO4" i="8"/>
  <c r="BN4" i="8"/>
  <c r="BM4" i="8"/>
  <c r="BL4" i="8"/>
  <c r="BK4" i="8"/>
  <c r="BJ4" i="8"/>
  <c r="BI4" i="8"/>
  <c r="BH4" i="8"/>
  <c r="BG4" i="8"/>
  <c r="BF4" i="8"/>
  <c r="BE4" i="8"/>
  <c r="BD4" i="8"/>
  <c r="BC4" i="8"/>
  <c r="BB4" i="8"/>
  <c r="BA4" i="8"/>
  <c r="AZ4" i="8"/>
  <c r="AY4" i="8"/>
  <c r="AX4" i="8"/>
  <c r="AW4" i="8"/>
  <c r="AV4" i="8"/>
  <c r="AU4" i="8"/>
  <c r="AT4" i="8"/>
  <c r="AS4" i="8"/>
  <c r="AR4" i="8"/>
  <c r="AQ4" i="8"/>
  <c r="AP4" i="8"/>
  <c r="AO4" i="8"/>
  <c r="AN4" i="8"/>
  <c r="AM4" i="8"/>
  <c r="AJ4" i="8"/>
  <c r="AI4" i="8"/>
  <c r="AH4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AH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AH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AH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AH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AH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AH77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AH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AH74" i="3"/>
  <c r="AE74" i="3"/>
  <c r="AD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AH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AH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AH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AH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AH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AH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AH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AH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AH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AH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AH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AH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AH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AH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AH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AH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AH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AH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AH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AH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AH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AH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AH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AH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AH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AH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AH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AH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AH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AH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AH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AH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AH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AH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AH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AH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AH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AH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AH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AH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AH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AH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AH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AH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AH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AH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AH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AH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AH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AH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AH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AH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AH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AH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AH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AH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AH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AH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H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AH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AH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AH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AH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AH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AH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AH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AH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AG83" i="3"/>
  <c r="AF83" i="3"/>
  <c r="AG82" i="3"/>
  <c r="AF82" i="3"/>
  <c r="AG81" i="3"/>
  <c r="AF81" i="3"/>
  <c r="AG80" i="3"/>
  <c r="AF80" i="3"/>
  <c r="AG78" i="3"/>
  <c r="AF78" i="3"/>
  <c r="AG77" i="3"/>
  <c r="AF77" i="3"/>
  <c r="AG75" i="3"/>
  <c r="AF75" i="3"/>
  <c r="AG74" i="3"/>
  <c r="AF74" i="3"/>
  <c r="AG73" i="3"/>
  <c r="AF73" i="3"/>
  <c r="AG71" i="3"/>
  <c r="AF71" i="3"/>
  <c r="AG70" i="3"/>
  <c r="AF70" i="3"/>
  <c r="AG69" i="3"/>
  <c r="AF69" i="3"/>
  <c r="AG68" i="3"/>
  <c r="AF68" i="3"/>
  <c r="AG64" i="3"/>
  <c r="AF64" i="3"/>
  <c r="AG63" i="3"/>
  <c r="AF63" i="3"/>
  <c r="AG62" i="3"/>
  <c r="AF62" i="3"/>
  <c r="AG61" i="3"/>
  <c r="AF61" i="3"/>
  <c r="AG60" i="3"/>
  <c r="AF60" i="3"/>
  <c r="AG59" i="3"/>
  <c r="AF59" i="3"/>
  <c r="AG58" i="3"/>
  <c r="AF58" i="3"/>
  <c r="AG57" i="3"/>
  <c r="AF57" i="3"/>
  <c r="AG56" i="3"/>
  <c r="AF56" i="3"/>
  <c r="AG55" i="3"/>
  <c r="AF55" i="3"/>
  <c r="AG54" i="3"/>
  <c r="AF54" i="3"/>
  <c r="AG53" i="3"/>
  <c r="AF53" i="3"/>
  <c r="AG52" i="3"/>
  <c r="AF52" i="3"/>
  <c r="AG51" i="3"/>
  <c r="AF51" i="3"/>
  <c r="AG50" i="3"/>
  <c r="AF50" i="3"/>
  <c r="AG49" i="3"/>
  <c r="AF49" i="3"/>
  <c r="AG48" i="3"/>
  <c r="AF48" i="3"/>
  <c r="AG47" i="3"/>
  <c r="AF47" i="3"/>
  <c r="AG46" i="3"/>
  <c r="AF46" i="3"/>
  <c r="AG45" i="3"/>
  <c r="AF45" i="3"/>
  <c r="AG44" i="3"/>
  <c r="AF44" i="3"/>
  <c r="AG43" i="3"/>
  <c r="AF43" i="3"/>
  <c r="AG42" i="3"/>
  <c r="AF42" i="3"/>
  <c r="AG41" i="3"/>
  <c r="AF41" i="3"/>
  <c r="AG40" i="3"/>
  <c r="AF40" i="3"/>
  <c r="AG39" i="3"/>
  <c r="AF39" i="3"/>
  <c r="AG38" i="3"/>
  <c r="AF38" i="3"/>
  <c r="AG37" i="3"/>
  <c r="AF37" i="3"/>
  <c r="AG36" i="3"/>
  <c r="AF36" i="3"/>
  <c r="AG35" i="3"/>
  <c r="AF35" i="3"/>
  <c r="AG34" i="3"/>
  <c r="AF34" i="3"/>
  <c r="AG33" i="3"/>
  <c r="AF33" i="3"/>
  <c r="AG32" i="3"/>
  <c r="AF32" i="3"/>
  <c r="AG31" i="3"/>
  <c r="AF31" i="3"/>
  <c r="AG30" i="3"/>
  <c r="AF30" i="3"/>
  <c r="AG29" i="3"/>
  <c r="AF29" i="3"/>
  <c r="AG28" i="3"/>
  <c r="AF28" i="3"/>
  <c r="AG27" i="3"/>
  <c r="AF27" i="3"/>
  <c r="AG26" i="3"/>
  <c r="AF26" i="3"/>
  <c r="AG25" i="3"/>
  <c r="AF25" i="3"/>
  <c r="AG24" i="3"/>
  <c r="AF24" i="3"/>
  <c r="AG23" i="3"/>
  <c r="AF23" i="3"/>
  <c r="AG22" i="3"/>
  <c r="AF22" i="3"/>
  <c r="AG21" i="3"/>
  <c r="AF21" i="3"/>
  <c r="AG20" i="3"/>
  <c r="AF20" i="3"/>
  <c r="AG19" i="3"/>
  <c r="AF19" i="3"/>
  <c r="AG18" i="3"/>
  <c r="AF18" i="3"/>
  <c r="AG17" i="3"/>
  <c r="AF17" i="3"/>
  <c r="AG16" i="3"/>
  <c r="AF16" i="3"/>
  <c r="AG15" i="3"/>
  <c r="AF15" i="3"/>
  <c r="AG14" i="3"/>
  <c r="AF14" i="3"/>
  <c r="AG13" i="3"/>
  <c r="AF13" i="3"/>
  <c r="AG12" i="3"/>
  <c r="AF12" i="3"/>
  <c r="AG11" i="3"/>
  <c r="AF11" i="3"/>
  <c r="AG10" i="3"/>
  <c r="AF10" i="3"/>
  <c r="AG9" i="3"/>
  <c r="AF9" i="3"/>
  <c r="AG8" i="3"/>
  <c r="AF8" i="3"/>
  <c r="AG7" i="3"/>
  <c r="AF7" i="3"/>
  <c r="AG6" i="3"/>
  <c r="AF6" i="3"/>
  <c r="AG5" i="3"/>
  <c r="AF5" i="3"/>
  <c r="AG4" i="3"/>
  <c r="AF4" i="3"/>
  <c r="AG3" i="3"/>
  <c r="AF3" i="3"/>
  <c r="AG78" i="9"/>
  <c r="AF78" i="9"/>
  <c r="AE78" i="9"/>
  <c r="AG77" i="9"/>
  <c r="AF77" i="9"/>
  <c r="AE77" i="9"/>
  <c r="AG76" i="9"/>
  <c r="AF76" i="9"/>
  <c r="AE76" i="9"/>
  <c r="AG75" i="9"/>
  <c r="AF75" i="9"/>
  <c r="AE75" i="9"/>
  <c r="AG74" i="9"/>
  <c r="AF74" i="9"/>
  <c r="AE74" i="9"/>
  <c r="AG72" i="9"/>
  <c r="AF72" i="9"/>
  <c r="AE72" i="9"/>
  <c r="AG71" i="9"/>
  <c r="AF71" i="9"/>
  <c r="AE71" i="9"/>
  <c r="AG70" i="9"/>
  <c r="AF70" i="9"/>
  <c r="AE70" i="9"/>
  <c r="AG69" i="9"/>
  <c r="AF69" i="9"/>
  <c r="AE69" i="9"/>
  <c r="AG67" i="9"/>
  <c r="AF67" i="9"/>
  <c r="AE67" i="9"/>
  <c r="AG66" i="9"/>
  <c r="AF66" i="9"/>
  <c r="AE66" i="9"/>
  <c r="AG65" i="9"/>
  <c r="AF65" i="9"/>
  <c r="AE65" i="9"/>
  <c r="AG64" i="9"/>
  <c r="AF64" i="9"/>
  <c r="AE64" i="9"/>
  <c r="AG61" i="9"/>
  <c r="AF61" i="9"/>
  <c r="AE61" i="9"/>
  <c r="AG60" i="9"/>
  <c r="AF60" i="9"/>
  <c r="AE60" i="9"/>
  <c r="AG59" i="9"/>
  <c r="AF59" i="9"/>
  <c r="AE59" i="9"/>
  <c r="AG58" i="9"/>
  <c r="AF58" i="9"/>
  <c r="AE58" i="9"/>
  <c r="AG57" i="9"/>
  <c r="AF57" i="9"/>
  <c r="AE57" i="9"/>
  <c r="AG56" i="9"/>
  <c r="AF56" i="9"/>
  <c r="AE56" i="9"/>
  <c r="AG55" i="9"/>
  <c r="AF55" i="9"/>
  <c r="AE55" i="9"/>
  <c r="AG54" i="9"/>
  <c r="AF54" i="9"/>
  <c r="AE54" i="9"/>
  <c r="AG53" i="9"/>
  <c r="AF53" i="9"/>
  <c r="AE53" i="9"/>
  <c r="AG52" i="9"/>
  <c r="AF52" i="9"/>
  <c r="AE52" i="9"/>
  <c r="AG51" i="9"/>
  <c r="AF51" i="9"/>
  <c r="AE51" i="9"/>
  <c r="AG50" i="9"/>
  <c r="AF50" i="9"/>
  <c r="AE50" i="9"/>
  <c r="AG49" i="9"/>
  <c r="AF49" i="9"/>
  <c r="AG48" i="9"/>
  <c r="AF48" i="9"/>
  <c r="AE48" i="9"/>
  <c r="AG47" i="9"/>
  <c r="AF47" i="9"/>
  <c r="AE47" i="9"/>
  <c r="AG46" i="9"/>
  <c r="AF46" i="9"/>
  <c r="AE46" i="9"/>
  <c r="AG45" i="9"/>
  <c r="AF45" i="9"/>
  <c r="AE45" i="9"/>
  <c r="AG44" i="9"/>
  <c r="AF44" i="9"/>
  <c r="AE44" i="9"/>
  <c r="AG43" i="9"/>
  <c r="AF43" i="9"/>
  <c r="AE43" i="9"/>
  <c r="AG42" i="9"/>
  <c r="AF42" i="9"/>
  <c r="AE42" i="9"/>
  <c r="AG41" i="9"/>
  <c r="AF41" i="9"/>
  <c r="AE41" i="9"/>
  <c r="AG40" i="9"/>
  <c r="AF40" i="9"/>
  <c r="AE40" i="9"/>
  <c r="AG39" i="9"/>
  <c r="AF39" i="9"/>
  <c r="AE39" i="9"/>
  <c r="AG38" i="9"/>
  <c r="AF38" i="9"/>
  <c r="AE38" i="9"/>
  <c r="AG37" i="9"/>
  <c r="AF37" i="9"/>
  <c r="AE37" i="9"/>
  <c r="AG36" i="9"/>
  <c r="AF36" i="9"/>
  <c r="AE36" i="9"/>
  <c r="AG35" i="9"/>
  <c r="AF35" i="9"/>
  <c r="AE35" i="9"/>
  <c r="AG34" i="9"/>
  <c r="AF34" i="9"/>
  <c r="AE34" i="9"/>
  <c r="AG33" i="9"/>
  <c r="AF33" i="9"/>
  <c r="AE33" i="9"/>
  <c r="AG32" i="9"/>
  <c r="AF32" i="9"/>
  <c r="AE32" i="9"/>
  <c r="AG31" i="9"/>
  <c r="AF31" i="9"/>
  <c r="AE31" i="9"/>
  <c r="AG30" i="9"/>
  <c r="AF30" i="9"/>
  <c r="AE30" i="9"/>
  <c r="AG29" i="9"/>
  <c r="AF29" i="9"/>
  <c r="AE29" i="9"/>
  <c r="AG28" i="9"/>
  <c r="AF28" i="9"/>
  <c r="AE28" i="9"/>
  <c r="AG27" i="9"/>
  <c r="AF27" i="9"/>
  <c r="AE27" i="9"/>
  <c r="AG26" i="9"/>
  <c r="AF26" i="9"/>
  <c r="AE26" i="9"/>
  <c r="AG25" i="9"/>
  <c r="AF25" i="9"/>
  <c r="AE25" i="9"/>
  <c r="AG24" i="9"/>
  <c r="AF24" i="9"/>
  <c r="AE24" i="9"/>
  <c r="AG23" i="9"/>
  <c r="AF23" i="9"/>
  <c r="AE23" i="9"/>
  <c r="AG22" i="9"/>
  <c r="AF22" i="9"/>
  <c r="AE22" i="9"/>
  <c r="AG21" i="9"/>
  <c r="AF21" i="9"/>
  <c r="AE21" i="9"/>
  <c r="AG20" i="9"/>
  <c r="AF20" i="9"/>
  <c r="AE20" i="9"/>
  <c r="AG19" i="9"/>
  <c r="AF19" i="9"/>
  <c r="AE19" i="9"/>
  <c r="AG18" i="9"/>
  <c r="AF18" i="9"/>
  <c r="AE18" i="9"/>
  <c r="AG17" i="9"/>
  <c r="AF17" i="9"/>
  <c r="AE17" i="9"/>
  <c r="AG16" i="9"/>
  <c r="AF16" i="9"/>
  <c r="AE16" i="9"/>
  <c r="AG15" i="9"/>
  <c r="AF15" i="9"/>
  <c r="AE15" i="9"/>
  <c r="AG14" i="9"/>
  <c r="AF14" i="9"/>
  <c r="AE14" i="9"/>
  <c r="AG13" i="9"/>
  <c r="AF13" i="9"/>
  <c r="AE13" i="9"/>
  <c r="AG12" i="9"/>
  <c r="AF12" i="9"/>
  <c r="AE12" i="9"/>
  <c r="AG11" i="9"/>
  <c r="AF11" i="9"/>
  <c r="AE11" i="9"/>
  <c r="AG10" i="9"/>
  <c r="AF10" i="9"/>
  <c r="AE10" i="9"/>
  <c r="AG9" i="9"/>
  <c r="AF9" i="9"/>
  <c r="AE9" i="9"/>
  <c r="AG8" i="9"/>
  <c r="AF8" i="9"/>
  <c r="AE8" i="9"/>
  <c r="AG7" i="9"/>
  <c r="AF7" i="9"/>
  <c r="AE7" i="9"/>
  <c r="AG6" i="9"/>
  <c r="AF6" i="9"/>
  <c r="AE6" i="9"/>
  <c r="AG5" i="9"/>
  <c r="AF5" i="9"/>
  <c r="AE5" i="9"/>
  <c r="AG4" i="9"/>
  <c r="AF4" i="9"/>
  <c r="AE4" i="9"/>
  <c r="AG3" i="9"/>
  <c r="AF3" i="9"/>
  <c r="AE3" i="9"/>
  <c r="W2" i="9"/>
  <c r="V2" i="9"/>
  <c r="U2" i="9"/>
  <c r="T2" i="9"/>
  <c r="S2" i="9"/>
  <c r="R2" i="9"/>
  <c r="Q2" i="9"/>
  <c r="P2" i="9"/>
  <c r="W16" i="1"/>
  <c r="W17" i="1" s="1"/>
  <c r="R16" i="1"/>
  <c r="R17" i="1" s="1"/>
  <c r="S52" i="11" l="1"/>
  <c r="J52" i="11"/>
  <c r="W2" i="3"/>
  <c r="V2" i="3"/>
  <c r="U2" i="3"/>
  <c r="T2" i="3"/>
  <c r="S2" i="3"/>
  <c r="R2" i="3"/>
  <c r="Q2" i="3"/>
  <c r="AE17" i="10"/>
  <c r="BM17" i="10" s="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S17" i="11"/>
  <c r="R17" i="11"/>
  <c r="Q17" i="11"/>
  <c r="P17" i="11"/>
  <c r="O17" i="11"/>
  <c r="N17" i="11"/>
  <c r="M17" i="11"/>
  <c r="K17" i="11"/>
  <c r="J17" i="11"/>
  <c r="I17" i="11"/>
  <c r="H17" i="11"/>
  <c r="G17" i="11"/>
  <c r="F17" i="11"/>
  <c r="E17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AI10" i="6"/>
  <c r="AI12" i="6"/>
  <c r="F37" i="14"/>
  <c r="A37" i="14"/>
  <c r="F26" i="14"/>
  <c r="A26" i="14"/>
  <c r="D21" i="6"/>
  <c r="C20" i="6"/>
  <c r="D20" i="6"/>
  <c r="AI13" i="6" s="1"/>
  <c r="D19" i="6"/>
  <c r="D18" i="6"/>
  <c r="G45" i="12"/>
  <c r="T45" i="12" s="1"/>
  <c r="G46" i="12"/>
  <c r="L46" i="12" s="1"/>
  <c r="G47" i="12"/>
  <c r="U47" i="12" s="1"/>
  <c r="G45" i="14"/>
  <c r="N45" i="14" s="1"/>
  <c r="L44" i="14"/>
  <c r="G42" i="14"/>
  <c r="U42" i="14" s="1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R45" i="14"/>
  <c r="P45" i="14"/>
  <c r="O45" i="14"/>
  <c r="K45" i="14"/>
  <c r="J45" i="14"/>
  <c r="H45" i="14"/>
  <c r="U44" i="14"/>
  <c r="Q44" i="14"/>
  <c r="P44" i="14"/>
  <c r="O44" i="14"/>
  <c r="M44" i="14"/>
  <c r="J44" i="14"/>
  <c r="I44" i="14"/>
  <c r="H44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T42" i="14"/>
  <c r="S42" i="14"/>
  <c r="R42" i="14"/>
  <c r="Q42" i="14"/>
  <c r="K42" i="14"/>
  <c r="J42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U61" i="12"/>
  <c r="T61" i="12"/>
  <c r="S61" i="12"/>
  <c r="R61" i="12"/>
  <c r="Q61" i="12"/>
  <c r="P61" i="12"/>
  <c r="O61" i="12"/>
  <c r="N61" i="12"/>
  <c r="M61" i="12"/>
  <c r="L61" i="12"/>
  <c r="K61" i="12"/>
  <c r="J61" i="12"/>
  <c r="I61" i="12"/>
  <c r="H61" i="12"/>
  <c r="U60" i="12"/>
  <c r="T60" i="12"/>
  <c r="S60" i="12"/>
  <c r="R60" i="12"/>
  <c r="Q60" i="12"/>
  <c r="P60" i="12"/>
  <c r="O60" i="12"/>
  <c r="N60" i="12"/>
  <c r="M60" i="12"/>
  <c r="L60" i="12"/>
  <c r="K60" i="12"/>
  <c r="J60" i="12"/>
  <c r="I60" i="12"/>
  <c r="H60" i="12"/>
  <c r="U59" i="12"/>
  <c r="T59" i="12"/>
  <c r="S59" i="12"/>
  <c r="R59" i="12"/>
  <c r="Q59" i="12"/>
  <c r="P59" i="12"/>
  <c r="O59" i="12"/>
  <c r="N59" i="12"/>
  <c r="M59" i="12"/>
  <c r="L59" i="12"/>
  <c r="K59" i="12"/>
  <c r="J59" i="12"/>
  <c r="I59" i="12"/>
  <c r="H59" i="12"/>
  <c r="U58" i="12"/>
  <c r="T58" i="12"/>
  <c r="S58" i="12"/>
  <c r="R58" i="12"/>
  <c r="Q58" i="12"/>
  <c r="P58" i="12"/>
  <c r="O58" i="12"/>
  <c r="N58" i="12"/>
  <c r="M58" i="12"/>
  <c r="L58" i="12"/>
  <c r="K58" i="12"/>
  <c r="J58" i="12"/>
  <c r="I58" i="12"/>
  <c r="H58" i="12"/>
  <c r="U57" i="12"/>
  <c r="T57" i="12"/>
  <c r="S57" i="12"/>
  <c r="R57" i="12"/>
  <c r="Q57" i="12"/>
  <c r="P57" i="12"/>
  <c r="O57" i="12"/>
  <c r="N57" i="12"/>
  <c r="M57" i="12"/>
  <c r="L57" i="12"/>
  <c r="K57" i="12"/>
  <c r="J57" i="12"/>
  <c r="I57" i="12"/>
  <c r="H57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U48" i="12"/>
  <c r="T48" i="12"/>
  <c r="S48" i="12"/>
  <c r="R48" i="12"/>
  <c r="Q48" i="12"/>
  <c r="P48" i="12"/>
  <c r="O48" i="12"/>
  <c r="N48" i="12"/>
  <c r="M48" i="12"/>
  <c r="L48" i="12"/>
  <c r="K48" i="12"/>
  <c r="J48" i="12"/>
  <c r="I48" i="12"/>
  <c r="H48" i="12"/>
  <c r="O47" i="12"/>
  <c r="U46" i="12"/>
  <c r="N46" i="12"/>
  <c r="M46" i="12"/>
  <c r="J46" i="12"/>
  <c r="U45" i="12"/>
  <c r="R45" i="12"/>
  <c r="M45" i="12"/>
  <c r="L45" i="12"/>
  <c r="U44" i="12"/>
  <c r="T44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U43" i="12"/>
  <c r="T43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U42" i="12"/>
  <c r="T42" i="12"/>
  <c r="S42" i="12"/>
  <c r="R42" i="12"/>
  <c r="L42" i="8" s="1"/>
  <c r="Q42" i="12"/>
  <c r="AB42" i="8" s="1"/>
  <c r="P42" i="12"/>
  <c r="O42" i="12"/>
  <c r="K42" i="8" s="1"/>
  <c r="N42" i="12"/>
  <c r="Z42" i="8" s="1"/>
  <c r="M42" i="12"/>
  <c r="L42" i="12"/>
  <c r="K42" i="12"/>
  <c r="J42" i="12"/>
  <c r="P42" i="8" s="1"/>
  <c r="I42" i="12"/>
  <c r="O42" i="8" s="1"/>
  <c r="H42" i="12"/>
  <c r="M42" i="8" s="1"/>
  <c r="U41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U40" i="12"/>
  <c r="T40" i="12"/>
  <c r="S40" i="12"/>
  <c r="R40" i="12"/>
  <c r="L40" i="8" s="1"/>
  <c r="Q40" i="12"/>
  <c r="AB40" i="8" s="1"/>
  <c r="P40" i="12"/>
  <c r="O40" i="12"/>
  <c r="K40" i="8" s="1"/>
  <c r="N40" i="12"/>
  <c r="Z40" i="8" s="1"/>
  <c r="M40" i="12"/>
  <c r="L40" i="12"/>
  <c r="K40" i="12"/>
  <c r="J40" i="12"/>
  <c r="P40" i="8" s="1"/>
  <c r="I40" i="12"/>
  <c r="O40" i="8" s="1"/>
  <c r="H40" i="12"/>
  <c r="M40" i="8" s="1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U38" i="12"/>
  <c r="T38" i="12"/>
  <c r="S38" i="12"/>
  <c r="R38" i="12"/>
  <c r="L38" i="8" s="1"/>
  <c r="Q38" i="12"/>
  <c r="AB38" i="8" s="1"/>
  <c r="P38" i="12"/>
  <c r="O38" i="12"/>
  <c r="K38" i="8" s="1"/>
  <c r="N38" i="12"/>
  <c r="Z38" i="8" s="1"/>
  <c r="M38" i="12"/>
  <c r="L38" i="12"/>
  <c r="K38" i="12"/>
  <c r="J38" i="12"/>
  <c r="P38" i="8" s="1"/>
  <c r="I38" i="12"/>
  <c r="O38" i="8" s="1"/>
  <c r="H38" i="12"/>
  <c r="M38" i="8" s="1"/>
  <c r="U37" i="12"/>
  <c r="T37" i="12"/>
  <c r="S37" i="12"/>
  <c r="R37" i="12"/>
  <c r="L37" i="8" s="1"/>
  <c r="Q37" i="12"/>
  <c r="AB37" i="8" s="1"/>
  <c r="P37" i="12"/>
  <c r="O37" i="12"/>
  <c r="K37" i="8" s="1"/>
  <c r="N37" i="12"/>
  <c r="Z37" i="8" s="1"/>
  <c r="M37" i="12"/>
  <c r="L37" i="12"/>
  <c r="K37" i="12"/>
  <c r="J37" i="12"/>
  <c r="P37" i="8" s="1"/>
  <c r="I37" i="12"/>
  <c r="O37" i="8" s="1"/>
  <c r="H37" i="12"/>
  <c r="M37" i="8" s="1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U26" i="12"/>
  <c r="T26" i="12"/>
  <c r="S26" i="12"/>
  <c r="R26" i="12"/>
  <c r="L26" i="8" s="1"/>
  <c r="Q26" i="12"/>
  <c r="AB26" i="8" s="1"/>
  <c r="P26" i="12"/>
  <c r="O26" i="12"/>
  <c r="K26" i="8" s="1"/>
  <c r="N26" i="12"/>
  <c r="Z26" i="8" s="1"/>
  <c r="M26" i="12"/>
  <c r="L26" i="12"/>
  <c r="K26" i="12"/>
  <c r="J26" i="12"/>
  <c r="P26" i="8" s="1"/>
  <c r="I26" i="12"/>
  <c r="O26" i="8" s="1"/>
  <c r="H26" i="12"/>
  <c r="M26" i="8" s="1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U19" i="12"/>
  <c r="T19" i="12"/>
  <c r="S19" i="12"/>
  <c r="R19" i="12"/>
  <c r="L19" i="8" s="1"/>
  <c r="Q19" i="12"/>
  <c r="AB19" i="8" s="1"/>
  <c r="P19" i="12"/>
  <c r="O19" i="12"/>
  <c r="K19" i="8" s="1"/>
  <c r="N19" i="12"/>
  <c r="Z19" i="8" s="1"/>
  <c r="M19" i="12"/>
  <c r="L19" i="12"/>
  <c r="K19" i="12"/>
  <c r="J19" i="12"/>
  <c r="P19" i="8" s="1"/>
  <c r="I19" i="12"/>
  <c r="O19" i="8" s="1"/>
  <c r="H19" i="12"/>
  <c r="M19" i="8" s="1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U6" i="12"/>
  <c r="T6" i="12"/>
  <c r="S6" i="12"/>
  <c r="R6" i="12"/>
  <c r="L6" i="8" s="1"/>
  <c r="Q6" i="12"/>
  <c r="AB6" i="8" s="1"/>
  <c r="P6" i="12"/>
  <c r="O6" i="12"/>
  <c r="K6" i="8" s="1"/>
  <c r="N6" i="12"/>
  <c r="Z6" i="8" s="1"/>
  <c r="M6" i="12"/>
  <c r="L6" i="12"/>
  <c r="K6" i="12"/>
  <c r="J6" i="12"/>
  <c r="P6" i="8" s="1"/>
  <c r="I6" i="12"/>
  <c r="O6" i="8" s="1"/>
  <c r="H6" i="12"/>
  <c r="M6" i="8" s="1"/>
  <c r="U5" i="12"/>
  <c r="T5" i="12"/>
  <c r="S5" i="12"/>
  <c r="R5" i="12"/>
  <c r="Q5" i="12"/>
  <c r="P5" i="12"/>
  <c r="O5" i="12"/>
  <c r="N5" i="12"/>
  <c r="M5" i="12"/>
  <c r="L5" i="12"/>
  <c r="K5" i="12"/>
  <c r="J5" i="12"/>
  <c r="I5" i="12"/>
  <c r="H5" i="12"/>
  <c r="U4" i="12"/>
  <c r="T4" i="12"/>
  <c r="S4" i="12"/>
  <c r="R4" i="12"/>
  <c r="Q4" i="12"/>
  <c r="P4" i="12"/>
  <c r="O4" i="12"/>
  <c r="N4" i="12"/>
  <c r="M4" i="12"/>
  <c r="L4" i="12"/>
  <c r="K4" i="12"/>
  <c r="J4" i="12"/>
  <c r="I4" i="12"/>
  <c r="H4" i="12"/>
  <c r="G17" i="14"/>
  <c r="H17" i="14" s="1"/>
  <c r="I17" i="14" s="1"/>
  <c r="J17" i="14" s="1"/>
  <c r="K17" i="14" s="1"/>
  <c r="L17" i="14" s="1"/>
  <c r="M17" i="14" s="1"/>
  <c r="N17" i="14" s="1"/>
  <c r="O17" i="14" s="1"/>
  <c r="P17" i="14" s="1"/>
  <c r="Q17" i="14" s="1"/>
  <c r="R17" i="14" s="1"/>
  <c r="S17" i="14" s="1"/>
  <c r="T17" i="14" s="1"/>
  <c r="U17" i="14" s="1"/>
  <c r="G15" i="14"/>
  <c r="H15" i="14" s="1"/>
  <c r="I15" i="14" s="1"/>
  <c r="J15" i="14" s="1"/>
  <c r="K15" i="14" s="1"/>
  <c r="L15" i="14" s="1"/>
  <c r="M15" i="14" s="1"/>
  <c r="N15" i="14" s="1"/>
  <c r="O15" i="14" s="1"/>
  <c r="P15" i="14" s="1"/>
  <c r="Q15" i="14" s="1"/>
  <c r="R15" i="14" s="1"/>
  <c r="S15" i="14" s="1"/>
  <c r="T15" i="14" s="1"/>
  <c r="U15" i="14" s="1"/>
  <c r="H18" i="14"/>
  <c r="I18" i="14" s="1"/>
  <c r="J18" i="14" s="1"/>
  <c r="K18" i="14" s="1"/>
  <c r="L18" i="14" s="1"/>
  <c r="M18" i="14" s="1"/>
  <c r="N18" i="14" s="1"/>
  <c r="O18" i="14" s="1"/>
  <c r="P18" i="14" s="1"/>
  <c r="Q18" i="14" s="1"/>
  <c r="R18" i="14" s="1"/>
  <c r="S18" i="14" s="1"/>
  <c r="T18" i="14" s="1"/>
  <c r="U18" i="14" s="1"/>
  <c r="H16" i="14"/>
  <c r="I16" i="14" s="1"/>
  <c r="J16" i="14" s="1"/>
  <c r="K16" i="14" s="1"/>
  <c r="L16" i="14" s="1"/>
  <c r="M16" i="14" s="1"/>
  <c r="N16" i="14" s="1"/>
  <c r="O16" i="14" s="1"/>
  <c r="P16" i="14" s="1"/>
  <c r="Q16" i="14" s="1"/>
  <c r="R16" i="14" s="1"/>
  <c r="S16" i="14" s="1"/>
  <c r="T16" i="14" s="1"/>
  <c r="U16" i="14" s="1"/>
  <c r="H14" i="14"/>
  <c r="I14" i="14" s="1"/>
  <c r="J14" i="14" s="1"/>
  <c r="K14" i="14" s="1"/>
  <c r="L14" i="14" s="1"/>
  <c r="M14" i="14" s="1"/>
  <c r="N14" i="14" s="1"/>
  <c r="O14" i="14" s="1"/>
  <c r="P14" i="14" s="1"/>
  <c r="Q14" i="14" s="1"/>
  <c r="R14" i="14" s="1"/>
  <c r="S14" i="14" s="1"/>
  <c r="T14" i="14" s="1"/>
  <c r="U14" i="14" s="1"/>
  <c r="H13" i="14"/>
  <c r="I13" i="14" s="1"/>
  <c r="J13" i="14" s="1"/>
  <c r="K13" i="14" s="1"/>
  <c r="L13" i="14" s="1"/>
  <c r="M13" i="14" s="1"/>
  <c r="N13" i="14" s="1"/>
  <c r="O13" i="14" s="1"/>
  <c r="P13" i="14" s="1"/>
  <c r="Q13" i="14" s="1"/>
  <c r="R13" i="14" s="1"/>
  <c r="S13" i="14" s="1"/>
  <c r="T13" i="14" s="1"/>
  <c r="U13" i="14" s="1"/>
  <c r="H12" i="14"/>
  <c r="I12" i="14" s="1"/>
  <c r="J12" i="14" s="1"/>
  <c r="K12" i="14" s="1"/>
  <c r="L12" i="14" s="1"/>
  <c r="M12" i="14" s="1"/>
  <c r="N12" i="14" s="1"/>
  <c r="O12" i="14" s="1"/>
  <c r="P12" i="14" s="1"/>
  <c r="Q12" i="14" s="1"/>
  <c r="R12" i="14" s="1"/>
  <c r="S12" i="14" s="1"/>
  <c r="T12" i="14" s="1"/>
  <c r="U12" i="14" s="1"/>
  <c r="H11" i="14"/>
  <c r="I11" i="14" s="1"/>
  <c r="J11" i="14" s="1"/>
  <c r="K11" i="14" s="1"/>
  <c r="L11" i="14" s="1"/>
  <c r="M11" i="14" s="1"/>
  <c r="N11" i="14" s="1"/>
  <c r="O11" i="14" s="1"/>
  <c r="P11" i="14" s="1"/>
  <c r="Q11" i="14" s="1"/>
  <c r="R11" i="14" s="1"/>
  <c r="S11" i="14" s="1"/>
  <c r="T11" i="14" s="1"/>
  <c r="U11" i="14" s="1"/>
  <c r="AJ92" i="8"/>
  <c r="AI92" i="8"/>
  <c r="AI77" i="5" s="1"/>
  <c r="AH92" i="8"/>
  <c r="AH77" i="5" s="1"/>
  <c r="AG92" i="8"/>
  <c r="AG77" i="5" s="1"/>
  <c r="AF92" i="8"/>
  <c r="AF77" i="5" s="1"/>
  <c r="AE92" i="8"/>
  <c r="AE77" i="5" s="1"/>
  <c r="AD92" i="8"/>
  <c r="AD77" i="5" s="1"/>
  <c r="AC92" i="8"/>
  <c r="AC77" i="5" s="1"/>
  <c r="AB92" i="8"/>
  <c r="AB77" i="5" s="1"/>
  <c r="AA92" i="8"/>
  <c r="AA77" i="5" s="1"/>
  <c r="Z92" i="8"/>
  <c r="Z77" i="5" s="1"/>
  <c r="Y92" i="8"/>
  <c r="Y77" i="5" s="1"/>
  <c r="X92" i="8"/>
  <c r="X77" i="5" s="1"/>
  <c r="W92" i="8"/>
  <c r="W77" i="5" s="1"/>
  <c r="V92" i="8"/>
  <c r="U92" i="8"/>
  <c r="T92" i="8"/>
  <c r="S92" i="8"/>
  <c r="R92" i="8"/>
  <c r="R77" i="5" s="1"/>
  <c r="Q92" i="8"/>
  <c r="Q77" i="5" s="1"/>
  <c r="P92" i="8"/>
  <c r="P77" i="5" s="1"/>
  <c r="O92" i="8"/>
  <c r="O77" i="5" s="1"/>
  <c r="N92" i="8"/>
  <c r="N77" i="5" s="1"/>
  <c r="M92" i="8"/>
  <c r="M77" i="5" s="1"/>
  <c r="L92" i="8"/>
  <c r="L77" i="5" s="1"/>
  <c r="K92" i="8"/>
  <c r="J92" i="8"/>
  <c r="J77" i="5" s="1"/>
  <c r="I92" i="8"/>
  <c r="I77" i="5" s="1"/>
  <c r="H92" i="8"/>
  <c r="H77" i="5" s="1"/>
  <c r="G92" i="8"/>
  <c r="G77" i="5" s="1"/>
  <c r="F92" i="8"/>
  <c r="F77" i="5" s="1"/>
  <c r="E92" i="8"/>
  <c r="E77" i="5" s="1"/>
  <c r="AJ91" i="8"/>
  <c r="AI91" i="8"/>
  <c r="AH91" i="8"/>
  <c r="AG91" i="8"/>
  <c r="AG76" i="5" s="1"/>
  <c r="AF91" i="8"/>
  <c r="AE91" i="8"/>
  <c r="AD91" i="8"/>
  <c r="AD76" i="5" s="1"/>
  <c r="AC91" i="8"/>
  <c r="AC76" i="5" s="1"/>
  <c r="AB91" i="8"/>
  <c r="AB76" i="5" s="1"/>
  <c r="AA91" i="8"/>
  <c r="AA76" i="5" s="1"/>
  <c r="Z91" i="8"/>
  <c r="Z76" i="5" s="1"/>
  <c r="Y91" i="8"/>
  <c r="Y76" i="5" s="1"/>
  <c r="X91" i="8"/>
  <c r="X76" i="5" s="1"/>
  <c r="W91" i="8"/>
  <c r="W76" i="5" s="1"/>
  <c r="V91" i="8"/>
  <c r="V76" i="5" s="1"/>
  <c r="U91" i="8"/>
  <c r="U76" i="5" s="1"/>
  <c r="T91" i="8"/>
  <c r="T76" i="5" s="1"/>
  <c r="S91" i="8"/>
  <c r="S76" i="5" s="1"/>
  <c r="R91" i="8"/>
  <c r="R76" i="5" s="1"/>
  <c r="Q91" i="8"/>
  <c r="Q76" i="5" s="1"/>
  <c r="P91" i="8"/>
  <c r="P76" i="5" s="1"/>
  <c r="O91" i="8"/>
  <c r="O76" i="5" s="1"/>
  <c r="N91" i="8"/>
  <c r="M91" i="8"/>
  <c r="L91" i="8"/>
  <c r="K91" i="8"/>
  <c r="J91" i="8"/>
  <c r="J76" i="5" s="1"/>
  <c r="I91" i="8"/>
  <c r="I76" i="5" s="1"/>
  <c r="H91" i="8"/>
  <c r="H76" i="5" s="1"/>
  <c r="G91" i="8"/>
  <c r="G76" i="5" s="1"/>
  <c r="F91" i="8"/>
  <c r="F76" i="5" s="1"/>
  <c r="E91" i="8"/>
  <c r="E76" i="5" s="1"/>
  <c r="AJ90" i="8"/>
  <c r="AI90" i="8"/>
  <c r="AH90" i="8"/>
  <c r="AG90" i="8"/>
  <c r="AG75" i="5" s="1"/>
  <c r="AF90" i="8"/>
  <c r="AF75" i="5" s="1"/>
  <c r="AE90" i="8"/>
  <c r="AE75" i="5" s="1"/>
  <c r="AD90" i="8"/>
  <c r="AD75" i="5" s="1"/>
  <c r="AC90" i="8"/>
  <c r="AC75" i="5" s="1"/>
  <c r="AB90" i="8"/>
  <c r="AB75" i="5" s="1"/>
  <c r="AA90" i="8"/>
  <c r="AA75" i="5" s="1"/>
  <c r="Z90" i="8"/>
  <c r="Z75" i="5" s="1"/>
  <c r="Y90" i="8"/>
  <c r="Y75" i="5" s="1"/>
  <c r="X90" i="8"/>
  <c r="W90" i="8"/>
  <c r="W75" i="5" s="1"/>
  <c r="V90" i="8"/>
  <c r="V75" i="5" s="1"/>
  <c r="U90" i="8"/>
  <c r="U75" i="5" s="1"/>
  <c r="T90" i="8"/>
  <c r="T75" i="5" s="1"/>
  <c r="S90" i="8"/>
  <c r="S75" i="5" s="1"/>
  <c r="R90" i="8"/>
  <c r="R75" i="5" s="1"/>
  <c r="Q90" i="8"/>
  <c r="Q75" i="5" s="1"/>
  <c r="P90" i="8"/>
  <c r="P75" i="5" s="1"/>
  <c r="O90" i="8"/>
  <c r="O75" i="5" s="1"/>
  <c r="N90" i="8"/>
  <c r="N75" i="5" s="1"/>
  <c r="M90" i="8"/>
  <c r="M75" i="5" s="1"/>
  <c r="L90" i="8"/>
  <c r="L75" i="5" s="1"/>
  <c r="K90" i="8"/>
  <c r="K75" i="5" s="1"/>
  <c r="J90" i="8"/>
  <c r="J75" i="5" s="1"/>
  <c r="I90" i="8"/>
  <c r="I75" i="5" s="1"/>
  <c r="H90" i="8"/>
  <c r="H75" i="5" s="1"/>
  <c r="G90" i="8"/>
  <c r="G75" i="5" s="1"/>
  <c r="F90" i="8"/>
  <c r="F75" i="5" s="1"/>
  <c r="E90" i="8"/>
  <c r="E75" i="5" s="1"/>
  <c r="AJ77" i="5"/>
  <c r="V77" i="5"/>
  <c r="U77" i="5"/>
  <c r="T77" i="5"/>
  <c r="S77" i="5"/>
  <c r="K77" i="5"/>
  <c r="AJ76" i="5"/>
  <c r="AI76" i="5"/>
  <c r="AH76" i="5"/>
  <c r="AF76" i="5"/>
  <c r="AE76" i="5"/>
  <c r="N76" i="5"/>
  <c r="M76" i="5"/>
  <c r="L76" i="5"/>
  <c r="K76" i="5"/>
  <c r="AJ75" i="5"/>
  <c r="AI75" i="5"/>
  <c r="AH75" i="5"/>
  <c r="X75" i="5"/>
  <c r="AI6" i="10"/>
  <c r="AI7" i="10"/>
  <c r="AI8" i="10"/>
  <c r="AI9" i="10"/>
  <c r="AI10" i="10"/>
  <c r="AI11" i="10"/>
  <c r="AI12" i="10"/>
  <c r="AI13" i="10"/>
  <c r="AI5" i="10"/>
  <c r="AI6" i="1"/>
  <c r="AI7" i="1"/>
  <c r="AI8" i="1"/>
  <c r="AI9" i="1"/>
  <c r="AI10" i="1"/>
  <c r="AI11" i="1"/>
  <c r="AI12" i="1"/>
  <c r="AI13" i="1"/>
  <c r="AI14" i="1"/>
  <c r="AI5" i="1"/>
  <c r="AI6" i="6"/>
  <c r="AI7" i="6"/>
  <c r="AI8" i="6"/>
  <c r="AI9" i="6"/>
  <c r="AI11" i="6"/>
  <c r="AI14" i="6"/>
  <c r="AI5" i="6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AI44" i="9"/>
  <c r="AI45" i="9"/>
  <c r="AI46" i="9"/>
  <c r="AI47" i="9"/>
  <c r="AI48" i="9"/>
  <c r="AI49" i="9"/>
  <c r="AI50" i="9"/>
  <c r="AI43" i="9"/>
  <c r="AH4" i="10"/>
  <c r="AG17" i="10"/>
  <c r="BO17" i="10" s="1"/>
  <c r="AF17" i="10"/>
  <c r="BN17" i="10" s="1"/>
  <c r="X17" i="10"/>
  <c r="BF17" i="10" s="1"/>
  <c r="AH2" i="9"/>
  <c r="AG2" i="9"/>
  <c r="AF2" i="9"/>
  <c r="AE2" i="9"/>
  <c r="AD2" i="9"/>
  <c r="AC2" i="9"/>
  <c r="AB2" i="9"/>
  <c r="AA2" i="9"/>
  <c r="Z2" i="9"/>
  <c r="Y2" i="9"/>
  <c r="X2" i="9"/>
  <c r="W67" i="3"/>
  <c r="X67" i="3" s="1"/>
  <c r="Y67" i="3" s="1"/>
  <c r="Z67" i="3" s="1"/>
  <c r="AA67" i="3" s="1"/>
  <c r="AB67" i="3" s="1"/>
  <c r="AC67" i="3" s="1"/>
  <c r="AD67" i="3" s="1"/>
  <c r="AE67" i="3" s="1"/>
  <c r="AF67" i="3" s="1"/>
  <c r="AG67" i="3" s="1"/>
  <c r="AH67" i="3" s="1"/>
  <c r="V67" i="3"/>
  <c r="AH2" i="3"/>
  <c r="AG2" i="3"/>
  <c r="AF2" i="3"/>
  <c r="AE2" i="3"/>
  <c r="AD2" i="3"/>
  <c r="AC2" i="3"/>
  <c r="AB2" i="3"/>
  <c r="AA2" i="3"/>
  <c r="Z2" i="3"/>
  <c r="Y2" i="3"/>
  <c r="X2" i="3"/>
  <c r="AN52" i="14"/>
  <c r="BB52" i="14" s="1"/>
  <c r="W52" i="14"/>
  <c r="AN51" i="14"/>
  <c r="BD51" i="14" s="1"/>
  <c r="W51" i="14"/>
  <c r="AN50" i="14"/>
  <c r="BD50" i="14" s="1"/>
  <c r="W50" i="14"/>
  <c r="AN49" i="14"/>
  <c r="BD49" i="14" s="1"/>
  <c r="W49" i="14"/>
  <c r="AN48" i="14"/>
  <c r="W48" i="14"/>
  <c r="AN47" i="14"/>
  <c r="W47" i="14"/>
  <c r="AN46" i="14"/>
  <c r="W46" i="14"/>
  <c r="AN45" i="14"/>
  <c r="W45" i="14"/>
  <c r="AN44" i="14"/>
  <c r="W44" i="14"/>
  <c r="AN43" i="14"/>
  <c r="W43" i="14"/>
  <c r="AN42" i="14"/>
  <c r="W42" i="14"/>
  <c r="AN41" i="14"/>
  <c r="W41" i="14"/>
  <c r="AN40" i="14"/>
  <c r="W40" i="14"/>
  <c r="AN39" i="14"/>
  <c r="W39" i="14"/>
  <c r="AN38" i="14"/>
  <c r="W38" i="14"/>
  <c r="AN37" i="14"/>
  <c r="W37" i="14"/>
  <c r="AN36" i="14"/>
  <c r="W36" i="14"/>
  <c r="AN35" i="14"/>
  <c r="W35" i="14"/>
  <c r="AN34" i="14"/>
  <c r="W34" i="14"/>
  <c r="AN33" i="14"/>
  <c r="W33" i="14"/>
  <c r="AN32" i="14"/>
  <c r="W32" i="14"/>
  <c r="AN31" i="14"/>
  <c r="W31" i="14"/>
  <c r="AN30" i="14"/>
  <c r="W30" i="14"/>
  <c r="AN29" i="14"/>
  <c r="W29" i="14"/>
  <c r="AN28" i="14"/>
  <c r="W28" i="14"/>
  <c r="AN27" i="14"/>
  <c r="W27" i="14"/>
  <c r="AN26" i="14"/>
  <c r="W26" i="14"/>
  <c r="AN25" i="14"/>
  <c r="W25" i="14"/>
  <c r="AN24" i="14"/>
  <c r="W24" i="14"/>
  <c r="AN23" i="14"/>
  <c r="W23" i="14"/>
  <c r="AN22" i="14"/>
  <c r="W22" i="14"/>
  <c r="AN21" i="14"/>
  <c r="W21" i="14"/>
  <c r="AN20" i="14"/>
  <c r="W20" i="14"/>
  <c r="AN19" i="14"/>
  <c r="W19" i="14"/>
  <c r="AN18" i="14"/>
  <c r="W18" i="14"/>
  <c r="AN17" i="14"/>
  <c r="W17" i="14"/>
  <c r="AN16" i="14"/>
  <c r="W16" i="14"/>
  <c r="AN15" i="14"/>
  <c r="W15" i="14"/>
  <c r="AN14" i="14"/>
  <c r="W14" i="14"/>
  <c r="AN13" i="14"/>
  <c r="W13" i="14"/>
  <c r="AN12" i="14"/>
  <c r="W12" i="14"/>
  <c r="AN11" i="14"/>
  <c r="W11" i="14"/>
  <c r="AN10" i="14"/>
  <c r="W10" i="14"/>
  <c r="AN9" i="14"/>
  <c r="W9" i="14"/>
  <c r="AN8" i="14"/>
  <c r="W8" i="14"/>
  <c r="AN7" i="14"/>
  <c r="W7" i="14"/>
  <c r="AN6" i="14"/>
  <c r="W6" i="14"/>
  <c r="AN5" i="14"/>
  <c r="W5" i="14"/>
  <c r="AN4" i="14"/>
  <c r="W4" i="14"/>
  <c r="AX3" i="14"/>
  <c r="AR3" i="14"/>
  <c r="AP3" i="14"/>
  <c r="AL3" i="14"/>
  <c r="BD3" i="14" s="1"/>
  <c r="AK3" i="14"/>
  <c r="BC3" i="14" s="1"/>
  <c r="AJ3" i="14"/>
  <c r="BB3" i="14" s="1"/>
  <c r="AI3" i="14"/>
  <c r="BA3" i="14" s="1"/>
  <c r="AH3" i="14"/>
  <c r="AZ3" i="14" s="1"/>
  <c r="AG3" i="14"/>
  <c r="AY3" i="14" s="1"/>
  <c r="AF3" i="14"/>
  <c r="AE3" i="14"/>
  <c r="AW3" i="14" s="1"/>
  <c r="AD3" i="14"/>
  <c r="AV3" i="14" s="1"/>
  <c r="AC3" i="14"/>
  <c r="AU3" i="14" s="1"/>
  <c r="AB3" i="14"/>
  <c r="AT3" i="14" s="1"/>
  <c r="AA3" i="14"/>
  <c r="AS3" i="14" s="1"/>
  <c r="Z3" i="14"/>
  <c r="Y3" i="14"/>
  <c r="AQ3" i="14" s="1"/>
  <c r="X3" i="14"/>
  <c r="C19" i="10"/>
  <c r="C20" i="10"/>
  <c r="C21" i="10"/>
  <c r="C22" i="10"/>
  <c r="C23" i="10"/>
  <c r="C24" i="10"/>
  <c r="C25" i="10"/>
  <c r="C26" i="10"/>
  <c r="C18" i="10"/>
  <c r="E49" i="9" l="1"/>
  <c r="F49" i="9"/>
  <c r="AE49" i="9"/>
  <c r="I26" i="8"/>
  <c r="N26" i="8"/>
  <c r="AA26" i="8"/>
  <c r="R26" i="8"/>
  <c r="U26" i="8"/>
  <c r="J26" i="8"/>
  <c r="AE26" i="8"/>
  <c r="AF26" i="8"/>
  <c r="AC26" i="8"/>
  <c r="W26" i="8"/>
  <c r="AJ26" i="8"/>
  <c r="AI26" i="8"/>
  <c r="S26" i="8"/>
  <c r="V26" i="8"/>
  <c r="Q26" i="8"/>
  <c r="T26" i="8"/>
  <c r="AH26" i="8"/>
  <c r="AD26" i="8"/>
  <c r="Y26" i="8"/>
  <c r="X26" i="8"/>
  <c r="V42" i="8"/>
  <c r="S42" i="8"/>
  <c r="AH42" i="8"/>
  <c r="T42" i="8"/>
  <c r="Q42" i="8"/>
  <c r="Y42" i="8"/>
  <c r="X42" i="8"/>
  <c r="AD42" i="8"/>
  <c r="AJ42" i="8"/>
  <c r="AI42" i="8"/>
  <c r="J42" i="8"/>
  <c r="AE42" i="8"/>
  <c r="R42" i="8"/>
  <c r="U42" i="8"/>
  <c r="AA42" i="8"/>
  <c r="N42" i="8"/>
  <c r="I42" i="8"/>
  <c r="AF42" i="8"/>
  <c r="W42" i="8"/>
  <c r="AC42" i="8"/>
  <c r="I40" i="8"/>
  <c r="AA40" i="8"/>
  <c r="N40" i="8"/>
  <c r="AJ40" i="8"/>
  <c r="AI40" i="8"/>
  <c r="U40" i="8"/>
  <c r="R40" i="8"/>
  <c r="J40" i="8"/>
  <c r="AE40" i="8"/>
  <c r="AF40" i="8"/>
  <c r="AC40" i="8"/>
  <c r="W40" i="8"/>
  <c r="Y40" i="8"/>
  <c r="AD40" i="8"/>
  <c r="S40" i="8"/>
  <c r="X40" i="8"/>
  <c r="V40" i="8"/>
  <c r="T40" i="8"/>
  <c r="Q40" i="8"/>
  <c r="AH40" i="8"/>
  <c r="AJ38" i="8"/>
  <c r="AI38" i="8"/>
  <c r="R38" i="8"/>
  <c r="U38" i="8"/>
  <c r="J38" i="8"/>
  <c r="AE38" i="8"/>
  <c r="AC38" i="8"/>
  <c r="W38" i="8"/>
  <c r="AF38" i="8"/>
  <c r="AH38" i="8"/>
  <c r="AD38" i="8"/>
  <c r="Y38" i="8"/>
  <c r="X38" i="8"/>
  <c r="V38" i="8"/>
  <c r="T38" i="8"/>
  <c r="S38" i="8"/>
  <c r="Q38" i="8"/>
  <c r="N38" i="8"/>
  <c r="AA38" i="8"/>
  <c r="I38" i="8"/>
  <c r="N37" i="8"/>
  <c r="I37" i="8"/>
  <c r="AA37" i="8"/>
  <c r="U37" i="8"/>
  <c r="R37" i="8"/>
  <c r="J37" i="8"/>
  <c r="AE37" i="8"/>
  <c r="AF37" i="8"/>
  <c r="AC37" i="8"/>
  <c r="W37" i="8"/>
  <c r="AJ37" i="8"/>
  <c r="AI37" i="8"/>
  <c r="AH37" i="8"/>
  <c r="AD37" i="8"/>
  <c r="X37" i="8"/>
  <c r="Y37" i="8"/>
  <c r="T37" i="8"/>
  <c r="V37" i="8"/>
  <c r="S37" i="8"/>
  <c r="Q37" i="8"/>
  <c r="I6" i="8"/>
  <c r="AA6" i="8"/>
  <c r="N6" i="8"/>
  <c r="R6" i="8"/>
  <c r="U6" i="8"/>
  <c r="J6" i="8"/>
  <c r="AE6" i="8"/>
  <c r="AF6" i="8"/>
  <c r="AC6" i="8"/>
  <c r="W6" i="8"/>
  <c r="AJ6" i="8"/>
  <c r="AI6" i="8"/>
  <c r="AD6" i="8"/>
  <c r="V6" i="8"/>
  <c r="Q6" i="8"/>
  <c r="S6" i="8"/>
  <c r="X6" i="8"/>
  <c r="Y6" i="8"/>
  <c r="T6" i="8"/>
  <c r="AH6" i="8"/>
  <c r="AJ19" i="8"/>
  <c r="AI19" i="8"/>
  <c r="AD19" i="8"/>
  <c r="Y19" i="8"/>
  <c r="X19" i="8"/>
  <c r="V19" i="8"/>
  <c r="T19" i="8"/>
  <c r="S19" i="8"/>
  <c r="Q19" i="8"/>
  <c r="AH19" i="8"/>
  <c r="AA19" i="8"/>
  <c r="I19" i="8"/>
  <c r="N19" i="8"/>
  <c r="U19" i="8"/>
  <c r="R19" i="8"/>
  <c r="J19" i="8"/>
  <c r="AE19" i="8"/>
  <c r="AC19" i="8"/>
  <c r="AF19" i="8"/>
  <c r="W19" i="8"/>
  <c r="J45" i="12"/>
  <c r="Q45" i="12"/>
  <c r="N45" i="12"/>
  <c r="I47" i="12"/>
  <c r="Q45" i="14"/>
  <c r="S45" i="14"/>
  <c r="T45" i="14"/>
  <c r="U45" i="14"/>
  <c r="I45" i="14"/>
  <c r="L45" i="14"/>
  <c r="M45" i="14"/>
  <c r="N44" i="14"/>
  <c r="R44" i="14"/>
  <c r="S44" i="14"/>
  <c r="T44" i="14"/>
  <c r="K44" i="14"/>
  <c r="H42" i="14"/>
  <c r="I42" i="14"/>
  <c r="L42" i="14"/>
  <c r="M42" i="14"/>
  <c r="N42" i="14"/>
  <c r="O42" i="14"/>
  <c r="P42" i="14"/>
  <c r="AQ52" i="14"/>
  <c r="S45" i="12"/>
  <c r="H45" i="12"/>
  <c r="I45" i="12"/>
  <c r="K45" i="12"/>
  <c r="O45" i="12"/>
  <c r="P45" i="12"/>
  <c r="O46" i="12"/>
  <c r="P46" i="12"/>
  <c r="Q46" i="12"/>
  <c r="R46" i="12"/>
  <c r="S46" i="12"/>
  <c r="T46" i="12"/>
  <c r="H46" i="12"/>
  <c r="I46" i="12"/>
  <c r="K46" i="12"/>
  <c r="J47" i="12"/>
  <c r="K47" i="12"/>
  <c r="T47" i="12"/>
  <c r="L47" i="12"/>
  <c r="M47" i="12"/>
  <c r="N47" i="12"/>
  <c r="P47" i="12"/>
  <c r="Q47" i="12"/>
  <c r="R47" i="12"/>
  <c r="S47" i="12"/>
  <c r="H47" i="12"/>
  <c r="AG3" i="8"/>
  <c r="BC2" i="3"/>
  <c r="BD2" i="3"/>
  <c r="BE2" i="3"/>
  <c r="BF2" i="3"/>
  <c r="AB3" i="8"/>
  <c r="AC3" i="8"/>
  <c r="AD3" i="8"/>
  <c r="AE3" i="8"/>
  <c r="BB2" i="3"/>
  <c r="AA3" i="8"/>
  <c r="BH2" i="9"/>
  <c r="AD3" i="5"/>
  <c r="BI2" i="9"/>
  <c r="AE3" i="5"/>
  <c r="BI3" i="8"/>
  <c r="BJ2" i="9"/>
  <c r="AF3" i="5"/>
  <c r="BJ3" i="8"/>
  <c r="AG3" i="5"/>
  <c r="AH3" i="5"/>
  <c r="BG2" i="3"/>
  <c r="AF3" i="8"/>
  <c r="AI3" i="5"/>
  <c r="BH2" i="3"/>
  <c r="BN2" i="9"/>
  <c r="BI2" i="3"/>
  <c r="AH3" i="8"/>
  <c r="BB2" i="9"/>
  <c r="X3" i="5"/>
  <c r="BJ2" i="3"/>
  <c r="AI3" i="8"/>
  <c r="BC2" i="9"/>
  <c r="Y3" i="5"/>
  <c r="BK2" i="3"/>
  <c r="AJ3" i="8"/>
  <c r="BK2" i="9"/>
  <c r="BL2" i="3"/>
  <c r="AC64" i="8"/>
  <c r="AC77" i="8" s="1"/>
  <c r="BL2" i="9"/>
  <c r="BM2" i="3"/>
  <c r="AE64" i="8"/>
  <c r="AE77" i="8" s="1"/>
  <c r="BM2" i="9"/>
  <c r="BN2" i="3"/>
  <c r="BD2" i="9"/>
  <c r="Z3" i="5"/>
  <c r="AJ3" i="5"/>
  <c r="X3" i="8"/>
  <c r="Y3" i="8"/>
  <c r="Z3" i="8"/>
  <c r="AA3" i="5"/>
  <c r="AB3" i="5"/>
  <c r="AC3" i="5"/>
  <c r="BE2" i="9"/>
  <c r="BF2" i="9"/>
  <c r="BG2" i="9"/>
  <c r="AH17" i="10"/>
  <c r="BP17" i="10" s="1"/>
  <c r="V17" i="10"/>
  <c r="BD17" i="10" s="1"/>
  <c r="W17" i="10"/>
  <c r="BE17" i="10" s="1"/>
  <c r="Y17" i="10"/>
  <c r="BG17" i="10" s="1"/>
  <c r="Z17" i="10"/>
  <c r="BH17" i="10" s="1"/>
  <c r="AA17" i="10"/>
  <c r="BI17" i="10" s="1"/>
  <c r="AB17" i="10"/>
  <c r="BJ17" i="10" s="1"/>
  <c r="AC17" i="10"/>
  <c r="BK17" i="10" s="1"/>
  <c r="AD17" i="10"/>
  <c r="BL17" i="10" s="1"/>
  <c r="AH53" i="5"/>
  <c r="AH63" i="5" s="1"/>
  <c r="AE80" i="9"/>
  <c r="AH80" i="9"/>
  <c r="V80" i="9"/>
  <c r="W80" i="9"/>
  <c r="X80" i="9"/>
  <c r="Y80" i="9"/>
  <c r="Z80" i="9"/>
  <c r="AA80" i="9"/>
  <c r="AB80" i="9"/>
  <c r="AC80" i="9"/>
  <c r="AF80" i="9"/>
  <c r="AD80" i="9"/>
  <c r="AG80" i="9"/>
  <c r="AF64" i="8"/>
  <c r="AF77" i="8" s="1"/>
  <c r="AH64" i="8"/>
  <c r="AH77" i="8" s="1"/>
  <c r="AJ64" i="8"/>
  <c r="AJ77" i="8" s="1"/>
  <c r="AD85" i="3"/>
  <c r="AE85" i="3"/>
  <c r="AF85" i="3"/>
  <c r="AG85" i="3"/>
  <c r="AH85" i="3"/>
  <c r="W85" i="3"/>
  <c r="X85" i="3"/>
  <c r="Y85" i="3"/>
  <c r="Z85" i="3"/>
  <c r="V85" i="3"/>
  <c r="AB85" i="3"/>
  <c r="AA85" i="3"/>
  <c r="AC85" i="3"/>
  <c r="BA52" i="14"/>
  <c r="AS52" i="14"/>
  <c r="AU52" i="14"/>
  <c r="AW52" i="14"/>
  <c r="AY52" i="14"/>
  <c r="BC52" i="14"/>
  <c r="BD52" i="14"/>
  <c r="AP52" i="14"/>
  <c r="AR52" i="14"/>
  <c r="AT52" i="14"/>
  <c r="AV52" i="14"/>
  <c r="AX52" i="14"/>
  <c r="AZ52" i="14"/>
  <c r="AD64" i="8" l="1"/>
  <c r="AD77" i="8" s="1"/>
  <c r="AB64" i="8"/>
  <c r="AB77" i="8" s="1"/>
  <c r="BK3" i="8"/>
  <c r="X64" i="8"/>
  <c r="X77" i="8" s="1"/>
  <c r="AD53" i="5"/>
  <c r="AD63" i="5" s="1"/>
  <c r="AB53" i="5"/>
  <c r="AB63" i="5" s="1"/>
  <c r="AJ53" i="5"/>
  <c r="AJ63" i="5" s="1"/>
  <c r="AG64" i="8"/>
  <c r="AG77" i="8" s="1"/>
  <c r="BM3" i="8"/>
  <c r="BH3" i="8"/>
  <c r="Y64" i="8"/>
  <c r="Y77" i="8" s="1"/>
  <c r="BE3" i="8"/>
  <c r="BO3" i="5"/>
  <c r="AI53" i="5"/>
  <c r="AI63" i="5" s="1"/>
  <c r="BM3" i="5"/>
  <c r="AG53" i="5"/>
  <c r="AG63" i="5" s="1"/>
  <c r="BL3" i="5"/>
  <c r="AF53" i="5"/>
  <c r="AF63" i="5" s="1"/>
  <c r="BF3" i="8"/>
  <c r="Z64" i="8"/>
  <c r="Z77" i="8" s="1"/>
  <c r="BP3" i="5"/>
  <c r="AC53" i="5"/>
  <c r="AC63" i="5" s="1"/>
  <c r="BI3" i="5"/>
  <c r="AE53" i="5"/>
  <c r="AE63" i="5" s="1"/>
  <c r="BK3" i="5"/>
  <c r="BH3" i="5"/>
  <c r="BD3" i="8"/>
  <c r="CQ3" i="8"/>
  <c r="Z53" i="5"/>
  <c r="Z63" i="5" s="1"/>
  <c r="BF3" i="5"/>
  <c r="BN3" i="8"/>
  <c r="BL3" i="8"/>
  <c r="CP3" i="8"/>
  <c r="BJ3" i="5"/>
  <c r="AA53" i="5"/>
  <c r="AA63" i="5" s="1"/>
  <c r="BG3" i="5"/>
  <c r="BP3" i="8"/>
  <c r="X53" i="5"/>
  <c r="X63" i="5" s="1"/>
  <c r="BD3" i="5"/>
  <c r="Y53" i="5"/>
  <c r="Y63" i="5" s="1"/>
  <c r="BE3" i="5"/>
  <c r="AI64" i="8"/>
  <c r="AI77" i="8" s="1"/>
  <c r="BO3" i="8"/>
  <c r="BG3" i="8"/>
  <c r="AA64" i="8"/>
  <c r="AA77" i="8" s="1"/>
  <c r="CR3" i="8"/>
  <c r="BN3" i="5"/>
  <c r="AO52" i="14"/>
  <c r="CT3" i="8" l="1"/>
  <c r="CO3" i="8"/>
  <c r="CV3" i="5"/>
  <c r="CS3" i="8"/>
  <c r="CU3" i="5"/>
  <c r="CW3" i="5"/>
  <c r="CL3" i="8"/>
  <c r="CU3" i="8"/>
  <c r="CR3" i="5"/>
  <c r="CX3" i="5"/>
  <c r="DX3" i="8"/>
  <c r="DU3" i="8"/>
  <c r="CN3" i="8"/>
  <c r="CW3" i="8"/>
  <c r="CP3" i="5"/>
  <c r="CS3" i="5"/>
  <c r="DZ3" i="8"/>
  <c r="CQ3" i="5"/>
  <c r="CM3" i="8"/>
  <c r="CV3" i="8"/>
  <c r="CN3" i="5"/>
  <c r="DW3" i="8"/>
  <c r="CK3" i="8"/>
  <c r="CL3" i="5"/>
  <c r="CT3" i="5"/>
  <c r="CM3" i="5"/>
  <c r="CO3" i="5"/>
  <c r="DV3" i="8"/>
  <c r="U17" i="10"/>
  <c r="BC17" i="10" s="1"/>
  <c r="AK100" i="9"/>
  <c r="AK98" i="9"/>
  <c r="AK97" i="9"/>
  <c r="AK94" i="9"/>
  <c r="AK92" i="9"/>
  <c r="AK88" i="9"/>
  <c r="AK84" i="9"/>
  <c r="A78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F63" i="13"/>
  <c r="G63" i="13" s="1"/>
  <c r="H63" i="13" s="1"/>
  <c r="I63" i="13" s="1"/>
  <c r="J63" i="13" s="1"/>
  <c r="K63" i="13" s="1"/>
  <c r="L63" i="13" s="1"/>
  <c r="M63" i="13" s="1"/>
  <c r="N63" i="13" s="1"/>
  <c r="O63" i="13" s="1"/>
  <c r="P63" i="13" s="1"/>
  <c r="Q63" i="13" s="1"/>
  <c r="R63" i="13" s="1"/>
  <c r="S63" i="13" s="1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14" i="13"/>
  <c r="A13" i="13"/>
  <c r="A12" i="13"/>
  <c r="A11" i="13"/>
  <c r="A10" i="13"/>
  <c r="A9" i="13"/>
  <c r="A8" i="13"/>
  <c r="A7" i="13"/>
  <c r="R3" i="13"/>
  <c r="AI4" i="6"/>
  <c r="O2" i="9"/>
  <c r="N2" i="9"/>
  <c r="M2" i="9"/>
  <c r="L2" i="9"/>
  <c r="K2" i="9"/>
  <c r="J2" i="9"/>
  <c r="I2" i="9"/>
  <c r="H2" i="9"/>
  <c r="G2" i="9"/>
  <c r="F2" i="9"/>
  <c r="E2" i="9"/>
  <c r="AO61" i="12"/>
  <c r="AN61" i="12"/>
  <c r="W61" i="12"/>
  <c r="AO60" i="12"/>
  <c r="AN60" i="12"/>
  <c r="W60" i="12"/>
  <c r="AO59" i="12"/>
  <c r="AN59" i="12"/>
  <c r="W59" i="12"/>
  <c r="AO58" i="12"/>
  <c r="AN58" i="12"/>
  <c r="W58" i="12"/>
  <c r="AO57" i="12"/>
  <c r="AN57" i="12"/>
  <c r="W57" i="12"/>
  <c r="AO56" i="12"/>
  <c r="AN56" i="12"/>
  <c r="W56" i="12"/>
  <c r="AO55" i="12"/>
  <c r="AN55" i="12"/>
  <c r="W55" i="12"/>
  <c r="AO54" i="12"/>
  <c r="AN54" i="12"/>
  <c r="W54" i="12"/>
  <c r="AO53" i="12"/>
  <c r="AN53" i="12"/>
  <c r="W53" i="12"/>
  <c r="AO52" i="12"/>
  <c r="AN52" i="12"/>
  <c r="W52" i="12"/>
  <c r="AO51" i="12"/>
  <c r="AN51" i="12"/>
  <c r="W51" i="12"/>
  <c r="AO50" i="12"/>
  <c r="AN50" i="12"/>
  <c r="W50" i="12"/>
  <c r="AO49" i="12"/>
  <c r="AN49" i="12"/>
  <c r="W49" i="12"/>
  <c r="AO48" i="12"/>
  <c r="AN48" i="12"/>
  <c r="W48" i="12"/>
  <c r="AO47" i="12"/>
  <c r="AN47" i="12"/>
  <c r="W47" i="12"/>
  <c r="AO46" i="12"/>
  <c r="AN46" i="12"/>
  <c r="W46" i="12"/>
  <c r="AO45" i="12"/>
  <c r="AN45" i="12"/>
  <c r="W45" i="12"/>
  <c r="AO44" i="12"/>
  <c r="AN44" i="12"/>
  <c r="W44" i="12"/>
  <c r="AO43" i="12"/>
  <c r="AN43" i="12"/>
  <c r="W43" i="12"/>
  <c r="AO42" i="12"/>
  <c r="AN42" i="12"/>
  <c r="W42" i="12"/>
  <c r="AO41" i="12"/>
  <c r="AN41" i="12"/>
  <c r="W41" i="12"/>
  <c r="AO40" i="12"/>
  <c r="AN40" i="12"/>
  <c r="W40" i="12"/>
  <c r="AO39" i="12"/>
  <c r="AN39" i="12"/>
  <c r="W39" i="12"/>
  <c r="AO38" i="12"/>
  <c r="AN38" i="12"/>
  <c r="W38" i="12"/>
  <c r="AO37" i="12"/>
  <c r="AN37" i="12"/>
  <c r="W37" i="12"/>
  <c r="AO36" i="12"/>
  <c r="AN36" i="12"/>
  <c r="W36" i="12"/>
  <c r="AO35" i="12"/>
  <c r="AN35" i="12"/>
  <c r="W35" i="12"/>
  <c r="AO34" i="12"/>
  <c r="AN34" i="12"/>
  <c r="W34" i="12"/>
  <c r="AO33" i="12"/>
  <c r="AN33" i="12"/>
  <c r="W33" i="12"/>
  <c r="AO32" i="12"/>
  <c r="AN32" i="12"/>
  <c r="W32" i="12"/>
  <c r="AO31" i="12"/>
  <c r="AN31" i="12"/>
  <c r="W31" i="12"/>
  <c r="AO30" i="12"/>
  <c r="AN30" i="12"/>
  <c r="W30" i="12"/>
  <c r="AO29" i="12"/>
  <c r="AN29" i="12"/>
  <c r="W29" i="12"/>
  <c r="AO28" i="12"/>
  <c r="AN28" i="12"/>
  <c r="W28" i="12"/>
  <c r="AO27" i="12"/>
  <c r="AN27" i="12"/>
  <c r="W27" i="12"/>
  <c r="AO26" i="12"/>
  <c r="AN26" i="12"/>
  <c r="W26" i="12"/>
  <c r="AO25" i="12"/>
  <c r="AN25" i="12"/>
  <c r="W25" i="12"/>
  <c r="AO24" i="12"/>
  <c r="AN24" i="12"/>
  <c r="W24" i="12"/>
  <c r="AO23" i="12"/>
  <c r="AN23" i="12"/>
  <c r="W23" i="12"/>
  <c r="AO22" i="12"/>
  <c r="AN22" i="12"/>
  <c r="W22" i="12"/>
  <c r="AO21" i="12"/>
  <c r="AN21" i="12"/>
  <c r="W21" i="12"/>
  <c r="AO20" i="12"/>
  <c r="AN20" i="12"/>
  <c r="W20" i="12"/>
  <c r="AO19" i="12"/>
  <c r="AN19" i="12"/>
  <c r="W19" i="12"/>
  <c r="AO18" i="12"/>
  <c r="AN18" i="12"/>
  <c r="W18" i="12"/>
  <c r="AO17" i="12"/>
  <c r="AN17" i="12"/>
  <c r="W17" i="12"/>
  <c r="AO16" i="12"/>
  <c r="AN16" i="12"/>
  <c r="W16" i="12"/>
  <c r="AO15" i="12"/>
  <c r="AN15" i="12"/>
  <c r="W15" i="12"/>
  <c r="AO14" i="12"/>
  <c r="AN14" i="12"/>
  <c r="W14" i="12"/>
  <c r="AO13" i="12"/>
  <c r="AN13" i="12"/>
  <c r="W13" i="12"/>
  <c r="AO12" i="12"/>
  <c r="AN12" i="12"/>
  <c r="W12" i="12"/>
  <c r="AO11" i="12"/>
  <c r="AN11" i="12"/>
  <c r="W11" i="12"/>
  <c r="AO10" i="12"/>
  <c r="AN10" i="12"/>
  <c r="W10" i="12"/>
  <c r="AO9" i="12"/>
  <c r="AN9" i="12"/>
  <c r="W9" i="12"/>
  <c r="AO8" i="12"/>
  <c r="AN8" i="12"/>
  <c r="W8" i="12"/>
  <c r="AO7" i="12"/>
  <c r="AN7" i="12"/>
  <c r="W7" i="12"/>
  <c r="AO6" i="12"/>
  <c r="AN6" i="12"/>
  <c r="W6" i="12"/>
  <c r="AO5" i="12"/>
  <c r="AN5" i="12"/>
  <c r="W5" i="12"/>
  <c r="AO4" i="12"/>
  <c r="AN4" i="12"/>
  <c r="W4" i="12"/>
  <c r="AL3" i="12"/>
  <c r="BD3" i="12" s="1"/>
  <c r="AK3" i="12"/>
  <c r="BC3" i="12" s="1"/>
  <c r="AJ3" i="12"/>
  <c r="BB3" i="12" s="1"/>
  <c r="AI3" i="12"/>
  <c r="BA3" i="12" s="1"/>
  <c r="AH3" i="12"/>
  <c r="AZ3" i="12" s="1"/>
  <c r="AG3" i="12"/>
  <c r="AY3" i="12" s="1"/>
  <c r="AF3" i="12"/>
  <c r="AX3" i="12" s="1"/>
  <c r="AE3" i="12"/>
  <c r="AW3" i="12" s="1"/>
  <c r="AD3" i="12"/>
  <c r="AV3" i="12" s="1"/>
  <c r="AC3" i="12"/>
  <c r="AU3" i="12" s="1"/>
  <c r="AB3" i="12"/>
  <c r="AT3" i="12" s="1"/>
  <c r="AA3" i="12"/>
  <c r="AS3" i="12" s="1"/>
  <c r="Z3" i="12"/>
  <c r="AR3" i="12" s="1"/>
  <c r="Y3" i="12"/>
  <c r="AQ3" i="12" s="1"/>
  <c r="X3" i="12"/>
  <c r="AP3" i="12" s="1"/>
  <c r="P2" i="3"/>
  <c r="O2" i="3"/>
  <c r="N2" i="3"/>
  <c r="M2" i="3"/>
  <c r="L2" i="3"/>
  <c r="K2" i="3"/>
  <c r="J2" i="3"/>
  <c r="I2" i="3"/>
  <c r="H2" i="3"/>
  <c r="G2" i="3"/>
  <c r="F2" i="3"/>
  <c r="E2" i="3"/>
  <c r="DV3" i="5" l="1"/>
  <c r="DR3" i="8"/>
  <c r="DY3" i="8"/>
  <c r="DX3" i="5"/>
  <c r="EA3" i="5"/>
  <c r="DT3" i="8"/>
  <c r="ED3" i="5"/>
  <c r="DU3" i="5"/>
  <c r="DT3" i="5"/>
  <c r="EC3" i="8"/>
  <c r="EA3" i="8"/>
  <c r="DZ3" i="5"/>
  <c r="EB3" i="5"/>
  <c r="DQ3" i="8"/>
  <c r="DW3" i="5"/>
  <c r="DS3" i="5"/>
  <c r="DR3" i="5"/>
  <c r="DY3" i="5"/>
  <c r="EC3" i="5"/>
  <c r="DS3" i="8"/>
  <c r="EB3" i="8"/>
  <c r="AO2" i="3"/>
  <c r="K3" i="8"/>
  <c r="Q3" i="8"/>
  <c r="AU2" i="3"/>
  <c r="R3" i="8"/>
  <c r="AV2" i="3"/>
  <c r="S3" i="8"/>
  <c r="AW2" i="3"/>
  <c r="W3" i="8"/>
  <c r="AX2" i="3"/>
  <c r="T3" i="8"/>
  <c r="AM2" i="3"/>
  <c r="I3" i="8"/>
  <c r="AY2" i="3"/>
  <c r="U3" i="8"/>
  <c r="V3" i="8"/>
  <c r="AZ2" i="3"/>
  <c r="T85" i="3"/>
  <c r="AK2" i="3"/>
  <c r="G3" i="8"/>
  <c r="BA2" i="3"/>
  <c r="U85" i="3"/>
  <c r="AL2" i="3"/>
  <c r="H3" i="8"/>
  <c r="AN2" i="3"/>
  <c r="J3" i="8"/>
  <c r="L3" i="8"/>
  <c r="AP2" i="3"/>
  <c r="M3" i="8"/>
  <c r="AQ2" i="3"/>
  <c r="O3" i="8"/>
  <c r="AS2" i="3"/>
  <c r="N3" i="8"/>
  <c r="AR2" i="3"/>
  <c r="P3" i="8"/>
  <c r="AT2" i="3"/>
  <c r="H3" i="5"/>
  <c r="AL2" i="9"/>
  <c r="T3" i="5"/>
  <c r="AX2" i="9"/>
  <c r="V3" i="5"/>
  <c r="AZ2" i="9"/>
  <c r="T80" i="9"/>
  <c r="J3" i="5"/>
  <c r="AN2" i="9"/>
  <c r="G3" i="5"/>
  <c r="AK2" i="9"/>
  <c r="W3" i="5"/>
  <c r="BA2" i="9"/>
  <c r="U80" i="9"/>
  <c r="L3" i="5"/>
  <c r="M3" i="5"/>
  <c r="AQ2" i="9"/>
  <c r="I3" i="5"/>
  <c r="AM2" i="9"/>
  <c r="N3" i="5"/>
  <c r="AR2" i="9"/>
  <c r="AP2" i="9"/>
  <c r="R3" i="5"/>
  <c r="AV2" i="9"/>
  <c r="S3" i="5"/>
  <c r="AW2" i="9"/>
  <c r="K3" i="5"/>
  <c r="AO2" i="9"/>
  <c r="P3" i="5"/>
  <c r="AT2" i="9"/>
  <c r="U3" i="5"/>
  <c r="AY2" i="9"/>
  <c r="AS2" i="9"/>
  <c r="AU2" i="9"/>
  <c r="O3" i="5"/>
  <c r="Q3" i="5"/>
  <c r="T17" i="10"/>
  <c r="BB17" i="10" s="1"/>
  <c r="AP3" i="5" l="1"/>
  <c r="AN3" i="5"/>
  <c r="AX3" i="5"/>
  <c r="W64" i="8"/>
  <c r="W77" i="8" s="1"/>
  <c r="BC3" i="8"/>
  <c r="AQ3" i="5"/>
  <c r="AS3" i="5"/>
  <c r="AZ3" i="5"/>
  <c r="BA3" i="5"/>
  <c r="AY3" i="5"/>
  <c r="BB3" i="5"/>
  <c r="V53" i="5"/>
  <c r="V63" i="5" s="1"/>
  <c r="BB3" i="8"/>
  <c r="V64" i="8"/>
  <c r="V77" i="8" s="1"/>
  <c r="AR3" i="5"/>
  <c r="BC3" i="5"/>
  <c r="W53" i="5"/>
  <c r="W63" i="5" s="1"/>
  <c r="AW3" i="5"/>
  <c r="AU3" i="5"/>
  <c r="AV3" i="5"/>
  <c r="AO3" i="5"/>
  <c r="AT3" i="5"/>
  <c r="A83" i="11"/>
  <c r="A82" i="11"/>
  <c r="A81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F67" i="11"/>
  <c r="G67" i="11" s="1"/>
  <c r="H67" i="11" s="1"/>
  <c r="I67" i="11" s="1"/>
  <c r="J67" i="11" s="1"/>
  <c r="K67" i="11" s="1"/>
  <c r="L67" i="11" s="1"/>
  <c r="M67" i="11" s="1"/>
  <c r="N67" i="11" s="1"/>
  <c r="O67" i="11" s="1"/>
  <c r="P67" i="11" s="1"/>
  <c r="Q67" i="11" s="1"/>
  <c r="R67" i="11" s="1"/>
  <c r="S67" i="11" s="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8" i="11"/>
  <c r="A7" i="11"/>
  <c r="A6" i="11"/>
  <c r="A5" i="11"/>
  <c r="A4" i="11"/>
  <c r="A3" i="11"/>
  <c r="CJ3" i="5" l="1"/>
  <c r="CK3" i="5"/>
  <c r="CI3" i="8"/>
  <c r="CJ3" i="8"/>
  <c r="E32" i="10"/>
  <c r="S17" i="10"/>
  <c r="BA17" i="10" s="1"/>
  <c r="R17" i="10"/>
  <c r="AZ17" i="10" s="1"/>
  <c r="Q17" i="10"/>
  <c r="AY17" i="10" s="1"/>
  <c r="P17" i="10"/>
  <c r="AX17" i="10" s="1"/>
  <c r="O17" i="10"/>
  <c r="AW17" i="10" s="1"/>
  <c r="N17" i="10"/>
  <c r="AV17" i="10" s="1"/>
  <c r="M17" i="10"/>
  <c r="AU17" i="10" s="1"/>
  <c r="L17" i="10"/>
  <c r="AT17" i="10" s="1"/>
  <c r="K17" i="10"/>
  <c r="AS17" i="10" s="1"/>
  <c r="J17" i="10"/>
  <c r="AR17" i="10" s="1"/>
  <c r="I17" i="10"/>
  <c r="AQ17" i="10" s="1"/>
  <c r="H17" i="10"/>
  <c r="AP17" i="10" s="1"/>
  <c r="G17" i="10"/>
  <c r="AO17" i="10" s="1"/>
  <c r="F17" i="10"/>
  <c r="AN17" i="10" s="1"/>
  <c r="E17" i="10"/>
  <c r="AM17" i="10" s="1"/>
  <c r="AL19" i="10"/>
  <c r="AL20" i="10"/>
  <c r="AL27" i="10" s="1"/>
  <c r="AL21" i="10"/>
  <c r="AL22" i="10"/>
  <c r="AL23" i="10"/>
  <c r="AL24" i="10"/>
  <c r="AL25" i="10"/>
  <c r="AL26" i="10"/>
  <c r="AL18" i="10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EI50" i="5"/>
  <c r="EI49" i="5"/>
  <c r="EI48" i="5"/>
  <c r="EI47" i="5"/>
  <c r="EI46" i="5"/>
  <c r="EI45" i="5"/>
  <c r="EI44" i="5"/>
  <c r="EI43" i="5"/>
  <c r="EI42" i="5"/>
  <c r="EI41" i="5"/>
  <c r="EI40" i="5"/>
  <c r="EI39" i="5"/>
  <c r="EI38" i="5"/>
  <c r="EI37" i="5"/>
  <c r="EI36" i="5"/>
  <c r="EI35" i="5"/>
  <c r="EI34" i="5"/>
  <c r="EI33" i="5"/>
  <c r="EI32" i="5"/>
  <c r="EI31" i="5"/>
  <c r="EI30" i="5"/>
  <c r="EI29" i="5"/>
  <c r="EI28" i="5"/>
  <c r="EI27" i="5"/>
  <c r="EI26" i="5"/>
  <c r="EI25" i="5"/>
  <c r="EI24" i="5"/>
  <c r="EI23" i="5"/>
  <c r="EI22" i="5"/>
  <c r="EI21" i="5"/>
  <c r="EI20" i="5"/>
  <c r="EI19" i="5"/>
  <c r="EI18" i="5"/>
  <c r="EI17" i="5"/>
  <c r="EI16" i="5"/>
  <c r="EI15" i="5"/>
  <c r="EI14" i="5"/>
  <c r="EI13" i="5"/>
  <c r="EI12" i="5"/>
  <c r="EI11" i="5"/>
  <c r="EI10" i="5"/>
  <c r="EI9" i="5"/>
  <c r="EI8" i="5"/>
  <c r="EI7" i="5"/>
  <c r="EI6" i="5"/>
  <c r="EI5" i="5"/>
  <c r="EI4" i="5"/>
  <c r="CZ50" i="5"/>
  <c r="CZ49" i="5"/>
  <c r="CZ48" i="5"/>
  <c r="CZ47" i="5"/>
  <c r="CZ46" i="5"/>
  <c r="CZ45" i="5"/>
  <c r="CZ44" i="5"/>
  <c r="CZ43" i="5"/>
  <c r="CZ42" i="5"/>
  <c r="CZ41" i="5"/>
  <c r="CZ40" i="5"/>
  <c r="CZ39" i="5"/>
  <c r="CZ38" i="5"/>
  <c r="CZ37" i="5"/>
  <c r="CZ36" i="5"/>
  <c r="CZ35" i="5"/>
  <c r="CZ34" i="5"/>
  <c r="CZ33" i="5"/>
  <c r="CZ32" i="5"/>
  <c r="CZ31" i="5"/>
  <c r="CZ30" i="5"/>
  <c r="CZ29" i="5"/>
  <c r="CZ28" i="5"/>
  <c r="CZ27" i="5"/>
  <c r="CZ26" i="5"/>
  <c r="CZ25" i="5"/>
  <c r="CZ24" i="5"/>
  <c r="CZ23" i="5"/>
  <c r="CZ22" i="5"/>
  <c r="CZ21" i="5"/>
  <c r="CZ20" i="5"/>
  <c r="CZ19" i="5"/>
  <c r="CZ18" i="5"/>
  <c r="CZ17" i="5"/>
  <c r="CZ16" i="5"/>
  <c r="CZ15" i="5"/>
  <c r="CZ14" i="5"/>
  <c r="CZ13" i="5"/>
  <c r="CZ12" i="5"/>
  <c r="CZ11" i="5"/>
  <c r="CZ10" i="5"/>
  <c r="CZ9" i="5"/>
  <c r="CZ8" i="5"/>
  <c r="CZ7" i="5"/>
  <c r="CZ6" i="5"/>
  <c r="CZ5" i="5"/>
  <c r="CZ4" i="5"/>
  <c r="BS50" i="5"/>
  <c r="BS49" i="5"/>
  <c r="BS48" i="5"/>
  <c r="BS47" i="5"/>
  <c r="BS46" i="5"/>
  <c r="BS45" i="5"/>
  <c r="BS44" i="5"/>
  <c r="BS43" i="5"/>
  <c r="BS42" i="5"/>
  <c r="BS41" i="5"/>
  <c r="BS40" i="5"/>
  <c r="BS39" i="5"/>
  <c r="BS38" i="5"/>
  <c r="BS37" i="5"/>
  <c r="BS36" i="5"/>
  <c r="BS35" i="5"/>
  <c r="BS34" i="5"/>
  <c r="BS33" i="5"/>
  <c r="BS32" i="5"/>
  <c r="BS31" i="5"/>
  <c r="BS30" i="5"/>
  <c r="BS29" i="5"/>
  <c r="BS28" i="5"/>
  <c r="BS27" i="5"/>
  <c r="BS26" i="5"/>
  <c r="BS25" i="5"/>
  <c r="BS24" i="5"/>
  <c r="BS23" i="5"/>
  <c r="BS22" i="5"/>
  <c r="BS21" i="5"/>
  <c r="BS20" i="5"/>
  <c r="BS19" i="5"/>
  <c r="BS18" i="5"/>
  <c r="BS17" i="5"/>
  <c r="BS16" i="5"/>
  <c r="BS15" i="5"/>
  <c r="BS14" i="5"/>
  <c r="BS13" i="5"/>
  <c r="BS12" i="5"/>
  <c r="BS11" i="5"/>
  <c r="BS10" i="5"/>
  <c r="BS9" i="5"/>
  <c r="BS8" i="5"/>
  <c r="BS7" i="5"/>
  <c r="BS6" i="5"/>
  <c r="BS5" i="5"/>
  <c r="BS4" i="5"/>
  <c r="AL5" i="5"/>
  <c r="AL6" i="5"/>
  <c r="AL7" i="5"/>
  <c r="AL8" i="5"/>
  <c r="AL9" i="5"/>
  <c r="AL10" i="5"/>
  <c r="AL11" i="5"/>
  <c r="AL12" i="5"/>
  <c r="AL13" i="5"/>
  <c r="AL14" i="5"/>
  <c r="AL15" i="5"/>
  <c r="AL16" i="5"/>
  <c r="AL17" i="5"/>
  <c r="AL18" i="5"/>
  <c r="AL19" i="5"/>
  <c r="AL20" i="5"/>
  <c r="AL21" i="5"/>
  <c r="AL22" i="5"/>
  <c r="AL23" i="5"/>
  <c r="AL24" i="5"/>
  <c r="AL25" i="5"/>
  <c r="AL26" i="5"/>
  <c r="AL27" i="5"/>
  <c r="AL28" i="5"/>
  <c r="AL29" i="5"/>
  <c r="AL30" i="5"/>
  <c r="AL31" i="5"/>
  <c r="AL32" i="5"/>
  <c r="AL33" i="5"/>
  <c r="AL34" i="5"/>
  <c r="AL35" i="5"/>
  <c r="AL36" i="5"/>
  <c r="AL37" i="5"/>
  <c r="AL38" i="5"/>
  <c r="AL39" i="5"/>
  <c r="AL40" i="5"/>
  <c r="AL41" i="5"/>
  <c r="AL42" i="5"/>
  <c r="AL43" i="5"/>
  <c r="AL44" i="5"/>
  <c r="AL45" i="5"/>
  <c r="AL46" i="5"/>
  <c r="AL47" i="5"/>
  <c r="AL48" i="5"/>
  <c r="AL49" i="5"/>
  <c r="AL50" i="5"/>
  <c r="AL4" i="5"/>
  <c r="CY61" i="8"/>
  <c r="CY60" i="8"/>
  <c r="CY59" i="8"/>
  <c r="CY58" i="8"/>
  <c r="CY57" i="8"/>
  <c r="CY56" i="8"/>
  <c r="CY55" i="8"/>
  <c r="CY54" i="8"/>
  <c r="CY53" i="8"/>
  <c r="CY52" i="8"/>
  <c r="CY51" i="8"/>
  <c r="CY50" i="8"/>
  <c r="CY49" i="8"/>
  <c r="CY48" i="8"/>
  <c r="CY47" i="8"/>
  <c r="CY46" i="8"/>
  <c r="CY45" i="8"/>
  <c r="CY44" i="8"/>
  <c r="CY43" i="8"/>
  <c r="CY42" i="8"/>
  <c r="CY41" i="8"/>
  <c r="CY40" i="8"/>
  <c r="CY39" i="8"/>
  <c r="CY38" i="8"/>
  <c r="CY37" i="8"/>
  <c r="CY36" i="8"/>
  <c r="CY35" i="8"/>
  <c r="CY34" i="8"/>
  <c r="CY33" i="8"/>
  <c r="CY32" i="8"/>
  <c r="CY31" i="8"/>
  <c r="CY30" i="8"/>
  <c r="CY29" i="8"/>
  <c r="CY28" i="8"/>
  <c r="CY27" i="8"/>
  <c r="CY26" i="8"/>
  <c r="CY25" i="8"/>
  <c r="CY24" i="8"/>
  <c r="CY23" i="8"/>
  <c r="CY22" i="8"/>
  <c r="CY21" i="8"/>
  <c r="CY20" i="8"/>
  <c r="CY19" i="8"/>
  <c r="CY18" i="8"/>
  <c r="CY17" i="8"/>
  <c r="CY16" i="8"/>
  <c r="CY15" i="8"/>
  <c r="CY14" i="8"/>
  <c r="CY13" i="8"/>
  <c r="CY12" i="8"/>
  <c r="CY11" i="8"/>
  <c r="CY10" i="8"/>
  <c r="CY9" i="8"/>
  <c r="CY8" i="8"/>
  <c r="CY7" i="8"/>
  <c r="CY6" i="8"/>
  <c r="CY5" i="8"/>
  <c r="CY4" i="8"/>
  <c r="BR61" i="8"/>
  <c r="BR60" i="8"/>
  <c r="BR59" i="8"/>
  <c r="BR58" i="8"/>
  <c r="BR57" i="8"/>
  <c r="BR56" i="8"/>
  <c r="BR55" i="8"/>
  <c r="BR54" i="8"/>
  <c r="BR53" i="8"/>
  <c r="BR52" i="8"/>
  <c r="BR51" i="8"/>
  <c r="BR50" i="8"/>
  <c r="BR49" i="8"/>
  <c r="BR48" i="8"/>
  <c r="BR47" i="8"/>
  <c r="BR46" i="8"/>
  <c r="BR45" i="8"/>
  <c r="BR44" i="8"/>
  <c r="BR43" i="8"/>
  <c r="BR42" i="8"/>
  <c r="BR41" i="8"/>
  <c r="BR40" i="8"/>
  <c r="BR39" i="8"/>
  <c r="BR38" i="8"/>
  <c r="BR37" i="8"/>
  <c r="BR36" i="8"/>
  <c r="BR35" i="8"/>
  <c r="BR34" i="8"/>
  <c r="BR33" i="8"/>
  <c r="BR32" i="8"/>
  <c r="BR31" i="8"/>
  <c r="BR30" i="8"/>
  <c r="BR29" i="8"/>
  <c r="BR28" i="8"/>
  <c r="BR27" i="8"/>
  <c r="BR26" i="8"/>
  <c r="BR25" i="8"/>
  <c r="BR24" i="8"/>
  <c r="BR23" i="8"/>
  <c r="BR22" i="8"/>
  <c r="BR21" i="8"/>
  <c r="BR20" i="8"/>
  <c r="BR19" i="8"/>
  <c r="BR18" i="8"/>
  <c r="BR17" i="8"/>
  <c r="BR16" i="8"/>
  <c r="BR15" i="8"/>
  <c r="BR14" i="8"/>
  <c r="BR13" i="8"/>
  <c r="BR12" i="8"/>
  <c r="BR11" i="8"/>
  <c r="BR10" i="8"/>
  <c r="BR9" i="8"/>
  <c r="BR8" i="8"/>
  <c r="BR7" i="8"/>
  <c r="BR6" i="8"/>
  <c r="BR5" i="8"/>
  <c r="BR4" i="8"/>
  <c r="AL5" i="8"/>
  <c r="AL6" i="8"/>
  <c r="AL7" i="8"/>
  <c r="AL8" i="8"/>
  <c r="AL9" i="8"/>
  <c r="AL10" i="8"/>
  <c r="AL11" i="8"/>
  <c r="AL12" i="8"/>
  <c r="AL13" i="8"/>
  <c r="AL14" i="8"/>
  <c r="AL15" i="8"/>
  <c r="AL16" i="8"/>
  <c r="AL17" i="8"/>
  <c r="AL18" i="8"/>
  <c r="AL19" i="8"/>
  <c r="AL20" i="8"/>
  <c r="AL21" i="8"/>
  <c r="AL22" i="8"/>
  <c r="AL23" i="8"/>
  <c r="AL24" i="8"/>
  <c r="AL25" i="8"/>
  <c r="AL26" i="8"/>
  <c r="AL27" i="8"/>
  <c r="AL28" i="8"/>
  <c r="AL29" i="8"/>
  <c r="AL30" i="8"/>
  <c r="AL31" i="8"/>
  <c r="AL32" i="8"/>
  <c r="AL33" i="8"/>
  <c r="AL34" i="8"/>
  <c r="AL35" i="8"/>
  <c r="AL36" i="8"/>
  <c r="AL37" i="8"/>
  <c r="AL38" i="8"/>
  <c r="AL39" i="8"/>
  <c r="AL40" i="8"/>
  <c r="AL41" i="8"/>
  <c r="AL42" i="8"/>
  <c r="AL43" i="8"/>
  <c r="AL44" i="8"/>
  <c r="AL45" i="8"/>
  <c r="AL46" i="8"/>
  <c r="AL47" i="8"/>
  <c r="AL48" i="8"/>
  <c r="AL49" i="8"/>
  <c r="AL50" i="8"/>
  <c r="AL51" i="8"/>
  <c r="AL52" i="8"/>
  <c r="AL53" i="8"/>
  <c r="AL54" i="8"/>
  <c r="AL55" i="8"/>
  <c r="AL56" i="8"/>
  <c r="AL57" i="8"/>
  <c r="AL58" i="8"/>
  <c r="AL59" i="8"/>
  <c r="AL60" i="8"/>
  <c r="AL61" i="8"/>
  <c r="AL4" i="8"/>
  <c r="DP3" i="8" l="1"/>
  <c r="DQ3" i="5"/>
  <c r="DP3" i="5"/>
  <c r="DO3" i="8"/>
  <c r="A3" i="13" l="1"/>
  <c r="A6" i="13"/>
  <c r="A5" i="13"/>
  <c r="A4" i="13"/>
  <c r="A19" i="13"/>
  <c r="A18" i="13"/>
  <c r="A17" i="13"/>
  <c r="A16" i="13"/>
  <c r="A15" i="13"/>
  <c r="A23" i="13"/>
  <c r="A22" i="13"/>
  <c r="A21" i="13"/>
  <c r="A20" i="13"/>
  <c r="A25" i="13"/>
  <c r="A27" i="13"/>
  <c r="A26" i="13"/>
  <c r="A24" i="13"/>
  <c r="A36" i="11"/>
  <c r="A35" i="11"/>
  <c r="A34" i="11"/>
  <c r="A33" i="11"/>
  <c r="A10" i="11"/>
  <c r="A12" i="11"/>
  <c r="A11" i="11"/>
  <c r="A9" i="11"/>
  <c r="F88" i="8" l="1"/>
  <c r="F87" i="8"/>
  <c r="F86" i="8"/>
  <c r="F85" i="8"/>
  <c r="F84" i="8"/>
  <c r="F83" i="8"/>
  <c r="F82" i="8"/>
  <c r="F81" i="8"/>
  <c r="F80" i="8"/>
  <c r="F79" i="8"/>
  <c r="F78" i="8"/>
  <c r="F71" i="5"/>
  <c r="F70" i="5"/>
  <c r="F69" i="5"/>
  <c r="F68" i="5"/>
  <c r="F67" i="5"/>
  <c r="F66" i="5"/>
  <c r="F65" i="5"/>
  <c r="F64" i="5"/>
  <c r="EH61" i="8" l="1"/>
  <c r="EH60" i="8"/>
  <c r="EH59" i="8"/>
  <c r="EH58" i="8"/>
  <c r="EH57" i="8"/>
  <c r="EH56" i="8"/>
  <c r="EH55" i="8"/>
  <c r="EH54" i="8"/>
  <c r="EH53" i="8"/>
  <c r="EH52" i="8"/>
  <c r="EH51" i="8"/>
  <c r="EH50" i="8"/>
  <c r="EH49" i="8"/>
  <c r="EH48" i="8"/>
  <c r="EH47" i="8"/>
  <c r="EH46" i="8"/>
  <c r="EH45" i="8"/>
  <c r="EH44" i="8"/>
  <c r="EH43" i="8"/>
  <c r="EH42" i="8"/>
  <c r="EH41" i="8"/>
  <c r="EH40" i="8"/>
  <c r="EH39" i="8"/>
  <c r="EH38" i="8"/>
  <c r="EH37" i="8"/>
  <c r="EH36" i="8"/>
  <c r="EH35" i="8"/>
  <c r="EH34" i="8"/>
  <c r="EH33" i="8"/>
  <c r="EH32" i="8"/>
  <c r="EH31" i="8"/>
  <c r="EH30" i="8"/>
  <c r="EH29" i="8"/>
  <c r="EH28" i="8"/>
  <c r="EH27" i="8"/>
  <c r="EH26" i="8"/>
  <c r="EH25" i="8"/>
  <c r="EH24" i="8"/>
  <c r="EH23" i="8"/>
  <c r="EH22" i="8"/>
  <c r="EH21" i="8"/>
  <c r="EH20" i="8"/>
  <c r="EH19" i="8"/>
  <c r="EH18" i="8"/>
  <c r="EH17" i="8"/>
  <c r="EH16" i="8"/>
  <c r="EH15" i="8"/>
  <c r="EH14" i="8"/>
  <c r="EH13" i="8"/>
  <c r="EH12" i="8"/>
  <c r="EH11" i="8"/>
  <c r="EH10" i="8"/>
  <c r="EH9" i="8"/>
  <c r="EH8" i="8"/>
  <c r="EH7" i="8"/>
  <c r="EH6" i="8"/>
  <c r="EH5" i="8"/>
  <c r="EH4" i="8"/>
  <c r="CG50" i="5"/>
  <c r="CI49" i="5"/>
  <c r="CI48" i="5"/>
  <c r="CI47" i="5"/>
  <c r="U53" i="5"/>
  <c r="U63" i="5" s="1"/>
  <c r="T53" i="5"/>
  <c r="T63" i="5" s="1"/>
  <c r="S53" i="5"/>
  <c r="S63" i="5" s="1"/>
  <c r="R53" i="5"/>
  <c r="R63" i="5" s="1"/>
  <c r="Q53" i="5"/>
  <c r="Q63" i="5" s="1"/>
  <c r="P53" i="5"/>
  <c r="P63" i="5" s="1"/>
  <c r="O53" i="5"/>
  <c r="O63" i="5" s="1"/>
  <c r="N53" i="5"/>
  <c r="N63" i="5" s="1"/>
  <c r="M53" i="5"/>
  <c r="M63" i="5" s="1"/>
  <c r="L53" i="5"/>
  <c r="L63" i="5" s="1"/>
  <c r="K53" i="5"/>
  <c r="K63" i="5" s="1"/>
  <c r="J53" i="5"/>
  <c r="J63" i="5" s="1"/>
  <c r="I53" i="5"/>
  <c r="I63" i="5" s="1"/>
  <c r="H53" i="5"/>
  <c r="H63" i="5" s="1"/>
  <c r="G53" i="5"/>
  <c r="G63" i="5" s="1"/>
  <c r="CI3" i="5"/>
  <c r="CH3" i="5"/>
  <c r="CG3" i="5"/>
  <c r="CF3" i="5"/>
  <c r="CE3" i="5"/>
  <c r="CD3" i="5"/>
  <c r="CC3" i="5"/>
  <c r="CB3" i="5"/>
  <c r="CA3" i="5"/>
  <c r="BZ3" i="5"/>
  <c r="BY3" i="5"/>
  <c r="BX3" i="5"/>
  <c r="BW3" i="5"/>
  <c r="BV3" i="5"/>
  <c r="AM3" i="5"/>
  <c r="AQ83" i="9"/>
  <c r="AQ85" i="9"/>
  <c r="AQ86" i="9"/>
  <c r="AQ87" i="9"/>
  <c r="AQ88" i="9"/>
  <c r="AQ81" i="9"/>
  <c r="S80" i="9"/>
  <c r="R80" i="9"/>
  <c r="Q80" i="9"/>
  <c r="P80" i="9"/>
  <c r="O80" i="9"/>
  <c r="N80" i="9"/>
  <c r="M80" i="9"/>
  <c r="L80" i="9"/>
  <c r="K80" i="9"/>
  <c r="J80" i="9"/>
  <c r="I80" i="9"/>
  <c r="H80" i="9"/>
  <c r="G80" i="9"/>
  <c r="F80" i="9"/>
  <c r="E80" i="9"/>
  <c r="CF3" i="9"/>
  <c r="CG16" i="9"/>
  <c r="CG15" i="9"/>
  <c r="CG14" i="9"/>
  <c r="CG13" i="9"/>
  <c r="CG12" i="9"/>
  <c r="CG11" i="9"/>
  <c r="CG10" i="9"/>
  <c r="CG9" i="9"/>
  <c r="CG8" i="9"/>
  <c r="CG7" i="9"/>
  <c r="CG6" i="9"/>
  <c r="CG5" i="9"/>
  <c r="CG4" i="9"/>
  <c r="CG3" i="9"/>
  <c r="CF16" i="9"/>
  <c r="CF15" i="9"/>
  <c r="CF14" i="9"/>
  <c r="CF13" i="9"/>
  <c r="CF12" i="9"/>
  <c r="CF11" i="9"/>
  <c r="CF10" i="9"/>
  <c r="CF9" i="9"/>
  <c r="CF8" i="9"/>
  <c r="CF7" i="9"/>
  <c r="CF6" i="9"/>
  <c r="CF5" i="9"/>
  <c r="CF4" i="9"/>
  <c r="CE16" i="9"/>
  <c r="CD16" i="9"/>
  <c r="CC16" i="9"/>
  <c r="CE15" i="9"/>
  <c r="CD15" i="9"/>
  <c r="CC15" i="9"/>
  <c r="CE14" i="9"/>
  <c r="CD14" i="9"/>
  <c r="CC14" i="9"/>
  <c r="CE13" i="9"/>
  <c r="CD13" i="9"/>
  <c r="CC13" i="9"/>
  <c r="CE12" i="9"/>
  <c r="CD12" i="9"/>
  <c r="CC12" i="9"/>
  <c r="CE11" i="9"/>
  <c r="CD11" i="9"/>
  <c r="CC11" i="9"/>
  <c r="CE10" i="9"/>
  <c r="CD10" i="9"/>
  <c r="CC10" i="9"/>
  <c r="CE9" i="9"/>
  <c r="CD9" i="9"/>
  <c r="CC9" i="9"/>
  <c r="CE8" i="9"/>
  <c r="CD8" i="9"/>
  <c r="CC8" i="9"/>
  <c r="CE7" i="9"/>
  <c r="CD7" i="9"/>
  <c r="CC7" i="9"/>
  <c r="CE6" i="9"/>
  <c r="CD6" i="9"/>
  <c r="CC6" i="9"/>
  <c r="CE5" i="9"/>
  <c r="CD5" i="9"/>
  <c r="CC5" i="9"/>
  <c r="CE4" i="9"/>
  <c r="CD4" i="9"/>
  <c r="CC4" i="9"/>
  <c r="CE3" i="9"/>
  <c r="CD3" i="9"/>
  <c r="CC3" i="9"/>
  <c r="CB16" i="9"/>
  <c r="CA16" i="9"/>
  <c r="BZ16" i="9"/>
  <c r="BY16" i="9"/>
  <c r="BX16" i="9"/>
  <c r="BW16" i="9"/>
  <c r="BV16" i="9"/>
  <c r="BU16" i="9"/>
  <c r="BT16" i="9"/>
  <c r="CB15" i="9"/>
  <c r="CA15" i="9"/>
  <c r="BZ15" i="9"/>
  <c r="BY15" i="9"/>
  <c r="BX15" i="9"/>
  <c r="BW15" i="9"/>
  <c r="BV15" i="9"/>
  <c r="BU15" i="9"/>
  <c r="BT15" i="9"/>
  <c r="CB14" i="9"/>
  <c r="CA14" i="9"/>
  <c r="BZ14" i="9"/>
  <c r="BY14" i="9"/>
  <c r="BX14" i="9"/>
  <c r="BW14" i="9"/>
  <c r="BV14" i="9"/>
  <c r="BU14" i="9"/>
  <c r="BT14" i="9"/>
  <c r="CB13" i="9"/>
  <c r="CA13" i="9"/>
  <c r="BZ13" i="9"/>
  <c r="BY13" i="9"/>
  <c r="BX13" i="9"/>
  <c r="BW13" i="9"/>
  <c r="BV13" i="9"/>
  <c r="BU13" i="9"/>
  <c r="BT13" i="9"/>
  <c r="CB12" i="9"/>
  <c r="CA12" i="9"/>
  <c r="BZ12" i="9"/>
  <c r="BY12" i="9"/>
  <c r="BX12" i="9"/>
  <c r="BW12" i="9"/>
  <c r="BV12" i="9"/>
  <c r="BU12" i="9"/>
  <c r="BT12" i="9"/>
  <c r="CB11" i="9"/>
  <c r="CA11" i="9"/>
  <c r="BZ11" i="9"/>
  <c r="BY11" i="9"/>
  <c r="BX11" i="9"/>
  <c r="BW11" i="9"/>
  <c r="BV11" i="9"/>
  <c r="BU11" i="9"/>
  <c r="BT11" i="9"/>
  <c r="CB10" i="9"/>
  <c r="CA10" i="9"/>
  <c r="BZ10" i="9"/>
  <c r="BY10" i="9"/>
  <c r="BX10" i="9"/>
  <c r="BW10" i="9"/>
  <c r="BV10" i="9"/>
  <c r="BU10" i="9"/>
  <c r="BT10" i="9"/>
  <c r="CB9" i="9"/>
  <c r="CA9" i="9"/>
  <c r="BZ9" i="9"/>
  <c r="BY9" i="9"/>
  <c r="BX9" i="9"/>
  <c r="BW9" i="9"/>
  <c r="BV9" i="9"/>
  <c r="BU9" i="9"/>
  <c r="BT9" i="9"/>
  <c r="CB8" i="9"/>
  <c r="CA8" i="9"/>
  <c r="BZ8" i="9"/>
  <c r="BY8" i="9"/>
  <c r="BX8" i="9"/>
  <c r="BW8" i="9"/>
  <c r="BV8" i="9"/>
  <c r="BU8" i="9"/>
  <c r="BT8" i="9"/>
  <c r="CB7" i="9"/>
  <c r="CA7" i="9"/>
  <c r="BZ7" i="9"/>
  <c r="BY7" i="9"/>
  <c r="BX7" i="9"/>
  <c r="BW7" i="9"/>
  <c r="BV7" i="9"/>
  <c r="BU7" i="9"/>
  <c r="BT7" i="9"/>
  <c r="CB6" i="9"/>
  <c r="CA6" i="9"/>
  <c r="BZ6" i="9"/>
  <c r="BY6" i="9"/>
  <c r="BX6" i="9"/>
  <c r="BW6" i="9"/>
  <c r="BV6" i="9"/>
  <c r="BU6" i="9"/>
  <c r="BT6" i="9"/>
  <c r="CB5" i="9"/>
  <c r="CA5" i="9"/>
  <c r="BZ5" i="9"/>
  <c r="BY5" i="9"/>
  <c r="BX5" i="9"/>
  <c r="BW5" i="9"/>
  <c r="BV5" i="9"/>
  <c r="BU5" i="9"/>
  <c r="BT5" i="9"/>
  <c r="CB4" i="9"/>
  <c r="CA4" i="9"/>
  <c r="BZ4" i="9"/>
  <c r="BY4" i="9"/>
  <c r="BX4" i="9"/>
  <c r="BW4" i="9"/>
  <c r="BV4" i="9"/>
  <c r="BU4" i="9"/>
  <c r="BT4" i="9"/>
  <c r="CB3" i="9"/>
  <c r="CA3" i="9"/>
  <c r="BZ3" i="9"/>
  <c r="BY3" i="9"/>
  <c r="BX3" i="9"/>
  <c r="BW3" i="9"/>
  <c r="BV3" i="9"/>
  <c r="BU3" i="9"/>
  <c r="BT3" i="9"/>
  <c r="BS4" i="9"/>
  <c r="BS5" i="9"/>
  <c r="BS6" i="9"/>
  <c r="BS7" i="9"/>
  <c r="BS8" i="9"/>
  <c r="BS9" i="9"/>
  <c r="BS10" i="9"/>
  <c r="BS11" i="9"/>
  <c r="BS12" i="9"/>
  <c r="BS13" i="9"/>
  <c r="BS14" i="9"/>
  <c r="BS15" i="9"/>
  <c r="BS16" i="9"/>
  <c r="BS3" i="9"/>
  <c r="C82" i="9"/>
  <c r="B82" i="9" s="1"/>
  <c r="C83" i="9"/>
  <c r="A83" i="9" s="1"/>
  <c r="C84" i="9"/>
  <c r="B84" i="9" s="1"/>
  <c r="C85" i="9"/>
  <c r="B85" i="9" s="1"/>
  <c r="C86" i="9"/>
  <c r="B86" i="9" s="1"/>
  <c r="C87" i="9"/>
  <c r="B87" i="9" s="1"/>
  <c r="C88" i="9"/>
  <c r="A88" i="9" s="1"/>
  <c r="C89" i="9"/>
  <c r="B89" i="9" s="1"/>
  <c r="C90" i="9"/>
  <c r="B90" i="9" s="1"/>
  <c r="C91" i="9"/>
  <c r="B91" i="9" s="1"/>
  <c r="C92" i="9"/>
  <c r="B92" i="9" s="1"/>
  <c r="C93" i="9"/>
  <c r="B93" i="9" s="1"/>
  <c r="C94" i="9"/>
  <c r="C95" i="9"/>
  <c r="B95" i="9" s="1"/>
  <c r="C96" i="9"/>
  <c r="B96" i="9" s="1"/>
  <c r="C97" i="9"/>
  <c r="C98" i="9"/>
  <c r="B98" i="9" s="1"/>
  <c r="C99" i="9"/>
  <c r="B99" i="9" s="1"/>
  <c r="C100" i="9"/>
  <c r="B100" i="9" s="1"/>
  <c r="C101" i="9"/>
  <c r="B101" i="9" s="1"/>
  <c r="C102" i="9"/>
  <c r="C103" i="9"/>
  <c r="B103" i="9" s="1"/>
  <c r="C104" i="9"/>
  <c r="B104" i="9" s="1"/>
  <c r="C105" i="9"/>
  <c r="A105" i="9" s="1"/>
  <c r="C106" i="9"/>
  <c r="A106" i="9" s="1"/>
  <c r="C107" i="9"/>
  <c r="A107" i="9" s="1"/>
  <c r="C108" i="9"/>
  <c r="B108" i="9" s="1"/>
  <c r="C109" i="9"/>
  <c r="B109" i="9" s="1"/>
  <c r="C110" i="9"/>
  <c r="C111" i="9"/>
  <c r="B111" i="9" s="1"/>
  <c r="C112" i="9"/>
  <c r="B112" i="9" s="1"/>
  <c r="C113" i="9"/>
  <c r="B113" i="9" s="1"/>
  <c r="C114" i="9"/>
  <c r="C115" i="9"/>
  <c r="B115" i="9" s="1"/>
  <c r="C116" i="9"/>
  <c r="C117" i="9"/>
  <c r="B117" i="9" s="1"/>
  <c r="C118" i="9"/>
  <c r="A118" i="9" s="1"/>
  <c r="C119" i="9"/>
  <c r="B119" i="9" s="1"/>
  <c r="C120" i="9"/>
  <c r="A120" i="9" s="1"/>
  <c r="C121" i="9"/>
  <c r="A121" i="9" s="1"/>
  <c r="C122" i="9"/>
  <c r="B122" i="9" s="1"/>
  <c r="C123" i="9"/>
  <c r="C124" i="9"/>
  <c r="B124" i="9" s="1"/>
  <c r="C125" i="9"/>
  <c r="C126" i="9"/>
  <c r="B126" i="9" s="1"/>
  <c r="C127" i="9"/>
  <c r="C81" i="9"/>
  <c r="B81" i="9" s="1"/>
  <c r="A46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0" i="9"/>
  <c r="A18" i="9"/>
  <c r="A17" i="9"/>
  <c r="A15" i="9"/>
  <c r="A14" i="9"/>
  <c r="A13" i="9"/>
  <c r="A12" i="9"/>
  <c r="A11" i="9"/>
  <c r="A10" i="9"/>
  <c r="A9" i="9"/>
  <c r="A8" i="9"/>
  <c r="A7" i="9"/>
  <c r="A6" i="9"/>
  <c r="A4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F63" i="9"/>
  <c r="G63" i="9" s="1"/>
  <c r="H63" i="9" s="1"/>
  <c r="I63" i="9" s="1"/>
  <c r="J63" i="9" s="1"/>
  <c r="K63" i="9" s="1"/>
  <c r="L63" i="9" s="1"/>
  <c r="M63" i="9" s="1"/>
  <c r="N63" i="9" s="1"/>
  <c r="O63" i="9" s="1"/>
  <c r="P63" i="9" s="1"/>
  <c r="Q63" i="9" s="1"/>
  <c r="R63" i="9" s="1"/>
  <c r="S63" i="9" s="1"/>
  <c r="T63" i="9" s="1"/>
  <c r="U63" i="9" s="1"/>
  <c r="V63" i="9" s="1"/>
  <c r="W63" i="9" s="1"/>
  <c r="X63" i="9" s="1"/>
  <c r="Y63" i="9" s="1"/>
  <c r="Z63" i="9" s="1"/>
  <c r="AA63" i="9" s="1"/>
  <c r="AB63" i="9" s="1"/>
  <c r="AC63" i="9" s="1"/>
  <c r="AD63" i="9" s="1"/>
  <c r="AE63" i="9" s="1"/>
  <c r="AF63" i="9" s="1"/>
  <c r="AG63" i="9" s="1"/>
  <c r="AH63" i="9" s="1"/>
  <c r="U64" i="8"/>
  <c r="U77" i="8" s="1"/>
  <c r="T64" i="8"/>
  <c r="T77" i="8" s="1"/>
  <c r="S64" i="8"/>
  <c r="S77" i="8" s="1"/>
  <c r="R64" i="8"/>
  <c r="R77" i="8" s="1"/>
  <c r="Q64" i="8"/>
  <c r="Q77" i="8" s="1"/>
  <c r="P64" i="8"/>
  <c r="P77" i="8" s="1"/>
  <c r="O64" i="8"/>
  <c r="O77" i="8" s="1"/>
  <c r="N64" i="8"/>
  <c r="N77" i="8" s="1"/>
  <c r="M64" i="8"/>
  <c r="M77" i="8" s="1"/>
  <c r="L64" i="8"/>
  <c r="L77" i="8" s="1"/>
  <c r="K64" i="8"/>
  <c r="K77" i="8" s="1"/>
  <c r="J64" i="8"/>
  <c r="J77" i="8" s="1"/>
  <c r="I64" i="8"/>
  <c r="I77" i="8" s="1"/>
  <c r="H64" i="8"/>
  <c r="H77" i="8" s="1"/>
  <c r="G64" i="8"/>
  <c r="G77" i="8" s="1"/>
  <c r="AO88" i="3"/>
  <c r="AO89" i="3"/>
  <c r="AO90" i="3"/>
  <c r="AO91" i="3"/>
  <c r="AO93" i="3"/>
  <c r="AO96" i="3"/>
  <c r="BA3" i="8"/>
  <c r="AZ3" i="8"/>
  <c r="AY3" i="8"/>
  <c r="AX3" i="8"/>
  <c r="AW3" i="8"/>
  <c r="AV3" i="8"/>
  <c r="AU3" i="8"/>
  <c r="AT3" i="8"/>
  <c r="AS3" i="8"/>
  <c r="AR3" i="8"/>
  <c r="AQ3" i="8"/>
  <c r="AP3" i="8"/>
  <c r="AO3" i="8"/>
  <c r="AN3" i="8"/>
  <c r="AM3" i="8"/>
  <c r="C88" i="3"/>
  <c r="A88" i="3" s="1"/>
  <c r="C89" i="3"/>
  <c r="B89" i="3" s="1"/>
  <c r="C90" i="3"/>
  <c r="A90" i="3" s="1"/>
  <c r="C91" i="3"/>
  <c r="A91" i="3" s="1"/>
  <c r="C92" i="3"/>
  <c r="B92" i="3" s="1"/>
  <c r="C93" i="3"/>
  <c r="B93" i="3" s="1"/>
  <c r="C94" i="3"/>
  <c r="B94" i="3" s="1"/>
  <c r="C95" i="3"/>
  <c r="B95" i="3" s="1"/>
  <c r="C96" i="3"/>
  <c r="B96" i="3" s="1"/>
  <c r="C97" i="3"/>
  <c r="B97" i="3" s="1"/>
  <c r="C98" i="3"/>
  <c r="B98" i="3" s="1"/>
  <c r="C99" i="3"/>
  <c r="B99" i="3" s="1"/>
  <c r="C100" i="3"/>
  <c r="A100" i="3" s="1"/>
  <c r="C101" i="3"/>
  <c r="B101" i="3" s="1"/>
  <c r="C102" i="3"/>
  <c r="B102" i="3" s="1"/>
  <c r="C103" i="3"/>
  <c r="B103" i="3" s="1"/>
  <c r="C104" i="3"/>
  <c r="B104" i="3" s="1"/>
  <c r="C105" i="3"/>
  <c r="B105" i="3" s="1"/>
  <c r="C106" i="3"/>
  <c r="B106" i="3" s="1"/>
  <c r="C107" i="3"/>
  <c r="B107" i="3" s="1"/>
  <c r="C108" i="3"/>
  <c r="A108" i="3" s="1"/>
  <c r="C109" i="3"/>
  <c r="B109" i="3" s="1"/>
  <c r="C110" i="3"/>
  <c r="B110" i="3" s="1"/>
  <c r="C111" i="3"/>
  <c r="B111" i="3" s="1"/>
  <c r="C112" i="3"/>
  <c r="B112" i="3" s="1"/>
  <c r="C113" i="3"/>
  <c r="B113" i="3" s="1"/>
  <c r="C114" i="3"/>
  <c r="B114" i="3" s="1"/>
  <c r="C115" i="3"/>
  <c r="B115" i="3" s="1"/>
  <c r="C116" i="3"/>
  <c r="B116" i="3" s="1"/>
  <c r="C117" i="3"/>
  <c r="B117" i="3" s="1"/>
  <c r="C118" i="3"/>
  <c r="B118" i="3" s="1"/>
  <c r="C119" i="3"/>
  <c r="B119" i="3" s="1"/>
  <c r="C120" i="3"/>
  <c r="B120" i="3" s="1"/>
  <c r="C121" i="3"/>
  <c r="B121" i="3" s="1"/>
  <c r="C122" i="3"/>
  <c r="B122" i="3" s="1"/>
  <c r="C123" i="3"/>
  <c r="B123" i="3" s="1"/>
  <c r="C124" i="3"/>
  <c r="B124" i="3" s="1"/>
  <c r="C125" i="3"/>
  <c r="B125" i="3" s="1"/>
  <c r="C126" i="3"/>
  <c r="B126" i="3" s="1"/>
  <c r="C127" i="3"/>
  <c r="B127" i="3" s="1"/>
  <c r="C128" i="3"/>
  <c r="B128" i="3" s="1"/>
  <c r="C129" i="3"/>
  <c r="A129" i="3" s="1"/>
  <c r="C130" i="3"/>
  <c r="B130" i="3" s="1"/>
  <c r="C131" i="3"/>
  <c r="B131" i="3" s="1"/>
  <c r="C132" i="3"/>
  <c r="B132" i="3" s="1"/>
  <c r="C133" i="3"/>
  <c r="A133" i="3" s="1"/>
  <c r="C134" i="3"/>
  <c r="B134" i="3" s="1"/>
  <c r="C135" i="3"/>
  <c r="B135" i="3" s="1"/>
  <c r="C136" i="3"/>
  <c r="B136" i="3" s="1"/>
  <c r="C137" i="3"/>
  <c r="B137" i="3" s="1"/>
  <c r="C138" i="3"/>
  <c r="B138" i="3" s="1"/>
  <c r="C139" i="3"/>
  <c r="B139" i="3" s="1"/>
  <c r="C140" i="3"/>
  <c r="B140" i="3" s="1"/>
  <c r="C141" i="3"/>
  <c r="B141" i="3" s="1"/>
  <c r="C142" i="3"/>
  <c r="B142" i="3" s="1"/>
  <c r="C143" i="3"/>
  <c r="B143" i="3" s="1"/>
  <c r="C144" i="3"/>
  <c r="B144" i="3" s="1"/>
  <c r="C87" i="3"/>
  <c r="B87" i="3" s="1"/>
  <c r="F67" i="3"/>
  <c r="G67" i="3" s="1"/>
  <c r="H67" i="3" s="1"/>
  <c r="I67" i="3" s="1"/>
  <c r="J67" i="3" s="1"/>
  <c r="K67" i="3" s="1"/>
  <c r="L67" i="3" s="1"/>
  <c r="M67" i="3" s="1"/>
  <c r="N67" i="3" s="1"/>
  <c r="O67" i="3" s="1"/>
  <c r="P67" i="3" s="1"/>
  <c r="Q67" i="3" s="1"/>
  <c r="R67" i="3" s="1"/>
  <c r="S67" i="3" s="1"/>
  <c r="T67" i="3" s="1"/>
  <c r="U67" i="3" s="1"/>
  <c r="AK90" i="3"/>
  <c r="AK93" i="3"/>
  <c r="AK97" i="3"/>
  <c r="AK99" i="3"/>
  <c r="AK100" i="3"/>
  <c r="AK102" i="3"/>
  <c r="AK103" i="3"/>
  <c r="AK104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68" i="3"/>
  <c r="A5" i="9"/>
  <c r="A61" i="9"/>
  <c r="A57" i="9"/>
  <c r="A53" i="9"/>
  <c r="A50" i="9"/>
  <c r="A21" i="9"/>
  <c r="A19" i="9"/>
  <c r="A4" i="3"/>
  <c r="A5" i="3"/>
  <c r="A6" i="3"/>
  <c r="A7" i="3"/>
  <c r="A8" i="3"/>
  <c r="A9" i="3"/>
  <c r="A10" i="3"/>
  <c r="A11" i="3"/>
  <c r="A12" i="3"/>
  <c r="A20" i="3"/>
  <c r="A24" i="3"/>
  <c r="A27" i="3"/>
  <c r="A41" i="3"/>
  <c r="A42" i="3"/>
  <c r="A43" i="3"/>
  <c r="A3" i="3"/>
  <c r="A64" i="3"/>
  <c r="A60" i="3"/>
  <c r="A56" i="3"/>
  <c r="A48" i="3"/>
  <c r="A37" i="3"/>
  <c r="A33" i="3"/>
  <c r="A31" i="3"/>
  <c r="A25" i="3"/>
  <c r="A23" i="3"/>
  <c r="A16" i="3"/>
  <c r="A15" i="3"/>
  <c r="BN31" i="3" l="1"/>
  <c r="BF31" i="3"/>
  <c r="BL31" i="3"/>
  <c r="BE31" i="3"/>
  <c r="BM31" i="3"/>
  <c r="BG31" i="3"/>
  <c r="BK31" i="3"/>
  <c r="BB31" i="3"/>
  <c r="BJ31" i="3"/>
  <c r="BI31" i="3"/>
  <c r="BD31" i="3"/>
  <c r="BC31" i="3"/>
  <c r="BH31" i="3"/>
  <c r="BI37" i="3"/>
  <c r="BC37" i="3"/>
  <c r="BF37" i="3"/>
  <c r="BB37" i="3"/>
  <c r="BM37" i="3"/>
  <c r="BG37" i="3"/>
  <c r="BE37" i="3"/>
  <c r="BN37" i="3"/>
  <c r="BL37" i="3"/>
  <c r="BD37" i="3"/>
  <c r="BK37" i="3"/>
  <c r="BH37" i="3"/>
  <c r="BJ37" i="3"/>
  <c r="BE43" i="3"/>
  <c r="BK43" i="3"/>
  <c r="BF43" i="3"/>
  <c r="BL43" i="3"/>
  <c r="BN43" i="3"/>
  <c r="BG43" i="3"/>
  <c r="BJ43" i="3"/>
  <c r="BB43" i="3"/>
  <c r="BI43" i="3"/>
  <c r="BC43" i="3"/>
  <c r="BM43" i="3"/>
  <c r="BH43" i="3"/>
  <c r="BD43" i="3"/>
  <c r="BF42" i="3"/>
  <c r="BN42" i="3"/>
  <c r="BL42" i="3"/>
  <c r="BK42" i="3"/>
  <c r="BB42" i="3"/>
  <c r="BJ42" i="3"/>
  <c r="BH42" i="3"/>
  <c r="BE42" i="3"/>
  <c r="BM42" i="3"/>
  <c r="BI42" i="3"/>
  <c r="BD42" i="3"/>
  <c r="BG42" i="3"/>
  <c r="BC42" i="3"/>
  <c r="BI41" i="3"/>
  <c r="BF41" i="3"/>
  <c r="BC41" i="3"/>
  <c r="BE41" i="3"/>
  <c r="BL41" i="3"/>
  <c r="BD41" i="3"/>
  <c r="BK41" i="3"/>
  <c r="BG41" i="3"/>
  <c r="BM41" i="3"/>
  <c r="BH41" i="3"/>
  <c r="BJ41" i="3"/>
  <c r="BB41" i="3"/>
  <c r="BN41" i="3"/>
  <c r="BG15" i="3"/>
  <c r="BJ15" i="3"/>
  <c r="BM15" i="3"/>
  <c r="BE15" i="3"/>
  <c r="BB15" i="3"/>
  <c r="BL15" i="3"/>
  <c r="BF15" i="3"/>
  <c r="BI15" i="3"/>
  <c r="BK15" i="3"/>
  <c r="BN15" i="3"/>
  <c r="BC15" i="3"/>
  <c r="BH15" i="3"/>
  <c r="BD15" i="3"/>
  <c r="BD12" i="9"/>
  <c r="BG12" i="9"/>
  <c r="BB12" i="9"/>
  <c r="BN12" i="9"/>
  <c r="BH12" i="9"/>
  <c r="BI12" i="9"/>
  <c r="BC12" i="9"/>
  <c r="BJ12" i="9"/>
  <c r="BM12" i="9"/>
  <c r="BL12" i="9"/>
  <c r="BE12" i="9"/>
  <c r="BK12" i="9"/>
  <c r="BF12" i="9"/>
  <c r="BK13" i="9"/>
  <c r="BB13" i="9"/>
  <c r="BC13" i="9"/>
  <c r="BJ13" i="9"/>
  <c r="BG13" i="9"/>
  <c r="BD13" i="9"/>
  <c r="BL13" i="9"/>
  <c r="BM13" i="9"/>
  <c r="BF13" i="9"/>
  <c r="BN13" i="9"/>
  <c r="BI13" i="9"/>
  <c r="BH13" i="9"/>
  <c r="BE13" i="9"/>
  <c r="BH14" i="9"/>
  <c r="BB14" i="9"/>
  <c r="BK14" i="9"/>
  <c r="BL14" i="9"/>
  <c r="BG14" i="9"/>
  <c r="BD14" i="9"/>
  <c r="BM14" i="9"/>
  <c r="BN14" i="9"/>
  <c r="BJ14" i="9"/>
  <c r="BE14" i="9"/>
  <c r="BC14" i="9"/>
  <c r="BF14" i="9"/>
  <c r="BI14" i="9"/>
  <c r="BF36" i="9"/>
  <c r="BK36" i="9"/>
  <c r="BL36" i="9"/>
  <c r="BH36" i="9"/>
  <c r="BC36" i="9"/>
  <c r="BJ36" i="9"/>
  <c r="BG36" i="9"/>
  <c r="BI36" i="9"/>
  <c r="BN36" i="9"/>
  <c r="BM36" i="9"/>
  <c r="BD36" i="9"/>
  <c r="BE36" i="9"/>
  <c r="BB36" i="9"/>
  <c r="BJ37" i="9"/>
  <c r="BC37" i="9"/>
  <c r="BB37" i="9"/>
  <c r="BH37" i="9"/>
  <c r="BG37" i="9"/>
  <c r="BK37" i="9"/>
  <c r="BL37" i="9"/>
  <c r="BF37" i="9"/>
  <c r="BI37" i="9"/>
  <c r="BM37" i="9"/>
  <c r="BE37" i="9"/>
  <c r="BN37" i="9"/>
  <c r="BD37" i="9"/>
  <c r="BG38" i="9"/>
  <c r="BK38" i="9"/>
  <c r="BF38" i="9"/>
  <c r="BJ38" i="9"/>
  <c r="BL38" i="9"/>
  <c r="BE38" i="9"/>
  <c r="BM38" i="9"/>
  <c r="BB38" i="9"/>
  <c r="BD38" i="9"/>
  <c r="BC38" i="9"/>
  <c r="BN38" i="9"/>
  <c r="BI38" i="9"/>
  <c r="BH38" i="9"/>
  <c r="BJ39" i="9"/>
  <c r="BH39" i="9"/>
  <c r="BK39" i="9"/>
  <c r="BC39" i="9"/>
  <c r="BF39" i="9"/>
  <c r="BG39" i="9"/>
  <c r="BL39" i="9"/>
  <c r="BB39" i="9"/>
  <c r="BI39" i="9"/>
  <c r="BE39" i="9"/>
  <c r="BM39" i="9"/>
  <c r="BD39" i="9"/>
  <c r="BN39" i="9"/>
  <c r="BK40" i="9"/>
  <c r="BN40" i="9"/>
  <c r="BH40" i="9"/>
  <c r="BJ40" i="9"/>
  <c r="BM40" i="9"/>
  <c r="BG40" i="9"/>
  <c r="BD40" i="9"/>
  <c r="BI40" i="9"/>
  <c r="BC40" i="9"/>
  <c r="BF40" i="9"/>
  <c r="BE40" i="9"/>
  <c r="BL40" i="9"/>
  <c r="BB40" i="9"/>
  <c r="BK41" i="9"/>
  <c r="BL41" i="9"/>
  <c r="BI41" i="9"/>
  <c r="BF41" i="9"/>
  <c r="BM41" i="9"/>
  <c r="BH41" i="9"/>
  <c r="BG41" i="9"/>
  <c r="BE41" i="9"/>
  <c r="BJ41" i="9"/>
  <c r="BC41" i="9"/>
  <c r="BN41" i="9"/>
  <c r="BB41" i="9"/>
  <c r="BD41" i="9"/>
  <c r="BM42" i="9"/>
  <c r="BB42" i="9"/>
  <c r="BG42" i="9"/>
  <c r="BN42" i="9"/>
  <c r="BJ42" i="9"/>
  <c r="BI42" i="9"/>
  <c r="BH42" i="9"/>
  <c r="BF42" i="9"/>
  <c r="BD42" i="9"/>
  <c r="BK42" i="9"/>
  <c r="BE42" i="9"/>
  <c r="BC42" i="9"/>
  <c r="BL42" i="9"/>
  <c r="BF28" i="9"/>
  <c r="BB28" i="9"/>
  <c r="BN28" i="9"/>
  <c r="BI28" i="9"/>
  <c r="BG28" i="9"/>
  <c r="BC28" i="9"/>
  <c r="BH28" i="9"/>
  <c r="BJ28" i="9"/>
  <c r="BK28" i="9"/>
  <c r="BE28" i="9"/>
  <c r="BM28" i="9"/>
  <c r="BL28" i="9"/>
  <c r="BD28" i="9"/>
  <c r="BK29" i="9"/>
  <c r="BB29" i="9"/>
  <c r="BE29" i="9"/>
  <c r="BJ29" i="9"/>
  <c r="BD29" i="9"/>
  <c r="BC29" i="9"/>
  <c r="BH29" i="9"/>
  <c r="BL29" i="9"/>
  <c r="BI29" i="9"/>
  <c r="BN29" i="9"/>
  <c r="BF29" i="9"/>
  <c r="BM29" i="9"/>
  <c r="BG29" i="9"/>
  <c r="BJ30" i="9"/>
  <c r="BB30" i="9"/>
  <c r="BC30" i="9"/>
  <c r="BK30" i="9"/>
  <c r="BM30" i="9"/>
  <c r="BD30" i="9"/>
  <c r="BL30" i="9"/>
  <c r="BF30" i="9"/>
  <c r="BE30" i="9"/>
  <c r="BI30" i="9"/>
  <c r="BN30" i="9"/>
  <c r="BH30" i="9"/>
  <c r="BG30" i="9"/>
  <c r="BM31" i="9"/>
  <c r="BF31" i="9"/>
  <c r="BN31" i="9"/>
  <c r="BE31" i="9"/>
  <c r="BG31" i="9"/>
  <c r="BB31" i="9"/>
  <c r="BC31" i="9"/>
  <c r="BH31" i="9"/>
  <c r="BD31" i="9"/>
  <c r="BK31" i="9"/>
  <c r="BI31" i="9"/>
  <c r="BL31" i="9"/>
  <c r="BJ31" i="9"/>
  <c r="BA13" i="9"/>
  <c r="AZ13" i="9"/>
  <c r="BA14" i="9"/>
  <c r="AZ14" i="9"/>
  <c r="BA36" i="9"/>
  <c r="AZ36" i="9"/>
  <c r="AZ12" i="9"/>
  <c r="BA12" i="9"/>
  <c r="BA37" i="9"/>
  <c r="AZ37" i="9"/>
  <c r="BA38" i="9"/>
  <c r="AZ38" i="9"/>
  <c r="AZ39" i="9"/>
  <c r="BA39" i="9"/>
  <c r="AZ40" i="9"/>
  <c r="BA40" i="9"/>
  <c r="AZ41" i="9"/>
  <c r="BA41" i="9"/>
  <c r="BA42" i="9"/>
  <c r="AZ42" i="9"/>
  <c r="AZ28" i="9"/>
  <c r="BA28" i="9"/>
  <c r="AZ29" i="9"/>
  <c r="BA29" i="9"/>
  <c r="AZ30" i="9"/>
  <c r="BA30" i="9"/>
  <c r="AZ31" i="9"/>
  <c r="BA31" i="9"/>
  <c r="CD3" i="8"/>
  <c r="DM3" i="5"/>
  <c r="CE3" i="8"/>
  <c r="DN3" i="5"/>
  <c r="CF3" i="8"/>
  <c r="DO3" i="5"/>
  <c r="AZ15" i="3"/>
  <c r="BA15" i="3"/>
  <c r="BA31" i="3"/>
  <c r="AZ31" i="3"/>
  <c r="CG3" i="8"/>
  <c r="CH3" i="8"/>
  <c r="BU3" i="5"/>
  <c r="DB3" i="5"/>
  <c r="BT3" i="8"/>
  <c r="DC3" i="5"/>
  <c r="BU3" i="8"/>
  <c r="DD3" i="5"/>
  <c r="BV3" i="8"/>
  <c r="DE3" i="5"/>
  <c r="BW3" i="8"/>
  <c r="DF3" i="5"/>
  <c r="BX3" i="8"/>
  <c r="DG3" i="5"/>
  <c r="BA43" i="3"/>
  <c r="AZ43" i="3"/>
  <c r="BY3" i="8"/>
  <c r="DH3" i="5"/>
  <c r="BA37" i="3"/>
  <c r="AZ37" i="3"/>
  <c r="BA42" i="3"/>
  <c r="AZ42" i="3"/>
  <c r="BZ3" i="8"/>
  <c r="DI3" i="5"/>
  <c r="BA41" i="3"/>
  <c r="AZ41" i="3"/>
  <c r="CA3" i="8"/>
  <c r="DJ3" i="5"/>
  <c r="CB3" i="8"/>
  <c r="DK3" i="5"/>
  <c r="CC3" i="8"/>
  <c r="DL3" i="5"/>
  <c r="F16" i="5"/>
  <c r="A16" i="14"/>
  <c r="F16" i="14"/>
  <c r="F15" i="5"/>
  <c r="F15" i="14"/>
  <c r="A15" i="14"/>
  <c r="F14" i="5"/>
  <c r="F14" i="14"/>
  <c r="A14" i="14"/>
  <c r="F47" i="5"/>
  <c r="F49" i="14"/>
  <c r="A49" i="14"/>
  <c r="E30" i="5"/>
  <c r="E31" i="14"/>
  <c r="E29" i="5"/>
  <c r="E30" i="14"/>
  <c r="E43" i="5"/>
  <c r="E45" i="14"/>
  <c r="E28" i="5"/>
  <c r="E29" i="14"/>
  <c r="F13" i="5"/>
  <c r="F13" i="14"/>
  <c r="A13" i="14"/>
  <c r="F45" i="5"/>
  <c r="A47" i="14"/>
  <c r="F47" i="14"/>
  <c r="E44" i="5"/>
  <c r="E46" i="14"/>
  <c r="F44" i="14"/>
  <c r="A44" i="14"/>
  <c r="F27" i="5"/>
  <c r="F28" i="14"/>
  <c r="A28" i="14"/>
  <c r="F12" i="5"/>
  <c r="F12" i="14"/>
  <c r="A12" i="14"/>
  <c r="E11" i="5"/>
  <c r="E11" i="14"/>
  <c r="F10" i="5"/>
  <c r="F10" i="14"/>
  <c r="A10" i="14"/>
  <c r="F31" i="5"/>
  <c r="A32" i="14"/>
  <c r="F32" i="14"/>
  <c r="F42" i="14"/>
  <c r="A42" i="14"/>
  <c r="F9" i="5"/>
  <c r="A9" i="14"/>
  <c r="F9" i="14"/>
  <c r="F8" i="5"/>
  <c r="F8" i="14"/>
  <c r="A8" i="14"/>
  <c r="F33" i="14"/>
  <c r="A33" i="14"/>
  <c r="F26" i="5"/>
  <c r="F27" i="14"/>
  <c r="A27" i="14"/>
  <c r="F40" i="14"/>
  <c r="A40" i="14"/>
  <c r="F23" i="5"/>
  <c r="F23" i="14"/>
  <c r="A23" i="14"/>
  <c r="F7" i="5"/>
  <c r="F7" i="14"/>
  <c r="A7" i="14"/>
  <c r="F34" i="5"/>
  <c r="F35" i="14"/>
  <c r="A35" i="14"/>
  <c r="E41" i="5"/>
  <c r="E43" i="14"/>
  <c r="F24" i="5"/>
  <c r="F24" i="14"/>
  <c r="A24" i="14"/>
  <c r="F38" i="14"/>
  <c r="A38" i="14"/>
  <c r="F22" i="5"/>
  <c r="F22" i="14"/>
  <c r="A22" i="14"/>
  <c r="E6" i="5"/>
  <c r="E6" i="14"/>
  <c r="A5" i="5"/>
  <c r="F5" i="14"/>
  <c r="A5" i="14"/>
  <c r="F51" i="14"/>
  <c r="A51" i="14"/>
  <c r="F4" i="5"/>
  <c r="F4" i="14"/>
  <c r="A4" i="14"/>
  <c r="F21" i="5"/>
  <c r="F21" i="14"/>
  <c r="A21" i="14"/>
  <c r="F36" i="14"/>
  <c r="A36" i="14"/>
  <c r="F19" i="5"/>
  <c r="F19" i="14"/>
  <c r="A19" i="14"/>
  <c r="F18" i="5"/>
  <c r="F18" i="14"/>
  <c r="A18" i="14"/>
  <c r="F38" i="5"/>
  <c r="F36" i="5"/>
  <c r="F35" i="5"/>
  <c r="F32" i="5"/>
  <c r="F42" i="5"/>
  <c r="F40" i="5"/>
  <c r="F49" i="5"/>
  <c r="A56" i="8"/>
  <c r="F56" i="8" s="1"/>
  <c r="A56" i="12"/>
  <c r="F56" i="12" s="1"/>
  <c r="A40" i="8"/>
  <c r="F40" i="8" s="1"/>
  <c r="A40" i="12"/>
  <c r="F40" i="12" s="1"/>
  <c r="A24" i="8"/>
  <c r="F24" i="8" s="1"/>
  <c r="A24" i="12"/>
  <c r="F24" i="12" s="1"/>
  <c r="E8" i="8"/>
  <c r="E8" i="12"/>
  <c r="A54" i="8"/>
  <c r="F54" i="8" s="1"/>
  <c r="A54" i="12"/>
  <c r="F54" i="12" s="1"/>
  <c r="A38" i="8"/>
  <c r="F38" i="8" s="1"/>
  <c r="A38" i="12"/>
  <c r="F38" i="12" s="1"/>
  <c r="A22" i="8"/>
  <c r="F22" i="8" s="1"/>
  <c r="A22" i="12"/>
  <c r="F22" i="12" s="1"/>
  <c r="A6" i="8"/>
  <c r="F6" i="8" s="1"/>
  <c r="A6" i="12"/>
  <c r="F6" i="12" s="1"/>
  <c r="E7" i="8"/>
  <c r="E7" i="12"/>
  <c r="A37" i="8"/>
  <c r="F37" i="8" s="1"/>
  <c r="A37" i="12"/>
  <c r="F37" i="12" s="1"/>
  <c r="A21" i="8"/>
  <c r="F21" i="8" s="1"/>
  <c r="A21" i="12"/>
  <c r="F21" i="12" s="1"/>
  <c r="E5" i="8"/>
  <c r="E5" i="12"/>
  <c r="A52" i="8"/>
  <c r="F52" i="8" s="1"/>
  <c r="A52" i="12"/>
  <c r="F52" i="12" s="1"/>
  <c r="A36" i="8"/>
  <c r="A36" i="12"/>
  <c r="F36" i="12" s="1"/>
  <c r="A20" i="8"/>
  <c r="F20" i="8" s="1"/>
  <c r="A20" i="12"/>
  <c r="F20" i="12" s="1"/>
  <c r="A39" i="8"/>
  <c r="F39" i="8" s="1"/>
  <c r="A39" i="12"/>
  <c r="F39" i="12" s="1"/>
  <c r="A53" i="8"/>
  <c r="F53" i="8" s="1"/>
  <c r="A53" i="12"/>
  <c r="F53" i="12" s="1"/>
  <c r="A51" i="8"/>
  <c r="F51" i="8" s="1"/>
  <c r="A51" i="12"/>
  <c r="F51" i="12" s="1"/>
  <c r="A35" i="8"/>
  <c r="F35" i="8" s="1"/>
  <c r="A35" i="12"/>
  <c r="F35" i="12" s="1"/>
  <c r="A19" i="8"/>
  <c r="F19" i="8" s="1"/>
  <c r="A19" i="12"/>
  <c r="F19" i="12" s="1"/>
  <c r="E50" i="8"/>
  <c r="E50" i="12"/>
  <c r="A34" i="8"/>
  <c r="F34" i="8" s="1"/>
  <c r="A34" i="12"/>
  <c r="F34" i="12" s="1"/>
  <c r="A18" i="8"/>
  <c r="F18" i="8" s="1"/>
  <c r="A18" i="12"/>
  <c r="F18" i="12" s="1"/>
  <c r="A49" i="8"/>
  <c r="F49" i="8" s="1"/>
  <c r="A49" i="12"/>
  <c r="F49" i="12" s="1"/>
  <c r="A33" i="8"/>
  <c r="F33" i="8" s="1"/>
  <c r="A33" i="12"/>
  <c r="F33" i="12" s="1"/>
  <c r="E17" i="8"/>
  <c r="E17" i="12"/>
  <c r="A23" i="8"/>
  <c r="F23" i="8" s="1"/>
  <c r="A23" i="12"/>
  <c r="F23" i="12" s="1"/>
  <c r="A12" i="8"/>
  <c r="F12" i="8" s="1"/>
  <c r="A12" i="12"/>
  <c r="F12" i="12" s="1"/>
  <c r="A48" i="8"/>
  <c r="F48" i="8" s="1"/>
  <c r="A48" i="12"/>
  <c r="F48" i="12" s="1"/>
  <c r="A32" i="8"/>
  <c r="F32" i="8" s="1"/>
  <c r="A32" i="12"/>
  <c r="F32" i="12" s="1"/>
  <c r="A16" i="8"/>
  <c r="F16" i="8" s="1"/>
  <c r="A16" i="12"/>
  <c r="F16" i="12" s="1"/>
  <c r="A55" i="8"/>
  <c r="F55" i="8" s="1"/>
  <c r="A55" i="12"/>
  <c r="F55" i="12" s="1"/>
  <c r="A47" i="8"/>
  <c r="F47" i="8" s="1"/>
  <c r="A47" i="12"/>
  <c r="F47" i="12" s="1"/>
  <c r="A31" i="8"/>
  <c r="F31" i="8" s="1"/>
  <c r="A31" i="12"/>
  <c r="F31" i="12" s="1"/>
  <c r="A15" i="8"/>
  <c r="F15" i="8" s="1"/>
  <c r="A15" i="12"/>
  <c r="F15" i="12" s="1"/>
  <c r="A30" i="8"/>
  <c r="F30" i="8" s="1"/>
  <c r="A30" i="12"/>
  <c r="F30" i="12" s="1"/>
  <c r="A61" i="8"/>
  <c r="F61" i="8" s="1"/>
  <c r="A61" i="12"/>
  <c r="F61" i="12" s="1"/>
  <c r="A45" i="8"/>
  <c r="F45" i="8" s="1"/>
  <c r="A45" i="12"/>
  <c r="F45" i="12" s="1"/>
  <c r="A29" i="8"/>
  <c r="F29" i="8" s="1"/>
  <c r="A29" i="12"/>
  <c r="F29" i="12" s="1"/>
  <c r="A13" i="8"/>
  <c r="F13" i="8" s="1"/>
  <c r="A13" i="12"/>
  <c r="F13" i="12" s="1"/>
  <c r="A4" i="8"/>
  <c r="F4" i="8" s="1"/>
  <c r="A4" i="12"/>
  <c r="F4" i="12" s="1"/>
  <c r="A60" i="8"/>
  <c r="F60" i="8" s="1"/>
  <c r="A60" i="12"/>
  <c r="F60" i="12" s="1"/>
  <c r="A44" i="8"/>
  <c r="F44" i="8" s="1"/>
  <c r="A44" i="12"/>
  <c r="F44" i="12" s="1"/>
  <c r="A28" i="8"/>
  <c r="F28" i="8" s="1"/>
  <c r="A28" i="12"/>
  <c r="F28" i="12" s="1"/>
  <c r="A59" i="8"/>
  <c r="F59" i="8" s="1"/>
  <c r="A59" i="12"/>
  <c r="F59" i="12" s="1"/>
  <c r="A43" i="8"/>
  <c r="F43" i="8" s="1"/>
  <c r="A43" i="12"/>
  <c r="F43" i="12" s="1"/>
  <c r="A27" i="8"/>
  <c r="F27" i="8" s="1"/>
  <c r="A27" i="12"/>
  <c r="F27" i="12" s="1"/>
  <c r="A11" i="8"/>
  <c r="F11" i="8" s="1"/>
  <c r="A11" i="12"/>
  <c r="F11" i="12" s="1"/>
  <c r="A14" i="8"/>
  <c r="F14" i="8" s="1"/>
  <c r="A14" i="12"/>
  <c r="F14" i="12" s="1"/>
  <c r="A58" i="8"/>
  <c r="F58" i="8" s="1"/>
  <c r="A58" i="12"/>
  <c r="F58" i="12" s="1"/>
  <c r="A42" i="8"/>
  <c r="F42" i="8" s="1"/>
  <c r="A42" i="12"/>
  <c r="F42" i="12" s="1"/>
  <c r="A26" i="8"/>
  <c r="F26" i="8" s="1"/>
  <c r="A26" i="12"/>
  <c r="F26" i="12" s="1"/>
  <c r="A10" i="8"/>
  <c r="F10" i="8" s="1"/>
  <c r="A10" i="12"/>
  <c r="F10" i="12" s="1"/>
  <c r="E46" i="8"/>
  <c r="E46" i="12"/>
  <c r="A57" i="8"/>
  <c r="F57" i="8" s="1"/>
  <c r="A57" i="12"/>
  <c r="F57" i="12" s="1"/>
  <c r="A41" i="8"/>
  <c r="F41" i="8" s="1"/>
  <c r="A41" i="12"/>
  <c r="F41" i="12" s="1"/>
  <c r="E25" i="8"/>
  <c r="E25" i="12"/>
  <c r="A9" i="8"/>
  <c r="F9" i="8" s="1"/>
  <c r="A9" i="12"/>
  <c r="F9" i="12" s="1"/>
  <c r="F36" i="8"/>
  <c r="B90" i="3"/>
  <c r="A51" i="9"/>
  <c r="A52" i="9"/>
  <c r="A58" i="9"/>
  <c r="A59" i="9"/>
  <c r="A60" i="9"/>
  <c r="A16" i="9"/>
  <c r="A3" i="9"/>
  <c r="A22" i="9"/>
  <c r="A54" i="9"/>
  <c r="A23" i="9"/>
  <c r="A55" i="9"/>
  <c r="A56" i="9"/>
  <c r="A43" i="9"/>
  <c r="A44" i="9"/>
  <c r="A45" i="9"/>
  <c r="A47" i="9"/>
  <c r="A48" i="9"/>
  <c r="A49" i="9"/>
  <c r="A22" i="3"/>
  <c r="A21" i="3"/>
  <c r="A14" i="3"/>
  <c r="A30" i="3"/>
  <c r="A28" i="3"/>
  <c r="A26" i="3"/>
  <c r="A49" i="3"/>
  <c r="A29" i="3"/>
  <c r="A13" i="3"/>
  <c r="A50" i="3"/>
  <c r="A51" i="3"/>
  <c r="A52" i="3"/>
  <c r="A53" i="3"/>
  <c r="A54" i="3"/>
  <c r="A55" i="3"/>
  <c r="A57" i="3"/>
  <c r="A58" i="3"/>
  <c r="A59" i="3"/>
  <c r="A39" i="3"/>
  <c r="A19" i="3"/>
  <c r="A44" i="3"/>
  <c r="A40" i="3"/>
  <c r="A38" i="3"/>
  <c r="A18" i="3"/>
  <c r="A45" i="3"/>
  <c r="A61" i="3"/>
  <c r="A17" i="3"/>
  <c r="A46" i="3"/>
  <c r="A62" i="3"/>
  <c r="A32" i="3"/>
  <c r="A47" i="3"/>
  <c r="A63" i="3"/>
  <c r="CB50" i="5"/>
  <c r="CC50" i="5"/>
  <c r="CD50" i="5"/>
  <c r="CE50" i="5"/>
  <c r="CF50" i="5"/>
  <c r="CH50" i="5"/>
  <c r="CI50" i="5"/>
  <c r="BU50" i="5"/>
  <c r="BV50" i="5"/>
  <c r="BW50" i="5"/>
  <c r="BX50" i="5"/>
  <c r="BZ50" i="5"/>
  <c r="CA50" i="5"/>
  <c r="A128" i="3"/>
  <c r="A101" i="3"/>
  <c r="BY50" i="5"/>
  <c r="A45" i="5"/>
  <c r="A15" i="5"/>
  <c r="F5" i="5"/>
  <c r="A16" i="5"/>
  <c r="A14" i="5"/>
  <c r="A31" i="5"/>
  <c r="A32" i="5"/>
  <c r="A47" i="5"/>
  <c r="A18" i="5"/>
  <c r="A19" i="5"/>
  <c r="A34" i="5"/>
  <c r="A49" i="5"/>
  <c r="A4" i="5"/>
  <c r="A35" i="5"/>
  <c r="A21" i="5"/>
  <c r="A22" i="5"/>
  <c r="A36" i="5"/>
  <c r="A7" i="5"/>
  <c r="A23" i="5"/>
  <c r="A8" i="5"/>
  <c r="A24" i="5"/>
  <c r="A38" i="5"/>
  <c r="A9" i="5"/>
  <c r="A10" i="5"/>
  <c r="A40" i="5"/>
  <c r="A26" i="5"/>
  <c r="A12" i="5"/>
  <c r="A27" i="5"/>
  <c r="A42" i="5"/>
  <c r="A13" i="5"/>
  <c r="B118" i="9"/>
  <c r="B88" i="9"/>
  <c r="A113" i="9"/>
  <c r="E37" i="14" s="1"/>
  <c r="B107" i="9"/>
  <c r="A91" i="9"/>
  <c r="B105" i="9"/>
  <c r="B106" i="9"/>
  <c r="B120" i="9"/>
  <c r="A116" i="9"/>
  <c r="A114" i="9"/>
  <c r="A97" i="9"/>
  <c r="A123" i="9"/>
  <c r="A127" i="9"/>
  <c r="A125" i="9"/>
  <c r="A110" i="9"/>
  <c r="A95" i="9"/>
  <c r="E18" i="14" s="1"/>
  <c r="A124" i="9"/>
  <c r="A94" i="9"/>
  <c r="A93" i="9"/>
  <c r="E16" i="14" s="1"/>
  <c r="A92" i="9"/>
  <c r="E15" i="14" s="1"/>
  <c r="A111" i="9"/>
  <c r="E35" i="14" s="1"/>
  <c r="A81" i="9"/>
  <c r="E4" i="14" s="1"/>
  <c r="A90" i="9"/>
  <c r="A99" i="9"/>
  <c r="E22" i="14" s="1"/>
  <c r="A98" i="9"/>
  <c r="E21" i="14" s="1"/>
  <c r="A96" i="9"/>
  <c r="A102" i="9"/>
  <c r="A86" i="9"/>
  <c r="E9" i="14" s="1"/>
  <c r="A115" i="9"/>
  <c r="E40" i="14" s="1"/>
  <c r="A101" i="9"/>
  <c r="E24" i="14" s="1"/>
  <c r="A85" i="9"/>
  <c r="E8" i="14" s="1"/>
  <c r="A82" i="9"/>
  <c r="E5" i="14" s="1"/>
  <c r="A112" i="9"/>
  <c r="E36" i="14" s="1"/>
  <c r="A126" i="9"/>
  <c r="E51" i="14" s="1"/>
  <c r="A109" i="9"/>
  <c r="E33" i="14" s="1"/>
  <c r="A108" i="9"/>
  <c r="A122" i="9"/>
  <c r="E47" i="14" s="1"/>
  <c r="A119" i="9"/>
  <c r="A104" i="9"/>
  <c r="A89" i="9"/>
  <c r="A103" i="9"/>
  <c r="A117" i="9"/>
  <c r="E42" i="14" s="1"/>
  <c r="A87" i="9"/>
  <c r="E10" i="14" s="1"/>
  <c r="A100" i="9"/>
  <c r="E23" i="14" s="1"/>
  <c r="A84" i="9"/>
  <c r="E7" i="14" s="1"/>
  <c r="B110" i="9"/>
  <c r="B97" i="9"/>
  <c r="B121" i="9"/>
  <c r="B125" i="9"/>
  <c r="B102" i="9"/>
  <c r="B83" i="9"/>
  <c r="B114" i="9"/>
  <c r="B116" i="9"/>
  <c r="B94" i="9"/>
  <c r="B127" i="9"/>
  <c r="B123" i="9"/>
  <c r="B129" i="3"/>
  <c r="B108" i="3"/>
  <c r="A115" i="3"/>
  <c r="A109" i="3"/>
  <c r="B91" i="3"/>
  <c r="A97" i="3"/>
  <c r="A87" i="3"/>
  <c r="A114" i="3"/>
  <c r="A130" i="3"/>
  <c r="A143" i="3"/>
  <c r="A118" i="3"/>
  <c r="A121" i="3"/>
  <c r="B88" i="3"/>
  <c r="A120" i="3"/>
  <c r="B133" i="3"/>
  <c r="A119" i="3"/>
  <c r="A89" i="3"/>
  <c r="A144" i="3"/>
  <c r="B100" i="3"/>
  <c r="A112" i="3"/>
  <c r="A125" i="3"/>
  <c r="A139" i="3"/>
  <c r="A131" i="3"/>
  <c r="A122" i="3"/>
  <c r="A136" i="3"/>
  <c r="A138" i="3"/>
  <c r="A102" i="3"/>
  <c r="A106" i="3"/>
  <c r="A107" i="3"/>
  <c r="A140" i="3"/>
  <c r="A141" i="3"/>
  <c r="A110" i="3"/>
  <c r="A117" i="3"/>
  <c r="A123" i="3"/>
  <c r="A124" i="3"/>
  <c r="A94" i="3"/>
  <c r="A103" i="3"/>
  <c r="A104" i="3"/>
  <c r="A137" i="3"/>
  <c r="A92" i="3"/>
  <c r="A93" i="3"/>
  <c r="A126" i="3"/>
  <c r="A95" i="3"/>
  <c r="A111" i="3"/>
  <c r="A96" i="3"/>
  <c r="A113" i="3"/>
  <c r="A98" i="3"/>
  <c r="A132" i="3"/>
  <c r="A99" i="3"/>
  <c r="A116" i="3"/>
  <c r="A134" i="3"/>
  <c r="A135" i="3"/>
  <c r="A105" i="3"/>
  <c r="A142" i="3"/>
  <c r="A127" i="3"/>
  <c r="A36" i="3"/>
  <c r="A35" i="3"/>
  <c r="A34" i="3"/>
  <c r="W115" i="3" l="1"/>
  <c r="DR32" i="8" s="1"/>
  <c r="L104" i="3"/>
  <c r="DG21" i="8" s="1"/>
  <c r="E27" i="14"/>
  <c r="E26" i="14"/>
  <c r="BE32" i="3"/>
  <c r="BD32" i="3"/>
  <c r="BB32" i="3"/>
  <c r="BF32" i="3"/>
  <c r="BK32" i="3"/>
  <c r="BL32" i="3"/>
  <c r="BI32" i="3"/>
  <c r="BJ32" i="3"/>
  <c r="BG32" i="3"/>
  <c r="BC32" i="3"/>
  <c r="BM32" i="3"/>
  <c r="BH32" i="3"/>
  <c r="BN32" i="3"/>
  <c r="R104" i="3"/>
  <c r="DM21" i="8" s="1"/>
  <c r="AE104" i="3"/>
  <c r="DZ21" i="8" s="1"/>
  <c r="AF138" i="3"/>
  <c r="EA55" i="8" s="1"/>
  <c r="L115" i="3"/>
  <c r="DG32" i="8" s="1"/>
  <c r="K138" i="3"/>
  <c r="DF55" i="8" s="1"/>
  <c r="E104" i="3"/>
  <c r="CZ21" i="8" s="1"/>
  <c r="U138" i="3"/>
  <c r="DP55" i="8" s="1"/>
  <c r="O104" i="3"/>
  <c r="DJ21" i="8" s="1"/>
  <c r="P138" i="3"/>
  <c r="DK55" i="8" s="1"/>
  <c r="Z104" i="3"/>
  <c r="DU21" i="8" s="1"/>
  <c r="Y115" i="3"/>
  <c r="DT32" i="8" s="1"/>
  <c r="X138" i="3"/>
  <c r="DS55" i="8" s="1"/>
  <c r="E138" i="3"/>
  <c r="CZ55" i="8" s="1"/>
  <c r="E115" i="3"/>
  <c r="CZ32" i="8" s="1"/>
  <c r="AD115" i="3"/>
  <c r="DY32" i="8" s="1"/>
  <c r="J104" i="3"/>
  <c r="DE21" i="8" s="1"/>
  <c r="I115" i="3"/>
  <c r="DD32" i="8" s="1"/>
  <c r="H138" i="3"/>
  <c r="DC55" i="8" s="1"/>
  <c r="S115" i="3"/>
  <c r="DN32" i="8" s="1"/>
  <c r="AH138" i="3"/>
  <c r="EC55" i="8" s="1"/>
  <c r="N115" i="3"/>
  <c r="DI32" i="8" s="1"/>
  <c r="AC138" i="3"/>
  <c r="DX55" i="8" s="1"/>
  <c r="W104" i="3"/>
  <c r="DR21" i="8" s="1"/>
  <c r="V115" i="3"/>
  <c r="DQ32" i="8" s="1"/>
  <c r="AG104" i="3"/>
  <c r="EB21" i="8" s="1"/>
  <c r="R138" i="3"/>
  <c r="DM55" i="8" s="1"/>
  <c r="AB104" i="3"/>
  <c r="DW21" i="8" s="1"/>
  <c r="M138" i="3"/>
  <c r="DH55" i="8" s="1"/>
  <c r="G104" i="3"/>
  <c r="DB21" i="8" s="1"/>
  <c r="F115" i="3"/>
  <c r="DA32" i="8" s="1"/>
  <c r="S104" i="3"/>
  <c r="DN21" i="8" s="1"/>
  <c r="P115" i="3"/>
  <c r="DK32" i="8" s="1"/>
  <c r="W138" i="3"/>
  <c r="DR55" i="8" s="1"/>
  <c r="K115" i="3"/>
  <c r="DF32" i="8" s="1"/>
  <c r="J138" i="3"/>
  <c r="DE55" i="8" s="1"/>
  <c r="T104" i="3"/>
  <c r="DO21" i="8" s="1"/>
  <c r="T138" i="3"/>
  <c r="DO55" i="8" s="1"/>
  <c r="AD104" i="3"/>
  <c r="DY21" i="8" s="1"/>
  <c r="AE138" i="3"/>
  <c r="DZ55" i="8" s="1"/>
  <c r="Y104" i="3"/>
  <c r="DT21" i="8" s="1"/>
  <c r="X115" i="3"/>
  <c r="DS32" i="8" s="1"/>
  <c r="AH115" i="3"/>
  <c r="EC32" i="8" s="1"/>
  <c r="N104" i="3"/>
  <c r="DI21" i="8" s="1"/>
  <c r="O138" i="3"/>
  <c r="DJ55" i="8" s="1"/>
  <c r="I104" i="3"/>
  <c r="DD21" i="8" s="1"/>
  <c r="H115" i="3"/>
  <c r="DC32" i="8" s="1"/>
  <c r="AF115" i="3"/>
  <c r="EA32" i="8" s="1"/>
  <c r="BH29" i="3"/>
  <c r="BI29" i="3"/>
  <c r="BF29" i="3"/>
  <c r="BM29" i="3"/>
  <c r="BN29" i="3"/>
  <c r="BE29" i="3"/>
  <c r="BB29" i="3"/>
  <c r="BL29" i="3"/>
  <c r="BG29" i="3"/>
  <c r="BJ29" i="3"/>
  <c r="BC29" i="3"/>
  <c r="BD29" i="3"/>
  <c r="BK29" i="3"/>
  <c r="R115" i="3"/>
  <c r="DM32" i="8" s="1"/>
  <c r="G138" i="3"/>
  <c r="DB55" i="8" s="1"/>
  <c r="AC115" i="3"/>
  <c r="DX32" i="8" s="1"/>
  <c r="AB138" i="3"/>
  <c r="DW55" i="8" s="1"/>
  <c r="V104" i="3"/>
  <c r="DQ21" i="8" s="1"/>
  <c r="Q104" i="3"/>
  <c r="DL21" i="8" s="1"/>
  <c r="AF104" i="3"/>
  <c r="EA21" i="8" s="1"/>
  <c r="AG138" i="3"/>
  <c r="EB55" i="8" s="1"/>
  <c r="M115" i="3"/>
  <c r="DH32" i="8" s="1"/>
  <c r="L138" i="3"/>
  <c r="DG55" i="8" s="1"/>
  <c r="F104" i="3"/>
  <c r="DA21" i="8" s="1"/>
  <c r="BH40" i="3"/>
  <c r="BL40" i="3"/>
  <c r="BE40" i="3"/>
  <c r="BD40" i="3"/>
  <c r="BG40" i="3"/>
  <c r="BC40" i="3"/>
  <c r="BB40" i="3"/>
  <c r="BJ40" i="3"/>
  <c r="BI40" i="3"/>
  <c r="BF40" i="3"/>
  <c r="BK40" i="3"/>
  <c r="BN40" i="3"/>
  <c r="BM40" i="3"/>
  <c r="P104" i="3"/>
  <c r="DK21" i="8" s="1"/>
  <c r="Q138" i="3"/>
  <c r="DL55" i="8" s="1"/>
  <c r="AA104" i="3"/>
  <c r="DV21" i="8" s="1"/>
  <c r="Z115" i="3"/>
  <c r="DU32" i="8" s="1"/>
  <c r="Y138" i="3"/>
  <c r="DT55" i="8" s="1"/>
  <c r="AA115" i="3"/>
  <c r="DV32" i="8" s="1"/>
  <c r="BG38" i="3"/>
  <c r="BB38" i="3"/>
  <c r="BH38" i="3"/>
  <c r="BE38" i="3"/>
  <c r="BM38" i="3"/>
  <c r="BF38" i="3"/>
  <c r="BD38" i="3"/>
  <c r="BK38" i="3"/>
  <c r="BJ38" i="3"/>
  <c r="BI38" i="3"/>
  <c r="BL38" i="3"/>
  <c r="BC38" i="3"/>
  <c r="BN38" i="3"/>
  <c r="V138" i="3"/>
  <c r="DQ55" i="8" s="1"/>
  <c r="U115" i="3"/>
  <c r="DP32" i="8" s="1"/>
  <c r="AE115" i="3"/>
  <c r="DZ32" i="8" s="1"/>
  <c r="K104" i="3"/>
  <c r="DF21" i="8" s="1"/>
  <c r="J115" i="3"/>
  <c r="DE32" i="8" s="1"/>
  <c r="I138" i="3"/>
  <c r="DD55" i="8" s="1"/>
  <c r="Z138" i="3"/>
  <c r="DU55" i="8" s="1"/>
  <c r="BC30" i="3"/>
  <c r="BB30" i="3"/>
  <c r="BD30" i="3"/>
  <c r="BG30" i="3"/>
  <c r="BL30" i="3"/>
  <c r="BI30" i="3"/>
  <c r="BE30" i="3"/>
  <c r="BK30" i="3"/>
  <c r="BH30" i="3"/>
  <c r="BF30" i="3"/>
  <c r="BM30" i="3"/>
  <c r="BJ30" i="3"/>
  <c r="BN30" i="3"/>
  <c r="F138" i="3"/>
  <c r="DA55" i="8" s="1"/>
  <c r="S138" i="3"/>
  <c r="DN55" i="8" s="1"/>
  <c r="O115" i="3"/>
  <c r="DJ32" i="8" s="1"/>
  <c r="AD138" i="3"/>
  <c r="DY55" i="8" s="1"/>
  <c r="X104" i="3"/>
  <c r="DS21" i="8" s="1"/>
  <c r="BM13" i="3"/>
  <c r="BJ13" i="3"/>
  <c r="BD13" i="3"/>
  <c r="BN13" i="3"/>
  <c r="BE13" i="3"/>
  <c r="BH13" i="3"/>
  <c r="BG13" i="3"/>
  <c r="BK13" i="3"/>
  <c r="BL13" i="3"/>
  <c r="BC13" i="3"/>
  <c r="BI13" i="3"/>
  <c r="BF13" i="3"/>
  <c r="BB13" i="3"/>
  <c r="BH39" i="3"/>
  <c r="BE39" i="3"/>
  <c r="BN39" i="3"/>
  <c r="BJ39" i="3"/>
  <c r="BM39" i="3"/>
  <c r="BK39" i="3"/>
  <c r="BI39" i="3"/>
  <c r="BB39" i="3"/>
  <c r="BF39" i="3"/>
  <c r="BG39" i="3"/>
  <c r="BC39" i="3"/>
  <c r="BL39" i="3"/>
  <c r="BD39" i="3"/>
  <c r="BC14" i="3"/>
  <c r="BE14" i="3"/>
  <c r="BM14" i="3"/>
  <c r="BH14" i="3"/>
  <c r="BL14" i="3"/>
  <c r="BI14" i="3"/>
  <c r="BK14" i="3"/>
  <c r="BF14" i="3"/>
  <c r="BD14" i="3"/>
  <c r="BJ14" i="3"/>
  <c r="BB14" i="3"/>
  <c r="BN14" i="3"/>
  <c r="BG14" i="3"/>
  <c r="T115" i="3"/>
  <c r="DO32" i="8" s="1"/>
  <c r="AG115" i="3"/>
  <c r="EB32" i="8" s="1"/>
  <c r="AC104" i="3"/>
  <c r="DX21" i="8" s="1"/>
  <c r="N138" i="3"/>
  <c r="DI55" i="8" s="1"/>
  <c r="H104" i="3"/>
  <c r="DC21" i="8" s="1"/>
  <c r="G115" i="3"/>
  <c r="DB32" i="8" s="1"/>
  <c r="AH104" i="3"/>
  <c r="EC21" i="8" s="1"/>
  <c r="Q115" i="3"/>
  <c r="DL32" i="8" s="1"/>
  <c r="M104" i="3"/>
  <c r="DH21" i="8" s="1"/>
  <c r="AB115" i="3"/>
  <c r="DW32" i="8" s="1"/>
  <c r="AA138" i="3"/>
  <c r="DV55" i="8" s="1"/>
  <c r="U104" i="3"/>
  <c r="DP21" i="8" s="1"/>
  <c r="AZ39" i="3"/>
  <c r="BA39" i="3"/>
  <c r="AZ14" i="3"/>
  <c r="BA14" i="3"/>
  <c r="DG3" i="8"/>
  <c r="DM3" i="8"/>
  <c r="DA3" i="8"/>
  <c r="DD3" i="8"/>
  <c r="BA32" i="3"/>
  <c r="AZ32" i="3"/>
  <c r="DN3" i="8"/>
  <c r="DK3" i="8"/>
  <c r="DH3" i="8"/>
  <c r="DE3" i="8"/>
  <c r="DB3" i="8"/>
  <c r="BA13" i="3"/>
  <c r="AZ13" i="3"/>
  <c r="CZ3" i="8"/>
  <c r="DA3" i="5"/>
  <c r="BT19" i="5"/>
  <c r="BT34" i="5"/>
  <c r="BT4" i="5"/>
  <c r="BT20" i="5"/>
  <c r="BT35" i="5"/>
  <c r="BT5" i="5"/>
  <c r="BT21" i="5"/>
  <c r="BT6" i="5"/>
  <c r="BT22" i="5"/>
  <c r="BT36" i="5"/>
  <c r="BT7" i="5"/>
  <c r="BT23" i="5"/>
  <c r="BT37" i="5"/>
  <c r="BT8" i="5"/>
  <c r="BT24" i="5"/>
  <c r="BT38" i="5"/>
  <c r="BT9" i="5"/>
  <c r="BT25" i="5"/>
  <c r="BT39" i="5"/>
  <c r="BT10" i="5"/>
  <c r="BT40" i="5"/>
  <c r="BT11" i="5"/>
  <c r="BT26" i="5"/>
  <c r="BT41" i="5"/>
  <c r="BT12" i="5"/>
  <c r="BT27" i="5"/>
  <c r="BT42" i="5"/>
  <c r="BT13" i="5"/>
  <c r="BT28" i="5"/>
  <c r="BT43" i="5"/>
  <c r="BT14" i="5"/>
  <c r="BT29" i="5"/>
  <c r="BT44" i="5"/>
  <c r="BT15" i="5"/>
  <c r="BT30" i="5"/>
  <c r="BT45" i="5"/>
  <c r="BT16" i="5"/>
  <c r="BT17" i="5"/>
  <c r="BT18" i="5"/>
  <c r="BT31" i="5"/>
  <c r="BT32" i="5"/>
  <c r="BT33" i="5"/>
  <c r="BT46" i="5"/>
  <c r="AZ29" i="3"/>
  <c r="BA29" i="3"/>
  <c r="DF3" i="8"/>
  <c r="BA38" i="3"/>
  <c r="AZ38" i="3"/>
  <c r="BA40" i="3"/>
  <c r="AZ40" i="3"/>
  <c r="DL3" i="8"/>
  <c r="DI3" i="8"/>
  <c r="AZ30" i="3"/>
  <c r="BA30" i="3"/>
  <c r="DC3" i="8"/>
  <c r="DJ3" i="8"/>
  <c r="F34" i="14"/>
  <c r="A34" i="14"/>
  <c r="E19" i="5"/>
  <c r="E19" i="14"/>
  <c r="E20" i="5"/>
  <c r="E20" i="14"/>
  <c r="E37" i="5"/>
  <c r="E39" i="14"/>
  <c r="E46" i="5"/>
  <c r="E48" i="14"/>
  <c r="A46" i="5"/>
  <c r="F48" i="14"/>
  <c r="A48" i="14"/>
  <c r="E12" i="5"/>
  <c r="E12" i="14"/>
  <c r="E39" i="5"/>
  <c r="E41" i="14"/>
  <c r="A46" i="14"/>
  <c r="F46" i="14"/>
  <c r="F52" i="14"/>
  <c r="A52" i="14"/>
  <c r="E27" i="5"/>
  <c r="E28" i="14"/>
  <c r="E13" i="5"/>
  <c r="E13" i="14"/>
  <c r="E25" i="5"/>
  <c r="E25" i="14"/>
  <c r="E42" i="5"/>
  <c r="E44" i="14"/>
  <c r="F45" i="14"/>
  <c r="A45" i="14"/>
  <c r="A17" i="5"/>
  <c r="F17" i="14"/>
  <c r="A17" i="14"/>
  <c r="F41" i="14"/>
  <c r="A41" i="14"/>
  <c r="F30" i="14"/>
  <c r="A30" i="14"/>
  <c r="A37" i="5"/>
  <c r="A39" i="14"/>
  <c r="F39" i="14"/>
  <c r="E31" i="5"/>
  <c r="E32" i="14"/>
  <c r="F29" i="14"/>
  <c r="A29" i="14"/>
  <c r="E14" i="5"/>
  <c r="E14" i="14"/>
  <c r="A6" i="5"/>
  <c r="F6" i="14"/>
  <c r="A6" i="14"/>
  <c r="A25" i="14"/>
  <c r="F25" i="14"/>
  <c r="F31" i="14"/>
  <c r="A31" i="14"/>
  <c r="E35" i="5"/>
  <c r="E17" i="5"/>
  <c r="E17" i="14"/>
  <c r="E36" i="5"/>
  <c r="E38" i="14"/>
  <c r="F11" i="14"/>
  <c r="A11" i="14"/>
  <c r="E47" i="5"/>
  <c r="E49" i="14"/>
  <c r="F20" i="14"/>
  <c r="A20" i="14"/>
  <c r="F43" i="14"/>
  <c r="A43" i="14"/>
  <c r="E33" i="5"/>
  <c r="E34" i="14"/>
  <c r="F50" i="14"/>
  <c r="A50" i="14"/>
  <c r="E48" i="5"/>
  <c r="E50" i="14"/>
  <c r="E50" i="5"/>
  <c r="E52" i="14"/>
  <c r="E4" i="5"/>
  <c r="E23" i="8"/>
  <c r="E23" i="12"/>
  <c r="E13" i="8"/>
  <c r="E13" i="12"/>
  <c r="E24" i="8"/>
  <c r="E24" i="12"/>
  <c r="A5" i="8"/>
  <c r="F5" i="8" s="1"/>
  <c r="A5" i="12"/>
  <c r="F5" i="12" s="1"/>
  <c r="E12" i="8"/>
  <c r="E12" i="12"/>
  <c r="E19" i="8"/>
  <c r="E19" i="12"/>
  <c r="E35" i="8"/>
  <c r="E35" i="12"/>
  <c r="E43" i="8"/>
  <c r="E43" i="12"/>
  <c r="E55" i="8"/>
  <c r="E55" i="12"/>
  <c r="E60" i="8"/>
  <c r="E60" i="12"/>
  <c r="E10" i="8"/>
  <c r="E10" i="12"/>
  <c r="E53" i="8"/>
  <c r="E53" i="12"/>
  <c r="E47" i="8"/>
  <c r="E47" i="12"/>
  <c r="E9" i="8"/>
  <c r="E9" i="12"/>
  <c r="E39" i="8"/>
  <c r="E39" i="12"/>
  <c r="E31" i="8"/>
  <c r="E31" i="12"/>
  <c r="E28" i="8"/>
  <c r="E28" i="12"/>
  <c r="E4" i="12"/>
  <c r="E48" i="8"/>
  <c r="E48" i="12"/>
  <c r="E59" i="8"/>
  <c r="E59" i="12"/>
  <c r="E21" i="8"/>
  <c r="E21" i="12"/>
  <c r="E56" i="8"/>
  <c r="E56" i="12"/>
  <c r="E14" i="8"/>
  <c r="E14" i="12"/>
  <c r="E42" i="8"/>
  <c r="E42" i="12"/>
  <c r="A8" i="8"/>
  <c r="F8" i="8" s="1"/>
  <c r="A8" i="12"/>
  <c r="F8" i="12" s="1"/>
  <c r="E38" i="8"/>
  <c r="E38" i="12"/>
  <c r="E20" i="8"/>
  <c r="E20" i="12"/>
  <c r="E52" i="8"/>
  <c r="E52" i="12"/>
  <c r="E11" i="8"/>
  <c r="E11" i="12"/>
  <c r="E29" i="8"/>
  <c r="E29" i="12"/>
  <c r="E26" i="8"/>
  <c r="E26" i="12"/>
  <c r="E18" i="8"/>
  <c r="E18" i="12"/>
  <c r="A7" i="8"/>
  <c r="F7" i="8" s="1"/>
  <c r="A7" i="12"/>
  <c r="F7" i="12" s="1"/>
  <c r="E51" i="8"/>
  <c r="E51" i="12"/>
  <c r="E41" i="8"/>
  <c r="E41" i="12"/>
  <c r="A17" i="8"/>
  <c r="F17" i="8" s="1"/>
  <c r="A17" i="12"/>
  <c r="F17" i="12" s="1"/>
  <c r="E32" i="8"/>
  <c r="E32" i="12"/>
  <c r="E45" i="8"/>
  <c r="E45" i="12"/>
  <c r="E22" i="8"/>
  <c r="E22" i="12"/>
  <c r="E33" i="8"/>
  <c r="E33" i="12"/>
  <c r="E40" i="8"/>
  <c r="E40" i="12"/>
  <c r="E61" i="8"/>
  <c r="E61" i="12"/>
  <c r="E6" i="8"/>
  <c r="E6" i="12"/>
  <c r="A25" i="8"/>
  <c r="F25" i="8" s="1"/>
  <c r="A25" i="12"/>
  <c r="F25" i="12" s="1"/>
  <c r="E54" i="8"/>
  <c r="E54" i="12"/>
  <c r="E49" i="8"/>
  <c r="E49" i="12"/>
  <c r="E27" i="8"/>
  <c r="E27" i="12"/>
  <c r="E36" i="8"/>
  <c r="E36" i="12"/>
  <c r="A46" i="8"/>
  <c r="F46" i="8" s="1"/>
  <c r="A46" i="12"/>
  <c r="F46" i="12" s="1"/>
  <c r="E16" i="8"/>
  <c r="E16" i="12"/>
  <c r="E15" i="8"/>
  <c r="E15" i="12"/>
  <c r="E58" i="8"/>
  <c r="E58" i="12"/>
  <c r="A50" i="8"/>
  <c r="F50" i="8" s="1"/>
  <c r="A50" i="12"/>
  <c r="F50" i="12" s="1"/>
  <c r="E44" i="8"/>
  <c r="E44" i="12"/>
  <c r="E34" i="8"/>
  <c r="E34" i="12"/>
  <c r="E30" i="8"/>
  <c r="E30" i="12"/>
  <c r="E57" i="8"/>
  <c r="E57" i="12"/>
  <c r="E37" i="8"/>
  <c r="E37" i="12"/>
  <c r="BT50" i="5"/>
  <c r="E4" i="8"/>
  <c r="F30" i="5"/>
  <c r="A30" i="5"/>
  <c r="A20" i="5"/>
  <c r="F11" i="5"/>
  <c r="A11" i="5"/>
  <c r="F41" i="5"/>
  <c r="A41" i="5"/>
  <c r="F48" i="5"/>
  <c r="A48" i="5"/>
  <c r="F33" i="5"/>
  <c r="A33" i="5"/>
  <c r="F39" i="5"/>
  <c r="A39" i="5"/>
  <c r="A44" i="5"/>
  <c r="F43" i="5"/>
  <c r="A43" i="5"/>
  <c r="F50" i="5"/>
  <c r="A50" i="5"/>
  <c r="A25" i="5"/>
  <c r="F29" i="5"/>
  <c r="A29" i="5"/>
  <c r="F28" i="5"/>
  <c r="A28" i="5"/>
  <c r="E23" i="5"/>
  <c r="E10" i="5"/>
  <c r="E32" i="5"/>
  <c r="E21" i="5"/>
  <c r="E40" i="5"/>
  <c r="E22" i="5"/>
  <c r="F44" i="5"/>
  <c r="E26" i="5"/>
  <c r="E49" i="5"/>
  <c r="E34" i="5"/>
  <c r="F25" i="5"/>
  <c r="E15" i="5"/>
  <c r="F46" i="5"/>
  <c r="F37" i="5"/>
  <c r="E5" i="5"/>
  <c r="E16" i="5"/>
  <c r="F6" i="5"/>
  <c r="E8" i="5"/>
  <c r="E24" i="5"/>
  <c r="E38" i="5"/>
  <c r="E18" i="5"/>
  <c r="F17" i="5"/>
  <c r="F20" i="5"/>
  <c r="E45" i="5"/>
  <c r="E9" i="5"/>
  <c r="E7" i="5"/>
  <c r="BS11" i="8" l="1"/>
  <c r="BS20" i="8"/>
  <c r="BS50" i="8"/>
  <c r="BS56" i="8"/>
  <c r="BS4" i="8"/>
  <c r="BS25" i="8"/>
  <c r="BS27" i="8"/>
  <c r="BS18" i="8"/>
  <c r="BS47" i="8"/>
  <c r="BS43" i="8"/>
  <c r="BS16" i="8"/>
  <c r="BS5" i="8"/>
  <c r="BS59" i="8"/>
  <c r="BS41" i="8"/>
  <c r="BS9" i="8"/>
  <c r="BS12" i="8"/>
  <c r="BS42" i="8"/>
  <c r="BS10" i="8"/>
  <c r="BS31" i="8"/>
  <c r="BS28" i="8"/>
  <c r="BS15" i="8"/>
  <c r="BS21" i="8"/>
  <c r="BS37" i="8"/>
  <c r="BS35" i="8"/>
  <c r="BS44" i="8"/>
  <c r="BS13" i="8"/>
  <c r="BS39" i="8"/>
  <c r="BS49" i="8"/>
  <c r="BS60" i="8"/>
  <c r="BS55" i="8"/>
  <c r="BS29" i="8"/>
  <c r="BS53" i="8"/>
  <c r="BS14" i="8"/>
  <c r="BS7" i="8"/>
  <c r="BS33" i="8"/>
  <c r="BS23" i="8"/>
  <c r="BS30" i="8"/>
  <c r="BS61" i="8"/>
  <c r="BS32" i="8"/>
  <c r="BS52" i="8"/>
  <c r="BS34" i="8"/>
  <c r="BS46" i="8"/>
  <c r="BS36" i="8"/>
  <c r="BS19" i="8"/>
  <c r="BS45" i="8"/>
  <c r="BS6" i="8"/>
  <c r="BS58" i="8"/>
  <c r="BS48" i="8"/>
  <c r="BS8" i="8"/>
  <c r="BS22" i="8"/>
  <c r="BS26" i="8"/>
  <c r="BS57" i="8"/>
  <c r="BS24" i="8"/>
  <c r="BS38" i="8"/>
  <c r="BS51" i="8"/>
  <c r="BS17" i="8"/>
  <c r="BS40" i="8"/>
  <c r="BS54" i="8"/>
  <c r="AZ4" i="3" l="1"/>
  <c r="M18" i="10" l="1"/>
  <c r="L109" i="9"/>
  <c r="DH32" i="5" s="1"/>
  <c r="L124" i="9"/>
  <c r="DH47" i="5" s="1"/>
  <c r="L98" i="9"/>
  <c r="DH21" i="5" s="1"/>
  <c r="L90" i="9"/>
  <c r="DH13" i="5" s="1"/>
  <c r="L85" i="9"/>
  <c r="DH8" i="5" s="1"/>
  <c r="I94" i="3"/>
  <c r="DD11" i="8" s="1"/>
  <c r="I96" i="3"/>
  <c r="DD13" i="8" s="1"/>
  <c r="I95" i="3"/>
  <c r="DD12" i="8" s="1"/>
  <c r="I112" i="3"/>
  <c r="DD29" i="8" s="1"/>
  <c r="I92" i="3"/>
  <c r="DD9" i="8" s="1"/>
  <c r="I123" i="3"/>
  <c r="DD40" i="8" s="1"/>
  <c r="I101" i="3"/>
  <c r="DD18" i="8" s="1"/>
  <c r="I91" i="3"/>
  <c r="DD8" i="8" s="1"/>
  <c r="I100" i="3"/>
  <c r="DD17" i="8" s="1"/>
  <c r="I144" i="3"/>
  <c r="DD61" i="8" s="1"/>
  <c r="I143" i="3"/>
  <c r="DD60" i="8" s="1"/>
  <c r="I130" i="3"/>
  <c r="DD47" i="8" s="1"/>
  <c r="I129" i="3"/>
  <c r="DD46" i="8" s="1"/>
  <c r="I128" i="3"/>
  <c r="DD45" i="8" s="1"/>
  <c r="I87" i="3"/>
  <c r="DD4" i="8" s="1"/>
  <c r="I88" i="3"/>
  <c r="DD5" i="8" s="1"/>
  <c r="I131" i="3"/>
  <c r="DD48" i="8" s="1"/>
  <c r="T92" i="3"/>
  <c r="DO9" i="8" s="1"/>
  <c r="T94" i="3"/>
  <c r="DO11" i="8" s="1"/>
  <c r="T96" i="3"/>
  <c r="DO13" i="8" s="1"/>
  <c r="T112" i="3"/>
  <c r="DO29" i="8" s="1"/>
  <c r="T95" i="3"/>
  <c r="DO12" i="8" s="1"/>
  <c r="T88" i="3"/>
  <c r="DO5" i="8" s="1"/>
  <c r="T123" i="3"/>
  <c r="DO40" i="8" s="1"/>
  <c r="T144" i="3"/>
  <c r="DO61" i="8" s="1"/>
  <c r="T143" i="3"/>
  <c r="DO60" i="8" s="1"/>
  <c r="T91" i="3"/>
  <c r="DO8" i="8" s="1"/>
  <c r="T101" i="3"/>
  <c r="DO18" i="8" s="1"/>
  <c r="T100" i="3"/>
  <c r="DO17" i="8" s="1"/>
  <c r="T128" i="3"/>
  <c r="DO45" i="8" s="1"/>
  <c r="T130" i="3"/>
  <c r="DO47" i="8" s="1"/>
  <c r="T87" i="3"/>
  <c r="DO4" i="8" s="1"/>
  <c r="T129" i="3"/>
  <c r="DO46" i="8" s="1"/>
  <c r="T131" i="3"/>
  <c r="DO48" i="8" s="1"/>
  <c r="BM8" i="3"/>
  <c r="AG141" i="3"/>
  <c r="EB58" i="8" s="1"/>
  <c r="AG118" i="3"/>
  <c r="EB35" i="8" s="1"/>
  <c r="BM3" i="3"/>
  <c r="AG126" i="3"/>
  <c r="EB43" i="8" s="1"/>
  <c r="AG108" i="3"/>
  <c r="EB25" i="8" s="1"/>
  <c r="AG107" i="3"/>
  <c r="EB24" i="8" s="1"/>
  <c r="AG90" i="3"/>
  <c r="EB7" i="8" s="1"/>
  <c r="AG93" i="3"/>
  <c r="EB10" i="8" s="1"/>
  <c r="BM4" i="3"/>
  <c r="BM7" i="3"/>
  <c r="BM6" i="3"/>
  <c r="BM5" i="3"/>
  <c r="R103" i="3"/>
  <c r="DM20" i="8" s="1"/>
  <c r="R137" i="3"/>
  <c r="DM54" i="8" s="1"/>
  <c r="R114" i="3"/>
  <c r="DM31" i="8" s="1"/>
  <c r="L122" i="9"/>
  <c r="DH45" i="5" s="1"/>
  <c r="L92" i="9"/>
  <c r="L113" i="9"/>
  <c r="DH36" i="5" s="1"/>
  <c r="L103" i="9"/>
  <c r="DH26" i="5" s="1"/>
  <c r="AB95" i="9"/>
  <c r="DX18" i="5" s="1"/>
  <c r="AB116" i="9"/>
  <c r="DX39" i="5" s="1"/>
  <c r="M124" i="3"/>
  <c r="DH41" i="8" s="1"/>
  <c r="M116" i="3"/>
  <c r="DH33" i="8" s="1"/>
  <c r="M132" i="3"/>
  <c r="DH49" i="8" s="1"/>
  <c r="M139" i="3"/>
  <c r="DH56" i="8" s="1"/>
  <c r="M105" i="3"/>
  <c r="DH22" i="8" s="1"/>
  <c r="G88" i="3"/>
  <c r="DB5" i="8" s="1"/>
  <c r="G91" i="3"/>
  <c r="DB8" i="8" s="1"/>
  <c r="G112" i="3"/>
  <c r="DB29" i="8" s="1"/>
  <c r="G95" i="3"/>
  <c r="DB12" i="8" s="1"/>
  <c r="G94" i="3"/>
  <c r="DB11" i="8" s="1"/>
  <c r="G144" i="3"/>
  <c r="DB61" i="8" s="1"/>
  <c r="G123" i="3"/>
  <c r="DB40" i="8" s="1"/>
  <c r="G92" i="3"/>
  <c r="DB9" i="8" s="1"/>
  <c r="G96" i="3"/>
  <c r="DB13" i="8" s="1"/>
  <c r="G129" i="3"/>
  <c r="DB46" i="8" s="1"/>
  <c r="G87" i="3"/>
  <c r="DB4" i="8" s="1"/>
  <c r="G130" i="3"/>
  <c r="DB47" i="8" s="1"/>
  <c r="G128" i="3"/>
  <c r="DB45" i="8" s="1"/>
  <c r="G101" i="3"/>
  <c r="DB18" i="8" s="1"/>
  <c r="G100" i="3"/>
  <c r="DB17" i="8" s="1"/>
  <c r="G143" i="3"/>
  <c r="DB60" i="8" s="1"/>
  <c r="G131" i="3"/>
  <c r="DB48" i="8" s="1"/>
  <c r="H132" i="3"/>
  <c r="DC49" i="8" s="1"/>
  <c r="H105" i="3"/>
  <c r="DC22" i="8" s="1"/>
  <c r="H139" i="3"/>
  <c r="DC56" i="8" s="1"/>
  <c r="H116" i="3"/>
  <c r="DC33" i="8" s="1"/>
  <c r="H124" i="3"/>
  <c r="DC41" i="8" s="1"/>
  <c r="H126" i="3"/>
  <c r="DC43" i="8" s="1"/>
  <c r="H141" i="3"/>
  <c r="DC58" i="8" s="1"/>
  <c r="H90" i="3"/>
  <c r="DC7" i="8" s="1"/>
  <c r="H93" i="3"/>
  <c r="DC10" i="8" s="1"/>
  <c r="H118" i="3"/>
  <c r="DC35" i="8" s="1"/>
  <c r="H108" i="3"/>
  <c r="DC25" i="8" s="1"/>
  <c r="H107" i="3"/>
  <c r="DC24" i="8" s="1"/>
  <c r="H127" i="3"/>
  <c r="DC44" i="8" s="1"/>
  <c r="H119" i="3"/>
  <c r="DC36" i="8" s="1"/>
  <c r="H142" i="3"/>
  <c r="DC59" i="8" s="1"/>
  <c r="O121" i="3"/>
  <c r="DJ38" i="8" s="1"/>
  <c r="O98" i="3"/>
  <c r="DJ15" i="8" s="1"/>
  <c r="O110" i="3"/>
  <c r="DJ27" i="8" s="1"/>
  <c r="O134" i="3"/>
  <c r="DJ51" i="8" s="1"/>
  <c r="O113" i="3"/>
  <c r="DJ30" i="8" s="1"/>
  <c r="O102" i="3"/>
  <c r="DJ19" i="8" s="1"/>
  <c r="O136" i="3"/>
  <c r="DJ53" i="8" s="1"/>
  <c r="O89" i="3"/>
  <c r="DJ6" i="8" s="1"/>
  <c r="N102" i="3"/>
  <c r="DI19" i="8" s="1"/>
  <c r="N136" i="3"/>
  <c r="DI53" i="8" s="1"/>
  <c r="N113" i="3"/>
  <c r="DI30" i="8" s="1"/>
  <c r="N89" i="3"/>
  <c r="DI6" i="8" s="1"/>
  <c r="K124" i="9"/>
  <c r="DG47" i="5" s="1"/>
  <c r="K85" i="9"/>
  <c r="DG8" i="5" s="1"/>
  <c r="K98" i="9"/>
  <c r="DG21" i="5" s="1"/>
  <c r="K109" i="9"/>
  <c r="K90" i="9"/>
  <c r="DG13" i="5" s="1"/>
  <c r="G104" i="9"/>
  <c r="G114" i="9"/>
  <c r="DC37" i="5" s="1"/>
  <c r="G93" i="9"/>
  <c r="S126" i="9"/>
  <c r="DO49" i="5" s="1"/>
  <c r="S115" i="9"/>
  <c r="S94" i="9"/>
  <c r="DO17" i="5" s="1"/>
  <c r="S87" i="9"/>
  <c r="S106" i="9"/>
  <c r="DO29" i="5" s="1"/>
  <c r="S105" i="9"/>
  <c r="E112" i="9"/>
  <c r="DA35" i="5" s="1"/>
  <c r="E102" i="9"/>
  <c r="G96" i="9"/>
  <c r="DC19" i="5" s="1"/>
  <c r="G88" i="9"/>
  <c r="DC11" i="5" s="1"/>
  <c r="G107" i="9"/>
  <c r="DC30" i="5" s="1"/>
  <c r="J111" i="9"/>
  <c r="DF34" i="5" s="1"/>
  <c r="J101" i="9"/>
  <c r="DF24" i="5" s="1"/>
  <c r="J86" i="9"/>
  <c r="R103" i="9"/>
  <c r="R122" i="9"/>
  <c r="R92" i="9"/>
  <c r="DN15" i="5" s="1"/>
  <c r="R113" i="9"/>
  <c r="R89" i="9"/>
  <c r="DN12" i="5" s="1"/>
  <c r="R97" i="9"/>
  <c r="DN20" i="5" s="1"/>
  <c r="R108" i="9"/>
  <c r="S91" i="9"/>
  <c r="DO14" i="5" s="1"/>
  <c r="S123" i="9"/>
  <c r="DO46" i="5" s="1"/>
  <c r="S110" i="9"/>
  <c r="DO33" i="5" s="1"/>
  <c r="S125" i="9"/>
  <c r="S127" i="9"/>
  <c r="DO50" i="5" s="1"/>
  <c r="S118" i="9"/>
  <c r="DO41" i="5" s="1"/>
  <c r="S117" i="9"/>
  <c r="DO40" i="5" s="1"/>
  <c r="S100" i="9"/>
  <c r="S121" i="9"/>
  <c r="DO44" i="5" s="1"/>
  <c r="S99" i="9"/>
  <c r="S120" i="9"/>
  <c r="S81" i="9"/>
  <c r="S84" i="9"/>
  <c r="DO7" i="5" s="1"/>
  <c r="S83" i="9"/>
  <c r="DO6" i="5" s="1"/>
  <c r="S82" i="9"/>
  <c r="S119" i="9"/>
  <c r="O116" i="9"/>
  <c r="DK39" i="5" s="1"/>
  <c r="O95" i="9"/>
  <c r="U119" i="3"/>
  <c r="DP36" i="8" s="1"/>
  <c r="U127" i="3"/>
  <c r="DP44" i="8" s="1"/>
  <c r="U142" i="3"/>
  <c r="DP59" i="8" s="1"/>
  <c r="T119" i="3"/>
  <c r="DO36" i="8" s="1"/>
  <c r="T142" i="3"/>
  <c r="DO59" i="8" s="1"/>
  <c r="T127" i="3"/>
  <c r="DO44" i="8" s="1"/>
  <c r="T111" i="9"/>
  <c r="DP34" i="5" s="1"/>
  <c r="T86" i="9"/>
  <c r="DP9" i="5" s="1"/>
  <c r="T101" i="9"/>
  <c r="DP24" i="5" s="1"/>
  <c r="X102" i="9"/>
  <c r="DT25" i="5" s="1"/>
  <c r="X112" i="9"/>
  <c r="DT35" i="5" s="1"/>
  <c r="Z89" i="9"/>
  <c r="DV12" i="5" s="1"/>
  <c r="Z108" i="9"/>
  <c r="DV31" i="5" s="1"/>
  <c r="Z97" i="9"/>
  <c r="DV20" i="5" s="1"/>
  <c r="W117" i="9"/>
  <c r="DS40" i="5" s="1"/>
  <c r="W127" i="9"/>
  <c r="DS50" i="5" s="1"/>
  <c r="W81" i="9"/>
  <c r="W83" i="9"/>
  <c r="DS6" i="5" s="1"/>
  <c r="W82" i="9"/>
  <c r="DS5" i="5" s="1"/>
  <c r="W84" i="9"/>
  <c r="DS7" i="5" s="1"/>
  <c r="W99" i="9"/>
  <c r="DS22" i="5" s="1"/>
  <c r="W100" i="9"/>
  <c r="DS23" i="5" s="1"/>
  <c r="W123" i="9"/>
  <c r="DS46" i="5" s="1"/>
  <c r="W119" i="9"/>
  <c r="DS42" i="5" s="1"/>
  <c r="W121" i="9"/>
  <c r="DS44" i="5" s="1"/>
  <c r="W118" i="9"/>
  <c r="DS41" i="5" s="1"/>
  <c r="W110" i="9"/>
  <c r="DS33" i="5" s="1"/>
  <c r="W120" i="9"/>
  <c r="DS43" i="5" s="1"/>
  <c r="W91" i="9"/>
  <c r="DS14" i="5" s="1"/>
  <c r="W125" i="9"/>
  <c r="DS48" i="5" s="1"/>
  <c r="AA95" i="9"/>
  <c r="DW18" i="5" s="1"/>
  <c r="AA116" i="9"/>
  <c r="DW39" i="5" s="1"/>
  <c r="X27" i="6"/>
  <c r="X88" i="9"/>
  <c r="DT11" i="5" s="1"/>
  <c r="X96" i="9"/>
  <c r="DT19" i="5" s="1"/>
  <c r="X107" i="9"/>
  <c r="DT30" i="5" s="1"/>
  <c r="AH104" i="9"/>
  <c r="ED27" i="5" s="1"/>
  <c r="AH93" i="9"/>
  <c r="ED16" i="5" s="1"/>
  <c r="AH114" i="9"/>
  <c r="ED37" i="5" s="1"/>
  <c r="AD97" i="9"/>
  <c r="DZ20" i="5" s="1"/>
  <c r="AD89" i="9"/>
  <c r="DZ12" i="5" s="1"/>
  <c r="AD108" i="9"/>
  <c r="DZ31" i="5" s="1"/>
  <c r="X114" i="9"/>
  <c r="DT37" i="5" s="1"/>
  <c r="X104" i="9"/>
  <c r="DT27" i="5" s="1"/>
  <c r="X93" i="9"/>
  <c r="DT16" i="5" s="1"/>
  <c r="AE98" i="9"/>
  <c r="EA21" i="5" s="1"/>
  <c r="AE90" i="9"/>
  <c r="EA13" i="5" s="1"/>
  <c r="AE109" i="9"/>
  <c r="EA32" i="5" s="1"/>
  <c r="AE85" i="9"/>
  <c r="EA8" i="5" s="1"/>
  <c r="AE124" i="9"/>
  <c r="EA47" i="5" s="1"/>
  <c r="AD102" i="3"/>
  <c r="DY19" i="8" s="1"/>
  <c r="AD113" i="3"/>
  <c r="DY30" i="8" s="1"/>
  <c r="AD136" i="3"/>
  <c r="DY53" i="8" s="1"/>
  <c r="AD89" i="3"/>
  <c r="DY6" i="8" s="1"/>
  <c r="BJ59" i="3"/>
  <c r="BJ60" i="3"/>
  <c r="BJ57" i="3"/>
  <c r="BJ58" i="3"/>
  <c r="BN24" i="3"/>
  <c r="AH121" i="3"/>
  <c r="EC38" i="8" s="1"/>
  <c r="AH110" i="3"/>
  <c r="EC27" i="8" s="1"/>
  <c r="AH134" i="3"/>
  <c r="EC51" i="8" s="1"/>
  <c r="AH98" i="3"/>
  <c r="EC15" i="8" s="1"/>
  <c r="BN22" i="3"/>
  <c r="BN23" i="3"/>
  <c r="BN21" i="3"/>
  <c r="BG27" i="3"/>
  <c r="AA125" i="3"/>
  <c r="DV42" i="8" s="1"/>
  <c r="BG25" i="3"/>
  <c r="AA117" i="3"/>
  <c r="DV34" i="8" s="1"/>
  <c r="AA106" i="3"/>
  <c r="DV23" i="8" s="1"/>
  <c r="AA140" i="3"/>
  <c r="DV57" i="8" s="1"/>
  <c r="BG28" i="3"/>
  <c r="BG26" i="3"/>
  <c r="W114" i="3"/>
  <c r="DR31" i="8" s="1"/>
  <c r="W103" i="3"/>
  <c r="DR20" i="8" s="1"/>
  <c r="W137" i="3"/>
  <c r="DR54" i="8" s="1"/>
  <c r="BC55" i="3"/>
  <c r="BC54" i="3"/>
  <c r="BC56" i="3"/>
  <c r="AF110" i="3"/>
  <c r="EA27" i="8" s="1"/>
  <c r="AF121" i="3"/>
  <c r="EA38" i="8" s="1"/>
  <c r="AF134" i="3"/>
  <c r="EA51" i="8" s="1"/>
  <c r="AF98" i="3"/>
  <c r="EA15" i="8" s="1"/>
  <c r="BL21" i="3"/>
  <c r="BL22" i="3"/>
  <c r="BL23" i="3"/>
  <c r="BL24" i="3"/>
  <c r="BE61" i="3"/>
  <c r="Y127" i="3"/>
  <c r="DT44" i="8" s="1"/>
  <c r="Y119" i="3"/>
  <c r="DT36" i="8" s="1"/>
  <c r="BE64" i="3"/>
  <c r="Y142" i="3"/>
  <c r="DT59" i="8" s="1"/>
  <c r="BE63" i="3"/>
  <c r="BE62" i="3"/>
  <c r="BB6" i="3"/>
  <c r="V93" i="3"/>
  <c r="DQ10" i="8" s="1"/>
  <c r="V141" i="3"/>
  <c r="DQ58" i="8" s="1"/>
  <c r="BB7" i="3"/>
  <c r="BB8" i="3"/>
  <c r="BB3" i="3"/>
  <c r="V108" i="3"/>
  <c r="DQ25" i="8" s="1"/>
  <c r="V107" i="3"/>
  <c r="DQ24" i="8" s="1"/>
  <c r="BB4" i="3"/>
  <c r="V90" i="3"/>
  <c r="DQ7" i="8" s="1"/>
  <c r="V126" i="3"/>
  <c r="DQ43" i="8" s="1"/>
  <c r="V118" i="3"/>
  <c r="DQ35" i="8" s="1"/>
  <c r="BB5" i="3"/>
  <c r="AE103" i="3"/>
  <c r="DZ20" i="8" s="1"/>
  <c r="AE114" i="3"/>
  <c r="DZ31" i="8" s="1"/>
  <c r="AE137" i="3"/>
  <c r="DZ54" i="8" s="1"/>
  <c r="BK56" i="3"/>
  <c r="BK54" i="3"/>
  <c r="BK55" i="3"/>
  <c r="N127" i="3"/>
  <c r="DI44" i="8" s="1"/>
  <c r="N119" i="3"/>
  <c r="DI36" i="8" s="1"/>
  <c r="N142" i="3"/>
  <c r="DI59" i="8" s="1"/>
  <c r="O111" i="9"/>
  <c r="DK34" i="5" s="1"/>
  <c r="O101" i="9"/>
  <c r="DK24" i="5" s="1"/>
  <c r="O86" i="9"/>
  <c r="DK9" i="5" s="1"/>
  <c r="S111" i="3"/>
  <c r="DN28" i="8" s="1"/>
  <c r="S99" i="3"/>
  <c r="DN16" i="8" s="1"/>
  <c r="S135" i="3"/>
  <c r="DN52" i="8" s="1"/>
  <c r="S122" i="3"/>
  <c r="DN39" i="8" s="1"/>
  <c r="E110" i="9"/>
  <c r="E123" i="9"/>
  <c r="E91" i="9"/>
  <c r="DA14" i="5" s="1"/>
  <c r="E127" i="9"/>
  <c r="DA50" i="5" s="1"/>
  <c r="E125" i="9"/>
  <c r="E120" i="9"/>
  <c r="DA43" i="5" s="1"/>
  <c r="E119" i="9"/>
  <c r="DA42" i="5" s="1"/>
  <c r="E100" i="9"/>
  <c r="E118" i="9"/>
  <c r="DA41" i="5" s="1"/>
  <c r="E99" i="9"/>
  <c r="DA22" i="5" s="1"/>
  <c r="E117" i="9"/>
  <c r="DA40" i="5" s="1"/>
  <c r="E121" i="9"/>
  <c r="E81" i="9"/>
  <c r="DA4" i="5" s="1"/>
  <c r="E82" i="9"/>
  <c r="DA5" i="5" s="1"/>
  <c r="E84" i="9"/>
  <c r="DA7" i="5" s="1"/>
  <c r="E83" i="9"/>
  <c r="DA6" i="5" s="1"/>
  <c r="T93" i="3"/>
  <c r="DO10" i="8" s="1"/>
  <c r="T118" i="3"/>
  <c r="DO35" i="8" s="1"/>
  <c r="T90" i="3"/>
  <c r="DO7" i="8" s="1"/>
  <c r="T126" i="3"/>
  <c r="DO43" i="8" s="1"/>
  <c r="T108" i="3"/>
  <c r="DO25" i="8" s="1"/>
  <c r="T141" i="3"/>
  <c r="DO58" i="8" s="1"/>
  <c r="T107" i="3"/>
  <c r="DO24" i="8" s="1"/>
  <c r="R133" i="3"/>
  <c r="DM50" i="8" s="1"/>
  <c r="R120" i="3"/>
  <c r="DM37" i="8" s="1"/>
  <c r="R97" i="3"/>
  <c r="DM14" i="8" s="1"/>
  <c r="R109" i="3"/>
  <c r="DM26" i="8" s="1"/>
  <c r="Q96" i="9"/>
  <c r="Q107" i="9"/>
  <c r="DM30" i="5" s="1"/>
  <c r="Q88" i="9"/>
  <c r="DM11" i="5" s="1"/>
  <c r="M118" i="3"/>
  <c r="DH35" i="8" s="1"/>
  <c r="M141" i="3"/>
  <c r="DH58" i="8" s="1"/>
  <c r="M90" i="3"/>
  <c r="DH7" i="8" s="1"/>
  <c r="M93" i="3"/>
  <c r="DH10" i="8" s="1"/>
  <c r="M126" i="3"/>
  <c r="DH43" i="8" s="1"/>
  <c r="M108" i="3"/>
  <c r="DH25" i="8" s="1"/>
  <c r="M107" i="3"/>
  <c r="DH24" i="8" s="1"/>
  <c r="F134" i="3"/>
  <c r="DA51" i="8" s="1"/>
  <c r="F121" i="3"/>
  <c r="DA38" i="8" s="1"/>
  <c r="F110" i="3"/>
  <c r="DA27" i="8" s="1"/>
  <c r="F98" i="3"/>
  <c r="DA15" i="8" s="1"/>
  <c r="G114" i="3"/>
  <c r="DB31" i="8" s="1"/>
  <c r="G103" i="3"/>
  <c r="DB20" i="8" s="1"/>
  <c r="G137" i="3"/>
  <c r="DB54" i="8" s="1"/>
  <c r="G117" i="3"/>
  <c r="DB34" i="8" s="1"/>
  <c r="G125" i="3"/>
  <c r="DB42" i="8" s="1"/>
  <c r="G106" i="3"/>
  <c r="DB23" i="8" s="1"/>
  <c r="G140" i="3"/>
  <c r="DB57" i="8" s="1"/>
  <c r="G99" i="3"/>
  <c r="DB16" i="8" s="1"/>
  <c r="G135" i="3"/>
  <c r="DB52" i="8" s="1"/>
  <c r="G122" i="3"/>
  <c r="DB39" i="8" s="1"/>
  <c r="G111" i="3"/>
  <c r="DB28" i="8" s="1"/>
  <c r="N109" i="3"/>
  <c r="DI26" i="8" s="1"/>
  <c r="N133" i="3"/>
  <c r="DI50" i="8" s="1"/>
  <c r="N120" i="3"/>
  <c r="DI37" i="8" s="1"/>
  <c r="N97" i="3"/>
  <c r="DI14" i="8" s="1"/>
  <c r="N92" i="3"/>
  <c r="DI9" i="8" s="1"/>
  <c r="N112" i="3"/>
  <c r="DI29" i="8" s="1"/>
  <c r="N123" i="3"/>
  <c r="DI40" i="8" s="1"/>
  <c r="N95" i="3"/>
  <c r="DI12" i="8" s="1"/>
  <c r="N94" i="3"/>
  <c r="DI11" i="8" s="1"/>
  <c r="N144" i="3"/>
  <c r="DI61" i="8" s="1"/>
  <c r="N91" i="3"/>
  <c r="DI8" i="8" s="1"/>
  <c r="N96" i="3"/>
  <c r="DI13" i="8" s="1"/>
  <c r="N130" i="3"/>
  <c r="DI47" i="8" s="1"/>
  <c r="N87" i="3"/>
  <c r="DI4" i="8" s="1"/>
  <c r="N88" i="3"/>
  <c r="DI5" i="8" s="1"/>
  <c r="N129" i="3"/>
  <c r="DI46" i="8" s="1"/>
  <c r="N128" i="3"/>
  <c r="DI45" i="8" s="1"/>
  <c r="N100" i="3"/>
  <c r="DI17" i="8" s="1"/>
  <c r="N143" i="3"/>
  <c r="DI60" i="8" s="1"/>
  <c r="N101" i="3"/>
  <c r="DI18" i="8" s="1"/>
  <c r="N131" i="3"/>
  <c r="DI48" i="8" s="1"/>
  <c r="M123" i="3"/>
  <c r="DH40" i="8" s="1"/>
  <c r="M91" i="3"/>
  <c r="DH8" i="8" s="1"/>
  <c r="M95" i="3"/>
  <c r="DH12" i="8" s="1"/>
  <c r="M96" i="3"/>
  <c r="DH13" i="8" s="1"/>
  <c r="M87" i="3"/>
  <c r="DH4" i="8" s="1"/>
  <c r="M112" i="3"/>
  <c r="DH29" i="8" s="1"/>
  <c r="M100" i="3"/>
  <c r="DH17" i="8" s="1"/>
  <c r="M88" i="3"/>
  <c r="DH5" i="8" s="1"/>
  <c r="M94" i="3"/>
  <c r="DH11" i="8" s="1"/>
  <c r="M92" i="3"/>
  <c r="DH9" i="8" s="1"/>
  <c r="M130" i="3"/>
  <c r="DH47" i="8" s="1"/>
  <c r="M129" i="3"/>
  <c r="DH46" i="8" s="1"/>
  <c r="M101" i="3"/>
  <c r="DH18" i="8" s="1"/>
  <c r="M128" i="3"/>
  <c r="DH45" i="8" s="1"/>
  <c r="M144" i="3"/>
  <c r="DH61" i="8" s="1"/>
  <c r="M143" i="3"/>
  <c r="DH60" i="8" s="1"/>
  <c r="M131" i="3"/>
  <c r="DH48" i="8" s="1"/>
  <c r="I109" i="9"/>
  <c r="DE32" i="5" s="1"/>
  <c r="I98" i="9"/>
  <c r="I90" i="9"/>
  <c r="DE13" i="5" s="1"/>
  <c r="I85" i="9"/>
  <c r="DE8" i="5" s="1"/>
  <c r="I124" i="9"/>
  <c r="DE47" i="5" s="1"/>
  <c r="R93" i="9"/>
  <c r="DN16" i="5" s="1"/>
  <c r="R114" i="9"/>
  <c r="R104" i="9"/>
  <c r="DN27" i="5" s="1"/>
  <c r="P126" i="9"/>
  <c r="P94" i="9"/>
  <c r="DL17" i="5" s="1"/>
  <c r="P87" i="9"/>
  <c r="P115" i="9"/>
  <c r="P106" i="9"/>
  <c r="DL29" i="5" s="1"/>
  <c r="P105" i="9"/>
  <c r="F112" i="9"/>
  <c r="F102" i="9"/>
  <c r="DB25" i="5" s="1"/>
  <c r="O107" i="9"/>
  <c r="DK30" i="5" s="1"/>
  <c r="O96" i="9"/>
  <c r="DK19" i="5" s="1"/>
  <c r="O88" i="9"/>
  <c r="DK11" i="5" s="1"/>
  <c r="R86" i="9"/>
  <c r="R111" i="9"/>
  <c r="DN34" i="5" s="1"/>
  <c r="R101" i="9"/>
  <c r="DN24" i="5" s="1"/>
  <c r="I113" i="9"/>
  <c r="I92" i="9"/>
  <c r="I103" i="9"/>
  <c r="DE26" i="5" s="1"/>
  <c r="I122" i="9"/>
  <c r="S108" i="9"/>
  <c r="S89" i="9"/>
  <c r="S97" i="9"/>
  <c r="G127" i="9"/>
  <c r="DC50" i="5" s="1"/>
  <c r="G110" i="9"/>
  <c r="G125" i="9"/>
  <c r="DC48" i="5" s="1"/>
  <c r="G91" i="9"/>
  <c r="G82" i="9"/>
  <c r="DC5" i="5" s="1"/>
  <c r="G84" i="9"/>
  <c r="DC7" i="5" s="1"/>
  <c r="G121" i="9"/>
  <c r="G120" i="9"/>
  <c r="G99" i="9"/>
  <c r="DC22" i="5" s="1"/>
  <c r="G119" i="9"/>
  <c r="G100" i="9"/>
  <c r="DC23" i="5" s="1"/>
  <c r="G118" i="9"/>
  <c r="DC41" i="5" s="1"/>
  <c r="G117" i="9"/>
  <c r="G123" i="9"/>
  <c r="G81" i="9"/>
  <c r="DC4" i="5" s="1"/>
  <c r="G83" i="9"/>
  <c r="DC6" i="5" s="1"/>
  <c r="L116" i="9"/>
  <c r="DH39" i="5" s="1"/>
  <c r="L95" i="9"/>
  <c r="T136" i="3"/>
  <c r="DO53" i="8" s="1"/>
  <c r="T89" i="3"/>
  <c r="DO6" i="8" s="1"/>
  <c r="T102" i="3"/>
  <c r="DO19" i="8" s="1"/>
  <c r="T113" i="3"/>
  <c r="DO30" i="8" s="1"/>
  <c r="T125" i="3"/>
  <c r="DO42" i="8" s="1"/>
  <c r="T117" i="3"/>
  <c r="DO34" i="8" s="1"/>
  <c r="T106" i="3"/>
  <c r="DO23" i="8" s="1"/>
  <c r="T140" i="3"/>
  <c r="DO57" i="8" s="1"/>
  <c r="U109" i="9"/>
  <c r="DQ32" i="5" s="1"/>
  <c r="U85" i="9"/>
  <c r="DQ8" i="5" s="1"/>
  <c r="U98" i="9"/>
  <c r="DQ21" i="5" s="1"/>
  <c r="U124" i="9"/>
  <c r="DQ47" i="5" s="1"/>
  <c r="U90" i="9"/>
  <c r="DQ13" i="5" s="1"/>
  <c r="T93" i="9"/>
  <c r="DP16" i="5" s="1"/>
  <c r="T114" i="9"/>
  <c r="DP37" i="5" s="1"/>
  <c r="T104" i="9"/>
  <c r="DP27" i="5" s="1"/>
  <c r="V111" i="9"/>
  <c r="DR34" i="5" s="1"/>
  <c r="V101" i="9"/>
  <c r="DR24" i="5" s="1"/>
  <c r="V86" i="9"/>
  <c r="DR9" i="5" s="1"/>
  <c r="X108" i="9"/>
  <c r="DT31" i="5" s="1"/>
  <c r="X97" i="9"/>
  <c r="DT20" i="5" s="1"/>
  <c r="X89" i="9"/>
  <c r="DT12" i="5" s="1"/>
  <c r="AB91" i="9"/>
  <c r="DX14" i="5" s="1"/>
  <c r="AB82" i="9"/>
  <c r="DX5" i="5" s="1"/>
  <c r="AB123" i="9"/>
  <c r="DX46" i="5" s="1"/>
  <c r="AB121" i="9"/>
  <c r="DX44" i="5" s="1"/>
  <c r="AB120" i="9"/>
  <c r="DX43" i="5" s="1"/>
  <c r="AB110" i="9"/>
  <c r="DX33" i="5" s="1"/>
  <c r="AB119" i="9"/>
  <c r="DX42" i="5" s="1"/>
  <c r="AB118" i="9"/>
  <c r="DX41" i="5" s="1"/>
  <c r="AB117" i="9"/>
  <c r="DX40" i="5" s="1"/>
  <c r="AB81" i="9"/>
  <c r="AB100" i="9"/>
  <c r="DX23" i="5" s="1"/>
  <c r="AB99" i="9"/>
  <c r="DX22" i="5" s="1"/>
  <c r="AB125" i="9"/>
  <c r="DX48" i="5" s="1"/>
  <c r="AB127" i="9"/>
  <c r="DX50" i="5" s="1"/>
  <c r="AB84" i="9"/>
  <c r="DX7" i="5" s="1"/>
  <c r="AB83" i="9"/>
  <c r="DX6" i="5" s="1"/>
  <c r="AE83" i="9"/>
  <c r="EA6" i="5" s="1"/>
  <c r="AE82" i="9"/>
  <c r="EA5" i="5" s="1"/>
  <c r="AE100" i="9"/>
  <c r="EA23" i="5" s="1"/>
  <c r="AE99" i="9"/>
  <c r="EA22" i="5" s="1"/>
  <c r="AE117" i="9"/>
  <c r="EA40" i="5" s="1"/>
  <c r="AE127" i="9"/>
  <c r="EA50" i="5" s="1"/>
  <c r="AE121" i="9"/>
  <c r="EA44" i="5" s="1"/>
  <c r="AE120" i="9"/>
  <c r="EA43" i="5" s="1"/>
  <c r="AE125" i="9"/>
  <c r="EA48" i="5" s="1"/>
  <c r="AE119" i="9"/>
  <c r="EA42" i="5" s="1"/>
  <c r="AE118" i="9"/>
  <c r="EA41" i="5" s="1"/>
  <c r="AE91" i="9"/>
  <c r="EA14" i="5" s="1"/>
  <c r="AE123" i="9"/>
  <c r="EA46" i="5" s="1"/>
  <c r="AE81" i="9"/>
  <c r="AE110" i="9"/>
  <c r="EA33" i="5" s="1"/>
  <c r="AE84" i="9"/>
  <c r="EA7" i="5" s="1"/>
  <c r="AA89" i="9"/>
  <c r="DW12" i="5" s="1"/>
  <c r="AA108" i="9"/>
  <c r="DW31" i="5" s="1"/>
  <c r="AA97" i="9"/>
  <c r="DW20" i="5" s="1"/>
  <c r="AB113" i="9"/>
  <c r="DX36" i="5" s="1"/>
  <c r="AB122" i="9"/>
  <c r="DX45" i="5" s="1"/>
  <c r="AB103" i="9"/>
  <c r="DX26" i="5" s="1"/>
  <c r="AB92" i="9"/>
  <c r="DX15" i="5" s="1"/>
  <c r="W114" i="9"/>
  <c r="DS37" i="5" s="1"/>
  <c r="W104" i="9"/>
  <c r="DS27" i="5" s="1"/>
  <c r="W93" i="9"/>
  <c r="DS16" i="5" s="1"/>
  <c r="AG137" i="3"/>
  <c r="EB54" i="8" s="1"/>
  <c r="AG114" i="3"/>
  <c r="EB31" i="8" s="1"/>
  <c r="AG103" i="3"/>
  <c r="EB20" i="8" s="1"/>
  <c r="BM55" i="3"/>
  <c r="BM54" i="3"/>
  <c r="BM56" i="3"/>
  <c r="W27" i="1"/>
  <c r="W97" i="3"/>
  <c r="DR14" i="8" s="1"/>
  <c r="BC33" i="3"/>
  <c r="W133" i="3"/>
  <c r="DR50" i="8" s="1"/>
  <c r="W109" i="3"/>
  <c r="DR26" i="8" s="1"/>
  <c r="W120" i="3"/>
  <c r="DR37" i="8" s="1"/>
  <c r="BC36" i="3"/>
  <c r="BC34" i="3"/>
  <c r="BC35" i="3"/>
  <c r="BJ7" i="3"/>
  <c r="AD126" i="3"/>
  <c r="DY43" i="8" s="1"/>
  <c r="AD141" i="3"/>
  <c r="DY58" i="8" s="1"/>
  <c r="AD118" i="3"/>
  <c r="DY35" i="8" s="1"/>
  <c r="BJ3" i="3"/>
  <c r="AD93" i="3"/>
  <c r="DY10" i="8" s="1"/>
  <c r="AD108" i="3"/>
  <c r="DY25" i="8" s="1"/>
  <c r="AD107" i="3"/>
  <c r="DY24" i="8" s="1"/>
  <c r="AD90" i="3"/>
  <c r="DY7" i="8" s="1"/>
  <c r="BJ5" i="3"/>
  <c r="BJ4" i="3"/>
  <c r="BJ6" i="3"/>
  <c r="BJ8" i="3"/>
  <c r="BF20" i="3"/>
  <c r="Z132" i="3"/>
  <c r="DU49" i="8" s="1"/>
  <c r="Z105" i="3"/>
  <c r="DU22" i="8" s="1"/>
  <c r="BF16" i="3"/>
  <c r="Z139" i="3"/>
  <c r="DU56" i="8" s="1"/>
  <c r="Z124" i="3"/>
  <c r="DU41" i="8" s="1"/>
  <c r="Z116" i="3"/>
  <c r="DU33" i="8" s="1"/>
  <c r="BF18" i="3"/>
  <c r="BF19" i="3"/>
  <c r="BF17" i="3"/>
  <c r="V89" i="3"/>
  <c r="DQ6" i="8" s="1"/>
  <c r="V113" i="3"/>
  <c r="DQ30" i="8" s="1"/>
  <c r="V102" i="3"/>
  <c r="DQ19" i="8" s="1"/>
  <c r="V136" i="3"/>
  <c r="DQ53" i="8" s="1"/>
  <c r="BB58" i="3"/>
  <c r="BB57" i="3"/>
  <c r="BB60" i="3"/>
  <c r="BB59" i="3"/>
  <c r="BC10" i="3"/>
  <c r="W122" i="3"/>
  <c r="DR39" i="8" s="1"/>
  <c r="W99" i="3"/>
  <c r="DR16" i="8" s="1"/>
  <c r="W135" i="3"/>
  <c r="DR52" i="8" s="1"/>
  <c r="W111" i="3"/>
  <c r="DR28" i="8" s="1"/>
  <c r="BC11" i="3"/>
  <c r="BC9" i="3"/>
  <c r="BC12" i="3"/>
  <c r="BE9" i="3"/>
  <c r="Y99" i="3"/>
  <c r="DT16" i="8" s="1"/>
  <c r="BE10" i="3"/>
  <c r="Y122" i="3"/>
  <c r="DT39" i="8" s="1"/>
  <c r="BE11" i="3"/>
  <c r="Y135" i="3"/>
  <c r="DT52" i="8" s="1"/>
  <c r="Y111" i="3"/>
  <c r="DT28" i="8" s="1"/>
  <c r="BE12" i="3"/>
  <c r="BN19" i="3"/>
  <c r="BN17" i="3"/>
  <c r="AH116" i="3"/>
  <c r="EC33" i="8" s="1"/>
  <c r="AH139" i="3"/>
  <c r="EC56" i="8" s="1"/>
  <c r="AH132" i="3"/>
  <c r="EC49" i="8" s="1"/>
  <c r="AH105" i="3"/>
  <c r="EC22" i="8" s="1"/>
  <c r="AH124" i="3"/>
  <c r="EC41" i="8" s="1"/>
  <c r="BN18" i="3"/>
  <c r="BN16" i="3"/>
  <c r="BN20" i="3"/>
  <c r="J104" i="9"/>
  <c r="DF27" i="5" s="1"/>
  <c r="J114" i="9"/>
  <c r="DF37" i="5" s="1"/>
  <c r="J93" i="9"/>
  <c r="DF16" i="5" s="1"/>
  <c r="K106" i="3"/>
  <c r="DF23" i="8" s="1"/>
  <c r="K140" i="3"/>
  <c r="DF57" i="8" s="1"/>
  <c r="K117" i="3"/>
  <c r="DF34" i="8" s="1"/>
  <c r="K125" i="3"/>
  <c r="DF42" i="8" s="1"/>
  <c r="E114" i="9"/>
  <c r="E104" i="9"/>
  <c r="DA27" i="5" s="1"/>
  <c r="E93" i="9"/>
  <c r="DA16" i="5" s="1"/>
  <c r="AH27" i="6"/>
  <c r="AH96" i="9"/>
  <c r="ED19" i="5" s="1"/>
  <c r="AH107" i="9"/>
  <c r="ED30" i="5" s="1"/>
  <c r="AH88" i="9"/>
  <c r="ED11" i="5" s="1"/>
  <c r="O118" i="3"/>
  <c r="DJ35" i="8" s="1"/>
  <c r="O141" i="3"/>
  <c r="DJ58" i="8" s="1"/>
  <c r="O126" i="3"/>
  <c r="DJ43" i="8" s="1"/>
  <c r="O93" i="3"/>
  <c r="DJ10" i="8" s="1"/>
  <c r="O90" i="3"/>
  <c r="DJ7" i="8" s="1"/>
  <c r="O108" i="3"/>
  <c r="DJ25" i="8" s="1"/>
  <c r="O107" i="3"/>
  <c r="DJ24" i="8" s="1"/>
  <c r="H126" i="9"/>
  <c r="DD49" i="5" s="1"/>
  <c r="H87" i="9"/>
  <c r="H115" i="9"/>
  <c r="H94" i="9"/>
  <c r="DD17" i="5" s="1"/>
  <c r="H106" i="9"/>
  <c r="H105" i="9"/>
  <c r="DD28" i="5" s="1"/>
  <c r="U122" i="9"/>
  <c r="DQ45" i="5" s="1"/>
  <c r="U103" i="9"/>
  <c r="DQ26" i="5" s="1"/>
  <c r="U92" i="9"/>
  <c r="DQ15" i="5" s="1"/>
  <c r="U113" i="9"/>
  <c r="DQ36" i="5" s="1"/>
  <c r="AC27" i="6"/>
  <c r="AC107" i="9"/>
  <c r="DY30" i="5" s="1"/>
  <c r="AC96" i="9"/>
  <c r="DY19" i="5" s="1"/>
  <c r="AC88" i="9"/>
  <c r="DY11" i="5" s="1"/>
  <c r="K102" i="3"/>
  <c r="DF19" i="8" s="1"/>
  <c r="K113" i="3"/>
  <c r="DF30" i="8" s="1"/>
  <c r="K136" i="3"/>
  <c r="DF53" i="8" s="1"/>
  <c r="K89" i="3"/>
  <c r="DF6" i="8" s="1"/>
  <c r="L140" i="3"/>
  <c r="DG57" i="8" s="1"/>
  <c r="L106" i="3"/>
  <c r="DG23" i="8" s="1"/>
  <c r="L117" i="3"/>
  <c r="DG34" i="8" s="1"/>
  <c r="L125" i="3"/>
  <c r="DG42" i="8" s="1"/>
  <c r="E109" i="3"/>
  <c r="CZ26" i="8" s="1"/>
  <c r="E133" i="3"/>
  <c r="CZ50" i="8" s="1"/>
  <c r="E120" i="3"/>
  <c r="CZ37" i="8" s="1"/>
  <c r="E97" i="3"/>
  <c r="CZ14" i="8" s="1"/>
  <c r="F102" i="3"/>
  <c r="DA19" i="8" s="1"/>
  <c r="F89" i="3"/>
  <c r="DA6" i="8" s="1"/>
  <c r="F113" i="3"/>
  <c r="DA30" i="8" s="1"/>
  <c r="F136" i="3"/>
  <c r="DA53" i="8" s="1"/>
  <c r="F139" i="3"/>
  <c r="DA56" i="8" s="1"/>
  <c r="F105" i="3"/>
  <c r="DA22" i="8" s="1"/>
  <c r="F124" i="3"/>
  <c r="DA41" i="8" s="1"/>
  <c r="F116" i="3"/>
  <c r="DA33" i="8" s="1"/>
  <c r="F132" i="3"/>
  <c r="DA49" i="8" s="1"/>
  <c r="F93" i="3"/>
  <c r="DA10" i="8" s="1"/>
  <c r="F141" i="3"/>
  <c r="DA58" i="8" s="1"/>
  <c r="F118" i="3"/>
  <c r="DA35" i="8" s="1"/>
  <c r="F126" i="3"/>
  <c r="DA43" i="8" s="1"/>
  <c r="F90" i="3"/>
  <c r="DA7" i="8" s="1"/>
  <c r="F108" i="3"/>
  <c r="DA25" i="8" s="1"/>
  <c r="F107" i="3"/>
  <c r="DA24" i="8" s="1"/>
  <c r="F127" i="3"/>
  <c r="DA44" i="8" s="1"/>
  <c r="F119" i="3"/>
  <c r="DA36" i="8" s="1"/>
  <c r="F142" i="3"/>
  <c r="DA59" i="8" s="1"/>
  <c r="M110" i="3"/>
  <c r="DH27" i="8" s="1"/>
  <c r="M134" i="3"/>
  <c r="DH51" i="8" s="1"/>
  <c r="M121" i="3"/>
  <c r="DH38" i="8" s="1"/>
  <c r="M98" i="3"/>
  <c r="DH15" i="8" s="1"/>
  <c r="L110" i="3"/>
  <c r="DG27" i="8" s="1"/>
  <c r="L134" i="3"/>
  <c r="DG51" i="8" s="1"/>
  <c r="L98" i="3"/>
  <c r="DG15" i="8" s="1"/>
  <c r="L121" i="3"/>
  <c r="DG38" i="8" s="1"/>
  <c r="E90" i="9"/>
  <c r="DA13" i="5" s="1"/>
  <c r="E109" i="9"/>
  <c r="DA32" i="5" s="1"/>
  <c r="E85" i="9"/>
  <c r="DA8" i="5" s="1"/>
  <c r="E98" i="9"/>
  <c r="DA21" i="5" s="1"/>
  <c r="E124" i="9"/>
  <c r="DA47" i="5" s="1"/>
  <c r="S93" i="9"/>
  <c r="S114" i="9"/>
  <c r="S104" i="9"/>
  <c r="L126" i="9"/>
  <c r="DH49" i="5" s="1"/>
  <c r="L94" i="9"/>
  <c r="L115" i="9"/>
  <c r="DH38" i="5" s="1"/>
  <c r="L87" i="9"/>
  <c r="L106" i="9"/>
  <c r="L105" i="9"/>
  <c r="DH28" i="5" s="1"/>
  <c r="S102" i="9"/>
  <c r="S112" i="9"/>
  <c r="DO35" i="5" s="1"/>
  <c r="P107" i="9"/>
  <c r="DL30" i="5" s="1"/>
  <c r="P88" i="9"/>
  <c r="DL11" i="5" s="1"/>
  <c r="P96" i="9"/>
  <c r="DL19" i="5" s="1"/>
  <c r="M111" i="9"/>
  <c r="DI34" i="5" s="1"/>
  <c r="M86" i="9"/>
  <c r="DI9" i="5" s="1"/>
  <c r="M101" i="9"/>
  <c r="P103" i="9"/>
  <c r="P122" i="9"/>
  <c r="P92" i="9"/>
  <c r="DL15" i="5" s="1"/>
  <c r="P113" i="9"/>
  <c r="DL36" i="5" s="1"/>
  <c r="F97" i="9"/>
  <c r="F108" i="9"/>
  <c r="F89" i="9"/>
  <c r="DB12" i="5" s="1"/>
  <c r="Q127" i="9"/>
  <c r="DM50" i="5" s="1"/>
  <c r="Q123" i="9"/>
  <c r="DM46" i="5" s="1"/>
  <c r="Q91" i="9"/>
  <c r="Q125" i="9"/>
  <c r="Q110" i="9"/>
  <c r="DM33" i="5" s="1"/>
  <c r="Q117" i="9"/>
  <c r="Q121" i="9"/>
  <c r="Q120" i="9"/>
  <c r="Q119" i="9"/>
  <c r="Q100" i="9"/>
  <c r="DM23" i="5" s="1"/>
  <c r="Q99" i="9"/>
  <c r="DM22" i="5" s="1"/>
  <c r="Q81" i="9"/>
  <c r="DM4" i="5" s="1"/>
  <c r="Q84" i="9"/>
  <c r="DM7" i="5" s="1"/>
  <c r="Q83" i="9"/>
  <c r="Q82" i="9"/>
  <c r="Q118" i="9"/>
  <c r="DM41" i="5" s="1"/>
  <c r="K116" i="9"/>
  <c r="K95" i="9"/>
  <c r="DG18" i="5" s="1"/>
  <c r="U134" i="3"/>
  <c r="DP51" i="8" s="1"/>
  <c r="U98" i="3"/>
  <c r="DP15" i="8" s="1"/>
  <c r="U121" i="3"/>
  <c r="DP38" i="8" s="1"/>
  <c r="U110" i="3"/>
  <c r="DP27" i="8" s="1"/>
  <c r="U86" i="9"/>
  <c r="DQ9" i="5" s="1"/>
  <c r="U101" i="9"/>
  <c r="DQ24" i="5" s="1"/>
  <c r="U111" i="9"/>
  <c r="DQ34" i="5" s="1"/>
  <c r="AZ3" i="3"/>
  <c r="AB111" i="9"/>
  <c r="DX34" i="5" s="1"/>
  <c r="AB101" i="9"/>
  <c r="DX24" i="5" s="1"/>
  <c r="AB86" i="9"/>
  <c r="DX9" i="5" s="1"/>
  <c r="AE89" i="9"/>
  <c r="EA12" i="5" s="1"/>
  <c r="AE97" i="9"/>
  <c r="EA20" i="5" s="1"/>
  <c r="AE108" i="9"/>
  <c r="EA31" i="5" s="1"/>
  <c r="V123" i="9"/>
  <c r="DR46" i="5" s="1"/>
  <c r="V82" i="9"/>
  <c r="DR5" i="5" s="1"/>
  <c r="V84" i="9"/>
  <c r="DR7" i="5" s="1"/>
  <c r="V83" i="9"/>
  <c r="DR6" i="5" s="1"/>
  <c r="V81" i="9"/>
  <c r="V91" i="9"/>
  <c r="DR14" i="5" s="1"/>
  <c r="V120" i="9"/>
  <c r="DR43" i="5" s="1"/>
  <c r="V127" i="9"/>
  <c r="DR50" i="5" s="1"/>
  <c r="V119" i="9"/>
  <c r="DR42" i="5" s="1"/>
  <c r="V118" i="9"/>
  <c r="DR41" i="5" s="1"/>
  <c r="V100" i="9"/>
  <c r="DR23" i="5" s="1"/>
  <c r="V117" i="9"/>
  <c r="DR40" i="5" s="1"/>
  <c r="V99" i="9"/>
  <c r="DR22" i="5" s="1"/>
  <c r="V121" i="9"/>
  <c r="DR44" i="5" s="1"/>
  <c r="V110" i="9"/>
  <c r="DR33" i="5" s="1"/>
  <c r="V125" i="9"/>
  <c r="DR48" i="5" s="1"/>
  <c r="AC93" i="9"/>
  <c r="DY16" i="5" s="1"/>
  <c r="AC104" i="9"/>
  <c r="DY27" i="5" s="1"/>
  <c r="AC114" i="9"/>
  <c r="DY37" i="5" s="1"/>
  <c r="AB89" i="9"/>
  <c r="DX12" i="5" s="1"/>
  <c r="AB97" i="9"/>
  <c r="DX20" i="5" s="1"/>
  <c r="AB108" i="9"/>
  <c r="DX31" i="5" s="1"/>
  <c r="AG98" i="9"/>
  <c r="EC21" i="5" s="1"/>
  <c r="AG109" i="9"/>
  <c r="EC32" i="5" s="1"/>
  <c r="AG124" i="9"/>
  <c r="EC47" i="5" s="1"/>
  <c r="AG85" i="9"/>
  <c r="EC8" i="5" s="1"/>
  <c r="AG90" i="9"/>
  <c r="EC13" i="5" s="1"/>
  <c r="AF104" i="9"/>
  <c r="EB27" i="5" s="1"/>
  <c r="AF114" i="9"/>
  <c r="EB37" i="5" s="1"/>
  <c r="AF93" i="9"/>
  <c r="EB16" i="5" s="1"/>
  <c r="BC26" i="3"/>
  <c r="W117" i="3"/>
  <c r="DR34" i="8" s="1"/>
  <c r="W125" i="3"/>
  <c r="DR42" i="8" s="1"/>
  <c r="W106" i="3"/>
  <c r="DR23" i="8" s="1"/>
  <c r="W140" i="3"/>
  <c r="DR57" i="8" s="1"/>
  <c r="BC27" i="3"/>
  <c r="BC28" i="3"/>
  <c r="BC25" i="3"/>
  <c r="BF22" i="3"/>
  <c r="Z98" i="3"/>
  <c r="DU15" i="8" s="1"/>
  <c r="BF24" i="3"/>
  <c r="Z121" i="3"/>
  <c r="DU38" i="8" s="1"/>
  <c r="Z134" i="3"/>
  <c r="DU51" i="8" s="1"/>
  <c r="Z110" i="3"/>
  <c r="DU27" i="8" s="1"/>
  <c r="BF23" i="3"/>
  <c r="BF21" i="3"/>
  <c r="AG99" i="3"/>
  <c r="EB16" i="8" s="1"/>
  <c r="AG122" i="3"/>
  <c r="EB39" i="8" s="1"/>
  <c r="AG135" i="3"/>
  <c r="EB52" i="8" s="1"/>
  <c r="AG111" i="3"/>
  <c r="EB28" i="8" s="1"/>
  <c r="BM10" i="3"/>
  <c r="BM12" i="3"/>
  <c r="BM11" i="3"/>
  <c r="BM9" i="3"/>
  <c r="BI26" i="3"/>
  <c r="BI28" i="3"/>
  <c r="AC117" i="3"/>
  <c r="DX34" i="8" s="1"/>
  <c r="AC125" i="3"/>
  <c r="DX42" i="8" s="1"/>
  <c r="AC106" i="3"/>
  <c r="DX23" i="8" s="1"/>
  <c r="AC140" i="3"/>
  <c r="DX57" i="8" s="1"/>
  <c r="BI27" i="3"/>
  <c r="BI25" i="3"/>
  <c r="Y103" i="3"/>
  <c r="DT20" i="8" s="1"/>
  <c r="Y114" i="3"/>
  <c r="DT31" i="8" s="1"/>
  <c r="Y137" i="3"/>
  <c r="DT54" i="8" s="1"/>
  <c r="BE56" i="3"/>
  <c r="BE54" i="3"/>
  <c r="BE55" i="3"/>
  <c r="AF27" i="1"/>
  <c r="AF97" i="3"/>
  <c r="EA14" i="8" s="1"/>
  <c r="BL33" i="3"/>
  <c r="AF120" i="3"/>
  <c r="EA37" i="8" s="1"/>
  <c r="AF133" i="3"/>
  <c r="EA50" i="8" s="1"/>
  <c r="AF109" i="3"/>
  <c r="EA26" i="8" s="1"/>
  <c r="BL36" i="3"/>
  <c r="BL35" i="3"/>
  <c r="BL34" i="3"/>
  <c r="AB142" i="3"/>
  <c r="DW59" i="8" s="1"/>
  <c r="AB127" i="3"/>
  <c r="DW44" i="8" s="1"/>
  <c r="BH61" i="3"/>
  <c r="AB119" i="3"/>
  <c r="DW36" i="8" s="1"/>
  <c r="BH62" i="3"/>
  <c r="BH64" i="3"/>
  <c r="BH63" i="3"/>
  <c r="X118" i="3"/>
  <c r="DS35" i="8" s="1"/>
  <c r="X141" i="3"/>
  <c r="DS58" i="8" s="1"/>
  <c r="BD5" i="3"/>
  <c r="BD8" i="3"/>
  <c r="BD4" i="3"/>
  <c r="BD3" i="3"/>
  <c r="X107" i="3"/>
  <c r="DS24" i="8" s="1"/>
  <c r="BD7" i="3"/>
  <c r="X93" i="3"/>
  <c r="DS10" i="8" s="1"/>
  <c r="X126" i="3"/>
  <c r="DS43" i="8" s="1"/>
  <c r="X108" i="3"/>
  <c r="DS25" i="8" s="1"/>
  <c r="X90" i="3"/>
  <c r="DS7" i="8" s="1"/>
  <c r="BD6" i="3"/>
  <c r="N132" i="3"/>
  <c r="DI49" i="8" s="1"/>
  <c r="N124" i="3"/>
  <c r="DI41" i="8" s="1"/>
  <c r="N105" i="3"/>
  <c r="DI22" i="8" s="1"/>
  <c r="N116" i="3"/>
  <c r="DI33" i="8" s="1"/>
  <c r="N139" i="3"/>
  <c r="DI56" i="8" s="1"/>
  <c r="P135" i="3"/>
  <c r="DK52" i="8" s="1"/>
  <c r="P99" i="3"/>
  <c r="DK16" i="8" s="1"/>
  <c r="P122" i="3"/>
  <c r="DK39" i="8" s="1"/>
  <c r="P111" i="3"/>
  <c r="DK28" i="8" s="1"/>
  <c r="Q117" i="3"/>
  <c r="DL34" i="8" s="1"/>
  <c r="Q106" i="3"/>
  <c r="DL23" i="8" s="1"/>
  <c r="Q140" i="3"/>
  <c r="DL57" i="8" s="1"/>
  <c r="Q125" i="3"/>
  <c r="DL42" i="8" s="1"/>
  <c r="AF113" i="9"/>
  <c r="EB36" i="5" s="1"/>
  <c r="AF122" i="9"/>
  <c r="EB45" i="5" s="1"/>
  <c r="AF92" i="9"/>
  <c r="EB15" i="5" s="1"/>
  <c r="AF103" i="9"/>
  <c r="EB26" i="5" s="1"/>
  <c r="H98" i="3"/>
  <c r="DC15" i="8" s="1"/>
  <c r="H134" i="3"/>
  <c r="DC51" i="8" s="1"/>
  <c r="H110" i="3"/>
  <c r="DC27" i="8" s="1"/>
  <c r="H121" i="3"/>
  <c r="DC38" i="8" s="1"/>
  <c r="U111" i="3"/>
  <c r="DP28" i="8" s="1"/>
  <c r="U135" i="3"/>
  <c r="DP52" i="8" s="1"/>
  <c r="U99" i="3"/>
  <c r="DP16" i="8" s="1"/>
  <c r="U122" i="3"/>
  <c r="DP39" i="8" s="1"/>
  <c r="V104" i="9"/>
  <c r="DR27" i="5" s="1"/>
  <c r="V93" i="9"/>
  <c r="DR16" i="5" s="1"/>
  <c r="V114" i="9"/>
  <c r="DR37" i="5" s="1"/>
  <c r="H89" i="3"/>
  <c r="DC6" i="8" s="1"/>
  <c r="H136" i="3"/>
  <c r="DC53" i="8" s="1"/>
  <c r="H102" i="3"/>
  <c r="DC19" i="8" s="1"/>
  <c r="H113" i="3"/>
  <c r="DC30" i="8" s="1"/>
  <c r="J92" i="3"/>
  <c r="DE9" i="8" s="1"/>
  <c r="J94" i="3"/>
  <c r="DE11" i="8" s="1"/>
  <c r="J112" i="3"/>
  <c r="DE29" i="8" s="1"/>
  <c r="J95" i="3"/>
  <c r="DE12" i="8" s="1"/>
  <c r="J96" i="3"/>
  <c r="DE13" i="8" s="1"/>
  <c r="J144" i="3"/>
  <c r="DE61" i="8" s="1"/>
  <c r="J123" i="3"/>
  <c r="DE40" i="8" s="1"/>
  <c r="J130" i="3"/>
  <c r="DE47" i="8" s="1"/>
  <c r="J129" i="3"/>
  <c r="DE46" i="8" s="1"/>
  <c r="J87" i="3"/>
  <c r="DE4" i="8" s="1"/>
  <c r="J128" i="3"/>
  <c r="DE45" i="8" s="1"/>
  <c r="J88" i="3"/>
  <c r="DE5" i="8" s="1"/>
  <c r="J91" i="3"/>
  <c r="DE8" i="8" s="1"/>
  <c r="J143" i="3"/>
  <c r="DE60" i="8" s="1"/>
  <c r="J101" i="3"/>
  <c r="DE18" i="8" s="1"/>
  <c r="J100" i="3"/>
  <c r="DE17" i="8" s="1"/>
  <c r="J131" i="3"/>
  <c r="DE48" i="8" s="1"/>
  <c r="K139" i="3"/>
  <c r="DF56" i="8" s="1"/>
  <c r="K105" i="3"/>
  <c r="DF22" i="8" s="1"/>
  <c r="K116" i="3"/>
  <c r="DF33" i="8" s="1"/>
  <c r="K124" i="3"/>
  <c r="DF41" i="8" s="1"/>
  <c r="K132" i="3"/>
  <c r="DF49" i="8" s="1"/>
  <c r="E94" i="3"/>
  <c r="CZ11" i="8" s="1"/>
  <c r="E96" i="3"/>
  <c r="CZ13" i="8" s="1"/>
  <c r="E101" i="3"/>
  <c r="CZ18" i="8" s="1"/>
  <c r="E95" i="3"/>
  <c r="CZ12" i="8" s="1"/>
  <c r="E123" i="3"/>
  <c r="CZ40" i="8" s="1"/>
  <c r="E112" i="3"/>
  <c r="CZ29" i="8" s="1"/>
  <c r="E128" i="3"/>
  <c r="CZ45" i="8" s="1"/>
  <c r="E130" i="3"/>
  <c r="CZ47" i="8" s="1"/>
  <c r="E87" i="3"/>
  <c r="E129" i="3"/>
  <c r="CZ46" i="8" s="1"/>
  <c r="E88" i="3"/>
  <c r="CZ5" i="8" s="1"/>
  <c r="E92" i="3"/>
  <c r="CZ9" i="8" s="1"/>
  <c r="E91" i="3"/>
  <c r="CZ8" i="8" s="1"/>
  <c r="E100" i="3"/>
  <c r="CZ17" i="8" s="1"/>
  <c r="E144" i="3"/>
  <c r="CZ61" i="8" s="1"/>
  <c r="E143" i="3"/>
  <c r="CZ60" i="8" s="1"/>
  <c r="E131" i="3"/>
  <c r="CZ48" i="8" s="1"/>
  <c r="E103" i="3"/>
  <c r="CZ20" i="8" s="1"/>
  <c r="E137" i="3"/>
  <c r="CZ54" i="8" s="1"/>
  <c r="E114" i="3"/>
  <c r="CZ31" i="8" s="1"/>
  <c r="E140" i="3"/>
  <c r="CZ57" i="8" s="1"/>
  <c r="E117" i="3"/>
  <c r="CZ34" i="8" s="1"/>
  <c r="E106" i="3"/>
  <c r="CZ23" i="8" s="1"/>
  <c r="E125" i="3"/>
  <c r="CZ42" i="8" s="1"/>
  <c r="E135" i="3"/>
  <c r="CZ52" i="8" s="1"/>
  <c r="E99" i="3"/>
  <c r="CZ16" i="8" s="1"/>
  <c r="E111" i="3"/>
  <c r="CZ28" i="8" s="1"/>
  <c r="E122" i="3"/>
  <c r="CZ39" i="8" s="1"/>
  <c r="L109" i="3"/>
  <c r="DG26" i="8" s="1"/>
  <c r="L133" i="3"/>
  <c r="DG50" i="8" s="1"/>
  <c r="L120" i="3"/>
  <c r="DG37" i="8" s="1"/>
  <c r="L97" i="3"/>
  <c r="DG14" i="8" s="1"/>
  <c r="K120" i="3"/>
  <c r="DF37" i="8" s="1"/>
  <c r="K97" i="3"/>
  <c r="DF14" i="8" s="1"/>
  <c r="K133" i="3"/>
  <c r="DF50" i="8" s="1"/>
  <c r="K109" i="3"/>
  <c r="DF26" i="8" s="1"/>
  <c r="Q124" i="9"/>
  <c r="Q109" i="9"/>
  <c r="Q98" i="9"/>
  <c r="DM21" i="5" s="1"/>
  <c r="Q90" i="9"/>
  <c r="Q85" i="9"/>
  <c r="DM8" i="5" s="1"/>
  <c r="O93" i="9"/>
  <c r="DK16" i="5" s="1"/>
  <c r="O104" i="9"/>
  <c r="O114" i="9"/>
  <c r="Q126" i="9"/>
  <c r="DM49" i="5" s="1"/>
  <c r="Q94" i="9"/>
  <c r="Q115" i="9"/>
  <c r="DM38" i="5" s="1"/>
  <c r="Q87" i="9"/>
  <c r="DM10" i="5" s="1"/>
  <c r="Q106" i="9"/>
  <c r="DM29" i="5" s="1"/>
  <c r="Q105" i="9"/>
  <c r="H102" i="9"/>
  <c r="DD25" i="5" s="1"/>
  <c r="H112" i="9"/>
  <c r="DD35" i="5" s="1"/>
  <c r="N107" i="9"/>
  <c r="DJ30" i="5" s="1"/>
  <c r="N88" i="9"/>
  <c r="DJ11" i="5" s="1"/>
  <c r="N96" i="9"/>
  <c r="P101" i="9"/>
  <c r="P86" i="9"/>
  <c r="DL9" i="5" s="1"/>
  <c r="P111" i="9"/>
  <c r="S103" i="9"/>
  <c r="DO26" i="5" s="1"/>
  <c r="S113" i="9"/>
  <c r="S92" i="9"/>
  <c r="S122" i="9"/>
  <c r="J89" i="9"/>
  <c r="DF12" i="5" s="1"/>
  <c r="J108" i="9"/>
  <c r="DF31" i="5" s="1"/>
  <c r="J97" i="9"/>
  <c r="J127" i="9"/>
  <c r="J125" i="9"/>
  <c r="J110" i="9"/>
  <c r="DF33" i="5" s="1"/>
  <c r="J123" i="9"/>
  <c r="DF46" i="5" s="1"/>
  <c r="J91" i="9"/>
  <c r="DF14" i="5" s="1"/>
  <c r="J121" i="9"/>
  <c r="J120" i="9"/>
  <c r="DF43" i="5" s="1"/>
  <c r="J100" i="9"/>
  <c r="J119" i="9"/>
  <c r="J99" i="9"/>
  <c r="J118" i="9"/>
  <c r="DF41" i="5" s="1"/>
  <c r="J117" i="9"/>
  <c r="DF40" i="5" s="1"/>
  <c r="J81" i="9"/>
  <c r="J84" i="9"/>
  <c r="DF7" i="5" s="1"/>
  <c r="J83" i="9"/>
  <c r="DF6" i="5" s="1"/>
  <c r="J82" i="9"/>
  <c r="DF5" i="5" s="1"/>
  <c r="E116" i="9"/>
  <c r="E95" i="9"/>
  <c r="DA18" i="5" s="1"/>
  <c r="Z111" i="9"/>
  <c r="DV34" i="5" s="1"/>
  <c r="Z101" i="9"/>
  <c r="DV24" i="5" s="1"/>
  <c r="Z86" i="9"/>
  <c r="DV9" i="5" s="1"/>
  <c r="AH95" i="9"/>
  <c r="ED18" i="5" s="1"/>
  <c r="AH116" i="9"/>
  <c r="ED39" i="5" s="1"/>
  <c r="Z81" i="9"/>
  <c r="Z121" i="9"/>
  <c r="DV44" i="5" s="1"/>
  <c r="Z110" i="9"/>
  <c r="DV33" i="5" s="1"/>
  <c r="Z125" i="9"/>
  <c r="DV48" i="5" s="1"/>
  <c r="Z120" i="9"/>
  <c r="DV43" i="5" s="1"/>
  <c r="Z119" i="9"/>
  <c r="DV42" i="5" s="1"/>
  <c r="Z84" i="9"/>
  <c r="DV7" i="5" s="1"/>
  <c r="Z123" i="9"/>
  <c r="DV46" i="5" s="1"/>
  <c r="Z127" i="9"/>
  <c r="DV50" i="5" s="1"/>
  <c r="Z118" i="9"/>
  <c r="DV41" i="5" s="1"/>
  <c r="Z83" i="9"/>
  <c r="DV6" i="5" s="1"/>
  <c r="Z117" i="9"/>
  <c r="DV40" i="5" s="1"/>
  <c r="Z82" i="9"/>
  <c r="DV5" i="5" s="1"/>
  <c r="Z100" i="9"/>
  <c r="DV23" i="5" s="1"/>
  <c r="Z99" i="9"/>
  <c r="DV22" i="5" s="1"/>
  <c r="Z91" i="9"/>
  <c r="DV14" i="5" s="1"/>
  <c r="AE27" i="6"/>
  <c r="AE107" i="9"/>
  <c r="EA30" i="5" s="1"/>
  <c r="AE96" i="9"/>
  <c r="EA19" i="5" s="1"/>
  <c r="AE88" i="9"/>
  <c r="EA11" i="5" s="1"/>
  <c r="Z113" i="9"/>
  <c r="DV36" i="5" s="1"/>
  <c r="Z103" i="9"/>
  <c r="DV26" i="5" s="1"/>
  <c r="Z122" i="9"/>
  <c r="DV45" i="5" s="1"/>
  <c r="Z92" i="9"/>
  <c r="DV15" i="5" s="1"/>
  <c r="Z93" i="3"/>
  <c r="DU10" i="8" s="1"/>
  <c r="BF6" i="3"/>
  <c r="BF3" i="3"/>
  <c r="Z90" i="3"/>
  <c r="DU7" i="8" s="1"/>
  <c r="Z108" i="3"/>
  <c r="DU25" i="8" s="1"/>
  <c r="Z126" i="3"/>
  <c r="DU43" i="8" s="1"/>
  <c r="Z107" i="3"/>
  <c r="DU24" i="8" s="1"/>
  <c r="Z118" i="3"/>
  <c r="DU35" i="8" s="1"/>
  <c r="Z141" i="3"/>
  <c r="DU58" i="8" s="1"/>
  <c r="BF4" i="3"/>
  <c r="BF5" i="3"/>
  <c r="BF7" i="3"/>
  <c r="BF8" i="3"/>
  <c r="BI53" i="3"/>
  <c r="AC123" i="3"/>
  <c r="DX40" i="8" s="1"/>
  <c r="BI47" i="3"/>
  <c r="AC130" i="3"/>
  <c r="DX47" i="8" s="1"/>
  <c r="AC131" i="3"/>
  <c r="DX48" i="8" s="1"/>
  <c r="AC144" i="3"/>
  <c r="DX61" i="8" s="1"/>
  <c r="AC91" i="3"/>
  <c r="DX8" i="8" s="1"/>
  <c r="AC95" i="3"/>
  <c r="DX12" i="8" s="1"/>
  <c r="AC143" i="3"/>
  <c r="DX60" i="8" s="1"/>
  <c r="AC88" i="3"/>
  <c r="DX5" i="8" s="1"/>
  <c r="AC94" i="3"/>
  <c r="DX11" i="8" s="1"/>
  <c r="BI44" i="3"/>
  <c r="AC96" i="3"/>
  <c r="DX13" i="8" s="1"/>
  <c r="AC100" i="3"/>
  <c r="DX17" i="8" s="1"/>
  <c r="AC101" i="3"/>
  <c r="DX18" i="8" s="1"/>
  <c r="BI45" i="3"/>
  <c r="AC112" i="3"/>
  <c r="DX29" i="8" s="1"/>
  <c r="AC129" i="3"/>
  <c r="DX46" i="8" s="1"/>
  <c r="AC87" i="3"/>
  <c r="DX4" i="8" s="1"/>
  <c r="AC92" i="3"/>
  <c r="DX9" i="8" s="1"/>
  <c r="AC128" i="3"/>
  <c r="DX45" i="8" s="1"/>
  <c r="BI51" i="3"/>
  <c r="BI49" i="3"/>
  <c r="BI46" i="3"/>
  <c r="BI50" i="3"/>
  <c r="BI52" i="3"/>
  <c r="BI48" i="3"/>
  <c r="BF27" i="3"/>
  <c r="Z125" i="3"/>
  <c r="DU42" i="8" s="1"/>
  <c r="Z106" i="3"/>
  <c r="DU23" i="8" s="1"/>
  <c r="Z140" i="3"/>
  <c r="DU57" i="8" s="1"/>
  <c r="Z117" i="3"/>
  <c r="DU34" i="8" s="1"/>
  <c r="BF25" i="3"/>
  <c r="BF26" i="3"/>
  <c r="BF28" i="3"/>
  <c r="BL3" i="3"/>
  <c r="AF108" i="3"/>
  <c r="EA25" i="8" s="1"/>
  <c r="AF107" i="3"/>
  <c r="EA24" i="8" s="1"/>
  <c r="AF93" i="3"/>
  <c r="EA10" i="8" s="1"/>
  <c r="AF90" i="3"/>
  <c r="EA7" i="8" s="1"/>
  <c r="AF141" i="3"/>
  <c r="EA58" i="8" s="1"/>
  <c r="AF126" i="3"/>
  <c r="EA43" i="8" s="1"/>
  <c r="AF118" i="3"/>
  <c r="EA35" i="8" s="1"/>
  <c r="BL6" i="3"/>
  <c r="BL7" i="3"/>
  <c r="BL4" i="3"/>
  <c r="BL8" i="3"/>
  <c r="BL5" i="3"/>
  <c r="AB116" i="3"/>
  <c r="DW33" i="8" s="1"/>
  <c r="AB132" i="3"/>
  <c r="DW49" i="8" s="1"/>
  <c r="BH19" i="3"/>
  <c r="AB105" i="3"/>
  <c r="DW22" i="8" s="1"/>
  <c r="BH20" i="3"/>
  <c r="BH16" i="3"/>
  <c r="BH17" i="3"/>
  <c r="AB124" i="3"/>
  <c r="DW41" i="8" s="1"/>
  <c r="AB139" i="3"/>
  <c r="DW56" i="8" s="1"/>
  <c r="BH18" i="3"/>
  <c r="BB48" i="3"/>
  <c r="V92" i="3"/>
  <c r="DQ9" i="8" s="1"/>
  <c r="V91" i="3"/>
  <c r="DQ8" i="8" s="1"/>
  <c r="V100" i="3"/>
  <c r="DQ17" i="8" s="1"/>
  <c r="V95" i="3"/>
  <c r="DQ12" i="8" s="1"/>
  <c r="BB45" i="3"/>
  <c r="V87" i="3"/>
  <c r="DQ4" i="8" s="1"/>
  <c r="V94" i="3"/>
  <c r="DQ11" i="8" s="1"/>
  <c r="V112" i="3"/>
  <c r="DQ29" i="8" s="1"/>
  <c r="V96" i="3"/>
  <c r="DQ13" i="8" s="1"/>
  <c r="BB53" i="3"/>
  <c r="V128" i="3"/>
  <c r="DQ45" i="8" s="1"/>
  <c r="V129" i="3"/>
  <c r="DQ46" i="8" s="1"/>
  <c r="BB47" i="3"/>
  <c r="V130" i="3"/>
  <c r="DQ47" i="8" s="1"/>
  <c r="V144" i="3"/>
  <c r="DQ61" i="8" s="1"/>
  <c r="V143" i="3"/>
  <c r="DQ60" i="8" s="1"/>
  <c r="V123" i="3"/>
  <c r="DQ40" i="8" s="1"/>
  <c r="BB44" i="3"/>
  <c r="V88" i="3"/>
  <c r="DQ5" i="8" s="1"/>
  <c r="V101" i="3"/>
  <c r="DQ18" i="8" s="1"/>
  <c r="BB49" i="3"/>
  <c r="BB51" i="3"/>
  <c r="BB46" i="3"/>
  <c r="BB52" i="3"/>
  <c r="BB50" i="3"/>
  <c r="V131" i="3"/>
  <c r="DQ48" i="8" s="1"/>
  <c r="AD132" i="3"/>
  <c r="DY49" i="8" s="1"/>
  <c r="AD116" i="3"/>
  <c r="DY33" i="8" s="1"/>
  <c r="AD105" i="3"/>
  <c r="DY22" i="8" s="1"/>
  <c r="AD139" i="3"/>
  <c r="DY56" i="8" s="1"/>
  <c r="AD124" i="3"/>
  <c r="DY41" i="8" s="1"/>
  <c r="BJ16" i="3"/>
  <c r="BJ17" i="3"/>
  <c r="BJ20" i="3"/>
  <c r="BJ18" i="3"/>
  <c r="BJ19" i="3"/>
  <c r="BG11" i="3"/>
  <c r="AA122" i="3"/>
  <c r="DV39" i="8" s="1"/>
  <c r="AA111" i="3"/>
  <c r="DV28" i="8" s="1"/>
  <c r="AA135" i="3"/>
  <c r="DV52" i="8" s="1"/>
  <c r="BG9" i="3"/>
  <c r="AA99" i="3"/>
  <c r="DV16" i="8" s="1"/>
  <c r="BG10" i="3"/>
  <c r="BG12" i="3"/>
  <c r="G124" i="3"/>
  <c r="DB41" i="8" s="1"/>
  <c r="G132" i="3"/>
  <c r="DB49" i="8" s="1"/>
  <c r="G116" i="3"/>
  <c r="DB33" i="8" s="1"/>
  <c r="G105" i="3"/>
  <c r="DB22" i="8" s="1"/>
  <c r="G139" i="3"/>
  <c r="DB56" i="8" s="1"/>
  <c r="I116" i="9"/>
  <c r="DE39" i="5" s="1"/>
  <c r="I95" i="9"/>
  <c r="DE18" i="5" s="1"/>
  <c r="K121" i="3"/>
  <c r="DF38" i="8" s="1"/>
  <c r="K110" i="3"/>
  <c r="DF27" i="8" s="1"/>
  <c r="K98" i="3"/>
  <c r="DF15" i="8" s="1"/>
  <c r="K134" i="3"/>
  <c r="DF51" i="8" s="1"/>
  <c r="S95" i="9"/>
  <c r="S116" i="9"/>
  <c r="DO39" i="5" s="1"/>
  <c r="V97" i="9"/>
  <c r="DR20" i="5" s="1"/>
  <c r="V89" i="9"/>
  <c r="DR12" i="5" s="1"/>
  <c r="V108" i="9"/>
  <c r="DR31" i="5" s="1"/>
  <c r="X117" i="3"/>
  <c r="DS34" i="8" s="1"/>
  <c r="BD28" i="3"/>
  <c r="X106" i="3"/>
  <c r="DS23" i="8" s="1"/>
  <c r="X125" i="3"/>
  <c r="DS42" i="8" s="1"/>
  <c r="X140" i="3"/>
  <c r="DS57" i="8" s="1"/>
  <c r="BD26" i="3"/>
  <c r="BD27" i="3"/>
  <c r="BD25" i="3"/>
  <c r="K111" i="3"/>
  <c r="DF28" i="8" s="1"/>
  <c r="K99" i="3"/>
  <c r="DF16" i="8" s="1"/>
  <c r="K122" i="3"/>
  <c r="DF39" i="8" s="1"/>
  <c r="K135" i="3"/>
  <c r="DF52" i="8" s="1"/>
  <c r="AE93" i="9"/>
  <c r="EA16" i="5" s="1"/>
  <c r="AE114" i="9"/>
  <c r="EA37" i="5" s="1"/>
  <c r="AE104" i="9"/>
  <c r="EA27" i="5" s="1"/>
  <c r="N122" i="3"/>
  <c r="DI39" i="8" s="1"/>
  <c r="N99" i="3"/>
  <c r="DI16" i="8" s="1"/>
  <c r="N135" i="3"/>
  <c r="DI52" i="8" s="1"/>
  <c r="N111" i="3"/>
  <c r="DI28" i="8" s="1"/>
  <c r="I134" i="3"/>
  <c r="DD51" i="8" s="1"/>
  <c r="I98" i="3"/>
  <c r="DD15" i="8" s="1"/>
  <c r="I110" i="3"/>
  <c r="DD27" i="8" s="1"/>
  <c r="I121" i="3"/>
  <c r="DD38" i="8" s="1"/>
  <c r="M119" i="3"/>
  <c r="DH36" i="8" s="1"/>
  <c r="M127" i="3"/>
  <c r="DH44" i="8" s="1"/>
  <c r="M142" i="3"/>
  <c r="DH59" i="8" s="1"/>
  <c r="H133" i="3"/>
  <c r="DC50" i="8" s="1"/>
  <c r="H120" i="3"/>
  <c r="DC37" i="8" s="1"/>
  <c r="H109" i="3"/>
  <c r="DC26" i="8" s="1"/>
  <c r="H97" i="3"/>
  <c r="DC14" i="8" s="1"/>
  <c r="J103" i="3"/>
  <c r="DE20" i="8" s="1"/>
  <c r="J137" i="3"/>
  <c r="DE54" i="8" s="1"/>
  <c r="J114" i="3"/>
  <c r="DE31" i="8" s="1"/>
  <c r="L111" i="3"/>
  <c r="DG28" i="8" s="1"/>
  <c r="L99" i="3"/>
  <c r="DG16" i="8" s="1"/>
  <c r="L135" i="3"/>
  <c r="DG52" i="8" s="1"/>
  <c r="L122" i="3"/>
  <c r="DG39" i="8" s="1"/>
  <c r="S109" i="3"/>
  <c r="DN26" i="8" s="1"/>
  <c r="S97" i="3"/>
  <c r="DN14" i="8" s="1"/>
  <c r="S120" i="3"/>
  <c r="DN37" i="8" s="1"/>
  <c r="S133" i="3"/>
  <c r="DN50" i="8" s="1"/>
  <c r="S112" i="3"/>
  <c r="DN29" i="8" s="1"/>
  <c r="S96" i="3"/>
  <c r="DN13" i="8" s="1"/>
  <c r="S123" i="3"/>
  <c r="DN40" i="8" s="1"/>
  <c r="S94" i="3"/>
  <c r="DN11" i="8" s="1"/>
  <c r="S92" i="3"/>
  <c r="DN9" i="8" s="1"/>
  <c r="S144" i="3"/>
  <c r="DN61" i="8" s="1"/>
  <c r="S95" i="3"/>
  <c r="DN12" i="8" s="1"/>
  <c r="S100" i="3"/>
  <c r="DN17" i="8" s="1"/>
  <c r="S130" i="3"/>
  <c r="DN47" i="8" s="1"/>
  <c r="S128" i="3"/>
  <c r="DN45" i="8" s="1"/>
  <c r="S91" i="3"/>
  <c r="DN8" i="8" s="1"/>
  <c r="S129" i="3"/>
  <c r="DN46" i="8" s="1"/>
  <c r="S88" i="3"/>
  <c r="DN5" i="8" s="1"/>
  <c r="S87" i="3"/>
  <c r="DN4" i="8" s="1"/>
  <c r="S143" i="3"/>
  <c r="DN60" i="8" s="1"/>
  <c r="S101" i="3"/>
  <c r="DN18" i="8" s="1"/>
  <c r="S131" i="3"/>
  <c r="DN48" i="8" s="1"/>
  <c r="S137" i="3"/>
  <c r="DN54" i="8" s="1"/>
  <c r="S114" i="3"/>
  <c r="DN31" i="8" s="1"/>
  <c r="S103" i="3"/>
  <c r="DN20" i="8" s="1"/>
  <c r="S106" i="3"/>
  <c r="DN23" i="8" s="1"/>
  <c r="S117" i="3"/>
  <c r="DN34" i="8" s="1"/>
  <c r="S125" i="3"/>
  <c r="DN42" i="8" s="1"/>
  <c r="S140" i="3"/>
  <c r="DN57" i="8" s="1"/>
  <c r="S127" i="3"/>
  <c r="DN44" i="8" s="1"/>
  <c r="S119" i="3"/>
  <c r="DN36" i="8" s="1"/>
  <c r="S142" i="3"/>
  <c r="DN59" i="8" s="1"/>
  <c r="I120" i="3"/>
  <c r="DD37" i="8" s="1"/>
  <c r="I97" i="3"/>
  <c r="DD14" i="8" s="1"/>
  <c r="I133" i="3"/>
  <c r="DD50" i="8" s="1"/>
  <c r="I109" i="3"/>
  <c r="DD26" i="8" s="1"/>
  <c r="M124" i="9"/>
  <c r="DI47" i="5" s="1"/>
  <c r="M85" i="9"/>
  <c r="DI8" i="5" s="1"/>
  <c r="M109" i="9"/>
  <c r="DI32" i="5" s="1"/>
  <c r="M98" i="9"/>
  <c r="DI21" i="5" s="1"/>
  <c r="M90" i="9"/>
  <c r="DI13" i="5" s="1"/>
  <c r="P93" i="9"/>
  <c r="P114" i="9"/>
  <c r="P104" i="9"/>
  <c r="DL27" i="5" s="1"/>
  <c r="O126" i="9"/>
  <c r="DK49" i="5" s="1"/>
  <c r="O115" i="9"/>
  <c r="O94" i="9"/>
  <c r="DK17" i="5" s="1"/>
  <c r="O87" i="9"/>
  <c r="O105" i="9"/>
  <c r="O106" i="9"/>
  <c r="L112" i="9"/>
  <c r="L102" i="9"/>
  <c r="DH25" i="5" s="1"/>
  <c r="F88" i="9"/>
  <c r="DB11" i="5" s="1"/>
  <c r="F96" i="9"/>
  <c r="DB19" i="5" s="1"/>
  <c r="F107" i="9"/>
  <c r="DB30" i="5" s="1"/>
  <c r="I101" i="9"/>
  <c r="I86" i="9"/>
  <c r="DE9" i="5" s="1"/>
  <c r="I111" i="9"/>
  <c r="DE34" i="5" s="1"/>
  <c r="G98" i="9"/>
  <c r="G85" i="9"/>
  <c r="DC8" i="5" s="1"/>
  <c r="G124" i="9"/>
  <c r="G109" i="9"/>
  <c r="G90" i="9"/>
  <c r="L97" i="9"/>
  <c r="L108" i="9"/>
  <c r="DH31" i="5" s="1"/>
  <c r="L89" i="9"/>
  <c r="F125" i="9"/>
  <c r="DB48" i="5" s="1"/>
  <c r="F110" i="9"/>
  <c r="DB33" i="5" s="1"/>
  <c r="F123" i="9"/>
  <c r="DB46" i="5" s="1"/>
  <c r="F91" i="9"/>
  <c r="F127" i="9"/>
  <c r="F121" i="9"/>
  <c r="F100" i="9"/>
  <c r="DB23" i="5" s="1"/>
  <c r="F99" i="9"/>
  <c r="F81" i="9"/>
  <c r="DB4" i="5" s="1"/>
  <c r="F120" i="9"/>
  <c r="F82" i="9"/>
  <c r="F119" i="9"/>
  <c r="F84" i="9"/>
  <c r="DB7" i="5" s="1"/>
  <c r="F118" i="9"/>
  <c r="DB41" i="5" s="1"/>
  <c r="F83" i="9"/>
  <c r="DB6" i="5" s="1"/>
  <c r="F117" i="9"/>
  <c r="DB40" i="5" s="1"/>
  <c r="G95" i="9"/>
  <c r="G116" i="9"/>
  <c r="DC39" i="5" s="1"/>
  <c r="T137" i="3"/>
  <c r="DO54" i="8" s="1"/>
  <c r="T114" i="3"/>
  <c r="DO31" i="8" s="1"/>
  <c r="T103" i="3"/>
  <c r="DO20" i="8" s="1"/>
  <c r="T108" i="9"/>
  <c r="DP31" i="5" s="1"/>
  <c r="T89" i="9"/>
  <c r="DP12" i="5" s="1"/>
  <c r="T97" i="9"/>
  <c r="DP20" i="5" s="1"/>
  <c r="AZ8" i="3"/>
  <c r="U18" i="10"/>
  <c r="AC112" i="9"/>
  <c r="DY35" i="5" s="1"/>
  <c r="AC102" i="9"/>
  <c r="DY25" i="5" s="1"/>
  <c r="W86" i="9"/>
  <c r="DS9" i="5" s="1"/>
  <c r="W111" i="9"/>
  <c r="DS34" i="5" s="1"/>
  <c r="W101" i="9"/>
  <c r="DS24" i="5" s="1"/>
  <c r="AE95" i="9"/>
  <c r="EA18" i="5" s="1"/>
  <c r="AE116" i="9"/>
  <c r="EA39" i="5" s="1"/>
  <c r="X82" i="9"/>
  <c r="DT5" i="5" s="1"/>
  <c r="X84" i="9"/>
  <c r="DT7" i="5" s="1"/>
  <c r="X123" i="9"/>
  <c r="DT46" i="5" s="1"/>
  <c r="X99" i="9"/>
  <c r="DT22" i="5" s="1"/>
  <c r="X100" i="9"/>
  <c r="DT23" i="5" s="1"/>
  <c r="X110" i="9"/>
  <c r="DT33" i="5" s="1"/>
  <c r="X125" i="9"/>
  <c r="DT48" i="5" s="1"/>
  <c r="X91" i="9"/>
  <c r="DT14" i="5" s="1"/>
  <c r="X121" i="9"/>
  <c r="DT44" i="5" s="1"/>
  <c r="X120" i="9"/>
  <c r="DT43" i="5" s="1"/>
  <c r="X119" i="9"/>
  <c r="DT42" i="5" s="1"/>
  <c r="X118" i="9"/>
  <c r="DT41" i="5" s="1"/>
  <c r="X81" i="9"/>
  <c r="X127" i="9"/>
  <c r="DT50" i="5" s="1"/>
  <c r="X117" i="9"/>
  <c r="DT40" i="5" s="1"/>
  <c r="X83" i="9"/>
  <c r="DT6" i="5" s="1"/>
  <c r="Z27" i="6"/>
  <c r="Z96" i="9"/>
  <c r="DV19" i="5" s="1"/>
  <c r="Z88" i="9"/>
  <c r="DV11" i="5" s="1"/>
  <c r="Z107" i="9"/>
  <c r="DV30" i="5" s="1"/>
  <c r="W103" i="9"/>
  <c r="DS26" i="5" s="1"/>
  <c r="W122" i="9"/>
  <c r="DS45" i="5" s="1"/>
  <c r="W92" i="9"/>
  <c r="DS15" i="5" s="1"/>
  <c r="W113" i="9"/>
  <c r="DS36" i="5" s="1"/>
  <c r="AH126" i="9"/>
  <c r="ED49" i="5" s="1"/>
  <c r="AH106" i="9"/>
  <c r="ED29" i="5" s="1"/>
  <c r="AH105" i="9"/>
  <c r="ED28" i="5" s="1"/>
  <c r="AH94" i="9"/>
  <c r="ED17" i="5" s="1"/>
  <c r="AH87" i="9"/>
  <c r="ED10" i="5" s="1"/>
  <c r="AH115" i="9"/>
  <c r="ED38" i="5" s="1"/>
  <c r="AC111" i="3"/>
  <c r="DX28" i="8" s="1"/>
  <c r="AC122" i="3"/>
  <c r="DX39" i="8" s="1"/>
  <c r="AC135" i="3"/>
  <c r="DX52" i="8" s="1"/>
  <c r="BI12" i="3"/>
  <c r="BI11" i="3"/>
  <c r="BI10" i="3"/>
  <c r="AC99" i="3"/>
  <c r="DX16" i="8" s="1"/>
  <c r="BI9" i="3"/>
  <c r="AF89" i="3"/>
  <c r="EA6" i="8" s="1"/>
  <c r="AF113" i="3"/>
  <c r="EA30" i="8" s="1"/>
  <c r="AF136" i="3"/>
  <c r="EA53" i="8" s="1"/>
  <c r="AF102" i="3"/>
  <c r="EA19" i="8" s="1"/>
  <c r="BL57" i="3"/>
  <c r="BL59" i="3"/>
  <c r="BL58" i="3"/>
  <c r="BL60" i="3"/>
  <c r="Z27" i="1"/>
  <c r="Z109" i="3"/>
  <c r="DU26" i="8" s="1"/>
  <c r="Z133" i="3"/>
  <c r="DU50" i="8" s="1"/>
  <c r="Z97" i="3"/>
  <c r="DU14" i="8" s="1"/>
  <c r="Z120" i="3"/>
  <c r="DU37" i="8" s="1"/>
  <c r="BF35" i="3"/>
  <c r="BF34" i="3"/>
  <c r="BF36" i="3"/>
  <c r="BF33" i="3"/>
  <c r="BB61" i="3"/>
  <c r="V142" i="3"/>
  <c r="DQ59" i="8" s="1"/>
  <c r="BB63" i="3"/>
  <c r="V127" i="3"/>
  <c r="DQ44" i="8" s="1"/>
  <c r="V119" i="3"/>
  <c r="DQ36" i="8" s="1"/>
  <c r="BB64" i="3"/>
  <c r="BB62" i="3"/>
  <c r="AE125" i="3"/>
  <c r="DZ42" i="8" s="1"/>
  <c r="AE140" i="3"/>
  <c r="DZ57" i="8" s="1"/>
  <c r="AE106" i="3"/>
  <c r="DZ23" i="8" s="1"/>
  <c r="AE117" i="3"/>
  <c r="DZ34" i="8" s="1"/>
  <c r="BK27" i="3"/>
  <c r="BK26" i="3"/>
  <c r="BK25" i="3"/>
  <c r="BK28" i="3"/>
  <c r="Y113" i="3"/>
  <c r="DT30" i="8" s="1"/>
  <c r="Y136" i="3"/>
  <c r="DT53" i="8" s="1"/>
  <c r="Y102" i="3"/>
  <c r="DT19" i="8" s="1"/>
  <c r="Y89" i="3"/>
  <c r="DT6" i="8" s="1"/>
  <c r="BE57" i="3"/>
  <c r="BE58" i="3"/>
  <c r="BE59" i="3"/>
  <c r="BE60" i="3"/>
  <c r="AH27" i="1"/>
  <c r="AH133" i="3"/>
  <c r="EC50" i="8" s="1"/>
  <c r="AH120" i="3"/>
  <c r="EC37" i="8" s="1"/>
  <c r="AH97" i="3"/>
  <c r="EC14" i="8" s="1"/>
  <c r="AH109" i="3"/>
  <c r="EC26" i="8" s="1"/>
  <c r="BN36" i="3"/>
  <c r="BN35" i="3"/>
  <c r="BN33" i="3"/>
  <c r="BN34" i="3"/>
  <c r="AD142" i="3"/>
  <c r="DY59" i="8" s="1"/>
  <c r="BJ61" i="3"/>
  <c r="AD119" i="3"/>
  <c r="DY36" i="8" s="1"/>
  <c r="AD127" i="3"/>
  <c r="DY44" i="8" s="1"/>
  <c r="BJ62" i="3"/>
  <c r="BJ64" i="3"/>
  <c r="BJ63" i="3"/>
  <c r="G119" i="3"/>
  <c r="DB36" i="8" s="1"/>
  <c r="G142" i="3"/>
  <c r="DB59" i="8" s="1"/>
  <c r="G127" i="3"/>
  <c r="DB44" i="8" s="1"/>
  <c r="U94" i="3"/>
  <c r="DP11" i="8" s="1"/>
  <c r="U95" i="3"/>
  <c r="DP12" i="8" s="1"/>
  <c r="U123" i="3"/>
  <c r="DP40" i="8" s="1"/>
  <c r="U112" i="3"/>
  <c r="DP29" i="8" s="1"/>
  <c r="U96" i="3"/>
  <c r="DP13" i="8" s="1"/>
  <c r="U92" i="3"/>
  <c r="DP9" i="8" s="1"/>
  <c r="U128" i="3"/>
  <c r="DP45" i="8" s="1"/>
  <c r="U129" i="3"/>
  <c r="DP46" i="8" s="1"/>
  <c r="U88" i="3"/>
  <c r="DP5" i="8" s="1"/>
  <c r="U91" i="3"/>
  <c r="DP8" i="8" s="1"/>
  <c r="U101" i="3"/>
  <c r="DP18" i="8" s="1"/>
  <c r="U100" i="3"/>
  <c r="DP17" i="8" s="1"/>
  <c r="U87" i="3"/>
  <c r="DP4" i="8" s="1"/>
  <c r="U144" i="3"/>
  <c r="DP61" i="8" s="1"/>
  <c r="U130" i="3"/>
  <c r="DP47" i="8" s="1"/>
  <c r="U143" i="3"/>
  <c r="DP60" i="8" s="1"/>
  <c r="U131" i="3"/>
  <c r="DP48" i="8" s="1"/>
  <c r="F109" i="9"/>
  <c r="DB32" i="5" s="1"/>
  <c r="F98" i="9"/>
  <c r="DB21" i="5" s="1"/>
  <c r="F90" i="9"/>
  <c r="DB13" i="5" s="1"/>
  <c r="F85" i="9"/>
  <c r="DB8" i="5" s="1"/>
  <c r="F124" i="9"/>
  <c r="DB47" i="5" s="1"/>
  <c r="U127" i="9"/>
  <c r="DQ50" i="5" s="1"/>
  <c r="U123" i="9"/>
  <c r="DQ46" i="5" s="1"/>
  <c r="U125" i="9"/>
  <c r="DQ48" i="5" s="1"/>
  <c r="U91" i="9"/>
  <c r="DQ14" i="5" s="1"/>
  <c r="U110" i="9"/>
  <c r="DQ33" i="5" s="1"/>
  <c r="U120" i="9"/>
  <c r="DQ43" i="5" s="1"/>
  <c r="U119" i="9"/>
  <c r="DQ42" i="5" s="1"/>
  <c r="U118" i="9"/>
  <c r="DQ41" i="5" s="1"/>
  <c r="U117" i="9"/>
  <c r="DQ40" i="5" s="1"/>
  <c r="U81" i="9"/>
  <c r="DQ4" i="5" s="1"/>
  <c r="U121" i="9"/>
  <c r="DQ44" i="5" s="1"/>
  <c r="U82" i="9"/>
  <c r="DQ5" i="5" s="1"/>
  <c r="U84" i="9"/>
  <c r="DQ7" i="5" s="1"/>
  <c r="U83" i="9"/>
  <c r="DQ6" i="5" s="1"/>
  <c r="U100" i="9"/>
  <c r="DQ23" i="5" s="1"/>
  <c r="U99" i="9"/>
  <c r="DQ22" i="5" s="1"/>
  <c r="J132" i="3"/>
  <c r="DE49" i="8" s="1"/>
  <c r="J124" i="3"/>
  <c r="DE41" i="8" s="1"/>
  <c r="J116" i="3"/>
  <c r="DE33" i="8" s="1"/>
  <c r="J105" i="3"/>
  <c r="DE22" i="8" s="1"/>
  <c r="J139" i="3"/>
  <c r="DE56" i="8" s="1"/>
  <c r="I102" i="9"/>
  <c r="I112" i="9"/>
  <c r="DE35" i="5" s="1"/>
  <c r="AD103" i="9"/>
  <c r="DZ26" i="5" s="1"/>
  <c r="AD113" i="9"/>
  <c r="DZ36" i="5" s="1"/>
  <c r="AD122" i="9"/>
  <c r="DZ45" i="5" s="1"/>
  <c r="AD92" i="9"/>
  <c r="DZ15" i="5" s="1"/>
  <c r="P142" i="3"/>
  <c r="DK59" i="8" s="1"/>
  <c r="P127" i="3"/>
  <c r="DK44" i="8" s="1"/>
  <c r="P119" i="3"/>
  <c r="DK36" i="8" s="1"/>
  <c r="I89" i="3"/>
  <c r="DD6" i="8" s="1"/>
  <c r="I113" i="3"/>
  <c r="DD30" i="8" s="1"/>
  <c r="I102" i="3"/>
  <c r="DD19" i="8" s="1"/>
  <c r="I136" i="3"/>
  <c r="DD53" i="8" s="1"/>
  <c r="K118" i="3"/>
  <c r="DF35" i="8" s="1"/>
  <c r="K141" i="3"/>
  <c r="DF58" i="8" s="1"/>
  <c r="K126" i="3"/>
  <c r="DF43" i="8" s="1"/>
  <c r="K93" i="3"/>
  <c r="DF10" i="8" s="1"/>
  <c r="K90" i="3"/>
  <c r="DF7" i="8" s="1"/>
  <c r="K107" i="3"/>
  <c r="DF24" i="8" s="1"/>
  <c r="K108" i="3"/>
  <c r="DF25" i="8" s="1"/>
  <c r="K142" i="3"/>
  <c r="DF59" i="8" s="1"/>
  <c r="K127" i="3"/>
  <c r="DF44" i="8" s="1"/>
  <c r="K119" i="3"/>
  <c r="DF36" i="8" s="1"/>
  <c r="R134" i="3"/>
  <c r="DM51" i="8" s="1"/>
  <c r="R121" i="3"/>
  <c r="DM38" i="8" s="1"/>
  <c r="R110" i="3"/>
  <c r="DM27" i="8" s="1"/>
  <c r="R98" i="3"/>
  <c r="DM15" i="8" s="1"/>
  <c r="R102" i="3"/>
  <c r="DM19" i="8" s="1"/>
  <c r="R113" i="3"/>
  <c r="DM30" i="8" s="1"/>
  <c r="R89" i="3"/>
  <c r="DM6" i="8" s="1"/>
  <c r="R136" i="3"/>
  <c r="DM53" i="8" s="1"/>
  <c r="R132" i="3"/>
  <c r="DM49" i="8" s="1"/>
  <c r="R139" i="3"/>
  <c r="DM56" i="8" s="1"/>
  <c r="R116" i="3"/>
  <c r="DM33" i="8" s="1"/>
  <c r="R105" i="3"/>
  <c r="DM22" i="8" s="1"/>
  <c r="R124" i="3"/>
  <c r="DM41" i="8" s="1"/>
  <c r="R122" i="3"/>
  <c r="DM39" i="8" s="1"/>
  <c r="R99" i="3"/>
  <c r="DM16" i="8" s="1"/>
  <c r="R111" i="3"/>
  <c r="DM28" i="8" s="1"/>
  <c r="R135" i="3"/>
  <c r="DM52" i="8" s="1"/>
  <c r="J98" i="3"/>
  <c r="DE15" i="8" s="1"/>
  <c r="J134" i="3"/>
  <c r="DE51" i="8" s="1"/>
  <c r="J110" i="3"/>
  <c r="DE27" i="8" s="1"/>
  <c r="J121" i="3"/>
  <c r="DE38" i="8" s="1"/>
  <c r="R124" i="9"/>
  <c r="R90" i="9"/>
  <c r="R85" i="9"/>
  <c r="R109" i="9"/>
  <c r="R98" i="9"/>
  <c r="DN21" i="5" s="1"/>
  <c r="N93" i="9"/>
  <c r="N114" i="9"/>
  <c r="N104" i="9"/>
  <c r="N126" i="9"/>
  <c r="N87" i="9"/>
  <c r="DJ10" i="5" s="1"/>
  <c r="N94" i="9"/>
  <c r="N115" i="9"/>
  <c r="DJ38" i="5" s="1"/>
  <c r="N106" i="9"/>
  <c r="N105" i="9"/>
  <c r="DJ28" i="5" s="1"/>
  <c r="O102" i="9"/>
  <c r="DK25" i="5" s="1"/>
  <c r="O112" i="9"/>
  <c r="DK35" i="5" s="1"/>
  <c r="E107" i="9"/>
  <c r="E88" i="9"/>
  <c r="E96" i="9"/>
  <c r="DA19" i="5" s="1"/>
  <c r="E101" i="9"/>
  <c r="DA24" i="5" s="1"/>
  <c r="E111" i="9"/>
  <c r="E86" i="9"/>
  <c r="DA9" i="5" s="1"/>
  <c r="R112" i="9"/>
  <c r="R102" i="9"/>
  <c r="H89" i="9"/>
  <c r="H97" i="9"/>
  <c r="DD20" i="5" s="1"/>
  <c r="H108" i="9"/>
  <c r="M127" i="9"/>
  <c r="M123" i="9"/>
  <c r="M125" i="9"/>
  <c r="M91" i="9"/>
  <c r="M110" i="9"/>
  <c r="M121" i="9"/>
  <c r="M120" i="9"/>
  <c r="M81" i="9"/>
  <c r="DI4" i="5" s="1"/>
  <c r="M100" i="9"/>
  <c r="DI23" i="5" s="1"/>
  <c r="M119" i="9"/>
  <c r="DI42" i="5" s="1"/>
  <c r="M99" i="9"/>
  <c r="M118" i="9"/>
  <c r="DI41" i="5" s="1"/>
  <c r="M117" i="9"/>
  <c r="DI40" i="5" s="1"/>
  <c r="M84" i="9"/>
  <c r="M83" i="9"/>
  <c r="M82" i="9"/>
  <c r="DI5" i="5" s="1"/>
  <c r="F95" i="9"/>
  <c r="DB18" i="5" s="1"/>
  <c r="F116" i="9"/>
  <c r="T105" i="3"/>
  <c r="DO22" i="8" s="1"/>
  <c r="T132" i="3"/>
  <c r="DO49" i="8" s="1"/>
  <c r="T124" i="3"/>
  <c r="DO41" i="8" s="1"/>
  <c r="T139" i="3"/>
  <c r="DO56" i="8" s="1"/>
  <c r="T116" i="3"/>
  <c r="DO33" i="8" s="1"/>
  <c r="U104" i="9"/>
  <c r="DQ27" i="5" s="1"/>
  <c r="U114" i="9"/>
  <c r="DQ37" i="5" s="1"/>
  <c r="U93" i="9"/>
  <c r="DQ16" i="5" s="1"/>
  <c r="T95" i="9"/>
  <c r="DP18" i="5" s="1"/>
  <c r="T116" i="9"/>
  <c r="DP39" i="5" s="1"/>
  <c r="Z102" i="9"/>
  <c r="DV25" i="5" s="1"/>
  <c r="Z112" i="9"/>
  <c r="DV35" i="5" s="1"/>
  <c r="AE101" i="9"/>
  <c r="EA24" i="5" s="1"/>
  <c r="AE86" i="9"/>
  <c r="EA9" i="5" s="1"/>
  <c r="AE111" i="9"/>
  <c r="EA34" i="5" s="1"/>
  <c r="AC95" i="9"/>
  <c r="DY18" i="5" s="1"/>
  <c r="AC116" i="9"/>
  <c r="DY39" i="5" s="1"/>
  <c r="AC100" i="9"/>
  <c r="DY23" i="5" s="1"/>
  <c r="AC123" i="9"/>
  <c r="DY46" i="5" s="1"/>
  <c r="AC91" i="9"/>
  <c r="DY14" i="5" s="1"/>
  <c r="AC99" i="9"/>
  <c r="DY22" i="5" s="1"/>
  <c r="AC110" i="9"/>
  <c r="DY33" i="5" s="1"/>
  <c r="AC121" i="9"/>
  <c r="DY44" i="5" s="1"/>
  <c r="AC120" i="9"/>
  <c r="DY43" i="5" s="1"/>
  <c r="AC81" i="9"/>
  <c r="AC119" i="9"/>
  <c r="DY42" i="5" s="1"/>
  <c r="AC84" i="9"/>
  <c r="DY7" i="5" s="1"/>
  <c r="AC118" i="9"/>
  <c r="DY41" i="5" s="1"/>
  <c r="AC83" i="9"/>
  <c r="DY6" i="5" s="1"/>
  <c r="AC117" i="9"/>
  <c r="DY40" i="5" s="1"/>
  <c r="AC82" i="9"/>
  <c r="DY5" i="5" s="1"/>
  <c r="AC127" i="9"/>
  <c r="DY50" i="5" s="1"/>
  <c r="AC125" i="9"/>
  <c r="DY48" i="5" s="1"/>
  <c r="AH97" i="9"/>
  <c r="ED20" i="5" s="1"/>
  <c r="AH108" i="9"/>
  <c r="ED31" i="5" s="1"/>
  <c r="AH89" i="9"/>
  <c r="ED12" i="5" s="1"/>
  <c r="AE126" i="9"/>
  <c r="EA49" i="5" s="1"/>
  <c r="AE106" i="9"/>
  <c r="EA29" i="5" s="1"/>
  <c r="AE105" i="9"/>
  <c r="EA28" i="5" s="1"/>
  <c r="AE94" i="9"/>
  <c r="EA17" i="5" s="1"/>
  <c r="AE115" i="9"/>
  <c r="EA38" i="5" s="1"/>
  <c r="AE87" i="9"/>
  <c r="EA10" i="5" s="1"/>
  <c r="BL61" i="3"/>
  <c r="AF127" i="3"/>
  <c r="EA44" i="8" s="1"/>
  <c r="AF119" i="3"/>
  <c r="EA36" i="8" s="1"/>
  <c r="AF142" i="3"/>
  <c r="EA59" i="8" s="1"/>
  <c r="BL62" i="3"/>
  <c r="BL64" i="3"/>
  <c r="BL63" i="3"/>
  <c r="V132" i="3"/>
  <c r="DQ49" i="8" s="1"/>
  <c r="BB20" i="3"/>
  <c r="V124" i="3"/>
  <c r="DQ41" i="8" s="1"/>
  <c r="V105" i="3"/>
  <c r="DQ22" i="8" s="1"/>
  <c r="V139" i="3"/>
  <c r="DQ56" i="8" s="1"/>
  <c r="V116" i="3"/>
  <c r="DQ33" i="8" s="1"/>
  <c r="BB17" i="3"/>
  <c r="BB19" i="3"/>
  <c r="BB18" i="3"/>
  <c r="BB16" i="3"/>
  <c r="AC121" i="3"/>
  <c r="DX38" i="8" s="1"/>
  <c r="BI22" i="3"/>
  <c r="BI21" i="3"/>
  <c r="BI23" i="3"/>
  <c r="AC134" i="3"/>
  <c r="DX51" i="8" s="1"/>
  <c r="AC110" i="3"/>
  <c r="DX27" i="8" s="1"/>
  <c r="AC98" i="3"/>
  <c r="DX15" i="8" s="1"/>
  <c r="BI24" i="3"/>
  <c r="AD112" i="3"/>
  <c r="DY29" i="8" s="1"/>
  <c r="BJ46" i="3"/>
  <c r="BJ44" i="3"/>
  <c r="AD130" i="3"/>
  <c r="DY47" i="8" s="1"/>
  <c r="AD100" i="3"/>
  <c r="DY17" i="8" s="1"/>
  <c r="AD129" i="3"/>
  <c r="DY46" i="8" s="1"/>
  <c r="BJ45" i="3"/>
  <c r="AD94" i="3"/>
  <c r="DY11" i="8" s="1"/>
  <c r="AD101" i="3"/>
  <c r="DY18" i="8" s="1"/>
  <c r="AD128" i="3"/>
  <c r="DY45" i="8" s="1"/>
  <c r="AD87" i="3"/>
  <c r="DY4" i="8" s="1"/>
  <c r="AD91" i="3"/>
  <c r="DY8" i="8" s="1"/>
  <c r="AD88" i="3"/>
  <c r="DY5" i="8" s="1"/>
  <c r="AD92" i="3"/>
  <c r="DY9" i="8" s="1"/>
  <c r="BJ50" i="3"/>
  <c r="AD95" i="3"/>
  <c r="DY12" i="8" s="1"/>
  <c r="AD96" i="3"/>
  <c r="DY13" i="8" s="1"/>
  <c r="BJ47" i="3"/>
  <c r="AD144" i="3"/>
  <c r="DY61" i="8" s="1"/>
  <c r="AD123" i="3"/>
  <c r="DY40" i="8" s="1"/>
  <c r="BJ53" i="3"/>
  <c r="AD143" i="3"/>
  <c r="DY60" i="8" s="1"/>
  <c r="BJ48" i="3"/>
  <c r="BJ52" i="3"/>
  <c r="BJ49" i="3"/>
  <c r="BJ51" i="3"/>
  <c r="AD131" i="3"/>
  <c r="DY48" i="8" s="1"/>
  <c r="BN6" i="3"/>
  <c r="AH90" i="3"/>
  <c r="EC7" i="8" s="1"/>
  <c r="AH126" i="3"/>
  <c r="EC43" i="8" s="1"/>
  <c r="BN8" i="3"/>
  <c r="AH141" i="3"/>
  <c r="EC58" i="8" s="1"/>
  <c r="BN3" i="3"/>
  <c r="AH93" i="3"/>
  <c r="EC10" i="8" s="1"/>
  <c r="AH108" i="3"/>
  <c r="EC25" i="8" s="1"/>
  <c r="AH118" i="3"/>
  <c r="EC35" i="8" s="1"/>
  <c r="AH107" i="3"/>
  <c r="EC24" i="8" s="1"/>
  <c r="BN7" i="3"/>
  <c r="BN5" i="3"/>
  <c r="BN4" i="3"/>
  <c r="BH56" i="3"/>
  <c r="AB103" i="3"/>
  <c r="DW20" i="8" s="1"/>
  <c r="AB114" i="3"/>
  <c r="DW31" i="8" s="1"/>
  <c r="AB137" i="3"/>
  <c r="DW54" i="8" s="1"/>
  <c r="BH55" i="3"/>
  <c r="BH54" i="3"/>
  <c r="BD46" i="3"/>
  <c r="X95" i="3"/>
  <c r="DS12" i="8" s="1"/>
  <c r="BD47" i="3"/>
  <c r="X131" i="3"/>
  <c r="DS48" i="8" s="1"/>
  <c r="X123" i="3"/>
  <c r="DS40" i="8" s="1"/>
  <c r="X144" i="3"/>
  <c r="DS61" i="8" s="1"/>
  <c r="X130" i="3"/>
  <c r="DS47" i="8" s="1"/>
  <c r="X96" i="3"/>
  <c r="DS13" i="8" s="1"/>
  <c r="X143" i="3"/>
  <c r="DS60" i="8" s="1"/>
  <c r="BD45" i="3"/>
  <c r="X87" i="3"/>
  <c r="DS4" i="8" s="1"/>
  <c r="X92" i="3"/>
  <c r="DS9" i="8" s="1"/>
  <c r="X112" i="3"/>
  <c r="DS29" i="8" s="1"/>
  <c r="X88" i="3"/>
  <c r="DS5" i="8" s="1"/>
  <c r="X91" i="3"/>
  <c r="DS8" i="8" s="1"/>
  <c r="BD44" i="3"/>
  <c r="X101" i="3"/>
  <c r="DS18" i="8" s="1"/>
  <c r="X100" i="3"/>
  <c r="DS17" i="8" s="1"/>
  <c r="BD53" i="3"/>
  <c r="X94" i="3"/>
  <c r="DS11" i="8" s="1"/>
  <c r="X129" i="3"/>
  <c r="DS46" i="8" s="1"/>
  <c r="X128" i="3"/>
  <c r="DS45" i="8" s="1"/>
  <c r="BD51" i="3"/>
  <c r="BD50" i="3"/>
  <c r="BD49" i="3"/>
  <c r="BD48" i="3"/>
  <c r="BD52" i="3"/>
  <c r="X136" i="3"/>
  <c r="DS53" i="8" s="1"/>
  <c r="BD60" i="3"/>
  <c r="X102" i="3"/>
  <c r="DS19" i="8" s="1"/>
  <c r="X113" i="3"/>
  <c r="DS30" i="8" s="1"/>
  <c r="X89" i="3"/>
  <c r="DS6" i="8" s="1"/>
  <c r="BD58" i="3"/>
  <c r="BD57" i="3"/>
  <c r="BD59" i="3"/>
  <c r="L124" i="3"/>
  <c r="DG41" i="8" s="1"/>
  <c r="L132" i="3"/>
  <c r="DG49" i="8" s="1"/>
  <c r="L105" i="3"/>
  <c r="DG22" i="8" s="1"/>
  <c r="L116" i="3"/>
  <c r="DG33" i="8" s="1"/>
  <c r="L139" i="3"/>
  <c r="DG56" i="8" s="1"/>
  <c r="N102" i="9"/>
  <c r="N112" i="9"/>
  <c r="DJ35" i="5" s="1"/>
  <c r="L142" i="3"/>
  <c r="DG59" i="8" s="1"/>
  <c r="L119" i="3"/>
  <c r="DG36" i="8" s="1"/>
  <c r="L127" i="3"/>
  <c r="DG44" i="8" s="1"/>
  <c r="G102" i="9"/>
  <c r="DC25" i="5" s="1"/>
  <c r="G112" i="9"/>
  <c r="AC85" i="9"/>
  <c r="DY8" i="5" s="1"/>
  <c r="AC124" i="9"/>
  <c r="DY47" i="5" s="1"/>
  <c r="AC90" i="9"/>
  <c r="DY13" i="5" s="1"/>
  <c r="AC109" i="9"/>
  <c r="DY32" i="5" s="1"/>
  <c r="AC98" i="9"/>
  <c r="DY21" i="5" s="1"/>
  <c r="BG54" i="3"/>
  <c r="AA114" i="3"/>
  <c r="DV31" i="8" s="1"/>
  <c r="AA103" i="3"/>
  <c r="DV20" i="8" s="1"/>
  <c r="AA137" i="3"/>
  <c r="DV54" i="8" s="1"/>
  <c r="BG56" i="3"/>
  <c r="BG55" i="3"/>
  <c r="H90" i="9"/>
  <c r="DD13" i="5" s="1"/>
  <c r="H124" i="9"/>
  <c r="DD47" i="5" s="1"/>
  <c r="H85" i="9"/>
  <c r="DD8" i="5" s="1"/>
  <c r="H109" i="9"/>
  <c r="DD32" i="5" s="1"/>
  <c r="H98" i="9"/>
  <c r="DD21" i="5" s="1"/>
  <c r="L137" i="3"/>
  <c r="DG54" i="8" s="1"/>
  <c r="L114" i="3"/>
  <c r="DG31" i="8" s="1"/>
  <c r="L103" i="3"/>
  <c r="DG20" i="8" s="1"/>
  <c r="H94" i="3"/>
  <c r="DC11" i="8" s="1"/>
  <c r="H92" i="3"/>
  <c r="DC9" i="8" s="1"/>
  <c r="H87" i="3"/>
  <c r="DC4" i="8" s="1"/>
  <c r="H88" i="3"/>
  <c r="DC5" i="8" s="1"/>
  <c r="H91" i="3"/>
  <c r="DC8" i="8" s="1"/>
  <c r="H96" i="3"/>
  <c r="DC13" i="8" s="1"/>
  <c r="H129" i="3"/>
  <c r="DC46" i="8" s="1"/>
  <c r="H128" i="3"/>
  <c r="DC45" i="8" s="1"/>
  <c r="H112" i="3"/>
  <c r="DC29" i="8" s="1"/>
  <c r="H123" i="3"/>
  <c r="DC40" i="8" s="1"/>
  <c r="H95" i="3"/>
  <c r="DC12" i="8" s="1"/>
  <c r="H100" i="3"/>
  <c r="DC17" i="8" s="1"/>
  <c r="H130" i="3"/>
  <c r="DC47" i="8" s="1"/>
  <c r="H144" i="3"/>
  <c r="DC61" i="8" s="1"/>
  <c r="H143" i="3"/>
  <c r="DC60" i="8" s="1"/>
  <c r="H101" i="3"/>
  <c r="DC18" i="8" s="1"/>
  <c r="H131" i="3"/>
  <c r="DC48" i="8" s="1"/>
  <c r="J140" i="3"/>
  <c r="DE57" i="8" s="1"/>
  <c r="J117" i="3"/>
  <c r="DE34" i="8" s="1"/>
  <c r="J125" i="3"/>
  <c r="DE42" i="8" s="1"/>
  <c r="J106" i="3"/>
  <c r="DE23" i="8" s="1"/>
  <c r="J111" i="3"/>
  <c r="DE28" i="8" s="1"/>
  <c r="J135" i="3"/>
  <c r="DE52" i="8" s="1"/>
  <c r="J99" i="3"/>
  <c r="DE16" i="8" s="1"/>
  <c r="J122" i="3"/>
  <c r="DE39" i="8" s="1"/>
  <c r="Q133" i="3"/>
  <c r="DL50" i="8" s="1"/>
  <c r="Q109" i="3"/>
  <c r="DL26" i="8" s="1"/>
  <c r="Q120" i="3"/>
  <c r="DL37" i="8" s="1"/>
  <c r="Q97" i="3"/>
  <c r="DL14" i="8" s="1"/>
  <c r="Q87" i="3"/>
  <c r="DL4" i="8" s="1"/>
  <c r="Q91" i="3"/>
  <c r="DL8" i="8" s="1"/>
  <c r="Q112" i="3"/>
  <c r="DL29" i="8" s="1"/>
  <c r="Q123" i="3"/>
  <c r="DL40" i="8" s="1"/>
  <c r="Q92" i="3"/>
  <c r="DL9" i="8" s="1"/>
  <c r="Q95" i="3"/>
  <c r="DL12" i="8" s="1"/>
  <c r="Q96" i="3"/>
  <c r="DL13" i="8" s="1"/>
  <c r="Q94" i="3"/>
  <c r="DL11" i="8" s="1"/>
  <c r="Q143" i="3"/>
  <c r="DL60" i="8" s="1"/>
  <c r="Q129" i="3"/>
  <c r="DL46" i="8" s="1"/>
  <c r="Q88" i="3"/>
  <c r="DL5" i="8" s="1"/>
  <c r="Q128" i="3"/>
  <c r="DL45" i="8" s="1"/>
  <c r="Q101" i="3"/>
  <c r="DL18" i="8" s="1"/>
  <c r="Q100" i="3"/>
  <c r="DL17" i="8" s="1"/>
  <c r="Q144" i="3"/>
  <c r="DL61" i="8" s="1"/>
  <c r="Q130" i="3"/>
  <c r="DL47" i="8" s="1"/>
  <c r="Q131" i="3"/>
  <c r="DL48" i="8" s="1"/>
  <c r="Q103" i="3"/>
  <c r="DL20" i="8" s="1"/>
  <c r="Q114" i="3"/>
  <c r="DL31" i="8" s="1"/>
  <c r="Q137" i="3"/>
  <c r="DL54" i="8" s="1"/>
  <c r="Q126" i="3"/>
  <c r="DL43" i="8" s="1"/>
  <c r="Q141" i="3"/>
  <c r="DL58" i="8" s="1"/>
  <c r="Q93" i="3"/>
  <c r="DL10" i="8" s="1"/>
  <c r="Q118" i="3"/>
  <c r="DL35" i="8" s="1"/>
  <c r="Q90" i="3"/>
  <c r="DL7" i="8" s="1"/>
  <c r="Q108" i="3"/>
  <c r="DL25" i="8" s="1"/>
  <c r="Q107" i="3"/>
  <c r="DL24" i="8" s="1"/>
  <c r="K123" i="3"/>
  <c r="DF40" i="8" s="1"/>
  <c r="K96" i="3"/>
  <c r="DF13" i="8" s="1"/>
  <c r="K112" i="3"/>
  <c r="DF29" i="8" s="1"/>
  <c r="K91" i="3"/>
  <c r="DF8" i="8" s="1"/>
  <c r="K88" i="3"/>
  <c r="DF5" i="8" s="1"/>
  <c r="K94" i="3"/>
  <c r="DF11" i="8" s="1"/>
  <c r="K95" i="3"/>
  <c r="DF12" i="8" s="1"/>
  <c r="K92" i="3"/>
  <c r="DF9" i="8" s="1"/>
  <c r="K101" i="3"/>
  <c r="DF18" i="8" s="1"/>
  <c r="K87" i="3"/>
  <c r="DF4" i="8" s="1"/>
  <c r="K100" i="3"/>
  <c r="DF17" i="8" s="1"/>
  <c r="K143" i="3"/>
  <c r="DF60" i="8" s="1"/>
  <c r="K130" i="3"/>
  <c r="DF47" i="8" s="1"/>
  <c r="K144" i="3"/>
  <c r="DF61" i="8" s="1"/>
  <c r="K129" i="3"/>
  <c r="DF46" i="8" s="1"/>
  <c r="K128" i="3"/>
  <c r="DF45" i="8" s="1"/>
  <c r="K131" i="3"/>
  <c r="DF48" i="8" s="1"/>
  <c r="P124" i="9"/>
  <c r="DL47" i="5" s="1"/>
  <c r="P90" i="9"/>
  <c r="P85" i="9"/>
  <c r="P109" i="9"/>
  <c r="P98" i="9"/>
  <c r="M114" i="9"/>
  <c r="M104" i="9"/>
  <c r="M93" i="9"/>
  <c r="M126" i="9"/>
  <c r="M115" i="9"/>
  <c r="DI38" i="5" s="1"/>
  <c r="M94" i="9"/>
  <c r="DI17" i="5" s="1"/>
  <c r="M87" i="9"/>
  <c r="M106" i="9"/>
  <c r="DI29" i="5" s="1"/>
  <c r="M105" i="9"/>
  <c r="K102" i="9"/>
  <c r="DG25" i="5" s="1"/>
  <c r="K112" i="9"/>
  <c r="DG35" i="5" s="1"/>
  <c r="S96" i="9"/>
  <c r="S107" i="9"/>
  <c r="S88" i="9"/>
  <c r="G113" i="9"/>
  <c r="DC36" i="5" s="1"/>
  <c r="G92" i="9"/>
  <c r="G103" i="9"/>
  <c r="G122" i="9"/>
  <c r="P127" i="9"/>
  <c r="P91" i="9"/>
  <c r="DL14" i="5" s="1"/>
  <c r="P125" i="9"/>
  <c r="P110" i="9"/>
  <c r="P123" i="9"/>
  <c r="P100" i="9"/>
  <c r="P99" i="9"/>
  <c r="P81" i="9"/>
  <c r="DL4" i="5" s="1"/>
  <c r="P117" i="9"/>
  <c r="DL40" i="5" s="1"/>
  <c r="P84" i="9"/>
  <c r="P121" i="9"/>
  <c r="P83" i="9"/>
  <c r="DL6" i="5" s="1"/>
  <c r="P120" i="9"/>
  <c r="DL43" i="5" s="1"/>
  <c r="P82" i="9"/>
  <c r="P119" i="9"/>
  <c r="DL42" i="5" s="1"/>
  <c r="P118" i="9"/>
  <c r="DL41" i="5" s="1"/>
  <c r="I97" i="9"/>
  <c r="DE20" i="5" s="1"/>
  <c r="I108" i="9"/>
  <c r="I89" i="9"/>
  <c r="K123" i="9"/>
  <c r="K91" i="9"/>
  <c r="DG14" i="5" s="1"/>
  <c r="K125" i="9"/>
  <c r="K110" i="9"/>
  <c r="K127" i="9"/>
  <c r="K100" i="9"/>
  <c r="DG23" i="5" s="1"/>
  <c r="K99" i="9"/>
  <c r="K81" i="9"/>
  <c r="DG4" i="5" s="1"/>
  <c r="K84" i="9"/>
  <c r="K83" i="9"/>
  <c r="DG6" i="5" s="1"/>
  <c r="K82" i="9"/>
  <c r="K121" i="9"/>
  <c r="DG44" i="5" s="1"/>
  <c r="K120" i="9"/>
  <c r="DG43" i="5" s="1"/>
  <c r="K119" i="9"/>
  <c r="K118" i="9"/>
  <c r="K117" i="9"/>
  <c r="DG40" i="5" s="1"/>
  <c r="N116" i="9"/>
  <c r="N95" i="9"/>
  <c r="DJ18" i="5" s="1"/>
  <c r="U97" i="9"/>
  <c r="DQ20" i="5" s="1"/>
  <c r="U89" i="9"/>
  <c r="DQ12" i="5" s="1"/>
  <c r="U108" i="9"/>
  <c r="DQ31" i="5" s="1"/>
  <c r="T112" i="9"/>
  <c r="DP35" i="5" s="1"/>
  <c r="T102" i="9"/>
  <c r="DP25" i="5" s="1"/>
  <c r="AH102" i="9"/>
  <c r="ED25" i="5" s="1"/>
  <c r="AH112" i="9"/>
  <c r="ED35" i="5" s="1"/>
  <c r="AC111" i="9"/>
  <c r="DY34" i="5" s="1"/>
  <c r="AC86" i="9"/>
  <c r="DY9" i="5" s="1"/>
  <c r="AC101" i="9"/>
  <c r="DY24" i="5" s="1"/>
  <c r="X116" i="9"/>
  <c r="DT39" i="5" s="1"/>
  <c r="X95" i="9"/>
  <c r="DT18" i="5" s="1"/>
  <c r="AA110" i="9"/>
  <c r="DW33" i="5" s="1"/>
  <c r="AA123" i="9"/>
  <c r="DW46" i="5" s="1"/>
  <c r="AA91" i="9"/>
  <c r="DW14" i="5" s="1"/>
  <c r="AA125" i="9"/>
  <c r="DW48" i="5" s="1"/>
  <c r="AA121" i="9"/>
  <c r="DW44" i="5" s="1"/>
  <c r="AA100" i="9"/>
  <c r="DW23" i="5" s="1"/>
  <c r="AA120" i="9"/>
  <c r="DW43" i="5" s="1"/>
  <c r="AA99" i="9"/>
  <c r="DW22" i="5" s="1"/>
  <c r="AA119" i="9"/>
  <c r="DW42" i="5" s="1"/>
  <c r="AA118" i="9"/>
  <c r="DW41" i="5" s="1"/>
  <c r="AA117" i="9"/>
  <c r="DW40" i="5" s="1"/>
  <c r="AA81" i="9"/>
  <c r="AA84" i="9"/>
  <c r="DW7" i="5" s="1"/>
  <c r="AA127" i="9"/>
  <c r="DW50" i="5" s="1"/>
  <c r="AA83" i="9"/>
  <c r="DW6" i="5" s="1"/>
  <c r="AA82" i="9"/>
  <c r="DW5" i="5" s="1"/>
  <c r="AA104" i="9"/>
  <c r="DW27" i="5" s="1"/>
  <c r="AA114" i="9"/>
  <c r="DW37" i="5" s="1"/>
  <c r="AA93" i="9"/>
  <c r="DW16" i="5" s="1"/>
  <c r="Y27" i="6"/>
  <c r="Y107" i="9"/>
  <c r="DU30" i="5" s="1"/>
  <c r="Y88" i="9"/>
  <c r="DU11" i="5" s="1"/>
  <c r="Y96" i="9"/>
  <c r="DU19" i="5" s="1"/>
  <c r="AB27" i="6"/>
  <c r="AB96" i="9"/>
  <c r="DX19" i="5" s="1"/>
  <c r="AB88" i="9"/>
  <c r="DX11" i="5" s="1"/>
  <c r="AB107" i="9"/>
  <c r="DX30" i="5" s="1"/>
  <c r="Y126" i="9"/>
  <c r="DU49" i="5" s="1"/>
  <c r="Y94" i="9"/>
  <c r="DU17" i="5" s="1"/>
  <c r="Y106" i="9"/>
  <c r="DU29" i="5" s="1"/>
  <c r="Y105" i="9"/>
  <c r="DU28" i="5" s="1"/>
  <c r="Y87" i="9"/>
  <c r="DU10" i="5" s="1"/>
  <c r="Y115" i="9"/>
  <c r="DU38" i="5" s="1"/>
  <c r="AE27" i="1"/>
  <c r="AE97" i="3"/>
  <c r="DZ14" i="8" s="1"/>
  <c r="BK33" i="3"/>
  <c r="AE120" i="3"/>
  <c r="DZ37" i="8" s="1"/>
  <c r="AE109" i="3"/>
  <c r="DZ26" i="8" s="1"/>
  <c r="AE133" i="3"/>
  <c r="DZ50" i="8" s="1"/>
  <c r="BK36" i="3"/>
  <c r="BK35" i="3"/>
  <c r="BK34" i="3"/>
  <c r="Y125" i="3"/>
  <c r="DT42" i="8" s="1"/>
  <c r="BE25" i="3"/>
  <c r="BE27" i="3"/>
  <c r="Y106" i="3"/>
  <c r="DT23" i="8" s="1"/>
  <c r="BE26" i="3"/>
  <c r="Y117" i="3"/>
  <c r="DT34" i="8" s="1"/>
  <c r="Y140" i="3"/>
  <c r="DT57" i="8" s="1"/>
  <c r="BE28" i="3"/>
  <c r="BL44" i="3"/>
  <c r="AF101" i="3"/>
  <c r="EA18" i="8" s="1"/>
  <c r="BL47" i="3"/>
  <c r="AF100" i="3"/>
  <c r="EA17" i="8" s="1"/>
  <c r="AF144" i="3"/>
  <c r="EA61" i="8" s="1"/>
  <c r="AF143" i="3"/>
  <c r="EA60" i="8" s="1"/>
  <c r="AF123" i="3"/>
  <c r="EA40" i="8" s="1"/>
  <c r="BL53" i="3"/>
  <c r="AF130" i="3"/>
  <c r="EA47" i="8" s="1"/>
  <c r="AF129" i="3"/>
  <c r="EA46" i="8" s="1"/>
  <c r="AF128" i="3"/>
  <c r="EA45" i="8" s="1"/>
  <c r="AF91" i="3"/>
  <c r="EA8" i="8" s="1"/>
  <c r="AF92" i="3"/>
  <c r="EA9" i="8" s="1"/>
  <c r="AF88" i="3"/>
  <c r="EA5" i="8" s="1"/>
  <c r="AF112" i="3"/>
  <c r="EA29" i="8" s="1"/>
  <c r="BL45" i="3"/>
  <c r="AF95" i="3"/>
  <c r="EA12" i="8" s="1"/>
  <c r="AF94" i="3"/>
  <c r="EA11" i="8" s="1"/>
  <c r="AF87" i="3"/>
  <c r="EA4" i="8" s="1"/>
  <c r="AF96" i="3"/>
  <c r="EA13" i="8" s="1"/>
  <c r="BL48" i="3"/>
  <c r="BL49" i="3"/>
  <c r="BL52" i="3"/>
  <c r="BL50" i="3"/>
  <c r="BL46" i="3"/>
  <c r="BL51" i="3"/>
  <c r="AF131" i="3"/>
  <c r="EA48" i="8" s="1"/>
  <c r="AB27" i="1"/>
  <c r="BH34" i="3"/>
  <c r="AB120" i="3"/>
  <c r="DW37" i="8" s="1"/>
  <c r="AB133" i="3"/>
  <c r="DW50" i="8" s="1"/>
  <c r="AB109" i="3"/>
  <c r="DW26" i="8" s="1"/>
  <c r="AB97" i="3"/>
  <c r="DW14" i="8" s="1"/>
  <c r="BH35" i="3"/>
  <c r="BH36" i="3"/>
  <c r="BH33" i="3"/>
  <c r="BD61" i="3"/>
  <c r="X142" i="3"/>
  <c r="DS59" i="8" s="1"/>
  <c r="X127" i="3"/>
  <c r="DS44" i="8" s="1"/>
  <c r="X119" i="3"/>
  <c r="DS36" i="8" s="1"/>
  <c r="BD63" i="3"/>
  <c r="BD64" i="3"/>
  <c r="BD62" i="3"/>
  <c r="AE132" i="3"/>
  <c r="DZ49" i="8" s="1"/>
  <c r="AE116" i="3"/>
  <c r="DZ33" i="8" s="1"/>
  <c r="AE124" i="3"/>
  <c r="DZ41" i="8" s="1"/>
  <c r="AE139" i="3"/>
  <c r="DZ56" i="8" s="1"/>
  <c r="AE105" i="3"/>
  <c r="DZ22" i="8" s="1"/>
  <c r="BK16" i="3"/>
  <c r="BK20" i="3"/>
  <c r="BK17" i="3"/>
  <c r="BK19" i="3"/>
  <c r="BK18" i="3"/>
  <c r="AA89" i="3"/>
  <c r="DV6" i="8" s="1"/>
  <c r="AA102" i="3"/>
  <c r="DV19" i="8" s="1"/>
  <c r="AA136" i="3"/>
  <c r="DV53" i="8" s="1"/>
  <c r="AA113" i="3"/>
  <c r="DV30" i="8" s="1"/>
  <c r="BG57" i="3"/>
  <c r="BG59" i="3"/>
  <c r="BG60" i="3"/>
  <c r="BG58" i="3"/>
  <c r="BC21" i="3"/>
  <c r="W98" i="3"/>
  <c r="DR15" i="8" s="1"/>
  <c r="W110" i="3"/>
  <c r="DR27" i="8" s="1"/>
  <c r="W121" i="3"/>
  <c r="DR38" i="8" s="1"/>
  <c r="W134" i="3"/>
  <c r="DR51" i="8" s="1"/>
  <c r="BC24" i="3"/>
  <c r="BC22" i="3"/>
  <c r="BC23" i="3"/>
  <c r="N114" i="3"/>
  <c r="DI31" i="8" s="1"/>
  <c r="N103" i="3"/>
  <c r="DI20" i="8" s="1"/>
  <c r="N137" i="3"/>
  <c r="DI54" i="8" s="1"/>
  <c r="J95" i="9"/>
  <c r="J116" i="9"/>
  <c r="DF39" i="5" s="1"/>
  <c r="S113" i="3"/>
  <c r="DN30" i="8" s="1"/>
  <c r="S89" i="3"/>
  <c r="DN6" i="8" s="1"/>
  <c r="S102" i="3"/>
  <c r="DN19" i="8" s="1"/>
  <c r="S136" i="3"/>
  <c r="DN53" i="8" s="1"/>
  <c r="U120" i="3"/>
  <c r="DP37" i="8" s="1"/>
  <c r="U97" i="3"/>
  <c r="DP14" i="8" s="1"/>
  <c r="U133" i="3"/>
  <c r="DP50" i="8" s="1"/>
  <c r="U109" i="3"/>
  <c r="DP26" i="8" s="1"/>
  <c r="AB114" i="9"/>
  <c r="DX37" i="5" s="1"/>
  <c r="AB93" i="9"/>
  <c r="DX16" i="5" s="1"/>
  <c r="AB104" i="9"/>
  <c r="DX27" i="5" s="1"/>
  <c r="Z103" i="3"/>
  <c r="DU20" i="8" s="1"/>
  <c r="Z114" i="3"/>
  <c r="DU31" i="8" s="1"/>
  <c r="Z137" i="3"/>
  <c r="DU54" i="8" s="1"/>
  <c r="BF54" i="3"/>
  <c r="BF55" i="3"/>
  <c r="BF56" i="3"/>
  <c r="J97" i="3"/>
  <c r="DE14" i="8" s="1"/>
  <c r="J109" i="3"/>
  <c r="DE26" i="8" s="1"/>
  <c r="J120" i="3"/>
  <c r="DE37" i="8" s="1"/>
  <c r="J133" i="3"/>
  <c r="DE50" i="8" s="1"/>
  <c r="Q95" i="9"/>
  <c r="Q116" i="9"/>
  <c r="O142" i="3"/>
  <c r="DJ59" i="8" s="1"/>
  <c r="O119" i="3"/>
  <c r="DJ36" i="8" s="1"/>
  <c r="O127" i="3"/>
  <c r="DJ44" i="8" s="1"/>
  <c r="N126" i="3"/>
  <c r="DI43" i="8" s="1"/>
  <c r="N93" i="3"/>
  <c r="DI10" i="8" s="1"/>
  <c r="N90" i="3"/>
  <c r="DI7" i="8" s="1"/>
  <c r="N118" i="3"/>
  <c r="DI35" i="8" s="1"/>
  <c r="N141" i="3"/>
  <c r="DI58" i="8" s="1"/>
  <c r="N108" i="3"/>
  <c r="DI25" i="8" s="1"/>
  <c r="N107" i="3"/>
  <c r="DI24" i="8" s="1"/>
  <c r="I124" i="3"/>
  <c r="DD41" i="8" s="1"/>
  <c r="I139" i="3"/>
  <c r="DD56" i="8" s="1"/>
  <c r="I105" i="3"/>
  <c r="DD22" i="8" s="1"/>
  <c r="I116" i="3"/>
  <c r="DD33" i="8" s="1"/>
  <c r="I132" i="3"/>
  <c r="DD49" i="8" s="1"/>
  <c r="I107" i="3"/>
  <c r="DD24" i="8" s="1"/>
  <c r="I118" i="3"/>
  <c r="DD35" i="8" s="1"/>
  <c r="I141" i="3"/>
  <c r="DD58" i="8" s="1"/>
  <c r="I126" i="3"/>
  <c r="DD43" i="8" s="1"/>
  <c r="I90" i="3"/>
  <c r="DD7" i="8" s="1"/>
  <c r="I93" i="3"/>
  <c r="DD10" i="8" s="1"/>
  <c r="I108" i="3"/>
  <c r="DD25" i="8" s="1"/>
  <c r="I127" i="3"/>
  <c r="DD44" i="8" s="1"/>
  <c r="I119" i="3"/>
  <c r="DD36" i="8" s="1"/>
  <c r="I142" i="3"/>
  <c r="DD59" i="8" s="1"/>
  <c r="P98" i="3"/>
  <c r="DK15" i="8" s="1"/>
  <c r="P134" i="3"/>
  <c r="DK51" i="8" s="1"/>
  <c r="P121" i="3"/>
  <c r="DK38" i="8" s="1"/>
  <c r="P110" i="3"/>
  <c r="DK27" i="8" s="1"/>
  <c r="P102" i="3"/>
  <c r="DK19" i="8" s="1"/>
  <c r="P113" i="3"/>
  <c r="DK30" i="8" s="1"/>
  <c r="P136" i="3"/>
  <c r="DK53" i="8" s="1"/>
  <c r="P89" i="3"/>
  <c r="DK6" i="8" s="1"/>
  <c r="P125" i="3"/>
  <c r="DK42" i="8" s="1"/>
  <c r="P140" i="3"/>
  <c r="DK57" i="8" s="1"/>
  <c r="P106" i="3"/>
  <c r="DK23" i="8" s="1"/>
  <c r="P117" i="3"/>
  <c r="DK34" i="8" s="1"/>
  <c r="L113" i="3"/>
  <c r="DG30" i="8" s="1"/>
  <c r="L89" i="3"/>
  <c r="DG6" i="8" s="1"/>
  <c r="L136" i="3"/>
  <c r="DG53" i="8" s="1"/>
  <c r="L102" i="3"/>
  <c r="DG19" i="8" s="1"/>
  <c r="O109" i="9"/>
  <c r="O98" i="9"/>
  <c r="DK21" i="5" s="1"/>
  <c r="O90" i="9"/>
  <c r="O85" i="9"/>
  <c r="DK8" i="5" s="1"/>
  <c r="O124" i="9"/>
  <c r="L93" i="9"/>
  <c r="L104" i="9"/>
  <c r="DH27" i="5" s="1"/>
  <c r="L114" i="9"/>
  <c r="DH37" i="5" s="1"/>
  <c r="J126" i="9"/>
  <c r="DF49" i="5" s="1"/>
  <c r="J94" i="9"/>
  <c r="J115" i="9"/>
  <c r="J87" i="9"/>
  <c r="DF10" i="5" s="1"/>
  <c r="J106" i="9"/>
  <c r="DF29" i="5" s="1"/>
  <c r="J105" i="9"/>
  <c r="DF28" i="5" s="1"/>
  <c r="J112" i="9"/>
  <c r="J102" i="9"/>
  <c r="R96" i="9"/>
  <c r="DN19" i="5" s="1"/>
  <c r="R88" i="9"/>
  <c r="R107" i="9"/>
  <c r="F103" i="9"/>
  <c r="F113" i="9"/>
  <c r="F122" i="9"/>
  <c r="F92" i="9"/>
  <c r="DB15" i="5" s="1"/>
  <c r="I107" i="9"/>
  <c r="DE30" i="5" s="1"/>
  <c r="I96" i="9"/>
  <c r="DE19" i="5" s="1"/>
  <c r="I88" i="9"/>
  <c r="DE11" i="5" s="1"/>
  <c r="P97" i="9"/>
  <c r="P108" i="9"/>
  <c r="DL31" i="5" s="1"/>
  <c r="P89" i="9"/>
  <c r="I125" i="9"/>
  <c r="DE48" i="5" s="1"/>
  <c r="I123" i="9"/>
  <c r="I110" i="9"/>
  <c r="I127" i="9"/>
  <c r="I91" i="9"/>
  <c r="I83" i="9"/>
  <c r="I99" i="9"/>
  <c r="DE22" i="5" s="1"/>
  <c r="I121" i="9"/>
  <c r="I82" i="9"/>
  <c r="I120" i="9"/>
  <c r="DE43" i="5" s="1"/>
  <c r="I119" i="9"/>
  <c r="I118" i="9"/>
  <c r="I117" i="9"/>
  <c r="I81" i="9"/>
  <c r="I84" i="9"/>
  <c r="DE7" i="5" s="1"/>
  <c r="I100" i="9"/>
  <c r="DE23" i="5" s="1"/>
  <c r="T110" i="3"/>
  <c r="DO27" i="8" s="1"/>
  <c r="T121" i="3"/>
  <c r="DO38" i="8" s="1"/>
  <c r="T98" i="3"/>
  <c r="DO15" i="8" s="1"/>
  <c r="T134" i="3"/>
  <c r="DO51" i="8" s="1"/>
  <c r="U116" i="9"/>
  <c r="DQ39" i="5" s="1"/>
  <c r="U95" i="9"/>
  <c r="DQ18" i="5" s="1"/>
  <c r="T18" i="10"/>
  <c r="AE112" i="9"/>
  <c r="EA35" i="5" s="1"/>
  <c r="AE102" i="9"/>
  <c r="EA25" i="5" s="1"/>
  <c r="AA101" i="9"/>
  <c r="DW24" i="5" s="1"/>
  <c r="AA86" i="9"/>
  <c r="DW9" i="5" s="1"/>
  <c r="AA111" i="9"/>
  <c r="DW34" i="5" s="1"/>
  <c r="Z95" i="9"/>
  <c r="DV18" i="5" s="1"/>
  <c r="Z116" i="9"/>
  <c r="DV39" i="5" s="1"/>
  <c r="AF123" i="9"/>
  <c r="EB46" i="5" s="1"/>
  <c r="AF110" i="9"/>
  <c r="EB33" i="5" s="1"/>
  <c r="AF100" i="9"/>
  <c r="EB23" i="5" s="1"/>
  <c r="AF99" i="9"/>
  <c r="EB22" i="5" s="1"/>
  <c r="AF127" i="9"/>
  <c r="EB50" i="5" s="1"/>
  <c r="AF91" i="9"/>
  <c r="EB14" i="5" s="1"/>
  <c r="AF117" i="9"/>
  <c r="EB40" i="5" s="1"/>
  <c r="AF125" i="9"/>
  <c r="EB48" i="5" s="1"/>
  <c r="AF81" i="9"/>
  <c r="AF121" i="9"/>
  <c r="EB44" i="5" s="1"/>
  <c r="AF84" i="9"/>
  <c r="EB7" i="5" s="1"/>
  <c r="AF120" i="9"/>
  <c r="EB43" i="5" s="1"/>
  <c r="AF83" i="9"/>
  <c r="EB6" i="5" s="1"/>
  <c r="AF119" i="9"/>
  <c r="EB42" i="5" s="1"/>
  <c r="AF82" i="9"/>
  <c r="EB5" i="5" s="1"/>
  <c r="AF118" i="9"/>
  <c r="EB41" i="5" s="1"/>
  <c r="AG86" i="9"/>
  <c r="EC9" i="5" s="1"/>
  <c r="AG111" i="9"/>
  <c r="EC34" i="5" s="1"/>
  <c r="AG101" i="9"/>
  <c r="EC24" i="5" s="1"/>
  <c r="AE92" i="9"/>
  <c r="EA15" i="5" s="1"/>
  <c r="AE113" i="9"/>
  <c r="EA36" i="5" s="1"/>
  <c r="AE103" i="9"/>
  <c r="EA26" i="5" s="1"/>
  <c r="AE122" i="9"/>
  <c r="EA45" i="5" s="1"/>
  <c r="AB126" i="9"/>
  <c r="AB94" i="9"/>
  <c r="DX17" i="5" s="1"/>
  <c r="AB106" i="9"/>
  <c r="DX29" i="5" s="1"/>
  <c r="AB115" i="9"/>
  <c r="DX38" i="5" s="1"/>
  <c r="AB105" i="9"/>
  <c r="DX28" i="5" s="1"/>
  <c r="AB87" i="9"/>
  <c r="DX10" i="5" s="1"/>
  <c r="AB124" i="9"/>
  <c r="DX47" i="5" s="1"/>
  <c r="AB85" i="9"/>
  <c r="DX8" i="5" s="1"/>
  <c r="AB90" i="9"/>
  <c r="DX13" i="5" s="1"/>
  <c r="AB109" i="9"/>
  <c r="DX32" i="5" s="1"/>
  <c r="AB98" i="9"/>
  <c r="DX21" i="5" s="1"/>
  <c r="V27" i="1"/>
  <c r="BB36" i="3"/>
  <c r="V133" i="3"/>
  <c r="DQ50" i="8" s="1"/>
  <c r="V109" i="3"/>
  <c r="DQ26" i="8" s="1"/>
  <c r="V120" i="3"/>
  <c r="DQ37" i="8" s="1"/>
  <c r="V97" i="3"/>
  <c r="DQ14" i="8" s="1"/>
  <c r="BB34" i="3"/>
  <c r="BB33" i="3"/>
  <c r="BB35" i="3"/>
  <c r="BH7" i="3"/>
  <c r="BH4" i="3"/>
  <c r="AB141" i="3"/>
  <c r="DW58" i="8" s="1"/>
  <c r="BH8" i="3"/>
  <c r="BH3" i="3"/>
  <c r="BH6" i="3"/>
  <c r="AB93" i="3"/>
  <c r="DW10" i="8" s="1"/>
  <c r="AB108" i="3"/>
  <c r="DW25" i="8" s="1"/>
  <c r="AB90" i="3"/>
  <c r="DW7" i="8" s="1"/>
  <c r="AB107" i="3"/>
  <c r="DW24" i="8" s="1"/>
  <c r="AB118" i="3"/>
  <c r="DW35" i="8" s="1"/>
  <c r="AB126" i="3"/>
  <c r="DW43" i="8" s="1"/>
  <c r="BH5" i="3"/>
  <c r="V137" i="3"/>
  <c r="DQ54" i="8" s="1"/>
  <c r="V103" i="3"/>
  <c r="DQ20" i="8" s="1"/>
  <c r="V114" i="3"/>
  <c r="DQ31" i="8" s="1"/>
  <c r="BB56" i="3"/>
  <c r="BB55" i="3"/>
  <c r="BB54" i="3"/>
  <c r="AE98" i="3"/>
  <c r="DZ15" i="8" s="1"/>
  <c r="AE110" i="3"/>
  <c r="DZ27" i="8" s="1"/>
  <c r="AE121" i="3"/>
  <c r="DZ38" i="8" s="1"/>
  <c r="AE134" i="3"/>
  <c r="DZ51" i="8" s="1"/>
  <c r="BK22" i="3"/>
  <c r="BK23" i="3"/>
  <c r="BK21" i="3"/>
  <c r="BK24" i="3"/>
  <c r="X27" i="1"/>
  <c r="X120" i="3"/>
  <c r="DS37" i="8" s="1"/>
  <c r="X133" i="3"/>
  <c r="DS50" i="8" s="1"/>
  <c r="BD33" i="3"/>
  <c r="X97" i="3"/>
  <c r="DS14" i="8" s="1"/>
  <c r="X109" i="3"/>
  <c r="DS26" i="8" s="1"/>
  <c r="BD36" i="3"/>
  <c r="BD34" i="3"/>
  <c r="BD35" i="3"/>
  <c r="BN27" i="3"/>
  <c r="BN28" i="3"/>
  <c r="AH140" i="3"/>
  <c r="EC57" i="8" s="1"/>
  <c r="AH125" i="3"/>
  <c r="EC42" i="8" s="1"/>
  <c r="BN26" i="3"/>
  <c r="AH117" i="3"/>
  <c r="EC34" i="8" s="1"/>
  <c r="AH106" i="3"/>
  <c r="EC23" i="8" s="1"/>
  <c r="BN25" i="3"/>
  <c r="AD103" i="3"/>
  <c r="DY20" i="8" s="1"/>
  <c r="AD137" i="3"/>
  <c r="DY54" i="8" s="1"/>
  <c r="AD114" i="3"/>
  <c r="DY31" i="8" s="1"/>
  <c r="BJ55" i="3"/>
  <c r="BJ54" i="3"/>
  <c r="BJ56" i="3"/>
  <c r="Z96" i="3"/>
  <c r="DU13" i="8" s="1"/>
  <c r="BF53" i="3"/>
  <c r="Z92" i="3"/>
  <c r="DU9" i="8" s="1"/>
  <c r="Z130" i="3"/>
  <c r="DU47" i="8" s="1"/>
  <c r="Z129" i="3"/>
  <c r="DU46" i="8" s="1"/>
  <c r="Z128" i="3"/>
  <c r="DU45" i="8" s="1"/>
  <c r="Z94" i="3"/>
  <c r="DU11" i="8" s="1"/>
  <c r="Z131" i="3"/>
  <c r="DU48" i="8" s="1"/>
  <c r="Z112" i="3"/>
  <c r="DU29" i="8" s="1"/>
  <c r="Z95" i="3"/>
  <c r="DU12" i="8" s="1"/>
  <c r="BF47" i="3"/>
  <c r="Z123" i="3"/>
  <c r="DU40" i="8" s="1"/>
  <c r="BF44" i="3"/>
  <c r="Z143" i="3"/>
  <c r="DU60" i="8" s="1"/>
  <c r="Z101" i="3"/>
  <c r="DU18" i="8" s="1"/>
  <c r="Z88" i="3"/>
  <c r="DU5" i="8" s="1"/>
  <c r="Z144" i="3"/>
  <c r="DU61" i="8" s="1"/>
  <c r="BF45" i="3"/>
  <c r="Z100" i="3"/>
  <c r="DU17" i="8" s="1"/>
  <c r="Z91" i="3"/>
  <c r="DU8" i="8" s="1"/>
  <c r="Z87" i="3"/>
  <c r="DU4" i="8" s="1"/>
  <c r="BF50" i="3"/>
  <c r="BF49" i="3"/>
  <c r="BF46" i="3"/>
  <c r="BF52" i="3"/>
  <c r="BF51" i="3"/>
  <c r="BF48" i="3"/>
  <c r="G93" i="3"/>
  <c r="DB10" i="8" s="1"/>
  <c r="G108" i="3"/>
  <c r="DB25" i="8" s="1"/>
  <c r="G107" i="3"/>
  <c r="DB24" i="8" s="1"/>
  <c r="G90" i="3"/>
  <c r="DB7" i="8" s="1"/>
  <c r="G126" i="3"/>
  <c r="DB43" i="8" s="1"/>
  <c r="G141" i="3"/>
  <c r="DB58" i="8" s="1"/>
  <c r="G118" i="3"/>
  <c r="DB35" i="8" s="1"/>
  <c r="G108" i="9"/>
  <c r="G97" i="9"/>
  <c r="DC20" i="5" s="1"/>
  <c r="G89" i="9"/>
  <c r="S105" i="3"/>
  <c r="DN22" i="8" s="1"/>
  <c r="S116" i="3"/>
  <c r="DN33" i="8" s="1"/>
  <c r="S132" i="3"/>
  <c r="DN49" i="8" s="1"/>
  <c r="S139" i="3"/>
  <c r="DN56" i="8" s="1"/>
  <c r="S124" i="3"/>
  <c r="DN41" i="8" s="1"/>
  <c r="K107" i="9"/>
  <c r="DG30" i="5" s="1"/>
  <c r="K88" i="9"/>
  <c r="DG11" i="5" s="1"/>
  <c r="K96" i="9"/>
  <c r="T107" i="9"/>
  <c r="DP30" i="5" s="1"/>
  <c r="T88" i="9"/>
  <c r="DP11" i="5" s="1"/>
  <c r="T96" i="9"/>
  <c r="DP19" i="5" s="1"/>
  <c r="AG110" i="9"/>
  <c r="EC33" i="5" s="1"/>
  <c r="AG118" i="9"/>
  <c r="EC41" i="5" s="1"/>
  <c r="AG117" i="9"/>
  <c r="EC40" i="5" s="1"/>
  <c r="AG121" i="9"/>
  <c r="EC44" i="5" s="1"/>
  <c r="AG120" i="9"/>
  <c r="EC43" i="5" s="1"/>
  <c r="AG125" i="9"/>
  <c r="EC48" i="5" s="1"/>
  <c r="AG119" i="9"/>
  <c r="EC42" i="5" s="1"/>
  <c r="AG127" i="9"/>
  <c r="EC50" i="5" s="1"/>
  <c r="AG100" i="9"/>
  <c r="EC23" i="5" s="1"/>
  <c r="AG99" i="9"/>
  <c r="EC22" i="5" s="1"/>
  <c r="AG81" i="9"/>
  <c r="AG123" i="9"/>
  <c r="EC46" i="5" s="1"/>
  <c r="AG84" i="9"/>
  <c r="EC7" i="5" s="1"/>
  <c r="AG83" i="9"/>
  <c r="EC6" i="5" s="1"/>
  <c r="AG91" i="9"/>
  <c r="EC14" i="5" s="1"/>
  <c r="AG82" i="9"/>
  <c r="EC5" i="5" s="1"/>
  <c r="W96" i="3"/>
  <c r="DR13" i="8" s="1"/>
  <c r="W92" i="3"/>
  <c r="DR9" i="8" s="1"/>
  <c r="BC44" i="3"/>
  <c r="W88" i="3"/>
  <c r="DR5" i="8" s="1"/>
  <c r="W94" i="3"/>
  <c r="DR11" i="8" s="1"/>
  <c r="W101" i="3"/>
  <c r="DR18" i="8" s="1"/>
  <c r="BC53" i="3"/>
  <c r="W91" i="3"/>
  <c r="DR8" i="8" s="1"/>
  <c r="W100" i="3"/>
  <c r="DR17" i="8" s="1"/>
  <c r="W129" i="3"/>
  <c r="DR46" i="8" s="1"/>
  <c r="W128" i="3"/>
  <c r="DR45" i="8" s="1"/>
  <c r="W95" i="3"/>
  <c r="DR12" i="8" s="1"/>
  <c r="W123" i="3"/>
  <c r="DR40" i="8" s="1"/>
  <c r="W130" i="3"/>
  <c r="DR47" i="8" s="1"/>
  <c r="W112" i="3"/>
  <c r="DR29" i="8" s="1"/>
  <c r="BC45" i="3"/>
  <c r="BC47" i="3"/>
  <c r="W87" i="3"/>
  <c r="DR4" i="8" s="1"/>
  <c r="W144" i="3"/>
  <c r="DR61" i="8" s="1"/>
  <c r="W143" i="3"/>
  <c r="DR60" i="8" s="1"/>
  <c r="BC49" i="3"/>
  <c r="BC51" i="3"/>
  <c r="BC48" i="3"/>
  <c r="BC50" i="3"/>
  <c r="BC52" i="3"/>
  <c r="BC46" i="3"/>
  <c r="W131" i="3"/>
  <c r="DR48" i="8" s="1"/>
  <c r="Q122" i="3"/>
  <c r="DL39" i="8" s="1"/>
  <c r="Q111" i="3"/>
  <c r="DL28" i="8" s="1"/>
  <c r="Q99" i="3"/>
  <c r="DL16" i="8" s="1"/>
  <c r="Q135" i="3"/>
  <c r="DL52" i="8" s="1"/>
  <c r="Q89" i="9"/>
  <c r="DM12" i="5" s="1"/>
  <c r="Q97" i="9"/>
  <c r="Q108" i="9"/>
  <c r="DM31" i="5" s="1"/>
  <c r="AG97" i="9"/>
  <c r="EC20" i="5" s="1"/>
  <c r="AG108" i="9"/>
  <c r="EC31" i="5" s="1"/>
  <c r="AG89" i="9"/>
  <c r="EC12" i="5" s="1"/>
  <c r="AA98" i="9"/>
  <c r="DW21" i="5" s="1"/>
  <c r="AA90" i="9"/>
  <c r="DW13" i="5" s="1"/>
  <c r="AA109" i="9"/>
  <c r="DW32" i="5" s="1"/>
  <c r="AA85" i="9"/>
  <c r="DW8" i="5" s="1"/>
  <c r="AA124" i="9"/>
  <c r="DW47" i="5" s="1"/>
  <c r="O99" i="3"/>
  <c r="DJ16" i="8" s="1"/>
  <c r="O135" i="3"/>
  <c r="DJ52" i="8" s="1"/>
  <c r="O111" i="3"/>
  <c r="DJ28" i="8" s="1"/>
  <c r="O122" i="3"/>
  <c r="DJ39" i="8" s="1"/>
  <c r="G134" i="3"/>
  <c r="DB51" i="8" s="1"/>
  <c r="G121" i="3"/>
  <c r="DB38" i="8" s="1"/>
  <c r="G110" i="3"/>
  <c r="DB27" i="8" s="1"/>
  <c r="G98" i="3"/>
  <c r="DB15" i="8" s="1"/>
  <c r="M117" i="3"/>
  <c r="DH34" i="8" s="1"/>
  <c r="M125" i="3"/>
  <c r="DH42" i="8" s="1"/>
  <c r="M140" i="3"/>
  <c r="DH57" i="8" s="1"/>
  <c r="M106" i="3"/>
  <c r="DH23" i="8" s="1"/>
  <c r="F133" i="3"/>
  <c r="DA50" i="8" s="1"/>
  <c r="F120" i="3"/>
  <c r="DA37" i="8" s="1"/>
  <c r="F109" i="3"/>
  <c r="DA26" i="8" s="1"/>
  <c r="F97" i="3"/>
  <c r="DA14" i="8" s="1"/>
  <c r="H137" i="3"/>
  <c r="DC54" i="8" s="1"/>
  <c r="H103" i="3"/>
  <c r="DC20" i="8" s="1"/>
  <c r="H114" i="3"/>
  <c r="DC31" i="8" s="1"/>
  <c r="H106" i="3"/>
  <c r="DC23" i="8" s="1"/>
  <c r="H140" i="3"/>
  <c r="DC57" i="8" s="1"/>
  <c r="H125" i="3"/>
  <c r="DC42" i="8" s="1"/>
  <c r="H117" i="3"/>
  <c r="DC34" i="8" s="1"/>
  <c r="H111" i="3"/>
  <c r="DC28" i="8" s="1"/>
  <c r="H99" i="3"/>
  <c r="DC16" i="8" s="1"/>
  <c r="H122" i="3"/>
  <c r="DC39" i="8" s="1"/>
  <c r="H135" i="3"/>
  <c r="DC52" i="8" s="1"/>
  <c r="O97" i="3"/>
  <c r="DJ14" i="8" s="1"/>
  <c r="O120" i="3"/>
  <c r="DJ37" i="8" s="1"/>
  <c r="O133" i="3"/>
  <c r="DJ50" i="8" s="1"/>
  <c r="O109" i="3"/>
  <c r="DJ26" i="8" s="1"/>
  <c r="O94" i="3"/>
  <c r="DJ11" i="8" s="1"/>
  <c r="O96" i="3"/>
  <c r="DJ13" i="8" s="1"/>
  <c r="O112" i="3"/>
  <c r="DJ29" i="8" s="1"/>
  <c r="O123" i="3"/>
  <c r="DJ40" i="8" s="1"/>
  <c r="O144" i="3"/>
  <c r="DJ61" i="8" s="1"/>
  <c r="O95" i="3"/>
  <c r="DJ12" i="8" s="1"/>
  <c r="O100" i="3"/>
  <c r="DJ17" i="8" s="1"/>
  <c r="O92" i="3"/>
  <c r="DJ9" i="8" s="1"/>
  <c r="O129" i="3"/>
  <c r="DJ46" i="8" s="1"/>
  <c r="O143" i="3"/>
  <c r="DJ60" i="8" s="1"/>
  <c r="O128" i="3"/>
  <c r="DJ45" i="8" s="1"/>
  <c r="O87" i="3"/>
  <c r="DJ4" i="8" s="1"/>
  <c r="O91" i="3"/>
  <c r="DJ8" i="8" s="1"/>
  <c r="O88" i="3"/>
  <c r="DJ5" i="8" s="1"/>
  <c r="O101" i="3"/>
  <c r="DJ18" i="8" s="1"/>
  <c r="O130" i="3"/>
  <c r="DJ47" i="8" s="1"/>
  <c r="O131" i="3"/>
  <c r="DJ48" i="8" s="1"/>
  <c r="O105" i="3"/>
  <c r="DJ22" i="8" s="1"/>
  <c r="O139" i="3"/>
  <c r="DJ56" i="8" s="1"/>
  <c r="O116" i="3"/>
  <c r="DJ33" i="8" s="1"/>
  <c r="O132" i="3"/>
  <c r="DJ49" i="8" s="1"/>
  <c r="O124" i="3"/>
  <c r="DJ41" i="8" s="1"/>
  <c r="M103" i="3"/>
  <c r="DH20" i="8" s="1"/>
  <c r="M137" i="3"/>
  <c r="DH54" i="8" s="1"/>
  <c r="M114" i="3"/>
  <c r="DH31" i="8" s="1"/>
  <c r="N85" i="9"/>
  <c r="N90" i="9"/>
  <c r="N109" i="9"/>
  <c r="N98" i="9"/>
  <c r="DJ21" i="5" s="1"/>
  <c r="N124" i="9"/>
  <c r="DJ47" i="5" s="1"/>
  <c r="H93" i="9"/>
  <c r="H104" i="9"/>
  <c r="H114" i="9"/>
  <c r="K126" i="9"/>
  <c r="K115" i="9"/>
  <c r="K94" i="9"/>
  <c r="DG17" i="5" s="1"/>
  <c r="K87" i="9"/>
  <c r="K106" i="9"/>
  <c r="K105" i="9"/>
  <c r="Q112" i="9"/>
  <c r="Q102" i="9"/>
  <c r="DM25" i="5" s="1"/>
  <c r="S86" i="9"/>
  <c r="S101" i="9"/>
  <c r="S111" i="9"/>
  <c r="DO34" i="5" s="1"/>
  <c r="Q103" i="9"/>
  <c r="DM26" i="5" s="1"/>
  <c r="Q122" i="9"/>
  <c r="Q92" i="9"/>
  <c r="Q113" i="9"/>
  <c r="E103" i="9"/>
  <c r="E122" i="9"/>
  <c r="E92" i="9"/>
  <c r="E113" i="9"/>
  <c r="N97" i="9"/>
  <c r="N108" i="9"/>
  <c r="N89" i="9"/>
  <c r="DJ12" i="5" s="1"/>
  <c r="H125" i="9"/>
  <c r="DD48" i="5" s="1"/>
  <c r="H123" i="9"/>
  <c r="DD46" i="5" s="1"/>
  <c r="H127" i="9"/>
  <c r="H110" i="9"/>
  <c r="H91" i="9"/>
  <c r="DD14" i="5" s="1"/>
  <c r="H84" i="9"/>
  <c r="H99" i="9"/>
  <c r="DD22" i="5" s="1"/>
  <c r="H100" i="9"/>
  <c r="H121" i="9"/>
  <c r="H120" i="9"/>
  <c r="DD43" i="5" s="1"/>
  <c r="H119" i="9"/>
  <c r="H81" i="9"/>
  <c r="H118" i="9"/>
  <c r="H83" i="9"/>
  <c r="H117" i="9"/>
  <c r="H82" i="9"/>
  <c r="U93" i="3"/>
  <c r="DP10" i="8" s="1"/>
  <c r="U141" i="3"/>
  <c r="DP58" i="8" s="1"/>
  <c r="U118" i="3"/>
  <c r="DP35" i="8" s="1"/>
  <c r="U126" i="3"/>
  <c r="DP43" i="8" s="1"/>
  <c r="U90" i="3"/>
  <c r="DP7" i="8" s="1"/>
  <c r="U107" i="3"/>
  <c r="DP24" i="8" s="1"/>
  <c r="U108" i="3"/>
  <c r="DP25" i="8" s="1"/>
  <c r="U112" i="9"/>
  <c r="DQ35" i="5" s="1"/>
  <c r="U102" i="9"/>
  <c r="DQ25" i="5" s="1"/>
  <c r="W27" i="6"/>
  <c r="W88" i="9"/>
  <c r="DS11" i="5" s="1"/>
  <c r="W96" i="9"/>
  <c r="DS19" i="5" s="1"/>
  <c r="W107" i="9"/>
  <c r="DS30" i="5" s="1"/>
  <c r="AF102" i="9"/>
  <c r="EB25" i="5" s="1"/>
  <c r="AF112" i="9"/>
  <c r="EB35" i="5" s="1"/>
  <c r="Y111" i="9"/>
  <c r="DU34" i="5" s="1"/>
  <c r="Y101" i="9"/>
  <c r="DU24" i="5" s="1"/>
  <c r="Y86" i="9"/>
  <c r="DU9" i="5" s="1"/>
  <c r="W95" i="9"/>
  <c r="DS18" i="5" s="1"/>
  <c r="W116" i="9"/>
  <c r="DS39" i="5" s="1"/>
  <c r="AD114" i="9"/>
  <c r="DZ37" i="5" s="1"/>
  <c r="AD104" i="9"/>
  <c r="DZ27" i="5" s="1"/>
  <c r="AD93" i="9"/>
  <c r="DZ16" i="5" s="1"/>
  <c r="AC126" i="9"/>
  <c r="DY49" i="5" s="1"/>
  <c r="AC87" i="9"/>
  <c r="DY10" i="5" s="1"/>
  <c r="AC106" i="9"/>
  <c r="DY29" i="5" s="1"/>
  <c r="AC105" i="9"/>
  <c r="DY28" i="5" s="1"/>
  <c r="AC115" i="9"/>
  <c r="DY38" i="5" s="1"/>
  <c r="AC94" i="9"/>
  <c r="DY17" i="5" s="1"/>
  <c r="AG126" i="9"/>
  <c r="EC49" i="5" s="1"/>
  <c r="AG105" i="9"/>
  <c r="EC28" i="5" s="1"/>
  <c r="AG87" i="9"/>
  <c r="EC10" i="5" s="1"/>
  <c r="AG115" i="9"/>
  <c r="EC38" i="5" s="1"/>
  <c r="AG94" i="9"/>
  <c r="EC17" i="5" s="1"/>
  <c r="AG106" i="9"/>
  <c r="EC29" i="5" s="1"/>
  <c r="AH85" i="9"/>
  <c r="ED8" i="5" s="1"/>
  <c r="AH90" i="9"/>
  <c r="ED13" i="5" s="1"/>
  <c r="AH98" i="9"/>
  <c r="ED21" i="5" s="1"/>
  <c r="AH124" i="9"/>
  <c r="ED47" i="5" s="1"/>
  <c r="AH109" i="9"/>
  <c r="ED32" i="5" s="1"/>
  <c r="W126" i="9"/>
  <c r="W115" i="9"/>
  <c r="DS38" i="5" s="1"/>
  <c r="W94" i="9"/>
  <c r="DS17" i="5" s="1"/>
  <c r="W106" i="9"/>
  <c r="DS29" i="5" s="1"/>
  <c r="W105" i="9"/>
  <c r="DS28" i="5" s="1"/>
  <c r="W87" i="9"/>
  <c r="DS10" i="5" s="1"/>
  <c r="Z98" i="9"/>
  <c r="DV21" i="5" s="1"/>
  <c r="Z124" i="9"/>
  <c r="DV47" i="5" s="1"/>
  <c r="Z109" i="9"/>
  <c r="DV32" i="5" s="1"/>
  <c r="Z90" i="9"/>
  <c r="DV13" i="5" s="1"/>
  <c r="Z85" i="9"/>
  <c r="DV8" i="5" s="1"/>
  <c r="BE24" i="3"/>
  <c r="Y134" i="3"/>
  <c r="DT51" i="8" s="1"/>
  <c r="BE21" i="3"/>
  <c r="Y98" i="3"/>
  <c r="DT15" i="8" s="1"/>
  <c r="BE23" i="3"/>
  <c r="Y121" i="3"/>
  <c r="DT38" i="8" s="1"/>
  <c r="Y110" i="3"/>
  <c r="DT27" i="8" s="1"/>
  <c r="BE22" i="3"/>
  <c r="AE135" i="3"/>
  <c r="DZ52" i="8" s="1"/>
  <c r="AE99" i="3"/>
  <c r="DZ16" i="8" s="1"/>
  <c r="AE111" i="3"/>
  <c r="DZ28" i="8" s="1"/>
  <c r="AE122" i="3"/>
  <c r="DZ39" i="8" s="1"/>
  <c r="BK10" i="3"/>
  <c r="BK9" i="3"/>
  <c r="BK11" i="3"/>
  <c r="BK12" i="3"/>
  <c r="Y105" i="3"/>
  <c r="DT22" i="8" s="1"/>
  <c r="BE19" i="3"/>
  <c r="BE16" i="3"/>
  <c r="Y116" i="3"/>
  <c r="DT33" i="8" s="1"/>
  <c r="Y139" i="3"/>
  <c r="DT56" i="8" s="1"/>
  <c r="Y132" i="3"/>
  <c r="DT49" i="8" s="1"/>
  <c r="Y124" i="3"/>
  <c r="DT41" i="8" s="1"/>
  <c r="BE18" i="3"/>
  <c r="BE17" i="3"/>
  <c r="BE20" i="3"/>
  <c r="AH94" i="3"/>
  <c r="EC11" i="8" s="1"/>
  <c r="BN53" i="3"/>
  <c r="AH123" i="3"/>
  <c r="EC40" i="8" s="1"/>
  <c r="AH130" i="3"/>
  <c r="EC47" i="8" s="1"/>
  <c r="AH95" i="3"/>
  <c r="EC12" i="8" s="1"/>
  <c r="AH129" i="3"/>
  <c r="EC46" i="8" s="1"/>
  <c r="BN45" i="3"/>
  <c r="AH128" i="3"/>
  <c r="EC45" i="8" s="1"/>
  <c r="AH87" i="3"/>
  <c r="EC4" i="8" s="1"/>
  <c r="AH92" i="3"/>
  <c r="EC9" i="8" s="1"/>
  <c r="BN47" i="3"/>
  <c r="AH112" i="3"/>
  <c r="EC29" i="8" s="1"/>
  <c r="AH144" i="3"/>
  <c r="EC61" i="8" s="1"/>
  <c r="AH91" i="3"/>
  <c r="EC8" i="8" s="1"/>
  <c r="AH143" i="3"/>
  <c r="EC60" i="8" s="1"/>
  <c r="BN44" i="3"/>
  <c r="AH88" i="3"/>
  <c r="EC5" i="8" s="1"/>
  <c r="AH101" i="3"/>
  <c r="EC18" i="8" s="1"/>
  <c r="AH100" i="3"/>
  <c r="EC17" i="8" s="1"/>
  <c r="AH96" i="3"/>
  <c r="EC13" i="8" s="1"/>
  <c r="BN48" i="3"/>
  <c r="BN51" i="3"/>
  <c r="BN52" i="3"/>
  <c r="BN49" i="3"/>
  <c r="BN50" i="3"/>
  <c r="BN46" i="3"/>
  <c r="AH131" i="3"/>
  <c r="EC48" i="8" s="1"/>
  <c r="BG22" i="3"/>
  <c r="AA98" i="3"/>
  <c r="DV15" i="8" s="1"/>
  <c r="AA110" i="3"/>
  <c r="DV27" i="8" s="1"/>
  <c r="AA121" i="3"/>
  <c r="DV38" i="8" s="1"/>
  <c r="AA134" i="3"/>
  <c r="DV51" i="8" s="1"/>
  <c r="BG23" i="3"/>
  <c r="BG21" i="3"/>
  <c r="BG24" i="3"/>
  <c r="BD10" i="3"/>
  <c r="BD12" i="3"/>
  <c r="X135" i="3"/>
  <c r="DS52" i="8" s="1"/>
  <c r="X99" i="3"/>
  <c r="DS16" i="8" s="1"/>
  <c r="X122" i="3"/>
  <c r="DS39" i="8" s="1"/>
  <c r="X111" i="3"/>
  <c r="DS28" i="8" s="1"/>
  <c r="BD9" i="3"/>
  <c r="BD11" i="3"/>
  <c r="AG105" i="3"/>
  <c r="EB22" i="8" s="1"/>
  <c r="AG139" i="3"/>
  <c r="EB56" i="8" s="1"/>
  <c r="BM19" i="3"/>
  <c r="BM16" i="3"/>
  <c r="AG124" i="3"/>
  <c r="EB41" i="8" s="1"/>
  <c r="AG132" i="3"/>
  <c r="EB49" i="8" s="1"/>
  <c r="BM17" i="3"/>
  <c r="AG116" i="3"/>
  <c r="EB33" i="8" s="1"/>
  <c r="BM18" i="3"/>
  <c r="BM20" i="3"/>
  <c r="AC102" i="3"/>
  <c r="DX19" i="8" s="1"/>
  <c r="AC113" i="3"/>
  <c r="DX30" i="8" s="1"/>
  <c r="AC89" i="3"/>
  <c r="DX6" i="8" s="1"/>
  <c r="AC136" i="3"/>
  <c r="DX53" i="8" s="1"/>
  <c r="BI58" i="3"/>
  <c r="BI57" i="3"/>
  <c r="BI59" i="3"/>
  <c r="BI60" i="3"/>
  <c r="Z126" i="9"/>
  <c r="DV49" i="5" s="1"/>
  <c r="Z106" i="9"/>
  <c r="DV29" i="5" s="1"/>
  <c r="Z105" i="9"/>
  <c r="DV28" i="5" s="1"/>
  <c r="Z115" i="9"/>
  <c r="DV38" i="5" s="1"/>
  <c r="Z94" i="9"/>
  <c r="DV17" i="5" s="1"/>
  <c r="Z87" i="9"/>
  <c r="DV10" i="5" s="1"/>
  <c r="X109" i="9"/>
  <c r="DT32" i="5" s="1"/>
  <c r="X90" i="9"/>
  <c r="DT13" i="5" s="1"/>
  <c r="X85" i="9"/>
  <c r="DT8" i="5" s="1"/>
  <c r="X98" i="9"/>
  <c r="DT21" i="5" s="1"/>
  <c r="X124" i="9"/>
  <c r="DT47" i="5" s="1"/>
  <c r="BH44" i="3"/>
  <c r="AB87" i="3"/>
  <c r="DW4" i="8" s="1"/>
  <c r="AB100" i="3"/>
  <c r="DW17" i="8" s="1"/>
  <c r="AB123" i="3"/>
  <c r="DW40" i="8" s="1"/>
  <c r="AB96" i="3"/>
  <c r="DW13" i="8" s="1"/>
  <c r="AB92" i="3"/>
  <c r="DW9" i="8" s="1"/>
  <c r="BH53" i="3"/>
  <c r="AB91" i="3"/>
  <c r="DW8" i="8" s="1"/>
  <c r="AB131" i="3"/>
  <c r="DW48" i="8" s="1"/>
  <c r="AB88" i="3"/>
  <c r="DW5" i="8" s="1"/>
  <c r="AB101" i="3"/>
  <c r="DW18" i="8" s="1"/>
  <c r="AB130" i="3"/>
  <c r="DW47" i="8" s="1"/>
  <c r="AB95" i="3"/>
  <c r="DW12" i="8" s="1"/>
  <c r="BH47" i="3"/>
  <c r="AB129" i="3"/>
  <c r="DW46" i="8" s="1"/>
  <c r="AB144" i="3"/>
  <c r="DW61" i="8" s="1"/>
  <c r="AB128" i="3"/>
  <c r="DW45" i="8" s="1"/>
  <c r="AB143" i="3"/>
  <c r="DW60" i="8" s="1"/>
  <c r="BH50" i="3"/>
  <c r="AB94" i="3"/>
  <c r="DW11" i="8" s="1"/>
  <c r="AB112" i="3"/>
  <c r="DW29" i="8" s="1"/>
  <c r="BH45" i="3"/>
  <c r="BH51" i="3"/>
  <c r="BH48" i="3"/>
  <c r="BH52" i="3"/>
  <c r="BH49" i="3"/>
  <c r="BH46" i="3"/>
  <c r="AH119" i="3"/>
  <c r="EC36" i="8" s="1"/>
  <c r="BN61" i="3"/>
  <c r="AH142" i="3"/>
  <c r="EC59" i="8" s="1"/>
  <c r="AH127" i="3"/>
  <c r="EC44" i="8" s="1"/>
  <c r="BN62" i="3"/>
  <c r="BN63" i="3"/>
  <c r="BN64" i="3"/>
  <c r="BH28" i="3"/>
  <c r="BH25" i="3"/>
  <c r="BH27" i="3"/>
  <c r="AB117" i="3"/>
  <c r="DW34" i="8" s="1"/>
  <c r="AB106" i="3"/>
  <c r="DW23" i="8" s="1"/>
  <c r="AB125" i="3"/>
  <c r="DW42" i="8" s="1"/>
  <c r="AB140" i="3"/>
  <c r="DW57" i="8" s="1"/>
  <c r="BH26" i="3"/>
  <c r="BD54" i="3"/>
  <c r="X103" i="3"/>
  <c r="DS20" i="8" s="1"/>
  <c r="X114" i="3"/>
  <c r="DS31" i="8" s="1"/>
  <c r="X137" i="3"/>
  <c r="DS54" i="8" s="1"/>
  <c r="BD56" i="3"/>
  <c r="BD55" i="3"/>
  <c r="AD27" i="1"/>
  <c r="AD97" i="3"/>
  <c r="DY14" i="8" s="1"/>
  <c r="AD120" i="3"/>
  <c r="DY37" i="8" s="1"/>
  <c r="AD109" i="3"/>
  <c r="DY26" i="8" s="1"/>
  <c r="AD133" i="3"/>
  <c r="DY50" i="8" s="1"/>
  <c r="BJ35" i="3"/>
  <c r="BJ34" i="3"/>
  <c r="BJ36" i="3"/>
  <c r="BJ33" i="3"/>
  <c r="BG61" i="3"/>
  <c r="AA127" i="3"/>
  <c r="DV44" i="8" s="1"/>
  <c r="AA119" i="3"/>
  <c r="DV36" i="8" s="1"/>
  <c r="AA142" i="3"/>
  <c r="DV59" i="8" s="1"/>
  <c r="BG62" i="3"/>
  <c r="BG64" i="3"/>
  <c r="BG63" i="3"/>
  <c r="W118" i="3"/>
  <c r="DR35" i="8" s="1"/>
  <c r="BC5" i="3"/>
  <c r="BC3" i="3"/>
  <c r="W126" i="3"/>
  <c r="DR43" i="8" s="1"/>
  <c r="W107" i="3"/>
  <c r="DR24" i="8" s="1"/>
  <c r="W90" i="3"/>
  <c r="DR7" i="8" s="1"/>
  <c r="W108" i="3"/>
  <c r="DR25" i="8" s="1"/>
  <c r="W93" i="3"/>
  <c r="DR10" i="8" s="1"/>
  <c r="W141" i="3"/>
  <c r="DR58" i="8" s="1"/>
  <c r="BC4" i="3"/>
  <c r="BC6" i="3"/>
  <c r="BC7" i="3"/>
  <c r="BC8" i="3"/>
  <c r="AF137" i="3"/>
  <c r="EA54" i="8" s="1"/>
  <c r="AF103" i="3"/>
  <c r="EA20" i="8" s="1"/>
  <c r="AF114" i="3"/>
  <c r="EA31" i="8" s="1"/>
  <c r="BL55" i="3"/>
  <c r="BL54" i="3"/>
  <c r="BL56" i="3"/>
  <c r="AG27" i="6"/>
  <c r="AG107" i="9"/>
  <c r="EC30" i="5" s="1"/>
  <c r="AG88" i="9"/>
  <c r="EC11" i="5" s="1"/>
  <c r="AG96" i="9"/>
  <c r="EC19" i="5" s="1"/>
  <c r="AB102" i="9"/>
  <c r="DX25" i="5" s="1"/>
  <c r="AB112" i="9"/>
  <c r="DX35" i="5" s="1"/>
  <c r="V116" i="9"/>
  <c r="DR39" i="5" s="1"/>
  <c r="V95" i="9"/>
  <c r="DR18" i="5" s="1"/>
  <c r="AF27" i="6"/>
  <c r="AF96" i="9"/>
  <c r="EB19" i="5" s="1"/>
  <c r="AF88" i="9"/>
  <c r="EB11" i="5" s="1"/>
  <c r="AF107" i="9"/>
  <c r="EB30" i="5" s="1"/>
  <c r="K114" i="3"/>
  <c r="DF31" i="8" s="1"/>
  <c r="K137" i="3"/>
  <c r="DF54" i="8" s="1"/>
  <c r="K103" i="3"/>
  <c r="DF20" i="8" s="1"/>
  <c r="M99" i="3"/>
  <c r="DH16" i="8" s="1"/>
  <c r="M122" i="3"/>
  <c r="DH39" i="8" s="1"/>
  <c r="M111" i="3"/>
  <c r="DH28" i="8" s="1"/>
  <c r="M135" i="3"/>
  <c r="DH52" i="8" s="1"/>
  <c r="F95" i="3"/>
  <c r="DA12" i="8" s="1"/>
  <c r="F92" i="3"/>
  <c r="DA9" i="8" s="1"/>
  <c r="F112" i="3"/>
  <c r="DA29" i="8" s="1"/>
  <c r="F96" i="3"/>
  <c r="DA13" i="8" s="1"/>
  <c r="F94" i="3"/>
  <c r="DA11" i="8" s="1"/>
  <c r="F123" i="3"/>
  <c r="DA40" i="8" s="1"/>
  <c r="F144" i="3"/>
  <c r="DA61" i="8" s="1"/>
  <c r="F143" i="3"/>
  <c r="DA60" i="8" s="1"/>
  <c r="F87" i="3"/>
  <c r="DA4" i="8" s="1"/>
  <c r="F88" i="3"/>
  <c r="DA5" i="8" s="1"/>
  <c r="F128" i="3"/>
  <c r="DA45" i="8" s="1"/>
  <c r="F91" i="3"/>
  <c r="DA8" i="8" s="1"/>
  <c r="F101" i="3"/>
  <c r="DA18" i="8" s="1"/>
  <c r="F130" i="3"/>
  <c r="DA47" i="8" s="1"/>
  <c r="F100" i="3"/>
  <c r="DA17" i="8" s="1"/>
  <c r="F129" i="3"/>
  <c r="DA46" i="8" s="1"/>
  <c r="F131" i="3"/>
  <c r="DA48" i="8" s="1"/>
  <c r="F103" i="3"/>
  <c r="DA20" i="8" s="1"/>
  <c r="F137" i="3"/>
  <c r="DA54" i="8" s="1"/>
  <c r="F114" i="3"/>
  <c r="DA31" i="8" s="1"/>
  <c r="F117" i="3"/>
  <c r="DA34" i="8" s="1"/>
  <c r="F140" i="3"/>
  <c r="DA57" i="8" s="1"/>
  <c r="F125" i="3"/>
  <c r="DA42" i="8" s="1"/>
  <c r="F106" i="3"/>
  <c r="DA23" i="8" s="1"/>
  <c r="F122" i="3"/>
  <c r="DA39" i="8" s="1"/>
  <c r="F111" i="3"/>
  <c r="DA28" i="8" s="1"/>
  <c r="F135" i="3"/>
  <c r="DA52" i="8" s="1"/>
  <c r="F99" i="3"/>
  <c r="DA16" i="8" s="1"/>
  <c r="M133" i="3"/>
  <c r="DH50" i="8" s="1"/>
  <c r="M97" i="3"/>
  <c r="DH14" i="8" s="1"/>
  <c r="M109" i="3"/>
  <c r="DH26" i="8" s="1"/>
  <c r="M120" i="3"/>
  <c r="DH37" i="8" s="1"/>
  <c r="M136" i="3"/>
  <c r="DH53" i="8" s="1"/>
  <c r="M102" i="3"/>
  <c r="DH19" i="8" s="1"/>
  <c r="M89" i="3"/>
  <c r="DH6" i="8" s="1"/>
  <c r="M113" i="3"/>
  <c r="DH30" i="8" s="1"/>
  <c r="O125" i="3"/>
  <c r="DJ42" i="8" s="1"/>
  <c r="O140" i="3"/>
  <c r="DJ57" i="8" s="1"/>
  <c r="O106" i="3"/>
  <c r="DJ23" i="8" s="1"/>
  <c r="O117" i="3"/>
  <c r="DJ34" i="8" s="1"/>
  <c r="S98" i="9"/>
  <c r="DO21" i="5" s="1"/>
  <c r="S85" i="9"/>
  <c r="S124" i="9"/>
  <c r="S90" i="9"/>
  <c r="S109" i="9"/>
  <c r="Q104" i="9"/>
  <c r="DM27" i="5" s="1"/>
  <c r="Q114" i="9"/>
  <c r="DM37" i="5" s="1"/>
  <c r="Q93" i="9"/>
  <c r="E126" i="9"/>
  <c r="E94" i="9"/>
  <c r="DA17" i="5" s="1"/>
  <c r="E87" i="9"/>
  <c r="E115" i="9"/>
  <c r="E105" i="9"/>
  <c r="E106" i="9"/>
  <c r="M96" i="9"/>
  <c r="DI19" i="5" s="1"/>
  <c r="M107" i="9"/>
  <c r="M88" i="9"/>
  <c r="G86" i="9"/>
  <c r="DC9" i="5" s="1"/>
  <c r="G101" i="9"/>
  <c r="DC24" i="5" s="1"/>
  <c r="G111" i="9"/>
  <c r="N113" i="9"/>
  <c r="DJ36" i="5" s="1"/>
  <c r="N122" i="9"/>
  <c r="N103" i="9"/>
  <c r="DJ26" i="5" s="1"/>
  <c r="N92" i="9"/>
  <c r="DJ15" i="5" s="1"/>
  <c r="Q101" i="9"/>
  <c r="DM24" i="5" s="1"/>
  <c r="Q111" i="9"/>
  <c r="DM34" i="5" s="1"/>
  <c r="Q86" i="9"/>
  <c r="K108" i="9"/>
  <c r="DG31" i="5" s="1"/>
  <c r="K89" i="9"/>
  <c r="DG12" i="5" s="1"/>
  <c r="K97" i="9"/>
  <c r="DG20" i="5" s="1"/>
  <c r="M95" i="9"/>
  <c r="M116" i="9"/>
  <c r="DI39" i="5" s="1"/>
  <c r="U114" i="3"/>
  <c r="DP31" i="8" s="1"/>
  <c r="U103" i="3"/>
  <c r="DP20" i="8" s="1"/>
  <c r="U137" i="3"/>
  <c r="DP54" i="8" s="1"/>
  <c r="T125" i="9"/>
  <c r="DP48" i="5" s="1"/>
  <c r="T123" i="9"/>
  <c r="DP46" i="5" s="1"/>
  <c r="T91" i="9"/>
  <c r="DP14" i="5" s="1"/>
  <c r="T127" i="9"/>
  <c r="DP50" i="5" s="1"/>
  <c r="T110" i="9"/>
  <c r="DP33" i="5" s="1"/>
  <c r="T82" i="9"/>
  <c r="DP5" i="5" s="1"/>
  <c r="T119" i="9"/>
  <c r="DP42" i="5" s="1"/>
  <c r="T118" i="9"/>
  <c r="DP41" i="5" s="1"/>
  <c r="T117" i="9"/>
  <c r="DP40" i="5" s="1"/>
  <c r="T121" i="9"/>
  <c r="DP44" i="5" s="1"/>
  <c r="T81" i="9"/>
  <c r="DP4" i="5" s="1"/>
  <c r="T100" i="9"/>
  <c r="DP23" i="5" s="1"/>
  <c r="T120" i="9"/>
  <c r="DP43" i="5" s="1"/>
  <c r="T99" i="9"/>
  <c r="DP22" i="5" s="1"/>
  <c r="T84" i="9"/>
  <c r="DP7" i="5" s="1"/>
  <c r="T83" i="9"/>
  <c r="DP6" i="5" s="1"/>
  <c r="AZ7" i="3"/>
  <c r="AD27" i="6"/>
  <c r="AD88" i="9"/>
  <c r="DZ11" i="5" s="1"/>
  <c r="AD96" i="9"/>
  <c r="DZ19" i="5" s="1"/>
  <c r="AD107" i="9"/>
  <c r="DZ30" i="5" s="1"/>
  <c r="AD112" i="9"/>
  <c r="DZ35" i="5" s="1"/>
  <c r="AD102" i="9"/>
  <c r="DZ25" i="5" s="1"/>
  <c r="AD111" i="9"/>
  <c r="DZ34" i="5" s="1"/>
  <c r="AD101" i="9"/>
  <c r="DZ24" i="5" s="1"/>
  <c r="AD86" i="9"/>
  <c r="DZ9" i="5" s="1"/>
  <c r="AG95" i="9"/>
  <c r="EC18" i="5" s="1"/>
  <c r="AG116" i="9"/>
  <c r="EC39" i="5" s="1"/>
  <c r="X103" i="9"/>
  <c r="DT26" i="5" s="1"/>
  <c r="X113" i="9"/>
  <c r="DT36" i="5" s="1"/>
  <c r="X122" i="9"/>
  <c r="DT45" i="5" s="1"/>
  <c r="X92" i="9"/>
  <c r="DT15" i="5" s="1"/>
  <c r="AA113" i="9"/>
  <c r="DW36" i="5" s="1"/>
  <c r="AA122" i="9"/>
  <c r="DW45" i="5" s="1"/>
  <c r="AA92" i="9"/>
  <c r="DW15" i="5" s="1"/>
  <c r="AA103" i="9"/>
  <c r="DW26" i="5" s="1"/>
  <c r="X126" i="9"/>
  <c r="DT49" i="5" s="1"/>
  <c r="X87" i="9"/>
  <c r="DT10" i="5" s="1"/>
  <c r="X106" i="9"/>
  <c r="DT29" i="5" s="1"/>
  <c r="X105" i="9"/>
  <c r="DT28" i="5" s="1"/>
  <c r="X115" i="9"/>
  <c r="DT38" i="5" s="1"/>
  <c r="X94" i="9"/>
  <c r="DT17" i="5" s="1"/>
  <c r="AD98" i="9"/>
  <c r="DZ21" i="5" s="1"/>
  <c r="AD90" i="9"/>
  <c r="DZ13" i="5" s="1"/>
  <c r="AD85" i="9"/>
  <c r="DZ8" i="5" s="1"/>
  <c r="AD109" i="9"/>
  <c r="DZ32" i="5" s="1"/>
  <c r="AD124" i="9"/>
  <c r="DZ47" i="5" s="1"/>
  <c r="AC92" i="9"/>
  <c r="DY15" i="5" s="1"/>
  <c r="AC113" i="9"/>
  <c r="DY36" i="5" s="1"/>
  <c r="AC122" i="9"/>
  <c r="DY45" i="5" s="1"/>
  <c r="AC103" i="9"/>
  <c r="DY26" i="5" s="1"/>
  <c r="AE102" i="3"/>
  <c r="DZ19" i="8" s="1"/>
  <c r="AE113" i="3"/>
  <c r="DZ30" i="8" s="1"/>
  <c r="AE89" i="3"/>
  <c r="DZ6" i="8" s="1"/>
  <c r="AE136" i="3"/>
  <c r="DZ53" i="8" s="1"/>
  <c r="BK57" i="3"/>
  <c r="BK58" i="3"/>
  <c r="BK60" i="3"/>
  <c r="BK59" i="3"/>
  <c r="AC90" i="3"/>
  <c r="DX7" i="8" s="1"/>
  <c r="AC118" i="3"/>
  <c r="DX35" i="8" s="1"/>
  <c r="AC126" i="3"/>
  <c r="DX43" i="8" s="1"/>
  <c r="BI7" i="3"/>
  <c r="BI4" i="3"/>
  <c r="BI5" i="3"/>
  <c r="BI6" i="3"/>
  <c r="AC93" i="3"/>
  <c r="DX10" i="8" s="1"/>
  <c r="BI3" i="3"/>
  <c r="AC108" i="3"/>
  <c r="DX25" i="8" s="1"/>
  <c r="AC107" i="3"/>
  <c r="DX24" i="8" s="1"/>
  <c r="AC141" i="3"/>
  <c r="DX58" i="8" s="1"/>
  <c r="BI8" i="3"/>
  <c r="AE118" i="3"/>
  <c r="DZ35" i="8" s="1"/>
  <c r="AE93" i="3"/>
  <c r="DZ10" i="8" s="1"/>
  <c r="AE141" i="3"/>
  <c r="DZ58" i="8" s="1"/>
  <c r="BK3" i="3"/>
  <c r="AE108" i="3"/>
  <c r="DZ25" i="8" s="1"/>
  <c r="AE126" i="3"/>
  <c r="DZ43" i="8" s="1"/>
  <c r="AE107" i="3"/>
  <c r="DZ24" i="8" s="1"/>
  <c r="AE90" i="3"/>
  <c r="DZ7" i="8" s="1"/>
  <c r="BK7" i="3"/>
  <c r="BK8" i="3"/>
  <c r="BK4" i="3"/>
  <c r="BK5" i="3"/>
  <c r="BK6" i="3"/>
  <c r="BG20" i="3"/>
  <c r="AA105" i="3"/>
  <c r="DV22" i="8" s="1"/>
  <c r="BG16" i="3"/>
  <c r="BG17" i="3"/>
  <c r="AA132" i="3"/>
  <c r="DV49" i="8" s="1"/>
  <c r="AA116" i="3"/>
  <c r="DV33" i="8" s="1"/>
  <c r="AA124" i="3"/>
  <c r="DV41" i="8" s="1"/>
  <c r="AA139" i="3"/>
  <c r="DV56" i="8" s="1"/>
  <c r="BG19" i="3"/>
  <c r="BG18" i="3"/>
  <c r="BM24" i="3"/>
  <c r="AG110" i="3"/>
  <c r="EB27" i="8" s="1"/>
  <c r="AG121" i="3"/>
  <c r="EB38" i="8" s="1"/>
  <c r="AG134" i="3"/>
  <c r="EB51" i="8" s="1"/>
  <c r="AG98" i="3"/>
  <c r="EB15" i="8" s="1"/>
  <c r="BM22" i="3"/>
  <c r="BM21" i="3"/>
  <c r="BM23" i="3"/>
  <c r="AG106" i="3"/>
  <c r="EB23" i="8" s="1"/>
  <c r="AG125" i="3"/>
  <c r="EB42" i="8" s="1"/>
  <c r="AG140" i="3"/>
  <c r="EB57" i="8" s="1"/>
  <c r="AG117" i="3"/>
  <c r="EB34" i="8" s="1"/>
  <c r="BM27" i="3"/>
  <c r="BM25" i="3"/>
  <c r="BM28" i="3"/>
  <c r="BM26" i="3"/>
  <c r="BF11" i="3"/>
  <c r="Z122" i="3"/>
  <c r="DU39" i="8" s="1"/>
  <c r="Z111" i="3"/>
  <c r="DU28" i="8" s="1"/>
  <c r="Z135" i="3"/>
  <c r="DU52" i="8" s="1"/>
  <c r="Z99" i="3"/>
  <c r="DU16" i="8" s="1"/>
  <c r="BF12" i="3"/>
  <c r="BF9" i="3"/>
  <c r="BF10" i="3"/>
  <c r="V140" i="3"/>
  <c r="DQ57" i="8" s="1"/>
  <c r="BB26" i="3"/>
  <c r="V117" i="3"/>
  <c r="DQ34" i="8" s="1"/>
  <c r="V125" i="3"/>
  <c r="DQ42" i="8" s="1"/>
  <c r="V106" i="3"/>
  <c r="DQ23" i="8" s="1"/>
  <c r="BB25" i="3"/>
  <c r="BB28" i="3"/>
  <c r="BB27" i="3"/>
  <c r="N98" i="3"/>
  <c r="DI15" i="8" s="1"/>
  <c r="N110" i="3"/>
  <c r="DI27" i="8" s="1"/>
  <c r="N134" i="3"/>
  <c r="DI51" i="8" s="1"/>
  <c r="N121" i="3"/>
  <c r="DI38" i="8" s="1"/>
  <c r="T126" i="9"/>
  <c r="DP49" i="5" s="1"/>
  <c r="T94" i="9"/>
  <c r="DP17" i="5" s="1"/>
  <c r="T87" i="9"/>
  <c r="DP10" i="5" s="1"/>
  <c r="T115" i="9"/>
  <c r="DP38" i="5" s="1"/>
  <c r="T106" i="9"/>
  <c r="DP29" i="5" s="1"/>
  <c r="T105" i="9"/>
  <c r="DP28" i="5" s="1"/>
  <c r="X111" i="9"/>
  <c r="DT34" i="5" s="1"/>
  <c r="X101" i="9"/>
  <c r="DT24" i="5" s="1"/>
  <c r="X86" i="9"/>
  <c r="DT9" i="5" s="1"/>
  <c r="AC89" i="9"/>
  <c r="DY12" i="5" s="1"/>
  <c r="AC108" i="9"/>
  <c r="DY31" i="5" s="1"/>
  <c r="AC97" i="9"/>
  <c r="DY20" i="5" s="1"/>
  <c r="Q142" i="3"/>
  <c r="DL59" i="8" s="1"/>
  <c r="Q127" i="3"/>
  <c r="DL44" i="8" s="1"/>
  <c r="Q119" i="3"/>
  <c r="DL36" i="8" s="1"/>
  <c r="J89" i="3"/>
  <c r="DE6" i="8" s="1"/>
  <c r="J136" i="3"/>
  <c r="DE53" i="8" s="1"/>
  <c r="J113" i="3"/>
  <c r="DE30" i="8" s="1"/>
  <c r="J102" i="3"/>
  <c r="DE19" i="8" s="1"/>
  <c r="L118" i="3"/>
  <c r="DG35" i="8" s="1"/>
  <c r="L93" i="3"/>
  <c r="DG10" i="8" s="1"/>
  <c r="L141" i="3"/>
  <c r="DG58" i="8" s="1"/>
  <c r="L90" i="3"/>
  <c r="DG7" i="8" s="1"/>
  <c r="L126" i="3"/>
  <c r="DG43" i="8" s="1"/>
  <c r="L107" i="3"/>
  <c r="DG24" i="8" s="1"/>
  <c r="L108" i="3"/>
  <c r="DG25" i="8" s="1"/>
  <c r="E98" i="3"/>
  <c r="CZ15" i="8" s="1"/>
  <c r="E121" i="3"/>
  <c r="CZ38" i="8" s="1"/>
  <c r="E134" i="3"/>
  <c r="CZ51" i="8" s="1"/>
  <c r="E110" i="3"/>
  <c r="CZ27" i="8" s="1"/>
  <c r="E136" i="3"/>
  <c r="CZ53" i="8" s="1"/>
  <c r="E102" i="3"/>
  <c r="CZ19" i="8" s="1"/>
  <c r="E113" i="3"/>
  <c r="CZ30" i="8" s="1"/>
  <c r="E89" i="3"/>
  <c r="CZ6" i="8" s="1"/>
  <c r="E132" i="3"/>
  <c r="CZ49" i="8" s="1"/>
  <c r="E124" i="3"/>
  <c r="CZ41" i="8" s="1"/>
  <c r="E116" i="3"/>
  <c r="CZ33" i="8" s="1"/>
  <c r="E105" i="3"/>
  <c r="CZ22" i="8" s="1"/>
  <c r="E139" i="3"/>
  <c r="CZ56" i="8" s="1"/>
  <c r="E93" i="3"/>
  <c r="CZ10" i="8" s="1"/>
  <c r="E90" i="3"/>
  <c r="CZ7" i="8" s="1"/>
  <c r="E107" i="3"/>
  <c r="CZ24" i="8" s="1"/>
  <c r="E141" i="3"/>
  <c r="CZ58" i="8" s="1"/>
  <c r="E126" i="3"/>
  <c r="CZ43" i="8" s="1"/>
  <c r="E118" i="3"/>
  <c r="CZ35" i="8" s="1"/>
  <c r="E108" i="3"/>
  <c r="CZ25" i="8" s="1"/>
  <c r="E119" i="3"/>
  <c r="CZ36" i="8" s="1"/>
  <c r="E127" i="3"/>
  <c r="CZ44" i="8" s="1"/>
  <c r="E142" i="3"/>
  <c r="CZ59" i="8" s="1"/>
  <c r="L96" i="3"/>
  <c r="DG13" i="8" s="1"/>
  <c r="L92" i="3"/>
  <c r="DG9" i="8" s="1"/>
  <c r="L112" i="3"/>
  <c r="DG29" i="8" s="1"/>
  <c r="L94" i="3"/>
  <c r="DG11" i="8" s="1"/>
  <c r="L88" i="3"/>
  <c r="DG5" i="8" s="1"/>
  <c r="L123" i="3"/>
  <c r="DG40" i="8" s="1"/>
  <c r="L95" i="3"/>
  <c r="DG12" i="8" s="1"/>
  <c r="L130" i="3"/>
  <c r="DG47" i="8" s="1"/>
  <c r="L129" i="3"/>
  <c r="DG46" i="8" s="1"/>
  <c r="L128" i="3"/>
  <c r="DG45" i="8" s="1"/>
  <c r="L91" i="3"/>
  <c r="DG8" i="8" s="1"/>
  <c r="L144" i="3"/>
  <c r="DG61" i="8" s="1"/>
  <c r="L87" i="3"/>
  <c r="DG4" i="8" s="1"/>
  <c r="L143" i="3"/>
  <c r="DG60" i="8" s="1"/>
  <c r="L101" i="3"/>
  <c r="DG18" i="8" s="1"/>
  <c r="L100" i="3"/>
  <c r="DG17" i="8" s="1"/>
  <c r="L131" i="3"/>
  <c r="DG48" i="8" s="1"/>
  <c r="P90" i="3"/>
  <c r="DK7" i="8" s="1"/>
  <c r="P118" i="3"/>
  <c r="DK35" i="8" s="1"/>
  <c r="P126" i="3"/>
  <c r="DK43" i="8" s="1"/>
  <c r="P141" i="3"/>
  <c r="DK58" i="8" s="1"/>
  <c r="P93" i="3"/>
  <c r="DK10" i="8" s="1"/>
  <c r="P108" i="3"/>
  <c r="DK25" i="8" s="1"/>
  <c r="P107" i="3"/>
  <c r="DK24" i="8" s="1"/>
  <c r="J98" i="9"/>
  <c r="DF21" i="5" s="1"/>
  <c r="J124" i="9"/>
  <c r="DF47" i="5" s="1"/>
  <c r="J90" i="9"/>
  <c r="J85" i="9"/>
  <c r="J109" i="9"/>
  <c r="F114" i="9"/>
  <c r="DB37" i="5" s="1"/>
  <c r="F104" i="9"/>
  <c r="DB27" i="5" s="1"/>
  <c r="F93" i="9"/>
  <c r="DB16" i="5" s="1"/>
  <c r="G126" i="9"/>
  <c r="G115" i="9"/>
  <c r="DC38" i="5" s="1"/>
  <c r="G94" i="9"/>
  <c r="G87" i="9"/>
  <c r="DC10" i="5" s="1"/>
  <c r="G106" i="9"/>
  <c r="DC29" i="5" s="1"/>
  <c r="G105" i="9"/>
  <c r="H96" i="9"/>
  <c r="DD19" i="5" s="1"/>
  <c r="H88" i="9"/>
  <c r="H107" i="9"/>
  <c r="DD30" i="5" s="1"/>
  <c r="N111" i="9"/>
  <c r="DJ34" i="5" s="1"/>
  <c r="N101" i="9"/>
  <c r="DJ24" i="5" s="1"/>
  <c r="N86" i="9"/>
  <c r="O113" i="9"/>
  <c r="DK36" i="5" s="1"/>
  <c r="O92" i="9"/>
  <c r="DK15" i="5" s="1"/>
  <c r="O122" i="9"/>
  <c r="DK45" i="5" s="1"/>
  <c r="O103" i="9"/>
  <c r="DK26" i="5" s="1"/>
  <c r="O89" i="9"/>
  <c r="O108" i="9"/>
  <c r="DK31" i="5" s="1"/>
  <c r="O97" i="9"/>
  <c r="DK20" i="5" s="1"/>
  <c r="O127" i="9"/>
  <c r="DK50" i="5" s="1"/>
  <c r="O125" i="9"/>
  <c r="O123" i="9"/>
  <c r="DK46" i="5" s="1"/>
  <c r="O91" i="9"/>
  <c r="DK14" i="5" s="1"/>
  <c r="O110" i="9"/>
  <c r="O100" i="9"/>
  <c r="DK23" i="5" s="1"/>
  <c r="O117" i="9"/>
  <c r="DK40" i="5" s="1"/>
  <c r="O99" i="9"/>
  <c r="O121" i="9"/>
  <c r="DK44" i="5" s="1"/>
  <c r="O120" i="9"/>
  <c r="O119" i="9"/>
  <c r="DK42" i="5" s="1"/>
  <c r="O118" i="9"/>
  <c r="DK41" i="5" s="1"/>
  <c r="O81" i="9"/>
  <c r="O84" i="9"/>
  <c r="DK7" i="5" s="1"/>
  <c r="O83" i="9"/>
  <c r="DK6" i="5" s="1"/>
  <c r="O82" i="9"/>
  <c r="DK5" i="5" s="1"/>
  <c r="R116" i="9"/>
  <c r="DN39" i="5" s="1"/>
  <c r="R95" i="9"/>
  <c r="U124" i="3"/>
  <c r="DP41" i="8" s="1"/>
  <c r="U132" i="3"/>
  <c r="DP49" i="8" s="1"/>
  <c r="U139" i="3"/>
  <c r="DP56" i="8" s="1"/>
  <c r="U105" i="3"/>
  <c r="DP22" i="8" s="1"/>
  <c r="U116" i="3"/>
  <c r="DP33" i="8" s="1"/>
  <c r="T97" i="3"/>
  <c r="DO14" i="8" s="1"/>
  <c r="T133" i="3"/>
  <c r="DO50" i="8" s="1"/>
  <c r="T109" i="3"/>
  <c r="DO26" i="8" s="1"/>
  <c r="T120" i="3"/>
  <c r="DO37" i="8" s="1"/>
  <c r="U126" i="9"/>
  <c r="DQ49" i="5" s="1"/>
  <c r="U115" i="9"/>
  <c r="DQ38" i="5" s="1"/>
  <c r="U87" i="9"/>
  <c r="DQ10" i="5" s="1"/>
  <c r="U94" i="9"/>
  <c r="DQ17" i="5" s="1"/>
  <c r="U105" i="9"/>
  <c r="DQ28" i="5" s="1"/>
  <c r="U106" i="9"/>
  <c r="DQ29" i="5" s="1"/>
  <c r="T103" i="9"/>
  <c r="DP26" i="5" s="1"/>
  <c r="T113" i="9"/>
  <c r="DP36" i="5" s="1"/>
  <c r="T122" i="9"/>
  <c r="DP45" i="5" s="1"/>
  <c r="T92" i="9"/>
  <c r="DP15" i="5" s="1"/>
  <c r="AZ6" i="3"/>
  <c r="V27" i="6"/>
  <c r="V107" i="9"/>
  <c r="DR30" i="5" s="1"/>
  <c r="V88" i="9"/>
  <c r="DR11" i="5" s="1"/>
  <c r="V96" i="9"/>
  <c r="DR19" i="5" s="1"/>
  <c r="V102" i="9"/>
  <c r="DR25" i="5" s="1"/>
  <c r="V112" i="9"/>
  <c r="DR35" i="5" s="1"/>
  <c r="AF101" i="9"/>
  <c r="EB24" i="5" s="1"/>
  <c r="AF86" i="9"/>
  <c r="EB9" i="5" s="1"/>
  <c r="AF111" i="9"/>
  <c r="EB34" i="5" s="1"/>
  <c r="AF95" i="9"/>
  <c r="EB18" i="5" s="1"/>
  <c r="AF116" i="9"/>
  <c r="EB39" i="5" s="1"/>
  <c r="AD110" i="9"/>
  <c r="DZ33" i="5" s="1"/>
  <c r="AD121" i="9"/>
  <c r="DZ44" i="5" s="1"/>
  <c r="AD120" i="9"/>
  <c r="DZ43" i="5" s="1"/>
  <c r="AD125" i="9"/>
  <c r="DZ48" i="5" s="1"/>
  <c r="AD123" i="9"/>
  <c r="DZ46" i="5" s="1"/>
  <c r="AD119" i="9"/>
  <c r="DZ42" i="5" s="1"/>
  <c r="AD81" i="9"/>
  <c r="AD84" i="9"/>
  <c r="DZ7" i="5" s="1"/>
  <c r="AD118" i="9"/>
  <c r="DZ41" i="5" s="1"/>
  <c r="AD83" i="9"/>
  <c r="DZ6" i="5" s="1"/>
  <c r="AD117" i="9"/>
  <c r="DZ40" i="5" s="1"/>
  <c r="AD82" i="9"/>
  <c r="DZ5" i="5" s="1"/>
  <c r="AD100" i="9"/>
  <c r="DZ23" i="5" s="1"/>
  <c r="AD127" i="9"/>
  <c r="DZ50" i="5" s="1"/>
  <c r="AD99" i="9"/>
  <c r="DZ22" i="5" s="1"/>
  <c r="AD91" i="9"/>
  <c r="DZ14" i="5" s="1"/>
  <c r="AF126" i="9"/>
  <c r="EB49" i="5" s="1"/>
  <c r="AF87" i="9"/>
  <c r="EB10" i="5" s="1"/>
  <c r="AF115" i="9"/>
  <c r="EB38" i="5" s="1"/>
  <c r="AF94" i="9"/>
  <c r="EB17" i="5" s="1"/>
  <c r="AF106" i="9"/>
  <c r="EB29" i="5" s="1"/>
  <c r="AF105" i="9"/>
  <c r="EB28" i="5" s="1"/>
  <c r="AF90" i="9"/>
  <c r="EB13" i="5" s="1"/>
  <c r="AF124" i="9"/>
  <c r="EB47" i="5" s="1"/>
  <c r="AF98" i="9"/>
  <c r="EB21" i="5" s="1"/>
  <c r="AF109" i="9"/>
  <c r="EB32" i="5" s="1"/>
  <c r="AF85" i="9"/>
  <c r="EB8" i="5" s="1"/>
  <c r="V126" i="9"/>
  <c r="DR49" i="5" s="1"/>
  <c r="V105" i="9"/>
  <c r="DR28" i="5" s="1"/>
  <c r="V115" i="9"/>
  <c r="DR38" i="5" s="1"/>
  <c r="V106" i="9"/>
  <c r="DR29" i="5" s="1"/>
  <c r="V94" i="9"/>
  <c r="DR17" i="5" s="1"/>
  <c r="V87" i="9"/>
  <c r="DR10" i="5" s="1"/>
  <c r="W90" i="9"/>
  <c r="DS13" i="5" s="1"/>
  <c r="W98" i="9"/>
  <c r="DS21" i="5" s="1"/>
  <c r="W85" i="9"/>
  <c r="DS8" i="5" s="1"/>
  <c r="W124" i="9"/>
  <c r="DS47" i="5" s="1"/>
  <c r="W109" i="9"/>
  <c r="DS32" i="5" s="1"/>
  <c r="AG122" i="9"/>
  <c r="EC45" i="5" s="1"/>
  <c r="AG113" i="9"/>
  <c r="EC36" i="5" s="1"/>
  <c r="AG92" i="9"/>
  <c r="EC15" i="5" s="1"/>
  <c r="AG103" i="9"/>
  <c r="EC26" i="5" s="1"/>
  <c r="AH114" i="3"/>
  <c r="EC31" i="8" s="1"/>
  <c r="AH103" i="3"/>
  <c r="EC20" i="8" s="1"/>
  <c r="AH137" i="3"/>
  <c r="EC54" i="8" s="1"/>
  <c r="BN54" i="3"/>
  <c r="BN56" i="3"/>
  <c r="BN55" i="3"/>
  <c r="Y27" i="1"/>
  <c r="BE33" i="3"/>
  <c r="Y120" i="3"/>
  <c r="DT37" i="8" s="1"/>
  <c r="BE35" i="3"/>
  <c r="Y97" i="3"/>
  <c r="DT14" i="8" s="1"/>
  <c r="Y109" i="3"/>
  <c r="DT26" i="8" s="1"/>
  <c r="Y133" i="3"/>
  <c r="DT50" i="8" s="1"/>
  <c r="BE36" i="3"/>
  <c r="BE34" i="3"/>
  <c r="BN12" i="3"/>
  <c r="BN10" i="3"/>
  <c r="BN11" i="3"/>
  <c r="AH122" i="3"/>
  <c r="EC39" i="8" s="1"/>
  <c r="AH111" i="3"/>
  <c r="EC28" i="8" s="1"/>
  <c r="AH99" i="3"/>
  <c r="EC16" i="8" s="1"/>
  <c r="AH135" i="3"/>
  <c r="EC52" i="8" s="1"/>
  <c r="BN9" i="3"/>
  <c r="AD125" i="3"/>
  <c r="DY42" i="8" s="1"/>
  <c r="BJ28" i="3"/>
  <c r="AD140" i="3"/>
  <c r="DY57" i="8" s="1"/>
  <c r="AD106" i="3"/>
  <c r="DY23" i="8" s="1"/>
  <c r="AD117" i="3"/>
  <c r="DY34" i="8" s="1"/>
  <c r="BJ26" i="3"/>
  <c r="BJ25" i="3"/>
  <c r="BJ27" i="3"/>
  <c r="BC58" i="3"/>
  <c r="W89" i="3"/>
  <c r="DR6" i="8" s="1"/>
  <c r="W136" i="3"/>
  <c r="DR53" i="8" s="1"/>
  <c r="W113" i="3"/>
  <c r="DR30" i="8" s="1"/>
  <c r="W102" i="3"/>
  <c r="DR19" i="8" s="1"/>
  <c r="BC60" i="3"/>
  <c r="BC59" i="3"/>
  <c r="BC57" i="3"/>
  <c r="AG27" i="1"/>
  <c r="BM33" i="3"/>
  <c r="AG120" i="3"/>
  <c r="EB37" i="8" s="1"/>
  <c r="AG133" i="3"/>
  <c r="EB50" i="8" s="1"/>
  <c r="AG97" i="3"/>
  <c r="EB14" i="8" s="1"/>
  <c r="AG109" i="3"/>
  <c r="EB26" i="8" s="1"/>
  <c r="BM34" i="3"/>
  <c r="BM35" i="3"/>
  <c r="BM36" i="3"/>
  <c r="BI61" i="3"/>
  <c r="AC119" i="3"/>
  <c r="DX36" i="8" s="1"/>
  <c r="AC142" i="3"/>
  <c r="DX59" i="8" s="1"/>
  <c r="AC127" i="3"/>
  <c r="DX44" i="8" s="1"/>
  <c r="BI62" i="3"/>
  <c r="BI63" i="3"/>
  <c r="BI64" i="3"/>
  <c r="BE3" i="3"/>
  <c r="Y118" i="3"/>
  <c r="DT35" i="8" s="1"/>
  <c r="BE5" i="3"/>
  <c r="BE7" i="3"/>
  <c r="BE8" i="3"/>
  <c r="Y141" i="3"/>
  <c r="DT58" i="8" s="1"/>
  <c r="Y93" i="3"/>
  <c r="DT10" i="8" s="1"/>
  <c r="Y90" i="3"/>
  <c r="DT7" i="8" s="1"/>
  <c r="Y126" i="3"/>
  <c r="DT43" i="8" s="1"/>
  <c r="Y108" i="3"/>
  <c r="DT25" i="8" s="1"/>
  <c r="Y107" i="3"/>
  <c r="DT24" i="8" s="1"/>
  <c r="BE4" i="3"/>
  <c r="BE6" i="3"/>
  <c r="BH10" i="3"/>
  <c r="BH11" i="3"/>
  <c r="AB111" i="3"/>
  <c r="DW28" i="8" s="1"/>
  <c r="BH12" i="3"/>
  <c r="AB122" i="3"/>
  <c r="DW39" i="8" s="1"/>
  <c r="BH9" i="3"/>
  <c r="AB99" i="3"/>
  <c r="DW16" i="8" s="1"/>
  <c r="AB135" i="3"/>
  <c r="DW52" i="8" s="1"/>
  <c r="BG6" i="3"/>
  <c r="AA141" i="3"/>
  <c r="DV58" i="8" s="1"/>
  <c r="AA118" i="3"/>
  <c r="DV35" i="8" s="1"/>
  <c r="BG5" i="3"/>
  <c r="BG8" i="3"/>
  <c r="BG3" i="3"/>
  <c r="BG4" i="3"/>
  <c r="AA90" i="3"/>
  <c r="DV7" i="8" s="1"/>
  <c r="AA108" i="3"/>
  <c r="DV25" i="8" s="1"/>
  <c r="AA126" i="3"/>
  <c r="DV43" i="8" s="1"/>
  <c r="AA107" i="3"/>
  <c r="DV24" i="8" s="1"/>
  <c r="AA93" i="3"/>
  <c r="DV10" i="8" s="1"/>
  <c r="BG7" i="3"/>
  <c r="BK53" i="3"/>
  <c r="AE130" i="3"/>
  <c r="DZ47" i="8" s="1"/>
  <c r="AE95" i="3"/>
  <c r="DZ12" i="8" s="1"/>
  <c r="AE129" i="3"/>
  <c r="DZ46" i="8" s="1"/>
  <c r="AE128" i="3"/>
  <c r="DZ45" i="8" s="1"/>
  <c r="AE96" i="3"/>
  <c r="DZ13" i="8" s="1"/>
  <c r="AE91" i="3"/>
  <c r="DZ8" i="8" s="1"/>
  <c r="AE112" i="3"/>
  <c r="DZ29" i="8" s="1"/>
  <c r="BK44" i="3"/>
  <c r="AE88" i="3"/>
  <c r="DZ5" i="8" s="1"/>
  <c r="AE101" i="3"/>
  <c r="DZ18" i="8" s="1"/>
  <c r="AE100" i="3"/>
  <c r="DZ17" i="8" s="1"/>
  <c r="AE92" i="3"/>
  <c r="DZ9" i="8" s="1"/>
  <c r="AE123" i="3"/>
  <c r="DZ40" i="8" s="1"/>
  <c r="BK45" i="3"/>
  <c r="AE94" i="3"/>
  <c r="DZ11" i="8" s="1"/>
  <c r="BK47" i="3"/>
  <c r="AE87" i="3"/>
  <c r="DZ4" i="8" s="1"/>
  <c r="AE144" i="3"/>
  <c r="DZ61" i="8" s="1"/>
  <c r="AE143" i="3"/>
  <c r="DZ60" i="8" s="1"/>
  <c r="BK50" i="3"/>
  <c r="BK46" i="3"/>
  <c r="BK51" i="3"/>
  <c r="BK52" i="3"/>
  <c r="BK48" i="3"/>
  <c r="BK49" i="3"/>
  <c r="AE131" i="3"/>
  <c r="DZ48" i="8" s="1"/>
  <c r="AA27" i="1"/>
  <c r="BG33" i="3"/>
  <c r="AA120" i="3"/>
  <c r="DV37" i="8" s="1"/>
  <c r="AA109" i="3"/>
  <c r="DV26" i="8" s="1"/>
  <c r="AA133" i="3"/>
  <c r="DV50" i="8" s="1"/>
  <c r="AA97" i="3"/>
  <c r="DV14" i="8" s="1"/>
  <c r="BG35" i="3"/>
  <c r="BG34" i="3"/>
  <c r="BG36" i="3"/>
  <c r="BC61" i="3"/>
  <c r="W127" i="3"/>
  <c r="DR44" i="8" s="1"/>
  <c r="W119" i="3"/>
  <c r="DR36" i="8" s="1"/>
  <c r="BC63" i="3"/>
  <c r="W142" i="3"/>
  <c r="DR59" i="8" s="1"/>
  <c r="BC62" i="3"/>
  <c r="BC64" i="3"/>
  <c r="BI19" i="3"/>
  <c r="BI17" i="3"/>
  <c r="AC116" i="3"/>
  <c r="DX33" i="8" s="1"/>
  <c r="BI20" i="3"/>
  <c r="AC105" i="3"/>
  <c r="DX22" i="8" s="1"/>
  <c r="AC124" i="3"/>
  <c r="DX41" i="8" s="1"/>
  <c r="AC132" i="3"/>
  <c r="DX49" i="8" s="1"/>
  <c r="AC139" i="3"/>
  <c r="DX56" i="8" s="1"/>
  <c r="BI18" i="3"/>
  <c r="BI16" i="3"/>
  <c r="Z113" i="3"/>
  <c r="DU30" i="8" s="1"/>
  <c r="Z89" i="3"/>
  <c r="DU6" i="8" s="1"/>
  <c r="Z136" i="3"/>
  <c r="DU53" i="8" s="1"/>
  <c r="Z102" i="3"/>
  <c r="DU19" i="8" s="1"/>
  <c r="BF57" i="3"/>
  <c r="BF58" i="3"/>
  <c r="BF60" i="3"/>
  <c r="BF59" i="3"/>
  <c r="BB24" i="3"/>
  <c r="V134" i="3"/>
  <c r="DQ51" i="8" s="1"/>
  <c r="V98" i="3"/>
  <c r="DQ15" i="8" s="1"/>
  <c r="BB23" i="3"/>
  <c r="V121" i="3"/>
  <c r="DQ38" i="8" s="1"/>
  <c r="V110" i="3"/>
  <c r="DQ27" i="8" s="1"/>
  <c r="BB22" i="3"/>
  <c r="BB21" i="3"/>
  <c r="AE119" i="3"/>
  <c r="DZ36" i="8" s="1"/>
  <c r="AE142" i="3"/>
  <c r="DZ59" i="8" s="1"/>
  <c r="AE127" i="3"/>
  <c r="DZ44" i="8" s="1"/>
  <c r="BK61" i="3"/>
  <c r="BK62" i="3"/>
  <c r="BK63" i="3"/>
  <c r="BK64" i="3"/>
  <c r="R126" i="9"/>
  <c r="DN49" i="5" s="1"/>
  <c r="R115" i="9"/>
  <c r="DN38" i="5" s="1"/>
  <c r="R87" i="9"/>
  <c r="DN10" i="5" s="1"/>
  <c r="R94" i="9"/>
  <c r="R106" i="9"/>
  <c r="R105" i="9"/>
  <c r="S98" i="3"/>
  <c r="DN15" i="8" s="1"/>
  <c r="S110" i="3"/>
  <c r="DN27" i="8" s="1"/>
  <c r="S121" i="3"/>
  <c r="DN38" i="8" s="1"/>
  <c r="S134" i="3"/>
  <c r="DN51" i="8" s="1"/>
  <c r="H86" i="9"/>
  <c r="DD9" i="5" s="1"/>
  <c r="H101" i="9"/>
  <c r="DD24" i="5" s="1"/>
  <c r="H111" i="9"/>
  <c r="AD95" i="9"/>
  <c r="DZ18" i="5" s="1"/>
  <c r="AD116" i="9"/>
  <c r="DZ39" i="5" s="1"/>
  <c r="BC19" i="3"/>
  <c r="W139" i="3"/>
  <c r="DR56" i="8" s="1"/>
  <c r="W116" i="3"/>
  <c r="DR33" i="8" s="1"/>
  <c r="W124" i="3"/>
  <c r="DR41" i="8" s="1"/>
  <c r="W132" i="3"/>
  <c r="DR49" i="8" s="1"/>
  <c r="W105" i="3"/>
  <c r="DR22" i="8" s="1"/>
  <c r="BC17" i="3"/>
  <c r="BC18" i="3"/>
  <c r="BC16" i="3"/>
  <c r="BC20" i="3"/>
  <c r="R117" i="3"/>
  <c r="DM34" i="8" s="1"/>
  <c r="R125" i="3"/>
  <c r="DM42" i="8" s="1"/>
  <c r="R106" i="3"/>
  <c r="DM23" i="8" s="1"/>
  <c r="R140" i="3"/>
  <c r="DM57" i="8" s="1"/>
  <c r="L127" i="9"/>
  <c r="DH50" i="5" s="1"/>
  <c r="L125" i="9"/>
  <c r="L110" i="9"/>
  <c r="DH33" i="5" s="1"/>
  <c r="L123" i="9"/>
  <c r="DH46" i="5" s="1"/>
  <c r="L91" i="9"/>
  <c r="DH14" i="5" s="1"/>
  <c r="L121" i="9"/>
  <c r="DH44" i="5" s="1"/>
  <c r="L120" i="9"/>
  <c r="DH43" i="5" s="1"/>
  <c r="L119" i="9"/>
  <c r="DH42" i="5" s="1"/>
  <c r="L100" i="9"/>
  <c r="DH23" i="5" s="1"/>
  <c r="L118" i="9"/>
  <c r="DH41" i="5" s="1"/>
  <c r="L99" i="9"/>
  <c r="L117" i="9"/>
  <c r="DH40" i="5" s="1"/>
  <c r="L81" i="9"/>
  <c r="DH4" i="5" s="1"/>
  <c r="L84" i="9"/>
  <c r="L83" i="9"/>
  <c r="L82" i="9"/>
  <c r="N140" i="3"/>
  <c r="DI57" i="8" s="1"/>
  <c r="N106" i="3"/>
  <c r="DI23" i="8" s="1"/>
  <c r="N117" i="3"/>
  <c r="DI34" i="8" s="1"/>
  <c r="N125" i="3"/>
  <c r="DI42" i="8" s="1"/>
  <c r="I137" i="3"/>
  <c r="DD54" i="8" s="1"/>
  <c r="I103" i="3"/>
  <c r="DD20" i="8" s="1"/>
  <c r="I114" i="3"/>
  <c r="DD31" i="8" s="1"/>
  <c r="J90" i="3"/>
  <c r="DE7" i="8" s="1"/>
  <c r="J118" i="3"/>
  <c r="DE35" i="8" s="1"/>
  <c r="J93" i="3"/>
  <c r="DE10" i="8" s="1"/>
  <c r="J141" i="3"/>
  <c r="DE58" i="8" s="1"/>
  <c r="J126" i="3"/>
  <c r="DE43" i="8" s="1"/>
  <c r="J108" i="3"/>
  <c r="DE25" i="8" s="1"/>
  <c r="J107" i="3"/>
  <c r="DE24" i="8" s="1"/>
  <c r="J119" i="3"/>
  <c r="DE36" i="8" s="1"/>
  <c r="J142" i="3"/>
  <c r="DE59" i="8" s="1"/>
  <c r="J127" i="3"/>
  <c r="DE44" i="8" s="1"/>
  <c r="Q121" i="3"/>
  <c r="DL38" i="8" s="1"/>
  <c r="Q134" i="3"/>
  <c r="DL51" i="8" s="1"/>
  <c r="Q110" i="3"/>
  <c r="DL27" i="8" s="1"/>
  <c r="Q98" i="3"/>
  <c r="DL15" i="8" s="1"/>
  <c r="Q113" i="3"/>
  <c r="DL30" i="8" s="1"/>
  <c r="Q102" i="3"/>
  <c r="DL19" i="8" s="1"/>
  <c r="Q89" i="3"/>
  <c r="DL6" i="8" s="1"/>
  <c r="Q136" i="3"/>
  <c r="DL53" i="8" s="1"/>
  <c r="Q132" i="3"/>
  <c r="DL49" i="8" s="1"/>
  <c r="Q124" i="3"/>
  <c r="DL41" i="8" s="1"/>
  <c r="Q116" i="3"/>
  <c r="DL33" i="8" s="1"/>
  <c r="Q105" i="3"/>
  <c r="DL22" i="8" s="1"/>
  <c r="Q139" i="3"/>
  <c r="DL56" i="8" s="1"/>
  <c r="P124" i="3"/>
  <c r="DK41" i="8" s="1"/>
  <c r="P132" i="3"/>
  <c r="DK49" i="8" s="1"/>
  <c r="P105" i="3"/>
  <c r="DK22" i="8" s="1"/>
  <c r="P139" i="3"/>
  <c r="DK56" i="8" s="1"/>
  <c r="P116" i="3"/>
  <c r="DK33" i="8" s="1"/>
  <c r="R90" i="3"/>
  <c r="DM7" i="8" s="1"/>
  <c r="R93" i="3"/>
  <c r="DM10" i="8" s="1"/>
  <c r="R118" i="3"/>
  <c r="DM35" i="8" s="1"/>
  <c r="R126" i="3"/>
  <c r="DM43" i="8" s="1"/>
  <c r="R141" i="3"/>
  <c r="DM58" i="8" s="1"/>
  <c r="R108" i="3"/>
  <c r="DM25" i="8" s="1"/>
  <c r="R107" i="3"/>
  <c r="DM24" i="8" s="1"/>
  <c r="K114" i="9"/>
  <c r="K104" i="9"/>
  <c r="K93" i="9"/>
  <c r="DG16" i="5" s="1"/>
  <c r="F126" i="9"/>
  <c r="DB49" i="5" s="1"/>
  <c r="F94" i="9"/>
  <c r="DB17" i="5" s="1"/>
  <c r="F115" i="9"/>
  <c r="DB38" i="5" s="1"/>
  <c r="F87" i="9"/>
  <c r="DB10" i="5" s="1"/>
  <c r="F105" i="9"/>
  <c r="F106" i="9"/>
  <c r="DB29" i="5" s="1"/>
  <c r="P102" i="9"/>
  <c r="DL25" i="5" s="1"/>
  <c r="P112" i="9"/>
  <c r="DL35" i="5" s="1"/>
  <c r="J107" i="9"/>
  <c r="J88" i="9"/>
  <c r="DF11" i="5" s="1"/>
  <c r="J96" i="9"/>
  <c r="DF19" i="5" s="1"/>
  <c r="F111" i="9"/>
  <c r="F101" i="9"/>
  <c r="DB24" i="5" s="1"/>
  <c r="F86" i="9"/>
  <c r="K122" i="9"/>
  <c r="DG45" i="5" s="1"/>
  <c r="K92" i="9"/>
  <c r="K113" i="9"/>
  <c r="K103" i="9"/>
  <c r="M108" i="9"/>
  <c r="DI31" i="5" s="1"/>
  <c r="M97" i="9"/>
  <c r="DI20" i="5" s="1"/>
  <c r="M89" i="9"/>
  <c r="DI12" i="5" s="1"/>
  <c r="R110" i="9"/>
  <c r="DN33" i="5" s="1"/>
  <c r="R125" i="9"/>
  <c r="R127" i="9"/>
  <c r="DN50" i="5" s="1"/>
  <c r="R123" i="9"/>
  <c r="R121" i="9"/>
  <c r="DN44" i="5" s="1"/>
  <c r="R120" i="9"/>
  <c r="DN43" i="5" s="1"/>
  <c r="R84" i="9"/>
  <c r="DN7" i="5" s="1"/>
  <c r="R119" i="9"/>
  <c r="R83" i="9"/>
  <c r="DN6" i="5" s="1"/>
  <c r="R91" i="9"/>
  <c r="R82" i="9"/>
  <c r="R81" i="9"/>
  <c r="DN4" i="5" s="1"/>
  <c r="R100" i="9"/>
  <c r="DN23" i="5" s="1"/>
  <c r="R99" i="9"/>
  <c r="DN22" i="5" s="1"/>
  <c r="R118" i="9"/>
  <c r="DN41" i="5" s="1"/>
  <c r="R117" i="9"/>
  <c r="H116" i="9"/>
  <c r="DD39" i="5" s="1"/>
  <c r="H95" i="9"/>
  <c r="DD18" i="5" s="1"/>
  <c r="U89" i="3"/>
  <c r="DP6" i="8" s="1"/>
  <c r="U113" i="3"/>
  <c r="DP30" i="8" s="1"/>
  <c r="U136" i="3"/>
  <c r="DP53" i="8" s="1"/>
  <c r="U102" i="3"/>
  <c r="DP19" i="8" s="1"/>
  <c r="U125" i="3"/>
  <c r="DP42" i="8" s="1"/>
  <c r="U117" i="3"/>
  <c r="DP34" i="8" s="1"/>
  <c r="U106" i="3"/>
  <c r="DP23" i="8" s="1"/>
  <c r="U140" i="3"/>
  <c r="DP57" i="8" s="1"/>
  <c r="U96" i="9"/>
  <c r="DQ19" i="5" s="1"/>
  <c r="U107" i="9"/>
  <c r="DQ30" i="5" s="1"/>
  <c r="U88" i="9"/>
  <c r="DQ11" i="5" s="1"/>
  <c r="AZ5" i="3"/>
  <c r="F18" i="10"/>
  <c r="AG112" i="9"/>
  <c r="EC35" i="5" s="1"/>
  <c r="AG102" i="9"/>
  <c r="EC25" i="5" s="1"/>
  <c r="W108" i="9"/>
  <c r="DS31" i="5" s="1"/>
  <c r="W89" i="9"/>
  <c r="DS12" i="5" s="1"/>
  <c r="W97" i="9"/>
  <c r="DS20" i="5" s="1"/>
  <c r="Y95" i="9"/>
  <c r="DU18" i="5" s="1"/>
  <c r="Y116" i="9"/>
  <c r="DU39" i="5" s="1"/>
  <c r="AF108" i="9"/>
  <c r="EB31" i="5" s="1"/>
  <c r="AF89" i="9"/>
  <c r="EB12" i="5" s="1"/>
  <c r="AF97" i="9"/>
  <c r="EB20" i="5" s="1"/>
  <c r="AA27" i="6"/>
  <c r="AA107" i="9"/>
  <c r="DW30" i="5" s="1"/>
  <c r="AA96" i="9"/>
  <c r="DW19" i="5" s="1"/>
  <c r="AA88" i="9"/>
  <c r="DW11" i="5" s="1"/>
  <c r="AH101" i="9"/>
  <c r="ED24" i="5" s="1"/>
  <c r="AH111" i="9"/>
  <c r="ED34" i="5" s="1"/>
  <c r="AH86" i="9"/>
  <c r="ED9" i="5" s="1"/>
  <c r="Y104" i="9"/>
  <c r="DU27" i="5" s="1"/>
  <c r="Y93" i="9"/>
  <c r="DU16" i="5" s="1"/>
  <c r="Y114" i="9"/>
  <c r="DU37" i="5" s="1"/>
  <c r="Y85" i="9"/>
  <c r="DU8" i="5" s="1"/>
  <c r="Y124" i="9"/>
  <c r="DU47" i="5" s="1"/>
  <c r="Y109" i="9"/>
  <c r="DU32" i="5" s="1"/>
  <c r="Y90" i="9"/>
  <c r="DU13" i="5" s="1"/>
  <c r="Y98" i="9"/>
  <c r="DU21" i="5" s="1"/>
  <c r="V113" i="9"/>
  <c r="DR36" i="5" s="1"/>
  <c r="V103" i="9"/>
  <c r="DR26" i="5" s="1"/>
  <c r="V122" i="9"/>
  <c r="DR45" i="5" s="1"/>
  <c r="V92" i="9"/>
  <c r="DR15" i="5" s="1"/>
  <c r="BD21" i="3"/>
  <c r="BD24" i="3"/>
  <c r="X134" i="3"/>
  <c r="DS51" i="8" s="1"/>
  <c r="X110" i="3"/>
  <c r="DS27" i="8" s="1"/>
  <c r="X121" i="3"/>
  <c r="DS38" i="8" s="1"/>
  <c r="X98" i="3"/>
  <c r="DS15" i="8" s="1"/>
  <c r="BD23" i="3"/>
  <c r="BD22" i="3"/>
  <c r="BJ12" i="3"/>
  <c r="AD135" i="3"/>
  <c r="DY52" i="8" s="1"/>
  <c r="AD99" i="3"/>
  <c r="DY16" i="8" s="1"/>
  <c r="AD122" i="3"/>
  <c r="DY39" i="8" s="1"/>
  <c r="AD111" i="3"/>
  <c r="DY28" i="8" s="1"/>
  <c r="BJ10" i="3"/>
  <c r="BJ11" i="3"/>
  <c r="BJ9" i="3"/>
  <c r="AH89" i="3"/>
  <c r="EC6" i="8" s="1"/>
  <c r="BN58" i="3"/>
  <c r="AH102" i="3"/>
  <c r="EC19" i="8" s="1"/>
  <c r="AH113" i="3"/>
  <c r="EC30" i="8" s="1"/>
  <c r="AH136" i="3"/>
  <c r="EC53" i="8" s="1"/>
  <c r="BN59" i="3"/>
  <c r="BN60" i="3"/>
  <c r="BN57" i="3"/>
  <c r="AD121" i="3"/>
  <c r="DY38" i="8" s="1"/>
  <c r="BJ23" i="3"/>
  <c r="AD134" i="3"/>
  <c r="DY51" i="8" s="1"/>
  <c r="AD110" i="3"/>
  <c r="DY27" i="8" s="1"/>
  <c r="AD98" i="3"/>
  <c r="DY15" i="8" s="1"/>
  <c r="BJ24" i="3"/>
  <c r="BJ22" i="3"/>
  <c r="BJ21" i="3"/>
  <c r="AG89" i="3"/>
  <c r="EB6" i="8" s="1"/>
  <c r="AG136" i="3"/>
  <c r="EB53" i="8" s="1"/>
  <c r="AG113" i="3"/>
  <c r="EB30" i="8" s="1"/>
  <c r="AG102" i="3"/>
  <c r="EB19" i="8" s="1"/>
  <c r="BM58" i="3"/>
  <c r="BM57" i="3"/>
  <c r="BM59" i="3"/>
  <c r="BM60" i="3"/>
  <c r="AF117" i="3"/>
  <c r="EA34" i="8" s="1"/>
  <c r="AF125" i="3"/>
  <c r="EA42" i="8" s="1"/>
  <c r="AF140" i="3"/>
  <c r="EA57" i="8" s="1"/>
  <c r="AF106" i="3"/>
  <c r="EA23" i="8" s="1"/>
  <c r="BL25" i="3"/>
  <c r="BL27" i="3"/>
  <c r="BL28" i="3"/>
  <c r="BL26" i="3"/>
  <c r="AC137" i="3"/>
  <c r="DX54" i="8" s="1"/>
  <c r="AC103" i="3"/>
  <c r="DX20" i="8" s="1"/>
  <c r="BI55" i="3"/>
  <c r="AC114" i="3"/>
  <c r="DX31" i="8" s="1"/>
  <c r="BI54" i="3"/>
  <c r="BI56" i="3"/>
  <c r="BE48" i="3"/>
  <c r="Y95" i="3"/>
  <c r="DT12" i="8" s="1"/>
  <c r="Y100" i="3"/>
  <c r="DT17" i="8" s="1"/>
  <c r="Y87" i="3"/>
  <c r="DT4" i="8" s="1"/>
  <c r="Y92" i="3"/>
  <c r="DT9" i="8" s="1"/>
  <c r="Y123" i="3"/>
  <c r="DT40" i="8" s="1"/>
  <c r="Y96" i="3"/>
  <c r="DT13" i="8" s="1"/>
  <c r="BE47" i="3"/>
  <c r="Y112" i="3"/>
  <c r="DT29" i="8" s="1"/>
  <c r="Y144" i="3"/>
  <c r="DT61" i="8" s="1"/>
  <c r="Y143" i="3"/>
  <c r="DT60" i="8" s="1"/>
  <c r="BE53" i="3"/>
  <c r="Y94" i="3"/>
  <c r="DT11" i="8" s="1"/>
  <c r="Y130" i="3"/>
  <c r="DT47" i="8" s="1"/>
  <c r="Y129" i="3"/>
  <c r="DT46" i="8" s="1"/>
  <c r="Y88" i="3"/>
  <c r="DT5" i="8" s="1"/>
  <c r="Y128" i="3"/>
  <c r="DT45" i="8" s="1"/>
  <c r="Y91" i="3"/>
  <c r="DT8" i="8" s="1"/>
  <c r="BE44" i="3"/>
  <c r="Y131" i="3"/>
  <c r="DT48" i="8" s="1"/>
  <c r="Y101" i="3"/>
  <c r="DT18" i="8" s="1"/>
  <c r="BE45" i="3"/>
  <c r="BE46" i="3"/>
  <c r="BE49" i="3"/>
  <c r="BE52" i="3"/>
  <c r="BE50" i="3"/>
  <c r="BE51" i="3"/>
  <c r="BF61" i="3"/>
  <c r="Z127" i="3"/>
  <c r="DU44" i="8" s="1"/>
  <c r="Z119" i="3"/>
  <c r="DU36" i="8" s="1"/>
  <c r="Z142" i="3"/>
  <c r="DU59" i="8" s="1"/>
  <c r="BF64" i="3"/>
  <c r="BF62" i="3"/>
  <c r="BF63" i="3"/>
  <c r="G113" i="3"/>
  <c r="DB30" i="8" s="1"/>
  <c r="G102" i="3"/>
  <c r="DB19" i="8" s="1"/>
  <c r="G136" i="3"/>
  <c r="DB53" i="8" s="1"/>
  <c r="G89" i="3"/>
  <c r="DB6" i="8" s="1"/>
  <c r="J122" i="9"/>
  <c r="DF45" i="5" s="1"/>
  <c r="J92" i="9"/>
  <c r="DF15" i="5" s="1"/>
  <c r="J113" i="9"/>
  <c r="DF36" i="5" s="1"/>
  <c r="J103" i="9"/>
  <c r="DF26" i="5" s="1"/>
  <c r="S93" i="3"/>
  <c r="DN10" i="8" s="1"/>
  <c r="S118" i="3"/>
  <c r="DN35" i="8" s="1"/>
  <c r="S90" i="3"/>
  <c r="DN7" i="8" s="1"/>
  <c r="S126" i="3"/>
  <c r="DN43" i="8" s="1"/>
  <c r="S141" i="3"/>
  <c r="DN58" i="8" s="1"/>
  <c r="S108" i="3"/>
  <c r="DN25" i="8" s="1"/>
  <c r="S107" i="3"/>
  <c r="DN24" i="8" s="1"/>
  <c r="M113" i="9"/>
  <c r="DI36" i="5" s="1"/>
  <c r="M92" i="9"/>
  <c r="DI15" i="5" s="1"/>
  <c r="M122" i="9"/>
  <c r="DI45" i="5" s="1"/>
  <c r="M103" i="9"/>
  <c r="DI26" i="5" s="1"/>
  <c r="AA102" i="9"/>
  <c r="DW25" i="5" s="1"/>
  <c r="AA112" i="9"/>
  <c r="DW35" i="5" s="1"/>
  <c r="AA126" i="9"/>
  <c r="DW49" i="5" s="1"/>
  <c r="AA87" i="9"/>
  <c r="DW10" i="5" s="1"/>
  <c r="AA94" i="9"/>
  <c r="DW17" i="5" s="1"/>
  <c r="AA106" i="9"/>
  <c r="DW29" i="5" s="1"/>
  <c r="AA105" i="9"/>
  <c r="DW28" i="5" s="1"/>
  <c r="AA115" i="9"/>
  <c r="DW38" i="5" s="1"/>
  <c r="BH24" i="3"/>
  <c r="AB121" i="3"/>
  <c r="DW38" i="8" s="1"/>
  <c r="BH22" i="3"/>
  <c r="AB110" i="3"/>
  <c r="DW27" i="8" s="1"/>
  <c r="AB98" i="3"/>
  <c r="DW15" i="8" s="1"/>
  <c r="AB134" i="3"/>
  <c r="DW51" i="8" s="1"/>
  <c r="BH21" i="3"/>
  <c r="BH23" i="3"/>
  <c r="R95" i="3"/>
  <c r="DM12" i="8" s="1"/>
  <c r="R112" i="3"/>
  <c r="DM29" i="8" s="1"/>
  <c r="R143" i="3"/>
  <c r="DM60" i="8" s="1"/>
  <c r="R96" i="3"/>
  <c r="DM13" i="8" s="1"/>
  <c r="R123" i="3"/>
  <c r="DM40" i="8" s="1"/>
  <c r="R88" i="3"/>
  <c r="DM5" i="8" s="1"/>
  <c r="R92" i="3"/>
  <c r="DM9" i="8" s="1"/>
  <c r="R91" i="3"/>
  <c r="DM8" i="8" s="1"/>
  <c r="R144" i="3"/>
  <c r="DM61" i="8" s="1"/>
  <c r="R130" i="3"/>
  <c r="DM47" i="8" s="1"/>
  <c r="R128" i="3"/>
  <c r="DM45" i="8" s="1"/>
  <c r="R129" i="3"/>
  <c r="DM46" i="8" s="1"/>
  <c r="R94" i="3"/>
  <c r="DM11" i="8" s="1"/>
  <c r="R101" i="3"/>
  <c r="DM18" i="8" s="1"/>
  <c r="R100" i="3"/>
  <c r="DM17" i="8" s="1"/>
  <c r="R87" i="3"/>
  <c r="DM4" i="8" s="1"/>
  <c r="R131" i="3"/>
  <c r="DM48" i="8" s="1"/>
  <c r="L101" i="9"/>
  <c r="DH24" i="5" s="1"/>
  <c r="L86" i="9"/>
  <c r="DH9" i="5" s="1"/>
  <c r="L111" i="9"/>
  <c r="DH34" i="5" s="1"/>
  <c r="Y112" i="9"/>
  <c r="DU35" i="5" s="1"/>
  <c r="Y102" i="9"/>
  <c r="DU25" i="5" s="1"/>
  <c r="G109" i="3"/>
  <c r="DB26" i="8" s="1"/>
  <c r="G120" i="3"/>
  <c r="DB37" i="8" s="1"/>
  <c r="G97" i="3"/>
  <c r="DB14" i="8" s="1"/>
  <c r="G133" i="3"/>
  <c r="DB50" i="8" s="1"/>
  <c r="I106" i="3"/>
  <c r="DD23" i="8" s="1"/>
  <c r="I140" i="3"/>
  <c r="DD57" i="8" s="1"/>
  <c r="I125" i="3"/>
  <c r="DD42" i="8" s="1"/>
  <c r="I117" i="3"/>
  <c r="DD34" i="8" s="1"/>
  <c r="I99" i="3"/>
  <c r="DD16" i="8" s="1"/>
  <c r="I122" i="3"/>
  <c r="DD39" i="8" s="1"/>
  <c r="I111" i="3"/>
  <c r="DD28" i="8" s="1"/>
  <c r="I135" i="3"/>
  <c r="DD52" i="8" s="1"/>
  <c r="P120" i="3"/>
  <c r="DK37" i="8" s="1"/>
  <c r="P97" i="3"/>
  <c r="DK14" i="8" s="1"/>
  <c r="P109" i="3"/>
  <c r="DK26" i="8" s="1"/>
  <c r="P133" i="3"/>
  <c r="DK50" i="8" s="1"/>
  <c r="P96" i="3"/>
  <c r="DK13" i="8" s="1"/>
  <c r="P123" i="3"/>
  <c r="DK40" i="8" s="1"/>
  <c r="P92" i="3"/>
  <c r="DK9" i="8" s="1"/>
  <c r="P95" i="3"/>
  <c r="DK12" i="8" s="1"/>
  <c r="P112" i="3"/>
  <c r="DK29" i="8" s="1"/>
  <c r="P94" i="3"/>
  <c r="DK11" i="8" s="1"/>
  <c r="P100" i="3"/>
  <c r="DK17" i="8" s="1"/>
  <c r="P130" i="3"/>
  <c r="DK47" i="8" s="1"/>
  <c r="P129" i="3"/>
  <c r="DK46" i="8" s="1"/>
  <c r="P87" i="3"/>
  <c r="DK4" i="8" s="1"/>
  <c r="P128" i="3"/>
  <c r="DK45" i="8" s="1"/>
  <c r="P91" i="3"/>
  <c r="DK8" i="8" s="1"/>
  <c r="P88" i="3"/>
  <c r="DK5" i="8" s="1"/>
  <c r="P144" i="3"/>
  <c r="DK61" i="8" s="1"/>
  <c r="P143" i="3"/>
  <c r="DK60" i="8" s="1"/>
  <c r="P101" i="3"/>
  <c r="DK18" i="8" s="1"/>
  <c r="P131" i="3"/>
  <c r="DK48" i="8" s="1"/>
  <c r="P137" i="3"/>
  <c r="DK54" i="8" s="1"/>
  <c r="P103" i="3"/>
  <c r="DK20" i="8" s="1"/>
  <c r="P114" i="3"/>
  <c r="DK31" i="8" s="1"/>
  <c r="O114" i="3"/>
  <c r="DJ31" i="8" s="1"/>
  <c r="O103" i="3"/>
  <c r="DJ20" i="8" s="1"/>
  <c r="O137" i="3"/>
  <c r="DJ54" i="8" s="1"/>
  <c r="R119" i="3"/>
  <c r="DM36" i="8" s="1"/>
  <c r="R127" i="3"/>
  <c r="DM44" i="8" s="1"/>
  <c r="R142" i="3"/>
  <c r="DM59" i="8" s="1"/>
  <c r="I104" i="9"/>
  <c r="DE27" i="5" s="1"/>
  <c r="I114" i="9"/>
  <c r="DE37" i="5" s="1"/>
  <c r="I93" i="9"/>
  <c r="I126" i="9"/>
  <c r="DE49" i="5" s="1"/>
  <c r="I87" i="9"/>
  <c r="DE10" i="5" s="1"/>
  <c r="I115" i="9"/>
  <c r="DE38" i="5" s="1"/>
  <c r="I94" i="9"/>
  <c r="DE17" i="5" s="1"/>
  <c r="I106" i="9"/>
  <c r="DE29" i="5" s="1"/>
  <c r="I105" i="9"/>
  <c r="DE28" i="5" s="1"/>
  <c r="M102" i="9"/>
  <c r="M112" i="9"/>
  <c r="DI35" i="5" s="1"/>
  <c r="L107" i="9"/>
  <c r="DH30" i="5" s="1"/>
  <c r="L88" i="9"/>
  <c r="L96" i="9"/>
  <c r="DH19" i="5" s="1"/>
  <c r="K101" i="9"/>
  <c r="K86" i="9"/>
  <c r="DG9" i="5" s="1"/>
  <c r="K111" i="9"/>
  <c r="H113" i="9"/>
  <c r="DD36" i="5" s="1"/>
  <c r="H103" i="9"/>
  <c r="H92" i="9"/>
  <c r="DD15" i="5" s="1"/>
  <c r="H122" i="9"/>
  <c r="DD45" i="5" s="1"/>
  <c r="E97" i="9"/>
  <c r="DA20" i="5" s="1"/>
  <c r="E108" i="9"/>
  <c r="DA31" i="5" s="1"/>
  <c r="E89" i="9"/>
  <c r="DA12" i="5" s="1"/>
  <c r="N91" i="9"/>
  <c r="DJ14" i="5" s="1"/>
  <c r="N127" i="9"/>
  <c r="N125" i="9"/>
  <c r="DJ48" i="5" s="1"/>
  <c r="N123" i="9"/>
  <c r="DJ46" i="5" s="1"/>
  <c r="N81" i="9"/>
  <c r="DJ4" i="5" s="1"/>
  <c r="N84" i="9"/>
  <c r="N110" i="9"/>
  <c r="DJ33" i="5" s="1"/>
  <c r="N83" i="9"/>
  <c r="N82" i="9"/>
  <c r="N100" i="9"/>
  <c r="DJ23" i="5" s="1"/>
  <c r="N99" i="9"/>
  <c r="DJ22" i="5" s="1"/>
  <c r="N121" i="9"/>
  <c r="DJ44" i="5" s="1"/>
  <c r="N120" i="9"/>
  <c r="DJ43" i="5" s="1"/>
  <c r="N119" i="9"/>
  <c r="N118" i="9"/>
  <c r="DJ41" i="5" s="1"/>
  <c r="N117" i="9"/>
  <c r="DJ40" i="5" s="1"/>
  <c r="P116" i="9"/>
  <c r="DL39" i="5" s="1"/>
  <c r="P95" i="9"/>
  <c r="DL18" i="5" s="1"/>
  <c r="T122" i="3"/>
  <c r="DO39" i="8" s="1"/>
  <c r="T135" i="3"/>
  <c r="DO52" i="8" s="1"/>
  <c r="T99" i="3"/>
  <c r="DO16" i="8" s="1"/>
  <c r="T111" i="3"/>
  <c r="DO28" i="8" s="1"/>
  <c r="T109" i="9"/>
  <c r="DP32" i="5" s="1"/>
  <c r="T98" i="9"/>
  <c r="DP21" i="5" s="1"/>
  <c r="T90" i="9"/>
  <c r="DP13" i="5" s="1"/>
  <c r="T85" i="9"/>
  <c r="DP8" i="5" s="1"/>
  <c r="T124" i="9"/>
  <c r="DP47" i="5" s="1"/>
  <c r="X20" i="10"/>
  <c r="BF27" i="10" s="1"/>
  <c r="W112" i="9"/>
  <c r="DS35" i="5" s="1"/>
  <c r="W102" i="9"/>
  <c r="DS25" i="5" s="1"/>
  <c r="Y97" i="9"/>
  <c r="DU20" i="5" s="1"/>
  <c r="Y108" i="9"/>
  <c r="DU31" i="5" s="1"/>
  <c r="Y89" i="9"/>
  <c r="DU12" i="5" s="1"/>
  <c r="Y91" i="9"/>
  <c r="DU14" i="5" s="1"/>
  <c r="Y110" i="9"/>
  <c r="DU33" i="5" s="1"/>
  <c r="Y125" i="9"/>
  <c r="DU48" i="5" s="1"/>
  <c r="Y127" i="9"/>
  <c r="DU50" i="5" s="1"/>
  <c r="Y123" i="9"/>
  <c r="DU46" i="5" s="1"/>
  <c r="Y81" i="9"/>
  <c r="Y100" i="9"/>
  <c r="DU23" i="5" s="1"/>
  <c r="Y99" i="9"/>
  <c r="DU22" i="5" s="1"/>
  <c r="Y121" i="9"/>
  <c r="DU44" i="5" s="1"/>
  <c r="Y84" i="9"/>
  <c r="DU7" i="5" s="1"/>
  <c r="Y120" i="9"/>
  <c r="DU43" i="5" s="1"/>
  <c r="Y83" i="9"/>
  <c r="DU6" i="5" s="1"/>
  <c r="Y119" i="9"/>
  <c r="DU42" i="5" s="1"/>
  <c r="Y82" i="9"/>
  <c r="DU5" i="5" s="1"/>
  <c r="Y118" i="9"/>
  <c r="DU41" i="5" s="1"/>
  <c r="Y117" i="9"/>
  <c r="DU40" i="5" s="1"/>
  <c r="Z104" i="9"/>
  <c r="DV27" i="5" s="1"/>
  <c r="Z93" i="9"/>
  <c r="DV16" i="5" s="1"/>
  <c r="Z114" i="9"/>
  <c r="DV37" i="5" s="1"/>
  <c r="AH83" i="9"/>
  <c r="ED6" i="5" s="1"/>
  <c r="AH119" i="9"/>
  <c r="ED42" i="5" s="1"/>
  <c r="AH82" i="9"/>
  <c r="ED5" i="5" s="1"/>
  <c r="AH91" i="9"/>
  <c r="ED14" i="5" s="1"/>
  <c r="AH125" i="9"/>
  <c r="ED48" i="5" s="1"/>
  <c r="AH123" i="9"/>
  <c r="ED46" i="5" s="1"/>
  <c r="AH127" i="9"/>
  <c r="ED50" i="5" s="1"/>
  <c r="AH110" i="9"/>
  <c r="ED33" i="5" s="1"/>
  <c r="AH118" i="9"/>
  <c r="ED41" i="5" s="1"/>
  <c r="AH117" i="9"/>
  <c r="ED40" i="5" s="1"/>
  <c r="AH81" i="9"/>
  <c r="AH121" i="9"/>
  <c r="ED44" i="5" s="1"/>
  <c r="AH100" i="9"/>
  <c r="ED23" i="5" s="1"/>
  <c r="AH84" i="9"/>
  <c r="ED7" i="5" s="1"/>
  <c r="AH120" i="9"/>
  <c r="ED43" i="5" s="1"/>
  <c r="AH99" i="9"/>
  <c r="ED22" i="5" s="1"/>
  <c r="AD126" i="9"/>
  <c r="DZ49" i="5" s="1"/>
  <c r="AD106" i="9"/>
  <c r="DZ29" i="5" s="1"/>
  <c r="AD105" i="9"/>
  <c r="DZ28" i="5" s="1"/>
  <c r="AD115" i="9"/>
  <c r="DZ38" i="5" s="1"/>
  <c r="AD94" i="9"/>
  <c r="DZ17" i="5" s="1"/>
  <c r="AD87" i="9"/>
  <c r="DZ10" i="5" s="1"/>
  <c r="Y122" i="9"/>
  <c r="DU45" i="5" s="1"/>
  <c r="Y92" i="9"/>
  <c r="DU15" i="5" s="1"/>
  <c r="Y113" i="9"/>
  <c r="DU36" i="5" s="1"/>
  <c r="Y103" i="9"/>
  <c r="DU26" i="5" s="1"/>
  <c r="AG93" i="9"/>
  <c r="EC16" i="5" s="1"/>
  <c r="AG114" i="9"/>
  <c r="EC37" i="5" s="1"/>
  <c r="AG104" i="9"/>
  <c r="EC27" i="5" s="1"/>
  <c r="V85" i="9"/>
  <c r="DR8" i="5" s="1"/>
  <c r="V98" i="9"/>
  <c r="DR21" i="5" s="1"/>
  <c r="V124" i="9"/>
  <c r="DR47" i="5" s="1"/>
  <c r="V90" i="9"/>
  <c r="DR13" i="5" s="1"/>
  <c r="V109" i="9"/>
  <c r="DR32" i="5" s="1"/>
  <c r="AH103" i="9"/>
  <c r="ED26" i="5" s="1"/>
  <c r="AH92" i="9"/>
  <c r="ED15" i="5" s="1"/>
  <c r="AH113" i="9"/>
  <c r="ED36" i="5" s="1"/>
  <c r="AH122" i="9"/>
  <c r="ED45" i="5" s="1"/>
  <c r="BG45" i="3"/>
  <c r="AA94" i="3"/>
  <c r="DV11" i="8" s="1"/>
  <c r="AA92" i="3"/>
  <c r="DV9" i="8" s="1"/>
  <c r="AA91" i="3"/>
  <c r="DV8" i="8" s="1"/>
  <c r="AA123" i="3"/>
  <c r="DV40" i="8" s="1"/>
  <c r="AA112" i="3"/>
  <c r="DV29" i="8" s="1"/>
  <c r="BG47" i="3"/>
  <c r="BG53" i="3"/>
  <c r="AA143" i="3"/>
  <c r="DV60" i="8" s="1"/>
  <c r="AA130" i="3"/>
  <c r="DV47" i="8" s="1"/>
  <c r="AA144" i="3"/>
  <c r="DV61" i="8" s="1"/>
  <c r="AA129" i="3"/>
  <c r="DV46" i="8" s="1"/>
  <c r="AA96" i="3"/>
  <c r="DV13" i="8" s="1"/>
  <c r="AA88" i="3"/>
  <c r="DV5" i="8" s="1"/>
  <c r="AA128" i="3"/>
  <c r="DV45" i="8" s="1"/>
  <c r="AA95" i="3"/>
  <c r="DV12" i="8" s="1"/>
  <c r="BG44" i="3"/>
  <c r="AA101" i="3"/>
  <c r="DV18" i="8" s="1"/>
  <c r="AA87" i="3"/>
  <c r="DV4" i="8" s="1"/>
  <c r="AA100" i="3"/>
  <c r="DV17" i="8" s="1"/>
  <c r="BG50" i="3"/>
  <c r="BG48" i="3"/>
  <c r="BG51" i="3"/>
  <c r="BG52" i="3"/>
  <c r="BG46" i="3"/>
  <c r="BG49" i="3"/>
  <c r="AA131" i="3"/>
  <c r="DV48" i="8" s="1"/>
  <c r="AG142" i="3"/>
  <c r="EB59" i="8" s="1"/>
  <c r="AG127" i="3"/>
  <c r="EB44" i="8" s="1"/>
  <c r="BM61" i="3"/>
  <c r="AG119" i="3"/>
  <c r="EB36" i="8" s="1"/>
  <c r="BM62" i="3"/>
  <c r="BM63" i="3"/>
  <c r="BM64" i="3"/>
  <c r="BD19" i="3"/>
  <c r="X124" i="3"/>
  <c r="DS41" i="8" s="1"/>
  <c r="X132" i="3"/>
  <c r="DS49" i="8" s="1"/>
  <c r="BD16" i="3"/>
  <c r="X105" i="3"/>
  <c r="DS22" i="8" s="1"/>
  <c r="X116" i="3"/>
  <c r="DS33" i="8" s="1"/>
  <c r="X139" i="3"/>
  <c r="DS56" i="8" s="1"/>
  <c r="BD20" i="3"/>
  <c r="BD18" i="3"/>
  <c r="BD17" i="3"/>
  <c r="AG123" i="3"/>
  <c r="EB40" i="8" s="1"/>
  <c r="AG95" i="3"/>
  <c r="EB12" i="8" s="1"/>
  <c r="AG91" i="3"/>
  <c r="EB8" i="8" s="1"/>
  <c r="AG88" i="3"/>
  <c r="EB5" i="8" s="1"/>
  <c r="AG94" i="3"/>
  <c r="EB11" i="8" s="1"/>
  <c r="BM47" i="3"/>
  <c r="BM45" i="3"/>
  <c r="AG144" i="3"/>
  <c r="EB61" i="8" s="1"/>
  <c r="AG87" i="3"/>
  <c r="EB4" i="8" s="1"/>
  <c r="AG112" i="3"/>
  <c r="EB29" i="8" s="1"/>
  <c r="AG143" i="3"/>
  <c r="EB60" i="8" s="1"/>
  <c r="BM44" i="3"/>
  <c r="AG101" i="3"/>
  <c r="EB18" i="8" s="1"/>
  <c r="AG92" i="3"/>
  <c r="EB9" i="8" s="1"/>
  <c r="BM53" i="3"/>
  <c r="AG100" i="3"/>
  <c r="EB17" i="8" s="1"/>
  <c r="AG96" i="3"/>
  <c r="EB13" i="8" s="1"/>
  <c r="AG130" i="3"/>
  <c r="EB47" i="8" s="1"/>
  <c r="AG129" i="3"/>
  <c r="EB46" i="8" s="1"/>
  <c r="AG128" i="3"/>
  <c r="EB45" i="8" s="1"/>
  <c r="BM49" i="3"/>
  <c r="BM51" i="3"/>
  <c r="BM52" i="3"/>
  <c r="BM48" i="3"/>
  <c r="BM46" i="3"/>
  <c r="BM50" i="3"/>
  <c r="AG131" i="3"/>
  <c r="EB48" i="8" s="1"/>
  <c r="AC27" i="1"/>
  <c r="BI35" i="3"/>
  <c r="AC120" i="3"/>
  <c r="DX37" i="8" s="1"/>
  <c r="AC133" i="3"/>
  <c r="DX50" i="8" s="1"/>
  <c r="AC97" i="3"/>
  <c r="DX14" i="8" s="1"/>
  <c r="AC109" i="3"/>
  <c r="DX26" i="8" s="1"/>
  <c r="BI34" i="3"/>
  <c r="BI33" i="3"/>
  <c r="BI36" i="3"/>
  <c r="BB10" i="3"/>
  <c r="V111" i="3"/>
  <c r="DQ28" i="8" s="1"/>
  <c r="V99" i="3"/>
  <c r="DQ16" i="8" s="1"/>
  <c r="V135" i="3"/>
  <c r="DQ52" i="8" s="1"/>
  <c r="V122" i="3"/>
  <c r="DQ39" i="8" s="1"/>
  <c r="BB11" i="3"/>
  <c r="BB9" i="3"/>
  <c r="BB12" i="3"/>
  <c r="AF124" i="3"/>
  <c r="EA41" i="8" s="1"/>
  <c r="AF105" i="3"/>
  <c r="EA22" i="8" s="1"/>
  <c r="AF116" i="3"/>
  <c r="EA33" i="8" s="1"/>
  <c r="AF139" i="3"/>
  <c r="EA56" i="8" s="1"/>
  <c r="AF132" i="3"/>
  <c r="EA49" i="8" s="1"/>
  <c r="BL18" i="3"/>
  <c r="BL16" i="3"/>
  <c r="BL19" i="3"/>
  <c r="BL20" i="3"/>
  <c r="BL17" i="3"/>
  <c r="BH60" i="3"/>
  <c r="AB136" i="3"/>
  <c r="DW53" i="8" s="1"/>
  <c r="AB89" i="3"/>
  <c r="DW6" i="8" s="1"/>
  <c r="BH58" i="3"/>
  <c r="AB102" i="3"/>
  <c r="DW19" i="8" s="1"/>
  <c r="AB113" i="3"/>
  <c r="DW30" i="8" s="1"/>
  <c r="BH59" i="3"/>
  <c r="BH57" i="3"/>
  <c r="AF122" i="3"/>
  <c r="EA39" i="8" s="1"/>
  <c r="AF135" i="3"/>
  <c r="EA52" i="8" s="1"/>
  <c r="AF99" i="3"/>
  <c r="EA16" i="8" s="1"/>
  <c r="AF111" i="3"/>
  <c r="EA28" i="8" s="1"/>
  <c r="BL11" i="3"/>
  <c r="BL12" i="3"/>
  <c r="BL10" i="3"/>
  <c r="BL9" i="3"/>
  <c r="Q18" i="10"/>
  <c r="AG20" i="10"/>
  <c r="BO27" i="10" s="1"/>
  <c r="O18" i="10"/>
  <c r="R18" i="10"/>
  <c r="G20" i="10"/>
  <c r="AO27" i="10" s="1"/>
  <c r="N19" i="10"/>
  <c r="AV19" i="10" s="1"/>
  <c r="L19" i="10"/>
  <c r="AT19" i="10" s="1"/>
  <c r="W23" i="10"/>
  <c r="BE23" i="10" s="1"/>
  <c r="AC26" i="10"/>
  <c r="BK26" i="10" s="1"/>
  <c r="E25" i="10"/>
  <c r="J24" i="10"/>
  <c r="AR24" i="10" s="1"/>
  <c r="I21" i="10"/>
  <c r="AQ21" i="10" s="1"/>
  <c r="K20" i="10"/>
  <c r="AS27" i="10" s="1"/>
  <c r="H18" i="10"/>
  <c r="P20" i="10"/>
  <c r="AX27" i="10" s="1"/>
  <c r="Z25" i="10"/>
  <c r="S18" i="10"/>
  <c r="I20" i="10"/>
  <c r="AQ27" i="10" s="1"/>
  <c r="V27" i="10"/>
  <c r="V20" i="10"/>
  <c r="BD27" i="10" s="1"/>
  <c r="BM51" i="9"/>
  <c r="BM52" i="9"/>
  <c r="BM53" i="9"/>
  <c r="BC20" i="9"/>
  <c r="BC21" i="9"/>
  <c r="BC23" i="9"/>
  <c r="BC22" i="9"/>
  <c r="BE58" i="9"/>
  <c r="BE60" i="9"/>
  <c r="BE61" i="9"/>
  <c r="BE59" i="9"/>
  <c r="O19" i="10"/>
  <c r="AW19" i="10" s="1"/>
  <c r="BL20" i="9"/>
  <c r="BL22" i="9"/>
  <c r="BL23" i="9"/>
  <c r="BL21" i="9"/>
  <c r="AC21" i="10"/>
  <c r="BK21" i="10" s="1"/>
  <c r="BG33" i="9"/>
  <c r="BG35" i="9"/>
  <c r="BG34" i="9"/>
  <c r="BG32" i="9"/>
  <c r="BN57" i="9"/>
  <c r="BN54" i="9"/>
  <c r="BN56" i="9"/>
  <c r="BN55" i="9"/>
  <c r="Y26" i="10"/>
  <c r="BG26" i="10" s="1"/>
  <c r="AE26" i="10"/>
  <c r="BM26" i="10" s="1"/>
  <c r="S25" i="10"/>
  <c r="AF25" i="10"/>
  <c r="S24" i="10"/>
  <c r="BA24" i="10" s="1"/>
  <c r="AF24" i="10"/>
  <c r="BN24" i="10" s="1"/>
  <c r="R21" i="10"/>
  <c r="AZ21" i="10" s="1"/>
  <c r="BE27" i="9"/>
  <c r="BE25" i="9"/>
  <c r="BE24" i="9"/>
  <c r="BE26" i="9"/>
  <c r="J26" i="10"/>
  <c r="AR26" i="10" s="1"/>
  <c r="BE10" i="9"/>
  <c r="BE7" i="9"/>
  <c r="BE9" i="9"/>
  <c r="BE8" i="9"/>
  <c r="BE11" i="9"/>
  <c r="I23" i="10"/>
  <c r="AQ23" i="10" s="1"/>
  <c r="BB16" i="9"/>
  <c r="BB15" i="9"/>
  <c r="BB18" i="9"/>
  <c r="BB19" i="9"/>
  <c r="BB17" i="9"/>
  <c r="K22" i="10"/>
  <c r="J18" i="10"/>
  <c r="Q20" i="10"/>
  <c r="AY27" i="10" s="1"/>
  <c r="BC51" i="9"/>
  <c r="BC52" i="9"/>
  <c r="BC53" i="9"/>
  <c r="BE20" i="9"/>
  <c r="BE22" i="9"/>
  <c r="BE23" i="9"/>
  <c r="BE21" i="9"/>
  <c r="BE47" i="9"/>
  <c r="BE49" i="9"/>
  <c r="BE48" i="9"/>
  <c r="BE44" i="9"/>
  <c r="BE50" i="9"/>
  <c r="BE43" i="9"/>
  <c r="BE45" i="9"/>
  <c r="BE46" i="9"/>
  <c r="R19" i="10"/>
  <c r="AZ19" i="10" s="1"/>
  <c r="BF27" i="9"/>
  <c r="BF24" i="9"/>
  <c r="BF25" i="9"/>
  <c r="BF26" i="9"/>
  <c r="AA24" i="10"/>
  <c r="BI24" i="10" s="1"/>
  <c r="BN47" i="9"/>
  <c r="BN43" i="9"/>
  <c r="BN50" i="9"/>
  <c r="BN45" i="9"/>
  <c r="BN44" i="9"/>
  <c r="BN49" i="9"/>
  <c r="BN48" i="9"/>
  <c r="BN46" i="9"/>
  <c r="BJ5" i="9"/>
  <c r="BJ6" i="9"/>
  <c r="BJ4" i="9"/>
  <c r="BJ3" i="9"/>
  <c r="Y23" i="10"/>
  <c r="BG23" i="10" s="1"/>
  <c r="BE15" i="9"/>
  <c r="BE17" i="9"/>
  <c r="BE16" i="9"/>
  <c r="BE19" i="9"/>
  <c r="BE18" i="9"/>
  <c r="L25" i="10"/>
  <c r="X25" i="10"/>
  <c r="F24" i="10"/>
  <c r="AN24" i="10" s="1"/>
  <c r="AC24" i="10"/>
  <c r="BK24" i="10" s="1"/>
  <c r="T21" i="10"/>
  <c r="BB21" i="10" s="1"/>
  <c r="BM27" i="9"/>
  <c r="BM25" i="9"/>
  <c r="BM24" i="9"/>
  <c r="BM26" i="9"/>
  <c r="O26" i="10"/>
  <c r="AW26" i="10" s="1"/>
  <c r="BB9" i="9"/>
  <c r="BB10" i="9"/>
  <c r="BB11" i="9"/>
  <c r="BB8" i="9"/>
  <c r="BB7" i="9"/>
  <c r="T23" i="10"/>
  <c r="BN18" i="9"/>
  <c r="BN16" i="9"/>
  <c r="BN19" i="9"/>
  <c r="BN15" i="9"/>
  <c r="BN17" i="9"/>
  <c r="H22" i="10"/>
  <c r="N18" i="10"/>
  <c r="AF18" i="10"/>
  <c r="AF27" i="10"/>
  <c r="M20" i="10"/>
  <c r="AU27" i="10" s="1"/>
  <c r="AD20" i="10"/>
  <c r="BL27" i="10" s="1"/>
  <c r="BD53" i="9"/>
  <c r="BD52" i="9"/>
  <c r="BD51" i="9"/>
  <c r="BF21" i="9"/>
  <c r="BF23" i="9"/>
  <c r="BF20" i="9"/>
  <c r="BF22" i="9"/>
  <c r="BC46" i="9"/>
  <c r="BC50" i="9"/>
  <c r="BC43" i="9"/>
  <c r="BC44" i="9"/>
  <c r="BC49" i="9"/>
  <c r="BC45" i="9"/>
  <c r="BC48" i="9"/>
  <c r="BC47" i="9"/>
  <c r="T19" i="10"/>
  <c r="BB19" i="10" s="1"/>
  <c r="BG58" i="9"/>
  <c r="BG61" i="9"/>
  <c r="BG60" i="9"/>
  <c r="BG59" i="9"/>
  <c r="BD35" i="9"/>
  <c r="BD34" i="9"/>
  <c r="BD33" i="9"/>
  <c r="BD32" i="9"/>
  <c r="BN25" i="9"/>
  <c r="BN24" i="9"/>
  <c r="BN27" i="9"/>
  <c r="BN26" i="9"/>
  <c r="AB19" i="10"/>
  <c r="BJ19" i="10" s="1"/>
  <c r="AB26" i="10"/>
  <c r="BJ26" i="10" s="1"/>
  <c r="BJ21" i="9"/>
  <c r="BJ23" i="9"/>
  <c r="BJ20" i="9"/>
  <c r="BJ22" i="9"/>
  <c r="G25" i="10"/>
  <c r="V25" i="10"/>
  <c r="L24" i="10"/>
  <c r="AT24" i="10" s="1"/>
  <c r="AD24" i="10"/>
  <c r="BL24" i="10" s="1"/>
  <c r="G21" i="10"/>
  <c r="AO21" i="10" s="1"/>
  <c r="BD27" i="9"/>
  <c r="BD25" i="9"/>
  <c r="BD24" i="9"/>
  <c r="BD26" i="9"/>
  <c r="U26" i="10"/>
  <c r="BC26" i="10" s="1"/>
  <c r="BK7" i="9"/>
  <c r="BK8" i="9"/>
  <c r="BK9" i="9"/>
  <c r="BK11" i="9"/>
  <c r="BK10" i="9"/>
  <c r="G23" i="10"/>
  <c r="AO23" i="10" s="1"/>
  <c r="F22" i="10"/>
  <c r="P22" i="10"/>
  <c r="AC18" i="10"/>
  <c r="AC27" i="10"/>
  <c r="U20" i="10"/>
  <c r="BC27" i="10" s="1"/>
  <c r="BB55" i="9"/>
  <c r="BB54" i="9"/>
  <c r="BB57" i="9"/>
  <c r="BB56" i="9"/>
  <c r="BD20" i="9"/>
  <c r="BD21" i="9"/>
  <c r="BD22" i="9"/>
  <c r="BD23" i="9"/>
  <c r="BH48" i="9"/>
  <c r="BH44" i="9"/>
  <c r="BH45" i="9"/>
  <c r="BH47" i="9"/>
  <c r="BH49" i="9"/>
  <c r="BH50" i="9"/>
  <c r="BH43" i="9"/>
  <c r="BH46" i="9"/>
  <c r="G19" i="10"/>
  <c r="AO19" i="10" s="1"/>
  <c r="X18" i="10"/>
  <c r="X27" i="10"/>
  <c r="BK48" i="9"/>
  <c r="BK43" i="9"/>
  <c r="BK50" i="9"/>
  <c r="BK46" i="9"/>
  <c r="BK47" i="9"/>
  <c r="BK44" i="9"/>
  <c r="BK45" i="9"/>
  <c r="BK49" i="9"/>
  <c r="Z19" i="10"/>
  <c r="BH19" i="10" s="1"/>
  <c r="V23" i="10"/>
  <c r="BD23" i="10" s="1"/>
  <c r="BG21" i="9"/>
  <c r="BG23" i="9"/>
  <c r="BG22" i="9"/>
  <c r="BG20" i="9"/>
  <c r="BH17" i="9"/>
  <c r="BH19" i="9"/>
  <c r="BH18" i="9"/>
  <c r="BH16" i="9"/>
  <c r="BH15" i="9"/>
  <c r="N25" i="10"/>
  <c r="AG25" i="10"/>
  <c r="G24" i="10"/>
  <c r="AO24" i="10" s="1"/>
  <c r="AG24" i="10"/>
  <c r="BO24" i="10" s="1"/>
  <c r="K21" i="10"/>
  <c r="AS21" i="10" s="1"/>
  <c r="BC24" i="9"/>
  <c r="BC27" i="9"/>
  <c r="BC25" i="9"/>
  <c r="BC26" i="9"/>
  <c r="H26" i="10"/>
  <c r="AP26" i="10" s="1"/>
  <c r="F23" i="10"/>
  <c r="AN23" i="10" s="1"/>
  <c r="K23" i="10"/>
  <c r="AS23" i="10" s="1"/>
  <c r="L22" i="10"/>
  <c r="AD22" i="10"/>
  <c r="E18" i="10"/>
  <c r="AH18" i="10"/>
  <c r="AH27" i="10"/>
  <c r="E20" i="10"/>
  <c r="AM27" i="10" s="1"/>
  <c r="AH20" i="10"/>
  <c r="BP27" i="10" s="1"/>
  <c r="BH56" i="9"/>
  <c r="BH54" i="9"/>
  <c r="BH55" i="9"/>
  <c r="BH57" i="9"/>
  <c r="BK22" i="9"/>
  <c r="BK20" i="9"/>
  <c r="BK23" i="9"/>
  <c r="BK21" i="9"/>
  <c r="BB49" i="9"/>
  <c r="BB48" i="9"/>
  <c r="BB47" i="9"/>
  <c r="BB43" i="9"/>
  <c r="BB44" i="9"/>
  <c r="BB46" i="9"/>
  <c r="BB45" i="9"/>
  <c r="BB50" i="9"/>
  <c r="H19" i="10"/>
  <c r="AP19" i="10" s="1"/>
  <c r="AF20" i="10"/>
  <c r="BN27" i="10" s="1"/>
  <c r="BI27" i="9"/>
  <c r="BI25" i="9"/>
  <c r="BI24" i="9"/>
  <c r="BI26" i="9"/>
  <c r="AC22" i="10"/>
  <c r="AC25" i="10"/>
  <c r="BH21" i="9"/>
  <c r="BH22" i="9"/>
  <c r="BH20" i="9"/>
  <c r="BH23" i="9"/>
  <c r="BM8" i="9"/>
  <c r="BM7" i="9"/>
  <c r="BM9" i="9"/>
  <c r="BM10" i="9"/>
  <c r="BM11" i="9"/>
  <c r="K25" i="10"/>
  <c r="W25" i="10"/>
  <c r="N24" i="10"/>
  <c r="AV24" i="10" s="1"/>
  <c r="AH24" i="10"/>
  <c r="BP24" i="10" s="1"/>
  <c r="P21" i="10"/>
  <c r="AX21" i="10" s="1"/>
  <c r="BL26" i="9"/>
  <c r="BL27" i="9"/>
  <c r="BL25" i="9"/>
  <c r="BL24" i="9"/>
  <c r="R26" i="10"/>
  <c r="AZ26" i="10" s="1"/>
  <c r="L23" i="10"/>
  <c r="AT23" i="10" s="1"/>
  <c r="AG23" i="10"/>
  <c r="BO23" i="10" s="1"/>
  <c r="S22" i="10"/>
  <c r="V22" i="10"/>
  <c r="K18" i="10"/>
  <c r="AG18" i="10"/>
  <c r="AG27" i="10"/>
  <c r="O20" i="10"/>
  <c r="AW27" i="10" s="1"/>
  <c r="Y20" i="10"/>
  <c r="BG27" i="10" s="1"/>
  <c r="BF56" i="9"/>
  <c r="BF57" i="9"/>
  <c r="BF55" i="9"/>
  <c r="BF54" i="9"/>
  <c r="BN58" i="9"/>
  <c r="BN59" i="9"/>
  <c r="BN60" i="9"/>
  <c r="BN61" i="9"/>
  <c r="BF43" i="9"/>
  <c r="BF45" i="9"/>
  <c r="BF44" i="9"/>
  <c r="BF49" i="9"/>
  <c r="BF46" i="9"/>
  <c r="BF50" i="9"/>
  <c r="BF48" i="9"/>
  <c r="BF47" i="9"/>
  <c r="P19" i="10"/>
  <c r="AX19" i="10" s="1"/>
  <c r="Y24" i="10"/>
  <c r="BG24" i="10" s="1"/>
  <c r="W19" i="10"/>
  <c r="BE19" i="10" s="1"/>
  <c r="AA25" i="10"/>
  <c r="BK32" i="9"/>
  <c r="BK34" i="9"/>
  <c r="BK33" i="9"/>
  <c r="BK35" i="9"/>
  <c r="BF17" i="9"/>
  <c r="BF16" i="9"/>
  <c r="BF15" i="9"/>
  <c r="BF19" i="9"/>
  <c r="BF18" i="9"/>
  <c r="V18" i="10"/>
  <c r="Q25" i="10"/>
  <c r="AD25" i="10"/>
  <c r="Q24" i="10"/>
  <c r="AY24" i="10" s="1"/>
  <c r="AE24" i="10"/>
  <c r="BM24" i="10" s="1"/>
  <c r="H21" i="10"/>
  <c r="AP21" i="10" s="1"/>
  <c r="E26" i="10"/>
  <c r="AM26" i="10" s="1"/>
  <c r="I26" i="10"/>
  <c r="AQ26" i="10" s="1"/>
  <c r="S23" i="10"/>
  <c r="BA23" i="10" s="1"/>
  <c r="AC23" i="10"/>
  <c r="BK23" i="10" s="1"/>
  <c r="N22" i="10"/>
  <c r="Z22" i="10"/>
  <c r="AD18" i="10"/>
  <c r="AD27" i="10"/>
  <c r="R20" i="10"/>
  <c r="AZ27" i="10" s="1"/>
  <c r="BI51" i="9"/>
  <c r="BI52" i="9"/>
  <c r="BI53" i="9"/>
  <c r="BC57" i="9"/>
  <c r="BC56" i="9"/>
  <c r="BC55" i="9"/>
  <c r="BC54" i="9"/>
  <c r="BK58" i="9"/>
  <c r="BK59" i="9"/>
  <c r="BK61" i="9"/>
  <c r="BK60" i="9"/>
  <c r="BD47" i="9"/>
  <c r="BD43" i="9"/>
  <c r="BD49" i="9"/>
  <c r="BD44" i="9"/>
  <c r="BD46" i="9"/>
  <c r="BD45" i="9"/>
  <c r="BD48" i="9"/>
  <c r="BD50" i="9"/>
  <c r="S19" i="10"/>
  <c r="BA19" i="10" s="1"/>
  <c r="AD21" i="10"/>
  <c r="BL21" i="10" s="1"/>
  <c r="BF35" i="9"/>
  <c r="BF33" i="9"/>
  <c r="BF32" i="9"/>
  <c r="BF34" i="9"/>
  <c r="BC16" i="9"/>
  <c r="BC15" i="9"/>
  <c r="BC19" i="9"/>
  <c r="BC17" i="9"/>
  <c r="BC18" i="9"/>
  <c r="BN3" i="9"/>
  <c r="BN5" i="9"/>
  <c r="BN4" i="9"/>
  <c r="BN6" i="9"/>
  <c r="AC20" i="10"/>
  <c r="BK27" i="10" s="1"/>
  <c r="M25" i="10"/>
  <c r="AH25" i="10"/>
  <c r="M24" i="10"/>
  <c r="AU24" i="10" s="1"/>
  <c r="F21" i="10"/>
  <c r="AN21" i="10" s="1"/>
  <c r="S21" i="10"/>
  <c r="BA21" i="10" s="1"/>
  <c r="K26" i="10"/>
  <c r="AS26" i="10" s="1"/>
  <c r="AD26" i="10"/>
  <c r="BL26" i="10" s="1"/>
  <c r="N23" i="10"/>
  <c r="AV23" i="10" s="1"/>
  <c r="Z23" i="10"/>
  <c r="BH23" i="10" s="1"/>
  <c r="Q22" i="10"/>
  <c r="W22" i="10"/>
  <c r="AA18" i="10"/>
  <c r="AA27" i="10"/>
  <c r="L20" i="10"/>
  <c r="AT27" i="10" s="1"/>
  <c r="BF53" i="9"/>
  <c r="BF51" i="9"/>
  <c r="BF52" i="9"/>
  <c r="BK55" i="9"/>
  <c r="BK56" i="9"/>
  <c r="BK57" i="9"/>
  <c r="BK54" i="9"/>
  <c r="BI61" i="9"/>
  <c r="BI59" i="9"/>
  <c r="BI58" i="9"/>
  <c r="BI60" i="9"/>
  <c r="BI48" i="9"/>
  <c r="BI46" i="9"/>
  <c r="BI50" i="9"/>
  <c r="BI49" i="9"/>
  <c r="BI47" i="9"/>
  <c r="BI44" i="9"/>
  <c r="BI43" i="9"/>
  <c r="BI45" i="9"/>
  <c r="F19" i="10"/>
  <c r="AN19" i="10" s="1"/>
  <c r="BN23" i="9"/>
  <c r="BN21" i="9"/>
  <c r="BN20" i="9"/>
  <c r="BN22" i="9"/>
  <c r="AB24" i="10"/>
  <c r="BJ24" i="10" s="1"/>
  <c r="Y19" i="10"/>
  <c r="BG19" i="10" s="1"/>
  <c r="BK3" i="9"/>
  <c r="BK4" i="9"/>
  <c r="BK5" i="9"/>
  <c r="BK6" i="9"/>
  <c r="AA20" i="10"/>
  <c r="BI27" i="10" s="1"/>
  <c r="W24" i="10"/>
  <c r="BE24" i="10" s="1"/>
  <c r="U25" i="10"/>
  <c r="Z20" i="10"/>
  <c r="BH27" i="10" s="1"/>
  <c r="U24" i="10"/>
  <c r="BC24" i="10" s="1"/>
  <c r="L21" i="10"/>
  <c r="AT21" i="10" s="1"/>
  <c r="V21" i="10"/>
  <c r="BD21" i="10" s="1"/>
  <c r="P26" i="10"/>
  <c r="AX26" i="10" s="1"/>
  <c r="V26" i="10"/>
  <c r="BD26" i="10" s="1"/>
  <c r="H23" i="10"/>
  <c r="AP23" i="10" s="1"/>
  <c r="AH23" i="10"/>
  <c r="BP23" i="10" s="1"/>
  <c r="M22" i="10"/>
  <c r="AG22" i="10"/>
  <c r="AB18" i="10"/>
  <c r="AB27" i="10"/>
  <c r="T20" i="10"/>
  <c r="BB27" i="10" s="1"/>
  <c r="BN53" i="9"/>
  <c r="BN52" i="9"/>
  <c r="BN51" i="9"/>
  <c r="BI55" i="9"/>
  <c r="BI56" i="9"/>
  <c r="BI54" i="9"/>
  <c r="BI57" i="9"/>
  <c r="BD61" i="9"/>
  <c r="BD58" i="9"/>
  <c r="BD60" i="9"/>
  <c r="BD59" i="9"/>
  <c r="BG43" i="9"/>
  <c r="BG50" i="9"/>
  <c r="BG44" i="9"/>
  <c r="BG45" i="9"/>
  <c r="BG49" i="9"/>
  <c r="BG47" i="9"/>
  <c r="BG46" i="9"/>
  <c r="BG48" i="9"/>
  <c r="J19" i="10"/>
  <c r="AR19" i="10" s="1"/>
  <c r="BG24" i="9"/>
  <c r="BG26" i="9"/>
  <c r="BG27" i="9"/>
  <c r="BG25" i="9"/>
  <c r="BE32" i="9"/>
  <c r="BE35" i="9"/>
  <c r="BE33" i="9"/>
  <c r="BE34" i="9"/>
  <c r="BH35" i="9"/>
  <c r="BH33" i="9"/>
  <c r="BH32" i="9"/>
  <c r="BH34" i="9"/>
  <c r="AC19" i="10"/>
  <c r="BK19" i="10" s="1"/>
  <c r="AF23" i="10"/>
  <c r="BN23" i="10" s="1"/>
  <c r="AF26" i="10"/>
  <c r="BN26" i="10" s="1"/>
  <c r="F25" i="10"/>
  <c r="BE6" i="9"/>
  <c r="BE5" i="9"/>
  <c r="BE3" i="9"/>
  <c r="BE4" i="9"/>
  <c r="E24" i="10"/>
  <c r="AM24" i="10" s="1"/>
  <c r="N21" i="10"/>
  <c r="AV21" i="10" s="1"/>
  <c r="AA21" i="10"/>
  <c r="BI21" i="10" s="1"/>
  <c r="S26" i="10"/>
  <c r="BA26" i="10" s="1"/>
  <c r="AA26" i="10"/>
  <c r="BI26" i="10" s="1"/>
  <c r="Q23" i="10"/>
  <c r="AY23" i="10" s="1"/>
  <c r="AA23" i="10"/>
  <c r="BI23" i="10" s="1"/>
  <c r="U22" i="10"/>
  <c r="AE22" i="10"/>
  <c r="AE18" i="10"/>
  <c r="AE27" i="10"/>
  <c r="BK52" i="9"/>
  <c r="BK51" i="9"/>
  <c r="BK53" i="9"/>
  <c r="BG56" i="9"/>
  <c r="BG54" i="9"/>
  <c r="BG55" i="9"/>
  <c r="BG57" i="9"/>
  <c r="BF58" i="9"/>
  <c r="BF61" i="9"/>
  <c r="BF59" i="9"/>
  <c r="BF60" i="9"/>
  <c r="Y18" i="10"/>
  <c r="Y27" i="10"/>
  <c r="BL45" i="9"/>
  <c r="BL44" i="9"/>
  <c r="BL46" i="9"/>
  <c r="BL49" i="9"/>
  <c r="BL50" i="9"/>
  <c r="BL48" i="9"/>
  <c r="BL43" i="9"/>
  <c r="BL47" i="9"/>
  <c r="BM56" i="9"/>
  <c r="BM55" i="9"/>
  <c r="BM54" i="9"/>
  <c r="BM57" i="9"/>
  <c r="BK19" i="9"/>
  <c r="BK15" i="9"/>
  <c r="BK16" i="9"/>
  <c r="BK18" i="9"/>
  <c r="BK17" i="9"/>
  <c r="DX49" i="5"/>
  <c r="BH6" i="9"/>
  <c r="BH3" i="9"/>
  <c r="BH5" i="9"/>
  <c r="BH4" i="9"/>
  <c r="W21" i="10"/>
  <c r="BE21" i="10" s="1"/>
  <c r="T26" i="10"/>
  <c r="BB26" i="10" s="1"/>
  <c r="W26" i="10"/>
  <c r="BE26" i="10" s="1"/>
  <c r="BH11" i="9"/>
  <c r="BH8" i="9"/>
  <c r="BH7" i="9"/>
  <c r="BH10" i="9"/>
  <c r="BH9" i="9"/>
  <c r="M23" i="10"/>
  <c r="AU23" i="10" s="1"/>
  <c r="AD23" i="10"/>
  <c r="BL23" i="10" s="1"/>
  <c r="E22" i="10"/>
  <c r="AH22" i="10"/>
  <c r="L18" i="10"/>
  <c r="BC33" i="9"/>
  <c r="BC32" i="9"/>
  <c r="BC35" i="9"/>
  <c r="BC34" i="9"/>
  <c r="BL52" i="9"/>
  <c r="BL53" i="9"/>
  <c r="BL51" i="9"/>
  <c r="BE55" i="9"/>
  <c r="BE57" i="9"/>
  <c r="BE54" i="9"/>
  <c r="BE56" i="9"/>
  <c r="BC60" i="9"/>
  <c r="BC59" i="9"/>
  <c r="BC61" i="9"/>
  <c r="BC58" i="9"/>
  <c r="I19" i="10"/>
  <c r="AQ19" i="10" s="1"/>
  <c r="V19" i="10"/>
  <c r="BD19" i="10" s="1"/>
  <c r="Z21" i="10"/>
  <c r="BH21" i="10" s="1"/>
  <c r="BJ27" i="9"/>
  <c r="BJ24" i="9"/>
  <c r="BJ25" i="9"/>
  <c r="BJ26" i="9"/>
  <c r="BI6" i="9"/>
  <c r="BI3" i="9"/>
  <c r="BI4" i="9"/>
  <c r="BI5" i="9"/>
  <c r="AE25" i="10"/>
  <c r="BM3" i="9"/>
  <c r="BM5" i="9"/>
  <c r="BM6" i="9"/>
  <c r="BM4" i="9"/>
  <c r="BN8" i="9"/>
  <c r="BN11" i="9"/>
  <c r="BN7" i="9"/>
  <c r="BN10" i="9"/>
  <c r="BN9" i="9"/>
  <c r="J25" i="10"/>
  <c r="DS49" i="5"/>
  <c r="BC4" i="9"/>
  <c r="BC3" i="9"/>
  <c r="BC5" i="9"/>
  <c r="BC6" i="9"/>
  <c r="H24" i="10"/>
  <c r="AP24" i="10" s="1"/>
  <c r="Q21" i="10"/>
  <c r="AY21" i="10" s="1"/>
  <c r="Y21" i="10"/>
  <c r="BG21" i="10" s="1"/>
  <c r="L26" i="10"/>
  <c r="AT26" i="10" s="1"/>
  <c r="AH26" i="10"/>
  <c r="BP26" i="10" s="1"/>
  <c r="BF10" i="9"/>
  <c r="BF11" i="9"/>
  <c r="BF7" i="9"/>
  <c r="BF9" i="9"/>
  <c r="BF8" i="9"/>
  <c r="P23" i="10"/>
  <c r="AX23" i="10" s="1"/>
  <c r="AE23" i="10"/>
  <c r="BM23" i="10" s="1"/>
  <c r="J22" i="10"/>
  <c r="X22" i="10"/>
  <c r="G18" i="10"/>
  <c r="BM34" i="9"/>
  <c r="BM35" i="9"/>
  <c r="BM33" i="9"/>
  <c r="BM32" i="9"/>
  <c r="H20" i="10"/>
  <c r="AP27" i="10" s="1"/>
  <c r="BH52" i="9"/>
  <c r="BH53" i="9"/>
  <c r="BH51" i="9"/>
  <c r="BD56" i="9"/>
  <c r="BD55" i="9"/>
  <c r="BD54" i="9"/>
  <c r="BD57" i="9"/>
  <c r="BB60" i="9"/>
  <c r="BB58" i="9"/>
  <c r="BB59" i="9"/>
  <c r="BB61" i="9"/>
  <c r="Q19" i="10"/>
  <c r="AY19" i="10" s="1"/>
  <c r="AF19" i="10"/>
  <c r="BN19" i="10" s="1"/>
  <c r="Z24" i="10"/>
  <c r="BH24" i="10" s="1"/>
  <c r="X19" i="10"/>
  <c r="BF19" i="10" s="1"/>
  <c r="AA19" i="10"/>
  <c r="BI19" i="10" s="1"/>
  <c r="BL33" i="9"/>
  <c r="BL32" i="9"/>
  <c r="BL34" i="9"/>
  <c r="BL35" i="9"/>
  <c r="BI21" i="9"/>
  <c r="BI22" i="9"/>
  <c r="BI23" i="9"/>
  <c r="BI20" i="9"/>
  <c r="W18" i="10"/>
  <c r="W27" i="10"/>
  <c r="O25" i="10"/>
  <c r="BF5" i="9"/>
  <c r="BF6" i="9"/>
  <c r="BF3" i="9"/>
  <c r="BF4" i="9"/>
  <c r="O24" i="10"/>
  <c r="AW24" i="10" s="1"/>
  <c r="M21" i="10"/>
  <c r="AU21" i="10" s="1"/>
  <c r="X21" i="10"/>
  <c r="BF21" i="10" s="1"/>
  <c r="N26" i="10"/>
  <c r="AV26" i="10" s="1"/>
  <c r="AG26" i="10"/>
  <c r="BO26" i="10" s="1"/>
  <c r="BD10" i="9"/>
  <c r="BD11" i="9"/>
  <c r="BD9" i="9"/>
  <c r="BD7" i="9"/>
  <c r="BD8" i="9"/>
  <c r="U23" i="10"/>
  <c r="BC23" i="10" s="1"/>
  <c r="AB23" i="10"/>
  <c r="BJ23" i="10" s="1"/>
  <c r="O22" i="10"/>
  <c r="Y22" i="10"/>
  <c r="BJ32" i="9"/>
  <c r="BJ34" i="9"/>
  <c r="BJ35" i="9"/>
  <c r="BJ33" i="9"/>
  <c r="BJ51" i="9"/>
  <c r="BJ53" i="9"/>
  <c r="BJ52" i="9"/>
  <c r="BJ57" i="9"/>
  <c r="BJ55" i="9"/>
  <c r="BJ56" i="9"/>
  <c r="BJ54" i="9"/>
  <c r="BM60" i="9"/>
  <c r="BM59" i="9"/>
  <c r="BM61" i="9"/>
  <c r="BM58" i="9"/>
  <c r="M19" i="10"/>
  <c r="AU19" i="10" s="1"/>
  <c r="AG19" i="10"/>
  <c r="BO19" i="10" s="1"/>
  <c r="AE21" i="10"/>
  <c r="BM21" i="10" s="1"/>
  <c r="AF22" i="10"/>
  <c r="BD15" i="9"/>
  <c r="BD19" i="9"/>
  <c r="BD17" i="9"/>
  <c r="BD18" i="9"/>
  <c r="BD16" i="9"/>
  <c r="BG16" i="9"/>
  <c r="BG19" i="9"/>
  <c r="BG18" i="9"/>
  <c r="BG17" i="9"/>
  <c r="BG15" i="9"/>
  <c r="AE20" i="10"/>
  <c r="BM27" i="10" s="1"/>
  <c r="H25" i="10"/>
  <c r="BD5" i="9"/>
  <c r="BD4" i="9"/>
  <c r="BD6" i="9"/>
  <c r="BD3" i="9"/>
  <c r="R24" i="10"/>
  <c r="AZ24" i="10" s="1"/>
  <c r="U21" i="10"/>
  <c r="BC21" i="10" s="1"/>
  <c r="AH21" i="10"/>
  <c r="BP21" i="10" s="1"/>
  <c r="Q26" i="10"/>
  <c r="AY26" i="10" s="1"/>
  <c r="Z26" i="10"/>
  <c r="BH26" i="10" s="1"/>
  <c r="BJ7" i="9"/>
  <c r="BJ8" i="9"/>
  <c r="BJ9" i="9"/>
  <c r="BJ11" i="9"/>
  <c r="BJ10" i="9"/>
  <c r="E23" i="10"/>
  <c r="AM23" i="10" s="1"/>
  <c r="BI17" i="9"/>
  <c r="BI19" i="9"/>
  <c r="BI15" i="9"/>
  <c r="BI18" i="9"/>
  <c r="BI16" i="9"/>
  <c r="R22" i="10"/>
  <c r="AA22" i="10"/>
  <c r="P18" i="10"/>
  <c r="BB33" i="9"/>
  <c r="BB34" i="9"/>
  <c r="BB32" i="9"/>
  <c r="BB35" i="9"/>
  <c r="S20" i="10"/>
  <c r="BA27" i="10" s="1"/>
  <c r="BB52" i="9"/>
  <c r="BB53" i="9"/>
  <c r="BB51" i="9"/>
  <c r="BL56" i="9"/>
  <c r="BL55" i="9"/>
  <c r="BL57" i="9"/>
  <c r="BL54" i="9"/>
  <c r="BL59" i="9"/>
  <c r="BL61" i="9"/>
  <c r="BL58" i="9"/>
  <c r="BL60" i="9"/>
  <c r="E19" i="10"/>
  <c r="AM19" i="10" s="1"/>
  <c r="AD19" i="10"/>
  <c r="BL19" i="10" s="1"/>
  <c r="BJ47" i="9"/>
  <c r="BJ43" i="9"/>
  <c r="BJ45" i="9"/>
  <c r="BJ44" i="9"/>
  <c r="BJ48" i="9"/>
  <c r="BJ46" i="9"/>
  <c r="BJ49" i="9"/>
  <c r="BJ50" i="9"/>
  <c r="Y25" i="10"/>
  <c r="AB25" i="10"/>
  <c r="BL6" i="9"/>
  <c r="BL4" i="9"/>
  <c r="BL3" i="9"/>
  <c r="BL5" i="9"/>
  <c r="BL8" i="9"/>
  <c r="BL11" i="9"/>
  <c r="BL10" i="9"/>
  <c r="BL9" i="9"/>
  <c r="BL7" i="9"/>
  <c r="X24" i="10"/>
  <c r="BF24" i="10" s="1"/>
  <c r="R25" i="10"/>
  <c r="BB5" i="9"/>
  <c r="BB4" i="9"/>
  <c r="BB3" i="9"/>
  <c r="BB6" i="9"/>
  <c r="I24" i="10"/>
  <c r="AQ24" i="10" s="1"/>
  <c r="E21" i="10"/>
  <c r="AM21" i="10" s="1"/>
  <c r="AB21" i="10"/>
  <c r="BJ21" i="10" s="1"/>
  <c r="M26" i="10"/>
  <c r="AU26" i="10" s="1"/>
  <c r="X26" i="10"/>
  <c r="BF26" i="10" s="1"/>
  <c r="BC8" i="9"/>
  <c r="BC9" i="9"/>
  <c r="BC10" i="9"/>
  <c r="BC11" i="9"/>
  <c r="BC7" i="9"/>
  <c r="J23" i="10"/>
  <c r="AR23" i="10" s="1"/>
  <c r="BM18" i="9"/>
  <c r="BM16" i="9"/>
  <c r="BM17" i="9"/>
  <c r="BM19" i="9"/>
  <c r="BM15" i="9"/>
  <c r="I22" i="10"/>
  <c r="AB22" i="10"/>
  <c r="I18" i="10"/>
  <c r="BN34" i="9"/>
  <c r="BN33" i="9"/>
  <c r="BN35" i="9"/>
  <c r="BN32" i="9"/>
  <c r="F20" i="10"/>
  <c r="AN27" i="10" s="1"/>
  <c r="BG52" i="9"/>
  <c r="BG51" i="9"/>
  <c r="BG53" i="9"/>
  <c r="BB21" i="9"/>
  <c r="BB20" i="9"/>
  <c r="BB23" i="9"/>
  <c r="BB22" i="9"/>
  <c r="BJ59" i="9"/>
  <c r="BJ60" i="9"/>
  <c r="BJ58" i="9"/>
  <c r="BJ61" i="9"/>
  <c r="K19" i="10"/>
  <c r="AS19" i="10" s="1"/>
  <c r="AE19" i="10"/>
  <c r="BM19" i="10" s="1"/>
  <c r="BH27" i="9"/>
  <c r="BH26" i="9"/>
  <c r="BH25" i="9"/>
  <c r="BH24" i="9"/>
  <c r="BM46" i="9"/>
  <c r="BM43" i="9"/>
  <c r="BM50" i="9"/>
  <c r="BM49" i="9"/>
  <c r="BM44" i="9"/>
  <c r="BM48" i="9"/>
  <c r="BM45" i="9"/>
  <c r="BM47" i="9"/>
  <c r="W20" i="10"/>
  <c r="BE27" i="10" s="1"/>
  <c r="AB20" i="10"/>
  <c r="BJ27" i="10" s="1"/>
  <c r="I25" i="10"/>
  <c r="BG4" i="9"/>
  <c r="BG6" i="9"/>
  <c r="BG5" i="9"/>
  <c r="BG3" i="9"/>
  <c r="T24" i="10"/>
  <c r="BB24" i="10" s="1"/>
  <c r="J21" i="10"/>
  <c r="AR21" i="10" s="1"/>
  <c r="AG21" i="10"/>
  <c r="BO21" i="10" s="1"/>
  <c r="G26" i="10"/>
  <c r="AO26" i="10" s="1"/>
  <c r="BI11" i="9"/>
  <c r="BI7" i="9"/>
  <c r="BI9" i="9"/>
  <c r="BI8" i="9"/>
  <c r="BI10" i="9"/>
  <c r="O23" i="10"/>
  <c r="AW23" i="10" s="1"/>
  <c r="BL16" i="9"/>
  <c r="BL19" i="9"/>
  <c r="BL17" i="9"/>
  <c r="BL18" i="9"/>
  <c r="BL15" i="9"/>
  <c r="T22" i="10"/>
  <c r="N20" i="10"/>
  <c r="AV27" i="10" s="1"/>
  <c r="J20" i="10"/>
  <c r="AR27" i="10" s="1"/>
  <c r="BE53" i="9"/>
  <c r="BE51" i="9"/>
  <c r="BE52" i="9"/>
  <c r="BM21" i="9"/>
  <c r="BM23" i="9"/>
  <c r="BM20" i="9"/>
  <c r="BM22" i="9"/>
  <c r="BH59" i="9"/>
  <c r="BH58" i="9"/>
  <c r="BH60" i="9"/>
  <c r="BH61" i="9"/>
  <c r="U19" i="10"/>
  <c r="BC19" i="10" s="1"/>
  <c r="AH19" i="10"/>
  <c r="BP19" i="10" s="1"/>
  <c r="Z18" i="10"/>
  <c r="Z27" i="10"/>
  <c r="BK25" i="9"/>
  <c r="BK24" i="9"/>
  <c r="BK27" i="9"/>
  <c r="BK26" i="9"/>
  <c r="BI34" i="9"/>
  <c r="BI32" i="9"/>
  <c r="BI33" i="9"/>
  <c r="BI35" i="9"/>
  <c r="X23" i="10"/>
  <c r="BF23" i="10" s="1"/>
  <c r="V24" i="10"/>
  <c r="BD24" i="10" s="1"/>
  <c r="P25" i="10"/>
  <c r="T25" i="10"/>
  <c r="P24" i="10"/>
  <c r="AX24" i="10" s="1"/>
  <c r="K24" i="10"/>
  <c r="AS24" i="10" s="1"/>
  <c r="O21" i="10"/>
  <c r="AW21" i="10" s="1"/>
  <c r="BB24" i="9"/>
  <c r="BB26" i="9"/>
  <c r="BB27" i="9"/>
  <c r="BB25" i="9"/>
  <c r="F26" i="10"/>
  <c r="AN26" i="10" s="1"/>
  <c r="BG11" i="9"/>
  <c r="BG7" i="9"/>
  <c r="BG9" i="9"/>
  <c r="BG8" i="9"/>
  <c r="BG10" i="9"/>
  <c r="R23" i="10"/>
  <c r="AZ23" i="10" s="1"/>
  <c r="BJ17" i="9"/>
  <c r="BJ19" i="9"/>
  <c r="BJ16" i="9"/>
  <c r="BJ18" i="9"/>
  <c r="BJ15" i="9"/>
  <c r="G22" i="10"/>
  <c r="AF21" i="10"/>
  <c r="BN21" i="10" s="1"/>
  <c r="AI27" i="6"/>
  <c r="AZ12" i="3"/>
  <c r="AZ10" i="3"/>
  <c r="AZ9" i="3"/>
  <c r="AZ11" i="3"/>
  <c r="AZ63" i="3"/>
  <c r="AZ61" i="3"/>
  <c r="AZ62" i="3"/>
  <c r="AZ64" i="3"/>
  <c r="AZ11" i="9"/>
  <c r="AZ9" i="9"/>
  <c r="AZ8" i="9"/>
  <c r="AZ7" i="9"/>
  <c r="AZ10" i="9"/>
  <c r="AZ24" i="9"/>
  <c r="AZ25" i="9"/>
  <c r="AZ26" i="9"/>
  <c r="AZ27" i="9"/>
  <c r="AZ56" i="9"/>
  <c r="AZ55" i="9"/>
  <c r="AZ57" i="9"/>
  <c r="AZ54" i="9"/>
  <c r="BA11" i="9"/>
  <c r="BA10" i="9"/>
  <c r="BA8" i="9"/>
  <c r="BA7" i="9"/>
  <c r="BA9" i="9"/>
  <c r="AZ59" i="3"/>
  <c r="AZ57" i="3"/>
  <c r="AZ60" i="3"/>
  <c r="AZ58" i="3"/>
  <c r="BA22" i="3"/>
  <c r="BA23" i="3"/>
  <c r="BA24" i="3"/>
  <c r="BA21" i="3"/>
  <c r="BA55" i="9"/>
  <c r="BA56" i="9"/>
  <c r="BA54" i="9"/>
  <c r="BA57" i="9"/>
  <c r="AZ28" i="3"/>
  <c r="AZ25" i="3"/>
  <c r="AZ27" i="3"/>
  <c r="AZ26" i="3"/>
  <c r="U27" i="10"/>
  <c r="BA64" i="3"/>
  <c r="BA62" i="3"/>
  <c r="BA63" i="3"/>
  <c r="BA61" i="3"/>
  <c r="AZ23" i="3"/>
  <c r="AZ24" i="3"/>
  <c r="AZ21" i="3"/>
  <c r="AZ22" i="3"/>
  <c r="AZ20" i="9"/>
  <c r="AZ21" i="9"/>
  <c r="AZ22" i="9"/>
  <c r="AZ23" i="9"/>
  <c r="AZ34" i="3"/>
  <c r="AZ35" i="3"/>
  <c r="AZ36" i="3"/>
  <c r="T27" i="1"/>
  <c r="AZ33" i="3"/>
  <c r="BA27" i="9"/>
  <c r="BA26" i="9"/>
  <c r="BA25" i="9"/>
  <c r="BA24" i="9"/>
  <c r="AZ59" i="9"/>
  <c r="AZ61" i="9"/>
  <c r="AZ58" i="9"/>
  <c r="AZ60" i="9"/>
  <c r="BA4" i="3"/>
  <c r="BA8" i="3"/>
  <c r="BA3" i="3"/>
  <c r="BA5" i="3"/>
  <c r="BA7" i="3"/>
  <c r="BA6" i="3"/>
  <c r="BA20" i="9"/>
  <c r="BA21" i="9"/>
  <c r="BA22" i="9"/>
  <c r="BA23" i="9"/>
  <c r="AZ52" i="9"/>
  <c r="AZ53" i="9"/>
  <c r="AZ51" i="9"/>
  <c r="T27" i="10"/>
  <c r="BA60" i="9"/>
  <c r="BA59" i="9"/>
  <c r="BA61" i="9"/>
  <c r="BA58" i="9"/>
  <c r="BA51" i="3"/>
  <c r="BA52" i="3"/>
  <c r="BA48" i="3"/>
  <c r="BA45" i="3"/>
  <c r="BA46" i="3"/>
  <c r="BA53" i="3"/>
  <c r="BA49" i="3"/>
  <c r="BA47" i="3"/>
  <c r="BA50" i="3"/>
  <c r="BA44" i="3"/>
  <c r="AZ55" i="3"/>
  <c r="AZ56" i="3"/>
  <c r="AZ54" i="3"/>
  <c r="BA35" i="3"/>
  <c r="BA36" i="3"/>
  <c r="U27" i="1"/>
  <c r="BA33" i="3"/>
  <c r="BA34" i="3"/>
  <c r="BA51" i="9"/>
  <c r="BA52" i="9"/>
  <c r="BA53" i="9"/>
  <c r="BA56" i="3"/>
  <c r="BA54" i="3"/>
  <c r="BA55" i="3"/>
  <c r="AZ18" i="3"/>
  <c r="AZ16" i="3"/>
  <c r="AZ19" i="3"/>
  <c r="AZ17" i="3"/>
  <c r="AZ20" i="3"/>
  <c r="AZ4" i="9"/>
  <c r="AZ5" i="9"/>
  <c r="AZ6" i="9"/>
  <c r="AZ3" i="9"/>
  <c r="BA19" i="3"/>
  <c r="BA20" i="3"/>
  <c r="BA17" i="3"/>
  <c r="BA16" i="3"/>
  <c r="BA18" i="3"/>
  <c r="AZ50" i="9"/>
  <c r="AZ46" i="9"/>
  <c r="AZ47" i="9"/>
  <c r="AZ45" i="9"/>
  <c r="AZ43" i="9"/>
  <c r="AZ44" i="9"/>
  <c r="AZ49" i="9"/>
  <c r="AZ48" i="9"/>
  <c r="AZ47" i="3"/>
  <c r="AZ53" i="3"/>
  <c r="AZ44" i="3"/>
  <c r="AZ49" i="3"/>
  <c r="AZ50" i="3"/>
  <c r="AZ52" i="3"/>
  <c r="AZ48" i="3"/>
  <c r="AZ46" i="3"/>
  <c r="AZ51" i="3"/>
  <c r="AZ45" i="3"/>
  <c r="BA3" i="9"/>
  <c r="BA4" i="9"/>
  <c r="BA5" i="9"/>
  <c r="BA6" i="9"/>
  <c r="AZ17" i="9"/>
  <c r="AZ19" i="9"/>
  <c r="AZ18" i="9"/>
  <c r="AZ15" i="9"/>
  <c r="AZ16" i="9"/>
  <c r="BA47" i="9"/>
  <c r="BA50" i="9"/>
  <c r="BA49" i="9"/>
  <c r="BA43" i="9"/>
  <c r="BA45" i="9"/>
  <c r="BA46" i="9"/>
  <c r="BA44" i="9"/>
  <c r="BA48" i="9"/>
  <c r="T27" i="6"/>
  <c r="AZ35" i="9"/>
  <c r="AZ33" i="9"/>
  <c r="AZ32" i="9"/>
  <c r="AZ34" i="9"/>
  <c r="BA11" i="3"/>
  <c r="BA10" i="3"/>
  <c r="BA12" i="3"/>
  <c r="BA9" i="3"/>
  <c r="BB23" i="10"/>
  <c r="BA28" i="3"/>
  <c r="BA26" i="3"/>
  <c r="BA27" i="3"/>
  <c r="BA25" i="3"/>
  <c r="BA19" i="9"/>
  <c r="BA17" i="9"/>
  <c r="BA16" i="9"/>
  <c r="BA18" i="9"/>
  <c r="BA15" i="9"/>
  <c r="BA59" i="3"/>
  <c r="BA58" i="3"/>
  <c r="BA57" i="3"/>
  <c r="BA60" i="3"/>
  <c r="U27" i="6"/>
  <c r="BA35" i="9"/>
  <c r="BA33" i="9"/>
  <c r="BA32" i="9"/>
  <c r="BA34" i="9"/>
  <c r="O27" i="10"/>
  <c r="F27" i="10"/>
  <c r="H27" i="10"/>
  <c r="P27" i="10"/>
  <c r="R27" i="10"/>
  <c r="S27" i="10"/>
  <c r="G27" i="10"/>
  <c r="M27" i="10"/>
  <c r="K27" i="10"/>
  <c r="Q27" i="10"/>
  <c r="J27" i="10"/>
  <c r="E27" i="10"/>
  <c r="L27" i="10"/>
  <c r="I27" i="10"/>
  <c r="N27" i="10"/>
  <c r="AV62" i="3"/>
  <c r="AV61" i="3"/>
  <c r="AV64" i="3"/>
  <c r="AV63" i="3"/>
  <c r="AU46" i="3"/>
  <c r="AU48" i="3"/>
  <c r="AU49" i="3"/>
  <c r="AU45" i="3"/>
  <c r="AU47" i="3"/>
  <c r="AU44" i="3"/>
  <c r="AU51" i="3"/>
  <c r="AU50" i="3"/>
  <c r="AU52" i="3"/>
  <c r="AU53" i="3"/>
  <c r="AK15" i="3"/>
  <c r="AK14" i="3"/>
  <c r="AK13" i="3"/>
  <c r="AV53" i="3"/>
  <c r="AV44" i="3"/>
  <c r="AV47" i="3"/>
  <c r="AV50" i="3"/>
  <c r="AV49" i="3"/>
  <c r="AV51" i="3"/>
  <c r="AV52" i="3"/>
  <c r="AV48" i="3"/>
  <c r="AV46" i="3"/>
  <c r="AV45" i="3"/>
  <c r="AW55" i="9"/>
  <c r="AW57" i="9"/>
  <c r="AW56" i="9"/>
  <c r="AW54" i="9"/>
  <c r="AU61" i="3"/>
  <c r="AU64" i="3"/>
  <c r="AU62" i="3"/>
  <c r="AU63" i="3"/>
  <c r="AT7" i="3"/>
  <c r="AT8" i="3"/>
  <c r="AT5" i="3"/>
  <c r="AT3" i="3"/>
  <c r="AT4" i="3"/>
  <c r="AT6" i="3"/>
  <c r="AT12" i="3"/>
  <c r="AT9" i="3"/>
  <c r="AT11" i="3"/>
  <c r="AT10" i="3"/>
  <c r="AO29" i="3"/>
  <c r="AO31" i="3"/>
  <c r="AO30" i="3"/>
  <c r="AO32" i="3"/>
  <c r="AU55" i="3"/>
  <c r="AU56" i="3"/>
  <c r="AU54" i="3"/>
  <c r="AP9" i="3"/>
  <c r="AP12" i="3"/>
  <c r="AP11" i="3"/>
  <c r="AP10" i="3"/>
  <c r="AN45" i="3"/>
  <c r="AN50" i="3"/>
  <c r="AN49" i="3"/>
  <c r="AN53" i="3"/>
  <c r="AN44" i="3"/>
  <c r="AN46" i="3"/>
  <c r="AN48" i="3"/>
  <c r="AN47" i="3"/>
  <c r="AN51" i="3"/>
  <c r="AN52" i="3"/>
  <c r="AW39" i="3"/>
  <c r="AW37" i="3"/>
  <c r="AW40" i="3"/>
  <c r="AW38" i="3"/>
  <c r="AL58" i="3"/>
  <c r="AL60" i="3"/>
  <c r="AL59" i="3"/>
  <c r="AL57" i="3"/>
  <c r="AU32" i="3"/>
  <c r="AU31" i="3"/>
  <c r="AU29" i="3"/>
  <c r="AU30" i="3"/>
  <c r="AW17" i="3"/>
  <c r="AW20" i="3"/>
  <c r="AW18" i="3"/>
  <c r="AW16" i="3"/>
  <c r="AW19" i="3"/>
  <c r="AY57" i="3"/>
  <c r="AY60" i="3"/>
  <c r="AY59" i="3"/>
  <c r="AY58" i="3"/>
  <c r="AL16" i="9"/>
  <c r="AL18" i="9"/>
  <c r="AL15" i="9"/>
  <c r="AL17" i="9"/>
  <c r="AL19" i="9"/>
  <c r="AL4" i="9"/>
  <c r="AL6" i="9"/>
  <c r="AL3" i="9"/>
  <c r="AL5" i="9"/>
  <c r="AS55" i="9"/>
  <c r="AS54" i="9"/>
  <c r="AS57" i="9"/>
  <c r="AS56" i="9"/>
  <c r="AW12" i="9"/>
  <c r="AW13" i="9"/>
  <c r="AW14" i="9"/>
  <c r="AL60" i="9"/>
  <c r="AL58" i="9"/>
  <c r="AL59" i="9"/>
  <c r="AL61" i="9"/>
  <c r="AN8" i="9"/>
  <c r="AN11" i="9"/>
  <c r="AN10" i="9"/>
  <c r="AN7" i="9"/>
  <c r="AN9" i="9"/>
  <c r="AK49" i="9"/>
  <c r="AK47" i="9"/>
  <c r="AK43" i="9"/>
  <c r="AK50" i="9"/>
  <c r="AK46" i="9"/>
  <c r="AK44" i="9"/>
  <c r="AK48" i="9"/>
  <c r="AK45" i="9"/>
  <c r="AO40" i="9"/>
  <c r="AO42" i="9"/>
  <c r="AO41" i="9"/>
  <c r="AX51" i="9"/>
  <c r="AX52" i="9"/>
  <c r="AX53" i="9"/>
  <c r="J27" i="6"/>
  <c r="AL33" i="9"/>
  <c r="AL34" i="9"/>
  <c r="AL35" i="9"/>
  <c r="AL32" i="9"/>
  <c r="AQ22" i="9"/>
  <c r="AQ20" i="9"/>
  <c r="AQ21" i="9"/>
  <c r="AQ23" i="9"/>
  <c r="AN38" i="9"/>
  <c r="AN37" i="9"/>
  <c r="AN39" i="9"/>
  <c r="AN36" i="9"/>
  <c r="AS31" i="9"/>
  <c r="AS28" i="9"/>
  <c r="AS30" i="9"/>
  <c r="AS29" i="9"/>
  <c r="AT26" i="9"/>
  <c r="AT27" i="9"/>
  <c r="AT24" i="9"/>
  <c r="AT25" i="9"/>
  <c r="AK61" i="3"/>
  <c r="AK64" i="3"/>
  <c r="AK63" i="3"/>
  <c r="AK62" i="3"/>
  <c r="AS13" i="3"/>
  <c r="AS14" i="3"/>
  <c r="AS15" i="3"/>
  <c r="AM14" i="9"/>
  <c r="AM12" i="9"/>
  <c r="AM13" i="9"/>
  <c r="AM44" i="9"/>
  <c r="AM49" i="9"/>
  <c r="AM47" i="9"/>
  <c r="AM45" i="9"/>
  <c r="AM48" i="9"/>
  <c r="AM50" i="9"/>
  <c r="AM46" i="9"/>
  <c r="AM43" i="9"/>
  <c r="AV41" i="9"/>
  <c r="AV42" i="9"/>
  <c r="AV40" i="9"/>
  <c r="AW53" i="9"/>
  <c r="AW51" i="9"/>
  <c r="AW52" i="9"/>
  <c r="L27" i="6"/>
  <c r="AQ32" i="9"/>
  <c r="AQ35" i="9"/>
  <c r="AQ33" i="9"/>
  <c r="AQ34" i="9"/>
  <c r="AN20" i="9"/>
  <c r="AN21" i="9"/>
  <c r="AN22" i="9"/>
  <c r="AN23" i="9"/>
  <c r="AX58" i="9"/>
  <c r="AX61" i="9"/>
  <c r="AX59" i="9"/>
  <c r="AX60" i="9"/>
  <c r="AO36" i="9"/>
  <c r="AO37" i="9"/>
  <c r="AO38" i="9"/>
  <c r="AO39" i="9"/>
  <c r="AQ28" i="9"/>
  <c r="AQ30" i="9"/>
  <c r="AQ29" i="9"/>
  <c r="AQ31" i="9"/>
  <c r="AW26" i="9"/>
  <c r="AW27" i="9"/>
  <c r="AW24" i="9"/>
  <c r="AW25" i="9"/>
  <c r="AQ44" i="3"/>
  <c r="AQ53" i="3"/>
  <c r="AQ49" i="3"/>
  <c r="AQ46" i="3"/>
  <c r="AQ45" i="3"/>
  <c r="AQ50" i="3"/>
  <c r="AQ51" i="3"/>
  <c r="AQ52" i="3"/>
  <c r="AQ48" i="3"/>
  <c r="AQ47" i="3"/>
  <c r="AN37" i="3"/>
  <c r="AN38" i="3"/>
  <c r="AN39" i="3"/>
  <c r="AN40" i="3"/>
  <c r="AW60" i="3"/>
  <c r="AW58" i="3"/>
  <c r="AW59" i="3"/>
  <c r="AW57" i="3"/>
  <c r="AP8" i="9"/>
  <c r="AP11" i="9"/>
  <c r="AP10" i="9"/>
  <c r="AP7" i="9"/>
  <c r="AP9" i="9"/>
  <c r="AO61" i="3"/>
  <c r="AO62" i="3"/>
  <c r="AO63" i="3"/>
  <c r="AO64" i="3"/>
  <c r="AQ18" i="3"/>
  <c r="AQ16" i="3"/>
  <c r="AQ20" i="3"/>
  <c r="AQ17" i="3"/>
  <c r="AQ19" i="3"/>
  <c r="AN3" i="3"/>
  <c r="AN7" i="3"/>
  <c r="AN6" i="3"/>
  <c r="AN8" i="3"/>
  <c r="AN5" i="3"/>
  <c r="AN4" i="3"/>
  <c r="AR41" i="3"/>
  <c r="AR42" i="3"/>
  <c r="AR43" i="3"/>
  <c r="AS57" i="3"/>
  <c r="AS59" i="3"/>
  <c r="AS60" i="3"/>
  <c r="AS58" i="3"/>
  <c r="AN41" i="3"/>
  <c r="AN43" i="3"/>
  <c r="AN42" i="3"/>
  <c r="AR56" i="3"/>
  <c r="AR54" i="3"/>
  <c r="AR55" i="3"/>
  <c r="AL21" i="3"/>
  <c r="AL24" i="3"/>
  <c r="AL23" i="3"/>
  <c r="AL22" i="3"/>
  <c r="AP14" i="3"/>
  <c r="AP13" i="3"/>
  <c r="AP15" i="3"/>
  <c r="AY24" i="3"/>
  <c r="AY23" i="3"/>
  <c r="AY21" i="3"/>
  <c r="AY22" i="3"/>
  <c r="AW48" i="3"/>
  <c r="AW49" i="3"/>
  <c r="AW45" i="3"/>
  <c r="AW47" i="3"/>
  <c r="AW53" i="3"/>
  <c r="AW44" i="3"/>
  <c r="AW50" i="3"/>
  <c r="AW46" i="3"/>
  <c r="AW52" i="3"/>
  <c r="AW51" i="3"/>
  <c r="AX47" i="3"/>
  <c r="AX49" i="3"/>
  <c r="AX48" i="3"/>
  <c r="AX45" i="3"/>
  <c r="AX51" i="3"/>
  <c r="AX53" i="3"/>
  <c r="AX44" i="3"/>
  <c r="AX50" i="3"/>
  <c r="AX46" i="3"/>
  <c r="AX52" i="3"/>
  <c r="AU18" i="9"/>
  <c r="AU15" i="9"/>
  <c r="AU16" i="9"/>
  <c r="AU19" i="9"/>
  <c r="AU17" i="9"/>
  <c r="AK4" i="9"/>
  <c r="AK3" i="9"/>
  <c r="AK5" i="9"/>
  <c r="AK6" i="9"/>
  <c r="AV54" i="9"/>
  <c r="AV57" i="9"/>
  <c r="AV55" i="9"/>
  <c r="AV56" i="9"/>
  <c r="AL13" i="9"/>
  <c r="AL14" i="9"/>
  <c r="AL12" i="9"/>
  <c r="AQ59" i="9"/>
  <c r="AQ61" i="9"/>
  <c r="AQ60" i="9"/>
  <c r="AQ58" i="9"/>
  <c r="AW10" i="9"/>
  <c r="AW11" i="9"/>
  <c r="AW7" i="9"/>
  <c r="AW8" i="9"/>
  <c r="AW9" i="9"/>
  <c r="AS42" i="9"/>
  <c r="AS40" i="9"/>
  <c r="AS41" i="9"/>
  <c r="AV52" i="9"/>
  <c r="AV53" i="9"/>
  <c r="AV51" i="9"/>
  <c r="G27" i="6"/>
  <c r="AP32" i="9"/>
  <c r="AP33" i="9"/>
  <c r="AP34" i="9"/>
  <c r="AP35" i="9"/>
  <c r="AX20" i="9"/>
  <c r="AX23" i="9"/>
  <c r="AX21" i="9"/>
  <c r="AX22" i="9"/>
  <c r="AQ14" i="9"/>
  <c r="AQ12" i="9"/>
  <c r="AQ13" i="9"/>
  <c r="AV38" i="9"/>
  <c r="AV37" i="9"/>
  <c r="AV36" i="9"/>
  <c r="AV39" i="9"/>
  <c r="AO29" i="9"/>
  <c r="AO28" i="9"/>
  <c r="AO30" i="9"/>
  <c r="AO31" i="9"/>
  <c r="AP62" i="3"/>
  <c r="AP61" i="3"/>
  <c r="AP63" i="3"/>
  <c r="AP64" i="3"/>
  <c r="AK15" i="9"/>
  <c r="AK16" i="9"/>
  <c r="AK18" i="9"/>
  <c r="AK17" i="9"/>
  <c r="AK19" i="9"/>
  <c r="AR59" i="9"/>
  <c r="AR58" i="9"/>
  <c r="AR61" i="9"/>
  <c r="AR60" i="9"/>
  <c r="AT61" i="3"/>
  <c r="AT62" i="3"/>
  <c r="AT63" i="3"/>
  <c r="AT64" i="3"/>
  <c r="AV17" i="3"/>
  <c r="AV16" i="3"/>
  <c r="AV19" i="3"/>
  <c r="AV18" i="3"/>
  <c r="AV20" i="3"/>
  <c r="AS5" i="3"/>
  <c r="AS3" i="3"/>
  <c r="AS8" i="3"/>
  <c r="AS7" i="3"/>
  <c r="AS4" i="3"/>
  <c r="AS6" i="3"/>
  <c r="AW15" i="3"/>
  <c r="AW13" i="3"/>
  <c r="AW14" i="3"/>
  <c r="AR45" i="3"/>
  <c r="AR47" i="3"/>
  <c r="AR48" i="3"/>
  <c r="AR44" i="3"/>
  <c r="AR49" i="3"/>
  <c r="AR51" i="3"/>
  <c r="AR50" i="3"/>
  <c r="AR53" i="3"/>
  <c r="AR52" i="3"/>
  <c r="AR46" i="3"/>
  <c r="AK42" i="3"/>
  <c r="AK43" i="3"/>
  <c r="AK41" i="3"/>
  <c r="AO54" i="3"/>
  <c r="AO56" i="3"/>
  <c r="AO55" i="3"/>
  <c r="AX42" i="3"/>
  <c r="AX43" i="3"/>
  <c r="AX41" i="3"/>
  <c r="AM15" i="3"/>
  <c r="AM13" i="3"/>
  <c r="AM14" i="3"/>
  <c r="AV10" i="3"/>
  <c r="AV11" i="3"/>
  <c r="AV9" i="3"/>
  <c r="AV12" i="3"/>
  <c r="AR40" i="3"/>
  <c r="AR39" i="3"/>
  <c r="AR38" i="3"/>
  <c r="AR37" i="3"/>
  <c r="AP19" i="9"/>
  <c r="AP17" i="9"/>
  <c r="AP18" i="9"/>
  <c r="AP15" i="9"/>
  <c r="AP16" i="9"/>
  <c r="AX3" i="9"/>
  <c r="AX5" i="9"/>
  <c r="AX4" i="9"/>
  <c r="AX6" i="9"/>
  <c r="AU54" i="9"/>
  <c r="AU55" i="9"/>
  <c r="AU56" i="9"/>
  <c r="AU57" i="9"/>
  <c r="AU12" i="9"/>
  <c r="AU13" i="9"/>
  <c r="AU14" i="9"/>
  <c r="AS60" i="9"/>
  <c r="AS59" i="9"/>
  <c r="AS61" i="9"/>
  <c r="AS58" i="9"/>
  <c r="AL11" i="9"/>
  <c r="AL9" i="9"/>
  <c r="AL10" i="9"/>
  <c r="AL7" i="9"/>
  <c r="AL8" i="9"/>
  <c r="AN48" i="9"/>
  <c r="AN46" i="9"/>
  <c r="AN47" i="9"/>
  <c r="AN43" i="9"/>
  <c r="AN49" i="9"/>
  <c r="AN50" i="9"/>
  <c r="AN45" i="9"/>
  <c r="AN44" i="9"/>
  <c r="AK40" i="9"/>
  <c r="AK42" i="9"/>
  <c r="AK41" i="9"/>
  <c r="AS51" i="9"/>
  <c r="AS53" i="9"/>
  <c r="AS52" i="9"/>
  <c r="O27" i="6"/>
  <c r="AX33" i="9"/>
  <c r="AX32" i="9"/>
  <c r="AX34" i="9"/>
  <c r="AX35" i="9"/>
  <c r="AO22" i="9"/>
  <c r="AO23" i="9"/>
  <c r="AO20" i="9"/>
  <c r="AO21" i="9"/>
  <c r="AW34" i="9"/>
  <c r="AW32" i="9"/>
  <c r="AW33" i="9"/>
  <c r="AW35" i="9"/>
  <c r="AT37" i="9"/>
  <c r="AT36" i="9"/>
  <c r="AT39" i="9"/>
  <c r="AT38" i="9"/>
  <c r="AN31" i="9"/>
  <c r="AN30" i="9"/>
  <c r="AN28" i="9"/>
  <c r="AN29" i="9"/>
  <c r="AL16" i="3"/>
  <c r="AL20" i="3"/>
  <c r="AL19" i="3"/>
  <c r="AL17" i="3"/>
  <c r="AL18" i="3"/>
  <c r="AS3" i="9"/>
  <c r="AS4" i="9"/>
  <c r="AS6" i="9"/>
  <c r="AS5" i="9"/>
  <c r="AY61" i="3"/>
  <c r="AY64" i="3"/>
  <c r="AY63" i="3"/>
  <c r="AY62" i="3"/>
  <c r="AX8" i="3"/>
  <c r="AX3" i="3"/>
  <c r="AX5" i="3"/>
  <c r="AX6" i="3"/>
  <c r="AX7" i="3"/>
  <c r="AX4" i="3"/>
  <c r="AK20" i="3"/>
  <c r="AK16" i="3"/>
  <c r="AK19" i="3"/>
  <c r="AK18" i="3"/>
  <c r="AK17" i="3"/>
  <c r="AP29" i="3"/>
  <c r="AP30" i="3"/>
  <c r="AP32" i="3"/>
  <c r="AP31" i="3"/>
  <c r="AV55" i="3"/>
  <c r="AV56" i="3"/>
  <c r="AV54" i="3"/>
  <c r="AQ9" i="3"/>
  <c r="AQ12" i="3"/>
  <c r="AQ11" i="3"/>
  <c r="AQ10" i="3"/>
  <c r="AL31" i="3"/>
  <c r="AL30" i="3"/>
  <c r="AL29" i="3"/>
  <c r="AL32" i="3"/>
  <c r="AP60" i="3"/>
  <c r="AP59" i="3"/>
  <c r="AP58" i="3"/>
  <c r="AP57" i="3"/>
  <c r="AY30" i="3"/>
  <c r="AY31" i="3"/>
  <c r="AY29" i="3"/>
  <c r="AY32" i="3"/>
  <c r="AL56" i="3"/>
  <c r="AL54" i="3"/>
  <c r="AL55" i="3"/>
  <c r="AU23" i="3"/>
  <c r="AU21" i="3"/>
  <c r="AU24" i="3"/>
  <c r="AU22" i="3"/>
  <c r="AY3" i="3"/>
  <c r="AY7" i="3"/>
  <c r="AY4" i="3"/>
  <c r="AY6" i="3"/>
  <c r="AY5" i="3"/>
  <c r="AY8" i="3"/>
  <c r="AY19" i="9"/>
  <c r="AY15" i="9"/>
  <c r="AY16" i="9"/>
  <c r="AY18" i="9"/>
  <c r="AY17" i="9"/>
  <c r="AQ6" i="9"/>
  <c r="AQ4" i="9"/>
  <c r="AQ5" i="9"/>
  <c r="AQ3" i="9"/>
  <c r="AT56" i="9"/>
  <c r="AT55" i="9"/>
  <c r="AT54" i="9"/>
  <c r="AT57" i="9"/>
  <c r="AN12" i="9"/>
  <c r="AN13" i="9"/>
  <c r="AN14" i="9"/>
  <c r="AO60" i="9"/>
  <c r="AO58" i="9"/>
  <c r="AO59" i="9"/>
  <c r="AO61" i="9"/>
  <c r="AK10" i="9"/>
  <c r="AK9" i="9"/>
  <c r="AK11" i="9"/>
  <c r="AK7" i="9"/>
  <c r="AK8" i="9"/>
  <c r="AL50" i="9"/>
  <c r="AL46" i="9"/>
  <c r="AL43" i="9"/>
  <c r="AL49" i="9"/>
  <c r="AL47" i="9"/>
  <c r="AL48" i="9"/>
  <c r="AL44" i="9"/>
  <c r="AL45" i="9"/>
  <c r="AL42" i="9"/>
  <c r="AL40" i="9"/>
  <c r="AL41" i="9"/>
  <c r="AO52" i="9"/>
  <c r="AO53" i="9"/>
  <c r="AO51" i="9"/>
  <c r="P27" i="6"/>
  <c r="AS32" i="9"/>
  <c r="AS35" i="9"/>
  <c r="AS33" i="9"/>
  <c r="AS34" i="9"/>
  <c r="AV20" i="9"/>
  <c r="AV21" i="9"/>
  <c r="AV22" i="9"/>
  <c r="AV23" i="9"/>
  <c r="AM39" i="9"/>
  <c r="AM37" i="9"/>
  <c r="AM38" i="9"/>
  <c r="AM36" i="9"/>
  <c r="AM24" i="9"/>
  <c r="AM25" i="9"/>
  <c r="AM26" i="9"/>
  <c r="AM27" i="9"/>
  <c r="AK49" i="3"/>
  <c r="AK50" i="3"/>
  <c r="AK52" i="3"/>
  <c r="AK51" i="3"/>
  <c r="AK53" i="3"/>
  <c r="AK46" i="3"/>
  <c r="AK45" i="3"/>
  <c r="AK44" i="3"/>
  <c r="AK47" i="3"/>
  <c r="AK48" i="3"/>
  <c r="AP20" i="3"/>
  <c r="AP18" i="3"/>
  <c r="AP19" i="3"/>
  <c r="AP17" i="3"/>
  <c r="AP16" i="3"/>
  <c r="AO37" i="3"/>
  <c r="AO38" i="3"/>
  <c r="AO40" i="3"/>
  <c r="AO39" i="3"/>
  <c r="AP23" i="3"/>
  <c r="AP24" i="3"/>
  <c r="AP22" i="3"/>
  <c r="AP21" i="3"/>
  <c r="AK40" i="3"/>
  <c r="AK37" i="3"/>
  <c r="AK38" i="3"/>
  <c r="AK39" i="3"/>
  <c r="AO44" i="3"/>
  <c r="AO45" i="3"/>
  <c r="AO53" i="3"/>
  <c r="AO48" i="3"/>
  <c r="AO46" i="3"/>
  <c r="AO47" i="3"/>
  <c r="AO49" i="3"/>
  <c r="AO50" i="3"/>
  <c r="AO51" i="3"/>
  <c r="AO52" i="3"/>
  <c r="AX40" i="3"/>
  <c r="AX37" i="3"/>
  <c r="AX38" i="3"/>
  <c r="AX39" i="3"/>
  <c r="AM60" i="3"/>
  <c r="AM57" i="3"/>
  <c r="AM59" i="3"/>
  <c r="AM58" i="3"/>
  <c r="AV30" i="3"/>
  <c r="AV29" i="3"/>
  <c r="AV31" i="3"/>
  <c r="AV32" i="3"/>
  <c r="AT41" i="3"/>
  <c r="AT43" i="3"/>
  <c r="AT42" i="3"/>
  <c r="AW19" i="9"/>
  <c r="AW15" i="9"/>
  <c r="AW17" i="9"/>
  <c r="AW18" i="9"/>
  <c r="AW16" i="9"/>
  <c r="AT3" i="9"/>
  <c r="DJ49" i="5"/>
  <c r="AT4" i="9"/>
  <c r="AT6" i="9"/>
  <c r="AT5" i="9"/>
  <c r="AR55" i="9"/>
  <c r="AR57" i="9"/>
  <c r="AR54" i="9"/>
  <c r="AR56" i="9"/>
  <c r="AS12" i="9"/>
  <c r="AS14" i="9"/>
  <c r="AS13" i="9"/>
  <c r="AP59" i="9"/>
  <c r="AP61" i="9"/>
  <c r="AP60" i="9"/>
  <c r="AP58" i="9"/>
  <c r="AO49" i="9"/>
  <c r="AO45" i="9"/>
  <c r="AO48" i="9"/>
  <c r="AO46" i="9"/>
  <c r="AO47" i="9"/>
  <c r="AO43" i="9"/>
  <c r="AO50" i="9"/>
  <c r="AO44" i="9"/>
  <c r="AY41" i="9"/>
  <c r="AY40" i="9"/>
  <c r="AY42" i="9"/>
  <c r="AU53" i="9"/>
  <c r="AU51" i="9"/>
  <c r="AU52" i="9"/>
  <c r="N27" i="6"/>
  <c r="AV34" i="9"/>
  <c r="AV32" i="9"/>
  <c r="AV33" i="9"/>
  <c r="AV35" i="9"/>
  <c r="AY22" i="9"/>
  <c r="AY20" i="9"/>
  <c r="AY23" i="9"/>
  <c r="AY21" i="9"/>
  <c r="AU36" i="9"/>
  <c r="AU39" i="9"/>
  <c r="AU37" i="9"/>
  <c r="AU38" i="9"/>
  <c r="AQ38" i="9"/>
  <c r="AQ36" i="9"/>
  <c r="AQ37" i="9"/>
  <c r="AQ39" i="9"/>
  <c r="AP27" i="9"/>
  <c r="AP24" i="9"/>
  <c r="AP26" i="9"/>
  <c r="AP25" i="9"/>
  <c r="AR18" i="3"/>
  <c r="AR16" i="3"/>
  <c r="AR17" i="3"/>
  <c r="AR20" i="3"/>
  <c r="AR19" i="3"/>
  <c r="AX60" i="3"/>
  <c r="AX57" i="3"/>
  <c r="AX59" i="3"/>
  <c r="AX58" i="3"/>
  <c r="AM4" i="3"/>
  <c r="AM8" i="3"/>
  <c r="AM7" i="3"/>
  <c r="AM5" i="3"/>
  <c r="AM3" i="3"/>
  <c r="AM6" i="3"/>
  <c r="AS63" i="3"/>
  <c r="AS61" i="3"/>
  <c r="AS62" i="3"/>
  <c r="AS64" i="3"/>
  <c r="AU17" i="3"/>
  <c r="AU16" i="3"/>
  <c r="AU18" i="3"/>
  <c r="AU20" i="3"/>
  <c r="AU19" i="3"/>
  <c r="AR3" i="3"/>
  <c r="AR7" i="3"/>
  <c r="AR6" i="3"/>
  <c r="AR4" i="3"/>
  <c r="AR8" i="3"/>
  <c r="AR5" i="3"/>
  <c r="AT58" i="3"/>
  <c r="AT59" i="3"/>
  <c r="AT57" i="3"/>
  <c r="AT60" i="3"/>
  <c r="AO42" i="3"/>
  <c r="AO41" i="3"/>
  <c r="AO43" i="3"/>
  <c r="AT15" i="3"/>
  <c r="AT14" i="3"/>
  <c r="AT13" i="3"/>
  <c r="AN12" i="3"/>
  <c r="AN11" i="3"/>
  <c r="AN9" i="3"/>
  <c r="AN10" i="3"/>
  <c r="AL53" i="3"/>
  <c r="AL47" i="3"/>
  <c r="AL45" i="3"/>
  <c r="AL50" i="3"/>
  <c r="AL44" i="3"/>
  <c r="AL48" i="3"/>
  <c r="AL46" i="3"/>
  <c r="AL49" i="3"/>
  <c r="AL51" i="3"/>
  <c r="AL52" i="3"/>
  <c r="AU37" i="3"/>
  <c r="AU39" i="3"/>
  <c r="AU40" i="3"/>
  <c r="AU38" i="3"/>
  <c r="AY44" i="3"/>
  <c r="AY53" i="3"/>
  <c r="AY46" i="3"/>
  <c r="AY47" i="3"/>
  <c r="AY51" i="3"/>
  <c r="AY52" i="3"/>
  <c r="AY49" i="3"/>
  <c r="AY45" i="3"/>
  <c r="AY48" i="3"/>
  <c r="AY50" i="3"/>
  <c r="AM17" i="9"/>
  <c r="AM15" i="9"/>
  <c r="AM19" i="9"/>
  <c r="AM16" i="9"/>
  <c r="AM18" i="9"/>
  <c r="AW3" i="9"/>
  <c r="AW6" i="9"/>
  <c r="AW4" i="9"/>
  <c r="AW5" i="9"/>
  <c r="AY55" i="9"/>
  <c r="AY54" i="9"/>
  <c r="AY56" i="9"/>
  <c r="AY57" i="9"/>
  <c r="AV12" i="9"/>
  <c r="AV13" i="9"/>
  <c r="AV14" i="9"/>
  <c r="AQ10" i="9"/>
  <c r="AQ9" i="9"/>
  <c r="AQ11" i="9"/>
  <c r="AQ7" i="9"/>
  <c r="AQ8" i="9"/>
  <c r="AY47" i="9"/>
  <c r="AY48" i="9"/>
  <c r="AY46" i="9"/>
  <c r="AY49" i="9"/>
  <c r="AY50" i="9"/>
  <c r="AY45" i="9"/>
  <c r="AY44" i="9"/>
  <c r="AY43" i="9"/>
  <c r="AN40" i="9"/>
  <c r="AN42" i="9"/>
  <c r="AN41" i="9"/>
  <c r="AK51" i="9"/>
  <c r="AK53" i="9"/>
  <c r="AK52" i="9"/>
  <c r="F27" i="6"/>
  <c r="AO32" i="9"/>
  <c r="AO33" i="9"/>
  <c r="AO35" i="9"/>
  <c r="AO34" i="9"/>
  <c r="AM56" i="9"/>
  <c r="AM55" i="9"/>
  <c r="AM57" i="9"/>
  <c r="AM54" i="9"/>
  <c r="AU28" i="9"/>
  <c r="AU29" i="9"/>
  <c r="AU30" i="9"/>
  <c r="AU31" i="9"/>
  <c r="AL24" i="9"/>
  <c r="AL27" i="9"/>
  <c r="AL25" i="9"/>
  <c r="AL26" i="9"/>
  <c r="AM42" i="3"/>
  <c r="AM41" i="3"/>
  <c r="AM43" i="3"/>
  <c r="AL6" i="3"/>
  <c r="AL3" i="3"/>
  <c r="AL7" i="3"/>
  <c r="AL4" i="3"/>
  <c r="AL8" i="3"/>
  <c r="AL5" i="3"/>
  <c r="AX14" i="3"/>
  <c r="AX15" i="3"/>
  <c r="AX13" i="3"/>
  <c r="AS46" i="3"/>
  <c r="AS44" i="3"/>
  <c r="AS47" i="3"/>
  <c r="AS45" i="3"/>
  <c r="AS49" i="3"/>
  <c r="AS50" i="3"/>
  <c r="AS51" i="3"/>
  <c r="AS52" i="3"/>
  <c r="AS48" i="3"/>
  <c r="AS53" i="3"/>
  <c r="AS56" i="3"/>
  <c r="AS54" i="3"/>
  <c r="AS55" i="3"/>
  <c r="AM23" i="3"/>
  <c r="AM21" i="3"/>
  <c r="AM24" i="3"/>
  <c r="AM22" i="3"/>
  <c r="AQ13" i="3"/>
  <c r="AQ15" i="3"/>
  <c r="AQ14" i="3"/>
  <c r="AK9" i="3"/>
  <c r="AK11" i="3"/>
  <c r="AK12" i="3"/>
  <c r="AK10" i="3"/>
  <c r="AX10" i="3"/>
  <c r="AX11" i="3"/>
  <c r="AX12" i="3"/>
  <c r="AX9" i="3"/>
  <c r="AR29" i="3"/>
  <c r="AR31" i="3"/>
  <c r="AR30" i="3"/>
  <c r="AR32" i="3"/>
  <c r="AP40" i="3"/>
  <c r="AP38" i="3"/>
  <c r="AP39" i="3"/>
  <c r="AP37" i="3"/>
  <c r="AS17" i="9"/>
  <c r="AS19" i="9"/>
  <c r="AS15" i="9"/>
  <c r="AS18" i="9"/>
  <c r="AS16" i="9"/>
  <c r="AV3" i="9"/>
  <c r="AV5" i="9"/>
  <c r="AV4" i="9"/>
  <c r="AV6" i="9"/>
  <c r="DL49" i="5"/>
  <c r="AP56" i="9"/>
  <c r="AP55" i="9"/>
  <c r="AP57" i="9"/>
  <c r="AP54" i="9"/>
  <c r="AR12" i="9"/>
  <c r="AR14" i="9"/>
  <c r="AR13" i="9"/>
  <c r="AO11" i="9"/>
  <c r="AO7" i="9"/>
  <c r="AO9" i="9"/>
  <c r="AO10" i="9"/>
  <c r="AO8" i="9"/>
  <c r="AV46" i="9"/>
  <c r="AV44" i="9"/>
  <c r="AV49" i="9"/>
  <c r="AV43" i="9"/>
  <c r="AV47" i="9"/>
  <c r="AV48" i="9"/>
  <c r="AV50" i="9"/>
  <c r="AV45" i="9"/>
  <c r="AR40" i="9"/>
  <c r="AR41" i="9"/>
  <c r="AR42" i="9"/>
  <c r="AR53" i="9"/>
  <c r="AR51" i="9"/>
  <c r="AR52" i="9"/>
  <c r="E27" i="6"/>
  <c r="AK35" i="9"/>
  <c r="AK33" i="9"/>
  <c r="AK34" i="9"/>
  <c r="AK32" i="9"/>
  <c r="AS26" i="9"/>
  <c r="AS24" i="9"/>
  <c r="AS25" i="9"/>
  <c r="AS27" i="9"/>
  <c r="AW10" i="3"/>
  <c r="AW12" i="3"/>
  <c r="AW11" i="3"/>
  <c r="AW9" i="3"/>
  <c r="AK31" i="9"/>
  <c r="AK30" i="9"/>
  <c r="AK29" i="9"/>
  <c r="AK28" i="9"/>
  <c r="AN24" i="9"/>
  <c r="AN25" i="9"/>
  <c r="AN26" i="9"/>
  <c r="AN27" i="9"/>
  <c r="AO60" i="3"/>
  <c r="AO57" i="3"/>
  <c r="AO58" i="3"/>
  <c r="AO59" i="3"/>
  <c r="AO24" i="3"/>
  <c r="AO23" i="3"/>
  <c r="AO21" i="3"/>
  <c r="AO22" i="3"/>
  <c r="AX57" i="9"/>
  <c r="AX55" i="9"/>
  <c r="AX54" i="9"/>
  <c r="AX56" i="9"/>
  <c r="AO18" i="3"/>
  <c r="AO19" i="3"/>
  <c r="AO20" i="3"/>
  <c r="AO17" i="3"/>
  <c r="AO16" i="3"/>
  <c r="AW55" i="3"/>
  <c r="AW56" i="3"/>
  <c r="AW54" i="3"/>
  <c r="AR11" i="3"/>
  <c r="AR9" i="3"/>
  <c r="AR12" i="3"/>
  <c r="AR10" i="3"/>
  <c r="AM30" i="3"/>
  <c r="AM31" i="3"/>
  <c r="AM32" i="3"/>
  <c r="AM29" i="3"/>
  <c r="AL43" i="3"/>
  <c r="AL42" i="3"/>
  <c r="AL41" i="3"/>
  <c r="AP54" i="3"/>
  <c r="AP55" i="3"/>
  <c r="AP56" i="3"/>
  <c r="AY42" i="3"/>
  <c r="AY41" i="3"/>
  <c r="AY43" i="3"/>
  <c r="AN14" i="3"/>
  <c r="AN15" i="3"/>
  <c r="AN13" i="3"/>
  <c r="AW21" i="3"/>
  <c r="AW23" i="3"/>
  <c r="AW24" i="3"/>
  <c r="AW22" i="3"/>
  <c r="AQ38" i="3"/>
  <c r="AQ37" i="3"/>
  <c r="AQ39" i="3"/>
  <c r="AQ40" i="3"/>
  <c r="AQ31" i="3"/>
  <c r="AQ29" i="3"/>
  <c r="AQ32" i="3"/>
  <c r="AQ30" i="3"/>
  <c r="AO19" i="9"/>
  <c r="AO16" i="9"/>
  <c r="AO18" i="9"/>
  <c r="AO17" i="9"/>
  <c r="AO15" i="9"/>
  <c r="AY6" i="9"/>
  <c r="AY3" i="9"/>
  <c r="AY4" i="9"/>
  <c r="AY5" i="9"/>
  <c r="AL57" i="9"/>
  <c r="AL54" i="9"/>
  <c r="AL55" i="9"/>
  <c r="AL56" i="9"/>
  <c r="AN61" i="9"/>
  <c r="AN60" i="9"/>
  <c r="AN58" i="9"/>
  <c r="AN59" i="9"/>
  <c r="AM11" i="9"/>
  <c r="AM8" i="9"/>
  <c r="AM10" i="9"/>
  <c r="AM7" i="9"/>
  <c r="AM9" i="9"/>
  <c r="AR45" i="9"/>
  <c r="AR49" i="9"/>
  <c r="AR50" i="9"/>
  <c r="AR44" i="9"/>
  <c r="AR48" i="9"/>
  <c r="AR46" i="9"/>
  <c r="AR47" i="9"/>
  <c r="AR43" i="9"/>
  <c r="AU41" i="9"/>
  <c r="AU42" i="9"/>
  <c r="AU40" i="9"/>
  <c r="AM52" i="9"/>
  <c r="AM51" i="9"/>
  <c r="AM53" i="9"/>
  <c r="S27" i="6"/>
  <c r="AM22" i="9"/>
  <c r="AM23" i="9"/>
  <c r="AM21" i="9"/>
  <c r="AM20" i="9"/>
  <c r="AX40" i="9"/>
  <c r="AX41" i="9"/>
  <c r="AX42" i="9"/>
  <c r="AW36" i="9"/>
  <c r="AW37" i="9"/>
  <c r="AW39" i="9"/>
  <c r="AW38" i="9"/>
  <c r="AR31" i="9"/>
  <c r="AR28" i="9"/>
  <c r="AR29" i="9"/>
  <c r="AR30" i="9"/>
  <c r="AK27" i="9"/>
  <c r="AK26" i="9"/>
  <c r="AK25" i="9"/>
  <c r="AK24" i="9"/>
  <c r="AQ56" i="3"/>
  <c r="AQ54" i="3"/>
  <c r="AQ55" i="3"/>
  <c r="AX32" i="3"/>
  <c r="AX29" i="3"/>
  <c r="AX31" i="3"/>
  <c r="AX30" i="3"/>
  <c r="AM12" i="3"/>
  <c r="AM10" i="3"/>
  <c r="AM11" i="3"/>
  <c r="AM9" i="3"/>
  <c r="AX63" i="3"/>
  <c r="AX62" i="3"/>
  <c r="AX61" i="3"/>
  <c r="AX64" i="3"/>
  <c r="AR62" i="3"/>
  <c r="AR61" i="3"/>
  <c r="AR63" i="3"/>
  <c r="AR64" i="3"/>
  <c r="AT19" i="3"/>
  <c r="AT17" i="3"/>
  <c r="AT16" i="3"/>
  <c r="AT18" i="3"/>
  <c r="AT20" i="3"/>
  <c r="AQ3" i="3"/>
  <c r="AQ6" i="3"/>
  <c r="AQ4" i="3"/>
  <c r="AQ5" i="3"/>
  <c r="AQ7" i="3"/>
  <c r="AQ8" i="3"/>
  <c r="AY18" i="3"/>
  <c r="AY17" i="3"/>
  <c r="AY16" i="3"/>
  <c r="AY19" i="3"/>
  <c r="AY20" i="3"/>
  <c r="AQ22" i="3"/>
  <c r="AQ24" i="3"/>
  <c r="AQ21" i="3"/>
  <c r="AQ23" i="3"/>
  <c r="AL40" i="3"/>
  <c r="AL37" i="3"/>
  <c r="AL38" i="3"/>
  <c r="AL39" i="3"/>
  <c r="AQ60" i="3"/>
  <c r="AQ58" i="3"/>
  <c r="AQ59" i="3"/>
  <c r="AQ57" i="3"/>
  <c r="AM54" i="3"/>
  <c r="AM55" i="3"/>
  <c r="AM56" i="3"/>
  <c r="AV42" i="3"/>
  <c r="AV43" i="3"/>
  <c r="AV41" i="3"/>
  <c r="AV16" i="9"/>
  <c r="AV17" i="9"/>
  <c r="AV18" i="9"/>
  <c r="AV19" i="9"/>
  <c r="AV15" i="9"/>
  <c r="AO4" i="9"/>
  <c r="AO6" i="9"/>
  <c r="AO5" i="9"/>
  <c r="AO3" i="9"/>
  <c r="AN55" i="9"/>
  <c r="AN54" i="9"/>
  <c r="AN57" i="9"/>
  <c r="AN56" i="9"/>
  <c r="AV60" i="9"/>
  <c r="AV58" i="9"/>
  <c r="AV61" i="9"/>
  <c r="AV59" i="9"/>
  <c r="AX7" i="9"/>
  <c r="AX8" i="9"/>
  <c r="AX11" i="9"/>
  <c r="AX9" i="9"/>
  <c r="AX10" i="9"/>
  <c r="AW50" i="9"/>
  <c r="AW48" i="9"/>
  <c r="AW46" i="9"/>
  <c r="AW47" i="9"/>
  <c r="AW44" i="9"/>
  <c r="AW43" i="9"/>
  <c r="AW49" i="9"/>
  <c r="AW45" i="9"/>
  <c r="AQ40" i="9"/>
  <c r="AQ41" i="9"/>
  <c r="AQ42" i="9"/>
  <c r="AQ53" i="9"/>
  <c r="AQ51" i="9"/>
  <c r="AQ52" i="9"/>
  <c r="R27" i="6"/>
  <c r="AL23" i="9"/>
  <c r="AL22" i="9"/>
  <c r="AL21" i="9"/>
  <c r="AL20" i="9"/>
  <c r="AS37" i="9"/>
  <c r="AS36" i="9"/>
  <c r="AS39" i="9"/>
  <c r="AS38" i="9"/>
  <c r="AX31" i="9"/>
  <c r="AX30" i="9"/>
  <c r="AX29" i="9"/>
  <c r="AX28" i="9"/>
  <c r="AY25" i="9"/>
  <c r="AY27" i="9"/>
  <c r="AY24" i="9"/>
  <c r="AY26" i="9"/>
  <c r="AU3" i="3"/>
  <c r="AU7" i="3"/>
  <c r="AU5" i="3"/>
  <c r="AU4" i="3"/>
  <c r="AU6" i="3"/>
  <c r="AU8" i="3"/>
  <c r="AK30" i="3"/>
  <c r="AK31" i="3"/>
  <c r="AK32" i="3"/>
  <c r="AK29" i="3"/>
  <c r="AW4" i="3"/>
  <c r="AW7" i="3"/>
  <c r="AW3" i="3"/>
  <c r="AW6" i="3"/>
  <c r="AW8" i="3"/>
  <c r="AW5" i="3"/>
  <c r="AW63" i="3"/>
  <c r="AW61" i="3"/>
  <c r="AW62" i="3"/>
  <c r="AW64" i="3"/>
  <c r="AV8" i="3"/>
  <c r="AV7" i="3"/>
  <c r="AV3" i="3"/>
  <c r="AV4" i="3"/>
  <c r="AV5" i="3"/>
  <c r="AV6" i="3"/>
  <c r="AK5" i="3"/>
  <c r="AK8" i="3"/>
  <c r="AK3" i="3"/>
  <c r="AK6" i="3"/>
  <c r="AK7" i="3"/>
  <c r="AK4" i="3"/>
  <c r="AU58" i="3"/>
  <c r="AU57" i="3"/>
  <c r="AU59" i="3"/>
  <c r="AU60" i="3"/>
  <c r="AP43" i="3"/>
  <c r="AP42" i="3"/>
  <c r="AP41" i="3"/>
  <c r="AP45" i="3"/>
  <c r="AP51" i="3"/>
  <c r="AP47" i="3"/>
  <c r="AP44" i="3"/>
  <c r="AP50" i="3"/>
  <c r="AP49" i="3"/>
  <c r="AP53" i="3"/>
  <c r="AP48" i="3"/>
  <c r="AP52" i="3"/>
  <c r="AP46" i="3"/>
  <c r="AY40" i="3"/>
  <c r="AY39" i="3"/>
  <c r="AY37" i="3"/>
  <c r="AY38" i="3"/>
  <c r="AN58" i="3"/>
  <c r="AN59" i="3"/>
  <c r="AN57" i="3"/>
  <c r="AN60" i="3"/>
  <c r="AW30" i="3"/>
  <c r="AW32" i="3"/>
  <c r="AW31" i="3"/>
  <c r="AW29" i="3"/>
  <c r="AY55" i="3"/>
  <c r="AY54" i="3"/>
  <c r="AY56" i="3"/>
  <c r="AN61" i="3"/>
  <c r="AN62" i="3"/>
  <c r="AN63" i="3"/>
  <c r="AN64" i="3"/>
  <c r="AT19" i="9"/>
  <c r="AT17" i="9"/>
  <c r="AT18" i="9"/>
  <c r="AT15" i="9"/>
  <c r="AT16" i="9"/>
  <c r="AR3" i="9"/>
  <c r="AR5" i="9"/>
  <c r="AR6" i="9"/>
  <c r="AR4" i="9"/>
  <c r="AT12" i="9"/>
  <c r="AT13" i="9"/>
  <c r="AT14" i="9"/>
  <c r="AK59" i="9"/>
  <c r="AK60" i="9"/>
  <c r="AK61" i="9"/>
  <c r="AK58" i="9"/>
  <c r="AY9" i="9"/>
  <c r="AY8" i="9"/>
  <c r="AY7" i="9"/>
  <c r="AY11" i="9"/>
  <c r="AY10" i="9"/>
  <c r="AU44" i="9"/>
  <c r="AU48" i="9"/>
  <c r="AU46" i="9"/>
  <c r="AU45" i="9"/>
  <c r="AU47" i="9"/>
  <c r="AU43" i="9"/>
  <c r="AU49" i="9"/>
  <c r="AU50" i="9"/>
  <c r="AP42" i="9"/>
  <c r="AP40" i="9"/>
  <c r="AP41" i="9"/>
  <c r="AY52" i="9"/>
  <c r="AY51" i="9"/>
  <c r="AY53" i="9"/>
  <c r="AY33" i="9"/>
  <c r="AY35" i="9"/>
  <c r="AY32" i="9"/>
  <c r="AY34" i="9"/>
  <c r="AW20" i="9"/>
  <c r="AW21" i="9"/>
  <c r="AW22" i="9"/>
  <c r="AW23" i="9"/>
  <c r="AV28" i="9"/>
  <c r="AV29" i="9"/>
  <c r="AV30" i="9"/>
  <c r="AV31" i="9"/>
  <c r="AK39" i="9"/>
  <c r="AK38" i="9"/>
  <c r="AK37" i="9"/>
  <c r="AK36" i="9"/>
  <c r="AT28" i="9"/>
  <c r="AT29" i="9"/>
  <c r="AT30" i="9"/>
  <c r="AT31" i="9"/>
  <c r="AV25" i="9"/>
  <c r="AV26" i="9"/>
  <c r="AV24" i="9"/>
  <c r="AV27" i="9"/>
  <c r="AO8" i="3"/>
  <c r="AO5" i="3"/>
  <c r="AO7" i="3"/>
  <c r="AO6" i="3"/>
  <c r="AO4" i="3"/>
  <c r="AO3" i="3"/>
  <c r="AT40" i="3"/>
  <c r="AT39" i="3"/>
  <c r="AT37" i="3"/>
  <c r="AT38" i="3"/>
  <c r="AM61" i="3"/>
  <c r="AM64" i="3"/>
  <c r="AM63" i="3"/>
  <c r="AM62" i="3"/>
  <c r="AN17" i="3"/>
  <c r="AN16" i="3"/>
  <c r="AN20" i="3"/>
  <c r="AN18" i="3"/>
  <c r="AN19" i="3"/>
  <c r="AX17" i="3"/>
  <c r="AX19" i="3"/>
  <c r="AX18" i="3"/>
  <c r="AX16" i="3"/>
  <c r="AX20" i="3"/>
  <c r="AT47" i="3"/>
  <c r="AT53" i="3"/>
  <c r="AT48" i="3"/>
  <c r="AT49" i="3"/>
  <c r="AT46" i="3"/>
  <c r="AT50" i="3"/>
  <c r="AT44" i="3"/>
  <c r="AT51" i="3"/>
  <c r="AT52" i="3"/>
  <c r="AT45" i="3"/>
  <c r="AU15" i="3"/>
  <c r="AU13" i="3"/>
  <c r="AU14" i="3"/>
  <c r="AO12" i="3"/>
  <c r="AO10" i="3"/>
  <c r="AO11" i="3"/>
  <c r="AO9" i="3"/>
  <c r="AM46" i="3"/>
  <c r="AM45" i="3"/>
  <c r="AM47" i="3"/>
  <c r="AM44" i="3"/>
  <c r="AM49" i="3"/>
  <c r="AM52" i="3"/>
  <c r="AM50" i="3"/>
  <c r="AM51" i="3"/>
  <c r="AM53" i="3"/>
  <c r="AM48" i="3"/>
  <c r="AV39" i="3"/>
  <c r="AV37" i="3"/>
  <c r="AV40" i="3"/>
  <c r="AV38" i="3"/>
  <c r="AK57" i="3"/>
  <c r="AK59" i="3"/>
  <c r="AK58" i="3"/>
  <c r="AK60" i="3"/>
  <c r="AT30" i="3"/>
  <c r="AT32" i="3"/>
  <c r="AT31" i="3"/>
  <c r="AT29" i="3"/>
  <c r="AV21" i="3"/>
  <c r="AV23" i="3"/>
  <c r="AV24" i="3"/>
  <c r="AV22" i="3"/>
  <c r="AS41" i="3"/>
  <c r="AS42" i="3"/>
  <c r="AS43" i="3"/>
  <c r="AR16" i="9"/>
  <c r="AR19" i="9"/>
  <c r="AR17" i="9"/>
  <c r="AR18" i="9"/>
  <c r="AR15" i="9"/>
  <c r="AN4" i="9"/>
  <c r="AN5" i="9"/>
  <c r="AN6" i="9"/>
  <c r="AN3" i="9"/>
  <c r="AO12" i="9"/>
  <c r="AO14" i="9"/>
  <c r="AO13" i="9"/>
  <c r="AU59" i="9"/>
  <c r="AU58" i="9"/>
  <c r="AU61" i="9"/>
  <c r="AU60" i="9"/>
  <c r="AU9" i="9"/>
  <c r="AU10" i="9"/>
  <c r="AU11" i="9"/>
  <c r="AU7" i="9"/>
  <c r="AU8" i="9"/>
  <c r="AT48" i="9"/>
  <c r="AT46" i="9"/>
  <c r="AT45" i="9"/>
  <c r="AT44" i="9"/>
  <c r="AT43" i="9"/>
  <c r="AT49" i="9"/>
  <c r="AT50" i="9"/>
  <c r="AT47" i="9"/>
  <c r="AW40" i="9"/>
  <c r="AW41" i="9"/>
  <c r="AW42" i="9"/>
  <c r="AN53" i="9"/>
  <c r="AN51" i="9"/>
  <c r="AN52" i="9"/>
  <c r="AU34" i="9"/>
  <c r="AU32" i="9"/>
  <c r="AU33" i="9"/>
  <c r="AU35" i="9"/>
  <c r="AP20" i="9"/>
  <c r="AP22" i="9"/>
  <c r="AP23" i="9"/>
  <c r="AP21" i="9"/>
  <c r="AU3" i="9"/>
  <c r="AU4" i="9"/>
  <c r="AU5" i="9"/>
  <c r="AU6" i="9"/>
  <c r="AX39" i="9"/>
  <c r="AX36" i="9"/>
  <c r="AX38" i="9"/>
  <c r="AX37" i="9"/>
  <c r="AY31" i="9"/>
  <c r="AY28" i="9"/>
  <c r="AY30" i="9"/>
  <c r="AY29" i="9"/>
  <c r="AO27" i="9"/>
  <c r="AO24" i="9"/>
  <c r="AO25" i="9"/>
  <c r="AO26" i="9"/>
  <c r="AV15" i="3"/>
  <c r="AV13" i="3"/>
  <c r="AV14" i="3"/>
  <c r="AS24" i="3"/>
  <c r="AS21" i="3"/>
  <c r="AS22" i="3"/>
  <c r="AS23" i="3"/>
  <c r="AS29" i="3"/>
  <c r="AS32" i="3"/>
  <c r="AS30" i="3"/>
  <c r="AS31" i="3"/>
  <c r="AQ62" i="3"/>
  <c r="AQ61" i="3"/>
  <c r="AQ63" i="3"/>
  <c r="AQ64" i="3"/>
  <c r="AS17" i="3"/>
  <c r="AS18" i="3"/>
  <c r="AS16" i="3"/>
  <c r="AS20" i="3"/>
  <c r="AS19" i="3"/>
  <c r="AP3" i="3"/>
  <c r="AP7" i="3"/>
  <c r="AP8" i="3"/>
  <c r="AP6" i="3"/>
  <c r="AP4" i="3"/>
  <c r="AP5" i="3"/>
  <c r="AX55" i="3"/>
  <c r="AX54" i="3"/>
  <c r="AX56" i="3"/>
  <c r="AS10" i="3"/>
  <c r="AS9" i="3"/>
  <c r="AS12" i="3"/>
  <c r="AS11" i="3"/>
  <c r="AN32" i="3"/>
  <c r="AN30" i="3"/>
  <c r="AN29" i="3"/>
  <c r="AN31" i="3"/>
  <c r="AT54" i="3"/>
  <c r="AT55" i="3"/>
  <c r="AT56" i="3"/>
  <c r="AN22" i="3"/>
  <c r="AN21" i="3"/>
  <c r="AN23" i="3"/>
  <c r="AN24" i="3"/>
  <c r="AR13" i="3"/>
  <c r="AR15" i="3"/>
  <c r="AR14" i="3"/>
  <c r="AL11" i="3"/>
  <c r="AL10" i="3"/>
  <c r="AL9" i="3"/>
  <c r="AL12" i="3"/>
  <c r="AY9" i="3"/>
  <c r="AY11" i="3"/>
  <c r="AY12" i="3"/>
  <c r="AY10" i="3"/>
  <c r="AS39" i="3"/>
  <c r="AS40" i="3"/>
  <c r="AS38" i="3"/>
  <c r="AS37" i="3"/>
  <c r="AY13" i="3"/>
  <c r="AY15" i="3"/>
  <c r="AY14" i="3"/>
  <c r="AT24" i="3"/>
  <c r="AT22" i="3"/>
  <c r="AT23" i="3"/>
  <c r="AT21" i="3"/>
  <c r="AX19" i="9"/>
  <c r="AX17" i="9"/>
  <c r="AX18" i="9"/>
  <c r="AX16" i="9"/>
  <c r="AX15" i="9"/>
  <c r="AQ54" i="9"/>
  <c r="AQ57" i="9"/>
  <c r="AQ55" i="9"/>
  <c r="AQ56" i="9"/>
  <c r="AP14" i="9"/>
  <c r="AP13" i="9"/>
  <c r="AP12" i="9"/>
  <c r="AT59" i="9"/>
  <c r="AT61" i="9"/>
  <c r="AT60" i="9"/>
  <c r="AT58" i="9"/>
  <c r="AV9" i="9"/>
  <c r="AV7" i="9"/>
  <c r="AV8" i="9"/>
  <c r="AV10" i="9"/>
  <c r="AV11" i="9"/>
  <c r="AS44" i="9"/>
  <c r="AS46" i="9"/>
  <c r="AS47" i="9"/>
  <c r="AS45" i="9"/>
  <c r="AS50" i="9"/>
  <c r="AS48" i="9"/>
  <c r="AS43" i="9"/>
  <c r="AS49" i="9"/>
  <c r="AT42" i="9"/>
  <c r="AT40" i="9"/>
  <c r="AT41" i="9"/>
  <c r="M27" i="6"/>
  <c r="AM33" i="9"/>
  <c r="AM34" i="9"/>
  <c r="AM32" i="9"/>
  <c r="AM35" i="9"/>
  <c r="AT20" i="9"/>
  <c r="AT21" i="9"/>
  <c r="AT22" i="9"/>
  <c r="AT23" i="9"/>
  <c r="I27" i="6"/>
  <c r="AY37" i="9"/>
  <c r="AY39" i="9"/>
  <c r="AY38" i="9"/>
  <c r="AY36" i="9"/>
  <c r="AM31" i="9"/>
  <c r="AM28" i="9"/>
  <c r="AM30" i="9"/>
  <c r="AM29" i="9"/>
  <c r="AX24" i="9"/>
  <c r="AX26" i="9"/>
  <c r="AX27" i="9"/>
  <c r="AX25" i="9"/>
  <c r="AU42" i="3"/>
  <c r="AU41" i="3"/>
  <c r="AU43" i="3"/>
  <c r="AU11" i="3"/>
  <c r="AU9" i="3"/>
  <c r="AU12" i="3"/>
  <c r="AU10" i="3"/>
  <c r="AN15" i="9"/>
  <c r="AN16" i="9"/>
  <c r="AN18" i="9"/>
  <c r="AN17" i="9"/>
  <c r="AN19" i="9"/>
  <c r="AO55" i="9"/>
  <c r="AO54" i="9"/>
  <c r="AO57" i="9"/>
  <c r="AO56" i="9"/>
  <c r="AY14" i="9"/>
  <c r="AY13" i="9"/>
  <c r="AY12" i="9"/>
  <c r="AM61" i="9"/>
  <c r="AM58" i="9"/>
  <c r="AM59" i="9"/>
  <c r="AM60" i="9"/>
  <c r="AT10" i="9"/>
  <c r="AT11" i="9"/>
  <c r="AT7" i="9"/>
  <c r="AT8" i="9"/>
  <c r="AT9" i="9"/>
  <c r="AP47" i="9"/>
  <c r="AP45" i="9"/>
  <c r="AP44" i="9"/>
  <c r="AP43" i="9"/>
  <c r="AP46" i="9"/>
  <c r="AP49" i="9"/>
  <c r="AP50" i="9"/>
  <c r="AP48" i="9"/>
  <c r="AT53" i="9"/>
  <c r="AT51" i="9"/>
  <c r="AT52" i="9"/>
  <c r="H27" i="6"/>
  <c r="AT35" i="9"/>
  <c r="AT32" i="9"/>
  <c r="AT33" i="9"/>
  <c r="AT34" i="9"/>
  <c r="AU21" i="9"/>
  <c r="AU22" i="9"/>
  <c r="AU23" i="9"/>
  <c r="AU20" i="9"/>
  <c r="AQ17" i="9"/>
  <c r="AQ19" i="9"/>
  <c r="AQ15" i="9"/>
  <c r="AQ16" i="9"/>
  <c r="AQ18" i="9"/>
  <c r="AL36" i="9"/>
  <c r="AL37" i="9"/>
  <c r="AL38" i="9"/>
  <c r="AL39" i="9"/>
  <c r="AW28" i="9"/>
  <c r="AW29" i="9"/>
  <c r="AW30" i="9"/>
  <c r="AW31" i="9"/>
  <c r="AQ25" i="9"/>
  <c r="AQ27" i="9"/>
  <c r="AQ24" i="9"/>
  <c r="AQ26" i="9"/>
  <c r="AM37" i="3"/>
  <c r="AM40" i="3"/>
  <c r="AM38" i="3"/>
  <c r="AM39" i="3"/>
  <c r="AK22" i="3"/>
  <c r="AK23" i="3"/>
  <c r="AK21" i="3"/>
  <c r="AK24" i="3"/>
  <c r="AO15" i="3"/>
  <c r="AO13" i="3"/>
  <c r="AO14" i="3"/>
  <c r="AX24" i="3"/>
  <c r="AX22" i="3"/>
  <c r="AX23" i="3"/>
  <c r="AX21" i="3"/>
  <c r="AL61" i="3"/>
  <c r="AL62" i="3"/>
  <c r="AL64" i="3"/>
  <c r="AL63" i="3"/>
  <c r="AM16" i="3"/>
  <c r="AM18" i="3"/>
  <c r="AM20" i="3"/>
  <c r="AM19" i="3"/>
  <c r="AM17" i="3"/>
  <c r="AV60" i="3"/>
  <c r="AV59" i="3"/>
  <c r="AV57" i="3"/>
  <c r="AV58" i="3"/>
  <c r="AQ43" i="3"/>
  <c r="AQ41" i="3"/>
  <c r="AQ42" i="3"/>
  <c r="AR60" i="3"/>
  <c r="AR57" i="3"/>
  <c r="AR58" i="3"/>
  <c r="AR59" i="3"/>
  <c r="AN54" i="3"/>
  <c r="AN56" i="3"/>
  <c r="AN55" i="3"/>
  <c r="AW42" i="3"/>
  <c r="AW41" i="3"/>
  <c r="AW43" i="3"/>
  <c r="AK54" i="3"/>
  <c r="AK55" i="3"/>
  <c r="AK56" i="3"/>
  <c r="AL13" i="3"/>
  <c r="AL15" i="3"/>
  <c r="AL14" i="3"/>
  <c r="AP5" i="9"/>
  <c r="AP6" i="9"/>
  <c r="AP3" i="9"/>
  <c r="AP4" i="9"/>
  <c r="AK57" i="9"/>
  <c r="AK56" i="9"/>
  <c r="AK55" i="9"/>
  <c r="AK54" i="9"/>
  <c r="AK14" i="9"/>
  <c r="AK12" i="9"/>
  <c r="AK13" i="9"/>
  <c r="AW58" i="9"/>
  <c r="AW59" i="9"/>
  <c r="AW61" i="9"/>
  <c r="AW60" i="9"/>
  <c r="AS7" i="9"/>
  <c r="AS10" i="9"/>
  <c r="AS11" i="9"/>
  <c r="AS8" i="9"/>
  <c r="AS9" i="9"/>
  <c r="AQ49" i="9"/>
  <c r="AQ50" i="9"/>
  <c r="AQ45" i="9"/>
  <c r="AQ44" i="9"/>
  <c r="AQ43" i="9"/>
  <c r="AQ46" i="9"/>
  <c r="AQ47" i="9"/>
  <c r="AQ48" i="9"/>
  <c r="AP53" i="9"/>
  <c r="AP52" i="9"/>
  <c r="AP51" i="9"/>
  <c r="K27" i="6"/>
  <c r="AN35" i="9"/>
  <c r="AN32" i="9"/>
  <c r="AN33" i="9"/>
  <c r="AN34" i="9"/>
  <c r="AS22" i="9"/>
  <c r="AS21" i="9"/>
  <c r="AS20" i="9"/>
  <c r="AS23" i="9"/>
  <c r="AK22" i="9"/>
  <c r="AK20" i="9"/>
  <c r="AK21" i="9"/>
  <c r="AK23" i="9"/>
  <c r="AP37" i="9"/>
  <c r="AP38" i="9"/>
  <c r="AP39" i="9"/>
  <c r="AP36" i="9"/>
  <c r="AP29" i="9"/>
  <c r="AP30" i="9"/>
  <c r="AP31" i="9"/>
  <c r="AP28" i="9"/>
  <c r="AU25" i="9"/>
  <c r="AU26" i="9"/>
  <c r="AU27" i="9"/>
  <c r="AU24" i="9"/>
  <c r="AR22" i="3"/>
  <c r="AR24" i="3"/>
  <c r="AR21" i="3"/>
  <c r="AR23" i="3"/>
  <c r="AM3" i="9"/>
  <c r="AM6" i="9"/>
  <c r="AM5" i="9"/>
  <c r="AM4" i="9"/>
  <c r="AX14" i="9"/>
  <c r="AX12" i="9"/>
  <c r="AX13" i="9"/>
  <c r="AY58" i="9"/>
  <c r="AY61" i="9"/>
  <c r="AY60" i="9"/>
  <c r="AY59" i="9"/>
  <c r="AR9" i="9"/>
  <c r="AR7" i="9"/>
  <c r="AR10" i="9"/>
  <c r="AR8" i="9"/>
  <c r="AR11" i="9"/>
  <c r="AX43" i="9"/>
  <c r="AX47" i="9"/>
  <c r="AX44" i="9"/>
  <c r="AX48" i="9"/>
  <c r="AX46" i="9"/>
  <c r="AX49" i="9"/>
  <c r="AX45" i="9"/>
  <c r="AX50" i="9"/>
  <c r="AM40" i="9"/>
  <c r="AM42" i="9"/>
  <c r="AM41" i="9"/>
  <c r="AL52" i="9"/>
  <c r="AL51" i="9"/>
  <c r="AL53" i="9"/>
  <c r="Q27" i="6"/>
  <c r="AR33" i="9"/>
  <c r="AR34" i="9"/>
  <c r="AR35" i="9"/>
  <c r="AR32" i="9"/>
  <c r="AR21" i="9"/>
  <c r="AR22" i="9"/>
  <c r="AR20" i="9"/>
  <c r="AR23" i="9"/>
  <c r="AR36" i="9"/>
  <c r="AR37" i="9"/>
  <c r="AR39" i="9"/>
  <c r="AR38" i="9"/>
  <c r="AL29" i="9"/>
  <c r="AL31" i="9"/>
  <c r="AL30" i="9"/>
  <c r="AL28" i="9"/>
  <c r="AR25" i="9"/>
  <c r="AR27" i="9"/>
  <c r="AR24" i="9"/>
  <c r="AR26" i="9"/>
  <c r="AW35" i="3"/>
  <c r="AW36" i="3"/>
  <c r="AW33" i="3"/>
  <c r="AW34" i="3"/>
  <c r="AQ34" i="3"/>
  <c r="AQ35" i="3"/>
  <c r="AQ33" i="3"/>
  <c r="AQ36" i="3"/>
  <c r="AN36" i="3"/>
  <c r="AN34" i="3"/>
  <c r="AN33" i="3"/>
  <c r="AN35" i="3"/>
  <c r="AS36" i="3"/>
  <c r="AS35" i="3"/>
  <c r="AS33" i="3"/>
  <c r="AS34" i="3"/>
  <c r="AK34" i="3"/>
  <c r="AK35" i="3"/>
  <c r="AK33" i="3"/>
  <c r="AK36" i="3"/>
  <c r="AU33" i="3"/>
  <c r="AU34" i="3"/>
  <c r="AU35" i="3"/>
  <c r="AU36" i="3"/>
  <c r="AO36" i="3"/>
  <c r="AO34" i="3"/>
  <c r="AO35" i="3"/>
  <c r="AO33" i="3"/>
  <c r="AR34" i="3"/>
  <c r="AR35" i="3"/>
  <c r="AR33" i="3"/>
  <c r="AR36" i="3"/>
  <c r="AX33" i="3"/>
  <c r="AX36" i="3"/>
  <c r="AX34" i="3"/>
  <c r="AX35" i="3"/>
  <c r="AY33" i="3"/>
  <c r="AY36" i="3"/>
  <c r="AY34" i="3"/>
  <c r="AY35" i="3"/>
  <c r="AT35" i="3"/>
  <c r="AT33" i="3"/>
  <c r="AT34" i="3"/>
  <c r="AT36" i="3"/>
  <c r="AV34" i="3"/>
  <c r="AV33" i="3"/>
  <c r="AV36" i="3"/>
  <c r="AV35" i="3"/>
  <c r="AP33" i="3"/>
  <c r="AP36" i="3"/>
  <c r="AP34" i="3"/>
  <c r="AP35" i="3"/>
  <c r="AL34" i="3"/>
  <c r="AL35" i="3"/>
  <c r="AL33" i="3"/>
  <c r="AL36" i="3"/>
  <c r="AM34" i="3"/>
  <c r="AM35" i="3"/>
  <c r="AM33" i="3"/>
  <c r="AM36" i="3"/>
  <c r="CZ4" i="8" l="1"/>
  <c r="G72" i="8" a="1"/>
  <c r="G72" i="8" s="1"/>
  <c r="AM22" i="10"/>
  <c r="AN22" i="10" s="1"/>
  <c r="AO22" i="10" s="1"/>
  <c r="AP22" i="10" s="1"/>
  <c r="AQ22" i="10" s="1"/>
  <c r="AR22" i="10" s="1"/>
  <c r="AS22" i="10" s="1"/>
  <c r="AT22" i="10" s="1"/>
  <c r="AU22" i="10" s="1"/>
  <c r="AV22" i="10" s="1"/>
  <c r="AW22" i="10" s="1"/>
  <c r="AX22" i="10" s="1"/>
  <c r="AY22" i="10" s="1"/>
  <c r="AZ22" i="10" s="1"/>
  <c r="BA22" i="10" s="1"/>
  <c r="BB22" i="10" s="1"/>
  <c r="BC22" i="10" s="1"/>
  <c r="BD22" i="10" s="1"/>
  <c r="BE22" i="10" s="1"/>
  <c r="BF22" i="10" s="1"/>
  <c r="BG22" i="10" s="1"/>
  <c r="BH22" i="10" s="1"/>
  <c r="BI22" i="10" s="1"/>
  <c r="BJ22" i="10" s="1"/>
  <c r="BK22" i="10" s="1"/>
  <c r="BL22" i="10" s="1"/>
  <c r="BM22" i="10" s="1"/>
  <c r="BN22" i="10" s="1"/>
  <c r="BO22" i="10" s="1"/>
  <c r="BP22" i="10" s="1"/>
  <c r="AM25" i="10"/>
  <c r="AN25" i="10" s="1"/>
  <c r="AO25" i="10" s="1"/>
  <c r="AP25" i="10" s="1"/>
  <c r="AQ25" i="10" s="1"/>
  <c r="AR25" i="10" s="1"/>
  <c r="AS25" i="10" s="1"/>
  <c r="AT25" i="10" s="1"/>
  <c r="AU25" i="10" s="1"/>
  <c r="AV25" i="10" s="1"/>
  <c r="AW25" i="10" s="1"/>
  <c r="AX25" i="10" s="1"/>
  <c r="AY25" i="10" s="1"/>
  <c r="AZ25" i="10" s="1"/>
  <c r="BA25" i="10" s="1"/>
  <c r="BB25" i="10" s="1"/>
  <c r="BC25" i="10" s="1"/>
  <c r="BD25" i="10" s="1"/>
  <c r="BE25" i="10" s="1"/>
  <c r="BF25" i="10" s="1"/>
  <c r="BG25" i="10" s="1"/>
  <c r="BH25" i="10" s="1"/>
  <c r="BI25" i="10" s="1"/>
  <c r="BJ25" i="10" s="1"/>
  <c r="BK25" i="10" s="1"/>
  <c r="BL25" i="10" s="1"/>
  <c r="BM25" i="10" s="1"/>
  <c r="BN25" i="10" s="1"/>
  <c r="BO25" i="10" s="1"/>
  <c r="BP25" i="10" s="1"/>
  <c r="AM20" i="10"/>
  <c r="BO18" i="10"/>
  <c r="AY18" i="10"/>
  <c r="BN18" i="10"/>
  <c r="AX18" i="10"/>
  <c r="BM18" i="10"/>
  <c r="AW18" i="10"/>
  <c r="BL18" i="10"/>
  <c r="AV18" i="10"/>
  <c r="BK18" i="10"/>
  <c r="AU18" i="10"/>
  <c r="BJ18" i="10"/>
  <c r="AT18" i="10"/>
  <c r="BI18" i="10"/>
  <c r="AS18" i="10"/>
  <c r="BH18" i="10"/>
  <c r="AR18" i="10"/>
  <c r="BG18" i="10"/>
  <c r="AQ18" i="10"/>
  <c r="BF18" i="10"/>
  <c r="AP18" i="10"/>
  <c r="BE18" i="10"/>
  <c r="AO18" i="10"/>
  <c r="BD18" i="10"/>
  <c r="AN18" i="10"/>
  <c r="BC18" i="10"/>
  <c r="AM18" i="10"/>
  <c r="AZ18" i="10"/>
  <c r="BB18" i="10"/>
  <c r="BP18" i="10"/>
  <c r="BA18" i="10"/>
  <c r="AJ45" i="9"/>
  <c r="AJ48" i="9"/>
  <c r="AJ44" i="9"/>
  <c r="AJ46" i="9"/>
  <c r="AJ50" i="9"/>
  <c r="AJ47" i="9"/>
  <c r="AJ49" i="9"/>
  <c r="AJ43" i="9"/>
  <c r="AA29" i="1"/>
  <c r="Y28" i="1"/>
  <c r="AG29" i="1"/>
  <c r="AE29" i="1"/>
  <c r="AH28" i="1"/>
  <c r="W29" i="1"/>
  <c r="Z28" i="1"/>
  <c r="X28" i="1"/>
  <c r="AG28" i="1"/>
  <c r="AI71" i="8" a="1"/>
  <c r="AI71" i="8" s="1"/>
  <c r="AI84" i="8" s="1"/>
  <c r="AI65" i="8" a="1"/>
  <c r="AI65" i="8" s="1"/>
  <c r="AI78" i="8" s="1"/>
  <c r="AI75" i="8" a="1"/>
  <c r="AI75" i="8" s="1"/>
  <c r="AI88" i="8" s="1"/>
  <c r="AI67" i="8" a="1"/>
  <c r="AI67" i="8" s="1"/>
  <c r="AI80" i="8" s="1"/>
  <c r="AI69" i="8" a="1"/>
  <c r="AI69" i="8" s="1"/>
  <c r="AI82" i="8" s="1"/>
  <c r="AI68" i="8" a="1"/>
  <c r="AI68" i="8" s="1"/>
  <c r="AI81" i="8" s="1"/>
  <c r="AI73" i="8" a="1"/>
  <c r="AI73" i="8" s="1"/>
  <c r="AI86" i="8" s="1"/>
  <c r="AI70" i="8" a="1"/>
  <c r="AI70" i="8" s="1"/>
  <c r="AI83" i="8" s="1"/>
  <c r="AI72" i="8" a="1"/>
  <c r="AI72" i="8" s="1"/>
  <c r="AI85" i="8" s="1"/>
  <c r="AI74" i="8" a="1"/>
  <c r="AI74" i="8" s="1"/>
  <c r="AI87" i="8" s="1"/>
  <c r="AI66" i="8" a="1"/>
  <c r="AI66" i="8" s="1"/>
  <c r="AI79" i="8" s="1"/>
  <c r="AA28" i="1"/>
  <c r="AC28" i="1"/>
  <c r="V29" i="1"/>
  <c r="AF29" i="1"/>
  <c r="AF28" i="1"/>
  <c r="AC65" i="8" a="1"/>
  <c r="AC65" i="8" s="1"/>
  <c r="AC78" i="8" s="1"/>
  <c r="AC74" i="8" a="1"/>
  <c r="AC74" i="8" s="1"/>
  <c r="AC87" i="8" s="1"/>
  <c r="AC67" i="8" a="1"/>
  <c r="AC67" i="8" s="1"/>
  <c r="AC80" i="8" s="1"/>
  <c r="AC72" i="8" a="1"/>
  <c r="AC72" i="8" s="1"/>
  <c r="AC85" i="8" s="1"/>
  <c r="AC69" i="8" a="1"/>
  <c r="AC69" i="8" s="1"/>
  <c r="AC82" i="8" s="1"/>
  <c r="AC71" i="8" a="1"/>
  <c r="AC71" i="8" s="1"/>
  <c r="AC84" i="8" s="1"/>
  <c r="AC75" i="8" a="1"/>
  <c r="AC75" i="8" s="1"/>
  <c r="AC88" i="8" s="1"/>
  <c r="AC70" i="8" a="1"/>
  <c r="AC70" i="8" s="1"/>
  <c r="AC83" i="8" s="1"/>
  <c r="AC66" i="8" a="1"/>
  <c r="AC66" i="8" s="1"/>
  <c r="AC79" i="8" s="1"/>
  <c r="AC68" i="8" a="1"/>
  <c r="AC68" i="8" s="1"/>
  <c r="AC81" i="8" s="1"/>
  <c r="AC73" i="8" a="1"/>
  <c r="AC73" i="8" s="1"/>
  <c r="AC86" i="8" s="1"/>
  <c r="W28" i="1"/>
  <c r="AH29" i="1"/>
  <c r="AC29" i="1"/>
  <c r="AE69" i="8" a="1"/>
  <c r="AE69" i="8" s="1"/>
  <c r="AE82" i="8" s="1"/>
  <c r="AE67" i="8" a="1"/>
  <c r="AE67" i="8" s="1"/>
  <c r="AE80" i="8" s="1"/>
  <c r="AE73" i="8" a="1"/>
  <c r="AE73" i="8" s="1"/>
  <c r="AE86" i="8" s="1"/>
  <c r="AE71" i="8" a="1"/>
  <c r="AE71" i="8" s="1"/>
  <c r="AE84" i="8" s="1"/>
  <c r="AE68" i="8" a="1"/>
  <c r="AE68" i="8" s="1"/>
  <c r="AE81" i="8" s="1"/>
  <c r="AE72" i="8" a="1"/>
  <c r="AE72" i="8" s="1"/>
  <c r="AE85" i="8" s="1"/>
  <c r="AE75" i="8" a="1"/>
  <c r="AE75" i="8" s="1"/>
  <c r="AE88" i="8" s="1"/>
  <c r="AE65" i="8" a="1"/>
  <c r="AE65" i="8" s="1"/>
  <c r="AE78" i="8" s="1"/>
  <c r="AE70" i="8" a="1"/>
  <c r="AE70" i="8" s="1"/>
  <c r="AE83" i="8" s="1"/>
  <c r="AE74" i="8" a="1"/>
  <c r="AE74" i="8" s="1"/>
  <c r="AE87" i="8" s="1"/>
  <c r="AE66" i="8" a="1"/>
  <c r="AE66" i="8" s="1"/>
  <c r="AE79" i="8" s="1"/>
  <c r="AB29" i="1"/>
  <c r="AD70" i="8" a="1"/>
  <c r="AD70" i="8" s="1"/>
  <c r="AD83" i="8" s="1"/>
  <c r="AD73" i="8" a="1"/>
  <c r="AD73" i="8" s="1"/>
  <c r="AD86" i="8" s="1"/>
  <c r="AD65" i="8" a="1"/>
  <c r="AD65" i="8" s="1"/>
  <c r="AD78" i="8" s="1"/>
  <c r="AD68" i="8" a="1"/>
  <c r="AD68" i="8" s="1"/>
  <c r="AD81" i="8" s="1"/>
  <c r="AD75" i="8" a="1"/>
  <c r="AD75" i="8" s="1"/>
  <c r="AD88" i="8" s="1"/>
  <c r="AD71" i="8" a="1"/>
  <c r="AD71" i="8" s="1"/>
  <c r="AD84" i="8" s="1"/>
  <c r="AD74" i="8" a="1"/>
  <c r="AD74" i="8" s="1"/>
  <c r="AD87" i="8" s="1"/>
  <c r="AD66" i="8" a="1"/>
  <c r="AD66" i="8" s="1"/>
  <c r="AD79" i="8" s="1"/>
  <c r="AD69" i="8" a="1"/>
  <c r="AD69" i="8" s="1"/>
  <c r="AD82" i="8" s="1"/>
  <c r="AD72" i="8" a="1"/>
  <c r="AD72" i="8" s="1"/>
  <c r="AD85" i="8" s="1"/>
  <c r="AD67" i="8" a="1"/>
  <c r="AD67" i="8" s="1"/>
  <c r="AD80" i="8" s="1"/>
  <c r="AJ73" i="8" a="1"/>
  <c r="AJ73" i="8" s="1"/>
  <c r="AJ86" i="8" s="1"/>
  <c r="AJ65" i="8" a="1"/>
  <c r="AJ65" i="8" s="1"/>
  <c r="AJ78" i="8" s="1"/>
  <c r="AJ68" i="8" a="1"/>
  <c r="AJ68" i="8" s="1"/>
  <c r="AJ81" i="8" s="1"/>
  <c r="AJ71" i="8" a="1"/>
  <c r="AJ71" i="8" s="1"/>
  <c r="AJ84" i="8" s="1"/>
  <c r="AJ74" i="8" a="1"/>
  <c r="AJ74" i="8" s="1"/>
  <c r="AJ87" i="8" s="1"/>
  <c r="AJ66" i="8" a="1"/>
  <c r="AJ66" i="8" s="1"/>
  <c r="AJ79" i="8" s="1"/>
  <c r="AJ69" i="8" a="1"/>
  <c r="AJ69" i="8" s="1"/>
  <c r="AJ82" i="8" s="1"/>
  <c r="AJ72" i="8" a="1"/>
  <c r="AJ72" i="8" s="1"/>
  <c r="AJ85" i="8" s="1"/>
  <c r="AJ75" i="8" a="1"/>
  <c r="AJ75" i="8" s="1"/>
  <c r="AJ88" i="8" s="1"/>
  <c r="AJ67" i="8" a="1"/>
  <c r="AJ67" i="8" s="1"/>
  <c r="AJ80" i="8" s="1"/>
  <c r="AJ70" i="8" a="1"/>
  <c r="AJ70" i="8" s="1"/>
  <c r="AJ83" i="8" s="1"/>
  <c r="AD29" i="1"/>
  <c r="AF69" i="8" a="1"/>
  <c r="AF69" i="8" s="1"/>
  <c r="AF82" i="8" s="1"/>
  <c r="AF72" i="8" a="1"/>
  <c r="AF72" i="8" s="1"/>
  <c r="AF85" i="8" s="1"/>
  <c r="AF66" i="8" a="1"/>
  <c r="AF66" i="8" s="1"/>
  <c r="AF79" i="8" s="1"/>
  <c r="AF75" i="8" a="1"/>
  <c r="AF75" i="8" s="1"/>
  <c r="AF88" i="8" s="1"/>
  <c r="AF67" i="8" a="1"/>
  <c r="AF67" i="8" s="1"/>
  <c r="AF80" i="8" s="1"/>
  <c r="AF70" i="8" a="1"/>
  <c r="AF70" i="8" s="1"/>
  <c r="AF83" i="8" s="1"/>
  <c r="AF73" i="8" a="1"/>
  <c r="AF73" i="8" s="1"/>
  <c r="AF86" i="8" s="1"/>
  <c r="AF65" i="8" a="1"/>
  <c r="AF65" i="8" s="1"/>
  <c r="AF78" i="8" s="1"/>
  <c r="AF68" i="8" a="1"/>
  <c r="AF68" i="8" s="1"/>
  <c r="AF81" i="8" s="1"/>
  <c r="AF71" i="8" a="1"/>
  <c r="AF71" i="8" s="1"/>
  <c r="AF84" i="8" s="1"/>
  <c r="AF74" i="8" a="1"/>
  <c r="AF74" i="8" s="1"/>
  <c r="AF87" i="8" s="1"/>
  <c r="X67" i="8" a="1"/>
  <c r="X67" i="8" s="1"/>
  <c r="X80" i="8" s="1"/>
  <c r="X70" i="8" a="1"/>
  <c r="X70" i="8" s="1"/>
  <c r="X83" i="8" s="1"/>
  <c r="X73" i="8" a="1"/>
  <c r="X73" i="8" s="1"/>
  <c r="X86" i="8" s="1"/>
  <c r="X65" i="8" a="1"/>
  <c r="X65" i="8" s="1"/>
  <c r="X78" i="8" s="1"/>
  <c r="X68" i="8" a="1"/>
  <c r="X68" i="8" s="1"/>
  <c r="X81" i="8" s="1"/>
  <c r="X71" i="8" a="1"/>
  <c r="X71" i="8" s="1"/>
  <c r="X84" i="8" s="1"/>
  <c r="X74" i="8" a="1"/>
  <c r="X74" i="8" s="1"/>
  <c r="X87" i="8" s="1"/>
  <c r="X66" i="8" a="1"/>
  <c r="X66" i="8" s="1"/>
  <c r="X79" i="8" s="1"/>
  <c r="X69" i="8" a="1"/>
  <c r="X69" i="8" s="1"/>
  <c r="X82" i="8" s="1"/>
  <c r="X72" i="8" a="1"/>
  <c r="X72" i="8" s="1"/>
  <c r="X85" i="8" s="1"/>
  <c r="X75" i="8" a="1"/>
  <c r="X75" i="8" s="1"/>
  <c r="X88" i="8" s="1"/>
  <c r="AD28" i="1"/>
  <c r="Z29" i="1"/>
  <c r="AB67" i="8" a="1"/>
  <c r="AB67" i="8" s="1"/>
  <c r="AB80" i="8" s="1"/>
  <c r="AB70" i="8" a="1"/>
  <c r="AB70" i="8" s="1"/>
  <c r="AB83" i="8" s="1"/>
  <c r="AB73" i="8" a="1"/>
  <c r="AB73" i="8" s="1"/>
  <c r="AB86" i="8" s="1"/>
  <c r="AB65" i="8" a="1"/>
  <c r="AB65" i="8" s="1"/>
  <c r="AB78" i="8" s="1"/>
  <c r="AB68" i="8" a="1"/>
  <c r="AB68" i="8" s="1"/>
  <c r="AB81" i="8" s="1"/>
  <c r="AB71" i="8" a="1"/>
  <c r="AB71" i="8" s="1"/>
  <c r="AB84" i="8" s="1"/>
  <c r="AB74" i="8" a="1"/>
  <c r="AB74" i="8" s="1"/>
  <c r="AB87" i="8" s="1"/>
  <c r="AB66" i="8" a="1"/>
  <c r="AB66" i="8" s="1"/>
  <c r="AB79" i="8" s="1"/>
  <c r="AB69" i="8" a="1"/>
  <c r="AB69" i="8" s="1"/>
  <c r="AB82" i="8" s="1"/>
  <c r="AB72" i="8" a="1"/>
  <c r="AB72" i="8" s="1"/>
  <c r="AB85" i="8" s="1"/>
  <c r="AB75" i="8" a="1"/>
  <c r="AB75" i="8" s="1"/>
  <c r="AB88" i="8" s="1"/>
  <c r="X29" i="1"/>
  <c r="Z75" i="8" a="1"/>
  <c r="Z75" i="8" s="1"/>
  <c r="Z88" i="8" s="1"/>
  <c r="Z67" i="8" a="1"/>
  <c r="Z67" i="8" s="1"/>
  <c r="Z80" i="8" s="1"/>
  <c r="Z70" i="8" a="1"/>
  <c r="Z70" i="8" s="1"/>
  <c r="Z83" i="8" s="1"/>
  <c r="Z73" i="8" a="1"/>
  <c r="Z73" i="8" s="1"/>
  <c r="Z86" i="8" s="1"/>
  <c r="Z65" i="8" a="1"/>
  <c r="Z65" i="8" s="1"/>
  <c r="Z78" i="8" s="1"/>
  <c r="Z68" i="8" a="1"/>
  <c r="Z68" i="8" s="1"/>
  <c r="Z81" i="8" s="1"/>
  <c r="Z71" i="8" a="1"/>
  <c r="Z71" i="8" s="1"/>
  <c r="Z84" i="8" s="1"/>
  <c r="Z74" i="8" a="1"/>
  <c r="Z74" i="8" s="1"/>
  <c r="Z87" i="8" s="1"/>
  <c r="Z66" i="8" a="1"/>
  <c r="Z66" i="8" s="1"/>
  <c r="Z79" i="8" s="1"/>
  <c r="Z72" i="8" a="1"/>
  <c r="Z72" i="8" s="1"/>
  <c r="Z85" i="8" s="1"/>
  <c r="Z69" i="8" a="1"/>
  <c r="Z69" i="8" s="1"/>
  <c r="Z82" i="8" s="1"/>
  <c r="AG73" i="8" a="1"/>
  <c r="AG73" i="8" s="1"/>
  <c r="AG86" i="8" s="1"/>
  <c r="AG71" i="8" a="1"/>
  <c r="AG71" i="8" s="1"/>
  <c r="AG84" i="8" s="1"/>
  <c r="AG66" i="8" a="1"/>
  <c r="AG66" i="8" s="1"/>
  <c r="AG79" i="8" s="1"/>
  <c r="AG75" i="8" a="1"/>
  <c r="AG75" i="8" s="1"/>
  <c r="AG88" i="8" s="1"/>
  <c r="AG70" i="8" a="1"/>
  <c r="AG70" i="8" s="1"/>
  <c r="AG83" i="8" s="1"/>
  <c r="AG72" i="8" a="1"/>
  <c r="AG72" i="8" s="1"/>
  <c r="AG85" i="8" s="1"/>
  <c r="AG69" i="8" a="1"/>
  <c r="AG69" i="8" s="1"/>
  <c r="AG82" i="8" s="1"/>
  <c r="AG68" i="8" a="1"/>
  <c r="AG68" i="8" s="1"/>
  <c r="AG81" i="8" s="1"/>
  <c r="AG74" i="8" a="1"/>
  <c r="AG74" i="8" s="1"/>
  <c r="AG87" i="8" s="1"/>
  <c r="AG65" i="8" a="1"/>
  <c r="AG65" i="8" s="1"/>
  <c r="AG78" i="8" s="1"/>
  <c r="AG67" i="8" a="1"/>
  <c r="AG67" i="8" s="1"/>
  <c r="AG80" i="8" s="1"/>
  <c r="AB28" i="1"/>
  <c r="Y29" i="1"/>
  <c r="AA72" i="8" a="1"/>
  <c r="AA72" i="8" s="1"/>
  <c r="AA85" i="8" s="1"/>
  <c r="AA70" i="8" a="1"/>
  <c r="AA70" i="8" s="1"/>
  <c r="AA83" i="8" s="1"/>
  <c r="AA74" i="8" a="1"/>
  <c r="AA74" i="8" s="1"/>
  <c r="AA87" i="8" s="1"/>
  <c r="AA66" i="8" a="1"/>
  <c r="AA66" i="8" s="1"/>
  <c r="AA79" i="8" s="1"/>
  <c r="AA71" i="8" a="1"/>
  <c r="AA71" i="8" s="1"/>
  <c r="AA84" i="8" s="1"/>
  <c r="AA68" i="8" a="1"/>
  <c r="AA68" i="8" s="1"/>
  <c r="AA81" i="8" s="1"/>
  <c r="AA69" i="8" a="1"/>
  <c r="AA69" i="8" s="1"/>
  <c r="AA82" i="8" s="1"/>
  <c r="AA65" i="8" a="1"/>
  <c r="AA65" i="8" s="1"/>
  <c r="AA78" i="8" s="1"/>
  <c r="AA75" i="8" a="1"/>
  <c r="AA75" i="8" s="1"/>
  <c r="AA88" i="8" s="1"/>
  <c r="AA73" i="8" a="1"/>
  <c r="AA73" i="8" s="1"/>
  <c r="AA86" i="8" s="1"/>
  <c r="AA67" i="8" a="1"/>
  <c r="AA67" i="8" s="1"/>
  <c r="AA80" i="8" s="1"/>
  <c r="AE28" i="1"/>
  <c r="Y73" i="8" a="1"/>
  <c r="Y73" i="8" s="1"/>
  <c r="Y86" i="8" s="1"/>
  <c r="Y74" i="8" a="1"/>
  <c r="Y74" i="8" s="1"/>
  <c r="Y87" i="8" s="1"/>
  <c r="Y70" i="8" a="1"/>
  <c r="Y70" i="8" s="1"/>
  <c r="Y83" i="8" s="1"/>
  <c r="Y68" i="8" a="1"/>
  <c r="Y68" i="8" s="1"/>
  <c r="Y81" i="8" s="1"/>
  <c r="Y72" i="8" a="1"/>
  <c r="Y72" i="8" s="1"/>
  <c r="Y85" i="8" s="1"/>
  <c r="Y65" i="8" a="1"/>
  <c r="Y65" i="8" s="1"/>
  <c r="Y78" i="8" s="1"/>
  <c r="Y71" i="8" a="1"/>
  <c r="Y71" i="8" s="1"/>
  <c r="Y84" i="8" s="1"/>
  <c r="Y66" i="8" a="1"/>
  <c r="Y66" i="8" s="1"/>
  <c r="Y79" i="8" s="1"/>
  <c r="Y67" i="8" a="1"/>
  <c r="Y67" i="8" s="1"/>
  <c r="Y80" i="8" s="1"/>
  <c r="Y69" i="8" a="1"/>
  <c r="Y69" i="8" s="1"/>
  <c r="Y82" i="8" s="1"/>
  <c r="Y75" i="8" a="1"/>
  <c r="Y75" i="8" s="1"/>
  <c r="Y88" i="8" s="1"/>
  <c r="V28" i="1"/>
  <c r="AH69" i="8" a="1"/>
  <c r="AH69" i="8" s="1"/>
  <c r="AH82" i="8" s="1"/>
  <c r="AH72" i="8" a="1"/>
  <c r="AH72" i="8" s="1"/>
  <c r="AH85" i="8" s="1"/>
  <c r="AH75" i="8" a="1"/>
  <c r="AH75" i="8" s="1"/>
  <c r="AH88" i="8" s="1"/>
  <c r="AH67" i="8" a="1"/>
  <c r="AH67" i="8" s="1"/>
  <c r="AH80" i="8" s="1"/>
  <c r="AH70" i="8" a="1"/>
  <c r="AH70" i="8" s="1"/>
  <c r="AH83" i="8" s="1"/>
  <c r="AH73" i="8" a="1"/>
  <c r="AH73" i="8" s="1"/>
  <c r="AH86" i="8" s="1"/>
  <c r="AH65" i="8" a="1"/>
  <c r="AH65" i="8" s="1"/>
  <c r="AH78" i="8" s="1"/>
  <c r="AH68" i="8" a="1"/>
  <c r="AH68" i="8" s="1"/>
  <c r="AH81" i="8" s="1"/>
  <c r="AH71" i="8" a="1"/>
  <c r="AH71" i="8" s="1"/>
  <c r="AH84" i="8" s="1"/>
  <c r="AH74" i="8" a="1"/>
  <c r="AH74" i="8" s="1"/>
  <c r="AH87" i="8" s="1"/>
  <c r="AH66" i="8" a="1"/>
  <c r="AH66" i="8" s="1"/>
  <c r="AH79" i="8" s="1"/>
  <c r="AD29" i="6"/>
  <c r="V28" i="6"/>
  <c r="Z29" i="6"/>
  <c r="AF29" i="6"/>
  <c r="X28" i="6"/>
  <c r="AB28" i="6"/>
  <c r="W28" i="6"/>
  <c r="X29" i="6"/>
  <c r="Z28" i="6"/>
  <c r="AC28" i="6"/>
  <c r="Y28" i="6"/>
  <c r="AA29" i="6"/>
  <c r="W29" i="6"/>
  <c r="AA28" i="6"/>
  <c r="AF28" i="6"/>
  <c r="AH28" i="6"/>
  <c r="AH29" i="6"/>
  <c r="AC29" i="6"/>
  <c r="AE28" i="6"/>
  <c r="V29" i="6"/>
  <c r="AG29" i="6"/>
  <c r="AE29" i="6"/>
  <c r="AG28" i="6"/>
  <c r="Y29" i="6"/>
  <c r="AD28" i="6"/>
  <c r="AB29" i="6"/>
  <c r="DV4" i="5"/>
  <c r="AB58" i="5" a="1"/>
  <c r="AB58" i="5" s="1"/>
  <c r="AB68" i="5" s="1"/>
  <c r="AB56" i="5" a="1"/>
  <c r="AB56" i="5" s="1"/>
  <c r="AB66" i="5" s="1"/>
  <c r="AB60" i="5" a="1"/>
  <c r="AB60" i="5" s="1"/>
  <c r="AB70" i="5" s="1"/>
  <c r="AB57" i="5" a="1"/>
  <c r="AB57" i="5" s="1"/>
  <c r="AB67" i="5" s="1"/>
  <c r="AB54" i="5" a="1"/>
  <c r="AB54" i="5" s="1"/>
  <c r="AB64" i="5" s="1"/>
  <c r="AB59" i="5" a="1"/>
  <c r="AB59" i="5" s="1"/>
  <c r="AB69" i="5" s="1"/>
  <c r="AB55" i="5" a="1"/>
  <c r="AB55" i="5" s="1"/>
  <c r="AB65" i="5" s="1"/>
  <c r="AB61" i="5" a="1"/>
  <c r="AB61" i="5" s="1"/>
  <c r="AB71" i="5" s="1"/>
  <c r="DZ4" i="5"/>
  <c r="AF55" i="5" a="1"/>
  <c r="AF55" i="5" s="1"/>
  <c r="AF65" i="5" s="1"/>
  <c r="AF56" i="5" a="1"/>
  <c r="AF56" i="5" s="1"/>
  <c r="AF66" i="5" s="1"/>
  <c r="AF59" i="5" a="1"/>
  <c r="AF59" i="5" s="1"/>
  <c r="AF69" i="5" s="1"/>
  <c r="AF57" i="5" a="1"/>
  <c r="AF57" i="5" s="1"/>
  <c r="AF67" i="5" s="1"/>
  <c r="AF60" i="5" a="1"/>
  <c r="AF60" i="5" s="1"/>
  <c r="AF70" i="5" s="1"/>
  <c r="AF61" i="5" a="1"/>
  <c r="AF61" i="5" s="1"/>
  <c r="AF71" i="5" s="1"/>
  <c r="AF58" i="5" a="1"/>
  <c r="AF58" i="5" s="1"/>
  <c r="AF68" i="5" s="1"/>
  <c r="AF54" i="5" a="1"/>
  <c r="AF54" i="5" s="1"/>
  <c r="AF64" i="5" s="1"/>
  <c r="DX4" i="5"/>
  <c r="AD60" i="5" a="1"/>
  <c r="AD60" i="5" s="1"/>
  <c r="AD70" i="5" s="1"/>
  <c r="AD56" i="5" a="1"/>
  <c r="AD56" i="5" s="1"/>
  <c r="AD66" i="5" s="1"/>
  <c r="AD59" i="5" a="1"/>
  <c r="AD59" i="5" s="1"/>
  <c r="AD69" i="5" s="1"/>
  <c r="AD61" i="5" a="1"/>
  <c r="AD61" i="5" s="1"/>
  <c r="AD71" i="5" s="1"/>
  <c r="AD54" i="5" a="1"/>
  <c r="AD54" i="5" s="1"/>
  <c r="AD64" i="5" s="1"/>
  <c r="AD55" i="5" a="1"/>
  <c r="AD55" i="5" s="1"/>
  <c r="AD65" i="5" s="1"/>
  <c r="AD58" i="5" a="1"/>
  <c r="AD58" i="5" s="1"/>
  <c r="AD68" i="5" s="1"/>
  <c r="AD57" i="5" a="1"/>
  <c r="AD57" i="5" s="1"/>
  <c r="AD67" i="5" s="1"/>
  <c r="EB4" i="5"/>
  <c r="AH54" i="5" a="1"/>
  <c r="AH54" i="5" s="1"/>
  <c r="AH64" i="5" s="1"/>
  <c r="AH58" i="5" a="1"/>
  <c r="AH58" i="5" s="1"/>
  <c r="AH68" i="5" s="1"/>
  <c r="AH60" i="5" a="1"/>
  <c r="AH60" i="5" s="1"/>
  <c r="AH70" i="5" s="1"/>
  <c r="AH57" i="5" a="1"/>
  <c r="AH57" i="5" s="1"/>
  <c r="AH67" i="5" s="1"/>
  <c r="AH59" i="5" a="1"/>
  <c r="AH59" i="5" s="1"/>
  <c r="AH69" i="5" s="1"/>
  <c r="AH55" i="5" a="1"/>
  <c r="AH55" i="5" s="1"/>
  <c r="AH65" i="5" s="1"/>
  <c r="AH56" i="5" a="1"/>
  <c r="AH56" i="5" s="1"/>
  <c r="AH66" i="5" s="1"/>
  <c r="AH61" i="5" a="1"/>
  <c r="AH61" i="5" s="1"/>
  <c r="AH71" i="5" s="1"/>
  <c r="DT4" i="5"/>
  <c r="Z58" i="5" a="1"/>
  <c r="Z58" i="5" s="1"/>
  <c r="Z68" i="5" s="1"/>
  <c r="Z54" i="5" a="1"/>
  <c r="Z54" i="5" s="1"/>
  <c r="Z64" i="5" s="1"/>
  <c r="Z61" i="5" a="1"/>
  <c r="Z61" i="5" s="1"/>
  <c r="Z71" i="5" s="1"/>
  <c r="Z60" i="5" a="1"/>
  <c r="Z60" i="5" s="1"/>
  <c r="Z70" i="5" s="1"/>
  <c r="Z55" i="5" a="1"/>
  <c r="Z55" i="5" s="1"/>
  <c r="Z65" i="5" s="1"/>
  <c r="Z59" i="5" a="1"/>
  <c r="Z59" i="5" s="1"/>
  <c r="Z69" i="5" s="1"/>
  <c r="Z56" i="5" a="1"/>
  <c r="Z56" i="5" s="1"/>
  <c r="Z66" i="5" s="1"/>
  <c r="Z57" i="5" a="1"/>
  <c r="Z57" i="5" s="1"/>
  <c r="Z67" i="5" s="1"/>
  <c r="DW4" i="5"/>
  <c r="AC59" i="5" a="1"/>
  <c r="AC59" i="5" s="1"/>
  <c r="AC69" i="5" s="1"/>
  <c r="AC61" i="5" a="1"/>
  <c r="AC61" i="5" s="1"/>
  <c r="AC71" i="5" s="1"/>
  <c r="AC57" i="5" a="1"/>
  <c r="AC57" i="5" s="1"/>
  <c r="AC67" i="5" s="1"/>
  <c r="AC58" i="5" a="1"/>
  <c r="AC58" i="5" s="1"/>
  <c r="AC68" i="5" s="1"/>
  <c r="AC56" i="5" a="1"/>
  <c r="AC56" i="5" s="1"/>
  <c r="AC66" i="5" s="1"/>
  <c r="AC54" i="5" a="1"/>
  <c r="AC54" i="5" s="1"/>
  <c r="AC64" i="5" s="1"/>
  <c r="AC55" i="5" a="1"/>
  <c r="AC55" i="5" s="1"/>
  <c r="AC65" i="5" s="1"/>
  <c r="AC60" i="5" a="1"/>
  <c r="AC60" i="5" s="1"/>
  <c r="AC70" i="5" s="1"/>
  <c r="DS4" i="5"/>
  <c r="Y57" i="5" a="1"/>
  <c r="Y57" i="5" s="1"/>
  <c r="Y67" i="5" s="1"/>
  <c r="Y56" i="5" a="1"/>
  <c r="Y56" i="5" s="1"/>
  <c r="Y66" i="5" s="1"/>
  <c r="Y58" i="5" a="1"/>
  <c r="Y58" i="5" s="1"/>
  <c r="Y68" i="5" s="1"/>
  <c r="Y54" i="5" a="1"/>
  <c r="Y54" i="5" s="1"/>
  <c r="Y64" i="5" s="1"/>
  <c r="Y61" i="5" a="1"/>
  <c r="Y61" i="5" s="1"/>
  <c r="Y71" i="5" s="1"/>
  <c r="Y60" i="5" a="1"/>
  <c r="Y60" i="5" s="1"/>
  <c r="Y70" i="5" s="1"/>
  <c r="Y55" i="5" a="1"/>
  <c r="Y55" i="5" s="1"/>
  <c r="Y65" i="5" s="1"/>
  <c r="Y59" i="5" a="1"/>
  <c r="Y59" i="5" s="1"/>
  <c r="Y69" i="5" s="1"/>
  <c r="ED4" i="5"/>
  <c r="AJ56" i="5" a="1"/>
  <c r="AJ56" i="5" s="1"/>
  <c r="AJ66" i="5" s="1"/>
  <c r="AJ61" i="5" a="1"/>
  <c r="AJ61" i="5" s="1"/>
  <c r="AJ71" i="5" s="1"/>
  <c r="AJ57" i="5" a="1"/>
  <c r="AJ57" i="5" s="1"/>
  <c r="AJ67" i="5" s="1"/>
  <c r="AJ60" i="5" a="1"/>
  <c r="AJ60" i="5" s="1"/>
  <c r="AJ70" i="5" s="1"/>
  <c r="AJ54" i="5" a="1"/>
  <c r="AJ54" i="5" s="1"/>
  <c r="AJ64" i="5" s="1"/>
  <c r="AJ55" i="5" a="1"/>
  <c r="AJ55" i="5" s="1"/>
  <c r="AJ65" i="5" s="1"/>
  <c r="AJ59" i="5" a="1"/>
  <c r="AJ59" i="5" s="1"/>
  <c r="AJ69" i="5" s="1"/>
  <c r="AJ58" i="5" a="1"/>
  <c r="AJ58" i="5" s="1"/>
  <c r="AJ68" i="5" s="1"/>
  <c r="DY4" i="5"/>
  <c r="AE54" i="5" a="1"/>
  <c r="AE54" i="5" s="1"/>
  <c r="AE64" i="5" s="1"/>
  <c r="AE58" i="5" a="1"/>
  <c r="AE58" i="5" s="1"/>
  <c r="AE68" i="5" s="1"/>
  <c r="AE60" i="5" a="1"/>
  <c r="AE60" i="5" s="1"/>
  <c r="AE70" i="5" s="1"/>
  <c r="AE57" i="5" a="1"/>
  <c r="AE57" i="5" s="1"/>
  <c r="AE67" i="5" s="1"/>
  <c r="AE56" i="5" a="1"/>
  <c r="AE56" i="5" s="1"/>
  <c r="AE66" i="5" s="1"/>
  <c r="AE59" i="5" a="1"/>
  <c r="AE59" i="5" s="1"/>
  <c r="AE69" i="5" s="1"/>
  <c r="AE55" i="5" a="1"/>
  <c r="AE55" i="5" s="1"/>
  <c r="AE65" i="5" s="1"/>
  <c r="AE61" i="5" a="1"/>
  <c r="AE61" i="5" s="1"/>
  <c r="AE71" i="5" s="1"/>
  <c r="DR4" i="5"/>
  <c r="X57" i="5" a="1"/>
  <c r="X57" i="5" s="1"/>
  <c r="X67" i="5" s="1"/>
  <c r="X54" i="5" a="1"/>
  <c r="X54" i="5" s="1"/>
  <c r="X64" i="5" s="1"/>
  <c r="X58" i="5" a="1"/>
  <c r="X58" i="5" s="1"/>
  <c r="X68" i="5" s="1"/>
  <c r="X56" i="5" a="1"/>
  <c r="X56" i="5" s="1"/>
  <c r="X66" i="5" s="1"/>
  <c r="X61" i="5" a="1"/>
  <c r="X61" i="5" s="1"/>
  <c r="X71" i="5" s="1"/>
  <c r="X60" i="5" a="1"/>
  <c r="X60" i="5" s="1"/>
  <c r="X70" i="5" s="1"/>
  <c r="X55" i="5" a="1"/>
  <c r="X55" i="5" s="1"/>
  <c r="X65" i="5" s="1"/>
  <c r="X59" i="5" a="1"/>
  <c r="X59" i="5" s="1"/>
  <c r="X69" i="5" s="1"/>
  <c r="EC4" i="5"/>
  <c r="AI59" i="5" a="1"/>
  <c r="AI59" i="5" s="1"/>
  <c r="AI69" i="5" s="1"/>
  <c r="AI58" i="5" a="1"/>
  <c r="AI58" i="5" s="1"/>
  <c r="AI68" i="5" s="1"/>
  <c r="AI56" i="5" a="1"/>
  <c r="AI56" i="5" s="1"/>
  <c r="AI66" i="5" s="1"/>
  <c r="AI60" i="5" a="1"/>
  <c r="AI60" i="5" s="1"/>
  <c r="AI70" i="5" s="1"/>
  <c r="AI57" i="5" a="1"/>
  <c r="AI57" i="5" s="1"/>
  <c r="AI67" i="5" s="1"/>
  <c r="AI61" i="5" a="1"/>
  <c r="AI61" i="5" s="1"/>
  <c r="AI71" i="5" s="1"/>
  <c r="AI54" i="5" a="1"/>
  <c r="AI54" i="5" s="1"/>
  <c r="AI64" i="5" s="1"/>
  <c r="AI55" i="5" a="1"/>
  <c r="AI55" i="5" s="1"/>
  <c r="AI65" i="5" s="1"/>
  <c r="EA4" i="5"/>
  <c r="AG58" i="5" a="1"/>
  <c r="AG58" i="5" s="1"/>
  <c r="AG68" i="5" s="1"/>
  <c r="AG57" i="5" a="1"/>
  <c r="AG57" i="5" s="1"/>
  <c r="AG67" i="5" s="1"/>
  <c r="AG56" i="5" a="1"/>
  <c r="AG56" i="5" s="1"/>
  <c r="AG66" i="5" s="1"/>
  <c r="AG59" i="5" a="1"/>
  <c r="AG59" i="5" s="1"/>
  <c r="AG69" i="5" s="1"/>
  <c r="AG55" i="5" a="1"/>
  <c r="AG55" i="5" s="1"/>
  <c r="AG65" i="5" s="1"/>
  <c r="AG61" i="5" a="1"/>
  <c r="AG61" i="5" s="1"/>
  <c r="AG71" i="5" s="1"/>
  <c r="AG60" i="5" a="1"/>
  <c r="AG60" i="5" s="1"/>
  <c r="AG70" i="5" s="1"/>
  <c r="AG54" i="5" a="1"/>
  <c r="AG54" i="5" s="1"/>
  <c r="AG64" i="5" s="1"/>
  <c r="DU4" i="5"/>
  <c r="AA59" i="5" a="1"/>
  <c r="AA59" i="5" s="1"/>
  <c r="AA69" i="5" s="1"/>
  <c r="AA58" i="5" a="1"/>
  <c r="AA58" i="5" s="1"/>
  <c r="AA68" i="5" s="1"/>
  <c r="AA55" i="5" a="1"/>
  <c r="AA55" i="5" s="1"/>
  <c r="AA65" i="5" s="1"/>
  <c r="AA60" i="5" a="1"/>
  <c r="AA60" i="5" s="1"/>
  <c r="AA70" i="5" s="1"/>
  <c r="AA56" i="5" a="1"/>
  <c r="AA56" i="5" s="1"/>
  <c r="AA66" i="5" s="1"/>
  <c r="AA54" i="5" a="1"/>
  <c r="AA54" i="5" s="1"/>
  <c r="AA64" i="5" s="1"/>
  <c r="AA57" i="5" a="1"/>
  <c r="AA57" i="5" s="1"/>
  <c r="AA67" i="5" s="1"/>
  <c r="AA61" i="5" a="1"/>
  <c r="AA61" i="5" s="1"/>
  <c r="AA71" i="5" s="1"/>
  <c r="DN18" i="5"/>
  <c r="DM35" i="5"/>
  <c r="DF44" i="5"/>
  <c r="DJ42" i="5"/>
  <c r="DI10" i="5"/>
  <c r="DD50" i="5"/>
  <c r="DM16" i="5"/>
  <c r="DI7" i="5"/>
  <c r="DM5" i="5"/>
  <c r="DB35" i="5"/>
  <c r="DG7" i="5"/>
  <c r="DA25" i="5"/>
  <c r="DK12" i="5"/>
  <c r="DE33" i="5"/>
  <c r="DA39" i="5"/>
  <c r="DJ9" i="5"/>
  <c r="DG32" i="5"/>
  <c r="DI25" i="5"/>
  <c r="DF9" i="5"/>
  <c r="DF30" i="5"/>
  <c r="DJ45" i="5"/>
  <c r="DE21" i="5"/>
  <c r="DN14" i="5"/>
  <c r="DH15" i="5"/>
  <c r="DO37" i="5"/>
  <c r="DL32" i="5"/>
  <c r="DC47" i="5"/>
  <c r="DL16" i="5"/>
  <c r="DL26" i="5"/>
  <c r="DN36" i="5"/>
  <c r="DL5" i="5"/>
  <c r="DJ20" i="5"/>
  <c r="DG10" i="5"/>
  <c r="DD7" i="5"/>
  <c r="DK32" i="5"/>
  <c r="DL33" i="5"/>
  <c r="DE41" i="5"/>
  <c r="DK38" i="5"/>
  <c r="DD44" i="5"/>
  <c r="DC43" i="5"/>
  <c r="DD12" i="5"/>
  <c r="DI44" i="5"/>
  <c r="DM44" i="5"/>
  <c r="DE12" i="5"/>
  <c r="DG22" i="5"/>
  <c r="DA45" i="5"/>
  <c r="DG28" i="5"/>
  <c r="DI37" i="5"/>
  <c r="DO20" i="5"/>
  <c r="DA10" i="5"/>
  <c r="DB45" i="5"/>
  <c r="V58" i="5" a="1"/>
  <c r="V58" i="5" s="1"/>
  <c r="V68" i="5" s="1"/>
  <c r="V55" i="5" a="1"/>
  <c r="V55" i="5" s="1"/>
  <c r="V65" i="5" s="1"/>
  <c r="V59" i="5" a="1"/>
  <c r="V59" i="5" s="1"/>
  <c r="V69" i="5" s="1"/>
  <c r="V56" i="5" a="1"/>
  <c r="V56" i="5" s="1"/>
  <c r="V66" i="5" s="1"/>
  <c r="V57" i="5" a="1"/>
  <c r="V57" i="5" s="1"/>
  <c r="V67" i="5" s="1"/>
  <c r="V60" i="5" a="1"/>
  <c r="V60" i="5" s="1"/>
  <c r="V70" i="5" s="1"/>
  <c r="V61" i="5" a="1"/>
  <c r="V61" i="5" s="1"/>
  <c r="V71" i="5" s="1"/>
  <c r="V54" i="5" a="1"/>
  <c r="V54" i="5" s="1"/>
  <c r="V64" i="5" s="1"/>
  <c r="W54" i="5" a="1"/>
  <c r="W54" i="5" s="1"/>
  <c r="W64" i="5" s="1"/>
  <c r="W58" i="5" a="1"/>
  <c r="W58" i="5" s="1"/>
  <c r="W68" i="5" s="1"/>
  <c r="W61" i="5" a="1"/>
  <c r="W61" i="5" s="1"/>
  <c r="W71" i="5" s="1"/>
  <c r="W55" i="5" a="1"/>
  <c r="W55" i="5" s="1"/>
  <c r="W65" i="5" s="1"/>
  <c r="W59" i="5" a="1"/>
  <c r="W59" i="5" s="1"/>
  <c r="W69" i="5" s="1"/>
  <c r="W56" i="5" a="1"/>
  <c r="W56" i="5" s="1"/>
  <c r="W66" i="5" s="1"/>
  <c r="W60" i="5" a="1"/>
  <c r="W60" i="5" s="1"/>
  <c r="W70" i="5" s="1"/>
  <c r="W57" i="5" a="1"/>
  <c r="W57" i="5" s="1"/>
  <c r="W67" i="5" s="1"/>
  <c r="DG33" i="5"/>
  <c r="DO5" i="5"/>
  <c r="DH18" i="5"/>
  <c r="DC18" i="5"/>
  <c r="DM28" i="5"/>
  <c r="DB39" i="5"/>
  <c r="DC34" i="5"/>
  <c r="DI6" i="5"/>
  <c r="DB5" i="5"/>
  <c r="DI28" i="5"/>
  <c r="DC46" i="5"/>
  <c r="DH16" i="5"/>
  <c r="DD11" i="5"/>
  <c r="DA29" i="5"/>
  <c r="DJ17" i="5"/>
  <c r="DJ39" i="5"/>
  <c r="DF20" i="5"/>
  <c r="DK18" i="5"/>
  <c r="DH35" i="5"/>
  <c r="DF48" i="5"/>
  <c r="DC49" i="5"/>
  <c r="DG49" i="5"/>
  <c r="DA49" i="5"/>
  <c r="DI49" i="5"/>
  <c r="DK48" i="5"/>
  <c r="DO13" i="5"/>
  <c r="DL12" i="5"/>
  <c r="DI22" i="5"/>
  <c r="DE5" i="5"/>
  <c r="DD40" i="5"/>
  <c r="DC12" i="5"/>
  <c r="DE44" i="5"/>
  <c r="DO42" i="5"/>
  <c r="DI18" i="5"/>
  <c r="DN11" i="5"/>
  <c r="DB50" i="5"/>
  <c r="DH29" i="5"/>
  <c r="DJ6" i="5"/>
  <c r="DK22" i="5"/>
  <c r="DD23" i="5"/>
  <c r="DA15" i="5"/>
  <c r="DD37" i="5"/>
  <c r="DE42" i="5"/>
  <c r="DN30" i="5"/>
  <c r="DK13" i="5"/>
  <c r="DG50" i="5"/>
  <c r="DL23" i="5"/>
  <c r="DC15" i="5"/>
  <c r="DI16" i="5"/>
  <c r="DI50" i="5"/>
  <c r="DN35" i="5"/>
  <c r="DJ16" i="5"/>
  <c r="DB44" i="5"/>
  <c r="DC32" i="5"/>
  <c r="DK28" i="5"/>
  <c r="DF50" i="5"/>
  <c r="DK37" i="5"/>
  <c r="DM48" i="5"/>
  <c r="DB20" i="5"/>
  <c r="DH10" i="5"/>
  <c r="DI11" i="5"/>
  <c r="DC40" i="5"/>
  <c r="DE15" i="5"/>
  <c r="DL38" i="5"/>
  <c r="DO22" i="5"/>
  <c r="DN45" i="5"/>
  <c r="DO38" i="5"/>
  <c r="DJ50" i="5"/>
  <c r="DG34" i="5"/>
  <c r="DF8" i="5"/>
  <c r="DN40" i="5"/>
  <c r="DG26" i="5"/>
  <c r="DG37" i="5"/>
  <c r="DM39" i="5"/>
  <c r="DH7" i="5"/>
  <c r="DD10" i="5"/>
  <c r="DA48" i="5"/>
  <c r="DC35" i="5"/>
  <c r="DC31" i="5"/>
  <c r="DN28" i="5"/>
  <c r="DK43" i="5"/>
  <c r="DJ27" i="5"/>
  <c r="DM43" i="5"/>
  <c r="DN5" i="5"/>
  <c r="DM15" i="5"/>
  <c r="DD27" i="5"/>
  <c r="DJ37" i="5"/>
  <c r="DC42" i="5"/>
  <c r="DG24" i="5"/>
  <c r="DF18" i="5"/>
  <c r="DD4" i="5"/>
  <c r="DM36" i="5"/>
  <c r="DD16" i="5"/>
  <c r="DF25" i="5"/>
  <c r="DL22" i="5"/>
  <c r="DC45" i="5"/>
  <c r="DL8" i="5"/>
  <c r="DA34" i="5"/>
  <c r="DN13" i="5"/>
  <c r="DB43" i="5"/>
  <c r="DC21" i="5"/>
  <c r="DF22" i="5"/>
  <c r="DL24" i="5"/>
  <c r="DM47" i="5"/>
  <c r="DM42" i="5"/>
  <c r="DL45" i="5"/>
  <c r="DC33" i="5"/>
  <c r="DE36" i="5"/>
  <c r="DN37" i="5"/>
  <c r="DC27" i="5"/>
  <c r="DJ5" i="5"/>
  <c r="DH11" i="5"/>
  <c r="DF13" i="5"/>
  <c r="DN48" i="5"/>
  <c r="DB34" i="5"/>
  <c r="DH22" i="5"/>
  <c r="DM20" i="5"/>
  <c r="DD38" i="5"/>
  <c r="DA46" i="5"/>
  <c r="DA37" i="5"/>
  <c r="DN17" i="5"/>
  <c r="DK47" i="5"/>
  <c r="DK29" i="5"/>
  <c r="DN31" i="5"/>
  <c r="DN29" i="5"/>
  <c r="DD42" i="5"/>
  <c r="DM45" i="5"/>
  <c r="DJ8" i="5"/>
  <c r="DE14" i="5"/>
  <c r="DF35" i="5"/>
  <c r="DO32" i="5"/>
  <c r="DG41" i="5"/>
  <c r="DO19" i="5"/>
  <c r="DI46" i="5"/>
  <c r="DN47" i="5"/>
  <c r="DB22" i="5"/>
  <c r="DL34" i="5"/>
  <c r="DM13" i="5"/>
  <c r="DM40" i="5"/>
  <c r="DC14" i="5"/>
  <c r="DE45" i="5"/>
  <c r="DO23" i="5"/>
  <c r="DN26" i="5"/>
  <c r="DC16" i="5"/>
  <c r="DN42" i="5"/>
  <c r="DB9" i="5"/>
  <c r="DH48" i="5"/>
  <c r="DD29" i="5"/>
  <c r="DA33" i="5"/>
  <c r="DK4" i="5"/>
  <c r="DN25" i="5"/>
  <c r="DO43" i="5"/>
  <c r="DJ32" i="5"/>
  <c r="DE40" i="5"/>
  <c r="DF17" i="5"/>
  <c r="DO47" i="5"/>
  <c r="DG42" i="5"/>
  <c r="DL44" i="5"/>
  <c r="DO30" i="5"/>
  <c r="DL13" i="5"/>
  <c r="DI48" i="5"/>
  <c r="DA30" i="5"/>
  <c r="DN32" i="5"/>
  <c r="DC13" i="5"/>
  <c r="DI43" i="5"/>
  <c r="DK27" i="5"/>
  <c r="DA38" i="5"/>
  <c r="DC17" i="5"/>
  <c r="DD41" i="5"/>
  <c r="DO24" i="5"/>
  <c r="DJ13" i="5"/>
  <c r="DE4" i="5"/>
  <c r="DL20" i="5"/>
  <c r="DF38" i="5"/>
  <c r="DG5" i="5"/>
  <c r="DL46" i="5"/>
  <c r="DL21" i="5"/>
  <c r="DI14" i="5"/>
  <c r="DA11" i="5"/>
  <c r="DN8" i="5"/>
  <c r="DB42" i="5"/>
  <c r="DE24" i="5"/>
  <c r="DL37" i="5"/>
  <c r="DF42" i="5"/>
  <c r="DJ19" i="5"/>
  <c r="DM32" i="5"/>
  <c r="DM6" i="5"/>
  <c r="DI24" i="5"/>
  <c r="DO27" i="5"/>
  <c r="DN9" i="5"/>
  <c r="DI27" i="5"/>
  <c r="DF32" i="5"/>
  <c r="DG36" i="5"/>
  <c r="DA26" i="5"/>
  <c r="DF23" i="5"/>
  <c r="DL10" i="5"/>
  <c r="DA44" i="5"/>
  <c r="DE50" i="5"/>
  <c r="DB31" i="5"/>
  <c r="DG19" i="5"/>
  <c r="DG46" i="5"/>
  <c r="DH20" i="5"/>
  <c r="DI30" i="5"/>
  <c r="DD5" i="5"/>
  <c r="DM18" i="5"/>
  <c r="DD33" i="5"/>
  <c r="DJ31" i="5"/>
  <c r="DG38" i="5"/>
  <c r="DE46" i="5"/>
  <c r="DB26" i="5"/>
  <c r="DL50" i="5"/>
  <c r="DC26" i="5"/>
  <c r="DO36" i="5"/>
  <c r="DG27" i="5"/>
  <c r="DA23" i="5"/>
  <c r="DD34" i="5"/>
  <c r="DJ25" i="5"/>
  <c r="DK33" i="5"/>
  <c r="DH6" i="5"/>
  <c r="DD6" i="5"/>
  <c r="DA36" i="5"/>
  <c r="DG29" i="5"/>
  <c r="DE6" i="5"/>
  <c r="DB36" i="5"/>
  <c r="DG48" i="5"/>
  <c r="DE31" i="5"/>
  <c r="DL48" i="5"/>
  <c r="DI33" i="5"/>
  <c r="DD31" i="5"/>
  <c r="DJ29" i="5"/>
  <c r="DB14" i="5"/>
  <c r="DH12" i="5"/>
  <c r="DK10" i="5"/>
  <c r="DM9" i="5"/>
  <c r="DF4" i="5"/>
  <c r="DO45" i="5"/>
  <c r="DM17" i="5"/>
  <c r="DG39" i="5"/>
  <c r="DM14" i="5"/>
  <c r="DH17" i="5"/>
  <c r="DC44" i="5"/>
  <c r="DO31" i="5"/>
  <c r="DL28" i="5"/>
  <c r="DA28" i="5"/>
  <c r="DO48" i="5"/>
  <c r="DO28" i="5"/>
  <c r="DJ7" i="5"/>
  <c r="DD26" i="5"/>
  <c r="DE16" i="5"/>
  <c r="DN46" i="5"/>
  <c r="DG15" i="5"/>
  <c r="DB28" i="5"/>
  <c r="DH5" i="5"/>
  <c r="DM19" i="5"/>
  <c r="DC28" i="5"/>
  <c r="DL7" i="5"/>
  <c r="DE25" i="5"/>
  <c r="T28" i="1"/>
  <c r="V69" i="8" a="1"/>
  <c r="V69" i="8" s="1"/>
  <c r="V82" i="8" s="1"/>
  <c r="V74" i="8" a="1"/>
  <c r="V74" i="8" s="1"/>
  <c r="V87" i="8" s="1"/>
  <c r="V67" i="8" a="1"/>
  <c r="V67" i="8" s="1"/>
  <c r="V80" i="8" s="1"/>
  <c r="V71" i="8" a="1"/>
  <c r="V71" i="8" s="1"/>
  <c r="V84" i="8" s="1"/>
  <c r="V75" i="8" a="1"/>
  <c r="V75" i="8" s="1"/>
  <c r="V88" i="8" s="1"/>
  <c r="V68" i="8" a="1"/>
  <c r="V68" i="8" s="1"/>
  <c r="V81" i="8" s="1"/>
  <c r="V72" i="8" a="1"/>
  <c r="V72" i="8" s="1"/>
  <c r="V85" i="8" s="1"/>
  <c r="V70" i="8" a="1"/>
  <c r="V70" i="8" s="1"/>
  <c r="V83" i="8" s="1"/>
  <c r="T29" i="1"/>
  <c r="V73" i="8" a="1"/>
  <c r="V73" i="8" s="1"/>
  <c r="V86" i="8" s="1"/>
  <c r="V65" i="8" a="1"/>
  <c r="V65" i="8" s="1"/>
  <c r="V78" i="8" s="1"/>
  <c r="V66" i="8" a="1"/>
  <c r="V66" i="8" s="1"/>
  <c r="V79" i="8" s="1"/>
  <c r="T28" i="6"/>
  <c r="U28" i="1"/>
  <c r="U29" i="6"/>
  <c r="W72" i="8" a="1"/>
  <c r="W72" i="8" s="1"/>
  <c r="W85" i="8" s="1"/>
  <c r="W73" i="8" a="1"/>
  <c r="W73" i="8" s="1"/>
  <c r="W86" i="8" s="1"/>
  <c r="W68" i="8" a="1"/>
  <c r="W68" i="8" s="1"/>
  <c r="W81" i="8" s="1"/>
  <c r="W66" i="8" a="1"/>
  <c r="W66" i="8" s="1"/>
  <c r="W79" i="8" s="1"/>
  <c r="W74" i="8" a="1"/>
  <c r="W74" i="8" s="1"/>
  <c r="W87" i="8" s="1"/>
  <c r="W65" i="8" a="1"/>
  <c r="W65" i="8" s="1"/>
  <c r="W78" i="8" s="1"/>
  <c r="W69" i="8" a="1"/>
  <c r="W69" i="8" s="1"/>
  <c r="W82" i="8" s="1"/>
  <c r="W70" i="8" a="1"/>
  <c r="W70" i="8" s="1"/>
  <c r="W83" i="8" s="1"/>
  <c r="U29" i="1"/>
  <c r="W67" i="8" a="1"/>
  <c r="W67" i="8" s="1"/>
  <c r="W80" i="8" s="1"/>
  <c r="W71" i="8" a="1"/>
  <c r="W71" i="8" s="1"/>
  <c r="W84" i="8" s="1"/>
  <c r="W75" i="8" a="1"/>
  <c r="W75" i="8" s="1"/>
  <c r="W88" i="8" s="1"/>
  <c r="T29" i="6"/>
  <c r="U28" i="6"/>
  <c r="AN20" i="10"/>
  <c r="AO20" i="10" s="1"/>
  <c r="AP20" i="10" s="1"/>
  <c r="AQ20" i="10" s="1"/>
  <c r="AR20" i="10" s="1"/>
  <c r="AS20" i="10" s="1"/>
  <c r="AT20" i="10" s="1"/>
  <c r="AU20" i="10" s="1"/>
  <c r="AV20" i="10" s="1"/>
  <c r="AW20" i="10" s="1"/>
  <c r="AX20" i="10" s="1"/>
  <c r="AY20" i="10" s="1"/>
  <c r="AZ20" i="10" s="1"/>
  <c r="BA20" i="10" s="1"/>
  <c r="BB20" i="10" s="1"/>
  <c r="BC20" i="10" s="1"/>
  <c r="BD20" i="10" s="1"/>
  <c r="BE20" i="10" s="1"/>
  <c r="BF20" i="10" s="1"/>
  <c r="BG20" i="10" s="1"/>
  <c r="BH20" i="10" s="1"/>
  <c r="BI20" i="10" s="1"/>
  <c r="BJ20" i="10" s="1"/>
  <c r="BK20" i="10" s="1"/>
  <c r="BL20" i="10" s="1"/>
  <c r="BM20" i="10" s="1"/>
  <c r="BN20" i="10" s="1"/>
  <c r="BO20" i="10" s="1"/>
  <c r="BP20" i="10" s="1"/>
  <c r="DO10" i="5"/>
  <c r="DO15" i="5"/>
  <c r="DO4" i="5"/>
  <c r="DO11" i="5"/>
  <c r="DO8" i="5"/>
  <c r="DO18" i="5"/>
  <c r="DO12" i="5"/>
  <c r="DO16" i="5"/>
  <c r="DO9" i="5"/>
  <c r="DO25" i="5"/>
  <c r="H27" i="1"/>
  <c r="AN27" i="3"/>
  <c r="AN26" i="3"/>
  <c r="AN28" i="3"/>
  <c r="AN25" i="3"/>
  <c r="I27" i="1"/>
  <c r="AO28" i="3"/>
  <c r="AO27" i="3"/>
  <c r="AO25" i="3"/>
  <c r="AO26" i="3"/>
  <c r="L28" i="6"/>
  <c r="N28" i="6"/>
  <c r="F29" i="6"/>
  <c r="H55" i="5" a="1"/>
  <c r="H55" i="5" s="1"/>
  <c r="H65" i="5" s="1"/>
  <c r="H60" i="5" a="1"/>
  <c r="H60" i="5" s="1"/>
  <c r="H70" i="5" s="1"/>
  <c r="H58" i="5" a="1"/>
  <c r="H58" i="5" s="1"/>
  <c r="H68" i="5" s="1"/>
  <c r="H54" i="5" a="1"/>
  <c r="H54" i="5" s="1"/>
  <c r="H64" i="5" s="1"/>
  <c r="H56" i="5" a="1"/>
  <c r="H56" i="5" s="1"/>
  <c r="H66" i="5" s="1"/>
  <c r="H61" i="5" a="1"/>
  <c r="H61" i="5" s="1"/>
  <c r="H71" i="5" s="1"/>
  <c r="H57" i="5" a="1"/>
  <c r="H57" i="5" s="1"/>
  <c r="H67" i="5" s="1"/>
  <c r="H59" i="5" a="1"/>
  <c r="H59" i="5" s="1"/>
  <c r="H69" i="5" s="1"/>
  <c r="R28" i="6"/>
  <c r="J27" i="1"/>
  <c r="AP26" i="3"/>
  <c r="AP27" i="3"/>
  <c r="AP28" i="3"/>
  <c r="AP25" i="3"/>
  <c r="K27" i="1"/>
  <c r="AQ28" i="3"/>
  <c r="AQ25" i="3"/>
  <c r="AQ26" i="3"/>
  <c r="AQ27" i="3"/>
  <c r="L27" i="1"/>
  <c r="AR25" i="3"/>
  <c r="AR27" i="3"/>
  <c r="AR26" i="3"/>
  <c r="AR28" i="3"/>
  <c r="O29" i="6"/>
  <c r="Q54" i="5" a="1"/>
  <c r="Q54" i="5" s="1"/>
  <c r="Q64" i="5" s="1"/>
  <c r="Q60" i="5" a="1"/>
  <c r="Q60" i="5" s="1"/>
  <c r="Q70" i="5" s="1"/>
  <c r="Q58" i="5" a="1"/>
  <c r="Q58" i="5" s="1"/>
  <c r="Q68" i="5" s="1"/>
  <c r="Q56" i="5" a="1"/>
  <c r="Q56" i="5" s="1"/>
  <c r="Q66" i="5" s="1"/>
  <c r="Q59" i="5" a="1"/>
  <c r="Q59" i="5" s="1"/>
  <c r="Q69" i="5" s="1"/>
  <c r="Q55" i="5" a="1"/>
  <c r="Q55" i="5" s="1"/>
  <c r="Q65" i="5" s="1"/>
  <c r="Q57" i="5" a="1"/>
  <c r="Q57" i="5" s="1"/>
  <c r="Q67" i="5" s="1"/>
  <c r="Q61" i="5" a="1"/>
  <c r="Q61" i="5" s="1"/>
  <c r="Q71" i="5" s="1"/>
  <c r="K57" i="5" a="1"/>
  <c r="K57" i="5" s="1"/>
  <c r="K67" i="5" s="1"/>
  <c r="K55" i="5" a="1"/>
  <c r="K55" i="5" s="1"/>
  <c r="K65" i="5" s="1"/>
  <c r="K59" i="5" a="1"/>
  <c r="K59" i="5" s="1"/>
  <c r="K69" i="5" s="1"/>
  <c r="K61" i="5" a="1"/>
  <c r="K61" i="5" s="1"/>
  <c r="K71" i="5" s="1"/>
  <c r="K60" i="5" a="1"/>
  <c r="K60" i="5" s="1"/>
  <c r="K70" i="5" s="1"/>
  <c r="K56" i="5" a="1"/>
  <c r="K56" i="5" s="1"/>
  <c r="K66" i="5" s="1"/>
  <c r="K58" i="5" a="1"/>
  <c r="K58" i="5" s="1"/>
  <c r="K68" i="5" s="1"/>
  <c r="I29" i="6"/>
  <c r="K54" i="5" a="1"/>
  <c r="K54" i="5" s="1"/>
  <c r="K64" i="5" s="1"/>
  <c r="I57" i="5" a="1"/>
  <c r="I57" i="5" s="1"/>
  <c r="I67" i="5" s="1"/>
  <c r="I55" i="5" a="1"/>
  <c r="I55" i="5" s="1"/>
  <c r="I65" i="5" s="1"/>
  <c r="I59" i="5" a="1"/>
  <c r="I59" i="5" s="1"/>
  <c r="I69" i="5" s="1"/>
  <c r="G29" i="6"/>
  <c r="I58" i="5" a="1"/>
  <c r="I58" i="5" s="1"/>
  <c r="I68" i="5" s="1"/>
  <c r="I60" i="5" a="1"/>
  <c r="I60" i="5" s="1"/>
  <c r="I70" i="5" s="1"/>
  <c r="I56" i="5" a="1"/>
  <c r="I56" i="5" s="1"/>
  <c r="I66" i="5" s="1"/>
  <c r="I54" i="5" a="1"/>
  <c r="I54" i="5" s="1"/>
  <c r="I64" i="5" s="1"/>
  <c r="I61" i="5" a="1"/>
  <c r="I61" i="5" s="1"/>
  <c r="I71" i="5" s="1"/>
  <c r="M27" i="1"/>
  <c r="AS28" i="3"/>
  <c r="AS25" i="3"/>
  <c r="AS26" i="3"/>
  <c r="AS27" i="3"/>
  <c r="G28" i="6"/>
  <c r="I28" i="6"/>
  <c r="S28" i="6"/>
  <c r="N27" i="1"/>
  <c r="AT25" i="3"/>
  <c r="AT28" i="3"/>
  <c r="AT26" i="3"/>
  <c r="AT27" i="3"/>
  <c r="M57" i="5" a="1"/>
  <c r="M57" i="5" s="1"/>
  <c r="M67" i="5" s="1"/>
  <c r="M60" i="5" a="1"/>
  <c r="M60" i="5" s="1"/>
  <c r="M70" i="5" s="1"/>
  <c r="M55" i="5" a="1"/>
  <c r="M55" i="5" s="1"/>
  <c r="M65" i="5" s="1"/>
  <c r="M54" i="5" a="1"/>
  <c r="M54" i="5" s="1"/>
  <c r="M64" i="5" s="1"/>
  <c r="M59" i="5" a="1"/>
  <c r="M59" i="5" s="1"/>
  <c r="M69" i="5" s="1"/>
  <c r="K29" i="6"/>
  <c r="M61" i="5" a="1"/>
  <c r="M61" i="5" s="1"/>
  <c r="M71" i="5" s="1"/>
  <c r="M56" i="5" a="1"/>
  <c r="M56" i="5" s="1"/>
  <c r="M66" i="5" s="1"/>
  <c r="M58" i="5" a="1"/>
  <c r="M58" i="5" s="1"/>
  <c r="M68" i="5" s="1"/>
  <c r="H28" i="6"/>
  <c r="P28" i="6"/>
  <c r="J59" i="5" a="1"/>
  <c r="J59" i="5" s="1"/>
  <c r="J69" i="5" s="1"/>
  <c r="J61" i="5" a="1"/>
  <c r="J61" i="5" s="1"/>
  <c r="J71" i="5" s="1"/>
  <c r="J57" i="5" a="1"/>
  <c r="J57" i="5" s="1"/>
  <c r="J67" i="5" s="1"/>
  <c r="H29" i="6"/>
  <c r="J55" i="5" a="1"/>
  <c r="J55" i="5" s="1"/>
  <c r="J65" i="5" s="1"/>
  <c r="J54" i="5" a="1"/>
  <c r="J54" i="5" s="1"/>
  <c r="J64" i="5" s="1"/>
  <c r="J56" i="5" a="1"/>
  <c r="J56" i="5" s="1"/>
  <c r="J66" i="5" s="1"/>
  <c r="J60" i="5" a="1"/>
  <c r="J60" i="5" s="1"/>
  <c r="J70" i="5" s="1"/>
  <c r="J58" i="5" a="1"/>
  <c r="J58" i="5" s="1"/>
  <c r="J68" i="5" s="1"/>
  <c r="O27" i="1"/>
  <c r="AU28" i="3"/>
  <c r="AU27" i="3"/>
  <c r="AU25" i="3"/>
  <c r="AU26" i="3"/>
  <c r="N60" i="5" a="1"/>
  <c r="N60" i="5" s="1"/>
  <c r="N70" i="5" s="1"/>
  <c r="N61" i="5" a="1"/>
  <c r="N61" i="5" s="1"/>
  <c r="N71" i="5" s="1"/>
  <c r="N57" i="5" a="1"/>
  <c r="N57" i="5" s="1"/>
  <c r="N67" i="5" s="1"/>
  <c r="N59" i="5" a="1"/>
  <c r="N59" i="5" s="1"/>
  <c r="N69" i="5" s="1"/>
  <c r="N56" i="5" a="1"/>
  <c r="N56" i="5" s="1"/>
  <c r="N66" i="5" s="1"/>
  <c r="N58" i="5" a="1"/>
  <c r="N58" i="5" s="1"/>
  <c r="N68" i="5" s="1"/>
  <c r="N55" i="5" a="1"/>
  <c r="N55" i="5" s="1"/>
  <c r="N65" i="5" s="1"/>
  <c r="N54" i="5" a="1"/>
  <c r="N54" i="5" s="1"/>
  <c r="N64" i="5" s="1"/>
  <c r="L29" i="6"/>
  <c r="L61" i="5" a="1"/>
  <c r="L61" i="5" s="1"/>
  <c r="L71" i="5" s="1"/>
  <c r="L57" i="5" a="1"/>
  <c r="L57" i="5" s="1"/>
  <c r="L67" i="5" s="1"/>
  <c r="L55" i="5" a="1"/>
  <c r="L55" i="5" s="1"/>
  <c r="L65" i="5" s="1"/>
  <c r="L59" i="5" a="1"/>
  <c r="L59" i="5" s="1"/>
  <c r="L69" i="5" s="1"/>
  <c r="L60" i="5" a="1"/>
  <c r="L60" i="5" s="1"/>
  <c r="L70" i="5" s="1"/>
  <c r="L54" i="5" a="1"/>
  <c r="L54" i="5" s="1"/>
  <c r="L64" i="5" s="1"/>
  <c r="L56" i="5" a="1"/>
  <c r="L56" i="5" s="1"/>
  <c r="L66" i="5" s="1"/>
  <c r="J29" i="6"/>
  <c r="L58" i="5" a="1"/>
  <c r="L58" i="5" s="1"/>
  <c r="L68" i="5" s="1"/>
  <c r="O57" i="5" a="1"/>
  <c r="O57" i="5" s="1"/>
  <c r="O67" i="5" s="1"/>
  <c r="O60" i="5" a="1"/>
  <c r="O60" i="5" s="1"/>
  <c r="O70" i="5" s="1"/>
  <c r="O56" i="5" a="1"/>
  <c r="O56" i="5" s="1"/>
  <c r="O66" i="5" s="1"/>
  <c r="O54" i="5" a="1"/>
  <c r="O54" i="5" s="1"/>
  <c r="O64" i="5" s="1"/>
  <c r="O59" i="5" a="1"/>
  <c r="O59" i="5" s="1"/>
  <c r="O69" i="5" s="1"/>
  <c r="O55" i="5" a="1"/>
  <c r="O55" i="5" s="1"/>
  <c r="O65" i="5" s="1"/>
  <c r="M29" i="6"/>
  <c r="O61" i="5" a="1"/>
  <c r="O61" i="5" s="1"/>
  <c r="O71" i="5" s="1"/>
  <c r="O58" i="5" a="1"/>
  <c r="O58" i="5" s="1"/>
  <c r="O68" i="5" s="1"/>
  <c r="G61" i="5" a="1"/>
  <c r="G61" i="5" s="1"/>
  <c r="G71" i="5" s="1"/>
  <c r="G55" i="5" a="1"/>
  <c r="G55" i="5" s="1"/>
  <c r="G65" i="5" s="1"/>
  <c r="G60" i="5" a="1"/>
  <c r="G60" i="5" s="1"/>
  <c r="G70" i="5" s="1"/>
  <c r="E29" i="6"/>
  <c r="G56" i="5" a="1"/>
  <c r="G56" i="5" s="1"/>
  <c r="G66" i="5" s="1"/>
  <c r="G59" i="5" a="1"/>
  <c r="G59" i="5" s="1"/>
  <c r="G69" i="5" s="1"/>
  <c r="G57" i="5" a="1"/>
  <c r="G57" i="5" s="1"/>
  <c r="G67" i="5" s="1"/>
  <c r="G58" i="5" a="1"/>
  <c r="G58" i="5" s="1"/>
  <c r="G68" i="5" s="1"/>
  <c r="G54" i="5" a="1"/>
  <c r="G54" i="5" s="1"/>
  <c r="G64" i="5" s="1"/>
  <c r="P27" i="1"/>
  <c r="AV26" i="3"/>
  <c r="AV25" i="3"/>
  <c r="AV28" i="3"/>
  <c r="AV27" i="3"/>
  <c r="F27" i="1"/>
  <c r="AL28" i="3"/>
  <c r="AL27" i="3"/>
  <c r="AL26" i="3"/>
  <c r="AL25" i="3"/>
  <c r="P55" i="5" a="1"/>
  <c r="P55" i="5" s="1"/>
  <c r="P65" i="5" s="1"/>
  <c r="P54" i="5" a="1"/>
  <c r="P54" i="5" s="1"/>
  <c r="P64" i="5" s="1"/>
  <c r="P56" i="5" a="1"/>
  <c r="P56" i="5" s="1"/>
  <c r="P66" i="5" s="1"/>
  <c r="P61" i="5" a="1"/>
  <c r="P61" i="5" s="1"/>
  <c r="P71" i="5" s="1"/>
  <c r="N29" i="6"/>
  <c r="P60" i="5" a="1"/>
  <c r="P60" i="5" s="1"/>
  <c r="P70" i="5" s="1"/>
  <c r="P59" i="5" a="1"/>
  <c r="P59" i="5" s="1"/>
  <c r="P69" i="5" s="1"/>
  <c r="P57" i="5" a="1"/>
  <c r="P57" i="5" s="1"/>
  <c r="P67" i="5" s="1"/>
  <c r="P58" i="5" a="1"/>
  <c r="P58" i="5" s="1"/>
  <c r="P68" i="5" s="1"/>
  <c r="E28" i="6"/>
  <c r="R27" i="1"/>
  <c r="AX27" i="3"/>
  <c r="AX26" i="3"/>
  <c r="AX25" i="3"/>
  <c r="AX28" i="3"/>
  <c r="T59" i="5" a="1"/>
  <c r="T59" i="5" s="1"/>
  <c r="T69" i="5" s="1"/>
  <c r="T55" i="5" a="1"/>
  <c r="T55" i="5" s="1"/>
  <c r="T65" i="5" s="1"/>
  <c r="T57" i="5" a="1"/>
  <c r="T57" i="5" s="1"/>
  <c r="T67" i="5" s="1"/>
  <c r="T58" i="5" a="1"/>
  <c r="T58" i="5" s="1"/>
  <c r="T68" i="5" s="1"/>
  <c r="T61" i="5" a="1"/>
  <c r="T61" i="5" s="1"/>
  <c r="T71" i="5" s="1"/>
  <c r="R29" i="6"/>
  <c r="T60" i="5" a="1"/>
  <c r="T60" i="5" s="1"/>
  <c r="T70" i="5" s="1"/>
  <c r="T56" i="5" a="1"/>
  <c r="T56" i="5" s="1"/>
  <c r="T66" i="5" s="1"/>
  <c r="T54" i="5" a="1"/>
  <c r="T54" i="5" s="1"/>
  <c r="T64" i="5" s="1"/>
  <c r="R57" i="5" a="1"/>
  <c r="R57" i="5" s="1"/>
  <c r="R67" i="5" s="1"/>
  <c r="R59" i="5" a="1"/>
  <c r="R59" i="5" s="1"/>
  <c r="R69" i="5" s="1"/>
  <c r="R55" i="5" a="1"/>
  <c r="R55" i="5" s="1"/>
  <c r="R65" i="5" s="1"/>
  <c r="R58" i="5" a="1"/>
  <c r="R58" i="5" s="1"/>
  <c r="R68" i="5" s="1"/>
  <c r="R56" i="5" a="1"/>
  <c r="R56" i="5" s="1"/>
  <c r="R66" i="5" s="1"/>
  <c r="R61" i="5" a="1"/>
  <c r="R61" i="5" s="1"/>
  <c r="R71" i="5" s="1"/>
  <c r="R60" i="5" a="1"/>
  <c r="R60" i="5" s="1"/>
  <c r="R70" i="5" s="1"/>
  <c r="R54" i="5" a="1"/>
  <c r="R54" i="5" s="1"/>
  <c r="R64" i="5" s="1"/>
  <c r="P29" i="6"/>
  <c r="Q28" i="6"/>
  <c r="K28" i="6"/>
  <c r="Q27" i="1"/>
  <c r="AW26" i="3"/>
  <c r="AW27" i="3"/>
  <c r="AW25" i="3"/>
  <c r="AW28" i="3"/>
  <c r="J28" i="6"/>
  <c r="S59" i="5" a="1"/>
  <c r="S59" i="5" s="1"/>
  <c r="S69" i="5" s="1"/>
  <c r="S61" i="5" a="1"/>
  <c r="S61" i="5" s="1"/>
  <c r="S71" i="5" s="1"/>
  <c r="S55" i="5" a="1"/>
  <c r="S55" i="5" s="1"/>
  <c r="S65" i="5" s="1"/>
  <c r="Q29" i="6"/>
  <c r="S54" i="5" a="1"/>
  <c r="S54" i="5" s="1"/>
  <c r="S64" i="5" s="1"/>
  <c r="S58" i="5" a="1"/>
  <c r="S58" i="5" s="1"/>
  <c r="S68" i="5" s="1"/>
  <c r="S56" i="5" a="1"/>
  <c r="S56" i="5" s="1"/>
  <c r="S66" i="5" s="1"/>
  <c r="S60" i="5" a="1"/>
  <c r="S60" i="5" s="1"/>
  <c r="S70" i="5" s="1"/>
  <c r="S57" i="5" a="1"/>
  <c r="S57" i="5" s="1"/>
  <c r="S67" i="5" s="1"/>
  <c r="S27" i="1"/>
  <c r="AY27" i="3"/>
  <c r="AY26" i="3"/>
  <c r="AY25" i="3"/>
  <c r="AY28" i="3"/>
  <c r="O28" i="6"/>
  <c r="E27" i="1"/>
  <c r="AK25" i="3"/>
  <c r="AK26" i="3"/>
  <c r="AK27" i="3"/>
  <c r="AK28" i="3"/>
  <c r="G27" i="1"/>
  <c r="AM27" i="3"/>
  <c r="AM28" i="3"/>
  <c r="AM25" i="3"/>
  <c r="AM26" i="3"/>
  <c r="U59" i="5" a="1"/>
  <c r="U59" i="5" s="1"/>
  <c r="U69" i="5" s="1"/>
  <c r="U61" i="5" a="1"/>
  <c r="U61" i="5" s="1"/>
  <c r="U71" i="5" s="1"/>
  <c r="S29" i="6"/>
  <c r="U57" i="5" a="1"/>
  <c r="U57" i="5" s="1"/>
  <c r="U67" i="5" s="1"/>
  <c r="U58" i="5" a="1"/>
  <c r="U58" i="5" s="1"/>
  <c r="U68" i="5" s="1"/>
  <c r="U56" i="5" a="1"/>
  <c r="U56" i="5" s="1"/>
  <c r="U66" i="5" s="1"/>
  <c r="U54" i="5" a="1"/>
  <c r="U54" i="5" s="1"/>
  <c r="U64" i="5" s="1"/>
  <c r="U55" i="5" a="1"/>
  <c r="U55" i="5" s="1"/>
  <c r="U65" i="5" s="1"/>
  <c r="U60" i="5" a="1"/>
  <c r="U60" i="5" s="1"/>
  <c r="U70" i="5" s="1"/>
  <c r="M28" i="6"/>
  <c r="F28" i="6"/>
  <c r="BH29" i="10" l="1"/>
  <c r="BA29" i="10"/>
  <c r="AS29" i="10"/>
  <c r="BP29" i="10"/>
  <c r="BI29" i="10"/>
  <c r="BB29" i="10"/>
  <c r="AT29" i="10"/>
  <c r="AZ29" i="10"/>
  <c r="BJ29" i="10"/>
  <c r="AM29" i="10"/>
  <c r="AU29" i="10"/>
  <c r="BC29" i="10"/>
  <c r="BK29" i="10"/>
  <c r="AN29" i="10"/>
  <c r="AV29" i="10"/>
  <c r="BD29" i="10"/>
  <c r="BL29" i="10"/>
  <c r="AO29" i="10"/>
  <c r="AW29" i="10"/>
  <c r="BE29" i="10"/>
  <c r="BM29" i="10"/>
  <c r="AP29" i="10"/>
  <c r="AX29" i="10"/>
  <c r="BF29" i="10"/>
  <c r="BN29" i="10"/>
  <c r="AQ29" i="10"/>
  <c r="AY29" i="10"/>
  <c r="BG29" i="10"/>
  <c r="BO29" i="10"/>
  <c r="AR29" i="10"/>
  <c r="AI29" i="6"/>
  <c r="AI28" i="6"/>
  <c r="J28" i="1"/>
  <c r="H28" i="1"/>
  <c r="H29" i="1"/>
  <c r="M28" i="1"/>
  <c r="O28" i="1"/>
  <c r="L75" i="8" a="1"/>
  <c r="L75" i="8" s="1"/>
  <c r="L88" i="8" s="1"/>
  <c r="L28" i="1"/>
  <c r="N28" i="1"/>
  <c r="P67" i="8" a="1"/>
  <c r="P67" i="8" s="1"/>
  <c r="P80" i="8" s="1"/>
  <c r="M71" i="8" a="1"/>
  <c r="M71" i="8" s="1"/>
  <c r="M84" i="8" s="1"/>
  <c r="Q72" i="8" a="1"/>
  <c r="Q72" i="8" s="1"/>
  <c r="Q85" i="8" s="1"/>
  <c r="Q69" i="8" a="1"/>
  <c r="Q69" i="8" s="1"/>
  <c r="Q82" i="8" s="1"/>
  <c r="P70" i="8" a="1"/>
  <c r="P70" i="8" s="1"/>
  <c r="P83" i="8" s="1"/>
  <c r="L70" i="8" a="1"/>
  <c r="L70" i="8" s="1"/>
  <c r="L83" i="8" s="1"/>
  <c r="J29" i="1"/>
  <c r="L65" i="8" a="1"/>
  <c r="L65" i="8" s="1"/>
  <c r="L78" i="8" s="1"/>
  <c r="Q70" i="8" a="1"/>
  <c r="Q70" i="8" s="1"/>
  <c r="Q83" i="8" s="1"/>
  <c r="P74" i="8" a="1"/>
  <c r="P74" i="8" s="1"/>
  <c r="P87" i="8" s="1"/>
  <c r="Q66" i="8" a="1"/>
  <c r="Q66" i="8" s="1"/>
  <c r="Q79" i="8" s="1"/>
  <c r="P71" i="8" a="1"/>
  <c r="P71" i="8" s="1"/>
  <c r="P84" i="8" s="1"/>
  <c r="P73" i="8" a="1"/>
  <c r="P73" i="8" s="1"/>
  <c r="P86" i="8" s="1"/>
  <c r="L69" i="8" a="1"/>
  <c r="L69" i="8" s="1"/>
  <c r="L82" i="8" s="1"/>
  <c r="Q71" i="8" a="1"/>
  <c r="Q71" i="8" s="1"/>
  <c r="Q84" i="8" s="1"/>
  <c r="L68" i="8" a="1"/>
  <c r="L68" i="8" s="1"/>
  <c r="L81" i="8" s="1"/>
  <c r="P75" i="8" a="1"/>
  <c r="P75" i="8" s="1"/>
  <c r="P88" i="8" s="1"/>
  <c r="Q67" i="8" a="1"/>
  <c r="Q67" i="8" s="1"/>
  <c r="Q80" i="8" s="1"/>
  <c r="L73" i="8" a="1"/>
  <c r="L73" i="8" s="1"/>
  <c r="L86" i="8" s="1"/>
  <c r="P69" i="8" a="1"/>
  <c r="P69" i="8" s="1"/>
  <c r="P82" i="8" s="1"/>
  <c r="L71" i="8" a="1"/>
  <c r="L71" i="8" s="1"/>
  <c r="L84" i="8" s="1"/>
  <c r="P66" i="8" a="1"/>
  <c r="P66" i="8" s="1"/>
  <c r="P79" i="8" s="1"/>
  <c r="N29" i="1"/>
  <c r="P65" i="8" a="1"/>
  <c r="P65" i="8" s="1"/>
  <c r="P78" i="8" s="1"/>
  <c r="Q73" i="8" a="1"/>
  <c r="Q73" i="8" s="1"/>
  <c r="Q86" i="8" s="1"/>
  <c r="L74" i="8" a="1"/>
  <c r="L74" i="8" s="1"/>
  <c r="L87" i="8" s="1"/>
  <c r="L66" i="8" a="1"/>
  <c r="L66" i="8" s="1"/>
  <c r="L79" i="8" s="1"/>
  <c r="P68" i="8" a="1"/>
  <c r="P68" i="8" s="1"/>
  <c r="P81" i="8" s="1"/>
  <c r="L67" i="8" a="1"/>
  <c r="L67" i="8" s="1"/>
  <c r="L80" i="8" s="1"/>
  <c r="O29" i="1"/>
  <c r="L72" i="8" a="1"/>
  <c r="L72" i="8" s="1"/>
  <c r="L85" i="8" s="1"/>
  <c r="K28" i="1"/>
  <c r="Q74" i="8" a="1"/>
  <c r="Q74" i="8" s="1"/>
  <c r="Q87" i="8" s="1"/>
  <c r="P72" i="8" a="1"/>
  <c r="P72" i="8" s="1"/>
  <c r="P85" i="8" s="1"/>
  <c r="I28" i="1"/>
  <c r="S28" i="1"/>
  <c r="E28" i="1"/>
  <c r="Q75" i="8" a="1"/>
  <c r="Q75" i="8" s="1"/>
  <c r="Q88" i="8" s="1"/>
  <c r="R28" i="1"/>
  <c r="Q65" i="8" a="1"/>
  <c r="Q65" i="8" s="1"/>
  <c r="Q78" i="8" s="1"/>
  <c r="I29" i="1"/>
  <c r="Q68" i="8" a="1"/>
  <c r="Q68" i="8" s="1"/>
  <c r="Q81" i="8" s="1"/>
  <c r="P29" i="1"/>
  <c r="K69" i="8" a="1"/>
  <c r="K69" i="8" s="1"/>
  <c r="K82" i="8" s="1"/>
  <c r="N70" i="8" a="1"/>
  <c r="N70" i="8" s="1"/>
  <c r="N83" i="8" s="1"/>
  <c r="Q28" i="1"/>
  <c r="N75" i="8" a="1"/>
  <c r="N75" i="8" s="1"/>
  <c r="N88" i="8" s="1"/>
  <c r="K74" i="8" a="1"/>
  <c r="K74" i="8" s="1"/>
  <c r="K87" i="8" s="1"/>
  <c r="N69" i="8" a="1"/>
  <c r="N69" i="8" s="1"/>
  <c r="N82" i="8" s="1"/>
  <c r="K70" i="8" a="1"/>
  <c r="K70" i="8" s="1"/>
  <c r="K83" i="8" s="1"/>
  <c r="K68" i="8" a="1"/>
  <c r="K68" i="8" s="1"/>
  <c r="K81" i="8" s="1"/>
  <c r="L29" i="1"/>
  <c r="K73" i="8" a="1"/>
  <c r="K73" i="8" s="1"/>
  <c r="K86" i="8" s="1"/>
  <c r="Q29" i="1"/>
  <c r="K67" i="8" a="1"/>
  <c r="K67" i="8" s="1"/>
  <c r="K80" i="8" s="1"/>
  <c r="N65" i="8" a="1"/>
  <c r="N65" i="8" s="1"/>
  <c r="N78" i="8" s="1"/>
  <c r="K66" i="8" a="1"/>
  <c r="K66" i="8" s="1"/>
  <c r="K79" i="8" s="1"/>
  <c r="N74" i="8" a="1"/>
  <c r="N74" i="8" s="1"/>
  <c r="N87" i="8" s="1"/>
  <c r="T70" i="8" a="1"/>
  <c r="T70" i="8" s="1"/>
  <c r="T83" i="8" s="1"/>
  <c r="K72" i="8" a="1"/>
  <c r="K72" i="8" s="1"/>
  <c r="K85" i="8" s="1"/>
  <c r="N68" i="8" a="1"/>
  <c r="N68" i="8" s="1"/>
  <c r="N81" i="8" s="1"/>
  <c r="N67" i="8" a="1"/>
  <c r="N67" i="8" s="1"/>
  <c r="N80" i="8" s="1"/>
  <c r="N73" i="8" a="1"/>
  <c r="N73" i="8" s="1"/>
  <c r="N86" i="8" s="1"/>
  <c r="N71" i="8" a="1"/>
  <c r="N71" i="8" s="1"/>
  <c r="N84" i="8" s="1"/>
  <c r="F28" i="1"/>
  <c r="P28" i="1"/>
  <c r="K65" i="8" a="1"/>
  <c r="K65" i="8" s="1"/>
  <c r="K78" i="8" s="1"/>
  <c r="N66" i="8" a="1"/>
  <c r="N66" i="8" s="1"/>
  <c r="N79" i="8" s="1"/>
  <c r="K75" i="8" a="1"/>
  <c r="K75" i="8" s="1"/>
  <c r="K88" i="8" s="1"/>
  <c r="N72" i="8" a="1"/>
  <c r="N72" i="8" s="1"/>
  <c r="N85" i="8" s="1"/>
  <c r="K71" i="8" a="1"/>
  <c r="K71" i="8" s="1"/>
  <c r="K84" i="8" s="1"/>
  <c r="T66" i="8" a="1"/>
  <c r="T66" i="8" s="1"/>
  <c r="T79" i="8" s="1"/>
  <c r="T71" i="8" a="1"/>
  <c r="T71" i="8" s="1"/>
  <c r="T84" i="8" s="1"/>
  <c r="R70" i="8" a="1"/>
  <c r="R70" i="8" s="1"/>
  <c r="R83" i="8" s="1"/>
  <c r="G29" i="1"/>
  <c r="G28" i="1"/>
  <c r="T65" i="8" a="1"/>
  <c r="T65" i="8" s="1"/>
  <c r="T78" i="8" s="1"/>
  <c r="S73" i="8" a="1"/>
  <c r="S73" i="8" s="1"/>
  <c r="S86" i="8" s="1"/>
  <c r="G73" i="8" a="1"/>
  <c r="G73" i="8" s="1"/>
  <c r="G86" i="8" s="1"/>
  <c r="R29" i="1"/>
  <c r="F29" i="1"/>
  <c r="H66" i="8" a="1"/>
  <c r="H66" i="8" s="1"/>
  <c r="H79" i="8" s="1"/>
  <c r="T74" i="8" a="1"/>
  <c r="T74" i="8" s="1"/>
  <c r="T87" i="8" s="1"/>
  <c r="T69" i="8" a="1"/>
  <c r="T69" i="8" s="1"/>
  <c r="T82" i="8" s="1"/>
  <c r="O65" i="8" a="1"/>
  <c r="O65" i="8" s="1"/>
  <c r="O78" i="8" s="1"/>
  <c r="M65" i="8" a="1"/>
  <c r="M65" i="8" s="1"/>
  <c r="M78" i="8" s="1"/>
  <c r="S74" i="8" a="1"/>
  <c r="S74" i="8" s="1"/>
  <c r="S87" i="8" s="1"/>
  <c r="H71" i="8" a="1"/>
  <c r="H71" i="8" s="1"/>
  <c r="H84" i="8" s="1"/>
  <c r="I65" i="8" a="1"/>
  <c r="I65" i="8" s="1"/>
  <c r="I78" i="8" s="1"/>
  <c r="R66" i="8" a="1"/>
  <c r="R66" i="8" s="1"/>
  <c r="R79" i="8" s="1"/>
  <c r="G75" i="8" a="1"/>
  <c r="G75" i="8" s="1"/>
  <c r="G88" i="8" s="1"/>
  <c r="J68" i="8" a="1"/>
  <c r="J68" i="8" s="1"/>
  <c r="J81" i="8" s="1"/>
  <c r="M69" i="8" a="1"/>
  <c r="M69" i="8" s="1"/>
  <c r="M82" i="8" s="1"/>
  <c r="S68" i="8" a="1"/>
  <c r="S68" i="8" s="1"/>
  <c r="S81" i="8" s="1"/>
  <c r="H65" i="8" a="1"/>
  <c r="H65" i="8" s="1"/>
  <c r="H78" i="8" s="1"/>
  <c r="I71" i="8" a="1"/>
  <c r="I71" i="8" s="1"/>
  <c r="I84" i="8" s="1"/>
  <c r="G66" i="8" a="1"/>
  <c r="G66" i="8" s="1"/>
  <c r="G79" i="8" s="1"/>
  <c r="J73" i="8" a="1"/>
  <c r="J73" i="8" s="1"/>
  <c r="J86" i="8" s="1"/>
  <c r="S29" i="1"/>
  <c r="M74" i="8" a="1"/>
  <c r="M74" i="8" s="1"/>
  <c r="M87" i="8" s="1"/>
  <c r="H75" i="8" a="1"/>
  <c r="H75" i="8" s="1"/>
  <c r="H88" i="8" s="1"/>
  <c r="I75" i="8" a="1"/>
  <c r="I75" i="8" s="1"/>
  <c r="I88" i="8" s="1"/>
  <c r="G69" i="8" a="1"/>
  <c r="G69" i="8" s="1"/>
  <c r="G82" i="8" s="1"/>
  <c r="J67" i="8" a="1"/>
  <c r="J67" i="8" s="1"/>
  <c r="J80" i="8" s="1"/>
  <c r="U74" i="8" a="1"/>
  <c r="U74" i="8" s="1"/>
  <c r="U87" i="8" s="1"/>
  <c r="S72" i="8" a="1"/>
  <c r="S72" i="8" s="1"/>
  <c r="S85" i="8" s="1"/>
  <c r="H74" i="8" a="1"/>
  <c r="H74" i="8" s="1"/>
  <c r="H87" i="8" s="1"/>
  <c r="I74" i="8" a="1"/>
  <c r="I74" i="8" s="1"/>
  <c r="I87" i="8" s="1"/>
  <c r="J72" i="8" a="1"/>
  <c r="J72" i="8" s="1"/>
  <c r="J85" i="8" s="1"/>
  <c r="M68" i="8" a="1"/>
  <c r="M68" i="8" s="1"/>
  <c r="M81" i="8" s="1"/>
  <c r="S71" i="8" a="1"/>
  <c r="S71" i="8" s="1"/>
  <c r="S84" i="8" s="1"/>
  <c r="H70" i="8" a="1"/>
  <c r="H70" i="8" s="1"/>
  <c r="H83" i="8" s="1"/>
  <c r="I70" i="8" a="1"/>
  <c r="I70" i="8" s="1"/>
  <c r="I83" i="8" s="1"/>
  <c r="O68" i="8" a="1"/>
  <c r="O68" i="8" s="1"/>
  <c r="O81" i="8" s="1"/>
  <c r="J66" i="8" a="1"/>
  <c r="J66" i="8" s="1"/>
  <c r="J79" i="8" s="1"/>
  <c r="U69" i="8" a="1"/>
  <c r="U69" i="8" s="1"/>
  <c r="U82" i="8" s="1"/>
  <c r="S67" i="8" a="1"/>
  <c r="S67" i="8" s="1"/>
  <c r="S80" i="8" s="1"/>
  <c r="H68" i="8" a="1"/>
  <c r="H68" i="8" s="1"/>
  <c r="H81" i="8" s="1"/>
  <c r="I68" i="8" a="1"/>
  <c r="I68" i="8" s="1"/>
  <c r="I81" i="8" s="1"/>
  <c r="R69" i="8" a="1"/>
  <c r="R69" i="8" s="1"/>
  <c r="R82" i="8" s="1"/>
  <c r="O74" i="8" a="1"/>
  <c r="O74" i="8" s="1"/>
  <c r="O87" i="8" s="1"/>
  <c r="J65" i="8" a="1"/>
  <c r="J65" i="8" s="1"/>
  <c r="J78" i="8" s="1"/>
  <c r="M67" i="8" a="1"/>
  <c r="M67" i="8" s="1"/>
  <c r="M80" i="8" s="1"/>
  <c r="E29" i="1"/>
  <c r="M73" i="8" a="1"/>
  <c r="M73" i="8" s="1"/>
  <c r="M86" i="8" s="1"/>
  <c r="T73" i="8" a="1"/>
  <c r="T73" i="8" s="1"/>
  <c r="T86" i="8" s="1"/>
  <c r="U73" i="8" a="1"/>
  <c r="U73" i="8" s="1"/>
  <c r="U86" i="8" s="1"/>
  <c r="S75" i="8" a="1"/>
  <c r="S75" i="8" s="1"/>
  <c r="S88" i="8" s="1"/>
  <c r="H73" i="8" a="1"/>
  <c r="H73" i="8" s="1"/>
  <c r="H86" i="8" s="1"/>
  <c r="I73" i="8" a="1"/>
  <c r="I73" i="8" s="1"/>
  <c r="I86" i="8" s="1"/>
  <c r="O67" i="8" a="1"/>
  <c r="O67" i="8" s="1"/>
  <c r="O80" i="8" s="1"/>
  <c r="K29" i="1"/>
  <c r="M66" i="8" a="1"/>
  <c r="M66" i="8" s="1"/>
  <c r="M79" i="8" s="1"/>
  <c r="T72" i="8" a="1"/>
  <c r="T72" i="8" s="1"/>
  <c r="T85" i="8" s="1"/>
  <c r="U75" i="8" a="1"/>
  <c r="U75" i="8" s="1"/>
  <c r="U88" i="8" s="1"/>
  <c r="S65" i="8" a="1"/>
  <c r="S65" i="8" s="1"/>
  <c r="S78" i="8" s="1"/>
  <c r="H69" i="8" a="1"/>
  <c r="H69" i="8" s="1"/>
  <c r="H82" i="8" s="1"/>
  <c r="I69" i="8" a="1"/>
  <c r="I69" i="8" s="1"/>
  <c r="I82" i="8" s="1"/>
  <c r="R75" i="8" a="1"/>
  <c r="R75" i="8" s="1"/>
  <c r="R88" i="8" s="1"/>
  <c r="G65" i="8" a="1"/>
  <c r="G65" i="8" s="1"/>
  <c r="G78" i="8" s="1"/>
  <c r="O73" i="8" a="1"/>
  <c r="O73" i="8" s="1"/>
  <c r="O86" i="8" s="1"/>
  <c r="M72" i="8" a="1"/>
  <c r="M72" i="8" s="1"/>
  <c r="M85" i="8" s="1"/>
  <c r="T68" i="8" a="1"/>
  <c r="T68" i="8" s="1"/>
  <c r="T81" i="8" s="1"/>
  <c r="U72" i="8" a="1"/>
  <c r="U72" i="8" s="1"/>
  <c r="U85" i="8" s="1"/>
  <c r="S70" i="8" a="1"/>
  <c r="S70" i="8" s="1"/>
  <c r="S83" i="8" s="1"/>
  <c r="I67" i="8" a="1"/>
  <c r="I67" i="8" s="1"/>
  <c r="I80" i="8" s="1"/>
  <c r="R73" i="8" a="1"/>
  <c r="R73" i="8" s="1"/>
  <c r="R86" i="8" s="1"/>
  <c r="O71" i="8" a="1"/>
  <c r="O71" i="8" s="1"/>
  <c r="O84" i="8" s="1"/>
  <c r="M70" i="8" a="1"/>
  <c r="M70" i="8" s="1"/>
  <c r="M83" i="8" s="1"/>
  <c r="U68" i="8" a="1"/>
  <c r="U68" i="8" s="1"/>
  <c r="U81" i="8" s="1"/>
  <c r="I72" i="8" a="1"/>
  <c r="I72" i="8" s="1"/>
  <c r="I85" i="8" s="1"/>
  <c r="R68" i="8" a="1"/>
  <c r="R68" i="8" s="1"/>
  <c r="R81" i="8" s="1"/>
  <c r="G67" i="8" a="1"/>
  <c r="G67" i="8" s="1"/>
  <c r="G80" i="8" s="1"/>
  <c r="O72" i="8" a="1"/>
  <c r="O72" i="8" s="1"/>
  <c r="O85" i="8" s="1"/>
  <c r="U66" i="8" a="1"/>
  <c r="U66" i="8" s="1"/>
  <c r="U79" i="8" s="1"/>
  <c r="I66" i="8" a="1"/>
  <c r="I66" i="8" s="1"/>
  <c r="I79" i="8" s="1"/>
  <c r="R74" i="8" a="1"/>
  <c r="R74" i="8" s="1"/>
  <c r="R87" i="8" s="1"/>
  <c r="G70" i="8" a="1"/>
  <c r="G70" i="8" s="1"/>
  <c r="G83" i="8" s="1"/>
  <c r="O66" i="8" a="1"/>
  <c r="O66" i="8" s="1"/>
  <c r="O79" i="8" s="1"/>
  <c r="J75" i="8" a="1"/>
  <c r="J75" i="8" s="1"/>
  <c r="J88" i="8" s="1"/>
  <c r="T67" i="8" a="1"/>
  <c r="T67" i="8" s="1"/>
  <c r="T80" i="8" s="1"/>
  <c r="U71" i="8" a="1"/>
  <c r="U71" i="8" s="1"/>
  <c r="U84" i="8" s="1"/>
  <c r="R72" i="8" a="1"/>
  <c r="R72" i="8" s="1"/>
  <c r="R85" i="8" s="1"/>
  <c r="G85" i="8"/>
  <c r="O70" i="8" a="1"/>
  <c r="O70" i="8" s="1"/>
  <c r="O83" i="8" s="1"/>
  <c r="J71" i="8" a="1"/>
  <c r="J71" i="8" s="1"/>
  <c r="J84" i="8" s="1"/>
  <c r="M29" i="1"/>
  <c r="T75" i="8" a="1"/>
  <c r="T75" i="8" s="1"/>
  <c r="T88" i="8" s="1"/>
  <c r="U67" i="8" a="1"/>
  <c r="U67" i="8" s="1"/>
  <c r="U80" i="8" s="1"/>
  <c r="R71" i="8" a="1"/>
  <c r="R71" i="8" s="1"/>
  <c r="R84" i="8" s="1"/>
  <c r="G74" i="8" a="1"/>
  <c r="G74" i="8" s="1"/>
  <c r="G87" i="8" s="1"/>
  <c r="O75" i="8" a="1"/>
  <c r="O75" i="8" s="1"/>
  <c r="O88" i="8" s="1"/>
  <c r="J69" i="8" a="1"/>
  <c r="J69" i="8" s="1"/>
  <c r="J82" i="8" s="1"/>
  <c r="U65" i="8" a="1"/>
  <c r="U65" i="8" s="1"/>
  <c r="U78" i="8" s="1"/>
  <c r="S66" i="8" a="1"/>
  <c r="S66" i="8" s="1"/>
  <c r="S79" i="8" s="1"/>
  <c r="H67" i="8" a="1"/>
  <c r="H67" i="8" s="1"/>
  <c r="H80" i="8" s="1"/>
  <c r="R67" i="8" a="1"/>
  <c r="R67" i="8" s="1"/>
  <c r="R80" i="8" s="1"/>
  <c r="G68" i="8" a="1"/>
  <c r="G68" i="8" s="1"/>
  <c r="G81" i="8" s="1"/>
  <c r="J74" i="8" a="1"/>
  <c r="J74" i="8" s="1"/>
  <c r="J87" i="8" s="1"/>
  <c r="M75" i="8" a="1"/>
  <c r="M75" i="8" s="1"/>
  <c r="M88" i="8" s="1"/>
  <c r="U70" i="8" a="1"/>
  <c r="U70" i="8" s="1"/>
  <c r="U83" i="8" s="1"/>
  <c r="S69" i="8" a="1"/>
  <c r="S69" i="8" s="1"/>
  <c r="S82" i="8" s="1"/>
  <c r="H72" i="8" a="1"/>
  <c r="H72" i="8" s="1"/>
  <c r="H85" i="8" s="1"/>
  <c r="R65" i="8" a="1"/>
  <c r="R65" i="8" s="1"/>
  <c r="R78" i="8" s="1"/>
  <c r="G71" i="8" a="1"/>
  <c r="G71" i="8" s="1"/>
  <c r="G84" i="8" s="1"/>
  <c r="O69" i="8" a="1"/>
  <c r="O69" i="8" s="1"/>
  <c r="O82" i="8" s="1"/>
  <c r="J70" i="8" a="1"/>
  <c r="J70" i="8" s="1"/>
  <c r="J83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E83" authorId="0" shapeId="0" xr:uid="{9FA4AE2C-6A81-4894-AC7D-F450737B71C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19-07-2021
new assumptions
</t>
        </r>
      </text>
    </comment>
    <comment ref="C87" authorId="0" shapeId="0" xr:uid="{406579A0-4716-4E82-8FC1-168A36C8E5BB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19-07-2021
This is looked up for Tech Share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Rocco De Miglio</author>
    <author>Amit Kanudia</author>
  </authors>
  <commentList>
    <comment ref="J45" authorId="0" shapeId="0" xr:uid="{6319FCE6-A1E2-4C61-8652-8E1FE4FC5FD0}">
      <text>
        <r>
          <rPr>
            <b/>
            <sz val="9"/>
            <color indexed="81"/>
            <rFont val="Tahoma"/>
            <family val="2"/>
          </rPr>
          <t>Rocco De Miglio:</t>
        </r>
        <r>
          <rPr>
            <sz val="9"/>
            <color indexed="81"/>
            <rFont val="Tahoma"/>
            <family val="2"/>
          </rPr>
          <t xml:space="preserve">
was
0.00376567209820454</t>
        </r>
      </text>
    </comment>
    <comment ref="S45" authorId="0" shapeId="0" xr:uid="{3F2143C0-4E78-4E40-B0E4-D9A6CBB23CCD}">
      <text>
        <r>
          <rPr>
            <b/>
            <sz val="9"/>
            <color indexed="81"/>
            <rFont val="Tahoma"/>
            <family val="2"/>
          </rPr>
          <t>Rocco De Miglio:</t>
        </r>
        <r>
          <rPr>
            <sz val="9"/>
            <color indexed="81"/>
            <rFont val="Tahoma"/>
            <family val="2"/>
          </rPr>
          <t xml:space="preserve">
was
0.0108006539746004</t>
        </r>
      </text>
    </comment>
    <comment ref="E83" authorId="1" shapeId="0" xr:uid="{5BDFDAF5-C834-4C36-B3FF-6557DE4231E9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19-07-2021
new assumptions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S3" authorId="0" shapeId="0" xr:uid="{D50920F2-6127-4F03-A5D3-3B0AEAE7B9E9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01-07-2021
default value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O3" authorId="0" shapeId="0" xr:uid="{0EB38882-9118-4907-880C-34C79958C59F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01-07-2021
default value
</t>
        </r>
      </text>
    </comment>
    <comment ref="G37" authorId="0" shapeId="0" xr:uid="{3361F1BB-EF49-4C9E-ADA3-8DC04A7AF65C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T3" authorId="0" shapeId="0" xr:uid="{E36E816F-324F-4492-B235-B5F471571049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01-07-2021
default value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O3" authorId="0" shapeId="0" xr:uid="{6F431077-EDF6-4B95-BFE6-060A8A50CAEF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01-07-2021
default value
</t>
        </r>
      </text>
    </comment>
    <comment ref="G11" authorId="0" shapeId="0" xr:uid="{AD048C4A-4299-461A-8AFA-3669AB6DA0F5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12-05-2022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<sst xmlns="http://schemas.openxmlformats.org/spreadsheetml/2006/main" count="2373" uniqueCount="410">
  <si>
    <t>MEX</t>
  </si>
  <si>
    <t>WEU</t>
  </si>
  <si>
    <t>JPN</t>
  </si>
  <si>
    <t>SKO</t>
  </si>
  <si>
    <t>EEU</t>
  </si>
  <si>
    <t>USA</t>
  </si>
  <si>
    <t>CSA</t>
  </si>
  <si>
    <t>IND</t>
  </si>
  <si>
    <t>CAN</t>
  </si>
  <si>
    <t>AFR</t>
  </si>
  <si>
    <t>LPG</t>
  </si>
  <si>
    <t>MEA</t>
  </si>
  <si>
    <t>ODA</t>
  </si>
  <si>
    <t>FSU</t>
  </si>
  <si>
    <t>CHI</t>
  </si>
  <si>
    <t>AUS</t>
  </si>
  <si>
    <t>WORLD</t>
  </si>
  <si>
    <t>ktoe to PJ</t>
  </si>
  <si>
    <t>ELC</t>
  </si>
  <si>
    <t>COA</t>
  </si>
  <si>
    <t>DST</t>
  </si>
  <si>
    <t>NGA</t>
  </si>
  <si>
    <t>OIL</t>
  </si>
  <si>
    <t>HFO</t>
  </si>
  <si>
    <t>GEO</t>
  </si>
  <si>
    <t>HET</t>
  </si>
  <si>
    <t>KER</t>
  </si>
  <si>
    <t>AGR</t>
  </si>
  <si>
    <t>COM</t>
  </si>
  <si>
    <t>RES</t>
  </si>
  <si>
    <t>Fuel</t>
  </si>
  <si>
    <t>Service</t>
  </si>
  <si>
    <t>Coal</t>
  </si>
  <si>
    <t>Natural Gas</t>
  </si>
  <si>
    <t>Electricity</t>
  </si>
  <si>
    <t>Biogas</t>
  </si>
  <si>
    <t>TechName</t>
  </si>
  <si>
    <t>Comm-IN</t>
  </si>
  <si>
    <t>Comm-OUT</t>
  </si>
  <si>
    <t>~FI_T: EFF</t>
  </si>
  <si>
    <t>~FI_T: Stock</t>
  </si>
  <si>
    <t>CommName</t>
  </si>
  <si>
    <t>~FI_T: Demand</t>
  </si>
  <si>
    <t>LIFE</t>
  </si>
  <si>
    <t>RESCOA</t>
  </si>
  <si>
    <t>COMCOA</t>
  </si>
  <si>
    <t>RESNGA</t>
  </si>
  <si>
    <t>COMNGA</t>
  </si>
  <si>
    <t>RESOIL</t>
  </si>
  <si>
    <t>COMOIL</t>
  </si>
  <si>
    <t>RESELC</t>
  </si>
  <si>
    <t>COMELC</t>
  </si>
  <si>
    <t>RESGEO</t>
  </si>
  <si>
    <t>COMGEO</t>
  </si>
  <si>
    <t>RESHET</t>
  </si>
  <si>
    <t>COMHET</t>
  </si>
  <si>
    <t>RESLPG</t>
  </si>
  <si>
    <t>COMLPG</t>
  </si>
  <si>
    <t>RESKER</t>
  </si>
  <si>
    <t>COMKER</t>
  </si>
  <si>
    <t/>
  </si>
  <si>
    <t>Sector</t>
  </si>
  <si>
    <t>RH</t>
  </si>
  <si>
    <t>RC</t>
  </si>
  <si>
    <t>RHW</t>
  </si>
  <si>
    <t>RRF</t>
  </si>
  <si>
    <t>RCD</t>
  </si>
  <si>
    <t>RK</t>
  </si>
  <si>
    <t>RCW</t>
  </si>
  <si>
    <t>RDW</t>
  </si>
  <si>
    <t>ROT</t>
  </si>
  <si>
    <t>RL</t>
  </si>
  <si>
    <t>Distallate</t>
  </si>
  <si>
    <t>Heavy</t>
  </si>
  <si>
    <t>Kerosene</t>
  </si>
  <si>
    <t>LPG (called propane in nrc)</t>
  </si>
  <si>
    <t>Bioliquid</t>
  </si>
  <si>
    <t>Biomass solid</t>
  </si>
  <si>
    <t>Biomass waste</t>
  </si>
  <si>
    <t>Heat</t>
  </si>
  <si>
    <t>Geothermal</t>
  </si>
  <si>
    <t>Solar</t>
  </si>
  <si>
    <t>CH</t>
  </si>
  <si>
    <t>CL</t>
  </si>
  <si>
    <t>CHW</t>
  </si>
  <si>
    <t>CLA</t>
  </si>
  <si>
    <t>CCK</t>
  </si>
  <si>
    <t>CRF</t>
  </si>
  <si>
    <t>COE</t>
  </si>
  <si>
    <t>COT</t>
  </si>
  <si>
    <t>Heating</t>
  </si>
  <si>
    <t>RH1NGA000</t>
  </si>
  <si>
    <t>RES.HEAT.R1: .00.NGA.INS-REG.BURNER.STD.</t>
  </si>
  <si>
    <t>RH1NHP000</t>
  </si>
  <si>
    <t>RES.HEAT.R1: .00.NGA.INS-REG.HEAT PUMP.AIR.STD.</t>
  </si>
  <si>
    <t>RH1ERS000</t>
  </si>
  <si>
    <t>RES.HEAT.R1: .00.ELC.INS-REG.RESISTANCE.</t>
  </si>
  <si>
    <t>RH1EHP000</t>
  </si>
  <si>
    <t>RES.HEAT.R1: .00.ELC.INS-REG.HEAT PUMP.AIR.STD.</t>
  </si>
  <si>
    <t>Cooling</t>
  </si>
  <si>
    <t>RC1CAE000</t>
  </si>
  <si>
    <t>RES.COOL.R1: .00.ELC.INS-REG.CENTRAL.STD.</t>
  </si>
  <si>
    <t>RC1EHP000</t>
  </si>
  <si>
    <t>RES.COOL.R1: .00.ELC.INS-REG.HEAT PUMP.AIR.STD.</t>
  </si>
  <si>
    <t>RC1RAE000</t>
  </si>
  <si>
    <t>RES.COOL.R1: .00.ELC.INS-REG.ROOM.STD.</t>
  </si>
  <si>
    <t>Refrigeration</t>
  </si>
  <si>
    <t>RRFRFE000</t>
  </si>
  <si>
    <t>RES: .00.ELC.REFRIGERATORS.STD.</t>
  </si>
  <si>
    <t>RRFFRE000</t>
  </si>
  <si>
    <t>RES: .00.ELC.FREEZERS.STD.</t>
  </si>
  <si>
    <t>Lighting</t>
  </si>
  <si>
    <t>RL1ICE000</t>
  </si>
  <si>
    <t>RES.LIGH.R1: .00.ELC.INCANDESCENT.STD.</t>
  </si>
  <si>
    <t>RL1HAE000</t>
  </si>
  <si>
    <t>RES.LIGH.R1: .00.ELC.HALOGEN.</t>
  </si>
  <si>
    <t>RL1FLE000</t>
  </si>
  <si>
    <t>RES.LIGH.R1: .00.ELC.FLUORESCENT.BASELINE.</t>
  </si>
  <si>
    <t>RL1CFL000</t>
  </si>
  <si>
    <t>RES.LIGH.R1: .00.ELC.FLUO.LAMP.COMPACT.</t>
  </si>
  <si>
    <t>RR</t>
  </si>
  <si>
    <t>RC1GEO000</t>
  </si>
  <si>
    <t>RC1NHP000</t>
  </si>
  <si>
    <t>RCDELC000</t>
  </si>
  <si>
    <t>RCDNGA000</t>
  </si>
  <si>
    <t>RCWELC000</t>
  </si>
  <si>
    <t>RDWELC000</t>
  </si>
  <si>
    <t>REAELC000</t>
  </si>
  <si>
    <t>RH1BIO000</t>
  </si>
  <si>
    <t>RH1COA000</t>
  </si>
  <si>
    <t>RH1DST000</t>
  </si>
  <si>
    <t>RH1GEO000</t>
  </si>
  <si>
    <t>RH1HET000</t>
  </si>
  <si>
    <t>RH1HFO000</t>
  </si>
  <si>
    <t>RH1KER000</t>
  </si>
  <si>
    <t>RH1LPG000</t>
  </si>
  <si>
    <t>RHWBIO000</t>
  </si>
  <si>
    <t>RHWCOA000</t>
  </si>
  <si>
    <t>RHWDST000</t>
  </si>
  <si>
    <t>RHWELC000</t>
  </si>
  <si>
    <t>RHWGEO000</t>
  </si>
  <si>
    <t>RHWHET000</t>
  </si>
  <si>
    <t>RHWHFO000</t>
  </si>
  <si>
    <t>RHWKER000</t>
  </si>
  <si>
    <t>RHWLPG000</t>
  </si>
  <si>
    <t>RHWNGA000</t>
  </si>
  <si>
    <t>RK1BIO000</t>
  </si>
  <si>
    <t>RK1COA000</t>
  </si>
  <si>
    <t>RK1DST000</t>
  </si>
  <si>
    <t>RK1ELC000</t>
  </si>
  <si>
    <t>RK1KER000</t>
  </si>
  <si>
    <t>RK1LPG000</t>
  </si>
  <si>
    <t>RK1NGA000</t>
  </si>
  <si>
    <t>RK1SOL000</t>
  </si>
  <si>
    <t>RL1KER000</t>
  </si>
  <si>
    <t>ROTBIO000</t>
  </si>
  <si>
    <t>ROTCOA000</t>
  </si>
  <si>
    <t>ROTDST000</t>
  </si>
  <si>
    <t>ROTGEO000</t>
  </si>
  <si>
    <t>ROTHET000</t>
  </si>
  <si>
    <t>ROTHFO000</t>
  </si>
  <si>
    <t>ROTKER000</t>
  </si>
  <si>
    <t>ROTLPG000</t>
  </si>
  <si>
    <t>ROTNGA000</t>
  </si>
  <si>
    <t>ROTSOL000</t>
  </si>
  <si>
    <t>RCCAE</t>
  </si>
  <si>
    <t>RCEHP</t>
  </si>
  <si>
    <t>RCRAE</t>
  </si>
  <si>
    <t>RHEHP</t>
  </si>
  <si>
    <t>RHERS</t>
  </si>
  <si>
    <t>RHNGA</t>
  </si>
  <si>
    <t>RHNHP</t>
  </si>
  <si>
    <t>RLCFL</t>
  </si>
  <si>
    <t>RLFLE</t>
  </si>
  <si>
    <t>RLHAE</t>
  </si>
  <si>
    <t>RLICE</t>
  </si>
  <si>
    <t>RRFRE</t>
  </si>
  <si>
    <t>RRRFE</t>
  </si>
  <si>
    <t>CAE</t>
  </si>
  <si>
    <t>EHP</t>
  </si>
  <si>
    <t>NHP</t>
  </si>
  <si>
    <t>RAE</t>
  </si>
  <si>
    <t>BIO</t>
  </si>
  <si>
    <t>ERS</t>
  </si>
  <si>
    <t>CFL</t>
  </si>
  <si>
    <t>FLE</t>
  </si>
  <si>
    <t>HAE</t>
  </si>
  <si>
    <t>ICE</t>
  </si>
  <si>
    <t>FRE</t>
  </si>
  <si>
    <t>RFE</t>
  </si>
  <si>
    <t>REA</t>
  </si>
  <si>
    <t>~FI_T: NCAP_FOM</t>
  </si>
  <si>
    <t>RSC</t>
  </si>
  <si>
    <t>RSH</t>
  </si>
  <si>
    <t>RCK</t>
  </si>
  <si>
    <t>RLI</t>
  </si>
  <si>
    <t>CH1NFN000</t>
  </si>
  <si>
    <t>CH1NHP000</t>
  </si>
  <si>
    <t>CH1ERS000</t>
  </si>
  <si>
    <t>CH1EHP000</t>
  </si>
  <si>
    <t>CC1CAE000</t>
  </si>
  <si>
    <t>COM.COOL.R1: .00.ELC.CENTRAL.</t>
  </si>
  <si>
    <t>CC1EHP000</t>
  </si>
  <si>
    <t>COM.COOL.R1: .00.ELC.HEAT PUMP.AIR.STD.</t>
  </si>
  <si>
    <t>CC1RAE000</t>
  </si>
  <si>
    <t>COM.COOL.R1: .00.ELC.ROOM.</t>
  </si>
  <si>
    <t>CC1ECE000</t>
  </si>
  <si>
    <t>COM.COOL.R1: .00.ELC.CHILLER.ROOFTOP.STD.</t>
  </si>
  <si>
    <t>CLAICE000</t>
  </si>
  <si>
    <t>COM.LIGH: .00.ELC.INCANDESCENT.</t>
  </si>
  <si>
    <t>CLAHAE000</t>
  </si>
  <si>
    <t>COM.LIGH: .00.ELC.HALOGEN.</t>
  </si>
  <si>
    <t>CLAHID000</t>
  </si>
  <si>
    <t>COM.LIGH: .00.ELC.MERCURY.</t>
  </si>
  <si>
    <t>CLAFLE000</t>
  </si>
  <si>
    <t>COM.LIGH: .00.ELC.FLUORESCENT.BASELINE.</t>
  </si>
  <si>
    <t>CLACFL000</t>
  </si>
  <si>
    <t>COM.LIGH: .00.ELC.FLUO.LAMP.COMPACT.</t>
  </si>
  <si>
    <t>CC1DST000</t>
  </si>
  <si>
    <t>CC1GEO000</t>
  </si>
  <si>
    <t>CC1NGA000</t>
  </si>
  <si>
    <t>CCKBIO000</t>
  </si>
  <si>
    <t>CCKCOA000</t>
  </si>
  <si>
    <t>CCKDST000</t>
  </si>
  <si>
    <t>CCKELC000</t>
  </si>
  <si>
    <t>CCKKER000</t>
  </si>
  <si>
    <t>CCKLPG000</t>
  </si>
  <si>
    <t>CCKNGA000</t>
  </si>
  <si>
    <t>CH1BIO000</t>
  </si>
  <si>
    <t>CH1COA000</t>
  </si>
  <si>
    <t>CH1DST000</t>
  </si>
  <si>
    <t>CH1GEO000</t>
  </si>
  <si>
    <t>CH1HET000</t>
  </si>
  <si>
    <t>CH1HFO000</t>
  </si>
  <si>
    <t>CH1KER000</t>
  </si>
  <si>
    <t>CH1LPG000</t>
  </si>
  <si>
    <t>CHWBIO000</t>
  </si>
  <si>
    <t>CHWCOA000</t>
  </si>
  <si>
    <t>CHWDST000</t>
  </si>
  <si>
    <t>CHWELC000</t>
  </si>
  <si>
    <t>CHWGEO000</t>
  </si>
  <si>
    <t>CHWHET000</t>
  </si>
  <si>
    <t>CHWHFO000</t>
  </si>
  <si>
    <t>CHWKER000</t>
  </si>
  <si>
    <t>CHWLPG000</t>
  </si>
  <si>
    <t>CHWNGA000</t>
  </si>
  <si>
    <t>CLAKER000</t>
  </si>
  <si>
    <t>COEELC000</t>
  </si>
  <si>
    <t>COTDST000</t>
  </si>
  <si>
    <t>COTELC000</t>
  </si>
  <si>
    <t>COTNGA000</t>
  </si>
  <si>
    <t>CRFELC000</t>
  </si>
  <si>
    <t>CLAICE</t>
  </si>
  <si>
    <t>CLAHAE</t>
  </si>
  <si>
    <t>CLAHID</t>
  </si>
  <si>
    <t>CLAFLE</t>
  </si>
  <si>
    <t>CLACFL</t>
  </si>
  <si>
    <t>CHNFN</t>
  </si>
  <si>
    <t>CHNHP</t>
  </si>
  <si>
    <t>CHERS</t>
  </si>
  <si>
    <t>CHEHP</t>
  </si>
  <si>
    <t>CLCAE</t>
  </si>
  <si>
    <t>CLEHP</t>
  </si>
  <si>
    <t>CLRAE</t>
  </si>
  <si>
    <t>CLECE</t>
  </si>
  <si>
    <t>ECE</t>
  </si>
  <si>
    <t>NFN</t>
  </si>
  <si>
    <t>HID</t>
  </si>
  <si>
    <t>CSH</t>
  </si>
  <si>
    <t>CSC</t>
  </si>
  <si>
    <t>RESBIO</t>
  </si>
  <si>
    <t>COMBIO</t>
  </si>
  <si>
    <t>~FI_Process</t>
  </si>
  <si>
    <t>Region</t>
  </si>
  <si>
    <t>Sets</t>
  </si>
  <si>
    <t>TechDesc</t>
  </si>
  <si>
    <t>Tact</t>
  </si>
  <si>
    <t>Tcap</t>
  </si>
  <si>
    <t>Tslvl</t>
  </si>
  <si>
    <t>PrimaryCG</t>
  </si>
  <si>
    <t>Vintage</t>
  </si>
  <si>
    <t>DMD</t>
  </si>
  <si>
    <t>PJ</t>
  </si>
  <si>
    <t>PJ-a</t>
  </si>
  <si>
    <t>Technology Shares</t>
  </si>
  <si>
    <t>RSCCAE000</t>
  </si>
  <si>
    <t>RSCEHP000</t>
  </si>
  <si>
    <t>RSCGEO000</t>
  </si>
  <si>
    <t>RSCNHP000</t>
  </si>
  <si>
    <t>RSCRAE000</t>
  </si>
  <si>
    <t>RSHBIO000</t>
  </si>
  <si>
    <t>RSHCOA000</t>
  </si>
  <si>
    <t>RSHDST000</t>
  </si>
  <si>
    <t>RSHEHP000</t>
  </si>
  <si>
    <t>RSHERS000</t>
  </si>
  <si>
    <t>RSHGEO000</t>
  </si>
  <si>
    <t>RSHHET000</t>
  </si>
  <si>
    <t>RSHHFO000</t>
  </si>
  <si>
    <t>RSHKER000</t>
  </si>
  <si>
    <t>RSHLPG000</t>
  </si>
  <si>
    <t>RSHNGA000</t>
  </si>
  <si>
    <t>RSHNHP000</t>
  </si>
  <si>
    <t>RCKBIO000</t>
  </si>
  <si>
    <t>RCKCOA000</t>
  </si>
  <si>
    <t>RCKDST000</t>
  </si>
  <si>
    <t>RCKELC000</t>
  </si>
  <si>
    <t>RCKKER000</t>
  </si>
  <si>
    <t>RCKLPG000</t>
  </si>
  <si>
    <t>RCKNGA000</t>
  </si>
  <si>
    <t>RLICFL000</t>
  </si>
  <si>
    <t>RLIFLE000</t>
  </si>
  <si>
    <t>RLIHAE000</t>
  </si>
  <si>
    <t>RLIICE000</t>
  </si>
  <si>
    <t>RLIKER000</t>
  </si>
  <si>
    <t>CSCCAE000</t>
  </si>
  <si>
    <t>CSCECE000</t>
  </si>
  <si>
    <t>CSCEHP000</t>
  </si>
  <si>
    <t>CSCRAE000</t>
  </si>
  <si>
    <t>CSCDST000</t>
  </si>
  <si>
    <t>CSCGEO000</t>
  </si>
  <si>
    <t>CSCNGA000</t>
  </si>
  <si>
    <t>CSHBIO000</t>
  </si>
  <si>
    <t>CSHCOA000</t>
  </si>
  <si>
    <t>CSHDST000</t>
  </si>
  <si>
    <t>CSHEHP000</t>
  </si>
  <si>
    <t>CSHERS000</t>
  </si>
  <si>
    <t>CSHGEO000</t>
  </si>
  <si>
    <t>CSHHET000</t>
  </si>
  <si>
    <t>CSHHFO000</t>
  </si>
  <si>
    <t>CSHKER000</t>
  </si>
  <si>
    <t>CSHLPG000</t>
  </si>
  <si>
    <t>CSHNFN000</t>
  </si>
  <si>
    <t>CSHNHP000</t>
  </si>
  <si>
    <t>~FI_T: NCAP_AFA~FX</t>
  </si>
  <si>
    <t>attribute</t>
  </si>
  <si>
    <t>Demand</t>
  </si>
  <si>
    <t>~FI_T: Share-I~UP</t>
  </si>
  <si>
    <t>EFF</t>
  </si>
  <si>
    <t>process</t>
  </si>
  <si>
    <t>AGR000</t>
  </si>
  <si>
    <t>commodity</t>
  </si>
  <si>
    <t>~FI_T: Share-I~UP~2050</t>
  </si>
  <si>
    <t>China</t>
  </si>
  <si>
    <t>Russia</t>
  </si>
  <si>
    <t>India</t>
  </si>
  <si>
    <t>AGRCOA</t>
  </si>
  <si>
    <t>AGRKER</t>
  </si>
  <si>
    <t>AGRBIO</t>
  </si>
  <si>
    <t>AGRNGA</t>
  </si>
  <si>
    <t>AGROIL</t>
  </si>
  <si>
    <t>AGRELC</t>
  </si>
  <si>
    <t>AGRGEO</t>
  </si>
  <si>
    <t>AGRHET</t>
  </si>
  <si>
    <t>AGRLPG</t>
  </si>
  <si>
    <t>NCAP_AFA~FX</t>
  </si>
  <si>
    <t>NCAP_FOM</t>
  </si>
  <si>
    <t>NCAP_AFA</t>
  </si>
  <si>
    <t>\I:</t>
  </si>
  <si>
    <t>ActiveReg</t>
  </si>
  <si>
    <t>TIAMReg</t>
  </si>
  <si>
    <t>Sub-Sector</t>
  </si>
  <si>
    <t>sectfuel</t>
  </si>
  <si>
    <t>Year</t>
  </si>
  <si>
    <t>Drvr</t>
  </si>
  <si>
    <t>GDP</t>
  </si>
  <si>
    <t>POP</t>
  </si>
  <si>
    <t>elec</t>
  </si>
  <si>
    <t>gas</t>
  </si>
  <si>
    <t>oil</t>
  </si>
  <si>
    <t>kerosene</t>
  </si>
  <si>
    <t>COMSTH</t>
  </si>
  <si>
    <t>RESSTH</t>
  </si>
  <si>
    <t>STH</t>
  </si>
  <si>
    <t>LimType</t>
  </si>
  <si>
    <t>LO</t>
  </si>
  <si>
    <t>RCKSTH000</t>
  </si>
  <si>
    <t>CCKSTH000</t>
  </si>
  <si>
    <t>CHWSTH000</t>
  </si>
  <si>
    <t>RHWSTH000</t>
  </si>
  <si>
    <t>RK1STH000</t>
  </si>
  <si>
    <t>ROTSTH000</t>
  </si>
  <si>
    <t>Germany</t>
  </si>
  <si>
    <t>Africa_north</t>
  </si>
  <si>
    <t>Africa_other</t>
  </si>
  <si>
    <t>Arg-Chi</t>
  </si>
  <si>
    <t>Asia_central</t>
  </si>
  <si>
    <t>Asia_east</t>
  </si>
  <si>
    <t>Asia_other</t>
  </si>
  <si>
    <t>Australia_NZ</t>
  </si>
  <si>
    <t>Brazil</t>
  </si>
  <si>
    <t>Canada</t>
  </si>
  <si>
    <t>EU_north</t>
  </si>
  <si>
    <t>EU_northeast</t>
  </si>
  <si>
    <t>EU_northwest</t>
  </si>
  <si>
    <t>EU_south</t>
  </si>
  <si>
    <t>EU_southeast</t>
  </si>
  <si>
    <t>EU_southwest</t>
  </si>
  <si>
    <t>Europe_other</t>
  </si>
  <si>
    <t>France</t>
  </si>
  <si>
    <t>LatAm_other</t>
  </si>
  <si>
    <t>Mexico</t>
  </si>
  <si>
    <t>MidEast_other</t>
  </si>
  <si>
    <t>Nor-Ice</t>
  </si>
  <si>
    <t>SaudiArabia</t>
  </si>
  <si>
    <t>SouthAfrica</t>
  </si>
  <si>
    <t>UK</t>
  </si>
  <si>
    <t>\I: RCDELC000</t>
  </si>
  <si>
    <t>\I: RCDNGA000</t>
  </si>
  <si>
    <t>\I: RCWELC000</t>
  </si>
  <si>
    <t>\I: RDWELC000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</si>
</sst>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"/>
    <numFmt numFmtId="166" formatCode="0.000"/>
    <numFmt numFmtId="167" formatCode="0.0000000"/>
    <numFmt numFmtId="168" formatCode="0.0%"/>
  </numFmts>
  <fonts count="30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i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10"/>
      <color theme="5"/>
      <name val="Calibri"/>
      <family val="2"/>
      <scheme val="minor"/>
    </font>
    <font>
      <sz val="10"/>
      <color rgb="FF9C57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sz val="10"/>
      <color rgb="FF3F3F76"/>
      <name val="Calibri"/>
      <family val="2"/>
      <scheme val="minor"/>
    </font>
    <font>
      <sz val="11"/>
      <color indexed="8"/>
      <name val="Calibri"/>
      <family val="2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6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theme="4" tint="0.3999755851924192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14">
    <xf numFmtId="0" fontId="0" fillId="0" borderId="0"/>
    <xf numFmtId="0" fontId="1" fillId="2" borderId="1" applyNumberFormat="0" applyAlignment="0" applyProtection="0"/>
    <xf numFmtId="0" fontId="6" fillId="0" borderId="0"/>
    <xf numFmtId="0" fontId="9" fillId="5" borderId="0" applyNumberFormat="0" applyBorder="0" applyAlignment="0" applyProtection="0"/>
    <xf numFmtId="164" fontId="6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12" borderId="0" applyNumberFormat="0" applyBorder="0" applyAlignment="0" applyProtection="0"/>
    <xf numFmtId="0" fontId="19" fillId="0" borderId="4" applyNumberFormat="0" applyFill="0" applyAlignment="0" applyProtection="0"/>
    <xf numFmtId="0" fontId="22" fillId="13" borderId="0" applyNumberFormat="0" applyBorder="0" applyAlignment="0" applyProtection="0"/>
    <xf numFmtId="0" fontId="23" fillId="14" borderId="5" applyNumberFormat="0" applyAlignment="0" applyProtection="0"/>
    <xf numFmtId="0" fontId="24" fillId="0" borderId="6" applyNumberFormat="0" applyFill="0" applyAlignment="0" applyProtection="0"/>
    <xf numFmtId="0" fontId="25" fillId="15" borderId="0" applyNumberFormat="0" applyBorder="0" applyAlignment="0" applyProtection="0"/>
    <xf numFmtId="9" fontId="26" fillId="0" borderId="0" applyFont="0" applyFill="0" applyBorder="0" applyAlignment="0" applyProtection="0"/>
  </cellStyleXfs>
  <cellXfs count="78">
    <xf numFmtId="0" fontId="0" fillId="0" borderId="0" xfId="0"/>
    <xf numFmtId="2" fontId="0" fillId="0" borderId="0" xfId="0" applyNumberFormat="1"/>
    <xf numFmtId="1" fontId="0" fillId="0" borderId="0" xfId="0" applyNumberFormat="1"/>
    <xf numFmtId="0" fontId="2" fillId="0" borderId="0" xfId="0" applyFont="1"/>
    <xf numFmtId="2" fontId="1" fillId="2" borderId="1" xfId="1" applyNumberFormat="1"/>
    <xf numFmtId="0" fontId="3" fillId="3" borderId="0" xfId="0" applyFont="1" applyFill="1"/>
    <xf numFmtId="0" fontId="4" fillId="3" borderId="0" xfId="0" applyFont="1" applyFill="1"/>
    <xf numFmtId="0" fontId="7" fillId="4" borderId="0" xfId="2" applyFont="1" applyFill="1"/>
    <xf numFmtId="0" fontId="4" fillId="0" borderId="0" xfId="0" applyFont="1"/>
    <xf numFmtId="2" fontId="4" fillId="0" borderId="0" xfId="0" applyNumberFormat="1" applyFont="1"/>
    <xf numFmtId="1" fontId="4" fillId="0" borderId="0" xfId="0" applyNumberFormat="1" applyFont="1"/>
    <xf numFmtId="165" fontId="4" fillId="0" borderId="0" xfId="0" applyNumberFormat="1" applyFont="1"/>
    <xf numFmtId="0" fontId="3" fillId="0" borderId="0" xfId="0" applyFont="1" applyAlignment="1">
      <alignment horizontal="right"/>
    </xf>
    <xf numFmtId="0" fontId="0" fillId="6" borderId="0" xfId="0" applyFill="1"/>
    <xf numFmtId="2" fontId="8" fillId="3" borderId="0" xfId="2" applyNumberFormat="1" applyFont="1" applyFill="1" applyAlignment="1">
      <alignment horizontal="right" vertical="center"/>
    </xf>
    <xf numFmtId="2" fontId="8" fillId="3" borderId="0" xfId="4" applyNumberFormat="1" applyFont="1" applyFill="1" applyAlignment="1">
      <alignment horizontal="right" vertical="center"/>
    </xf>
    <xf numFmtId="2" fontId="8" fillId="7" borderId="0" xfId="2" applyNumberFormat="1" applyFont="1" applyFill="1" applyAlignment="1">
      <alignment horizontal="right" vertical="center"/>
    </xf>
    <xf numFmtId="2" fontId="8" fillId="7" borderId="0" xfId="4" applyNumberFormat="1" applyFont="1" applyFill="1" applyAlignment="1">
      <alignment horizontal="right" vertical="center"/>
    </xf>
    <xf numFmtId="2" fontId="8" fillId="3" borderId="2" xfId="2" applyNumberFormat="1" applyFont="1" applyFill="1" applyBorder="1" applyAlignment="1">
      <alignment horizontal="right" vertical="center"/>
    </xf>
    <xf numFmtId="2" fontId="8" fillId="3" borderId="2" xfId="4" applyNumberFormat="1" applyFont="1" applyFill="1" applyBorder="1" applyAlignment="1">
      <alignment horizontal="right" vertical="center"/>
    </xf>
    <xf numFmtId="0" fontId="7" fillId="3" borderId="0" xfId="2" applyFont="1" applyFill="1"/>
    <xf numFmtId="0" fontId="5" fillId="3" borderId="0" xfId="2" applyFont="1" applyFill="1" applyAlignment="1">
      <alignment horizontal="right" vertical="center"/>
    </xf>
    <xf numFmtId="0" fontId="7" fillId="3" borderId="2" xfId="2" applyFont="1" applyFill="1" applyBorder="1"/>
    <xf numFmtId="0" fontId="5" fillId="3" borderId="2" xfId="2" applyFont="1" applyFill="1" applyBorder="1" applyAlignment="1">
      <alignment horizontal="right" vertical="center"/>
    </xf>
    <xf numFmtId="2" fontId="8" fillId="4" borderId="0" xfId="2" applyNumberFormat="1" applyFont="1" applyFill="1" applyAlignment="1">
      <alignment horizontal="right" vertical="center"/>
    </xf>
    <xf numFmtId="2" fontId="8" fillId="3" borderId="0" xfId="2" applyNumberFormat="1" applyFont="1" applyFill="1"/>
    <xf numFmtId="2" fontId="8" fillId="3" borderId="2" xfId="2" applyNumberFormat="1" applyFont="1" applyFill="1" applyBorder="1"/>
    <xf numFmtId="2" fontId="12" fillId="3" borderId="0" xfId="2" applyNumberFormat="1" applyFont="1" applyFill="1"/>
    <xf numFmtId="2" fontId="8" fillId="3" borderId="3" xfId="2" applyNumberFormat="1" applyFont="1" applyFill="1" applyBorder="1"/>
    <xf numFmtId="166" fontId="4" fillId="3" borderId="0" xfId="0" applyNumberFormat="1" applyFont="1" applyFill="1"/>
    <xf numFmtId="2" fontId="4" fillId="3" borderId="0" xfId="0" applyNumberFormat="1" applyFont="1" applyFill="1"/>
    <xf numFmtId="2" fontId="8" fillId="3" borderId="2" xfId="2" applyNumberFormat="1" applyFont="1" applyFill="1" applyBorder="1" applyAlignment="1">
      <alignment horizontal="right"/>
    </xf>
    <xf numFmtId="2" fontId="8" fillId="3" borderId="2" xfId="4" applyNumberFormat="1" applyFont="1" applyFill="1" applyBorder="1" applyAlignment="1">
      <alignment horizontal="right"/>
    </xf>
    <xf numFmtId="0" fontId="5" fillId="4" borderId="0" xfId="2" applyFont="1" applyFill="1" applyAlignment="1">
      <alignment horizontal="right" vertical="center"/>
    </xf>
    <xf numFmtId="0" fontId="7" fillId="4" borderId="2" xfId="2" applyFont="1" applyFill="1" applyBorder="1"/>
    <xf numFmtId="0" fontId="5" fillId="4" borderId="2" xfId="2" applyFont="1" applyFill="1" applyBorder="1" applyAlignment="1">
      <alignment horizontal="right" vertical="center"/>
    </xf>
    <xf numFmtId="0" fontId="11" fillId="3" borderId="0" xfId="0" applyFont="1" applyFill="1"/>
    <xf numFmtId="0" fontId="13" fillId="5" borderId="0" xfId="3" applyFont="1"/>
    <xf numFmtId="166" fontId="3" fillId="0" borderId="0" xfId="0" applyNumberFormat="1" applyFont="1"/>
    <xf numFmtId="2" fontId="8" fillId="0" borderId="0" xfId="0" applyNumberFormat="1" applyFont="1"/>
    <xf numFmtId="0" fontId="10" fillId="0" borderId="0" xfId="0" applyFont="1"/>
    <xf numFmtId="0" fontId="5" fillId="3" borderId="0" xfId="2" applyFont="1" applyFill="1" applyAlignment="1">
      <alignment horizontal="right"/>
    </xf>
    <xf numFmtId="0" fontId="5" fillId="3" borderId="2" xfId="2" applyFont="1" applyFill="1" applyBorder="1" applyAlignment="1">
      <alignment horizontal="right"/>
    </xf>
    <xf numFmtId="0" fontId="3" fillId="0" borderId="0" xfId="0" applyFont="1"/>
    <xf numFmtId="166" fontId="3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5" fontId="4" fillId="0" borderId="0" xfId="0" applyNumberFormat="1" applyFont="1" applyAlignment="1">
      <alignment horizontal="right"/>
    </xf>
    <xf numFmtId="0" fontId="9" fillId="5" borderId="0" xfId="3"/>
    <xf numFmtId="2" fontId="8" fillId="3" borderId="0" xfId="4" applyNumberFormat="1" applyFont="1" applyFill="1" applyBorder="1" applyAlignment="1">
      <alignment horizontal="right" vertical="center"/>
    </xf>
    <xf numFmtId="2" fontId="18" fillId="0" borderId="0" xfId="5" applyNumberFormat="1" applyFont="1"/>
    <xf numFmtId="0" fontId="4" fillId="8" borderId="0" xfId="0" applyFont="1" applyFill="1"/>
    <xf numFmtId="0" fontId="19" fillId="0" borderId="0" xfId="6"/>
    <xf numFmtId="2" fontId="4" fillId="9" borderId="0" xfId="0" applyNumberFormat="1" applyFont="1" applyFill="1"/>
    <xf numFmtId="0" fontId="4" fillId="6" borderId="0" xfId="0" applyFont="1" applyFill="1"/>
    <xf numFmtId="2" fontId="4" fillId="11" borderId="0" xfId="0" applyNumberFormat="1" applyFont="1" applyFill="1"/>
    <xf numFmtId="2" fontId="3" fillId="10" borderId="0" xfId="0" applyNumberFormat="1" applyFont="1" applyFill="1"/>
    <xf numFmtId="2" fontId="20" fillId="2" borderId="1" xfId="1" applyNumberFormat="1" applyFont="1"/>
    <xf numFmtId="0" fontId="19" fillId="0" borderId="4" xfId="8"/>
    <xf numFmtId="0" fontId="19" fillId="3" borderId="4" xfId="8" applyFill="1"/>
    <xf numFmtId="0" fontId="22" fillId="13" borderId="0" xfId="9"/>
    <xf numFmtId="2" fontId="23" fillId="14" borderId="5" xfId="10" applyNumberFormat="1"/>
    <xf numFmtId="1" fontId="24" fillId="0" borderId="6" xfId="11" applyNumberFormat="1"/>
    <xf numFmtId="0" fontId="0" fillId="4" borderId="0" xfId="0" applyFill="1"/>
    <xf numFmtId="0" fontId="24" fillId="0" borderId="6" xfId="11"/>
    <xf numFmtId="165" fontId="4" fillId="9" borderId="0" xfId="0" applyNumberFormat="1" applyFont="1" applyFill="1"/>
    <xf numFmtId="2" fontId="3" fillId="9" borderId="0" xfId="0" applyNumberFormat="1" applyFont="1" applyFill="1"/>
    <xf numFmtId="2" fontId="25" fillId="15" borderId="0" xfId="12" applyNumberFormat="1"/>
    <xf numFmtId="2" fontId="25" fillId="15" borderId="0" xfId="12" applyNumberFormat="1" applyAlignment="1">
      <alignment horizontal="right" vertical="center"/>
    </xf>
    <xf numFmtId="2" fontId="25" fillId="15" borderId="2" xfId="12" applyNumberFormat="1" applyBorder="1" applyAlignment="1">
      <alignment horizontal="right" vertical="center"/>
    </xf>
    <xf numFmtId="0" fontId="4" fillId="0" borderId="2" xfId="0" applyFont="1" applyBorder="1"/>
    <xf numFmtId="0" fontId="11" fillId="3" borderId="2" xfId="0" applyFont="1" applyFill="1" applyBorder="1"/>
    <xf numFmtId="2" fontId="25" fillId="15" borderId="2" xfId="12" applyNumberFormat="1" applyBorder="1"/>
    <xf numFmtId="167" fontId="0" fillId="0" borderId="0" xfId="0" applyNumberFormat="1"/>
    <xf numFmtId="2" fontId="25" fillId="15" borderId="0" xfId="12" applyNumberFormat="1" applyBorder="1" applyAlignment="1">
      <alignment horizontal="right" vertical="center"/>
    </xf>
    <xf numFmtId="2" fontId="27" fillId="15" borderId="0" xfId="12" applyNumberFormat="1" applyFont="1"/>
    <xf numFmtId="2" fontId="27" fillId="15" borderId="0" xfId="12" applyNumberFormat="1" applyFont="1" applyAlignment="1">
      <alignment horizontal="right" vertical="center"/>
    </xf>
    <xf numFmtId="168" fontId="0" fillId="0" borderId="0" xfId="13" applyNumberFormat="1" applyFont="1"/>
  </cellXfs>
  <cellStyles count="14">
    <cellStyle name="20% - Accent3 3 2" xfId="7" xr:uid="{2DB72F56-AAF9-4287-A872-02C72272BF57}"/>
    <cellStyle name="Bad" xfId="9" builtinId="27"/>
    <cellStyle name="Check Cell" xfId="10" builtinId="23"/>
    <cellStyle name="Comma 3" xfId="4" xr:uid="{C0E936C4-3C88-4606-BBAF-6E52A3E3DCEB}"/>
    <cellStyle name="Good" xfId="12" builtinId="26"/>
    <cellStyle name="Heading 3" xfId="8" builtinId="18"/>
    <cellStyle name="Heading 4" xfId="6" builtinId="19"/>
    <cellStyle name="Input" xfId="1" builtinId="20"/>
    <cellStyle name="Linked Cell" xfId="11" builtinId="24"/>
    <cellStyle name="Neutral" xfId="3" builtinId="28"/>
    <cellStyle name="Normal" xfId="0" builtinId="0"/>
    <cellStyle name="Normal 3" xfId="2" xr:uid="{6F5F0363-99B6-40DA-BDE0-F5C804E5FFB7}"/>
    <cellStyle name="Percent" xfId="13" builtinId="5"/>
    <cellStyle name="Title" xfId="5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F820F-4A15-40A0-9A3F-5A81D746C462}">
  <dimension ref="A1:BT32"/>
  <sheetViews>
    <sheetView workbookViewId="0">
      <selection activeCell="B4" sqref="B4:AG13"/>
    </sheetView>
  </sheetViews>
  <sheetFormatPr defaultRowHeight="14.25" x14ac:dyDescent="0.45"/>
  <cols>
    <col min="1" max="1" width="4.53125" bestFit="1" customWidth="1"/>
    <col min="3" max="3" width="9.86328125" bestFit="1" customWidth="1"/>
    <col min="4" max="4" width="11.1328125" bestFit="1" customWidth="1"/>
    <col min="5" max="19" width="5.46484375" bestFit="1" customWidth="1"/>
    <col min="20" max="34" width="5.46484375" customWidth="1"/>
    <col min="35" max="35" width="6.53125" bestFit="1" customWidth="1"/>
    <col min="39" max="40" width="4.53125" bestFit="1" customWidth="1"/>
    <col min="41" max="41" width="4.86328125" bestFit="1" customWidth="1"/>
    <col min="42" max="42" width="4.46484375" customWidth="1"/>
    <col min="43" max="47" width="4.53125" bestFit="1" customWidth="1"/>
    <col min="48" max="48" width="5" bestFit="1" customWidth="1"/>
    <col min="49" max="49" width="4.86328125" bestFit="1" customWidth="1"/>
    <col min="50" max="50" width="5" bestFit="1" customWidth="1"/>
    <col min="51" max="52" width="4.53125" bestFit="1" customWidth="1"/>
    <col min="53" max="53" width="5.1328125" bestFit="1" customWidth="1"/>
    <col min="54" max="68" width="5.1328125" customWidth="1"/>
    <col min="69" max="69" width="2" bestFit="1" customWidth="1"/>
    <col min="70" max="70" width="5" customWidth="1"/>
    <col min="71" max="71" width="4.53125" bestFit="1" customWidth="1"/>
  </cols>
  <sheetData>
    <row r="1" spans="1:72" x14ac:dyDescent="0.45">
      <c r="A1" s="4">
        <v>4.1868000000000002E-2</v>
      </c>
      <c r="B1" s="3" t="s">
        <v>17</v>
      </c>
    </row>
    <row r="2" spans="1:72" x14ac:dyDescent="0.45">
      <c r="D2" s="2"/>
    </row>
    <row r="3" spans="1:72" x14ac:dyDescent="0.45">
      <c r="D3" s="2"/>
    </row>
    <row r="4" spans="1:72" x14ac:dyDescent="0.45">
      <c r="B4" s="63" t="s">
        <v>61</v>
      </c>
      <c r="C4" s="8" t="s">
        <v>360</v>
      </c>
      <c r="D4" s="8" t="s">
        <v>361</v>
      </c>
      <c r="E4" s="8" t="s">
        <v>382</v>
      </c>
      <c r="F4" s="8" t="s">
        <v>383</v>
      </c>
      <c r="G4" s="8" t="s">
        <v>384</v>
      </c>
      <c r="H4" s="8" t="s">
        <v>385</v>
      </c>
      <c r="I4" s="8" t="s">
        <v>386</v>
      </c>
      <c r="J4" s="8" t="s">
        <v>387</v>
      </c>
      <c r="K4" s="8" t="s">
        <v>388</v>
      </c>
      <c r="L4" s="8" t="s">
        <v>389</v>
      </c>
      <c r="M4" s="8" t="s">
        <v>390</v>
      </c>
      <c r="N4" s="8" t="s">
        <v>342</v>
      </c>
      <c r="O4" s="8" t="s">
        <v>391</v>
      </c>
      <c r="P4" s="8" t="s">
        <v>392</v>
      </c>
      <c r="Q4" s="8" t="s">
        <v>393</v>
      </c>
      <c r="R4" s="8" t="s">
        <v>394</v>
      </c>
      <c r="S4" s="8" t="s">
        <v>395</v>
      </c>
      <c r="T4" s="8" t="s">
        <v>396</v>
      </c>
      <c r="U4" s="8" t="s">
        <v>397</v>
      </c>
      <c r="V4" s="8" t="s">
        <v>398</v>
      </c>
      <c r="W4" s="8" t="s">
        <v>381</v>
      </c>
      <c r="X4" s="8" t="s">
        <v>344</v>
      </c>
      <c r="Y4" s="8" t="s">
        <v>399</v>
      </c>
      <c r="Z4" s="8" t="s">
        <v>400</v>
      </c>
      <c r="AA4" s="8" t="s">
        <v>401</v>
      </c>
      <c r="AB4" s="8" t="s">
        <v>402</v>
      </c>
      <c r="AC4" s="8" t="s">
        <v>343</v>
      </c>
      <c r="AD4" s="8" t="s">
        <v>403</v>
      </c>
      <c r="AE4" s="8" t="s">
        <v>404</v>
      </c>
      <c r="AF4" s="8" t="s">
        <v>405</v>
      </c>
      <c r="AG4" s="8" t="s">
        <v>5</v>
      </c>
      <c r="AH4" s="8" t="str">
        <f>'RES balance'!AH4</f>
        <v>\I:</v>
      </c>
      <c r="AI4" t="s">
        <v>16</v>
      </c>
    </row>
    <row r="5" spans="1:72" x14ac:dyDescent="0.45">
      <c r="B5" t="s">
        <v>27</v>
      </c>
      <c r="C5" s="8" t="s">
        <v>27</v>
      </c>
      <c r="D5" s="13" t="s">
        <v>347</v>
      </c>
      <c r="E5" s="11"/>
      <c r="F5" s="11">
        <v>79.268219665199993</v>
      </c>
      <c r="G5" s="11">
        <v>0.29791175399999997</v>
      </c>
      <c r="H5" s="11">
        <v>1.3196793599999999E-2</v>
      </c>
      <c r="I5" s="11">
        <v>0.66043839240000002</v>
      </c>
      <c r="J5" s="11">
        <v>16.3144272312</v>
      </c>
      <c r="K5" s="11"/>
      <c r="L5" s="11">
        <v>160.817018598</v>
      </c>
      <c r="M5" s="11"/>
      <c r="N5" s="11"/>
      <c r="O5" s="11">
        <v>18.656343118799999</v>
      </c>
      <c r="P5" s="11">
        <v>29.168200494000001</v>
      </c>
      <c r="Q5" s="11">
        <v>7.0199531316000003</v>
      </c>
      <c r="R5" s="11">
        <v>2.7106473636000001</v>
      </c>
      <c r="S5" s="11">
        <v>1.0680652403999999</v>
      </c>
      <c r="T5" s="11">
        <v>3.3636876804</v>
      </c>
      <c r="U5" s="11">
        <v>4.5694190916000004</v>
      </c>
      <c r="V5" s="11">
        <v>12.894142388400001</v>
      </c>
      <c r="W5" s="11">
        <v>8.6651394443999994</v>
      </c>
      <c r="X5" s="11"/>
      <c r="Y5" s="11">
        <v>16.353079768800001</v>
      </c>
      <c r="Z5" s="11"/>
      <c r="AA5" s="11"/>
      <c r="AB5" s="11">
        <v>1.27739268E-2</v>
      </c>
      <c r="AC5" s="11">
        <v>3.235684644</v>
      </c>
      <c r="AD5" s="11"/>
      <c r="AE5" s="11"/>
      <c r="AF5" s="11">
        <v>4.4099983079999996</v>
      </c>
      <c r="AG5" s="11">
        <v>68.487850245600001</v>
      </c>
      <c r="AH5" s="11"/>
      <c r="AI5" s="2">
        <f>SUM(E5:AH5)</f>
        <v>437.98619728080001</v>
      </c>
    </row>
    <row r="6" spans="1:72" x14ac:dyDescent="0.45">
      <c r="B6" t="s">
        <v>27</v>
      </c>
      <c r="C6" s="8" t="s">
        <v>27</v>
      </c>
      <c r="D6" s="13" t="s">
        <v>345</v>
      </c>
      <c r="E6" s="11"/>
      <c r="F6" s="11">
        <v>0.23369042879999999</v>
      </c>
      <c r="G6" s="11"/>
      <c r="H6" s="11">
        <v>4.1332215204000002</v>
      </c>
      <c r="I6" s="11">
        <v>9.7133759999999995E-4</v>
      </c>
      <c r="J6" s="11">
        <v>8.741473182</v>
      </c>
      <c r="K6" s="11">
        <v>2.0951710164000001</v>
      </c>
      <c r="L6" s="11"/>
      <c r="M6" s="11">
        <v>0.86979513959999999</v>
      </c>
      <c r="N6" s="11">
        <v>483.84096453720002</v>
      </c>
      <c r="O6" s="11">
        <v>2.3309464715999999</v>
      </c>
      <c r="P6" s="11">
        <v>31.1522873328</v>
      </c>
      <c r="Q6" s="11">
        <v>0.53943987240000002</v>
      </c>
      <c r="R6" s="11">
        <v>2.55939084E-2</v>
      </c>
      <c r="S6" s="11">
        <v>1.0946974752</v>
      </c>
      <c r="T6" s="11"/>
      <c r="U6" s="11">
        <v>0.44840627999999999</v>
      </c>
      <c r="V6" s="11">
        <v>6.0419710799999998E-2</v>
      </c>
      <c r="W6" s="11"/>
      <c r="X6" s="11"/>
      <c r="Y6" s="11">
        <v>3.6927575999999998E-3</v>
      </c>
      <c r="Z6" s="11"/>
      <c r="AA6" s="11"/>
      <c r="AB6" s="11"/>
      <c r="AC6" s="11">
        <v>2.1092721588000001</v>
      </c>
      <c r="AD6" s="11"/>
      <c r="AE6" s="11">
        <v>10.5276583584</v>
      </c>
      <c r="AF6" s="11"/>
      <c r="AG6" s="11"/>
      <c r="AH6" s="11"/>
      <c r="AI6" s="2">
        <f t="shared" ref="AI6:AI13" si="0">SUM(E6:AH6)</f>
        <v>548.20770148799988</v>
      </c>
    </row>
    <row r="7" spans="1:72" x14ac:dyDescent="0.45">
      <c r="B7" t="s">
        <v>27</v>
      </c>
      <c r="C7" s="8" t="s">
        <v>27</v>
      </c>
      <c r="D7" s="13" t="s">
        <v>350</v>
      </c>
      <c r="E7" s="11">
        <v>52.169043621599997</v>
      </c>
      <c r="F7" s="11">
        <v>10.594885806000001</v>
      </c>
      <c r="G7" s="11">
        <v>11.820391473600001</v>
      </c>
      <c r="H7" s="11">
        <v>85.560213880800006</v>
      </c>
      <c r="I7" s="11">
        <v>73.314954316799998</v>
      </c>
      <c r="J7" s="11">
        <v>101.8656771732</v>
      </c>
      <c r="K7" s="11">
        <v>16.989071436</v>
      </c>
      <c r="L7" s="11">
        <v>112.1152650228</v>
      </c>
      <c r="M7" s="11">
        <v>37.972798059600002</v>
      </c>
      <c r="N7" s="11">
        <v>481.03199854920001</v>
      </c>
      <c r="O7" s="11">
        <v>15.571760086799999</v>
      </c>
      <c r="P7" s="11">
        <v>17.6024753172</v>
      </c>
      <c r="Q7" s="11">
        <v>50.131650445200002</v>
      </c>
      <c r="R7" s="11">
        <v>31.037121025200001</v>
      </c>
      <c r="S7" s="11">
        <v>8.1794538972000002</v>
      </c>
      <c r="T7" s="11">
        <v>23.423651312400001</v>
      </c>
      <c r="U7" s="11">
        <v>59.877951440399997</v>
      </c>
      <c r="V7" s="11">
        <v>30.525904371599999</v>
      </c>
      <c r="W7" s="11">
        <v>18.467999920800001</v>
      </c>
      <c r="X7" s="11">
        <v>760.66199823960005</v>
      </c>
      <c r="Y7" s="11">
        <v>19.629104230799999</v>
      </c>
      <c r="Z7" s="11">
        <v>47.271601310400001</v>
      </c>
      <c r="AA7" s="11">
        <v>171.92890721520001</v>
      </c>
      <c r="AB7" s="11">
        <v>8.6628576384000002</v>
      </c>
      <c r="AC7" s="11">
        <v>70.950597181199996</v>
      </c>
      <c r="AD7" s="11">
        <v>16.9201399608</v>
      </c>
      <c r="AE7" s="11">
        <v>21.547282463999998</v>
      </c>
      <c r="AF7" s="11">
        <v>15.139196657999999</v>
      </c>
      <c r="AG7" s="11">
        <v>270.7410213576</v>
      </c>
      <c r="AH7" s="11"/>
      <c r="AI7" s="2">
        <f t="shared" si="0"/>
        <v>2641.7049734124002</v>
      </c>
    </row>
    <row r="8" spans="1:72" x14ac:dyDescent="0.45">
      <c r="B8" t="s">
        <v>27</v>
      </c>
      <c r="C8" s="8" t="s">
        <v>27</v>
      </c>
      <c r="D8" s="13" t="s">
        <v>351</v>
      </c>
      <c r="E8" s="11"/>
      <c r="F8" s="11"/>
      <c r="G8" s="11"/>
      <c r="H8" s="11">
        <v>4.2600689999999997E-2</v>
      </c>
      <c r="I8" s="11">
        <v>1.6982498159999999</v>
      </c>
      <c r="J8" s="11"/>
      <c r="K8" s="11">
        <v>0.44499822480000001</v>
      </c>
      <c r="L8" s="11"/>
      <c r="M8" s="11"/>
      <c r="N8" s="11">
        <v>46.343086300800003</v>
      </c>
      <c r="O8" s="11"/>
      <c r="P8" s="11">
        <v>2.9998422E-2</v>
      </c>
      <c r="Q8" s="11">
        <v>5.5639180691999996</v>
      </c>
      <c r="R8" s="11">
        <v>2.1864181355999999</v>
      </c>
      <c r="S8" s="11">
        <v>1.9957680108</v>
      </c>
      <c r="T8" s="11"/>
      <c r="U8" s="11">
        <v>26.528104897199999</v>
      </c>
      <c r="V8" s="11">
        <v>0.98114308559999996</v>
      </c>
      <c r="W8" s="11"/>
      <c r="X8" s="11"/>
      <c r="Y8" s="11"/>
      <c r="Z8" s="11"/>
      <c r="AA8" s="11"/>
      <c r="AB8" s="11">
        <v>0.69256789559999998</v>
      </c>
      <c r="AC8" s="11"/>
      <c r="AD8" s="11"/>
      <c r="AE8" s="11"/>
      <c r="AF8" s="11"/>
      <c r="AG8" s="11"/>
      <c r="AH8" s="11"/>
      <c r="AI8" s="2">
        <f t="shared" si="0"/>
        <v>86.506853547600002</v>
      </c>
    </row>
    <row r="9" spans="1:72" x14ac:dyDescent="0.45">
      <c r="B9" t="s">
        <v>27</v>
      </c>
      <c r="C9" s="8" t="s">
        <v>27</v>
      </c>
      <c r="D9" s="13" t="s">
        <v>352</v>
      </c>
      <c r="E9" s="11"/>
      <c r="F9" s="11"/>
      <c r="G9" s="11"/>
      <c r="H9" s="11">
        <v>8.5703754132000007</v>
      </c>
      <c r="I9" s="11"/>
      <c r="J9" s="11">
        <v>0.22273776000000001</v>
      </c>
      <c r="K9" s="11"/>
      <c r="L9" s="11"/>
      <c r="M9" s="11"/>
      <c r="N9" s="11">
        <v>0.69880204079999997</v>
      </c>
      <c r="O9" s="11">
        <v>2.4396274259999999</v>
      </c>
      <c r="P9" s="11">
        <v>2.2580417231999999</v>
      </c>
      <c r="Q9" s="11">
        <v>3.0276090575999999</v>
      </c>
      <c r="R9" s="11">
        <v>0.6258596112</v>
      </c>
      <c r="S9" s="11">
        <v>1.0561663548</v>
      </c>
      <c r="T9" s="11"/>
      <c r="U9" s="11">
        <v>14.7869988552</v>
      </c>
      <c r="V9" s="11">
        <v>0.77969101679999997</v>
      </c>
      <c r="W9" s="11"/>
      <c r="X9" s="11"/>
      <c r="Y9" s="11"/>
      <c r="Z9" s="11"/>
      <c r="AA9" s="11"/>
      <c r="AB9" s="11">
        <v>1.7615416716000001</v>
      </c>
      <c r="AC9" s="11">
        <v>106.4233564776</v>
      </c>
      <c r="AD9" s="11"/>
      <c r="AE9" s="11"/>
      <c r="AF9" s="11">
        <v>0.17113544999999999</v>
      </c>
      <c r="AG9" s="11"/>
      <c r="AH9" s="11"/>
      <c r="AI9" s="2">
        <f t="shared" si="0"/>
        <v>142.821942858</v>
      </c>
    </row>
    <row r="10" spans="1:72" x14ac:dyDescent="0.45">
      <c r="B10" t="s">
        <v>27</v>
      </c>
      <c r="C10" s="8" t="s">
        <v>27</v>
      </c>
      <c r="D10" s="13" t="s">
        <v>346</v>
      </c>
      <c r="E10" s="11">
        <v>1.3640594400000001E-2</v>
      </c>
      <c r="F10" s="11">
        <v>0.148694202</v>
      </c>
      <c r="G10" s="11"/>
      <c r="H10" s="11">
        <v>3.8007770400000002E-2</v>
      </c>
      <c r="I10" s="11">
        <v>24.973508376000002</v>
      </c>
      <c r="J10" s="11">
        <v>0.1043099352</v>
      </c>
      <c r="K10" s="11"/>
      <c r="L10" s="11"/>
      <c r="M10" s="11">
        <v>0.56940061320000002</v>
      </c>
      <c r="N10" s="11">
        <v>8.8543911780000002</v>
      </c>
      <c r="O10" s="11"/>
      <c r="P10" s="11"/>
      <c r="Q10" s="11">
        <v>0.26659867679999999</v>
      </c>
      <c r="R10" s="11">
        <v>1.4448646799999999E-2</v>
      </c>
      <c r="S10" s="11">
        <v>4.5648680400000002E-2</v>
      </c>
      <c r="T10" s="11">
        <v>1.00608804E-2</v>
      </c>
      <c r="U10" s="11">
        <v>4.4346585600000002E-2</v>
      </c>
      <c r="V10" s="11"/>
      <c r="W10" s="11"/>
      <c r="X10" s="11"/>
      <c r="Y10" s="11">
        <v>0.1170503676</v>
      </c>
      <c r="Z10" s="11"/>
      <c r="AA10" s="11">
        <v>0.4540752072</v>
      </c>
      <c r="AB10" s="11"/>
      <c r="AC10" s="11"/>
      <c r="AD10" s="11"/>
      <c r="AE10" s="11">
        <v>5.2289656956000004</v>
      </c>
      <c r="AF10" s="11">
        <v>13.0186787544</v>
      </c>
      <c r="AG10" s="11"/>
      <c r="AH10" s="11"/>
      <c r="AI10" s="2">
        <f t="shared" si="0"/>
        <v>53.901826163999999</v>
      </c>
    </row>
    <row r="11" spans="1:72" x14ac:dyDescent="0.45">
      <c r="B11" t="s">
        <v>27</v>
      </c>
      <c r="C11" s="8" t="s">
        <v>27</v>
      </c>
      <c r="D11" s="13" t="s">
        <v>353</v>
      </c>
      <c r="E11" s="11">
        <v>5.8027122071999999</v>
      </c>
      <c r="F11" s="11">
        <v>0.23913745559999999</v>
      </c>
      <c r="G11" s="11">
        <v>6.9405169752000004</v>
      </c>
      <c r="H11" s="11">
        <v>0.7170816096</v>
      </c>
      <c r="I11" s="11">
        <v>0.33886703159999998</v>
      </c>
      <c r="J11" s="11">
        <v>8.6909594399999998E-2</v>
      </c>
      <c r="K11" s="11">
        <v>2.1275642879999999</v>
      </c>
      <c r="L11" s="11">
        <v>0.86151783599999998</v>
      </c>
      <c r="M11" s="11">
        <v>9.8383980348000009</v>
      </c>
      <c r="N11" s="11">
        <v>3.9289224275999999</v>
      </c>
      <c r="O11" s="11">
        <v>0.3966113772</v>
      </c>
      <c r="P11" s="11">
        <v>3.7831757328000002</v>
      </c>
      <c r="Q11" s="11">
        <v>1.4889768048000001</v>
      </c>
      <c r="R11" s="11">
        <v>2.5035389280000002</v>
      </c>
      <c r="S11" s="11">
        <v>1.5317700876</v>
      </c>
      <c r="T11" s="11">
        <v>2.6304157151999998</v>
      </c>
      <c r="U11" s="11">
        <v>1.0847705724000001</v>
      </c>
      <c r="V11" s="11">
        <v>13.0385618676</v>
      </c>
      <c r="W11" s="11">
        <v>9.4300008155999997</v>
      </c>
      <c r="X11" s="11">
        <v>1.2156080724</v>
      </c>
      <c r="Y11" s="11">
        <v>1.7547297479999999</v>
      </c>
      <c r="Z11" s="11">
        <v>3.4647235379999999</v>
      </c>
      <c r="AA11" s="11"/>
      <c r="AB11" s="11">
        <v>0.65333757960000005</v>
      </c>
      <c r="AC11" s="11">
        <v>2.3607188064</v>
      </c>
      <c r="AD11" s="11"/>
      <c r="AE11" s="11">
        <v>7.9549199999999997E-4</v>
      </c>
      <c r="AF11" s="11">
        <v>3.3676609536000002</v>
      </c>
      <c r="AG11" s="11">
        <v>36.231801015599999</v>
      </c>
      <c r="AH11" s="11"/>
      <c r="AI11" s="2">
        <f t="shared" si="0"/>
        <v>115.8188245668</v>
      </c>
    </row>
    <row r="12" spans="1:72" x14ac:dyDescent="0.45">
      <c r="B12" t="s">
        <v>27</v>
      </c>
      <c r="C12" s="8" t="s">
        <v>27</v>
      </c>
      <c r="D12" s="13" t="s">
        <v>348</v>
      </c>
      <c r="E12" s="11">
        <v>2.5815390119999999</v>
      </c>
      <c r="F12" s="11"/>
      <c r="G12" s="11">
        <v>1.0606755384</v>
      </c>
      <c r="H12" s="11">
        <v>9.7361647524000006</v>
      </c>
      <c r="I12" s="11">
        <v>0.28134877320000001</v>
      </c>
      <c r="J12" s="11">
        <v>1.1640392568</v>
      </c>
      <c r="K12" s="11">
        <v>2.4265478628000001</v>
      </c>
      <c r="L12" s="11"/>
      <c r="M12" s="11">
        <v>39.802299868799999</v>
      </c>
      <c r="N12" s="11">
        <v>4.3447009752000003</v>
      </c>
      <c r="O12" s="11">
        <v>2.0392688628000002</v>
      </c>
      <c r="P12" s="11">
        <v>13.862859051599999</v>
      </c>
      <c r="Q12" s="11">
        <v>105.024810366</v>
      </c>
      <c r="R12" s="11">
        <v>6.1507692648000001</v>
      </c>
      <c r="S12" s="11">
        <v>11.1924300888</v>
      </c>
      <c r="T12" s="11">
        <v>8.5300355951999993</v>
      </c>
      <c r="U12" s="11">
        <v>16.575721232399999</v>
      </c>
      <c r="V12" s="11">
        <v>9.4594423931999998</v>
      </c>
      <c r="W12" s="11">
        <v>34.262300988</v>
      </c>
      <c r="X12" s="11">
        <v>7.2183613967999998</v>
      </c>
      <c r="Y12" s="11">
        <v>0.37049830560000002</v>
      </c>
      <c r="Z12" s="11"/>
      <c r="AA12" s="11">
        <v>80.354388628799995</v>
      </c>
      <c r="AB12" s="11">
        <v>0.56379448799999998</v>
      </c>
      <c r="AC12" s="11">
        <v>51.654883647600002</v>
      </c>
      <c r="AD12" s="11"/>
      <c r="AE12" s="11"/>
      <c r="AF12" s="11">
        <v>3.6518986188000002</v>
      </c>
      <c r="AG12" s="11">
        <v>62.218766199599997</v>
      </c>
      <c r="AH12" s="11"/>
      <c r="AI12" s="2">
        <f t="shared" si="0"/>
        <v>474.5275451675999</v>
      </c>
    </row>
    <row r="13" spans="1:72" x14ac:dyDescent="0.45">
      <c r="B13" t="s">
        <v>27</v>
      </c>
      <c r="C13" s="8" t="s">
        <v>27</v>
      </c>
      <c r="D13" s="13" t="s">
        <v>349</v>
      </c>
      <c r="E13" s="11">
        <v>85.922254850399995</v>
      </c>
      <c r="F13" s="11">
        <v>50.3443063908</v>
      </c>
      <c r="G13" s="11">
        <v>155.67478246440001</v>
      </c>
      <c r="H13" s="11">
        <v>35.068310229600002</v>
      </c>
      <c r="I13" s="11">
        <v>202.61959566120001</v>
      </c>
      <c r="J13" s="11">
        <v>446.46421607280001</v>
      </c>
      <c r="K13" s="11">
        <v>96.929410665600003</v>
      </c>
      <c r="L13" s="11">
        <v>257.23270890359998</v>
      </c>
      <c r="M13" s="11">
        <v>204.81840253799999</v>
      </c>
      <c r="N13" s="11">
        <v>739.59967700640004</v>
      </c>
      <c r="O13" s="11">
        <v>44.615457709200001</v>
      </c>
      <c r="P13" s="11">
        <v>132.8937588972</v>
      </c>
      <c r="Q13" s="11">
        <v>46.423640332799998</v>
      </c>
      <c r="R13" s="11">
        <v>91.753772241600004</v>
      </c>
      <c r="S13" s="11">
        <v>46.514669738400002</v>
      </c>
      <c r="T13" s="11">
        <v>102.44186877600001</v>
      </c>
      <c r="U13" s="11">
        <v>221.81479250039999</v>
      </c>
      <c r="V13" s="11">
        <v>114.7506881508</v>
      </c>
      <c r="W13" s="11">
        <v>79.782999285599999</v>
      </c>
      <c r="X13" s="11">
        <v>451.905984252</v>
      </c>
      <c r="Y13" s="11">
        <v>47.0822449068</v>
      </c>
      <c r="Z13" s="11">
        <v>125.4926981088</v>
      </c>
      <c r="AA13" s="11">
        <v>120.84687410399999</v>
      </c>
      <c r="AB13" s="11">
        <v>22.5621167292</v>
      </c>
      <c r="AC13" s="11">
        <v>139.26308749559999</v>
      </c>
      <c r="AD13" s="11"/>
      <c r="AE13" s="11">
        <v>43.620854061599999</v>
      </c>
      <c r="AF13" s="11">
        <v>17.769645867600001</v>
      </c>
      <c r="AG13" s="11">
        <v>459.66965122800002</v>
      </c>
      <c r="AH13" s="11"/>
      <c r="AI13" s="2">
        <f t="shared" si="0"/>
        <v>4583.8784691684014</v>
      </c>
    </row>
    <row r="16" spans="1:72" x14ac:dyDescent="0.45">
      <c r="A16" s="8"/>
      <c r="B16" s="8"/>
      <c r="C16" s="8"/>
      <c r="D16" s="54" t="s">
        <v>336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54" t="s">
        <v>341</v>
      </c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x14ac:dyDescent="0.45">
      <c r="A17" s="8" t="s">
        <v>338</v>
      </c>
      <c r="B17" s="8" t="s">
        <v>334</v>
      </c>
      <c r="C17" s="8" t="s">
        <v>37</v>
      </c>
      <c r="D17" s="8" t="s">
        <v>38</v>
      </c>
      <c r="E17" s="8" t="str">
        <f t="shared" ref="E17:AH17" si="1">E4</f>
        <v>Africa_north</v>
      </c>
      <c r="F17" s="8" t="str">
        <f t="shared" si="1"/>
        <v>Africa_other</v>
      </c>
      <c r="G17" s="8" t="str">
        <f t="shared" si="1"/>
        <v>Arg-Chi</v>
      </c>
      <c r="H17" s="8" t="str">
        <f t="shared" si="1"/>
        <v>Asia_central</v>
      </c>
      <c r="I17" s="8" t="str">
        <f t="shared" si="1"/>
        <v>Asia_east</v>
      </c>
      <c r="J17" s="8" t="str">
        <f t="shared" si="1"/>
        <v>Asia_other</v>
      </c>
      <c r="K17" s="8" t="str">
        <f t="shared" si="1"/>
        <v>Australia_NZ</v>
      </c>
      <c r="L17" s="8" t="str">
        <f t="shared" si="1"/>
        <v>Brazil</v>
      </c>
      <c r="M17" s="8" t="str">
        <f t="shared" si="1"/>
        <v>Canada</v>
      </c>
      <c r="N17" s="8" t="str">
        <f t="shared" si="1"/>
        <v>China</v>
      </c>
      <c r="O17" s="8" t="str">
        <f t="shared" si="1"/>
        <v>EU_north</v>
      </c>
      <c r="P17" s="8" t="str">
        <f t="shared" si="1"/>
        <v>EU_northeast</v>
      </c>
      <c r="Q17" s="8" t="str">
        <f t="shared" si="1"/>
        <v>EU_northwest</v>
      </c>
      <c r="R17" s="8" t="str">
        <f t="shared" si="1"/>
        <v>EU_south</v>
      </c>
      <c r="S17" s="8" t="str">
        <f t="shared" si="1"/>
        <v>EU_southeast</v>
      </c>
      <c r="T17" s="8" t="str">
        <f t="shared" si="1"/>
        <v>EU_southwest</v>
      </c>
      <c r="U17" s="8" t="str">
        <f t="shared" si="1"/>
        <v>Europe_other</v>
      </c>
      <c r="V17" s="8" t="str">
        <f t="shared" si="1"/>
        <v>France</v>
      </c>
      <c r="W17" s="8" t="str">
        <f t="shared" si="1"/>
        <v>Germany</v>
      </c>
      <c r="X17" s="8" t="str">
        <f t="shared" si="1"/>
        <v>India</v>
      </c>
      <c r="Y17" s="8" t="str">
        <f t="shared" si="1"/>
        <v>LatAm_other</v>
      </c>
      <c r="Z17" s="8" t="str">
        <f t="shared" si="1"/>
        <v>Mexico</v>
      </c>
      <c r="AA17" s="8" t="str">
        <f t="shared" si="1"/>
        <v>MidEast_other</v>
      </c>
      <c r="AB17" s="8" t="str">
        <f t="shared" si="1"/>
        <v>Nor-Ice</v>
      </c>
      <c r="AC17" s="8" t="str">
        <f t="shared" si="1"/>
        <v>Russia</v>
      </c>
      <c r="AD17" s="8" t="str">
        <f t="shared" si="1"/>
        <v>SaudiArabia</v>
      </c>
      <c r="AE17" s="8" t="str">
        <f>AE4</f>
        <v>SouthAfrica</v>
      </c>
      <c r="AF17" s="8" t="str">
        <f t="shared" si="1"/>
        <v>UK</v>
      </c>
      <c r="AG17" s="8" t="str">
        <f t="shared" si="1"/>
        <v>USA</v>
      </c>
      <c r="AH17" s="8" t="str">
        <f t="shared" si="1"/>
        <v>\I:</v>
      </c>
      <c r="AI17" s="8" t="s">
        <v>337</v>
      </c>
      <c r="AJ17" s="8"/>
      <c r="AK17" s="8" t="s">
        <v>338</v>
      </c>
      <c r="AL17" s="8" t="s">
        <v>340</v>
      </c>
      <c r="AM17" s="8" t="str">
        <f t="shared" ref="AM17:BC17" si="2">E17</f>
        <v>Africa_north</v>
      </c>
      <c r="AN17" s="8" t="str">
        <f t="shared" si="2"/>
        <v>Africa_other</v>
      </c>
      <c r="AO17" s="8" t="str">
        <f t="shared" si="2"/>
        <v>Arg-Chi</v>
      </c>
      <c r="AP17" s="8" t="str">
        <f t="shared" si="2"/>
        <v>Asia_central</v>
      </c>
      <c r="AQ17" s="8" t="str">
        <f t="shared" si="2"/>
        <v>Asia_east</v>
      </c>
      <c r="AR17" s="8" t="str">
        <f t="shared" si="2"/>
        <v>Asia_other</v>
      </c>
      <c r="AS17" s="8" t="str">
        <f t="shared" si="2"/>
        <v>Australia_NZ</v>
      </c>
      <c r="AT17" s="8" t="str">
        <f t="shared" si="2"/>
        <v>Brazil</v>
      </c>
      <c r="AU17" s="8" t="str">
        <f t="shared" si="2"/>
        <v>Canada</v>
      </c>
      <c r="AV17" s="8" t="str">
        <f t="shared" si="2"/>
        <v>China</v>
      </c>
      <c r="AW17" s="8" t="str">
        <f t="shared" si="2"/>
        <v>EU_north</v>
      </c>
      <c r="AX17" s="8" t="str">
        <f t="shared" si="2"/>
        <v>EU_northeast</v>
      </c>
      <c r="AY17" s="8" t="str">
        <f t="shared" si="2"/>
        <v>EU_northwest</v>
      </c>
      <c r="AZ17" s="8" t="str">
        <f t="shared" si="2"/>
        <v>EU_south</v>
      </c>
      <c r="BA17" s="8" t="str">
        <f t="shared" si="2"/>
        <v>EU_southeast</v>
      </c>
      <c r="BB17" s="8" t="str">
        <f t="shared" si="2"/>
        <v>EU_southwest</v>
      </c>
      <c r="BC17" s="8" t="str">
        <f t="shared" si="2"/>
        <v>Europe_other</v>
      </c>
      <c r="BD17" s="8" t="str">
        <f t="shared" ref="BD17:BP17" si="3">V17</f>
        <v>France</v>
      </c>
      <c r="BE17" s="8" t="str">
        <f t="shared" si="3"/>
        <v>Germany</v>
      </c>
      <c r="BF17" s="8" t="str">
        <f t="shared" si="3"/>
        <v>India</v>
      </c>
      <c r="BG17" s="8" t="str">
        <f t="shared" si="3"/>
        <v>LatAm_other</v>
      </c>
      <c r="BH17" s="8" t="str">
        <f t="shared" si="3"/>
        <v>Mexico</v>
      </c>
      <c r="BI17" s="8" t="str">
        <f t="shared" si="3"/>
        <v>MidEast_other</v>
      </c>
      <c r="BJ17" s="8" t="str">
        <f t="shared" si="3"/>
        <v>Nor-Ice</v>
      </c>
      <c r="BK17" s="8" t="str">
        <f t="shared" si="3"/>
        <v>Russia</v>
      </c>
      <c r="BL17" s="8" t="str">
        <f t="shared" si="3"/>
        <v>SaudiArabia</v>
      </c>
      <c r="BM17" s="8" t="str">
        <f t="shared" si="3"/>
        <v>SouthAfrica</v>
      </c>
      <c r="BN17" s="8" t="str">
        <f t="shared" si="3"/>
        <v>UK</v>
      </c>
      <c r="BO17" s="8" t="str">
        <f t="shared" si="3"/>
        <v>USA</v>
      </c>
      <c r="BP17" s="8" t="str">
        <f t="shared" si="3"/>
        <v>\I:</v>
      </c>
      <c r="BQ17" s="8">
        <v>0</v>
      </c>
      <c r="BR17" s="8" t="s">
        <v>373</v>
      </c>
      <c r="BS17" s="8"/>
      <c r="BT17" s="8"/>
    </row>
    <row r="18" spans="1:72" x14ac:dyDescent="0.45">
      <c r="A18" s="8" t="s">
        <v>339</v>
      </c>
      <c r="B18" s="8"/>
      <c r="C18" s="8" t="str">
        <f t="shared" ref="C18:C26" si="4">D5</f>
        <v>AGRBIO</v>
      </c>
      <c r="D18" s="8"/>
      <c r="E18" s="9">
        <f t="shared" ref="E18:AH18" si="5">IFERROR(E5/SUM(E$5:E$13),0)</f>
        <v>0</v>
      </c>
      <c r="F18" s="9">
        <f t="shared" si="5"/>
        <v>0.56286884692490846</v>
      </c>
      <c r="G18" s="9">
        <f t="shared" si="5"/>
        <v>1.6946612656617733E-3</v>
      </c>
      <c r="H18" s="9">
        <f t="shared" si="5"/>
        <v>9.1721361445309824E-5</v>
      </c>
      <c r="I18" s="9">
        <f t="shared" si="5"/>
        <v>2.1732958737399458E-3</v>
      </c>
      <c r="J18" s="9">
        <f t="shared" si="5"/>
        <v>2.837470377980874E-2</v>
      </c>
      <c r="K18" s="9">
        <f t="shared" si="5"/>
        <v>0</v>
      </c>
      <c r="L18" s="9">
        <f t="shared" si="5"/>
        <v>0.30284178936538558</v>
      </c>
      <c r="M18" s="9">
        <f t="shared" si="5"/>
        <v>0</v>
      </c>
      <c r="N18" s="9">
        <f t="shared" si="5"/>
        <v>0</v>
      </c>
      <c r="O18" s="9">
        <f t="shared" si="5"/>
        <v>0.2168081331239658</v>
      </c>
      <c r="P18" s="9">
        <f t="shared" si="5"/>
        <v>0.12640563272980176</v>
      </c>
      <c r="Q18" s="9">
        <f t="shared" si="5"/>
        <v>3.1983516238994703E-2</v>
      </c>
      <c r="R18" s="9">
        <f t="shared" si="5"/>
        <v>1.9784567452492356E-2</v>
      </c>
      <c r="S18" s="9">
        <f t="shared" si="5"/>
        <v>1.4695718106375008E-2</v>
      </c>
      <c r="T18" s="9">
        <f t="shared" si="5"/>
        <v>2.395793724779437E-2</v>
      </c>
      <c r="U18" s="9">
        <f t="shared" si="5"/>
        <v>1.3216707638463981E-2</v>
      </c>
      <c r="V18" s="9">
        <f t="shared" si="5"/>
        <v>7.0656709321447478E-2</v>
      </c>
      <c r="W18" s="9">
        <f t="shared" si="5"/>
        <v>5.7534221974920183E-2</v>
      </c>
      <c r="X18" s="9">
        <f t="shared" si="5"/>
        <v>0</v>
      </c>
      <c r="Y18" s="9">
        <f t="shared" si="5"/>
        <v>0.19168916981362277</v>
      </c>
      <c r="Z18" s="9">
        <f t="shared" si="5"/>
        <v>0</v>
      </c>
      <c r="AA18" s="9">
        <f t="shared" si="5"/>
        <v>0</v>
      </c>
      <c r="AB18" s="9">
        <f t="shared" si="5"/>
        <v>3.6592083660705153E-4</v>
      </c>
      <c r="AC18" s="9">
        <f t="shared" si="5"/>
        <v>8.605599185902724E-3</v>
      </c>
      <c r="AD18" s="9">
        <f t="shared" si="5"/>
        <v>0</v>
      </c>
      <c r="AE18" s="9">
        <f t="shared" si="5"/>
        <v>0</v>
      </c>
      <c r="AF18" s="9">
        <f t="shared" si="5"/>
        <v>7.6658007516241536E-2</v>
      </c>
      <c r="AG18" s="9">
        <f t="shared" si="5"/>
        <v>7.6322415663294021E-2</v>
      </c>
      <c r="AH18" s="9">
        <f t="shared" si="5"/>
        <v>0</v>
      </c>
      <c r="AI18" s="8"/>
      <c r="AJ18" s="8"/>
      <c r="AK18" s="8" t="s">
        <v>339</v>
      </c>
      <c r="AL18" s="8" t="str">
        <f>C18</f>
        <v>AGRBIO</v>
      </c>
      <c r="AM18" s="55">
        <f>MAX(AVERAGE($E18:$AC18),E18)</f>
        <v>6.6949954089653513E-2</v>
      </c>
      <c r="AN18" s="55">
        <f t="shared" ref="AN18:BP18" si="6">MAX(AVERAGE($E18:$AC18),F18)</f>
        <v>0.56286884692490846</v>
      </c>
      <c r="AO18" s="55">
        <f t="shared" si="6"/>
        <v>6.6949954089653513E-2</v>
      </c>
      <c r="AP18" s="55">
        <f t="shared" si="6"/>
        <v>6.6949954089653513E-2</v>
      </c>
      <c r="AQ18" s="55">
        <f t="shared" si="6"/>
        <v>6.6949954089653513E-2</v>
      </c>
      <c r="AR18" s="55">
        <f t="shared" si="6"/>
        <v>6.6949954089653513E-2</v>
      </c>
      <c r="AS18" s="55">
        <f t="shared" si="6"/>
        <v>6.6949954089653513E-2</v>
      </c>
      <c r="AT18" s="55">
        <f t="shared" si="6"/>
        <v>0.30284178936538558</v>
      </c>
      <c r="AU18" s="55">
        <f t="shared" si="6"/>
        <v>6.6949954089653513E-2</v>
      </c>
      <c r="AV18" s="55">
        <f t="shared" si="6"/>
        <v>6.6949954089653513E-2</v>
      </c>
      <c r="AW18" s="55">
        <f t="shared" si="6"/>
        <v>0.2168081331239658</v>
      </c>
      <c r="AX18" s="55">
        <f t="shared" si="6"/>
        <v>0.12640563272980176</v>
      </c>
      <c r="AY18" s="55">
        <f t="shared" si="6"/>
        <v>6.6949954089653513E-2</v>
      </c>
      <c r="AZ18" s="55">
        <f t="shared" si="6"/>
        <v>6.6949954089653513E-2</v>
      </c>
      <c r="BA18" s="55">
        <f t="shared" si="6"/>
        <v>6.6949954089653513E-2</v>
      </c>
      <c r="BB18" s="55">
        <f t="shared" si="6"/>
        <v>6.6949954089653513E-2</v>
      </c>
      <c r="BC18" s="55">
        <f t="shared" si="6"/>
        <v>6.6949954089653513E-2</v>
      </c>
      <c r="BD18" s="55">
        <f t="shared" si="6"/>
        <v>7.0656709321447478E-2</v>
      </c>
      <c r="BE18" s="55">
        <f t="shared" si="6"/>
        <v>6.6949954089653513E-2</v>
      </c>
      <c r="BF18" s="55">
        <f t="shared" si="6"/>
        <v>6.6949954089653513E-2</v>
      </c>
      <c r="BG18" s="55">
        <f t="shared" si="6"/>
        <v>0.19168916981362277</v>
      </c>
      <c r="BH18" s="55">
        <f t="shared" si="6"/>
        <v>6.6949954089653513E-2</v>
      </c>
      <c r="BI18" s="55">
        <f t="shared" si="6"/>
        <v>6.6949954089653513E-2</v>
      </c>
      <c r="BJ18" s="55">
        <f t="shared" si="6"/>
        <v>6.6949954089653513E-2</v>
      </c>
      <c r="BK18" s="55">
        <f t="shared" si="6"/>
        <v>6.6949954089653513E-2</v>
      </c>
      <c r="BL18" s="55">
        <f t="shared" si="6"/>
        <v>6.6949954089653513E-2</v>
      </c>
      <c r="BM18" s="55">
        <f t="shared" si="6"/>
        <v>6.6949954089653513E-2</v>
      </c>
      <c r="BN18" s="55">
        <f t="shared" si="6"/>
        <v>7.6658007516241536E-2</v>
      </c>
      <c r="BO18" s="55">
        <f t="shared" si="6"/>
        <v>7.6322415663294021E-2</v>
      </c>
      <c r="BP18" s="55">
        <f t="shared" si="6"/>
        <v>6.6949954089653513E-2</v>
      </c>
      <c r="BQ18" s="8">
        <v>3</v>
      </c>
      <c r="BR18" s="8"/>
      <c r="BS18" s="8"/>
      <c r="BT18" s="8"/>
    </row>
    <row r="19" spans="1:72" x14ac:dyDescent="0.45">
      <c r="A19" s="8"/>
      <c r="B19" s="8"/>
      <c r="C19" s="8" t="str">
        <f t="shared" si="4"/>
        <v>AGRCOA</v>
      </c>
      <c r="D19" s="8"/>
      <c r="E19" s="9">
        <f t="shared" ref="E19:AH19" si="7">IFERROR(E6/SUM(E$5:E$13),0)</f>
        <v>0</v>
      </c>
      <c r="F19" s="9">
        <f t="shared" si="7"/>
        <v>1.6593921593244798E-3</v>
      </c>
      <c r="G19" s="9">
        <f t="shared" si="7"/>
        <v>0</v>
      </c>
      <c r="H19" s="9">
        <f t="shared" si="7"/>
        <v>2.8727031466654254E-2</v>
      </c>
      <c r="I19" s="9">
        <f t="shared" si="7"/>
        <v>3.1963677799183952E-6</v>
      </c>
      <c r="J19" s="9">
        <f t="shared" si="7"/>
        <v>1.5203519475329318E-2</v>
      </c>
      <c r="K19" s="9">
        <f t="shared" si="7"/>
        <v>1.7313636643880193E-2</v>
      </c>
      <c r="L19" s="9">
        <f t="shared" si="7"/>
        <v>0</v>
      </c>
      <c r="M19" s="9">
        <f t="shared" si="7"/>
        <v>2.9597846015035922E-3</v>
      </c>
      <c r="N19" s="9">
        <f t="shared" si="7"/>
        <v>0.2735662819194335</v>
      </c>
      <c r="O19" s="9">
        <f t="shared" si="7"/>
        <v>2.7088275001237064E-2</v>
      </c>
      <c r="P19" s="9">
        <f t="shared" si="7"/>
        <v>0.13500402920273386</v>
      </c>
      <c r="Q19" s="9">
        <f t="shared" si="7"/>
        <v>2.4577349158076576E-3</v>
      </c>
      <c r="R19" s="9">
        <f t="shared" si="7"/>
        <v>1.8680571066249287E-4</v>
      </c>
      <c r="S19" s="9">
        <f t="shared" si="7"/>
        <v>1.5062156223036324E-2</v>
      </c>
      <c r="T19" s="9">
        <f t="shared" si="7"/>
        <v>0</v>
      </c>
      <c r="U19" s="9">
        <f t="shared" si="7"/>
        <v>1.2969820861706179E-3</v>
      </c>
      <c r="V19" s="9">
        <f t="shared" si="7"/>
        <v>3.3108506286715951E-4</v>
      </c>
      <c r="W19" s="9">
        <f t="shared" si="7"/>
        <v>0</v>
      </c>
      <c r="X19" s="9">
        <f t="shared" si="7"/>
        <v>0</v>
      </c>
      <c r="Y19" s="9">
        <f t="shared" si="7"/>
        <v>4.3286136230893549E-5</v>
      </c>
      <c r="Z19" s="9">
        <f t="shared" si="7"/>
        <v>0</v>
      </c>
      <c r="AA19" s="9">
        <f t="shared" si="7"/>
        <v>0</v>
      </c>
      <c r="AB19" s="9">
        <f t="shared" si="7"/>
        <v>0</v>
      </c>
      <c r="AC19" s="9">
        <f t="shared" si="7"/>
        <v>5.6098021809002224E-3</v>
      </c>
      <c r="AD19" s="9">
        <f t="shared" si="7"/>
        <v>0</v>
      </c>
      <c r="AE19" s="9">
        <f t="shared" si="7"/>
        <v>0.13009065206898929</v>
      </c>
      <c r="AF19" s="9">
        <f t="shared" si="7"/>
        <v>0</v>
      </c>
      <c r="AG19" s="9">
        <f t="shared" si="7"/>
        <v>0</v>
      </c>
      <c r="AH19" s="9">
        <f t="shared" si="7"/>
        <v>0</v>
      </c>
      <c r="AI19" s="8"/>
      <c r="AJ19" s="8"/>
      <c r="AK19" s="8"/>
      <c r="AL19" s="8" t="str">
        <f t="shared" ref="AL19:AL26" si="8">C19</f>
        <v>AGRCOA</v>
      </c>
      <c r="AM19" s="56">
        <f t="shared" ref="AM19:BP19" si="9">E19*$BT19</f>
        <v>0</v>
      </c>
      <c r="AN19" s="56">
        <f t="shared" si="9"/>
        <v>8.296960796622399E-4</v>
      </c>
      <c r="AO19" s="56">
        <f t="shared" si="9"/>
        <v>0</v>
      </c>
      <c r="AP19" s="56">
        <f t="shared" si="9"/>
        <v>1.4363515733327127E-2</v>
      </c>
      <c r="AQ19" s="56">
        <f t="shared" si="9"/>
        <v>1.5981838899591976E-6</v>
      </c>
      <c r="AR19" s="56">
        <f t="shared" si="9"/>
        <v>7.601759737664659E-3</v>
      </c>
      <c r="AS19" s="56">
        <f t="shared" si="9"/>
        <v>8.6568183219400963E-3</v>
      </c>
      <c r="AT19" s="56">
        <f t="shared" si="9"/>
        <v>0</v>
      </c>
      <c r="AU19" s="56">
        <f t="shared" si="9"/>
        <v>1.4798923007517961E-3</v>
      </c>
      <c r="AV19" s="56">
        <f t="shared" si="9"/>
        <v>0.13678314095971675</v>
      </c>
      <c r="AW19" s="56">
        <f t="shared" si="9"/>
        <v>1.3544137500618532E-2</v>
      </c>
      <c r="AX19" s="56">
        <f t="shared" si="9"/>
        <v>6.7502014601366928E-2</v>
      </c>
      <c r="AY19" s="56">
        <f t="shared" si="9"/>
        <v>1.2288674579038288E-3</v>
      </c>
      <c r="AZ19" s="56">
        <f t="shared" si="9"/>
        <v>9.3402855331246434E-5</v>
      </c>
      <c r="BA19" s="56">
        <f t="shared" si="9"/>
        <v>7.531078111518162E-3</v>
      </c>
      <c r="BB19" s="56">
        <f t="shared" si="9"/>
        <v>0</v>
      </c>
      <c r="BC19" s="56">
        <f t="shared" si="9"/>
        <v>6.4849104308530893E-4</v>
      </c>
      <c r="BD19" s="56">
        <f t="shared" si="9"/>
        <v>1.6554253143357975E-4</v>
      </c>
      <c r="BE19" s="56">
        <f t="shared" si="9"/>
        <v>0</v>
      </c>
      <c r="BF19" s="56">
        <f t="shared" si="9"/>
        <v>0</v>
      </c>
      <c r="BG19" s="56">
        <f t="shared" si="9"/>
        <v>2.1643068115446774E-5</v>
      </c>
      <c r="BH19" s="56">
        <f t="shared" si="9"/>
        <v>0</v>
      </c>
      <c r="BI19" s="56">
        <f t="shared" si="9"/>
        <v>0</v>
      </c>
      <c r="BJ19" s="56">
        <f t="shared" si="9"/>
        <v>0</v>
      </c>
      <c r="BK19" s="56">
        <f t="shared" si="9"/>
        <v>2.8049010904501112E-3</v>
      </c>
      <c r="BL19" s="56">
        <f t="shared" si="9"/>
        <v>0</v>
      </c>
      <c r="BM19" s="56">
        <f t="shared" si="9"/>
        <v>6.5045326034494644E-2</v>
      </c>
      <c r="BN19" s="56">
        <f t="shared" si="9"/>
        <v>0</v>
      </c>
      <c r="BO19" s="56">
        <f t="shared" si="9"/>
        <v>0</v>
      </c>
      <c r="BP19" s="56">
        <f t="shared" si="9"/>
        <v>0</v>
      </c>
      <c r="BQ19" s="8">
        <v>3</v>
      </c>
      <c r="BR19" s="8"/>
      <c r="BT19" s="57">
        <v>0.5</v>
      </c>
    </row>
    <row r="20" spans="1:72" x14ac:dyDescent="0.45">
      <c r="A20" s="8"/>
      <c r="B20" s="8"/>
      <c r="C20" s="8" t="str">
        <f t="shared" si="4"/>
        <v>AGRELC</v>
      </c>
      <c r="D20" s="8"/>
      <c r="E20" s="9">
        <f t="shared" ref="E20:AH20" si="10">IFERROR(E7/SUM(E$5:E$13),0)</f>
        <v>0.35612896432760377</v>
      </c>
      <c r="F20" s="9">
        <f t="shared" si="10"/>
        <v>7.5232308510422924E-2</v>
      </c>
      <c r="G20" s="9">
        <f t="shared" si="10"/>
        <v>6.7239910162351674E-2</v>
      </c>
      <c r="H20" s="9">
        <f t="shared" si="10"/>
        <v>0.59466712449748949</v>
      </c>
      <c r="I20" s="9">
        <f t="shared" si="10"/>
        <v>0.24125654948846681</v>
      </c>
      <c r="J20" s="9">
        <f t="shared" si="10"/>
        <v>0.1771688563844587</v>
      </c>
      <c r="K20" s="9">
        <f t="shared" si="10"/>
        <v>0.14039074016269779</v>
      </c>
      <c r="L20" s="9">
        <f t="shared" si="10"/>
        <v>0.21112931809507776</v>
      </c>
      <c r="M20" s="9">
        <f t="shared" si="10"/>
        <v>0.12921583239071202</v>
      </c>
      <c r="N20" s="9">
        <f t="shared" si="10"/>
        <v>0.27197807745206204</v>
      </c>
      <c r="O20" s="9">
        <f t="shared" si="10"/>
        <v>0.18096173576864111</v>
      </c>
      <c r="P20" s="9">
        <f t="shared" si="10"/>
        <v>7.628348655033021E-2</v>
      </c>
      <c r="Q20" s="9">
        <f t="shared" si="10"/>
        <v>0.22840415399414687</v>
      </c>
      <c r="R20" s="9">
        <f t="shared" si="10"/>
        <v>0.22653482068531142</v>
      </c>
      <c r="S20" s="9">
        <f t="shared" si="10"/>
        <v>0.11254270262772019</v>
      </c>
      <c r="T20" s="9">
        <f t="shared" si="10"/>
        <v>0.16683545607598185</v>
      </c>
      <c r="U20" s="9">
        <f t="shared" si="10"/>
        <v>0.17319255737183911</v>
      </c>
      <c r="V20" s="9">
        <f t="shared" si="10"/>
        <v>0.16727440158399576</v>
      </c>
      <c r="W20" s="9">
        <f t="shared" si="10"/>
        <v>0.12262260909866861</v>
      </c>
      <c r="X20" s="9">
        <f t="shared" si="10"/>
        <v>0.62298180360650313</v>
      </c>
      <c r="Y20" s="9">
        <f t="shared" si="10"/>
        <v>0.23009040177043241</v>
      </c>
      <c r="Z20" s="9">
        <f t="shared" si="10"/>
        <v>0.26823959253227347</v>
      </c>
      <c r="AA20" s="9">
        <f t="shared" si="10"/>
        <v>0.46021455520367227</v>
      </c>
      <c r="AB20" s="9">
        <f t="shared" si="10"/>
        <v>0.24815549392776504</v>
      </c>
      <c r="AC20" s="9">
        <f t="shared" si="10"/>
        <v>0.18869960101768396</v>
      </c>
      <c r="AD20" s="9">
        <f t="shared" si="10"/>
        <v>1</v>
      </c>
      <c r="AE20" s="9">
        <f t="shared" si="10"/>
        <v>0.26626054252794684</v>
      </c>
      <c r="AF20" s="9">
        <f t="shared" si="10"/>
        <v>0.26316124636454685</v>
      </c>
      <c r="AG20" s="9">
        <f t="shared" si="10"/>
        <v>0.30171203644236216</v>
      </c>
      <c r="AH20" s="9">
        <f t="shared" si="10"/>
        <v>0</v>
      </c>
      <c r="AI20" s="8"/>
      <c r="AJ20" s="8"/>
      <c r="AK20" s="8"/>
      <c r="AL20" s="8" t="str">
        <f t="shared" si="8"/>
        <v>AGRELC</v>
      </c>
      <c r="AM20" s="55">
        <f>MAX(E20:S20)*$BT20</f>
        <v>0.65413383694723848</v>
      </c>
      <c r="AN20" s="55">
        <f>AM20</f>
        <v>0.65413383694723848</v>
      </c>
      <c r="AO20" s="55">
        <f t="shared" ref="AO20:BA20" si="11">AN20</f>
        <v>0.65413383694723848</v>
      </c>
      <c r="AP20" s="55">
        <f t="shared" si="11"/>
        <v>0.65413383694723848</v>
      </c>
      <c r="AQ20" s="55">
        <f t="shared" si="11"/>
        <v>0.65413383694723848</v>
      </c>
      <c r="AR20" s="55">
        <f t="shared" si="11"/>
        <v>0.65413383694723848</v>
      </c>
      <c r="AS20" s="55">
        <f t="shared" si="11"/>
        <v>0.65413383694723848</v>
      </c>
      <c r="AT20" s="55">
        <f t="shared" si="11"/>
        <v>0.65413383694723848</v>
      </c>
      <c r="AU20" s="55">
        <f t="shared" si="11"/>
        <v>0.65413383694723848</v>
      </c>
      <c r="AV20" s="55">
        <f t="shared" si="11"/>
        <v>0.65413383694723848</v>
      </c>
      <c r="AW20" s="55">
        <f t="shared" si="11"/>
        <v>0.65413383694723848</v>
      </c>
      <c r="AX20" s="55">
        <f t="shared" si="11"/>
        <v>0.65413383694723848</v>
      </c>
      <c r="AY20" s="55">
        <f t="shared" si="11"/>
        <v>0.65413383694723848</v>
      </c>
      <c r="AZ20" s="55">
        <f t="shared" si="11"/>
        <v>0.65413383694723848</v>
      </c>
      <c r="BA20" s="55">
        <f t="shared" si="11"/>
        <v>0.65413383694723848</v>
      </c>
      <c r="BB20" s="55">
        <f t="shared" ref="BB20" si="12">BA20</f>
        <v>0.65413383694723848</v>
      </c>
      <c r="BC20" s="55">
        <f t="shared" ref="BC20" si="13">BB20</f>
        <v>0.65413383694723848</v>
      </c>
      <c r="BD20" s="55">
        <f t="shared" ref="BD20" si="14">BC20</f>
        <v>0.65413383694723848</v>
      </c>
      <c r="BE20" s="55">
        <f t="shared" ref="BE20" si="15">BD20</f>
        <v>0.65413383694723848</v>
      </c>
      <c r="BF20" s="55">
        <f t="shared" ref="BF20" si="16">BE20</f>
        <v>0.65413383694723848</v>
      </c>
      <c r="BG20" s="55">
        <f t="shared" ref="BG20" si="17">BF20</f>
        <v>0.65413383694723848</v>
      </c>
      <c r="BH20" s="55">
        <f t="shared" ref="BH20" si="18">BG20</f>
        <v>0.65413383694723848</v>
      </c>
      <c r="BI20" s="55">
        <f t="shared" ref="BI20" si="19">BH20</f>
        <v>0.65413383694723848</v>
      </c>
      <c r="BJ20" s="55">
        <f t="shared" ref="BJ20" si="20">BI20</f>
        <v>0.65413383694723848</v>
      </c>
      <c r="BK20" s="55">
        <f t="shared" ref="BK20" si="21">BJ20</f>
        <v>0.65413383694723848</v>
      </c>
      <c r="BL20" s="55">
        <f t="shared" ref="BL20" si="22">BK20</f>
        <v>0.65413383694723848</v>
      </c>
      <c r="BM20" s="55">
        <f t="shared" ref="BM20" si="23">BL20</f>
        <v>0.65413383694723848</v>
      </c>
      <c r="BN20" s="55">
        <f t="shared" ref="BN20" si="24">BM20</f>
        <v>0.65413383694723848</v>
      </c>
      <c r="BO20" s="55">
        <f t="shared" ref="BO20" si="25">BN20</f>
        <v>0.65413383694723848</v>
      </c>
      <c r="BP20" s="55">
        <f t="shared" ref="BP20" si="26">BO20</f>
        <v>0.65413383694723848</v>
      </c>
      <c r="BQ20" s="8">
        <v>3</v>
      </c>
      <c r="BR20" s="8"/>
      <c r="BT20" s="57">
        <v>1.1000000000000001</v>
      </c>
    </row>
    <row r="21" spans="1:72" x14ac:dyDescent="0.45">
      <c r="A21" s="8"/>
      <c r="B21" s="8"/>
      <c r="C21" s="8" t="str">
        <f t="shared" si="4"/>
        <v>AGRGEO</v>
      </c>
      <c r="D21" s="8"/>
      <c r="E21" s="9">
        <f t="shared" ref="E21:AH21" si="27">IFERROR(E8/SUM(E$5:E$13),0)</f>
        <v>0</v>
      </c>
      <c r="F21" s="9">
        <f t="shared" si="27"/>
        <v>0</v>
      </c>
      <c r="G21" s="9">
        <f t="shared" si="27"/>
        <v>0</v>
      </c>
      <c r="H21" s="9">
        <f t="shared" si="27"/>
        <v>2.9608656494480566E-4</v>
      </c>
      <c r="I21" s="9">
        <f t="shared" si="27"/>
        <v>5.5884081848728423E-3</v>
      </c>
      <c r="J21" s="9">
        <f t="shared" si="27"/>
        <v>0</v>
      </c>
      <c r="K21" s="9">
        <f t="shared" si="27"/>
        <v>3.6772833869175678E-3</v>
      </c>
      <c r="L21" s="9">
        <f t="shared" si="27"/>
        <v>0</v>
      </c>
      <c r="M21" s="9">
        <f t="shared" si="27"/>
        <v>0</v>
      </c>
      <c r="N21" s="9">
        <f t="shared" si="27"/>
        <v>2.6202630081369541E-2</v>
      </c>
      <c r="O21" s="9">
        <f t="shared" si="27"/>
        <v>0</v>
      </c>
      <c r="P21" s="9">
        <f t="shared" si="27"/>
        <v>1.3000354665642218E-4</v>
      </c>
      <c r="Q21" s="9">
        <f t="shared" si="27"/>
        <v>2.5349694019699914E-2</v>
      </c>
      <c r="R21" s="9">
        <f t="shared" si="27"/>
        <v>1.5958304892039102E-2</v>
      </c>
      <c r="S21" s="9">
        <f t="shared" si="27"/>
        <v>2.7460161592238998E-2</v>
      </c>
      <c r="T21" s="9">
        <f t="shared" si="27"/>
        <v>0</v>
      </c>
      <c r="U21" s="9">
        <f t="shared" si="27"/>
        <v>7.6730586448796934E-2</v>
      </c>
      <c r="V21" s="9">
        <f t="shared" si="27"/>
        <v>5.3764213015325265E-3</v>
      </c>
      <c r="W21" s="9">
        <f t="shared" si="27"/>
        <v>0</v>
      </c>
      <c r="X21" s="9">
        <f t="shared" si="27"/>
        <v>0</v>
      </c>
      <c r="Y21" s="9">
        <f t="shared" si="27"/>
        <v>0</v>
      </c>
      <c r="Z21" s="9">
        <f t="shared" si="27"/>
        <v>0</v>
      </c>
      <c r="AA21" s="9">
        <f t="shared" si="27"/>
        <v>0</v>
      </c>
      <c r="AB21" s="9">
        <f t="shared" si="27"/>
        <v>1.9839241897420073E-2</v>
      </c>
      <c r="AC21" s="9">
        <f t="shared" si="27"/>
        <v>0</v>
      </c>
      <c r="AD21" s="9">
        <f t="shared" si="27"/>
        <v>0</v>
      </c>
      <c r="AE21" s="9">
        <f t="shared" si="27"/>
        <v>0</v>
      </c>
      <c r="AF21" s="9">
        <f t="shared" si="27"/>
        <v>0</v>
      </c>
      <c r="AG21" s="9">
        <f t="shared" si="27"/>
        <v>0</v>
      </c>
      <c r="AH21" s="9">
        <f t="shared" si="27"/>
        <v>0</v>
      </c>
      <c r="AI21" s="8"/>
      <c r="AJ21" s="8"/>
      <c r="AK21" s="8"/>
      <c r="AL21" s="8" t="str">
        <f t="shared" si="8"/>
        <v>AGRGEO</v>
      </c>
      <c r="AM21" s="56">
        <f t="shared" ref="AM21:AV24" si="28">E21*$BT21</f>
        <v>0</v>
      </c>
      <c r="AN21" s="56">
        <f t="shared" si="28"/>
        <v>0</v>
      </c>
      <c r="AO21" s="56">
        <f t="shared" si="28"/>
        <v>0</v>
      </c>
      <c r="AP21" s="56">
        <f t="shared" si="28"/>
        <v>2.9608656494480566E-4</v>
      </c>
      <c r="AQ21" s="56">
        <f t="shared" si="28"/>
        <v>5.5884081848728423E-3</v>
      </c>
      <c r="AR21" s="56">
        <f t="shared" si="28"/>
        <v>0</v>
      </c>
      <c r="AS21" s="56">
        <f t="shared" si="28"/>
        <v>3.6772833869175678E-3</v>
      </c>
      <c r="AT21" s="56">
        <f t="shared" si="28"/>
        <v>0</v>
      </c>
      <c r="AU21" s="56">
        <f t="shared" si="28"/>
        <v>0</v>
      </c>
      <c r="AV21" s="56">
        <f t="shared" si="28"/>
        <v>2.6202630081369541E-2</v>
      </c>
      <c r="AW21" s="56">
        <f t="shared" ref="AW21:BF24" si="29">O21*$BT21</f>
        <v>0</v>
      </c>
      <c r="AX21" s="56">
        <f t="shared" si="29"/>
        <v>1.3000354665642218E-4</v>
      </c>
      <c r="AY21" s="56">
        <f t="shared" si="29"/>
        <v>2.5349694019699914E-2</v>
      </c>
      <c r="AZ21" s="56">
        <f t="shared" si="29"/>
        <v>1.5958304892039102E-2</v>
      </c>
      <c r="BA21" s="56">
        <f t="shared" si="29"/>
        <v>2.7460161592238998E-2</v>
      </c>
      <c r="BB21" s="56">
        <f t="shared" si="29"/>
        <v>0</v>
      </c>
      <c r="BC21" s="56">
        <f t="shared" si="29"/>
        <v>7.6730586448796934E-2</v>
      </c>
      <c r="BD21" s="56">
        <f t="shared" si="29"/>
        <v>5.3764213015325265E-3</v>
      </c>
      <c r="BE21" s="56">
        <f t="shared" si="29"/>
        <v>0</v>
      </c>
      <c r="BF21" s="56">
        <f t="shared" si="29"/>
        <v>0</v>
      </c>
      <c r="BG21" s="56">
        <f t="shared" ref="BG21:BP24" si="30">Y21*$BT21</f>
        <v>0</v>
      </c>
      <c r="BH21" s="56">
        <f t="shared" si="30"/>
        <v>0</v>
      </c>
      <c r="BI21" s="56">
        <f t="shared" si="30"/>
        <v>0</v>
      </c>
      <c r="BJ21" s="56">
        <f t="shared" si="30"/>
        <v>1.9839241897420073E-2</v>
      </c>
      <c r="BK21" s="56">
        <f t="shared" si="30"/>
        <v>0</v>
      </c>
      <c r="BL21" s="56">
        <f t="shared" si="30"/>
        <v>0</v>
      </c>
      <c r="BM21" s="56">
        <f t="shared" si="30"/>
        <v>0</v>
      </c>
      <c r="BN21" s="56">
        <f t="shared" si="30"/>
        <v>0</v>
      </c>
      <c r="BO21" s="56">
        <f t="shared" si="30"/>
        <v>0</v>
      </c>
      <c r="BP21" s="56">
        <f t="shared" si="30"/>
        <v>0</v>
      </c>
      <c r="BQ21" s="8">
        <v>3</v>
      </c>
      <c r="BR21" s="8"/>
      <c r="BT21" s="57">
        <v>1</v>
      </c>
    </row>
    <row r="22" spans="1:72" x14ac:dyDescent="0.45">
      <c r="A22" s="8"/>
      <c r="B22" s="8"/>
      <c r="C22" s="8" t="str">
        <f t="shared" si="4"/>
        <v>AGRHET</v>
      </c>
      <c r="D22" s="8"/>
      <c r="E22" s="9">
        <f t="shared" ref="E22:AH22" si="31">IFERROR(E9/SUM(E$5:E$13),0)</f>
        <v>0</v>
      </c>
      <c r="F22" s="9">
        <f t="shared" si="31"/>
        <v>0</v>
      </c>
      <c r="G22" s="9">
        <f t="shared" si="31"/>
        <v>0</v>
      </c>
      <c r="H22" s="9">
        <f t="shared" si="31"/>
        <v>5.956647688997075E-2</v>
      </c>
      <c r="I22" s="9">
        <f t="shared" si="31"/>
        <v>0</v>
      </c>
      <c r="J22" s="9">
        <f t="shared" si="31"/>
        <v>3.8739441299486302E-4</v>
      </c>
      <c r="K22" s="9">
        <f t="shared" si="31"/>
        <v>0</v>
      </c>
      <c r="L22" s="9">
        <f t="shared" si="31"/>
        <v>0</v>
      </c>
      <c r="M22" s="9">
        <f t="shared" si="31"/>
        <v>0</v>
      </c>
      <c r="N22" s="9">
        <f t="shared" si="31"/>
        <v>3.9510642982084726E-4</v>
      </c>
      <c r="O22" s="9">
        <f t="shared" si="31"/>
        <v>2.8351272507208664E-2</v>
      </c>
      <c r="P22" s="9">
        <f t="shared" si="31"/>
        <v>9.7856291412321324E-3</v>
      </c>
      <c r="Q22" s="9">
        <f t="shared" si="31"/>
        <v>1.3794049852439193E-2</v>
      </c>
      <c r="R22" s="9">
        <f t="shared" si="31"/>
        <v>4.5680459435092566E-3</v>
      </c>
      <c r="S22" s="9">
        <f t="shared" si="31"/>
        <v>1.4531999016994179E-2</v>
      </c>
      <c r="T22" s="9">
        <f t="shared" si="31"/>
        <v>0</v>
      </c>
      <c r="U22" s="9">
        <f t="shared" si="31"/>
        <v>4.2770303358418256E-2</v>
      </c>
      <c r="V22" s="9">
        <f t="shared" si="31"/>
        <v>4.2725138186889087E-3</v>
      </c>
      <c r="W22" s="9">
        <f t="shared" si="31"/>
        <v>0</v>
      </c>
      <c r="X22" s="9">
        <f t="shared" si="31"/>
        <v>0</v>
      </c>
      <c r="Y22" s="9">
        <f t="shared" si="31"/>
        <v>0</v>
      </c>
      <c r="Z22" s="9">
        <f t="shared" si="31"/>
        <v>0</v>
      </c>
      <c r="AA22" s="9">
        <f t="shared" si="31"/>
        <v>0</v>
      </c>
      <c r="AB22" s="9">
        <f t="shared" si="31"/>
        <v>5.0460975100472323E-2</v>
      </c>
      <c r="AC22" s="9">
        <f t="shared" si="31"/>
        <v>0.28304264804140467</v>
      </c>
      <c r="AD22" s="9">
        <f t="shared" si="31"/>
        <v>0</v>
      </c>
      <c r="AE22" s="9">
        <f t="shared" si="31"/>
        <v>0</v>
      </c>
      <c r="AF22" s="9">
        <f t="shared" si="31"/>
        <v>2.9748089899710181E-3</v>
      </c>
      <c r="AG22" s="9">
        <f t="shared" si="31"/>
        <v>0</v>
      </c>
      <c r="AH22" s="9">
        <f t="shared" si="31"/>
        <v>0</v>
      </c>
      <c r="AI22" s="8"/>
      <c r="AJ22" s="8"/>
      <c r="AK22" s="8"/>
      <c r="AL22" s="8" t="str">
        <f t="shared" si="8"/>
        <v>AGRHET</v>
      </c>
      <c r="AM22" s="55">
        <f>MAX(E22:Z22)</f>
        <v>5.956647688997075E-2</v>
      </c>
      <c r="AN22" s="55">
        <f>AM22</f>
        <v>5.956647688997075E-2</v>
      </c>
      <c r="AO22" s="55">
        <f t="shared" ref="AO22:BP22" si="32">AN22</f>
        <v>5.956647688997075E-2</v>
      </c>
      <c r="AP22" s="55">
        <f t="shared" si="32"/>
        <v>5.956647688997075E-2</v>
      </c>
      <c r="AQ22" s="55">
        <f t="shared" si="32"/>
        <v>5.956647688997075E-2</v>
      </c>
      <c r="AR22" s="55">
        <f t="shared" si="32"/>
        <v>5.956647688997075E-2</v>
      </c>
      <c r="AS22" s="55">
        <f t="shared" si="32"/>
        <v>5.956647688997075E-2</v>
      </c>
      <c r="AT22" s="55">
        <f t="shared" si="32"/>
        <v>5.956647688997075E-2</v>
      </c>
      <c r="AU22" s="55">
        <f t="shared" si="32"/>
        <v>5.956647688997075E-2</v>
      </c>
      <c r="AV22" s="55">
        <f t="shared" si="32"/>
        <v>5.956647688997075E-2</v>
      </c>
      <c r="AW22" s="55">
        <f t="shared" si="32"/>
        <v>5.956647688997075E-2</v>
      </c>
      <c r="AX22" s="55">
        <f t="shared" si="32"/>
        <v>5.956647688997075E-2</v>
      </c>
      <c r="AY22" s="55">
        <f t="shared" si="32"/>
        <v>5.956647688997075E-2</v>
      </c>
      <c r="AZ22" s="55">
        <f t="shared" si="32"/>
        <v>5.956647688997075E-2</v>
      </c>
      <c r="BA22" s="55">
        <f t="shared" si="32"/>
        <v>5.956647688997075E-2</v>
      </c>
      <c r="BB22" s="55">
        <f t="shared" si="32"/>
        <v>5.956647688997075E-2</v>
      </c>
      <c r="BC22" s="55">
        <f t="shared" si="32"/>
        <v>5.956647688997075E-2</v>
      </c>
      <c r="BD22" s="55">
        <f t="shared" si="32"/>
        <v>5.956647688997075E-2</v>
      </c>
      <c r="BE22" s="55">
        <f t="shared" si="32"/>
        <v>5.956647688997075E-2</v>
      </c>
      <c r="BF22" s="55">
        <f t="shared" si="32"/>
        <v>5.956647688997075E-2</v>
      </c>
      <c r="BG22" s="55">
        <f t="shared" si="32"/>
        <v>5.956647688997075E-2</v>
      </c>
      <c r="BH22" s="55">
        <f t="shared" si="32"/>
        <v>5.956647688997075E-2</v>
      </c>
      <c r="BI22" s="55">
        <f t="shared" si="32"/>
        <v>5.956647688997075E-2</v>
      </c>
      <c r="BJ22" s="55">
        <f t="shared" si="32"/>
        <v>5.956647688997075E-2</v>
      </c>
      <c r="BK22" s="55">
        <f t="shared" si="32"/>
        <v>5.956647688997075E-2</v>
      </c>
      <c r="BL22" s="55">
        <f t="shared" si="32"/>
        <v>5.956647688997075E-2</v>
      </c>
      <c r="BM22" s="55">
        <f t="shared" si="32"/>
        <v>5.956647688997075E-2</v>
      </c>
      <c r="BN22" s="55">
        <f t="shared" si="32"/>
        <v>5.956647688997075E-2</v>
      </c>
      <c r="BO22" s="55">
        <f t="shared" si="32"/>
        <v>5.956647688997075E-2</v>
      </c>
      <c r="BP22" s="55">
        <f t="shared" si="32"/>
        <v>5.956647688997075E-2</v>
      </c>
      <c r="BQ22" s="8">
        <v>3</v>
      </c>
      <c r="BR22" s="8"/>
      <c r="BT22" s="57">
        <v>1.5</v>
      </c>
    </row>
    <row r="23" spans="1:72" x14ac:dyDescent="0.45">
      <c r="A23" s="8"/>
      <c r="B23" s="8"/>
      <c r="C23" s="8" t="str">
        <f t="shared" si="4"/>
        <v>AGRKER</v>
      </c>
      <c r="D23" s="8"/>
      <c r="E23" s="9">
        <f t="shared" ref="E23:AH23" si="33">IFERROR(E10/SUM(E$5:E$13),0)</f>
        <v>9.3116730138284354E-5</v>
      </c>
      <c r="F23" s="9">
        <f t="shared" si="33"/>
        <v>1.055849801820426E-3</v>
      </c>
      <c r="G23" s="9">
        <f t="shared" si="33"/>
        <v>0</v>
      </c>
      <c r="H23" s="9">
        <f t="shared" si="33"/>
        <v>2.6416450482250086E-4</v>
      </c>
      <c r="I23" s="9">
        <f t="shared" si="33"/>
        <v>8.2179993366434667E-2</v>
      </c>
      <c r="J23" s="9">
        <f t="shared" si="33"/>
        <v>1.8142000761943639E-4</v>
      </c>
      <c r="K23" s="9">
        <f t="shared" si="33"/>
        <v>0</v>
      </c>
      <c r="L23" s="9">
        <f t="shared" si="33"/>
        <v>0</v>
      </c>
      <c r="M23" s="9">
        <f t="shared" si="33"/>
        <v>1.9375863238452881E-3</v>
      </c>
      <c r="N23" s="9">
        <f t="shared" si="33"/>
        <v>5.0063203630197331E-3</v>
      </c>
      <c r="O23" s="9">
        <f t="shared" si="33"/>
        <v>0</v>
      </c>
      <c r="P23" s="9">
        <f t="shared" si="33"/>
        <v>0</v>
      </c>
      <c r="Q23" s="9">
        <f t="shared" si="33"/>
        <v>1.2146467289567023E-3</v>
      </c>
      <c r="R23" s="9">
        <f t="shared" si="33"/>
        <v>1.0545828684709028E-4</v>
      </c>
      <c r="S23" s="9">
        <f t="shared" si="33"/>
        <v>6.2808910327909401E-4</v>
      </c>
      <c r="T23" s="9">
        <f t="shared" si="33"/>
        <v>7.1658835237670094E-5</v>
      </c>
      <c r="U23" s="9">
        <f t="shared" si="33"/>
        <v>1.282692274203472E-4</v>
      </c>
      <c r="V23" s="9">
        <f t="shared" si="33"/>
        <v>0</v>
      </c>
      <c r="W23" s="9">
        <f t="shared" si="33"/>
        <v>0</v>
      </c>
      <c r="X23" s="9">
        <f t="shared" si="33"/>
        <v>0</v>
      </c>
      <c r="Y23" s="9">
        <f t="shared" si="33"/>
        <v>1.3720527331146156E-3</v>
      </c>
      <c r="Z23" s="9">
        <f t="shared" si="33"/>
        <v>0</v>
      </c>
      <c r="AA23" s="9">
        <f t="shared" si="33"/>
        <v>1.2154559864037127E-3</v>
      </c>
      <c r="AB23" s="9">
        <f t="shared" si="33"/>
        <v>0</v>
      </c>
      <c r="AC23" s="9">
        <f t="shared" si="33"/>
        <v>0</v>
      </c>
      <c r="AD23" s="9">
        <f t="shared" si="33"/>
        <v>0</v>
      </c>
      <c r="AE23" s="9">
        <f t="shared" si="33"/>
        <v>6.461451671674151E-2</v>
      </c>
      <c r="AF23" s="9">
        <f t="shared" si="33"/>
        <v>0.22630076115809913</v>
      </c>
      <c r="AG23" s="9">
        <f t="shared" si="33"/>
        <v>0</v>
      </c>
      <c r="AH23" s="9">
        <f t="shared" si="33"/>
        <v>0</v>
      </c>
      <c r="AI23" s="8"/>
      <c r="AJ23" s="8"/>
      <c r="AK23" s="8"/>
      <c r="AL23" s="8" t="str">
        <f t="shared" si="8"/>
        <v>AGRKER</v>
      </c>
      <c r="AM23" s="56">
        <f t="shared" si="28"/>
        <v>9.3116730138284354E-5</v>
      </c>
      <c r="AN23" s="56">
        <f t="shared" si="28"/>
        <v>1.055849801820426E-3</v>
      </c>
      <c r="AO23" s="56">
        <f t="shared" si="28"/>
        <v>0</v>
      </c>
      <c r="AP23" s="56">
        <f t="shared" si="28"/>
        <v>2.6416450482250086E-4</v>
      </c>
      <c r="AQ23" s="56">
        <f t="shared" si="28"/>
        <v>8.2179993366434667E-2</v>
      </c>
      <c r="AR23" s="56">
        <f t="shared" si="28"/>
        <v>1.8142000761943639E-4</v>
      </c>
      <c r="AS23" s="56">
        <f t="shared" si="28"/>
        <v>0</v>
      </c>
      <c r="AT23" s="56">
        <f t="shared" si="28"/>
        <v>0</v>
      </c>
      <c r="AU23" s="56">
        <f t="shared" si="28"/>
        <v>1.9375863238452881E-3</v>
      </c>
      <c r="AV23" s="56">
        <f t="shared" si="28"/>
        <v>5.0063203630197331E-3</v>
      </c>
      <c r="AW23" s="56">
        <f t="shared" si="29"/>
        <v>0</v>
      </c>
      <c r="AX23" s="56">
        <f t="shared" si="29"/>
        <v>0</v>
      </c>
      <c r="AY23" s="56">
        <f t="shared" si="29"/>
        <v>1.2146467289567023E-3</v>
      </c>
      <c r="AZ23" s="56">
        <f t="shared" si="29"/>
        <v>1.0545828684709028E-4</v>
      </c>
      <c r="BA23" s="56">
        <f t="shared" si="29"/>
        <v>6.2808910327909401E-4</v>
      </c>
      <c r="BB23" s="56">
        <f t="shared" si="29"/>
        <v>7.1658835237670094E-5</v>
      </c>
      <c r="BC23" s="56">
        <f t="shared" si="29"/>
        <v>1.282692274203472E-4</v>
      </c>
      <c r="BD23" s="56">
        <f t="shared" si="29"/>
        <v>0</v>
      </c>
      <c r="BE23" s="56">
        <f t="shared" si="29"/>
        <v>0</v>
      </c>
      <c r="BF23" s="56">
        <f t="shared" si="29"/>
        <v>0</v>
      </c>
      <c r="BG23" s="56">
        <f t="shared" si="30"/>
        <v>1.3720527331146156E-3</v>
      </c>
      <c r="BH23" s="56">
        <f t="shared" si="30"/>
        <v>0</v>
      </c>
      <c r="BI23" s="56">
        <f t="shared" si="30"/>
        <v>1.2154559864037127E-3</v>
      </c>
      <c r="BJ23" s="56">
        <f t="shared" si="30"/>
        <v>0</v>
      </c>
      <c r="BK23" s="56">
        <f t="shared" si="30"/>
        <v>0</v>
      </c>
      <c r="BL23" s="56">
        <f t="shared" si="30"/>
        <v>0</v>
      </c>
      <c r="BM23" s="56">
        <f t="shared" si="30"/>
        <v>6.461451671674151E-2</v>
      </c>
      <c r="BN23" s="56">
        <f t="shared" si="30"/>
        <v>0.22630076115809913</v>
      </c>
      <c r="BO23" s="56">
        <f t="shared" si="30"/>
        <v>0</v>
      </c>
      <c r="BP23" s="56">
        <f t="shared" si="30"/>
        <v>0</v>
      </c>
      <c r="BQ23" s="8">
        <v>3</v>
      </c>
      <c r="BR23" s="8"/>
      <c r="BT23" s="57">
        <v>1</v>
      </c>
    </row>
    <row r="24" spans="1:72" x14ac:dyDescent="0.45">
      <c r="A24" s="8"/>
      <c r="B24" s="8"/>
      <c r="C24" s="8" t="str">
        <f t="shared" si="4"/>
        <v>AGRLPG</v>
      </c>
      <c r="D24" s="8"/>
      <c r="E24" s="9">
        <f t="shared" ref="E24:AH24" si="34">IFERROR(E11/SUM(E$5:E$13),0)</f>
        <v>3.9611879865584947E-2</v>
      </c>
      <c r="F24" s="9">
        <f t="shared" si="34"/>
        <v>1.6980704809398078E-3</v>
      </c>
      <c r="G24" s="9">
        <f t="shared" si="34"/>
        <v>3.9480903736142804E-2</v>
      </c>
      <c r="H24" s="9">
        <f t="shared" si="34"/>
        <v>4.9839152974178631E-3</v>
      </c>
      <c r="I24" s="9">
        <f t="shared" si="34"/>
        <v>1.1151052543243755E-3</v>
      </c>
      <c r="J24" s="9">
        <f t="shared" si="34"/>
        <v>1.5115663956667981E-4</v>
      </c>
      <c r="K24" s="9">
        <f t="shared" si="34"/>
        <v>1.7581321396007293E-2</v>
      </c>
      <c r="L24" s="9">
        <f t="shared" si="34"/>
        <v>1.6223631385470761E-3</v>
      </c>
      <c r="M24" s="9">
        <f t="shared" si="34"/>
        <v>3.3478617758493902E-2</v>
      </c>
      <c r="N24" s="9">
        <f t="shared" si="34"/>
        <v>2.2214338579133871E-3</v>
      </c>
      <c r="O24" s="9">
        <f t="shared" si="34"/>
        <v>4.6090796957848788E-3</v>
      </c>
      <c r="P24" s="9">
        <f t="shared" si="34"/>
        <v>1.6395071143692458E-2</v>
      </c>
      <c r="Q24" s="9">
        <f t="shared" si="34"/>
        <v>6.7839076590747822E-3</v>
      </c>
      <c r="R24" s="9">
        <f t="shared" si="34"/>
        <v>1.8272917184319361E-2</v>
      </c>
      <c r="S24" s="9">
        <f t="shared" si="34"/>
        <v>2.1075923604363889E-2</v>
      </c>
      <c r="T24" s="9">
        <f t="shared" si="34"/>
        <v>1.873519203568854E-2</v>
      </c>
      <c r="U24" s="9">
        <f t="shared" si="34"/>
        <v>3.1376188576302888E-3</v>
      </c>
      <c r="V24" s="9">
        <f t="shared" si="34"/>
        <v>7.1448092327374979E-2</v>
      </c>
      <c r="W24" s="9">
        <f t="shared" si="34"/>
        <v>6.2612698114055149E-2</v>
      </c>
      <c r="X24" s="9">
        <f t="shared" si="34"/>
        <v>9.9558241528431807E-4</v>
      </c>
      <c r="Y24" s="9">
        <f t="shared" si="34"/>
        <v>2.056876706998843E-2</v>
      </c>
      <c r="Z24" s="9">
        <f t="shared" si="34"/>
        <v>1.9660345837821856E-2</v>
      </c>
      <c r="AA24" s="9">
        <f t="shared" si="34"/>
        <v>0</v>
      </c>
      <c r="AB24" s="9">
        <f t="shared" si="34"/>
        <v>1.8715453552940207E-2</v>
      </c>
      <c r="AC24" s="9">
        <f t="shared" si="34"/>
        <v>6.2785475327987771E-3</v>
      </c>
      <c r="AD24" s="9">
        <f t="shared" si="34"/>
        <v>0</v>
      </c>
      <c r="AE24" s="9">
        <f t="shared" si="34"/>
        <v>9.8299231863933999E-6</v>
      </c>
      <c r="AF24" s="9">
        <f t="shared" si="34"/>
        <v>5.8539292004921556E-2</v>
      </c>
      <c r="AG24" s="9">
        <f t="shared" si="34"/>
        <v>4.0376483820501255E-2</v>
      </c>
      <c r="AH24" s="9">
        <f t="shared" si="34"/>
        <v>0</v>
      </c>
      <c r="AI24" s="8"/>
      <c r="AJ24" s="8"/>
      <c r="AK24" s="8"/>
      <c r="AL24" s="8" t="str">
        <f t="shared" si="8"/>
        <v>AGRLPG</v>
      </c>
      <c r="AM24" s="56">
        <f t="shared" si="28"/>
        <v>3.9611879865584947E-2</v>
      </c>
      <c r="AN24" s="56">
        <f t="shared" si="28"/>
        <v>1.6980704809398078E-3</v>
      </c>
      <c r="AO24" s="56">
        <f t="shared" si="28"/>
        <v>3.9480903736142804E-2</v>
      </c>
      <c r="AP24" s="56">
        <f t="shared" si="28"/>
        <v>4.9839152974178631E-3</v>
      </c>
      <c r="AQ24" s="56">
        <f t="shared" si="28"/>
        <v>1.1151052543243755E-3</v>
      </c>
      <c r="AR24" s="56">
        <f t="shared" si="28"/>
        <v>1.5115663956667981E-4</v>
      </c>
      <c r="AS24" s="56">
        <f t="shared" si="28"/>
        <v>1.7581321396007293E-2</v>
      </c>
      <c r="AT24" s="56">
        <f t="shared" si="28"/>
        <v>1.6223631385470761E-3</v>
      </c>
      <c r="AU24" s="56">
        <f t="shared" si="28"/>
        <v>3.3478617758493902E-2</v>
      </c>
      <c r="AV24" s="56">
        <f t="shared" si="28"/>
        <v>2.2214338579133871E-3</v>
      </c>
      <c r="AW24" s="56">
        <f t="shared" si="29"/>
        <v>4.6090796957848788E-3</v>
      </c>
      <c r="AX24" s="56">
        <f t="shared" si="29"/>
        <v>1.6395071143692458E-2</v>
      </c>
      <c r="AY24" s="56">
        <f t="shared" si="29"/>
        <v>6.7839076590747822E-3</v>
      </c>
      <c r="AZ24" s="56">
        <f t="shared" si="29"/>
        <v>1.8272917184319361E-2</v>
      </c>
      <c r="BA24" s="56">
        <f t="shared" si="29"/>
        <v>2.1075923604363889E-2</v>
      </c>
      <c r="BB24" s="56">
        <f t="shared" si="29"/>
        <v>1.873519203568854E-2</v>
      </c>
      <c r="BC24" s="56">
        <f t="shared" si="29"/>
        <v>3.1376188576302888E-3</v>
      </c>
      <c r="BD24" s="56">
        <f t="shared" si="29"/>
        <v>7.1448092327374979E-2</v>
      </c>
      <c r="BE24" s="56">
        <f t="shared" si="29"/>
        <v>6.2612698114055149E-2</v>
      </c>
      <c r="BF24" s="56">
        <f t="shared" si="29"/>
        <v>9.9558241528431807E-4</v>
      </c>
      <c r="BG24" s="56">
        <f t="shared" si="30"/>
        <v>2.056876706998843E-2</v>
      </c>
      <c r="BH24" s="56">
        <f t="shared" si="30"/>
        <v>1.9660345837821856E-2</v>
      </c>
      <c r="BI24" s="56">
        <f t="shared" si="30"/>
        <v>0</v>
      </c>
      <c r="BJ24" s="56">
        <f t="shared" si="30"/>
        <v>1.8715453552940207E-2</v>
      </c>
      <c r="BK24" s="56">
        <f t="shared" si="30"/>
        <v>6.2785475327987771E-3</v>
      </c>
      <c r="BL24" s="56">
        <f t="shared" si="30"/>
        <v>0</v>
      </c>
      <c r="BM24" s="56">
        <f t="shared" si="30"/>
        <v>9.8299231863933999E-6</v>
      </c>
      <c r="BN24" s="56">
        <f t="shared" si="30"/>
        <v>5.8539292004921556E-2</v>
      </c>
      <c r="BO24" s="56">
        <f t="shared" si="30"/>
        <v>4.0376483820501255E-2</v>
      </c>
      <c r="BP24" s="56">
        <f t="shared" si="30"/>
        <v>0</v>
      </c>
      <c r="BQ24" s="8">
        <v>3</v>
      </c>
      <c r="BR24" s="8"/>
      <c r="BT24" s="57">
        <v>1</v>
      </c>
    </row>
    <row r="25" spans="1:72" x14ac:dyDescent="0.45">
      <c r="A25" s="8"/>
      <c r="B25" s="8"/>
      <c r="C25" s="8" t="str">
        <f t="shared" si="4"/>
        <v>AGRNGA</v>
      </c>
      <c r="D25" s="8"/>
      <c r="E25" s="9">
        <f t="shared" ref="E25:AH25" si="35">IFERROR(E12/SUM(E$5:E$13),0)</f>
        <v>1.7622727021474754E-2</v>
      </c>
      <c r="F25" s="9">
        <f t="shared" si="35"/>
        <v>0</v>
      </c>
      <c r="G25" s="9">
        <f t="shared" si="35"/>
        <v>6.0336180973961399E-3</v>
      </c>
      <c r="H25" s="9">
        <f t="shared" si="35"/>
        <v>6.7669034874195955E-2</v>
      </c>
      <c r="I25" s="9">
        <f t="shared" si="35"/>
        <v>9.2583068294282869E-4</v>
      </c>
      <c r="J25" s="9">
        <f t="shared" si="35"/>
        <v>2.0245435914907853E-3</v>
      </c>
      <c r="K25" s="9">
        <f t="shared" si="35"/>
        <v>2.0051999415155352E-2</v>
      </c>
      <c r="L25" s="9">
        <f t="shared" si="35"/>
        <v>0</v>
      </c>
      <c r="M25" s="9">
        <f t="shared" si="35"/>
        <v>0.13544135727210344</v>
      </c>
      <c r="N25" s="9">
        <f t="shared" si="35"/>
        <v>2.4565172834715991E-3</v>
      </c>
      <c r="O25" s="9">
        <f t="shared" si="35"/>
        <v>2.36986462066066E-2</v>
      </c>
      <c r="P25" s="9">
        <f t="shared" si="35"/>
        <v>6.0077188176967604E-2</v>
      </c>
      <c r="Q25" s="9">
        <f t="shared" si="35"/>
        <v>0.4785021587562503</v>
      </c>
      <c r="R25" s="9">
        <f t="shared" si="35"/>
        <v>4.4893449084626044E-2</v>
      </c>
      <c r="S25" s="9">
        <f t="shared" si="35"/>
        <v>0.15399883011707699</v>
      </c>
      <c r="T25" s="9">
        <f t="shared" si="35"/>
        <v>6.0755360464070117E-2</v>
      </c>
      <c r="U25" s="9">
        <f t="shared" si="35"/>
        <v>4.7944050881224852E-2</v>
      </c>
      <c r="V25" s="9">
        <f t="shared" si="35"/>
        <v>5.1835403347228463E-2</v>
      </c>
      <c r="W25" s="9">
        <f t="shared" si="35"/>
        <v>0.2274925687074866</v>
      </c>
      <c r="X25" s="9">
        <f t="shared" si="35"/>
        <v>5.9118344448246584E-3</v>
      </c>
      <c r="Y25" s="9">
        <f t="shared" si="35"/>
        <v>4.3429441806623953E-3</v>
      </c>
      <c r="Z25" s="9">
        <f t="shared" si="35"/>
        <v>0</v>
      </c>
      <c r="AA25" s="9">
        <f t="shared" si="35"/>
        <v>0.21509041045191282</v>
      </c>
      <c r="AB25" s="9">
        <f t="shared" si="35"/>
        <v>1.6150409655032959E-2</v>
      </c>
      <c r="AC25" s="9">
        <f t="shared" si="35"/>
        <v>0.13738088645009697</v>
      </c>
      <c r="AD25" s="9">
        <f t="shared" si="35"/>
        <v>0</v>
      </c>
      <c r="AE25" s="9">
        <f t="shared" si="35"/>
        <v>0</v>
      </c>
      <c r="AF25" s="9">
        <f t="shared" si="35"/>
        <v>6.3480131332631459E-2</v>
      </c>
      <c r="AG25" s="9">
        <f t="shared" si="35"/>
        <v>6.9336189103822235E-2</v>
      </c>
      <c r="AH25" s="9">
        <f t="shared" si="35"/>
        <v>0</v>
      </c>
      <c r="AI25" s="8"/>
      <c r="AJ25" s="8"/>
      <c r="AK25" s="8"/>
      <c r="AL25" s="8" t="str">
        <f t="shared" si="8"/>
        <v>AGRNGA</v>
      </c>
      <c r="AM25" s="55">
        <f>MAX(E25:Z25)</f>
        <v>0.4785021587562503</v>
      </c>
      <c r="AN25" s="55">
        <f>AM25</f>
        <v>0.4785021587562503</v>
      </c>
      <c r="AO25" s="55">
        <f t="shared" ref="AO25:BP25" si="36">AN25</f>
        <v>0.4785021587562503</v>
      </c>
      <c r="AP25" s="55">
        <f t="shared" si="36"/>
        <v>0.4785021587562503</v>
      </c>
      <c r="AQ25" s="55">
        <f t="shared" si="36"/>
        <v>0.4785021587562503</v>
      </c>
      <c r="AR25" s="55">
        <f t="shared" si="36"/>
        <v>0.4785021587562503</v>
      </c>
      <c r="AS25" s="55">
        <f t="shared" si="36"/>
        <v>0.4785021587562503</v>
      </c>
      <c r="AT25" s="55">
        <f t="shared" si="36"/>
        <v>0.4785021587562503</v>
      </c>
      <c r="AU25" s="55">
        <f t="shared" si="36"/>
        <v>0.4785021587562503</v>
      </c>
      <c r="AV25" s="55">
        <f t="shared" si="36"/>
        <v>0.4785021587562503</v>
      </c>
      <c r="AW25" s="55">
        <f t="shared" si="36"/>
        <v>0.4785021587562503</v>
      </c>
      <c r="AX25" s="55">
        <f t="shared" si="36"/>
        <v>0.4785021587562503</v>
      </c>
      <c r="AY25" s="55">
        <f t="shared" si="36"/>
        <v>0.4785021587562503</v>
      </c>
      <c r="AZ25" s="55">
        <f t="shared" si="36"/>
        <v>0.4785021587562503</v>
      </c>
      <c r="BA25" s="55">
        <f t="shared" si="36"/>
        <v>0.4785021587562503</v>
      </c>
      <c r="BB25" s="55">
        <f t="shared" si="36"/>
        <v>0.4785021587562503</v>
      </c>
      <c r="BC25" s="55">
        <f t="shared" si="36"/>
        <v>0.4785021587562503</v>
      </c>
      <c r="BD25" s="55">
        <f t="shared" si="36"/>
        <v>0.4785021587562503</v>
      </c>
      <c r="BE25" s="55">
        <f t="shared" si="36"/>
        <v>0.4785021587562503</v>
      </c>
      <c r="BF25" s="55">
        <f t="shared" si="36"/>
        <v>0.4785021587562503</v>
      </c>
      <c r="BG25" s="55">
        <f t="shared" si="36"/>
        <v>0.4785021587562503</v>
      </c>
      <c r="BH25" s="55">
        <f t="shared" si="36"/>
        <v>0.4785021587562503</v>
      </c>
      <c r="BI25" s="55">
        <f t="shared" si="36"/>
        <v>0.4785021587562503</v>
      </c>
      <c r="BJ25" s="55">
        <f t="shared" si="36"/>
        <v>0.4785021587562503</v>
      </c>
      <c r="BK25" s="55">
        <f t="shared" si="36"/>
        <v>0.4785021587562503</v>
      </c>
      <c r="BL25" s="55">
        <f t="shared" si="36"/>
        <v>0.4785021587562503</v>
      </c>
      <c r="BM25" s="55">
        <f t="shared" si="36"/>
        <v>0.4785021587562503</v>
      </c>
      <c r="BN25" s="55">
        <f t="shared" si="36"/>
        <v>0.4785021587562503</v>
      </c>
      <c r="BO25" s="55">
        <f t="shared" si="36"/>
        <v>0.4785021587562503</v>
      </c>
      <c r="BP25" s="55">
        <f t="shared" si="36"/>
        <v>0.4785021587562503</v>
      </c>
      <c r="BQ25" s="8">
        <v>3</v>
      </c>
      <c r="BR25" s="8"/>
      <c r="BT25" s="57"/>
    </row>
    <row r="26" spans="1:72" x14ac:dyDescent="0.45">
      <c r="A26" s="8"/>
      <c r="B26" s="8"/>
      <c r="C26" s="8" t="str">
        <f t="shared" si="4"/>
        <v>AGROIL</v>
      </c>
      <c r="D26" s="8"/>
      <c r="E26" s="9">
        <f t="shared" ref="E26:AH26" si="37">IFERROR(E13/SUM(E$5:E$13),0)</f>
        <v>0.58654331205519827</v>
      </c>
      <c r="F26" s="9">
        <f t="shared" si="37"/>
        <v>0.35748553212258394</v>
      </c>
      <c r="G26" s="9">
        <f t="shared" si="37"/>
        <v>0.88555090673844772</v>
      </c>
      <c r="H26" s="9">
        <f t="shared" si="37"/>
        <v>0.24373444454305915</v>
      </c>
      <c r="I26" s="9">
        <f t="shared" si="37"/>
        <v>0.66675762078143863</v>
      </c>
      <c r="J26" s="9">
        <f t="shared" si="37"/>
        <v>0.77650840570873136</v>
      </c>
      <c r="K26" s="9">
        <f t="shared" si="37"/>
        <v>0.8009850189953418</v>
      </c>
      <c r="L26" s="9">
        <f t="shared" si="37"/>
        <v>0.48440652940098949</v>
      </c>
      <c r="M26" s="9">
        <f t="shared" si="37"/>
        <v>0.69696682165334167</v>
      </c>
      <c r="N26" s="9">
        <f t="shared" si="37"/>
        <v>0.41817363261290935</v>
      </c>
      <c r="O26" s="9">
        <f t="shared" si="37"/>
        <v>0.51848285769655589</v>
      </c>
      <c r="P26" s="9">
        <f t="shared" si="37"/>
        <v>0.5759189595085854</v>
      </c>
      <c r="Q26" s="9">
        <f t="shared" si="37"/>
        <v>0.21151013783462991</v>
      </c>
      <c r="R26" s="9">
        <f t="shared" si="37"/>
        <v>0.66969563076019289</v>
      </c>
      <c r="S26" s="9">
        <f t="shared" si="37"/>
        <v>0.6400044196089153</v>
      </c>
      <c r="T26" s="9">
        <f t="shared" si="37"/>
        <v>0.72964439534122738</v>
      </c>
      <c r="U26" s="9">
        <f t="shared" si="37"/>
        <v>0.6415829241300357</v>
      </c>
      <c r="V26" s="9">
        <f t="shared" si="37"/>
        <v>0.62880537323686481</v>
      </c>
      <c r="W26" s="9">
        <f t="shared" si="37"/>
        <v>0.52973790210486937</v>
      </c>
      <c r="X26" s="9">
        <f t="shared" si="37"/>
        <v>0.37011077953338795</v>
      </c>
      <c r="Y26" s="9">
        <f t="shared" si="37"/>
        <v>0.55189337829594853</v>
      </c>
      <c r="Z26" s="9">
        <f t="shared" si="37"/>
        <v>0.71210006162990458</v>
      </c>
      <c r="AA26" s="9">
        <f t="shared" si="37"/>
        <v>0.32347957835801122</v>
      </c>
      <c r="AB26" s="9">
        <f t="shared" si="37"/>
        <v>0.64631250502976245</v>
      </c>
      <c r="AC26" s="9">
        <f t="shared" si="37"/>
        <v>0.37038291559121267</v>
      </c>
      <c r="AD26" s="9">
        <f t="shared" si="37"/>
        <v>0</v>
      </c>
      <c r="AE26" s="9">
        <f t="shared" si="37"/>
        <v>0.53902445876313598</v>
      </c>
      <c r="AF26" s="9">
        <f t="shared" si="37"/>
        <v>0.30888575263358842</v>
      </c>
      <c r="AG26" s="9">
        <f t="shared" si="37"/>
        <v>0.51225287497002026</v>
      </c>
      <c r="AH26" s="9">
        <f t="shared" si="37"/>
        <v>0</v>
      </c>
      <c r="AI26" s="8"/>
      <c r="AJ26" s="8"/>
      <c r="AK26" s="8"/>
      <c r="AL26" s="8" t="str">
        <f t="shared" si="8"/>
        <v>AGROIL</v>
      </c>
      <c r="AM26" s="56">
        <f t="shared" ref="AM26:BP26" si="38">E26*$BT26</f>
        <v>0.58654331205519827</v>
      </c>
      <c r="AN26" s="56">
        <f t="shared" si="38"/>
        <v>0.35748553212258394</v>
      </c>
      <c r="AO26" s="56">
        <f t="shared" si="38"/>
        <v>0.88555090673844772</v>
      </c>
      <c r="AP26" s="56">
        <f t="shared" si="38"/>
        <v>0.24373444454305915</v>
      </c>
      <c r="AQ26" s="56">
        <f t="shared" si="38"/>
        <v>0.66675762078143863</v>
      </c>
      <c r="AR26" s="56">
        <f t="shared" si="38"/>
        <v>0.77650840570873136</v>
      </c>
      <c r="AS26" s="56">
        <f t="shared" si="38"/>
        <v>0.8009850189953418</v>
      </c>
      <c r="AT26" s="56">
        <f t="shared" si="38"/>
        <v>0.48440652940098949</v>
      </c>
      <c r="AU26" s="56">
        <f t="shared" si="38"/>
        <v>0.69696682165334167</v>
      </c>
      <c r="AV26" s="56">
        <f t="shared" si="38"/>
        <v>0.41817363261290935</v>
      </c>
      <c r="AW26" s="56">
        <f t="shared" si="38"/>
        <v>0.51848285769655589</v>
      </c>
      <c r="AX26" s="56">
        <f t="shared" si="38"/>
        <v>0.5759189595085854</v>
      </c>
      <c r="AY26" s="56">
        <f t="shared" si="38"/>
        <v>0.21151013783462991</v>
      </c>
      <c r="AZ26" s="56">
        <f t="shared" si="38"/>
        <v>0.66969563076019289</v>
      </c>
      <c r="BA26" s="56">
        <f t="shared" si="38"/>
        <v>0.6400044196089153</v>
      </c>
      <c r="BB26" s="56">
        <f t="shared" si="38"/>
        <v>0.72964439534122738</v>
      </c>
      <c r="BC26" s="56">
        <f t="shared" si="38"/>
        <v>0.6415829241300357</v>
      </c>
      <c r="BD26" s="56">
        <f t="shared" si="38"/>
        <v>0.62880537323686481</v>
      </c>
      <c r="BE26" s="56">
        <f t="shared" si="38"/>
        <v>0.52973790210486937</v>
      </c>
      <c r="BF26" s="56">
        <f t="shared" si="38"/>
        <v>0.37011077953338795</v>
      </c>
      <c r="BG26" s="56">
        <f t="shared" si="38"/>
        <v>0.55189337829594853</v>
      </c>
      <c r="BH26" s="56">
        <f t="shared" si="38"/>
        <v>0.71210006162990458</v>
      </c>
      <c r="BI26" s="56">
        <f t="shared" si="38"/>
        <v>0.32347957835801122</v>
      </c>
      <c r="BJ26" s="56">
        <f t="shared" si="38"/>
        <v>0.64631250502976245</v>
      </c>
      <c r="BK26" s="56">
        <f t="shared" si="38"/>
        <v>0.37038291559121267</v>
      </c>
      <c r="BL26" s="56">
        <f t="shared" si="38"/>
        <v>0</v>
      </c>
      <c r="BM26" s="56">
        <f t="shared" si="38"/>
        <v>0.53902445876313598</v>
      </c>
      <c r="BN26" s="56">
        <f t="shared" si="38"/>
        <v>0.30888575263358842</v>
      </c>
      <c r="BO26" s="56">
        <f t="shared" si="38"/>
        <v>0.51225287497002026</v>
      </c>
      <c r="BP26" s="56">
        <f t="shared" si="38"/>
        <v>0</v>
      </c>
      <c r="BQ26" s="8">
        <v>3</v>
      </c>
      <c r="BR26" s="8"/>
      <c r="BT26" s="57">
        <v>1</v>
      </c>
    </row>
    <row r="27" spans="1:72" x14ac:dyDescent="0.45">
      <c r="A27" s="8"/>
      <c r="B27" s="8" t="s">
        <v>335</v>
      </c>
      <c r="C27" s="8"/>
      <c r="D27" s="8" t="s">
        <v>27</v>
      </c>
      <c r="E27" s="10">
        <f t="shared" ref="E27:AH27" si="39">SUM(E5:E13)</f>
        <v>146.48919028559999</v>
      </c>
      <c r="F27" s="10">
        <f t="shared" si="39"/>
        <v>140.82893394839999</v>
      </c>
      <c r="G27" s="10">
        <f t="shared" si="39"/>
        <v>175.79427820559999</v>
      </c>
      <c r="H27" s="10">
        <f t="shared" si="39"/>
        <v>143.87917265999999</v>
      </c>
      <c r="I27" s="10">
        <f t="shared" si="39"/>
        <v>303.88793370479999</v>
      </c>
      <c r="J27" s="10">
        <f t="shared" si="39"/>
        <v>574.96379020560005</v>
      </c>
      <c r="K27" s="10">
        <f t="shared" si="39"/>
        <v>121.0127634936</v>
      </c>
      <c r="L27" s="10">
        <f t="shared" si="39"/>
        <v>531.02651036040004</v>
      </c>
      <c r="M27" s="10">
        <f t="shared" si="39"/>
        <v>293.87109425400001</v>
      </c>
      <c r="N27" s="10">
        <f t="shared" si="39"/>
        <v>1768.6425430152001</v>
      </c>
      <c r="O27" s="10">
        <f t="shared" si="39"/>
        <v>86.050015052399999</v>
      </c>
      <c r="P27" s="10">
        <f t="shared" si="39"/>
        <v>230.75079697080002</v>
      </c>
      <c r="Q27" s="10">
        <f t="shared" si="39"/>
        <v>219.48659675639999</v>
      </c>
      <c r="R27" s="10">
        <f t="shared" si="39"/>
        <v>137.0081691252</v>
      </c>
      <c r="S27" s="10">
        <f t="shared" si="39"/>
        <v>72.678669573600004</v>
      </c>
      <c r="T27" s="10">
        <f t="shared" si="39"/>
        <v>140.39971995960002</v>
      </c>
      <c r="U27" s="10">
        <f t="shared" si="39"/>
        <v>345.73051145519997</v>
      </c>
      <c r="V27" s="10">
        <f t="shared" si="39"/>
        <v>182.48999298479998</v>
      </c>
      <c r="W27" s="10">
        <f t="shared" si="39"/>
        <v>150.60844045440001</v>
      </c>
      <c r="X27" s="10">
        <f t="shared" si="39"/>
        <v>1221.0019519607999</v>
      </c>
      <c r="Y27" s="10">
        <f t="shared" si="39"/>
        <v>85.310400085200001</v>
      </c>
      <c r="Z27" s="10">
        <f t="shared" si="39"/>
        <v>176.22902295720002</v>
      </c>
      <c r="AA27" s="10">
        <f t="shared" si="39"/>
        <v>373.58424515519999</v>
      </c>
      <c r="AB27" s="10">
        <f t="shared" si="39"/>
        <v>34.908989929199997</v>
      </c>
      <c r="AC27" s="10">
        <f t="shared" si="39"/>
        <v>375.99760041119998</v>
      </c>
      <c r="AD27" s="10">
        <f t="shared" si="39"/>
        <v>16.9201399608</v>
      </c>
      <c r="AE27" s="10">
        <f t="shared" si="39"/>
        <v>80.925556071599999</v>
      </c>
      <c r="AF27" s="10">
        <f t="shared" si="39"/>
        <v>57.528214610399999</v>
      </c>
      <c r="AG27" s="10">
        <f t="shared" si="39"/>
        <v>897.34909004640008</v>
      </c>
      <c r="AH27" s="10">
        <f t="shared" si="39"/>
        <v>0</v>
      </c>
      <c r="AI27" s="8">
        <v>1</v>
      </c>
      <c r="AJ27" s="8"/>
      <c r="AK27" s="8"/>
      <c r="AL27" s="8" t="str">
        <f>AL20</f>
        <v>AGRELC</v>
      </c>
      <c r="AM27" s="9">
        <f>E20</f>
        <v>0.35612896432760377</v>
      </c>
      <c r="AN27" s="9">
        <f t="shared" ref="AN27:BP27" si="40">F20</f>
        <v>7.5232308510422924E-2</v>
      </c>
      <c r="AO27" s="9">
        <f t="shared" si="40"/>
        <v>6.7239910162351674E-2</v>
      </c>
      <c r="AP27" s="9">
        <f t="shared" si="40"/>
        <v>0.59466712449748949</v>
      </c>
      <c r="AQ27" s="9">
        <f t="shared" si="40"/>
        <v>0.24125654948846681</v>
      </c>
      <c r="AR27" s="9">
        <f t="shared" si="40"/>
        <v>0.1771688563844587</v>
      </c>
      <c r="AS27" s="9">
        <f t="shared" si="40"/>
        <v>0.14039074016269779</v>
      </c>
      <c r="AT27" s="9">
        <f t="shared" si="40"/>
        <v>0.21112931809507776</v>
      </c>
      <c r="AU27" s="9">
        <f t="shared" si="40"/>
        <v>0.12921583239071202</v>
      </c>
      <c r="AV27" s="9">
        <f t="shared" si="40"/>
        <v>0.27197807745206204</v>
      </c>
      <c r="AW27" s="9">
        <f t="shared" si="40"/>
        <v>0.18096173576864111</v>
      </c>
      <c r="AX27" s="9">
        <f t="shared" si="40"/>
        <v>7.628348655033021E-2</v>
      </c>
      <c r="AY27" s="9">
        <f t="shared" si="40"/>
        <v>0.22840415399414687</v>
      </c>
      <c r="AZ27" s="9">
        <f t="shared" si="40"/>
        <v>0.22653482068531142</v>
      </c>
      <c r="BA27" s="9">
        <f t="shared" si="40"/>
        <v>0.11254270262772019</v>
      </c>
      <c r="BB27" s="9">
        <f t="shared" si="40"/>
        <v>0.16683545607598185</v>
      </c>
      <c r="BC27" s="9">
        <f t="shared" si="40"/>
        <v>0.17319255737183911</v>
      </c>
      <c r="BD27" s="9">
        <f t="shared" si="40"/>
        <v>0.16727440158399576</v>
      </c>
      <c r="BE27" s="9">
        <f t="shared" si="40"/>
        <v>0.12262260909866861</v>
      </c>
      <c r="BF27" s="9">
        <f t="shared" si="40"/>
        <v>0.62298180360650313</v>
      </c>
      <c r="BG27" s="9">
        <f t="shared" si="40"/>
        <v>0.23009040177043241</v>
      </c>
      <c r="BH27" s="9">
        <f t="shared" si="40"/>
        <v>0.26823959253227347</v>
      </c>
      <c r="BI27" s="9">
        <f t="shared" si="40"/>
        <v>0.46021455520367227</v>
      </c>
      <c r="BJ27" s="9">
        <f t="shared" si="40"/>
        <v>0.24815549392776504</v>
      </c>
      <c r="BK27" s="9">
        <f t="shared" si="40"/>
        <v>0.18869960101768396</v>
      </c>
      <c r="BL27" s="9">
        <f t="shared" si="40"/>
        <v>1</v>
      </c>
      <c r="BM27" s="9">
        <f t="shared" si="40"/>
        <v>0.26626054252794684</v>
      </c>
      <c r="BN27" s="9">
        <f t="shared" si="40"/>
        <v>0.26316124636454685</v>
      </c>
      <c r="BO27" s="9">
        <f t="shared" si="40"/>
        <v>0.30171203644236216</v>
      </c>
      <c r="BP27" s="9">
        <f t="shared" si="40"/>
        <v>0</v>
      </c>
      <c r="BQ27" s="8"/>
      <c r="BR27" s="8" t="s">
        <v>374</v>
      </c>
      <c r="BS27" s="8"/>
      <c r="BT27" s="8"/>
    </row>
    <row r="28" spans="1:72" ht="14.65" thickBot="1" x14ac:dyDescent="0.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</row>
    <row r="29" spans="1:72" ht="15" thickTop="1" thickBot="1" x14ac:dyDescent="0.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61">
        <f t="shared" ref="AM29:BP29" si="41">SUM(AM18:AM26)</f>
        <v>1.8854007353340343</v>
      </c>
      <c r="AN29" s="61">
        <f t="shared" si="41"/>
        <v>2.1161404680033744</v>
      </c>
      <c r="AO29" s="61">
        <f t="shared" si="41"/>
        <v>2.1841842371577034</v>
      </c>
      <c r="AP29" s="61">
        <f t="shared" si="41"/>
        <v>1.5227945533266845</v>
      </c>
      <c r="AQ29" s="61">
        <f t="shared" si="41"/>
        <v>2.0147951524540733</v>
      </c>
      <c r="AR29" s="61">
        <f t="shared" si="41"/>
        <v>2.0435951687766951</v>
      </c>
      <c r="AS29" s="61">
        <f t="shared" si="41"/>
        <v>2.09005286878332</v>
      </c>
      <c r="AT29" s="61">
        <f t="shared" si="41"/>
        <v>1.9810731544983819</v>
      </c>
      <c r="AU29" s="61">
        <f t="shared" si="41"/>
        <v>1.9930153447195456</v>
      </c>
      <c r="AV29" s="61">
        <f t="shared" si="41"/>
        <v>1.8475395845580418</v>
      </c>
      <c r="AW29" s="61">
        <f t="shared" si="41"/>
        <v>1.9456466806103845</v>
      </c>
      <c r="AX29" s="61">
        <f t="shared" si="41"/>
        <v>1.9785541541235625</v>
      </c>
      <c r="AY29" s="61">
        <f t="shared" si="41"/>
        <v>1.5052396803833781</v>
      </c>
      <c r="AZ29" s="61">
        <f t="shared" si="41"/>
        <v>1.9632781406618427</v>
      </c>
      <c r="BA29" s="61">
        <f t="shared" si="41"/>
        <v>1.9558520987034282</v>
      </c>
      <c r="BB29" s="61">
        <f t="shared" si="41"/>
        <v>2.0076036728952666</v>
      </c>
      <c r="BC29" s="61">
        <f t="shared" si="41"/>
        <v>1.9813803163900816</v>
      </c>
      <c r="BD29" s="61">
        <f t="shared" si="41"/>
        <v>1.9686546113121128</v>
      </c>
      <c r="BE29" s="61">
        <f t="shared" si="41"/>
        <v>1.8515030269020376</v>
      </c>
      <c r="BF29" s="61">
        <f t="shared" si="41"/>
        <v>1.6302587886317854</v>
      </c>
      <c r="BG29" s="61">
        <f t="shared" si="41"/>
        <v>1.9577474835742492</v>
      </c>
      <c r="BH29" s="61">
        <f t="shared" si="41"/>
        <v>1.9909128341508393</v>
      </c>
      <c r="BI29" s="61">
        <f t="shared" si="41"/>
        <v>1.5838474610275282</v>
      </c>
      <c r="BJ29" s="61">
        <f t="shared" si="41"/>
        <v>1.9440196271632357</v>
      </c>
      <c r="BK29" s="61">
        <f t="shared" si="41"/>
        <v>1.6386187908975745</v>
      </c>
      <c r="BL29" s="61">
        <f t="shared" si="41"/>
        <v>1.2591524266831131</v>
      </c>
      <c r="BM29" s="61">
        <f t="shared" si="41"/>
        <v>1.9278465581206716</v>
      </c>
      <c r="BN29" s="61">
        <f t="shared" si="41"/>
        <v>1.86258628590631</v>
      </c>
      <c r="BO29" s="61">
        <f t="shared" si="41"/>
        <v>1.821154247047275</v>
      </c>
      <c r="BP29" s="61">
        <f t="shared" si="41"/>
        <v>1.2591524266831131</v>
      </c>
      <c r="BQ29" s="8"/>
      <c r="BR29" s="8"/>
      <c r="BS29" s="8"/>
      <c r="BT29" s="8"/>
    </row>
    <row r="30" spans="1:72" ht="14.65" thickTop="1" x14ac:dyDescent="0.45">
      <c r="A30" s="8"/>
      <c r="B30" s="8"/>
      <c r="C30" s="8" t="s">
        <v>272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</row>
    <row r="31" spans="1:72" x14ac:dyDescent="0.45">
      <c r="A31" s="8"/>
      <c r="B31" s="8"/>
      <c r="C31" s="8" t="s">
        <v>273</v>
      </c>
      <c r="D31" s="8" t="s">
        <v>274</v>
      </c>
      <c r="E31" s="8" t="s">
        <v>36</v>
      </c>
      <c r="F31" s="8" t="s">
        <v>275</v>
      </c>
      <c r="G31" s="8" t="s">
        <v>276</v>
      </c>
      <c r="H31" s="8" t="s">
        <v>277</v>
      </c>
      <c r="I31" s="8" t="s">
        <v>278</v>
      </c>
      <c r="J31" s="8" t="s">
        <v>279</v>
      </c>
      <c r="K31" s="8" t="s">
        <v>280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x14ac:dyDescent="0.45">
      <c r="A32" s="8"/>
      <c r="B32" s="8"/>
      <c r="C32" s="8"/>
      <c r="D32" s="8" t="s">
        <v>281</v>
      </c>
      <c r="E32" s="8" t="str">
        <f>A18</f>
        <v>AGR000</v>
      </c>
      <c r="F32" s="8"/>
      <c r="G32" s="8" t="s">
        <v>282</v>
      </c>
      <c r="H32" s="8" t="s">
        <v>283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</row>
  </sheetData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EE0A-C6FB-41FE-A881-A8BE4A0C77CD}">
  <dimension ref="A1:AN31"/>
  <sheetViews>
    <sheetView workbookViewId="0">
      <selection activeCell="B4" sqref="B4:AG14"/>
    </sheetView>
  </sheetViews>
  <sheetFormatPr defaultRowHeight="14.25" x14ac:dyDescent="0.45"/>
  <cols>
    <col min="1" max="1" width="4.53125" bestFit="1" customWidth="1"/>
    <col min="3" max="3" width="9.86328125" bestFit="1" customWidth="1"/>
    <col min="5" max="13" width="5.796875" customWidth="1"/>
    <col min="14" max="14" width="6.46484375" bestFit="1" customWidth="1"/>
    <col min="15" max="20" width="5.796875" customWidth="1"/>
    <col min="21" max="29" width="6.53125" customWidth="1"/>
    <col min="30" max="30" width="7" customWidth="1"/>
    <col min="31" max="31" width="5" bestFit="1" customWidth="1"/>
    <col min="32" max="32" width="5.53125" bestFit="1" customWidth="1"/>
    <col min="33" max="34" width="2.796875" bestFit="1" customWidth="1"/>
    <col min="35" max="35" width="5.796875" customWidth="1"/>
    <col min="36" max="36" width="2" bestFit="1" customWidth="1"/>
    <col min="39" max="39" width="24.796875" bestFit="1" customWidth="1"/>
  </cols>
  <sheetData>
    <row r="1" spans="1:40" x14ac:dyDescent="0.45">
      <c r="A1" s="4">
        <v>4.1868000000000002E-2</v>
      </c>
      <c r="B1" s="3" t="s">
        <v>17</v>
      </c>
    </row>
    <row r="2" spans="1:40" x14ac:dyDescent="0.45">
      <c r="D2" s="2"/>
    </row>
    <row r="3" spans="1:40" x14ac:dyDescent="0.45">
      <c r="D3" s="2"/>
    </row>
    <row r="4" spans="1:40" x14ac:dyDescent="0.45">
      <c r="B4" s="63" t="s">
        <v>61</v>
      </c>
      <c r="C4" s="8" t="s">
        <v>360</v>
      </c>
      <c r="D4" s="8" t="s">
        <v>361</v>
      </c>
      <c r="E4" s="8" t="s">
        <v>382</v>
      </c>
      <c r="F4" s="8" t="s">
        <v>383</v>
      </c>
      <c r="G4" s="8" t="s">
        <v>384</v>
      </c>
      <c r="H4" s="8" t="s">
        <v>385</v>
      </c>
      <c r="I4" s="8" t="s">
        <v>386</v>
      </c>
      <c r="J4" s="8" t="s">
        <v>387</v>
      </c>
      <c r="K4" s="8" t="s">
        <v>388</v>
      </c>
      <c r="L4" s="8" t="s">
        <v>389</v>
      </c>
      <c r="M4" s="8" t="s">
        <v>390</v>
      </c>
      <c r="N4" s="8" t="s">
        <v>342</v>
      </c>
      <c r="O4" s="8" t="s">
        <v>391</v>
      </c>
      <c r="P4" s="8" t="s">
        <v>392</v>
      </c>
      <c r="Q4" s="8" t="s">
        <v>393</v>
      </c>
      <c r="R4" s="8" t="s">
        <v>394</v>
      </c>
      <c r="S4" s="8" t="s">
        <v>395</v>
      </c>
      <c r="T4" s="8" t="s">
        <v>396</v>
      </c>
      <c r="U4" s="8" t="s">
        <v>397</v>
      </c>
      <c r="V4" s="8" t="s">
        <v>398</v>
      </c>
      <c r="W4" s="8" t="s">
        <v>381</v>
      </c>
      <c r="X4" s="8" t="s">
        <v>344</v>
      </c>
      <c r="Y4" s="8" t="s">
        <v>399</v>
      </c>
      <c r="Z4" s="8" t="s">
        <v>400</v>
      </c>
      <c r="AA4" s="8" t="s">
        <v>401</v>
      </c>
      <c r="AB4" s="8" t="s">
        <v>402</v>
      </c>
      <c r="AC4" s="8" t="s">
        <v>343</v>
      </c>
      <c r="AD4" s="8" t="s">
        <v>403</v>
      </c>
      <c r="AE4" s="8" t="s">
        <v>404</v>
      </c>
      <c r="AF4" s="8" t="s">
        <v>405</v>
      </c>
      <c r="AG4" s="8" t="s">
        <v>5</v>
      </c>
      <c r="AH4" s="8" t="s">
        <v>357</v>
      </c>
      <c r="AI4" s="8" t="str">
        <f>'RES balance'!AI4</f>
        <v>WORLD</v>
      </c>
    </row>
    <row r="5" spans="1:40" x14ac:dyDescent="0.45">
      <c r="B5" t="s">
        <v>28</v>
      </c>
      <c r="C5" s="8" t="s">
        <v>28</v>
      </c>
      <c r="D5" t="s">
        <v>271</v>
      </c>
      <c r="E5" s="10">
        <v>28.176661584000001</v>
      </c>
      <c r="F5" s="10">
        <v>321.20957103839999</v>
      </c>
      <c r="G5" s="10">
        <v>6.9543082943999996</v>
      </c>
      <c r="H5" s="10">
        <v>1.1963404188</v>
      </c>
      <c r="I5" s="10">
        <v>100.12365855</v>
      </c>
      <c r="J5" s="10">
        <v>68.929792106400001</v>
      </c>
      <c r="K5" s="10">
        <v>0.15499952280000001</v>
      </c>
      <c r="L5" s="10">
        <v>6.9024045347999996</v>
      </c>
      <c r="M5" s="10"/>
      <c r="N5" s="10">
        <v>0.1000393992</v>
      </c>
      <c r="O5" s="10">
        <v>9.2209622652000007</v>
      </c>
      <c r="P5" s="10">
        <v>19.2996784332</v>
      </c>
      <c r="Q5" s="10">
        <v>10.07092872</v>
      </c>
      <c r="R5" s="10">
        <v>3.4630655652</v>
      </c>
      <c r="S5" s="10">
        <v>10.852047435599999</v>
      </c>
      <c r="T5" s="10">
        <v>6.4082407176</v>
      </c>
      <c r="U5" s="10">
        <v>22.028107136399999</v>
      </c>
      <c r="V5" s="10">
        <v>17.294720396399999</v>
      </c>
      <c r="W5" s="10">
        <v>65.546669300399998</v>
      </c>
      <c r="X5" s="10">
        <v>109.7439996672</v>
      </c>
      <c r="Y5" s="10">
        <v>25.1123677848</v>
      </c>
      <c r="Z5" s="10"/>
      <c r="AA5" s="10">
        <v>10.996697188800001</v>
      </c>
      <c r="AB5" s="10">
        <v>1.978242066</v>
      </c>
      <c r="AC5" s="10">
        <v>47.9797901568</v>
      </c>
      <c r="AD5" s="10"/>
      <c r="AE5" s="10"/>
      <c r="AF5" s="10">
        <v>9.2099970360000007</v>
      </c>
      <c r="AG5" s="10">
        <v>87.447744737999997</v>
      </c>
      <c r="AH5" s="10"/>
      <c r="AI5" s="10">
        <f>SUM(E5:AH5)</f>
        <v>990.40103405640002</v>
      </c>
      <c r="AJ5">
        <v>1</v>
      </c>
      <c r="AM5" s="48" t="s">
        <v>33</v>
      </c>
      <c r="AN5" s="48" t="s">
        <v>47</v>
      </c>
    </row>
    <row r="6" spans="1:40" x14ac:dyDescent="0.45">
      <c r="B6" t="s">
        <v>28</v>
      </c>
      <c r="C6" s="8" t="s">
        <v>28</v>
      </c>
      <c r="D6" t="s">
        <v>45</v>
      </c>
      <c r="E6" s="10"/>
      <c r="F6" s="10">
        <v>0.1207347516</v>
      </c>
      <c r="G6" s="10"/>
      <c r="H6" s="10">
        <v>32.991858395999998</v>
      </c>
      <c r="I6" s="10">
        <v>5.1861472920000002</v>
      </c>
      <c r="J6" s="10">
        <v>17.741510571599999</v>
      </c>
      <c r="K6" s="10">
        <v>1.3771976184000001</v>
      </c>
      <c r="L6" s="10"/>
      <c r="M6" s="10"/>
      <c r="N6" s="10">
        <v>512.81627915520005</v>
      </c>
      <c r="O6" s="10">
        <v>0.1044020448</v>
      </c>
      <c r="P6" s="10">
        <v>28.4207143428</v>
      </c>
      <c r="Q6" s="10">
        <v>0.14732511840000001</v>
      </c>
      <c r="R6" s="10"/>
      <c r="S6" s="10">
        <v>0.2398157172</v>
      </c>
      <c r="T6" s="10"/>
      <c r="U6" s="10">
        <v>146.05077789719999</v>
      </c>
      <c r="V6" s="10">
        <v>1.4600208960000001</v>
      </c>
      <c r="W6" s="10">
        <v>7.69910652E-2</v>
      </c>
      <c r="X6" s="10">
        <v>201.29049600120001</v>
      </c>
      <c r="Y6" s="10">
        <v>4.1030640000000001E-4</v>
      </c>
      <c r="Z6" s="10"/>
      <c r="AA6" s="10"/>
      <c r="AB6" s="10">
        <v>3.9355919999999999E-3</v>
      </c>
      <c r="AC6" s="10">
        <v>30.837603258000001</v>
      </c>
      <c r="AD6" s="10"/>
      <c r="AE6" s="10">
        <v>53.154231156000002</v>
      </c>
      <c r="AF6" s="10">
        <v>0.65709732600000004</v>
      </c>
      <c r="AG6" s="10">
        <v>15.822402868799999</v>
      </c>
      <c r="AH6" s="10"/>
      <c r="AI6" s="10">
        <f t="shared" ref="AI6:AI14" si="0">SUM(E6:AH6)</f>
        <v>1048.4999513748</v>
      </c>
      <c r="AM6" s="48" t="s">
        <v>72</v>
      </c>
      <c r="AN6" s="48" t="s">
        <v>49</v>
      </c>
    </row>
    <row r="7" spans="1:40" x14ac:dyDescent="0.45">
      <c r="B7" t="s">
        <v>28</v>
      </c>
      <c r="C7" s="8" t="s">
        <v>28</v>
      </c>
      <c r="D7" t="s">
        <v>51</v>
      </c>
      <c r="E7" s="10">
        <v>191.40926281559999</v>
      </c>
      <c r="F7" s="10">
        <v>117.99994221359999</v>
      </c>
      <c r="G7" s="10">
        <v>156.291715818</v>
      </c>
      <c r="H7" s="10">
        <v>97.654401140399997</v>
      </c>
      <c r="I7" s="10">
        <v>1728.686156346</v>
      </c>
      <c r="J7" s="10">
        <v>1166.1091018632001</v>
      </c>
      <c r="K7" s="10">
        <v>290.9189564532</v>
      </c>
      <c r="L7" s="10">
        <v>507.75190912800002</v>
      </c>
      <c r="M7" s="10">
        <v>544.84560060479998</v>
      </c>
      <c r="N7" s="10">
        <v>1754.3688793343999</v>
      </c>
      <c r="O7" s="10">
        <v>199.17714171239999</v>
      </c>
      <c r="P7" s="10">
        <v>337.61116744560002</v>
      </c>
      <c r="Q7" s="10">
        <v>263.45368243079997</v>
      </c>
      <c r="R7" s="10">
        <v>397.4065803108</v>
      </c>
      <c r="S7" s="10">
        <v>128.0666422656</v>
      </c>
      <c r="T7" s="10">
        <v>327.85102488960001</v>
      </c>
      <c r="U7" s="10">
        <v>490.53559074840001</v>
      </c>
      <c r="V7" s="10">
        <v>491.79266907480002</v>
      </c>
      <c r="W7" s="10">
        <v>467.9064014832</v>
      </c>
      <c r="X7" s="10">
        <v>409.1741678628</v>
      </c>
      <c r="Y7" s="10">
        <v>321.67636155719998</v>
      </c>
      <c r="Z7" s="10">
        <v>103.379397966</v>
      </c>
      <c r="AA7" s="10">
        <v>557.5849151292</v>
      </c>
      <c r="AB7" s="10">
        <v>99.201775431599998</v>
      </c>
      <c r="AC7" s="10">
        <v>550.32803935920003</v>
      </c>
      <c r="AD7" s="10">
        <v>440.6203853028</v>
      </c>
      <c r="AE7" s="10">
        <v>133.5873734928</v>
      </c>
      <c r="AF7" s="10">
        <v>324.4342820796</v>
      </c>
      <c r="AG7" s="10">
        <v>4910.4736550243997</v>
      </c>
      <c r="AH7" s="10"/>
      <c r="AI7" s="10">
        <f t="shared" si="0"/>
        <v>17510.297179284</v>
      </c>
      <c r="AM7" s="48" t="s">
        <v>73</v>
      </c>
      <c r="AN7" s="48"/>
    </row>
    <row r="8" spans="1:40" x14ac:dyDescent="0.45">
      <c r="B8" t="s">
        <v>28</v>
      </c>
      <c r="C8" s="8" t="s">
        <v>28</v>
      </c>
      <c r="D8" t="s">
        <v>53</v>
      </c>
      <c r="E8" s="10"/>
      <c r="F8" s="10"/>
      <c r="G8" s="10"/>
      <c r="H8" s="10">
        <v>0.37200136680000001</v>
      </c>
      <c r="I8" s="10">
        <v>8.5803106895999992</v>
      </c>
      <c r="J8" s="10"/>
      <c r="K8" s="10">
        <v>2.3777800164</v>
      </c>
      <c r="L8" s="10"/>
      <c r="M8" s="10"/>
      <c r="N8" s="10">
        <v>149.181378048</v>
      </c>
      <c r="O8" s="10"/>
      <c r="P8" s="10">
        <v>0.76646910239999999</v>
      </c>
      <c r="Q8" s="10"/>
      <c r="R8" s="10">
        <v>3.6160679843999999</v>
      </c>
      <c r="S8" s="10">
        <v>4.0195666475999996</v>
      </c>
      <c r="T8" s="10">
        <v>7.6199760000000005E-2</v>
      </c>
      <c r="U8" s="10">
        <v>0.12929257080000001</v>
      </c>
      <c r="V8" s="10">
        <v>0.70015019040000004</v>
      </c>
      <c r="W8" s="10">
        <v>2.3300002547999998</v>
      </c>
      <c r="X8" s="10"/>
      <c r="Y8" s="10">
        <v>0.1024007544</v>
      </c>
      <c r="Z8" s="10"/>
      <c r="AA8" s="10"/>
      <c r="AB8" s="10">
        <v>0.25699834440000002</v>
      </c>
      <c r="AC8" s="10"/>
      <c r="AD8" s="10"/>
      <c r="AE8" s="10"/>
      <c r="AF8" s="10">
        <v>1.6998408E-2</v>
      </c>
      <c r="AG8" s="10"/>
      <c r="AH8" s="10"/>
      <c r="AI8" s="10">
        <f t="shared" si="0"/>
        <v>172.52561413800001</v>
      </c>
      <c r="AM8" s="48" t="s">
        <v>74</v>
      </c>
      <c r="AN8" s="48" t="s">
        <v>59</v>
      </c>
    </row>
    <row r="9" spans="1:40" x14ac:dyDescent="0.45">
      <c r="B9" t="s">
        <v>28</v>
      </c>
      <c r="C9" s="8" t="s">
        <v>28</v>
      </c>
      <c r="D9" t="s">
        <v>55</v>
      </c>
      <c r="E9" s="10"/>
      <c r="F9" s="10"/>
      <c r="G9" s="10"/>
      <c r="H9" s="10">
        <v>144.25462813679999</v>
      </c>
      <c r="I9" s="10">
        <v>34.9030446732</v>
      </c>
      <c r="J9" s="10">
        <v>15.688860696000001</v>
      </c>
      <c r="K9" s="10"/>
      <c r="L9" s="10"/>
      <c r="M9" s="10">
        <v>0.29199999240000002</v>
      </c>
      <c r="N9" s="10">
        <v>138.47320162080001</v>
      </c>
      <c r="O9" s="10">
        <v>128.08354437720001</v>
      </c>
      <c r="P9" s="10">
        <v>112.67438704200001</v>
      </c>
      <c r="Q9" s="10">
        <v>15.421098088800001</v>
      </c>
      <c r="R9" s="10">
        <v>12.413472627599999</v>
      </c>
      <c r="S9" s="10">
        <v>22.328476542000001</v>
      </c>
      <c r="T9" s="10">
        <v>0.9996236208</v>
      </c>
      <c r="U9" s="10">
        <v>122.94034946639999</v>
      </c>
      <c r="V9" s="10">
        <v>33.509020305600004</v>
      </c>
      <c r="W9" s="10">
        <v>58.193999546400001</v>
      </c>
      <c r="X9" s="10"/>
      <c r="Y9" s="10"/>
      <c r="Z9" s="10"/>
      <c r="AA9" s="10"/>
      <c r="AB9" s="10">
        <v>27.786133627200002</v>
      </c>
      <c r="AC9" s="10">
        <v>791.34960101399997</v>
      </c>
      <c r="AD9" s="10"/>
      <c r="AE9" s="10"/>
      <c r="AF9" s="10">
        <v>12.561651853200001</v>
      </c>
      <c r="AG9" s="10">
        <v>53.0122400208</v>
      </c>
      <c r="AH9" s="10"/>
      <c r="AI9" s="10">
        <f t="shared" si="0"/>
        <v>1724.8853332511999</v>
      </c>
      <c r="AM9" s="48" t="s">
        <v>32</v>
      </c>
      <c r="AN9" s="48" t="s">
        <v>45</v>
      </c>
    </row>
    <row r="10" spans="1:40" x14ac:dyDescent="0.45">
      <c r="B10" t="s">
        <v>28</v>
      </c>
      <c r="C10" s="8" t="s">
        <v>28</v>
      </c>
      <c r="D10" t="s">
        <v>59</v>
      </c>
      <c r="E10" s="10"/>
      <c r="F10" s="10">
        <v>1.1534843340000001</v>
      </c>
      <c r="G10" s="10">
        <v>4.4995539600000002E-2</v>
      </c>
      <c r="H10" s="10">
        <v>4.3668324000000001E-2</v>
      </c>
      <c r="I10" s="10">
        <v>151.6332811716</v>
      </c>
      <c r="J10" s="10">
        <v>9.8498782404000007</v>
      </c>
      <c r="K10" s="10">
        <v>6.8663519999999996E-4</v>
      </c>
      <c r="L10" s="10"/>
      <c r="M10" s="10">
        <v>15.417597924000001</v>
      </c>
      <c r="N10" s="10">
        <v>127.4137819812</v>
      </c>
      <c r="O10" s="10">
        <v>3.4143354000000001E-2</v>
      </c>
      <c r="P10" s="10">
        <v>1.4193252E-3</v>
      </c>
      <c r="Q10" s="10">
        <v>3.5595419975999998</v>
      </c>
      <c r="R10" s="10">
        <v>0.100839078</v>
      </c>
      <c r="S10" s="10">
        <v>1.27823004E-2</v>
      </c>
      <c r="T10" s="10">
        <v>8.7922800000000005E-5</v>
      </c>
      <c r="U10" s="10"/>
      <c r="V10" s="10"/>
      <c r="W10" s="10"/>
      <c r="X10" s="10">
        <v>3.788698122</v>
      </c>
      <c r="Y10" s="10">
        <v>0.30474879840000002</v>
      </c>
      <c r="Z10" s="10"/>
      <c r="AA10" s="10">
        <v>3.0312222659999999</v>
      </c>
      <c r="AB10" s="10">
        <v>6.8663519999999996E-4</v>
      </c>
      <c r="AC10" s="10"/>
      <c r="AD10" s="10"/>
      <c r="AE10" s="10">
        <v>3.0335543135999998</v>
      </c>
      <c r="AF10" s="10">
        <v>34.142001663599999</v>
      </c>
      <c r="AG10" s="10">
        <v>0.8759999772</v>
      </c>
      <c r="AH10" s="10"/>
      <c r="AI10" s="10">
        <f t="shared" si="0"/>
        <v>354.44309990399995</v>
      </c>
      <c r="AM10" s="48" t="s">
        <v>75</v>
      </c>
      <c r="AN10" s="48" t="s">
        <v>57</v>
      </c>
    </row>
    <row r="11" spans="1:40" x14ac:dyDescent="0.45">
      <c r="B11" t="s">
        <v>28</v>
      </c>
      <c r="C11" s="8" t="s">
        <v>28</v>
      </c>
      <c r="D11" t="s">
        <v>57</v>
      </c>
      <c r="E11" s="10">
        <v>6.3671389019999998</v>
      </c>
      <c r="F11" s="10">
        <v>15.511340376</v>
      </c>
      <c r="G11" s="10">
        <v>17.5108388256</v>
      </c>
      <c r="H11" s="10">
        <v>1.8470947428</v>
      </c>
      <c r="I11" s="10">
        <v>93.531064654800005</v>
      </c>
      <c r="J11" s="10">
        <v>138.05174995920001</v>
      </c>
      <c r="K11" s="10">
        <v>2.2714771643999998</v>
      </c>
      <c r="L11" s="10">
        <v>27.314365003199999</v>
      </c>
      <c r="M11" s="10">
        <v>35.995301243999997</v>
      </c>
      <c r="N11" s="10">
        <v>85.012459023600002</v>
      </c>
      <c r="O11" s="10">
        <v>0.90449952479999995</v>
      </c>
      <c r="P11" s="10">
        <v>4.6151808155999996</v>
      </c>
      <c r="Q11" s="10">
        <v>8.4816194399999993</v>
      </c>
      <c r="R11" s="10">
        <v>22.324214379600001</v>
      </c>
      <c r="S11" s="10">
        <v>2.7636145704000001</v>
      </c>
      <c r="T11" s="10">
        <v>11.4535398708</v>
      </c>
      <c r="U11" s="10">
        <v>29.125955682000001</v>
      </c>
      <c r="V11" s="10">
        <v>13.7736425304</v>
      </c>
      <c r="W11" s="10">
        <v>8.3260002707999998</v>
      </c>
      <c r="X11" s="10">
        <v>123.6611196468</v>
      </c>
      <c r="Y11" s="10">
        <v>27.114081051599999</v>
      </c>
      <c r="Z11" s="10">
        <v>60.515525717999999</v>
      </c>
      <c r="AA11" s="10">
        <v>11.134815533999999</v>
      </c>
      <c r="AB11" s="10">
        <v>1.2325227444</v>
      </c>
      <c r="AC11" s="10">
        <v>0.98532151199999995</v>
      </c>
      <c r="AD11" s="10"/>
      <c r="AE11" s="10">
        <v>1.506787452</v>
      </c>
      <c r="AF11" s="10">
        <v>16.318040439600001</v>
      </c>
      <c r="AG11" s="10">
        <v>69.294500067599998</v>
      </c>
      <c r="AH11" s="10"/>
      <c r="AI11" s="10">
        <f t="shared" si="0"/>
        <v>836.94381114600014</v>
      </c>
      <c r="AM11" s="48" t="s">
        <v>76</v>
      </c>
      <c r="AN11" s="48"/>
    </row>
    <row r="12" spans="1:40" x14ac:dyDescent="0.45">
      <c r="B12" t="s">
        <v>28</v>
      </c>
      <c r="C12" s="8" t="s">
        <v>28</v>
      </c>
      <c r="D12" t="s">
        <v>47</v>
      </c>
      <c r="E12" s="10">
        <v>21.332822007600001</v>
      </c>
      <c r="F12" s="10">
        <v>6.7080909600000002E-2</v>
      </c>
      <c r="G12" s="10">
        <v>57.223507679999997</v>
      </c>
      <c r="H12" s="10">
        <v>393.38424618840003</v>
      </c>
      <c r="I12" s="10">
        <v>552.53310131520004</v>
      </c>
      <c r="J12" s="10">
        <v>60.444890215199997</v>
      </c>
      <c r="K12" s="10">
        <v>61.790527735200001</v>
      </c>
      <c r="L12" s="10">
        <v>6.1559734572</v>
      </c>
      <c r="M12" s="10">
        <v>592.59770001720005</v>
      </c>
      <c r="N12" s="10">
        <v>532.56030267239998</v>
      </c>
      <c r="O12" s="10">
        <v>14.6740724856</v>
      </c>
      <c r="P12" s="10">
        <v>152.5147867908</v>
      </c>
      <c r="Q12" s="10">
        <v>220.56282625680001</v>
      </c>
      <c r="R12" s="10">
        <v>304.8333131448</v>
      </c>
      <c r="S12" s="10">
        <v>92.445456722399996</v>
      </c>
      <c r="T12" s="10">
        <v>94.010712836400003</v>
      </c>
      <c r="U12" s="10">
        <v>234.71469173880001</v>
      </c>
      <c r="V12" s="10">
        <v>255.708475056</v>
      </c>
      <c r="W12" s="10">
        <v>413.25846243839999</v>
      </c>
      <c r="X12" s="10">
        <v>97.295650995599999</v>
      </c>
      <c r="Y12" s="10">
        <v>36.301339576799997</v>
      </c>
      <c r="Z12" s="10">
        <v>9.8658006407999999</v>
      </c>
      <c r="AA12" s="10">
        <v>540.80095083840001</v>
      </c>
      <c r="AB12" s="10">
        <v>2.9001419315999999</v>
      </c>
      <c r="AC12" s="10">
        <v>236.07468579600001</v>
      </c>
      <c r="AD12" s="10"/>
      <c r="AE12" s="10">
        <v>1.1105989415999999</v>
      </c>
      <c r="AF12" s="10">
        <v>267.04429885799999</v>
      </c>
      <c r="AG12" s="10">
        <v>3465.7147922076001</v>
      </c>
      <c r="AH12" s="10"/>
      <c r="AI12" s="10">
        <f t="shared" si="0"/>
        <v>8717.9212094544018</v>
      </c>
      <c r="AM12" s="48" t="s">
        <v>77</v>
      </c>
      <c r="AN12" s="48" t="s">
        <v>271</v>
      </c>
    </row>
    <row r="13" spans="1:40" x14ac:dyDescent="0.45">
      <c r="B13" t="s">
        <v>28</v>
      </c>
      <c r="C13" s="8" t="s">
        <v>28</v>
      </c>
      <c r="D13" t="s">
        <v>49</v>
      </c>
      <c r="E13" s="10">
        <v>4.6778613984000001</v>
      </c>
      <c r="F13" s="10">
        <v>41.495148712800002</v>
      </c>
      <c r="G13" s="10">
        <v>24.803884360800001</v>
      </c>
      <c r="H13" s="10">
        <v>25.955178998400001</v>
      </c>
      <c r="I13" s="10">
        <v>262.6980906348</v>
      </c>
      <c r="J13" s="10">
        <v>149.84712111600001</v>
      </c>
      <c r="K13" s="10">
        <v>31.706904355199999</v>
      </c>
      <c r="L13" s="10">
        <v>2.1747578976000002</v>
      </c>
      <c r="M13" s="10">
        <v>8.2331998488</v>
      </c>
      <c r="N13" s="10">
        <v>436.50623465640001</v>
      </c>
      <c r="O13" s="10">
        <v>20.6532624996</v>
      </c>
      <c r="P13" s="10">
        <v>23.343072159599998</v>
      </c>
      <c r="Q13" s="10">
        <v>44.417313212400003</v>
      </c>
      <c r="R13" s="10">
        <v>7.4745014471999998</v>
      </c>
      <c r="S13" s="10">
        <v>8.5805325900000007</v>
      </c>
      <c r="T13" s="10">
        <v>47.118598891200001</v>
      </c>
      <c r="U13" s="10">
        <v>52.493177304</v>
      </c>
      <c r="V13" s="10">
        <v>85.606787843999996</v>
      </c>
      <c r="W13" s="10">
        <v>131.45419889280001</v>
      </c>
      <c r="X13" s="10"/>
      <c r="Y13" s="10">
        <v>29.8056114864</v>
      </c>
      <c r="Z13" s="10">
        <v>1.3349988612000001</v>
      </c>
      <c r="AA13" s="10">
        <v>41.823184492800003</v>
      </c>
      <c r="AB13" s="10">
        <v>11.885391543600001</v>
      </c>
      <c r="AC13" s="10">
        <v>60.845989842000002</v>
      </c>
      <c r="AD13" s="10"/>
      <c r="AE13" s="10">
        <v>2.4958687103999999</v>
      </c>
      <c r="AF13" s="10">
        <v>38.6891386056</v>
      </c>
      <c r="AG13" s="10">
        <v>390.01342838760002</v>
      </c>
      <c r="AH13" s="10"/>
      <c r="AI13" s="10">
        <f t="shared" si="0"/>
        <v>1986.1334387495999</v>
      </c>
      <c r="AM13" s="48" t="s">
        <v>35</v>
      </c>
      <c r="AN13" s="48"/>
    </row>
    <row r="14" spans="1:40" x14ac:dyDescent="0.45">
      <c r="B14" t="s">
        <v>28</v>
      </c>
      <c r="C14" s="8" t="s">
        <v>28</v>
      </c>
      <c r="D14" t="s">
        <v>370</v>
      </c>
      <c r="E14" s="10">
        <v>0.110698992</v>
      </c>
      <c r="F14" s="10"/>
      <c r="G14" s="10"/>
      <c r="H14" s="10">
        <v>0.30489114960000002</v>
      </c>
      <c r="I14" s="10">
        <v>1.6861708980000001</v>
      </c>
      <c r="J14" s="10">
        <v>0.53710782479999997</v>
      </c>
      <c r="K14" s="10">
        <v>0.47100662640000002</v>
      </c>
      <c r="L14" s="10"/>
      <c r="M14" s="10"/>
      <c r="N14" s="10">
        <v>97.632001760400001</v>
      </c>
      <c r="O14" s="10">
        <v>9.1649051999999995E-2</v>
      </c>
      <c r="P14" s="10">
        <v>3.0579089291999999</v>
      </c>
      <c r="Q14" s="10">
        <v>0.30587086079999998</v>
      </c>
      <c r="R14" s="10">
        <v>2.8025559971999998</v>
      </c>
      <c r="S14" s="10">
        <v>0.84109462560000003</v>
      </c>
      <c r="T14" s="10">
        <v>3.69139689</v>
      </c>
      <c r="U14" s="10">
        <v>0.63914432759999995</v>
      </c>
      <c r="V14" s="10">
        <v>0.56816969399999995</v>
      </c>
      <c r="W14" s="10">
        <v>1.2639991068</v>
      </c>
      <c r="X14" s="10">
        <v>4.1642582688000003</v>
      </c>
      <c r="Y14" s="10">
        <v>0.59198839920000002</v>
      </c>
      <c r="Z14" s="10">
        <v>5.1750020304</v>
      </c>
      <c r="AA14" s="10">
        <v>2.9220472692000001</v>
      </c>
      <c r="AB14" s="10"/>
      <c r="AC14" s="10"/>
      <c r="AD14" s="10"/>
      <c r="AE14" s="10"/>
      <c r="AF14" s="10">
        <v>0.71899916399999997</v>
      </c>
      <c r="AG14" s="10">
        <v>75.532555738799999</v>
      </c>
      <c r="AH14" s="10"/>
      <c r="AI14" s="10">
        <f t="shared" si="0"/>
        <v>203.10851760479997</v>
      </c>
      <c r="AM14" s="48" t="s">
        <v>78</v>
      </c>
      <c r="AN14" s="48"/>
    </row>
    <row r="15" spans="1:40" x14ac:dyDescent="0.45">
      <c r="AM15" s="48" t="s">
        <v>34</v>
      </c>
      <c r="AN15" s="48" t="s">
        <v>51</v>
      </c>
    </row>
    <row r="16" spans="1:40" x14ac:dyDescent="0.45">
      <c r="AM16" s="48" t="s">
        <v>79</v>
      </c>
      <c r="AN16" s="48" t="s">
        <v>55</v>
      </c>
    </row>
    <row r="17" spans="2:40" x14ac:dyDescent="0.45">
      <c r="AM17" s="48" t="s">
        <v>80</v>
      </c>
      <c r="AN17" s="48" t="s">
        <v>53</v>
      </c>
    </row>
    <row r="18" spans="2:40" x14ac:dyDescent="0.45">
      <c r="B18" t="s">
        <v>366</v>
      </c>
      <c r="C18">
        <v>3527</v>
      </c>
      <c r="D18">
        <f>C18*$A$1</f>
        <v>147.66843600000001</v>
      </c>
      <c r="AM18" s="48" t="s">
        <v>81</v>
      </c>
      <c r="AN18" s="48" t="s">
        <v>370</v>
      </c>
    </row>
    <row r="19" spans="2:40" x14ac:dyDescent="0.45">
      <c r="B19" t="s">
        <v>367</v>
      </c>
      <c r="C19">
        <v>4390</v>
      </c>
      <c r="D19">
        <f>C19*$A$1</f>
        <v>183.80052000000001</v>
      </c>
    </row>
    <row r="20" spans="2:40" x14ac:dyDescent="0.45">
      <c r="B20" t="s">
        <v>368</v>
      </c>
      <c r="C20">
        <f>5913+74</f>
        <v>5987</v>
      </c>
      <c r="D20">
        <f>C20*$A$1</f>
        <v>250.66371600000002</v>
      </c>
    </row>
    <row r="21" spans="2:40" x14ac:dyDescent="0.45">
      <c r="B21" t="s">
        <v>369</v>
      </c>
      <c r="C21">
        <v>3</v>
      </c>
      <c r="D21">
        <f>C21*$A$1</f>
        <v>0.12560399999999999</v>
      </c>
    </row>
    <row r="27" spans="2:40" x14ac:dyDescent="0.45">
      <c r="E27" s="2">
        <f>SUM(E5:E25)</f>
        <v>252.07444569960003</v>
      </c>
      <c r="F27" s="2">
        <f t="shared" ref="F27:S27" si="1">SUM(F5:F25)</f>
        <v>497.55730233600002</v>
      </c>
      <c r="G27" s="2">
        <f t="shared" si="1"/>
        <v>262.82925051839999</v>
      </c>
      <c r="H27" s="2">
        <f t="shared" si="1"/>
        <v>698.00430886200002</v>
      </c>
      <c r="I27" s="2">
        <f t="shared" si="1"/>
        <v>2939.5610262251998</v>
      </c>
      <c r="J27" s="2">
        <f t="shared" si="1"/>
        <v>1627.2000125927998</v>
      </c>
      <c r="K27" s="2">
        <f t="shared" si="1"/>
        <v>391.06953612719997</v>
      </c>
      <c r="L27" s="2">
        <f t="shared" si="1"/>
        <v>550.29941002080011</v>
      </c>
      <c r="M27" s="2">
        <f t="shared" si="1"/>
        <v>1197.3813996311999</v>
      </c>
      <c r="N27" s="2">
        <f t="shared" si="1"/>
        <v>3834.0645576516004</v>
      </c>
      <c r="O27" s="2">
        <f t="shared" si="1"/>
        <v>372.94367731559993</v>
      </c>
      <c r="P27" s="2">
        <f t="shared" si="1"/>
        <v>682.3047843864</v>
      </c>
      <c r="Q27" s="2">
        <f t="shared" si="1"/>
        <v>566.42020612559998</v>
      </c>
      <c r="R27" s="2">
        <f t="shared" si="1"/>
        <v>754.43461053479996</v>
      </c>
      <c r="S27" s="2">
        <f t="shared" si="1"/>
        <v>270.15002941680001</v>
      </c>
      <c r="T27" s="2">
        <f t="shared" ref="T27:AI27" si="2">SUM(T5:T25)</f>
        <v>491.60942539920001</v>
      </c>
      <c r="U27" s="2">
        <f t="shared" si="2"/>
        <v>1098.6570868716001</v>
      </c>
      <c r="V27" s="2">
        <f t="shared" ref="V27:AH27" si="3">SUM(V5:V25)</f>
        <v>900.41365598760001</v>
      </c>
      <c r="W27" s="2">
        <f t="shared" si="3"/>
        <v>1148.3567223588</v>
      </c>
      <c r="X27" s="2">
        <f t="shared" si="3"/>
        <v>949.1183905644001</v>
      </c>
      <c r="Y27" s="2">
        <f t="shared" si="3"/>
        <v>441.00930971519995</v>
      </c>
      <c r="Z27" s="2">
        <f t="shared" si="3"/>
        <v>180.2707252164</v>
      </c>
      <c r="AA27" s="2">
        <f t="shared" si="3"/>
        <v>1168.2938327184002</v>
      </c>
      <c r="AB27" s="2">
        <f t="shared" si="3"/>
        <v>145.245827916</v>
      </c>
      <c r="AC27" s="2">
        <f t="shared" si="3"/>
        <v>1718.4010309380001</v>
      </c>
      <c r="AD27" s="2">
        <f t="shared" si="3"/>
        <v>440.6203853028</v>
      </c>
      <c r="AE27" s="2">
        <f t="shared" si="3"/>
        <v>194.8884140664</v>
      </c>
      <c r="AF27" s="2">
        <f t="shared" si="3"/>
        <v>703.7925054335999</v>
      </c>
      <c r="AG27" s="2">
        <f t="shared" si="3"/>
        <v>9068.1873190307997</v>
      </c>
      <c r="AH27" s="2">
        <f t="shared" si="3"/>
        <v>0</v>
      </c>
      <c r="AI27" s="2">
        <f t="shared" si="2"/>
        <v>33545.159188963204</v>
      </c>
    </row>
    <row r="28" spans="2:40" x14ac:dyDescent="0.45">
      <c r="E28" s="2">
        <f ca="1">SUM('COM Assumptions'!AK3:AK61)</f>
        <v>252.07444569959998</v>
      </c>
      <c r="F28" s="2">
        <f ca="1">SUM('COM Assumptions'!AL3:AL61)</f>
        <v>497.55730233599985</v>
      </c>
      <c r="G28" s="2">
        <f ca="1">SUM('COM Assumptions'!AM3:AM61)</f>
        <v>262.82925051839999</v>
      </c>
      <c r="H28" s="2">
        <f ca="1">SUM('COM Assumptions'!AN3:AN61)</f>
        <v>698.00430886200002</v>
      </c>
      <c r="I28" s="2">
        <f ca="1">SUM('COM Assumptions'!AO3:AO61)</f>
        <v>2939.5610262252003</v>
      </c>
      <c r="J28" s="2">
        <f ca="1">SUM('COM Assumptions'!AP3:AP61)</f>
        <v>1627.2000125928002</v>
      </c>
      <c r="K28" s="2">
        <f ca="1">SUM('COM Assumptions'!AQ3:AQ61)</f>
        <v>391.06953612720002</v>
      </c>
      <c r="L28" s="2">
        <f ca="1">SUM('COM Assumptions'!AR3:AR61)</f>
        <v>550.2994100208</v>
      </c>
      <c r="M28" s="2">
        <f ca="1">SUM('COM Assumptions'!AS3:AS61)</f>
        <v>1197.3813996311994</v>
      </c>
      <c r="N28" s="2">
        <f ca="1">SUM('COM Assumptions'!AT3:AT61)</f>
        <v>3834.0645576516008</v>
      </c>
      <c r="O28" s="2">
        <f ca="1">SUM('COM Assumptions'!AU3:AU61)</f>
        <v>372.94367731559998</v>
      </c>
      <c r="P28" s="2">
        <f ca="1">SUM('COM Assumptions'!AV3:AV61)</f>
        <v>682.30478438640012</v>
      </c>
      <c r="Q28" s="2">
        <f ca="1">SUM('COM Assumptions'!AW3:AW61)</f>
        <v>566.42020612560009</v>
      </c>
      <c r="R28" s="2">
        <f ca="1">SUM('COM Assumptions'!AX3:AX61)</f>
        <v>754.43461053479984</v>
      </c>
      <c r="S28" s="2">
        <f ca="1">SUM('COM Assumptions'!AY3:AY61)</f>
        <v>270.15002941680001</v>
      </c>
      <c r="T28" s="2">
        <f ca="1">SUM('COM Assumptions'!AZ3:AZ61)</f>
        <v>491.60942539920001</v>
      </c>
      <c r="U28" s="2">
        <f ca="1">SUM('COM Assumptions'!BA3:BA61)</f>
        <v>1098.6570868716001</v>
      </c>
      <c r="V28" s="2">
        <f ca="1">SUM('COM Assumptions'!BB3:BB61)</f>
        <v>900.41365598760001</v>
      </c>
      <c r="W28" s="2">
        <f ca="1">SUM('COM Assumptions'!BC3:BC61)</f>
        <v>1148.3567223587997</v>
      </c>
      <c r="X28" s="2">
        <f ca="1">SUM('COM Assumptions'!BD3:BD61)</f>
        <v>949.11839056439987</v>
      </c>
      <c r="Y28" s="2">
        <f ca="1">SUM('COM Assumptions'!BE3:BE61)</f>
        <v>441.00930971519989</v>
      </c>
      <c r="Z28" s="2">
        <f ca="1">SUM('COM Assumptions'!BF3:BF61)</f>
        <v>180.2707252164</v>
      </c>
      <c r="AA28" s="2">
        <f ca="1">SUM('COM Assumptions'!BG3:BG61)</f>
        <v>1168.2938327184002</v>
      </c>
      <c r="AB28" s="2">
        <f ca="1">SUM('COM Assumptions'!BH3:BH61)</f>
        <v>145.245827916</v>
      </c>
      <c r="AC28" s="2">
        <f ca="1">SUM('COM Assumptions'!BI3:BI61)</f>
        <v>1718.4010309380001</v>
      </c>
      <c r="AD28" s="2">
        <f ca="1">SUM('COM Assumptions'!BJ3:BJ61)</f>
        <v>440.62038530279995</v>
      </c>
      <c r="AE28" s="2">
        <f ca="1">SUM('COM Assumptions'!BK3:BK61)</f>
        <v>194.88841406639997</v>
      </c>
      <c r="AF28" s="2">
        <f ca="1">SUM('COM Assumptions'!BL3:BL61)</f>
        <v>703.79250543360001</v>
      </c>
      <c r="AG28" s="2">
        <f ca="1">SUM('COM Assumptions'!BM3:BM61)</f>
        <v>9068.1873190308015</v>
      </c>
      <c r="AH28" s="2">
        <f ca="1">SUM('COM Assumptions'!BN3:BN61)</f>
        <v>0</v>
      </c>
      <c r="AI28" s="2">
        <f ca="1">SUM(E28:AH28)</f>
        <v>33545.159188963189</v>
      </c>
    </row>
    <row r="29" spans="2:40" x14ac:dyDescent="0.45">
      <c r="E29" s="2">
        <f ca="1">SUM('COM Assumptions'!E81:E127)</f>
        <v>252.07444569959998</v>
      </c>
      <c r="F29" s="2">
        <f ca="1">SUM('COM Assumptions'!F81:F127)</f>
        <v>497.55730233599991</v>
      </c>
      <c r="G29" s="2">
        <f ca="1">SUM('COM Assumptions'!G81:G127)</f>
        <v>262.82925051840004</v>
      </c>
      <c r="H29" s="2">
        <f ca="1">SUM('COM Assumptions'!H81:H127)</f>
        <v>698.00430886200002</v>
      </c>
      <c r="I29" s="2">
        <f ca="1">SUM('COM Assumptions'!I81:I127)</f>
        <v>2939.5610262251998</v>
      </c>
      <c r="J29" s="2">
        <f ca="1">SUM('COM Assumptions'!J81:J127)</f>
        <v>1627.2000125928</v>
      </c>
      <c r="K29" s="2">
        <f ca="1">SUM('COM Assumptions'!K81:K127)</f>
        <v>391.06953612720002</v>
      </c>
      <c r="L29" s="2">
        <f ca="1">SUM('COM Assumptions'!L81:L127)</f>
        <v>550.2994100208</v>
      </c>
      <c r="M29" s="2">
        <f ca="1">SUM('COM Assumptions'!M81:M127)</f>
        <v>1197.3813996311997</v>
      </c>
      <c r="N29" s="2">
        <f ca="1">SUM('COM Assumptions'!N81:N127)</f>
        <v>3834.0645576515999</v>
      </c>
      <c r="O29" s="2">
        <f ca="1">SUM('COM Assumptions'!O81:O127)</f>
        <v>372.94367731560004</v>
      </c>
      <c r="P29" s="2">
        <f ca="1">SUM('COM Assumptions'!P81:P127)</f>
        <v>682.30478438640012</v>
      </c>
      <c r="Q29" s="2">
        <f ca="1">SUM('COM Assumptions'!Q81:Q127)</f>
        <v>566.42020612560009</v>
      </c>
      <c r="R29" s="2">
        <f ca="1">SUM('COM Assumptions'!R81:R127)</f>
        <v>754.43461053479996</v>
      </c>
      <c r="S29" s="2">
        <f ca="1">SUM('COM Assumptions'!S81:S127)</f>
        <v>270.1500294167999</v>
      </c>
      <c r="T29" s="2">
        <f ca="1">SUM('COM Assumptions'!T81:T127)</f>
        <v>491.60942539920006</v>
      </c>
      <c r="U29" s="2">
        <f ca="1">SUM('COM Assumptions'!U81:U127)</f>
        <v>1098.6570868715999</v>
      </c>
      <c r="V29" s="2">
        <f ca="1">SUM('COM Assumptions'!V81:V127)</f>
        <v>900.41365598760024</v>
      </c>
      <c r="W29" s="2">
        <f ca="1">SUM('COM Assumptions'!W81:W127)</f>
        <v>1148.3567223588002</v>
      </c>
      <c r="X29" s="2">
        <f ca="1">SUM('COM Assumptions'!X81:X127)</f>
        <v>949.11839056439999</v>
      </c>
      <c r="Y29" s="2">
        <f ca="1">SUM('COM Assumptions'!Y81:Y127)</f>
        <v>441.0093097152</v>
      </c>
      <c r="Z29" s="2">
        <f ca="1">SUM('COM Assumptions'!Z81:Z127)</f>
        <v>180.27072521640002</v>
      </c>
      <c r="AA29" s="2">
        <f ca="1">SUM('COM Assumptions'!AA81:AA127)</f>
        <v>1168.2938327184002</v>
      </c>
      <c r="AB29" s="2">
        <f ca="1">SUM('COM Assumptions'!AB81:AB127)</f>
        <v>145.24582791600002</v>
      </c>
      <c r="AC29" s="2">
        <f ca="1">SUM('COM Assumptions'!AC81:AC127)</f>
        <v>1718.4010309379994</v>
      </c>
      <c r="AD29" s="2">
        <f ca="1">SUM('COM Assumptions'!AD81:AD127)</f>
        <v>440.6203853028</v>
      </c>
      <c r="AE29" s="2">
        <f ca="1">SUM('COM Assumptions'!AE81:AE127)</f>
        <v>194.8884140664</v>
      </c>
      <c r="AF29" s="2">
        <f ca="1">SUM('COM Assumptions'!AF81:AF127)</f>
        <v>703.79250543360001</v>
      </c>
      <c r="AG29" s="2">
        <f ca="1">SUM('COM Assumptions'!AG81:AG127)</f>
        <v>9068.1873190307979</v>
      </c>
      <c r="AH29" s="2">
        <f ca="1">SUM('COM Assumptions'!AH81:AH127)</f>
        <v>0</v>
      </c>
      <c r="AI29" s="2">
        <f ca="1">SUM(E29:AH29)</f>
        <v>33545.159188963189</v>
      </c>
    </row>
    <row r="31" spans="2:40" x14ac:dyDescent="0.45"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6AFC6-F3DD-4788-9569-A39C4545E1FC}">
  <dimension ref="A1:AM36"/>
  <sheetViews>
    <sheetView workbookViewId="0">
      <selection activeCell="AI8" sqref="AI8"/>
    </sheetView>
  </sheetViews>
  <sheetFormatPr defaultRowHeight="14.25" x14ac:dyDescent="0.45"/>
  <cols>
    <col min="1" max="1" width="4.53125" bestFit="1" customWidth="1"/>
    <col min="3" max="3" width="9.86328125" bestFit="1" customWidth="1"/>
    <col min="5" max="21" width="6.1328125" customWidth="1"/>
    <col min="22" max="34" width="6.53125" customWidth="1"/>
    <col min="35" max="35" width="7.46484375" customWidth="1"/>
    <col min="38" max="38" width="24.796875" bestFit="1" customWidth="1"/>
  </cols>
  <sheetData>
    <row r="1" spans="1:39" x14ac:dyDescent="0.45">
      <c r="A1" s="4">
        <v>4.1868000000000002E-2</v>
      </c>
      <c r="B1" s="3" t="s">
        <v>17</v>
      </c>
    </row>
    <row r="2" spans="1:39" x14ac:dyDescent="0.45">
      <c r="D2" s="2"/>
    </row>
    <row r="3" spans="1:39" x14ac:dyDescent="0.45">
      <c r="D3" s="2"/>
    </row>
    <row r="4" spans="1:39" ht="14.65" thickBot="1" x14ac:dyDescent="0.5">
      <c r="B4" s="63" t="s">
        <v>61</v>
      </c>
      <c r="C4" s="8" t="s">
        <v>360</v>
      </c>
      <c r="D4" s="8" t="s">
        <v>361</v>
      </c>
      <c r="E4" s="58" t="s">
        <v>382</v>
      </c>
      <c r="F4" s="58" t="s">
        <v>383</v>
      </c>
      <c r="G4" s="58" t="s">
        <v>384</v>
      </c>
      <c r="H4" s="58" t="s">
        <v>385</v>
      </c>
      <c r="I4" s="58" t="s">
        <v>386</v>
      </c>
      <c r="J4" s="58" t="s">
        <v>387</v>
      </c>
      <c r="K4" s="58" t="s">
        <v>388</v>
      </c>
      <c r="L4" s="58" t="s">
        <v>389</v>
      </c>
      <c r="M4" s="58" t="s">
        <v>390</v>
      </c>
      <c r="N4" s="58" t="s">
        <v>342</v>
      </c>
      <c r="O4" s="58" t="s">
        <v>391</v>
      </c>
      <c r="P4" s="58" t="s">
        <v>392</v>
      </c>
      <c r="Q4" s="58" t="s">
        <v>393</v>
      </c>
      <c r="R4" s="58" t="s">
        <v>394</v>
      </c>
      <c r="S4" s="58" t="s">
        <v>395</v>
      </c>
      <c r="T4" s="58" t="s">
        <v>396</v>
      </c>
      <c r="U4" s="58" t="s">
        <v>397</v>
      </c>
      <c r="V4" s="58" t="s">
        <v>398</v>
      </c>
      <c r="W4" s="58" t="s">
        <v>381</v>
      </c>
      <c r="X4" s="58" t="s">
        <v>344</v>
      </c>
      <c r="Y4" s="58" t="s">
        <v>399</v>
      </c>
      <c r="Z4" s="58" t="s">
        <v>400</v>
      </c>
      <c r="AA4" s="59" t="s">
        <v>401</v>
      </c>
      <c r="AB4" s="59" t="s">
        <v>402</v>
      </c>
      <c r="AC4" s="59" t="s">
        <v>343</v>
      </c>
      <c r="AD4" s="59" t="s">
        <v>403</v>
      </c>
      <c r="AE4" s="59" t="s">
        <v>404</v>
      </c>
      <c r="AF4" s="59" t="s">
        <v>405</v>
      </c>
      <c r="AG4" s="59" t="s">
        <v>5</v>
      </c>
      <c r="AH4" s="59" t="s">
        <v>357</v>
      </c>
      <c r="AI4" s="59" t="s">
        <v>16</v>
      </c>
    </row>
    <row r="5" spans="1:39" x14ac:dyDescent="0.45">
      <c r="B5" t="s">
        <v>29</v>
      </c>
      <c r="C5" s="8" t="s">
        <v>29</v>
      </c>
      <c r="D5" s="13" t="s">
        <v>270</v>
      </c>
      <c r="E5" s="11">
        <v>133.12265962679999</v>
      </c>
      <c r="F5" s="11">
        <v>11247.991583417999</v>
      </c>
      <c r="G5" s="11">
        <v>88.826047671599994</v>
      </c>
      <c r="H5" s="11">
        <v>15.9070013496</v>
      </c>
      <c r="I5" s="11">
        <v>5.8054545612000004</v>
      </c>
      <c r="J5" s="11">
        <v>4005.8889748992001</v>
      </c>
      <c r="K5" s="11">
        <v>56.444926165200002</v>
      </c>
      <c r="L5" s="11">
        <v>313.39519772760002</v>
      </c>
      <c r="M5" s="11">
        <v>113.3329999896</v>
      </c>
      <c r="N5" s="11">
        <v>3073.0707890064</v>
      </c>
      <c r="O5" s="11">
        <v>119.536845318</v>
      </c>
      <c r="P5" s="11">
        <v>455.47956459</v>
      </c>
      <c r="Q5" s="11">
        <v>41.798042758800001</v>
      </c>
      <c r="R5" s="11">
        <v>290.91939188039998</v>
      </c>
      <c r="S5" s="11">
        <v>269.33056798680002</v>
      </c>
      <c r="T5" s="11">
        <v>108.76853388240001</v>
      </c>
      <c r="U5" s="11">
        <v>320.34310859160001</v>
      </c>
      <c r="V5" s="11">
        <v>269.83339010639997</v>
      </c>
      <c r="W5" s="11">
        <v>257.07410035919997</v>
      </c>
      <c r="X5" s="11">
        <v>4116.8910074832002</v>
      </c>
      <c r="Y5" s="11">
        <v>793.14385834079997</v>
      </c>
      <c r="Z5" s="11">
        <v>247.7580014376</v>
      </c>
      <c r="AA5" s="11">
        <v>18.147504567599999</v>
      </c>
      <c r="AB5" s="11">
        <v>19.5192467856</v>
      </c>
      <c r="AC5" s="11">
        <v>43.7135749344</v>
      </c>
      <c r="AD5" s="11">
        <v>0.3253017996</v>
      </c>
      <c r="AE5" s="11">
        <v>127.9679970708</v>
      </c>
      <c r="AF5" s="11">
        <v>27.72300087</v>
      </c>
      <c r="AG5" s="11">
        <v>545.53772051279998</v>
      </c>
      <c r="AH5" s="11"/>
      <c r="AI5" s="11">
        <f>SUM(E5:AH5)</f>
        <v>27127.596393691205</v>
      </c>
      <c r="AL5" t="s">
        <v>35</v>
      </c>
    </row>
    <row r="6" spans="1:39" x14ac:dyDescent="0.45">
      <c r="B6" t="s">
        <v>29</v>
      </c>
      <c r="C6" s="8" t="s">
        <v>29</v>
      </c>
      <c r="D6" s="13" t="s">
        <v>44</v>
      </c>
      <c r="E6" s="11"/>
      <c r="F6" s="11">
        <v>0.15049871279999999</v>
      </c>
      <c r="G6" s="11"/>
      <c r="H6" s="11">
        <v>199.7668650528</v>
      </c>
      <c r="I6" s="11">
        <v>12.476517462</v>
      </c>
      <c r="J6" s="11">
        <v>87.196189233599995</v>
      </c>
      <c r="K6" s="11">
        <v>0.27486342000000002</v>
      </c>
      <c r="L6" s="11"/>
      <c r="M6" s="11"/>
      <c r="N6" s="11">
        <v>1378.6823162952001</v>
      </c>
      <c r="O6" s="11">
        <v>0.1565988804</v>
      </c>
      <c r="P6" s="11">
        <v>239.71548520799999</v>
      </c>
      <c r="Q6" s="11">
        <v>16.4161664712</v>
      </c>
      <c r="R6" s="11">
        <v>0.14269870439999999</v>
      </c>
      <c r="S6" s="11">
        <v>9.0604738476000009</v>
      </c>
      <c r="T6" s="11">
        <v>2.7185018003999999</v>
      </c>
      <c r="U6" s="11">
        <v>85.054222353599997</v>
      </c>
      <c r="V6" s="11">
        <v>1.0237521491999999</v>
      </c>
      <c r="W6" s="11">
        <v>14.460713157600001</v>
      </c>
      <c r="X6" s="11">
        <v>122.9289655572</v>
      </c>
      <c r="Y6" s="11">
        <v>2.7625008815999998</v>
      </c>
      <c r="Z6" s="11"/>
      <c r="AA6" s="11">
        <v>0.3611994228</v>
      </c>
      <c r="AB6" s="11"/>
      <c r="AC6" s="11">
        <v>71.5245530328</v>
      </c>
      <c r="AD6" s="11"/>
      <c r="AE6" s="11">
        <v>107.3450553768</v>
      </c>
      <c r="AF6" s="11">
        <v>19.1050885296</v>
      </c>
      <c r="AG6" s="11"/>
      <c r="AH6" s="11"/>
      <c r="AI6" s="11">
        <f t="shared" ref="AI6:AI14" si="0">SUM(E6:AH6)</f>
        <v>2371.3232255495996</v>
      </c>
      <c r="AL6" t="s">
        <v>76</v>
      </c>
    </row>
    <row r="7" spans="1:39" x14ac:dyDescent="0.45">
      <c r="B7" t="s">
        <v>29</v>
      </c>
      <c r="C7" s="8" t="s">
        <v>29</v>
      </c>
      <c r="D7" s="13" t="s">
        <v>50</v>
      </c>
      <c r="E7" s="11">
        <v>411.00377434199999</v>
      </c>
      <c r="F7" s="11">
        <v>276.40705547879998</v>
      </c>
      <c r="G7" s="11">
        <v>204.36419335319999</v>
      </c>
      <c r="H7" s="11">
        <v>205.82424355680001</v>
      </c>
      <c r="I7" s="11">
        <v>1150.1278350552</v>
      </c>
      <c r="J7" s="11">
        <v>1652.9513739803999</v>
      </c>
      <c r="K7" s="11">
        <v>256.98530251800003</v>
      </c>
      <c r="L7" s="11">
        <v>513.25843454280005</v>
      </c>
      <c r="M7" s="11">
        <v>625.06079906759999</v>
      </c>
      <c r="N7" s="11">
        <v>3872.3350371912002</v>
      </c>
      <c r="O7" s="11">
        <v>275.927955768</v>
      </c>
      <c r="P7" s="11">
        <v>270.2582581968</v>
      </c>
      <c r="Q7" s="11">
        <v>182.922715512</v>
      </c>
      <c r="R7" s="11">
        <v>308.14358144400001</v>
      </c>
      <c r="S7" s="11">
        <v>162.25537280399999</v>
      </c>
      <c r="T7" s="11">
        <v>310.335685254</v>
      </c>
      <c r="U7" s="11">
        <v>529.60729401720005</v>
      </c>
      <c r="V7" s="11">
        <v>574.99947848880004</v>
      </c>
      <c r="W7" s="11">
        <v>455.540398794</v>
      </c>
      <c r="X7" s="11">
        <v>1138.8869678772</v>
      </c>
      <c r="Y7" s="11">
        <v>410.03141516279999</v>
      </c>
      <c r="Z7" s="11">
        <v>232.14959847719999</v>
      </c>
      <c r="AA7" s="11">
        <v>963.53738644680004</v>
      </c>
      <c r="AB7" s="11">
        <v>147.39990720840001</v>
      </c>
      <c r="AC7" s="11">
        <v>579.16008168120004</v>
      </c>
      <c r="AD7" s="11">
        <v>462.61439932680003</v>
      </c>
      <c r="AE7" s="11">
        <v>175.19081797440001</v>
      </c>
      <c r="AF7" s="11">
        <v>373.76951524200001</v>
      </c>
      <c r="AG7" s="11">
        <v>5171.5757123783997</v>
      </c>
      <c r="AH7" s="11"/>
      <c r="AI7" s="11">
        <f t="shared" si="0"/>
        <v>21892.62459114</v>
      </c>
      <c r="AL7" t="s">
        <v>77</v>
      </c>
      <c r="AM7" t="s">
        <v>270</v>
      </c>
    </row>
    <row r="8" spans="1:39" x14ac:dyDescent="0.45">
      <c r="B8" t="s">
        <v>29</v>
      </c>
      <c r="C8" s="8" t="s">
        <v>29</v>
      </c>
      <c r="D8" s="13" t="s">
        <v>52</v>
      </c>
      <c r="E8" s="11"/>
      <c r="F8" s="11"/>
      <c r="G8" s="11"/>
      <c r="H8" s="11">
        <v>0.26520028559999997</v>
      </c>
      <c r="I8" s="11">
        <v>3.9808889891999999</v>
      </c>
      <c r="J8" s="11"/>
      <c r="K8" s="11">
        <v>0.20900086919999999</v>
      </c>
      <c r="L8" s="11"/>
      <c r="M8" s="11"/>
      <c r="N8" s="11">
        <v>569.20048415999997</v>
      </c>
      <c r="O8" s="11"/>
      <c r="P8" s="11">
        <v>0.78779666159999995</v>
      </c>
      <c r="Q8" s="11"/>
      <c r="R8" s="11">
        <v>3.9875083200000001E-2</v>
      </c>
      <c r="S8" s="11">
        <v>0.1491380028</v>
      </c>
      <c r="T8" s="11">
        <v>3.8686032E-3</v>
      </c>
      <c r="U8" s="11">
        <v>55.558835999999999</v>
      </c>
      <c r="V8" s="11"/>
      <c r="W8" s="11">
        <v>1.0600014635999999</v>
      </c>
      <c r="X8" s="11"/>
      <c r="Y8" s="11"/>
      <c r="Z8" s="11"/>
      <c r="AA8" s="11"/>
      <c r="AB8" s="11">
        <v>0.49400053199999999</v>
      </c>
      <c r="AC8" s="11"/>
      <c r="AD8" s="11"/>
      <c r="AE8" s="11"/>
      <c r="AF8" s="11">
        <v>1.6998408E-2</v>
      </c>
      <c r="AG8" s="11">
        <v>14.096390381999999</v>
      </c>
      <c r="AH8" s="11"/>
      <c r="AI8" s="11">
        <f t="shared" si="0"/>
        <v>645.86247944039985</v>
      </c>
      <c r="AL8" t="s">
        <v>78</v>
      </c>
    </row>
    <row r="9" spans="1:39" x14ac:dyDescent="0.45">
      <c r="B9" t="s">
        <v>29</v>
      </c>
      <c r="C9" s="8" t="s">
        <v>29</v>
      </c>
      <c r="D9" s="13" t="s">
        <v>54</v>
      </c>
      <c r="E9" s="11"/>
      <c r="F9" s="11"/>
      <c r="G9" s="11"/>
      <c r="H9" s="11">
        <v>111.42624334680001</v>
      </c>
      <c r="I9" s="11">
        <v>84.562001211600005</v>
      </c>
      <c r="J9" s="11">
        <v>17.053673759999999</v>
      </c>
      <c r="K9" s="11"/>
      <c r="L9" s="11"/>
      <c r="M9" s="11"/>
      <c r="N9" s="11">
        <v>1288.3205001419999</v>
      </c>
      <c r="O9" s="11">
        <v>242.76058252920001</v>
      </c>
      <c r="P9" s="11">
        <v>289.38814095599997</v>
      </c>
      <c r="Q9" s="11">
        <v>12.609837734399999</v>
      </c>
      <c r="R9" s="11">
        <v>39.376757703599999</v>
      </c>
      <c r="S9" s="11">
        <v>69.0960499344</v>
      </c>
      <c r="T9" s="11">
        <v>3.59981064E-2</v>
      </c>
      <c r="U9" s="11">
        <v>210.11655929040001</v>
      </c>
      <c r="V9" s="11">
        <v>53.930689963200003</v>
      </c>
      <c r="W9" s="11">
        <v>166.0980010968</v>
      </c>
      <c r="X9" s="11"/>
      <c r="Y9" s="11"/>
      <c r="Z9" s="11"/>
      <c r="AA9" s="11"/>
      <c r="AB9" s="11">
        <v>21.214364875200001</v>
      </c>
      <c r="AC9" s="11">
        <v>1996.1617625928</v>
      </c>
      <c r="AD9" s="11"/>
      <c r="AE9" s="11"/>
      <c r="AF9" s="11">
        <v>11.283233407199999</v>
      </c>
      <c r="AG9" s="11"/>
      <c r="AH9" s="11"/>
      <c r="AI9" s="11">
        <f t="shared" si="0"/>
        <v>4613.4343966500001</v>
      </c>
      <c r="AL9" t="s">
        <v>32</v>
      </c>
      <c r="AM9" t="s">
        <v>44</v>
      </c>
    </row>
    <row r="10" spans="1:39" x14ac:dyDescent="0.45">
      <c r="B10" t="s">
        <v>29</v>
      </c>
      <c r="C10" s="8" t="s">
        <v>29</v>
      </c>
      <c r="D10" s="13" t="s">
        <v>58</v>
      </c>
      <c r="E10" s="11">
        <v>4.5989988335999996</v>
      </c>
      <c r="F10" s="11">
        <v>50.777975134800002</v>
      </c>
      <c r="G10" s="11">
        <v>4.4558060868</v>
      </c>
      <c r="H10" s="11">
        <v>6.4742539931999996</v>
      </c>
      <c r="I10" s="11">
        <v>349.05486414960001</v>
      </c>
      <c r="J10" s="11">
        <v>33.561363679199999</v>
      </c>
      <c r="K10" s="11"/>
      <c r="L10" s="11">
        <v>7.8594609600000004E-2</v>
      </c>
      <c r="M10" s="11">
        <v>2.277598266</v>
      </c>
      <c r="N10" s="11">
        <v>19.041629201999999</v>
      </c>
      <c r="O10" s="11">
        <v>0.15570290519999999</v>
      </c>
      <c r="P10" s="11"/>
      <c r="Q10" s="11">
        <v>34.774869977999998</v>
      </c>
      <c r="R10" s="11">
        <v>0.75231353160000003</v>
      </c>
      <c r="S10" s="11"/>
      <c r="T10" s="11">
        <v>4.2579756E-3</v>
      </c>
      <c r="U10" s="11">
        <v>0.38699848440000001</v>
      </c>
      <c r="V10" s="11">
        <v>7.3498604111999999</v>
      </c>
      <c r="W10" s="11">
        <v>0.25799898960000001</v>
      </c>
      <c r="X10" s="11">
        <v>95.208058087200001</v>
      </c>
      <c r="Y10" s="11">
        <v>10.683528735599999</v>
      </c>
      <c r="Z10" s="11"/>
      <c r="AA10" s="11">
        <v>158.92378113239999</v>
      </c>
      <c r="AB10" s="11">
        <v>2.4208077599999999E-2</v>
      </c>
      <c r="AC10" s="11"/>
      <c r="AD10" s="11">
        <v>22.5317289348</v>
      </c>
      <c r="AE10" s="11">
        <v>11.256203426400001</v>
      </c>
      <c r="AF10" s="11">
        <v>77.137268255999999</v>
      </c>
      <c r="AG10" s="11">
        <v>11.503982437199999</v>
      </c>
      <c r="AH10" s="11"/>
      <c r="AI10" s="11">
        <f t="shared" si="0"/>
        <v>901.27184531759985</v>
      </c>
      <c r="AL10" t="s">
        <v>72</v>
      </c>
      <c r="AM10" t="s">
        <v>48</v>
      </c>
    </row>
    <row r="11" spans="1:39" x14ac:dyDescent="0.45">
      <c r="B11" t="s">
        <v>29</v>
      </c>
      <c r="C11" s="8" t="s">
        <v>29</v>
      </c>
      <c r="D11" s="13" t="s">
        <v>56</v>
      </c>
      <c r="E11" s="11">
        <v>392.73293083319999</v>
      </c>
      <c r="F11" s="11">
        <v>122.0961607956</v>
      </c>
      <c r="G11" s="11">
        <v>91.404404715599995</v>
      </c>
      <c r="H11" s="11">
        <v>65.073485538</v>
      </c>
      <c r="I11" s="11">
        <v>225.6920749368</v>
      </c>
      <c r="J11" s="11">
        <v>708.88630866480003</v>
      </c>
      <c r="K11" s="11">
        <v>19.0110278808</v>
      </c>
      <c r="L11" s="11">
        <v>272.08900348560002</v>
      </c>
      <c r="M11" s="11">
        <v>15.2779011552</v>
      </c>
      <c r="N11" s="11">
        <v>1434.2433001236</v>
      </c>
      <c r="O11" s="11">
        <v>1.1998196496</v>
      </c>
      <c r="P11" s="11">
        <v>30.430240178399998</v>
      </c>
      <c r="Q11" s="11">
        <v>7.9087354092000002</v>
      </c>
      <c r="R11" s="11">
        <v>52.358693101199997</v>
      </c>
      <c r="S11" s="11">
        <v>19.054130986800001</v>
      </c>
      <c r="T11" s="11">
        <v>51.7067120448</v>
      </c>
      <c r="U11" s="11">
        <v>21.353441997600001</v>
      </c>
      <c r="V11" s="11">
        <v>34.128227091600003</v>
      </c>
      <c r="W11" s="11">
        <v>35.189999571599998</v>
      </c>
      <c r="X11" s="11">
        <v>1091.4947992872001</v>
      </c>
      <c r="Y11" s="11">
        <v>226.8621892404</v>
      </c>
      <c r="Z11" s="11">
        <v>225.92755312919999</v>
      </c>
      <c r="AA11" s="11">
        <v>298.75247181359998</v>
      </c>
      <c r="AB11" s="11">
        <v>0.24126853679999999</v>
      </c>
      <c r="AC11" s="11">
        <v>506.40480204120001</v>
      </c>
      <c r="AD11" s="11">
        <v>51.336816638400002</v>
      </c>
      <c r="AE11" s="11">
        <v>10.0840878324</v>
      </c>
      <c r="AF11" s="11">
        <v>9.8021403467999999</v>
      </c>
      <c r="AG11" s="11">
        <v>195.91660003679999</v>
      </c>
      <c r="AH11" s="11"/>
      <c r="AI11" s="11">
        <f t="shared" si="0"/>
        <v>6216.6593270627982</v>
      </c>
      <c r="AL11" t="s">
        <v>34</v>
      </c>
      <c r="AM11" t="s">
        <v>50</v>
      </c>
    </row>
    <row r="12" spans="1:39" x14ac:dyDescent="0.45">
      <c r="B12" t="s">
        <v>29</v>
      </c>
      <c r="C12" s="8" t="s">
        <v>29</v>
      </c>
      <c r="D12" s="13" t="s">
        <v>46</v>
      </c>
      <c r="E12" s="11">
        <v>498.22062543359999</v>
      </c>
      <c r="F12" s="11">
        <v>3.9355919999999999E-4</v>
      </c>
      <c r="G12" s="11">
        <v>375.78844881719999</v>
      </c>
      <c r="H12" s="11">
        <v>616.54371324479996</v>
      </c>
      <c r="I12" s="11">
        <v>750.03062447160005</v>
      </c>
      <c r="J12" s="11">
        <v>505.28145429360001</v>
      </c>
      <c r="K12" s="11">
        <v>158.05196376839999</v>
      </c>
      <c r="L12" s="11">
        <v>17.080435785599999</v>
      </c>
      <c r="M12" s="11">
        <v>621.02700148680003</v>
      </c>
      <c r="N12" s="11">
        <v>2121.0207382799999</v>
      </c>
      <c r="O12" s="11">
        <v>28.807792376399998</v>
      </c>
      <c r="P12" s="11">
        <v>347.91756598440003</v>
      </c>
      <c r="Q12" s="11">
        <v>447.08086053720001</v>
      </c>
      <c r="R12" s="11">
        <v>691.28342722800005</v>
      </c>
      <c r="S12" s="11">
        <v>248.75202730679999</v>
      </c>
      <c r="T12" s="11">
        <v>156.64187046239999</v>
      </c>
      <c r="U12" s="11">
        <v>913.59523475640003</v>
      </c>
      <c r="V12" s="11">
        <v>475.74438415920002</v>
      </c>
      <c r="W12" s="11">
        <v>949.15182216239998</v>
      </c>
      <c r="X12" s="11">
        <v>102.461379264</v>
      </c>
      <c r="Y12" s="11">
        <v>82.029673846799994</v>
      </c>
      <c r="Z12" s="11">
        <v>26.946001965600001</v>
      </c>
      <c r="AA12" s="11">
        <v>1725.1565583419999</v>
      </c>
      <c r="AB12" s="11">
        <v>6.4807477200000005E-2</v>
      </c>
      <c r="AC12" s="11">
        <v>2721.2565096468002</v>
      </c>
      <c r="AD12" s="11"/>
      <c r="AE12" s="11">
        <v>0.20873710079999999</v>
      </c>
      <c r="AF12" s="11">
        <v>955.40219958600005</v>
      </c>
      <c r="AG12" s="11">
        <v>4943.7515765303997</v>
      </c>
      <c r="AH12" s="11"/>
      <c r="AI12" s="11">
        <f t="shared" si="0"/>
        <v>20479.297827873601</v>
      </c>
      <c r="AL12" t="s">
        <v>80</v>
      </c>
      <c r="AM12" t="s">
        <v>52</v>
      </c>
    </row>
    <row r="13" spans="1:39" x14ac:dyDescent="0.45">
      <c r="B13" t="s">
        <v>29</v>
      </c>
      <c r="C13" s="8" t="s">
        <v>29</v>
      </c>
      <c r="D13" s="13" t="s">
        <v>48</v>
      </c>
      <c r="E13" s="11">
        <v>0.35929861559999998</v>
      </c>
      <c r="F13" s="11">
        <v>15.205197373200001</v>
      </c>
      <c r="G13" s="11"/>
      <c r="H13" s="11">
        <v>105.424712568</v>
      </c>
      <c r="I13" s="11">
        <v>31.246205630399999</v>
      </c>
      <c r="J13" s="11">
        <v>3.1260909672000001</v>
      </c>
      <c r="K13" s="11">
        <v>0.12168934200000001</v>
      </c>
      <c r="L13" s="11"/>
      <c r="M13" s="11">
        <v>49.245597961199998</v>
      </c>
      <c r="N13" s="11">
        <v>127.4295829644</v>
      </c>
      <c r="O13" s="11">
        <v>27.560532095999999</v>
      </c>
      <c r="P13" s="11">
        <v>42.735103027199997</v>
      </c>
      <c r="Q13" s="11">
        <v>107.30435130719999</v>
      </c>
      <c r="R13" s="11">
        <v>83.220424887600004</v>
      </c>
      <c r="S13" s="11">
        <v>7.5016905264</v>
      </c>
      <c r="T13" s="11">
        <v>64.096336659599999</v>
      </c>
      <c r="U13" s="11">
        <v>67.069944370800002</v>
      </c>
      <c r="V13" s="11">
        <v>140.84033041800001</v>
      </c>
      <c r="W13" s="11">
        <v>460.3904004744</v>
      </c>
      <c r="X13" s="11"/>
      <c r="Y13" s="11">
        <v>1.1786428151999999</v>
      </c>
      <c r="Z13" s="11"/>
      <c r="AA13" s="11">
        <v>24.850349467200001</v>
      </c>
      <c r="AB13" s="11">
        <v>0.38599783920000003</v>
      </c>
      <c r="AC13" s="11">
        <v>101.4718542048</v>
      </c>
      <c r="AD13" s="11"/>
      <c r="AE13" s="11">
        <v>0.25919222759999999</v>
      </c>
      <c r="AF13" s="11">
        <v>6.9484844556000001</v>
      </c>
      <c r="AG13" s="11">
        <v>414.41280087960001</v>
      </c>
      <c r="AH13" s="11"/>
      <c r="AI13" s="11">
        <f t="shared" si="0"/>
        <v>1882.3848110783997</v>
      </c>
      <c r="AL13" t="s">
        <v>79</v>
      </c>
      <c r="AM13" t="s">
        <v>54</v>
      </c>
    </row>
    <row r="14" spans="1:39" x14ac:dyDescent="0.45">
      <c r="B14" t="s">
        <v>29</v>
      </c>
      <c r="C14" s="8" t="s">
        <v>29</v>
      </c>
      <c r="D14" s="13" t="s">
        <v>371</v>
      </c>
      <c r="E14" s="11">
        <v>2.4618384</v>
      </c>
      <c r="F14" s="11"/>
      <c r="G14" s="11"/>
      <c r="H14" s="11">
        <v>0.18249423840000001</v>
      </c>
      <c r="I14" s="11">
        <v>7.8229436903999998</v>
      </c>
      <c r="J14" s="11">
        <v>3.6995067216000002</v>
      </c>
      <c r="K14" s="11">
        <v>17.385871219199998</v>
      </c>
      <c r="L14" s="11"/>
      <c r="M14" s="11"/>
      <c r="N14" s="11">
        <v>878.68799909639995</v>
      </c>
      <c r="O14" s="11">
        <v>1.0563380136</v>
      </c>
      <c r="P14" s="11">
        <v>8.3708032176000007</v>
      </c>
      <c r="Q14" s="11">
        <v>2.6307087912</v>
      </c>
      <c r="R14" s="11">
        <v>21.3284761092</v>
      </c>
      <c r="S14" s="11">
        <v>1.9036793448</v>
      </c>
      <c r="T14" s="11">
        <v>13.0607728416</v>
      </c>
      <c r="U14" s="11">
        <v>24.963531231600001</v>
      </c>
      <c r="V14" s="11">
        <v>7.1510125320000002</v>
      </c>
      <c r="W14" s="11">
        <v>29.210997963600001</v>
      </c>
      <c r="X14" s="11">
        <v>37.015636964400002</v>
      </c>
      <c r="Y14" s="11">
        <v>1.207452186</v>
      </c>
      <c r="Z14" s="11">
        <v>7.8850004399999998</v>
      </c>
      <c r="AA14" s="11">
        <v>23.267131981199999</v>
      </c>
      <c r="AB14" s="11"/>
      <c r="AC14" s="11"/>
      <c r="AD14" s="11"/>
      <c r="AE14" s="11"/>
      <c r="AF14" s="11">
        <v>1.5130006631999999</v>
      </c>
      <c r="AG14" s="11">
        <v>37.389911763599997</v>
      </c>
      <c r="AH14" s="11"/>
      <c r="AI14" s="11">
        <f t="shared" si="0"/>
        <v>1128.1951074096</v>
      </c>
      <c r="AL14" t="s">
        <v>73</v>
      </c>
    </row>
    <row r="15" spans="1:39" x14ac:dyDescent="0.45">
      <c r="AL15" t="s">
        <v>74</v>
      </c>
      <c r="AM15" t="s">
        <v>58</v>
      </c>
    </row>
    <row r="16" spans="1:39" x14ac:dyDescent="0.45">
      <c r="R16">
        <f>R7*'RES Assumptions T15'!S45</f>
        <v>6.1628716288800005</v>
      </c>
      <c r="W16">
        <f>W7*'RES Assumptions T15'!J45</f>
        <v>6.8331059819099993</v>
      </c>
      <c r="AL16" t="s">
        <v>75</v>
      </c>
      <c r="AM16" t="s">
        <v>56</v>
      </c>
    </row>
    <row r="17" spans="5:39" x14ac:dyDescent="0.45">
      <c r="R17" s="77">
        <f>R16/SUM(R5:R14)</f>
        <v>4.1429241604652202E-3</v>
      </c>
      <c r="W17" s="77">
        <f>W16/SUM(W5:W14)</f>
        <v>2.8850728919166558E-3</v>
      </c>
      <c r="AL17" t="s">
        <v>33</v>
      </c>
      <c r="AM17" t="s">
        <v>46</v>
      </c>
    </row>
    <row r="18" spans="5:39" x14ac:dyDescent="0.45">
      <c r="AL18" t="s">
        <v>81</v>
      </c>
      <c r="AM18" t="s">
        <v>371</v>
      </c>
    </row>
    <row r="27" spans="5:39" x14ac:dyDescent="0.45">
      <c r="E27" s="2">
        <f t="shared" ref="E27:S27" si="1">SUM(E5:E25)</f>
        <v>1442.5001260848001</v>
      </c>
      <c r="F27" s="2">
        <f t="shared" si="1"/>
        <v>11712.628864472397</v>
      </c>
      <c r="G27" s="2">
        <f t="shared" si="1"/>
        <v>764.83890064439993</v>
      </c>
      <c r="H27" s="2">
        <f t="shared" si="1"/>
        <v>1326.8882131739999</v>
      </c>
      <c r="I27" s="2">
        <f t="shared" si="1"/>
        <v>2620.7994101579998</v>
      </c>
      <c r="J27" s="2">
        <f t="shared" si="1"/>
        <v>7017.6449361996001</v>
      </c>
      <c r="K27" s="2">
        <f t="shared" si="1"/>
        <v>508.48464518280008</v>
      </c>
      <c r="L27" s="2">
        <f t="shared" si="1"/>
        <v>1115.9016661512001</v>
      </c>
      <c r="M27" s="2">
        <f t="shared" si="1"/>
        <v>1426.2218979264001</v>
      </c>
      <c r="N27" s="2">
        <f t="shared" si="1"/>
        <v>14762.0323764612</v>
      </c>
      <c r="O27" s="2">
        <f t="shared" si="1"/>
        <v>697.16216753640003</v>
      </c>
      <c r="P27" s="2">
        <f t="shared" si="1"/>
        <v>1685.0829580200002</v>
      </c>
      <c r="Q27" s="2">
        <f t="shared" si="1"/>
        <v>853.44628849920014</v>
      </c>
      <c r="R27" s="2">
        <f t="shared" si="1"/>
        <v>1493.7326542262406</v>
      </c>
      <c r="S27" s="2">
        <f t="shared" si="1"/>
        <v>787.10313074040005</v>
      </c>
      <c r="T27" s="2">
        <f t="shared" ref="T27:U27" si="2">SUM(T5:T25)</f>
        <v>707.37253763039996</v>
      </c>
      <c r="U27" s="2">
        <f t="shared" si="2"/>
        <v>2228.0491710935999</v>
      </c>
      <c r="V27" s="2">
        <f t="shared" ref="V27:AH27" si="3">SUM(V5:V25)</f>
        <v>1565.0011253196003</v>
      </c>
      <c r="W27" s="2">
        <f t="shared" si="3"/>
        <v>2375.2704250876022</v>
      </c>
      <c r="X27" s="2">
        <f t="shared" si="3"/>
        <v>6704.8868145204005</v>
      </c>
      <c r="Y27" s="2">
        <f t="shared" si="3"/>
        <v>1527.8992612091999</v>
      </c>
      <c r="Z27" s="2">
        <f t="shared" si="3"/>
        <v>740.66615544959996</v>
      </c>
      <c r="AA27" s="2">
        <f t="shared" si="3"/>
        <v>3212.9963831736</v>
      </c>
      <c r="AB27" s="2">
        <f t="shared" si="3"/>
        <v>189.343801332</v>
      </c>
      <c r="AC27" s="2">
        <f t="shared" si="3"/>
        <v>6019.6931381340009</v>
      </c>
      <c r="AD27" s="2">
        <f t="shared" si="3"/>
        <v>536.80824669960009</v>
      </c>
      <c r="AE27" s="2">
        <f t="shared" si="3"/>
        <v>432.3120910092</v>
      </c>
      <c r="AF27" s="2">
        <f t="shared" si="3"/>
        <v>1482.7009297644001</v>
      </c>
      <c r="AG27" s="2">
        <f t="shared" si="3"/>
        <v>11334.184694920797</v>
      </c>
      <c r="AH27" s="2">
        <f t="shared" si="3"/>
        <v>0</v>
      </c>
    </row>
    <row r="28" spans="5:39" x14ac:dyDescent="0.45">
      <c r="E28" s="2">
        <f ca="1">SUM('RES Assumptions'!AK3:AK64)</f>
        <v>1442.5001260847994</v>
      </c>
      <c r="F28" s="2">
        <f ca="1">SUM('RES Assumptions'!AL3:AL64)</f>
        <v>11712.628864472401</v>
      </c>
      <c r="G28" s="2">
        <f ca="1">SUM('RES Assumptions'!AM3:AM64)</f>
        <v>764.8389006443997</v>
      </c>
      <c r="H28" s="2">
        <f ca="1">SUM('RES Assumptions'!AN3:AN64)</f>
        <v>1325.439380915094</v>
      </c>
      <c r="I28" s="2">
        <f ca="1">SUM('RES Assumptions'!AO3:AO64)</f>
        <v>2620.7994101579998</v>
      </c>
      <c r="J28" s="2">
        <f ca="1">SUM('RES Assumptions'!AP3:AP64)</f>
        <v>7000.5912624396005</v>
      </c>
      <c r="K28" s="2">
        <f ca="1">SUM('RES Assumptions'!AQ3:AQ64)</f>
        <v>508.48464518280036</v>
      </c>
      <c r="L28" s="2">
        <f ca="1">SUM('RES Assumptions'!AR3:AR64)</f>
        <v>1115.9016661511996</v>
      </c>
      <c r="M28" s="2">
        <f ca="1">SUM('RES Assumptions'!AS3:AS64)</f>
        <v>1426.2218979263994</v>
      </c>
      <c r="N28" s="2">
        <f ca="1">SUM('RES Assumptions'!AT3:AT64)</f>
        <v>14762.032376461202</v>
      </c>
      <c r="O28" s="2">
        <f ca="1">SUM('RES Assumptions'!AU3:AU64)</f>
        <v>697.16216753640003</v>
      </c>
      <c r="P28" s="2">
        <f ca="1">SUM('RES Assumptions'!AV3:AV64)</f>
        <v>1681.0693812608724</v>
      </c>
      <c r="Q28" s="2">
        <f ca="1">SUM('RES Assumptions'!AW3:AW64)</f>
        <v>853.44628849919945</v>
      </c>
      <c r="R28" s="2">
        <f ca="1">SUM('RES Assumptions'!AX3:AX64)</f>
        <v>1487.5656396731999</v>
      </c>
      <c r="S28" s="2">
        <f ca="1">SUM('RES Assumptions'!AY3:AY64)</f>
        <v>786.1448250570777</v>
      </c>
      <c r="T28" s="2">
        <f ca="1">SUM('RES Assumptions'!AZ3:AZ64)</f>
        <v>707.37253763040007</v>
      </c>
      <c r="U28" s="2">
        <f ca="1">SUM('RES Assumptions'!BA3:BA64)</f>
        <v>2228.0491710936008</v>
      </c>
      <c r="V28" s="2">
        <f ca="1">SUM('RES Assumptions'!BB3:BB64)</f>
        <v>1565.0011253195999</v>
      </c>
      <c r="W28" s="2">
        <f ca="1">SUM('RES Assumptions'!BC3:BC64)</f>
        <v>2368.4344340327998</v>
      </c>
      <c r="X28" s="2">
        <f ca="1">SUM('RES Assumptions'!BD3:BD64)</f>
        <v>6704.8868145203996</v>
      </c>
      <c r="Y28" s="2">
        <f ca="1">SUM('RES Assumptions'!BE3:BE64)</f>
        <v>1527.8992612091995</v>
      </c>
      <c r="Z28" s="2">
        <f ca="1">SUM('RES Assumptions'!BF3:BF64)</f>
        <v>740.66615544960007</v>
      </c>
      <c r="AA28" s="2">
        <f ca="1">SUM('RES Assumptions'!BG3:BG64)</f>
        <v>3212.9963831735995</v>
      </c>
      <c r="AB28" s="2">
        <f ca="1">SUM('RES Assumptions'!BH3:BH64)</f>
        <v>189.34380133200003</v>
      </c>
      <c r="AC28" s="2">
        <f ca="1">SUM('RES Assumptions'!BI3:BI64)</f>
        <v>5993.7378203491353</v>
      </c>
      <c r="AD28" s="2">
        <f ca="1">SUM('RES Assumptions'!BJ3:BJ64)</f>
        <v>536.8082466996002</v>
      </c>
      <c r="AE28" s="2">
        <f ca="1">SUM('RES Assumptions'!BK3:BK64)</f>
        <v>432.3120910092</v>
      </c>
      <c r="AF28" s="2">
        <f ca="1">SUM('RES Assumptions'!BL3:BL64)</f>
        <v>1482.700929764399</v>
      </c>
      <c r="AG28" s="2">
        <f ca="1">SUM('RES Assumptions'!BM3:BM64)</f>
        <v>11334.184694920799</v>
      </c>
      <c r="AH28" s="2">
        <f ca="1">SUM('RES Assumptions'!BN3:BN64)</f>
        <v>0</v>
      </c>
    </row>
    <row r="29" spans="5:39" x14ac:dyDescent="0.45">
      <c r="E29" s="2">
        <f ca="1">SUM('RES Assumptions'!E87:E144)</f>
        <v>1442.5001260847996</v>
      </c>
      <c r="F29" s="2">
        <f ca="1">SUM('RES Assumptions'!F87:F144)</f>
        <v>11712.628864472395</v>
      </c>
      <c r="G29" s="2">
        <f ca="1">SUM('RES Assumptions'!G87:G144)</f>
        <v>764.83890064439993</v>
      </c>
      <c r="H29" s="2">
        <f ca="1">SUM('RES Assumptions'!H87:H144)</f>
        <v>1325.4393809150936</v>
      </c>
      <c r="I29" s="2">
        <f ca="1">SUM('RES Assumptions'!I87:I144)</f>
        <v>2620.7994101580007</v>
      </c>
      <c r="J29" s="2">
        <f ca="1">SUM('RES Assumptions'!J87:J144)</f>
        <v>7000.5912624396015</v>
      </c>
      <c r="K29" s="2">
        <f ca="1">SUM('RES Assumptions'!K87:K144)</f>
        <v>508.48464518280025</v>
      </c>
      <c r="L29" s="2">
        <f ca="1">SUM('RES Assumptions'!L87:L144)</f>
        <v>1115.9016661511996</v>
      </c>
      <c r="M29" s="2">
        <f ca="1">SUM('RES Assumptions'!M87:M144)</f>
        <v>1426.2218979263992</v>
      </c>
      <c r="N29" s="2">
        <f ca="1">SUM('RES Assumptions'!N87:N144)</f>
        <v>14762.032376461202</v>
      </c>
      <c r="O29" s="2">
        <f ca="1">SUM('RES Assumptions'!O87:O144)</f>
        <v>697.16216753640003</v>
      </c>
      <c r="P29" s="2">
        <f ca="1">SUM('RES Assumptions'!P87:P144)</f>
        <v>1681.0693812608729</v>
      </c>
      <c r="Q29" s="2">
        <f ca="1">SUM('RES Assumptions'!Q87:Q144)</f>
        <v>853.44628849919957</v>
      </c>
      <c r="R29" s="2">
        <f ca="1">SUM('RES Assumptions'!R87:R144)</f>
        <v>1487.5656396731995</v>
      </c>
      <c r="S29" s="2">
        <f ca="1">SUM('RES Assumptions'!S87:S144)</f>
        <v>786.1448250570777</v>
      </c>
      <c r="T29" s="2">
        <f ca="1">SUM('RES Assumptions'!T87:T144)</f>
        <v>707.37253763039985</v>
      </c>
      <c r="U29" s="2">
        <f ca="1">SUM('RES Assumptions'!U87:U144)</f>
        <v>2228.0491710936012</v>
      </c>
      <c r="V29" s="2">
        <f ca="1">SUM('RES Assumptions'!V87:V144)</f>
        <v>1565.0011253195999</v>
      </c>
      <c r="W29" s="2">
        <f ca="1">SUM('RES Assumptions'!W87:W144)</f>
        <v>2368.4344340327989</v>
      </c>
      <c r="X29" s="2">
        <f ca="1">SUM('RES Assumptions'!X87:X144)</f>
        <v>6704.8868145203996</v>
      </c>
      <c r="Y29" s="2">
        <f ca="1">SUM('RES Assumptions'!Y87:Y144)</f>
        <v>1527.8992612091999</v>
      </c>
      <c r="Z29" s="2">
        <f ca="1">SUM('RES Assumptions'!Z87:Z144)</f>
        <v>740.66615544960018</v>
      </c>
      <c r="AA29" s="2">
        <f ca="1">SUM('RES Assumptions'!AA87:AA144)</f>
        <v>3212.9963831736004</v>
      </c>
      <c r="AB29" s="2">
        <f ca="1">SUM('RES Assumptions'!AB87:AB144)</f>
        <v>189.34380133200006</v>
      </c>
      <c r="AC29" s="2">
        <f ca="1">SUM('RES Assumptions'!AC87:AC144)</f>
        <v>5993.7378203491371</v>
      </c>
      <c r="AD29" s="2">
        <f ca="1">SUM('RES Assumptions'!AD87:AD144)</f>
        <v>536.80824669960032</v>
      </c>
      <c r="AE29" s="2">
        <f ca="1">SUM('RES Assumptions'!AE87:AE144)</f>
        <v>432.31209100920006</v>
      </c>
      <c r="AF29" s="2">
        <f ca="1">SUM('RES Assumptions'!AF87:AF144)</f>
        <v>1482.7009297643992</v>
      </c>
      <c r="AG29" s="2">
        <f ca="1">SUM('RES Assumptions'!AG87:AG144)</f>
        <v>11334.184694920799</v>
      </c>
      <c r="AH29" s="2">
        <f ca="1">SUM('RES Assumptions'!AH87:AH144)</f>
        <v>0</v>
      </c>
    </row>
    <row r="34" spans="3:33" x14ac:dyDescent="0.45">
      <c r="C34" s="63" t="s">
        <v>362</v>
      </c>
      <c r="D34" t="s">
        <v>363</v>
      </c>
      <c r="E34" t="s">
        <v>382</v>
      </c>
      <c r="F34" t="s">
        <v>383</v>
      </c>
      <c r="G34" t="s">
        <v>384</v>
      </c>
      <c r="H34" t="s">
        <v>385</v>
      </c>
      <c r="I34" t="s">
        <v>386</v>
      </c>
      <c r="J34" t="s">
        <v>387</v>
      </c>
      <c r="K34" t="s">
        <v>388</v>
      </c>
      <c r="L34" t="s">
        <v>389</v>
      </c>
      <c r="M34" t="s">
        <v>390</v>
      </c>
      <c r="N34" t="s">
        <v>342</v>
      </c>
      <c r="O34" t="s">
        <v>391</v>
      </c>
      <c r="P34" t="s">
        <v>392</v>
      </c>
      <c r="Q34" t="s">
        <v>393</v>
      </c>
      <c r="R34" t="s">
        <v>394</v>
      </c>
      <c r="S34" t="s">
        <v>395</v>
      </c>
      <c r="T34" t="s">
        <v>396</v>
      </c>
      <c r="U34" t="s">
        <v>397</v>
      </c>
      <c r="V34" t="s">
        <v>398</v>
      </c>
      <c r="W34" t="s">
        <v>381</v>
      </c>
      <c r="X34" t="s">
        <v>344</v>
      </c>
      <c r="Y34" t="s">
        <v>399</v>
      </c>
      <c r="Z34" t="s">
        <v>400</v>
      </c>
      <c r="AA34" t="s">
        <v>401</v>
      </c>
      <c r="AB34" t="s">
        <v>402</v>
      </c>
      <c r="AC34" t="s">
        <v>343</v>
      </c>
      <c r="AD34" t="s">
        <v>403</v>
      </c>
      <c r="AE34" t="s">
        <v>404</v>
      </c>
      <c r="AF34" t="s">
        <v>405</v>
      </c>
      <c r="AG34" t="s">
        <v>5</v>
      </c>
    </row>
    <row r="35" spans="3:33" x14ac:dyDescent="0.45">
      <c r="C35">
        <v>2019</v>
      </c>
      <c r="D35" t="s">
        <v>364</v>
      </c>
      <c r="E35" s="2">
        <v>2018.2739999999999</v>
      </c>
      <c r="F35" s="2">
        <v>2783.9391930000002</v>
      </c>
      <c r="G35" s="2">
        <v>1015.21</v>
      </c>
      <c r="H35" s="2">
        <v>1001.7532</v>
      </c>
      <c r="I35" s="2">
        <v>6334.56</v>
      </c>
      <c r="J35" s="2">
        <v>10498.5182938</v>
      </c>
      <c r="K35" s="2">
        <v>1111.5350000000001</v>
      </c>
      <c r="L35" s="2">
        <v>2724.93</v>
      </c>
      <c r="M35" s="2">
        <v>1586.46</v>
      </c>
      <c r="N35" s="2">
        <v>21698.553</v>
      </c>
      <c r="O35" s="2">
        <v>819.16</v>
      </c>
      <c r="P35" s="2">
        <v>1871.7913000000001</v>
      </c>
      <c r="Q35" s="2">
        <v>1517.9468999999999</v>
      </c>
      <c r="R35" s="2">
        <v>2016.78901</v>
      </c>
      <c r="S35" s="2">
        <v>805.75800000000004</v>
      </c>
      <c r="T35" s="2">
        <v>1655.67</v>
      </c>
      <c r="U35" s="2">
        <v>2703.2985239</v>
      </c>
      <c r="V35" s="2">
        <v>2313.4717470000001</v>
      </c>
      <c r="W35" s="2">
        <v>3218.77</v>
      </c>
      <c r="X35" s="2">
        <v>8348.0499999999993</v>
      </c>
      <c r="Y35" s="2">
        <v>2670.5199213999999</v>
      </c>
      <c r="Z35" s="2">
        <v>1782.59</v>
      </c>
      <c r="AA35" s="2">
        <v>3897.7242999999999</v>
      </c>
      <c r="AB35" s="2">
        <v>281.30889999999999</v>
      </c>
      <c r="AC35" s="2">
        <v>2310.67</v>
      </c>
      <c r="AD35" s="2">
        <v>1712.87</v>
      </c>
      <c r="AE35" s="2">
        <v>625.81200000000001</v>
      </c>
      <c r="AF35">
        <v>2365.1179000000002</v>
      </c>
      <c r="AG35">
        <v>16690.099999999999</v>
      </c>
    </row>
    <row r="36" spans="3:33" x14ac:dyDescent="0.45">
      <c r="C36">
        <v>2019</v>
      </c>
      <c r="D36" t="s">
        <v>365</v>
      </c>
      <c r="E36" s="2">
        <v>198.38505000000001</v>
      </c>
      <c r="F36" s="2">
        <v>1039.485625</v>
      </c>
      <c r="G36" s="2">
        <v>63.890700000000002</v>
      </c>
      <c r="H36" s="2">
        <v>90.515600000000006</v>
      </c>
      <c r="I36" s="2">
        <v>177.97409999999999</v>
      </c>
      <c r="J36" s="2">
        <v>1196.67780103</v>
      </c>
      <c r="K36" s="2">
        <v>30.344999999999999</v>
      </c>
      <c r="L36" s="2">
        <v>211.05</v>
      </c>
      <c r="M36" s="2">
        <v>37.593400000000003</v>
      </c>
      <c r="N36" s="2">
        <v>1405.2274</v>
      </c>
      <c r="O36" s="2">
        <v>21.614930000000001</v>
      </c>
      <c r="P36" s="2">
        <v>69.006330000000005</v>
      </c>
      <c r="Q36" s="2">
        <v>34.388241000000001</v>
      </c>
      <c r="R36" s="2">
        <v>72.185137699999999</v>
      </c>
      <c r="S36" s="2">
        <v>42.27214</v>
      </c>
      <c r="T36" s="2">
        <v>57.419800000000002</v>
      </c>
      <c r="U36" s="2">
        <v>164.817550463</v>
      </c>
      <c r="V36" s="2">
        <v>68.440616300000002</v>
      </c>
      <c r="W36" s="2">
        <v>83.093000000000004</v>
      </c>
      <c r="X36" s="2">
        <v>1366.42</v>
      </c>
      <c r="Y36" s="2">
        <v>245.14508555</v>
      </c>
      <c r="Z36" s="2">
        <v>127.57599999999999</v>
      </c>
      <c r="AA36" s="2">
        <v>222.57825</v>
      </c>
      <c r="AB36" s="2">
        <v>5.7084630000000001</v>
      </c>
      <c r="AC36" s="2">
        <v>144.40600000000001</v>
      </c>
      <c r="AD36" s="2">
        <v>34.268500000000003</v>
      </c>
      <c r="AE36" s="2">
        <v>58.558300000000003</v>
      </c>
      <c r="AF36">
        <v>66.878303259999996</v>
      </c>
      <c r="AG36">
        <v>328.33</v>
      </c>
    </row>
  </sheetData>
  <sortState xmlns:xlrd2="http://schemas.microsoft.com/office/spreadsheetml/2017/richdata2" ref="AL5:AM18">
    <sortCondition ref="AM5:AM18"/>
  </sortState>
  <pageMargins left="0.7" right="0.7" top="0.75" bottom="0.75" header="0.3" footer="0.3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2A7E6-128F-4B61-ABA1-5A730B4686FC}">
  <dimension ref="A2:BN144"/>
  <sheetViews>
    <sheetView workbookViewId="0"/>
  </sheetViews>
  <sheetFormatPr defaultRowHeight="14.25" x14ac:dyDescent="0.45"/>
  <cols>
    <col min="1" max="1" width="9.1328125" bestFit="1" customWidth="1"/>
    <col min="2" max="2" width="8.86328125" bestFit="1" customWidth="1"/>
    <col min="3" max="3" width="22.19921875" bestFit="1" customWidth="1"/>
    <col min="4" max="4" width="6.53125" bestFit="1" customWidth="1"/>
    <col min="5" max="5" width="5" bestFit="1" customWidth="1"/>
    <col min="6" max="6" width="4.796875" bestFit="1" customWidth="1"/>
    <col min="7" max="7" width="5" bestFit="1" customWidth="1"/>
    <col min="8" max="8" width="5.1328125" bestFit="1" customWidth="1"/>
    <col min="9" max="10" width="4.796875" bestFit="1" customWidth="1"/>
    <col min="11" max="12" width="5" bestFit="1" customWidth="1"/>
    <col min="13" max="13" width="4.796875" bestFit="1" customWidth="1"/>
    <col min="14" max="14" width="5.1328125" bestFit="1" customWidth="1"/>
    <col min="15" max="15" width="5" bestFit="1" customWidth="1"/>
    <col min="16" max="16" width="5.1328125" bestFit="1" customWidth="1"/>
    <col min="17" max="17" width="4.796875" bestFit="1" customWidth="1"/>
    <col min="18" max="18" width="5" bestFit="1" customWidth="1"/>
    <col min="19" max="19" width="5.19921875" bestFit="1" customWidth="1"/>
    <col min="20" max="34" width="5.19921875" customWidth="1"/>
    <col min="35" max="35" width="4.796875" bestFit="1" customWidth="1"/>
    <col min="36" max="36" width="7.1328125" bestFit="1" customWidth="1"/>
    <col min="37" max="53" width="5.19921875" customWidth="1"/>
    <col min="54" max="66" width="2.86328125" bestFit="1" customWidth="1"/>
  </cols>
  <sheetData>
    <row r="2" spans="1:66" x14ac:dyDescent="0.45">
      <c r="A2" s="8" t="s">
        <v>30</v>
      </c>
      <c r="B2" s="5" t="s">
        <v>61</v>
      </c>
      <c r="C2" s="5" t="s">
        <v>30</v>
      </c>
      <c r="D2" s="5" t="s">
        <v>31</v>
      </c>
      <c r="E2" s="5" t="str">
        <f>'RES balance'!E4</f>
        <v>Africa_north</v>
      </c>
      <c r="F2" s="5" t="str">
        <f>'RES balance'!F4</f>
        <v>Africa_other</v>
      </c>
      <c r="G2" s="5" t="str">
        <f>'RES balance'!G4</f>
        <v>Arg-Chi</v>
      </c>
      <c r="H2" s="5" t="str">
        <f>'RES balance'!H4</f>
        <v>Asia_central</v>
      </c>
      <c r="I2" s="5" t="str">
        <f>'RES balance'!I4</f>
        <v>Asia_east</v>
      </c>
      <c r="J2" s="5" t="str">
        <f>'RES balance'!J4</f>
        <v>Asia_other</v>
      </c>
      <c r="K2" s="5" t="str">
        <f>'RES balance'!K4</f>
        <v>Australia_NZ</v>
      </c>
      <c r="L2" s="5" t="str">
        <f>'RES balance'!L4</f>
        <v>Brazil</v>
      </c>
      <c r="M2" s="5" t="str">
        <f>'RES balance'!M4</f>
        <v>Canada</v>
      </c>
      <c r="N2" s="5" t="str">
        <f>'RES balance'!N4</f>
        <v>China</v>
      </c>
      <c r="O2" s="5" t="str">
        <f>'RES balance'!O4</f>
        <v>EU_north</v>
      </c>
      <c r="P2" s="5" t="str">
        <f>'RES balance'!P4</f>
        <v>EU_northeast</v>
      </c>
      <c r="Q2" s="5" t="str">
        <f>'RES balance'!Q4</f>
        <v>EU_northwest</v>
      </c>
      <c r="R2" s="5" t="str">
        <f>'RES balance'!R4</f>
        <v>EU_south</v>
      </c>
      <c r="S2" s="5" t="str">
        <f>'RES balance'!S4</f>
        <v>EU_southeast</v>
      </c>
      <c r="T2" s="5" t="str">
        <f>'RES balance'!T4</f>
        <v>EU_southwest</v>
      </c>
      <c r="U2" s="5" t="str">
        <f>'RES balance'!U4</f>
        <v>Europe_other</v>
      </c>
      <c r="V2" s="5" t="str">
        <f>'RES balance'!V4</f>
        <v>France</v>
      </c>
      <c r="W2" s="5" t="str">
        <f>'RES balance'!W4</f>
        <v>Germany</v>
      </c>
      <c r="X2" s="5" t="str">
        <f>'RES balance'!X4</f>
        <v>India</v>
      </c>
      <c r="Y2" s="5" t="str">
        <f>'RES balance'!Y4</f>
        <v>LatAm_other</v>
      </c>
      <c r="Z2" s="5" t="str">
        <f>'RES balance'!Z4</f>
        <v>Mexico</v>
      </c>
      <c r="AA2" s="5" t="str">
        <f>'RES balance'!AA4</f>
        <v>MidEast_other</v>
      </c>
      <c r="AB2" s="5" t="str">
        <f>'RES balance'!AB4</f>
        <v>Nor-Ice</v>
      </c>
      <c r="AC2" s="5" t="str">
        <f>'RES balance'!AC4</f>
        <v>Russia</v>
      </c>
      <c r="AD2" s="5" t="str">
        <f>'RES balance'!AD4</f>
        <v>SaudiArabia</v>
      </c>
      <c r="AE2" s="5" t="str">
        <f>'RES balance'!AE4</f>
        <v>SouthAfrica</v>
      </c>
      <c r="AF2" s="5" t="str">
        <f>'RES balance'!AF4</f>
        <v>UK</v>
      </c>
      <c r="AG2" s="5" t="str">
        <f>'RES balance'!AG4</f>
        <v>USA</v>
      </c>
      <c r="AH2" s="5" t="str">
        <f>'RES balance'!AH4</f>
        <v>\I:</v>
      </c>
      <c r="AK2" s="12" t="str">
        <f t="shared" ref="AK2:BA2" si="0">E2</f>
        <v>Africa_north</v>
      </c>
      <c r="AL2" s="12" t="str">
        <f t="shared" si="0"/>
        <v>Africa_other</v>
      </c>
      <c r="AM2" s="12" t="str">
        <f t="shared" si="0"/>
        <v>Arg-Chi</v>
      </c>
      <c r="AN2" s="12" t="str">
        <f t="shared" si="0"/>
        <v>Asia_central</v>
      </c>
      <c r="AO2" s="12" t="str">
        <f t="shared" si="0"/>
        <v>Asia_east</v>
      </c>
      <c r="AP2" s="12" t="str">
        <f t="shared" si="0"/>
        <v>Asia_other</v>
      </c>
      <c r="AQ2" s="12" t="str">
        <f t="shared" si="0"/>
        <v>Australia_NZ</v>
      </c>
      <c r="AR2" s="12" t="str">
        <f t="shared" si="0"/>
        <v>Brazil</v>
      </c>
      <c r="AS2" s="12" t="str">
        <f t="shared" si="0"/>
        <v>Canada</v>
      </c>
      <c r="AT2" s="12" t="str">
        <f t="shared" si="0"/>
        <v>China</v>
      </c>
      <c r="AU2" s="12" t="str">
        <f t="shared" si="0"/>
        <v>EU_north</v>
      </c>
      <c r="AV2" s="12" t="str">
        <f t="shared" si="0"/>
        <v>EU_northeast</v>
      </c>
      <c r="AW2" s="12" t="str">
        <f t="shared" si="0"/>
        <v>EU_northwest</v>
      </c>
      <c r="AX2" s="12" t="str">
        <f t="shared" si="0"/>
        <v>EU_south</v>
      </c>
      <c r="AY2" s="12" t="str">
        <f t="shared" si="0"/>
        <v>EU_southeast</v>
      </c>
      <c r="AZ2" s="12" t="str">
        <f t="shared" si="0"/>
        <v>EU_southwest</v>
      </c>
      <c r="BA2" s="12" t="str">
        <f t="shared" si="0"/>
        <v>Europe_other</v>
      </c>
      <c r="BB2" s="12" t="str">
        <f t="shared" ref="BB2:BN2" si="1">V2</f>
        <v>France</v>
      </c>
      <c r="BC2" s="12" t="str">
        <f t="shared" si="1"/>
        <v>Germany</v>
      </c>
      <c r="BD2" s="12" t="str">
        <f t="shared" si="1"/>
        <v>India</v>
      </c>
      <c r="BE2" s="12" t="str">
        <f t="shared" si="1"/>
        <v>LatAm_other</v>
      </c>
      <c r="BF2" s="12" t="str">
        <f t="shared" si="1"/>
        <v>Mexico</v>
      </c>
      <c r="BG2" s="12" t="str">
        <f t="shared" si="1"/>
        <v>MidEast_other</v>
      </c>
      <c r="BH2" s="12" t="str">
        <f t="shared" si="1"/>
        <v>Nor-Ice</v>
      </c>
      <c r="BI2" s="12" t="str">
        <f t="shared" si="1"/>
        <v>Russia</v>
      </c>
      <c r="BJ2" s="12" t="str">
        <f t="shared" si="1"/>
        <v>SaudiArabia</v>
      </c>
      <c r="BK2" s="12" t="str">
        <f t="shared" si="1"/>
        <v>SouthAfrica</v>
      </c>
      <c r="BL2" s="12" t="str">
        <f t="shared" si="1"/>
        <v>UK</v>
      </c>
      <c r="BM2" s="12" t="str">
        <f t="shared" si="1"/>
        <v>USA</v>
      </c>
      <c r="BN2" s="12" t="str">
        <f t="shared" si="1"/>
        <v>\I:</v>
      </c>
    </row>
    <row r="3" spans="1:66" x14ac:dyDescent="0.45">
      <c r="A3" s="8" t="str">
        <f>VLOOKUP(C3,'RES balance'!$AL$5:$AM$25,2,FALSE)</f>
        <v>RESNGA</v>
      </c>
      <c r="B3" s="36"/>
      <c r="C3" s="7" t="s">
        <v>33</v>
      </c>
      <c r="D3" s="33" t="s">
        <v>62</v>
      </c>
      <c r="E3" s="14">
        <f ca="1">OFFSET('RES Assumptions T15'!$D3,0,MATCH(VLOOKUP('RES Assumptions'!E$2,'RES Assumptions T15'!$V$3:$W$35,2,FALSE),'RES Assumptions T15'!$E$2:$S$2,0))</f>
        <v>1.4979621146950801E-3</v>
      </c>
      <c r="F3" s="14">
        <f ca="1">OFFSET('RES Assumptions T15'!$D3,0,MATCH(VLOOKUP('RES Assumptions'!F$2,'RES Assumptions T15'!$V$3:$W$35,2,FALSE),'RES Assumptions T15'!$E$2:$S$2,0))</f>
        <v>1.4979621146950801E-3</v>
      </c>
      <c r="G3" s="14">
        <f ca="1">OFFSET('RES Assumptions T15'!$D3,0,MATCH(VLOOKUP('RES Assumptions'!G$2,'RES Assumptions T15'!$V$3:$W$35,2,FALSE),'RES Assumptions T15'!$E$2:$S$2,0))</f>
        <v>1.4979621146950801E-3</v>
      </c>
      <c r="H3" s="14">
        <f ca="1">OFFSET('RES Assumptions T15'!$D3,0,MATCH(VLOOKUP('RES Assumptions'!H$2,'RES Assumptions T15'!$V$3:$W$35,2,FALSE),'RES Assumptions T15'!$E$2:$S$2,0))</f>
        <v>0.660848488544033</v>
      </c>
      <c r="I3" s="14">
        <f ca="1">OFFSET('RES Assumptions T15'!$D3,0,MATCH(VLOOKUP('RES Assumptions'!I$2,'RES Assumptions T15'!$V$3:$W$35,2,FALSE),'RES Assumptions T15'!$E$2:$S$2,0))</f>
        <v>0.183315962031008</v>
      </c>
      <c r="J3" s="14">
        <f ca="1">OFFSET('RES Assumptions T15'!$D3,0,MATCH(VLOOKUP('RES Assumptions'!J$2,'RES Assumptions T15'!$V$3:$W$35,2,FALSE),'RES Assumptions T15'!$E$2:$S$2,0))</f>
        <v>0</v>
      </c>
      <c r="K3" s="14">
        <f ca="1">OFFSET('RES Assumptions T15'!$D3,0,MATCH(VLOOKUP('RES Assumptions'!K$2,'RES Assumptions T15'!$V$3:$W$35,2,FALSE),'RES Assumptions T15'!$E$2:$S$2,0))</f>
        <v>0.61715910886395997</v>
      </c>
      <c r="L3" s="14">
        <f ca="1">OFFSET('RES Assumptions T15'!$D3,0,MATCH(VLOOKUP('RES Assumptions'!L$2,'RES Assumptions T15'!$V$3:$W$35,2,FALSE),'RES Assumptions T15'!$E$2:$S$2,0))</f>
        <v>1.4979621146950801E-3</v>
      </c>
      <c r="M3" s="14">
        <f ca="1">OFFSET('RES Assumptions T15'!$D3,0,MATCH(VLOOKUP('RES Assumptions'!M$2,'RES Assumptions T15'!$V$3:$W$35,2,FALSE),'RES Assumptions T15'!$E$2:$S$2,0))</f>
        <v>0.68495313294326599</v>
      </c>
      <c r="N3" s="14">
        <f ca="1">OFFSET('RES Assumptions T15'!$D3,0,MATCH(VLOOKUP('RES Assumptions'!N$2,'RES Assumptions T15'!$V$3:$W$35,2,FALSE),'RES Assumptions T15'!$E$2:$S$2,0))</f>
        <v>0</v>
      </c>
      <c r="O3" s="14">
        <f ca="1">OFFSET('RES Assumptions T15'!$D3,0,MATCH(VLOOKUP('RES Assumptions'!O$2,'RES Assumptions T15'!$V$3:$W$35,2,FALSE),'RES Assumptions T15'!$E$2:$S$2,0))</f>
        <v>0.77640537578273805</v>
      </c>
      <c r="P3" s="14">
        <f ca="1">OFFSET('RES Assumptions T15'!$D3,0,MATCH(VLOOKUP('RES Assumptions'!P$2,'RES Assumptions T15'!$V$3:$W$35,2,FALSE),'RES Assumptions T15'!$E$2:$S$2,0))</f>
        <v>0.660848488544033</v>
      </c>
      <c r="Q3" s="14">
        <f ca="1">OFFSET('RES Assumptions T15'!$D3,0,MATCH(VLOOKUP('RES Assumptions'!Q$2,'RES Assumptions T15'!$V$3:$W$35,2,FALSE),'RES Assumptions T15'!$E$2:$S$2,0))</f>
        <v>0.77640537578273805</v>
      </c>
      <c r="R3" s="14">
        <f ca="1">OFFSET('RES Assumptions T15'!$D3,0,MATCH(VLOOKUP('RES Assumptions'!R$2,'RES Assumptions T15'!$V$3:$W$35,2,FALSE),'RES Assumptions T15'!$E$2:$S$2,0))</f>
        <v>0.77640537578273805</v>
      </c>
      <c r="S3" s="14">
        <f ca="1">OFFSET('RES Assumptions T15'!$D3,0,MATCH(VLOOKUP('RES Assumptions'!S$2,'RES Assumptions T15'!$V$3:$W$35,2,FALSE),'RES Assumptions T15'!$E$2:$S$2,0))</f>
        <v>0.660848488544033</v>
      </c>
      <c r="T3" s="14">
        <f ca="1">OFFSET('RES Assumptions T15'!$D3,0,MATCH(VLOOKUP('RES Assumptions'!T$2,'RES Assumptions T15'!$V$3:$W$35,2,FALSE),'RES Assumptions T15'!$E$2:$S$2,0))</f>
        <v>0.77640537578273805</v>
      </c>
      <c r="U3" s="14">
        <f ca="1">OFFSET('RES Assumptions T15'!$D3,0,MATCH(VLOOKUP('RES Assumptions'!U$2,'RES Assumptions T15'!$V$3:$W$35,2,FALSE),'RES Assumptions T15'!$E$2:$S$2,0))</f>
        <v>0.64748122361961302</v>
      </c>
      <c r="V3" s="14">
        <f ca="1">OFFSET('RES Assumptions T15'!$D3,0,MATCH(VLOOKUP('RES Assumptions'!V$2,'RES Assumptions T15'!$V$3:$W$35,2,FALSE),'RES Assumptions T15'!$E$2:$S$2,0))</f>
        <v>0.77640537578273805</v>
      </c>
      <c r="W3" s="14">
        <f ca="1">OFFSET('RES Assumptions T15'!$D3,0,MATCH(VLOOKUP('RES Assumptions'!W$2,'RES Assumptions T15'!$V$3:$W$35,2,FALSE),'RES Assumptions T15'!$E$2:$S$2,0))</f>
        <v>0.77640537578273805</v>
      </c>
      <c r="X3" s="14">
        <f ca="1">OFFSET('RES Assumptions T15'!$D3,0,MATCH(VLOOKUP('RES Assumptions'!X$2,'RES Assumptions T15'!$V$3:$W$35,2,FALSE),'RES Assumptions T15'!$E$2:$S$2,0))</f>
        <v>0</v>
      </c>
      <c r="Y3" s="14">
        <f ca="1">OFFSET('RES Assumptions T15'!$D3,0,MATCH(VLOOKUP('RES Assumptions'!Y$2,'RES Assumptions T15'!$V$3:$W$35,2,FALSE),'RES Assumptions T15'!$E$2:$S$2,0))</f>
        <v>1.4979621146950801E-3</v>
      </c>
      <c r="Z3" s="14">
        <f ca="1">OFFSET('RES Assumptions T15'!$D3,0,MATCH(VLOOKUP('RES Assumptions'!Z$2,'RES Assumptions T15'!$V$3:$W$35,2,FALSE),'RES Assumptions T15'!$E$2:$S$2,0))</f>
        <v>2.0923807549029699E-2</v>
      </c>
      <c r="AA3" s="14">
        <f ca="1">OFFSET('RES Assumptions T15'!$D3,0,MATCH(VLOOKUP('RES Assumptions'!AA$2,'RES Assumptions T15'!$V$3:$W$35,2,FALSE),'RES Assumptions T15'!$E$2:$S$2,0))</f>
        <v>0.64748122361961302</v>
      </c>
      <c r="AB3" s="14">
        <f ca="1">OFFSET('RES Assumptions T15'!$D3,0,MATCH(VLOOKUP('RES Assumptions'!AB$2,'RES Assumptions T15'!$V$3:$W$35,2,FALSE),'RES Assumptions T15'!$E$2:$S$2,0))</f>
        <v>0.77640537578273805</v>
      </c>
      <c r="AC3" s="14">
        <f ca="1">OFFSET('RES Assumptions T15'!$D3,0,MATCH(VLOOKUP('RES Assumptions'!AC$2,'RES Assumptions T15'!$V$3:$W$35,2,FALSE),'RES Assumptions T15'!$E$2:$S$2,0))</f>
        <v>0.660848488544033</v>
      </c>
      <c r="AD3" s="14">
        <f ca="1">OFFSET('RES Assumptions T15'!$D3,0,MATCH(VLOOKUP('RES Assumptions'!AD$2,'RES Assumptions T15'!$V$3:$W$35,2,FALSE),'RES Assumptions T15'!$E$2:$S$2,0))</f>
        <v>0.64748122361961302</v>
      </c>
      <c r="AE3" s="14">
        <f ca="1">OFFSET('RES Assumptions T15'!$D3,0,MATCH(VLOOKUP('RES Assumptions'!AE$2,'RES Assumptions T15'!$V$3:$W$35,2,FALSE),'RES Assumptions T15'!$E$2:$S$2,0))</f>
        <v>1.4979621146950801E-3</v>
      </c>
      <c r="AF3" s="14">
        <f ca="1">OFFSET('RES Assumptions T15'!$D3,0,MATCH(VLOOKUP('RES Assumptions'!AF$2,'RES Assumptions T15'!$V$3:$W$35,2,FALSE),'RES Assumptions T15'!$E$2:$S$2,0))</f>
        <v>0.77640537578273805</v>
      </c>
      <c r="AG3" s="14">
        <f ca="1">OFFSET('RES Assumptions T15'!$D3,0,MATCH(VLOOKUP('RES Assumptions'!AG$2,'RES Assumptions T15'!$V$3:$W$35,2,FALSE),'RES Assumptions T15'!$E$2:$S$2,0))</f>
        <v>0.68557830492357796</v>
      </c>
      <c r="AH3" s="14">
        <f ca="1">OFFSET('RES Assumptions T15'!$D3,0,MATCH(VLOOKUP('RES Assumptions'!AH$2,'RES Assumptions T15'!$V$3:$W$35,2,FALSE),'RES Assumptions T15'!$E$2:$S$2,0))</f>
        <v>0.68557830492357796</v>
      </c>
      <c r="AK3" s="10">
        <f ca="1">IFERROR(SUMIFS('RES balance'!E$5:E$25,'RES balance'!$D$5:$D$25,'RES Assumptions'!$A3)*E3,"")</f>
        <v>0.74631562165922083</v>
      </c>
      <c r="AL3" s="10">
        <f ca="1">IFERROR(SUMIFS('RES balance'!F$5:F$25,'RES balance'!$D$5:$D$25,'RES Assumptions'!$A3)*F3,"")</f>
        <v>5.8953677148970396E-7</v>
      </c>
      <c r="AM3" s="10">
        <f ca="1">IFERROR(SUMIFS('RES balance'!G$5:G$25,'RES balance'!$D$5:$D$25,'RES Assumptions'!$A3)*G3,"")</f>
        <v>0.56291685946819681</v>
      </c>
      <c r="AN3" s="10">
        <f ca="1">IFERROR(SUMIFS('RES balance'!H$5:H$25,'RES balance'!$D$5:$D$25,'RES Assumptions'!$A3)*H3,"")</f>
        <v>407.44198101915174</v>
      </c>
      <c r="AO3" s="10">
        <f ca="1">IFERROR(SUMIFS('RES balance'!I$5:I$25,'RES balance'!$D$5:$D$25,'RES Assumptions'!$A3)*I3,"")</f>
        <v>137.49258547772905</v>
      </c>
      <c r="AP3" s="10">
        <f ca="1">IFERROR(SUMIFS('RES balance'!J$5:J$25,'RES balance'!$D$5:$D$25,'RES Assumptions'!$A3)*J3,"")</f>
        <v>0</v>
      </c>
      <c r="AQ3" s="10">
        <f ca="1">IFERROR(SUMIFS('RES balance'!K$5:K$25,'RES balance'!$D$5:$D$25,'RES Assumptions'!$A3)*K3,"")</f>
        <v>97.543209113504631</v>
      </c>
      <c r="AR3" s="10">
        <f ca="1">IFERROR(SUMIFS('RES balance'!L$5:L$25,'RES balance'!$D$5:$D$25,'RES Assumptions'!$A3)*L3,"")</f>
        <v>2.5585845709310894E-2</v>
      </c>
      <c r="AS3" s="10">
        <f ca="1">IFERROR(SUMIFS('RES balance'!M$5:M$25,'RES balance'!$D$5:$D$25,'RES Assumptions'!$A3)*M3,"")</f>
        <v>425.37439031074598</v>
      </c>
      <c r="AT3" s="10">
        <f ca="1">IFERROR(SUMIFS('RES balance'!N$5:N$25,'RES balance'!$D$5:$D$25,'RES Assumptions'!$A3)*N3,"")</f>
        <v>0</v>
      </c>
      <c r="AU3" s="10">
        <f ca="1">IFERROR(SUMIFS('RES balance'!O$5:O$25,'RES balance'!$D$5:$D$25,'RES Assumptions'!$A3)*O3,"")</f>
        <v>22.366524865469938</v>
      </c>
      <c r="AV3" s="10">
        <f ca="1">IFERROR(SUMIFS('RES balance'!P$5:P$25,'RES balance'!$D$5:$D$25,'RES Assumptions'!$A3)*P3,"")</f>
        <v>229.92079761870963</v>
      </c>
      <c r="AW3" s="10">
        <f ca="1">IFERROR(SUMIFS('RES balance'!Q$5:Q$25,'RES balance'!$D$5:$D$25,'RES Assumptions'!$A3)*Q3,"")</f>
        <v>347.11598353065466</v>
      </c>
      <c r="AX3" s="10">
        <f ca="1">IFERROR(SUMIFS('RES balance'!R$5:R$25,'RES balance'!$D$5:$D$25,'RES Assumptions'!$A3)*R3,"")</f>
        <v>536.71616908933447</v>
      </c>
      <c r="AY3" s="10">
        <f ca="1">IFERROR(SUMIFS('RES balance'!S$5:S$25,'RES balance'!$D$5:$D$25,'RES Assumptions'!$A3)*S3,"")</f>
        <v>164.38740126796279</v>
      </c>
      <c r="AZ3" s="10">
        <f ca="1">IFERROR(SUMIFS('RES balance'!T$5:T$25,'RES balance'!$D$5:$D$25,'RES Assumptions'!$A3)*T3,"")</f>
        <v>121.61759029967064</v>
      </c>
      <c r="BA3" s="10">
        <f ca="1">IFERROR(SUMIFS('RES balance'!U$5:U$25,'RES balance'!$D$5:$D$25,'RES Assumptions'!$A3)*U3,"")</f>
        <v>591.53576049312153</v>
      </c>
      <c r="BB3" s="10">
        <f ca="1">IFERROR(SUMIFS('RES balance'!V$5:V$25,'RES balance'!$D$5:$D$25,'RES Assumptions'!$A3)*V3,"")</f>
        <v>369.37049735965098</v>
      </c>
      <c r="BC3" s="10">
        <f ca="1">IFERROR(SUMIFS('RES balance'!W$5:W$25,'RES balance'!$D$5:$D$25,'RES Assumptions'!$A3)*W3,"")</f>
        <v>736.92657716086876</v>
      </c>
      <c r="BD3" s="10">
        <f ca="1">IFERROR(SUMIFS('RES balance'!X$5:X$25,'RES balance'!$D$5:$D$25,'RES Assumptions'!$A3)*X3,"")</f>
        <v>0</v>
      </c>
      <c r="BE3" s="10">
        <f ca="1">IFERROR(SUMIFS('RES balance'!Y$5:Y$25,'RES balance'!$D$5:$D$25,'RES Assumptions'!$A3)*Y3,"")</f>
        <v>0.12287734370330022</v>
      </c>
      <c r="BF3" s="10">
        <f ca="1">IFERROR(SUMIFS('RES balance'!Z$5:Z$25,'RES balance'!$D$5:$D$25,'RES Assumptions'!$A3)*Z3,"")</f>
        <v>0.56381295934399045</v>
      </c>
      <c r="BG3" s="10">
        <f ca="1">IFERROR(SUMIFS('RES balance'!AA$5:AA$25,'RES balance'!$D$5:$D$25,'RES Assumptions'!$A3)*AA3,"")</f>
        <v>1117.0064793306785</v>
      </c>
      <c r="BH3" s="10">
        <f ca="1">IFERROR(SUMIFS('RES balance'!AB$5:AB$25,'RES balance'!$D$5:$D$25,'RES Assumptions'!$A3)*AB3,"")</f>
        <v>5.0316873688997232E-2</v>
      </c>
      <c r="BI3" s="10">
        <f ca="1">IFERROR(SUMIFS('RES balance'!AC$5:AC$25,'RES balance'!$D$5:$D$25,'RES Assumptions'!$A3)*AC3,"")</f>
        <v>1798.3382513406987</v>
      </c>
      <c r="BJ3" s="10">
        <f ca="1">IFERROR(SUMIFS('RES balance'!AD$5:AD$25,'RES balance'!$D$5:$D$25,'RES Assumptions'!$A3)*AD3,"")</f>
        <v>0</v>
      </c>
      <c r="BK3" s="10">
        <f ca="1">IFERROR(SUMIFS('RES balance'!AE$5:AE$25,'RES balance'!$D$5:$D$25,'RES Assumptions'!$A3)*AE3,"")</f>
        <v>3.1268026892968806E-4</v>
      </c>
      <c r="BL3" s="10">
        <f ca="1">IFERROR(SUMIFS('RES balance'!AF$5:AF$25,'RES balance'!$D$5:$D$25,'RES Assumptions'!$A3)*AF3,"")</f>
        <v>741.77940379322285</v>
      </c>
      <c r="BM3" s="10">
        <f ca="1">IFERROR(SUMIFS('RES balance'!AG$5:AG$25,'RES balance'!$D$5:$D$25,'RES Assumptions'!$A3)*AG3,"")</f>
        <v>3389.3288258009775</v>
      </c>
      <c r="BN3" s="10">
        <f ca="1">IFERROR(SUMIFS('RES balance'!AH$5:AH$25,'RES balance'!$D$5:$D$25,'RES Assumptions'!$A3)*AH3,"")</f>
        <v>0</v>
      </c>
    </row>
    <row r="4" spans="1:66" x14ac:dyDescent="0.45">
      <c r="A4" s="8" t="str">
        <f>VLOOKUP(C4,'RES balance'!$AL$5:$AM$25,2,FALSE)</f>
        <v>RESNGA</v>
      </c>
      <c r="B4" s="36"/>
      <c r="C4" s="20" t="s">
        <v>33</v>
      </c>
      <c r="D4" s="21" t="s">
        <v>63</v>
      </c>
      <c r="E4" s="14">
        <f ca="1">OFFSET('RES Assumptions T15'!$D4,0,MATCH(VLOOKUP('RES Assumptions'!E$2,'RES Assumptions T15'!$V$3:$W$35,2,FALSE),'RES Assumptions T15'!$E$2:$S$2,0))</f>
        <v>0</v>
      </c>
      <c r="F4" s="14">
        <f ca="1">OFFSET('RES Assumptions T15'!$D4,0,MATCH(VLOOKUP('RES Assumptions'!F$2,'RES Assumptions T15'!$V$3:$W$35,2,FALSE),'RES Assumptions T15'!$E$2:$S$2,0))</f>
        <v>0</v>
      </c>
      <c r="G4" s="14">
        <f ca="1">OFFSET('RES Assumptions T15'!$D4,0,MATCH(VLOOKUP('RES Assumptions'!G$2,'RES Assumptions T15'!$V$3:$W$35,2,FALSE),'RES Assumptions T15'!$E$2:$S$2,0))</f>
        <v>0</v>
      </c>
      <c r="H4" s="14">
        <f ca="1">OFFSET('RES Assumptions T15'!$D4,0,MATCH(VLOOKUP('RES Assumptions'!H$2,'RES Assumptions T15'!$V$3:$W$35,2,FALSE),'RES Assumptions T15'!$E$2:$S$2,0))</f>
        <v>0</v>
      </c>
      <c r="I4" s="14">
        <f ca="1">OFFSET('RES Assumptions T15'!$D4,0,MATCH(VLOOKUP('RES Assumptions'!I$2,'RES Assumptions T15'!$V$3:$W$35,2,FALSE),'RES Assumptions T15'!$E$2:$S$2,0))</f>
        <v>0</v>
      </c>
      <c r="J4" s="14">
        <f ca="1">OFFSET('RES Assumptions T15'!$D4,0,MATCH(VLOOKUP('RES Assumptions'!J$2,'RES Assumptions T15'!$V$3:$W$35,2,FALSE),'RES Assumptions T15'!$E$2:$S$2,0))</f>
        <v>0</v>
      </c>
      <c r="K4" s="14">
        <f ca="1">OFFSET('RES Assumptions T15'!$D4,0,MATCH(VLOOKUP('RES Assumptions'!K$2,'RES Assumptions T15'!$V$3:$W$35,2,FALSE),'RES Assumptions T15'!$E$2:$S$2,0))</f>
        <v>0</v>
      </c>
      <c r="L4" s="14">
        <f ca="1">OFFSET('RES Assumptions T15'!$D4,0,MATCH(VLOOKUP('RES Assumptions'!L$2,'RES Assumptions T15'!$V$3:$W$35,2,FALSE),'RES Assumptions T15'!$E$2:$S$2,0))</f>
        <v>0</v>
      </c>
      <c r="M4" s="14">
        <f ca="1">OFFSET('RES Assumptions T15'!$D4,0,MATCH(VLOOKUP('RES Assumptions'!M$2,'RES Assumptions T15'!$V$3:$W$35,2,FALSE),'RES Assumptions T15'!$E$2:$S$2,0))</f>
        <v>0</v>
      </c>
      <c r="N4" s="14">
        <f ca="1">OFFSET('RES Assumptions T15'!$D4,0,MATCH(VLOOKUP('RES Assumptions'!N$2,'RES Assumptions T15'!$V$3:$W$35,2,FALSE),'RES Assumptions T15'!$E$2:$S$2,0))</f>
        <v>0</v>
      </c>
      <c r="O4" s="14">
        <f ca="1">OFFSET('RES Assumptions T15'!$D4,0,MATCH(VLOOKUP('RES Assumptions'!O$2,'RES Assumptions T15'!$V$3:$W$35,2,FALSE),'RES Assumptions T15'!$E$2:$S$2,0))</f>
        <v>0</v>
      </c>
      <c r="P4" s="14">
        <f ca="1">OFFSET('RES Assumptions T15'!$D4,0,MATCH(VLOOKUP('RES Assumptions'!P$2,'RES Assumptions T15'!$V$3:$W$35,2,FALSE),'RES Assumptions T15'!$E$2:$S$2,0))</f>
        <v>0</v>
      </c>
      <c r="Q4" s="14">
        <f ca="1">OFFSET('RES Assumptions T15'!$D4,0,MATCH(VLOOKUP('RES Assumptions'!Q$2,'RES Assumptions T15'!$V$3:$W$35,2,FALSE),'RES Assumptions T15'!$E$2:$S$2,0))</f>
        <v>0</v>
      </c>
      <c r="R4" s="14">
        <f ca="1">OFFSET('RES Assumptions T15'!$D4,0,MATCH(VLOOKUP('RES Assumptions'!R$2,'RES Assumptions T15'!$V$3:$W$35,2,FALSE),'RES Assumptions T15'!$E$2:$S$2,0))</f>
        <v>0</v>
      </c>
      <c r="S4" s="14">
        <f ca="1">OFFSET('RES Assumptions T15'!$D4,0,MATCH(VLOOKUP('RES Assumptions'!S$2,'RES Assumptions T15'!$V$3:$W$35,2,FALSE),'RES Assumptions T15'!$E$2:$S$2,0))</f>
        <v>0</v>
      </c>
      <c r="T4" s="14">
        <f ca="1">OFFSET('RES Assumptions T15'!$D4,0,MATCH(VLOOKUP('RES Assumptions'!T$2,'RES Assumptions T15'!$V$3:$W$35,2,FALSE),'RES Assumptions T15'!$E$2:$S$2,0))</f>
        <v>0</v>
      </c>
      <c r="U4" s="14">
        <f ca="1">OFFSET('RES Assumptions T15'!$D4,0,MATCH(VLOOKUP('RES Assumptions'!U$2,'RES Assumptions T15'!$V$3:$W$35,2,FALSE),'RES Assumptions T15'!$E$2:$S$2,0))</f>
        <v>0</v>
      </c>
      <c r="V4" s="14">
        <f ca="1">OFFSET('RES Assumptions T15'!$D4,0,MATCH(VLOOKUP('RES Assumptions'!V$2,'RES Assumptions T15'!$V$3:$W$35,2,FALSE),'RES Assumptions T15'!$E$2:$S$2,0))</f>
        <v>0</v>
      </c>
      <c r="W4" s="14">
        <f ca="1">OFFSET('RES Assumptions T15'!$D4,0,MATCH(VLOOKUP('RES Assumptions'!W$2,'RES Assumptions T15'!$V$3:$W$35,2,FALSE),'RES Assumptions T15'!$E$2:$S$2,0))</f>
        <v>0</v>
      </c>
      <c r="X4" s="14">
        <f ca="1">OFFSET('RES Assumptions T15'!$D4,0,MATCH(VLOOKUP('RES Assumptions'!X$2,'RES Assumptions T15'!$V$3:$W$35,2,FALSE),'RES Assumptions T15'!$E$2:$S$2,0))</f>
        <v>0</v>
      </c>
      <c r="Y4" s="14">
        <f ca="1">OFFSET('RES Assumptions T15'!$D4,0,MATCH(VLOOKUP('RES Assumptions'!Y$2,'RES Assumptions T15'!$V$3:$W$35,2,FALSE),'RES Assumptions T15'!$E$2:$S$2,0))</f>
        <v>0</v>
      </c>
      <c r="Z4" s="14">
        <f ca="1">OFFSET('RES Assumptions T15'!$D4,0,MATCH(VLOOKUP('RES Assumptions'!Z$2,'RES Assumptions T15'!$V$3:$W$35,2,FALSE),'RES Assumptions T15'!$E$2:$S$2,0))</f>
        <v>0</v>
      </c>
      <c r="AA4" s="14">
        <f ca="1">OFFSET('RES Assumptions T15'!$D4,0,MATCH(VLOOKUP('RES Assumptions'!AA$2,'RES Assumptions T15'!$V$3:$W$35,2,FALSE),'RES Assumptions T15'!$E$2:$S$2,0))</f>
        <v>0</v>
      </c>
      <c r="AB4" s="14">
        <f ca="1">OFFSET('RES Assumptions T15'!$D4,0,MATCH(VLOOKUP('RES Assumptions'!AB$2,'RES Assumptions T15'!$V$3:$W$35,2,FALSE),'RES Assumptions T15'!$E$2:$S$2,0))</f>
        <v>0</v>
      </c>
      <c r="AC4" s="14">
        <f ca="1">OFFSET('RES Assumptions T15'!$D4,0,MATCH(VLOOKUP('RES Assumptions'!AC$2,'RES Assumptions T15'!$V$3:$W$35,2,FALSE),'RES Assumptions T15'!$E$2:$S$2,0))</f>
        <v>0</v>
      </c>
      <c r="AD4" s="14">
        <f ca="1">OFFSET('RES Assumptions T15'!$D4,0,MATCH(VLOOKUP('RES Assumptions'!AD$2,'RES Assumptions T15'!$V$3:$W$35,2,FALSE),'RES Assumptions T15'!$E$2:$S$2,0))</f>
        <v>0</v>
      </c>
      <c r="AE4" s="14">
        <f ca="1">OFFSET('RES Assumptions T15'!$D4,0,MATCH(VLOOKUP('RES Assumptions'!AE$2,'RES Assumptions T15'!$V$3:$W$35,2,FALSE),'RES Assumptions T15'!$E$2:$S$2,0))</f>
        <v>0</v>
      </c>
      <c r="AF4" s="14">
        <f ca="1">OFFSET('RES Assumptions T15'!$D4,0,MATCH(VLOOKUP('RES Assumptions'!AF$2,'RES Assumptions T15'!$V$3:$W$35,2,FALSE),'RES Assumptions T15'!$E$2:$S$2,0))</f>
        <v>0</v>
      </c>
      <c r="AG4" s="14">
        <f ca="1">OFFSET('RES Assumptions T15'!$D4,0,MATCH(VLOOKUP('RES Assumptions'!AG$2,'RES Assumptions T15'!$V$3:$W$35,2,FALSE),'RES Assumptions T15'!$E$2:$S$2,0))</f>
        <v>0</v>
      </c>
      <c r="AH4" s="14">
        <f ca="1">OFFSET('RES Assumptions T15'!$D4,0,MATCH(VLOOKUP('RES Assumptions'!AH$2,'RES Assumptions T15'!$V$3:$W$35,2,FALSE),'RES Assumptions T15'!$E$2:$S$2,0))</f>
        <v>0</v>
      </c>
      <c r="AK4" s="10">
        <f ca="1">IFERROR(SUMIFS('RES balance'!E$5:E$25,'RES balance'!$D$5:$D$25,'RES Assumptions'!$A4)*E4,"")</f>
        <v>0</v>
      </c>
      <c r="AL4" s="10">
        <f ca="1">IFERROR(SUMIFS('RES balance'!F$5:F$25,'RES balance'!$D$5:$D$25,'RES Assumptions'!$A4)*F4,"")</f>
        <v>0</v>
      </c>
      <c r="AM4" s="10">
        <f ca="1">IFERROR(SUMIFS('RES balance'!G$5:G$25,'RES balance'!$D$5:$D$25,'RES Assumptions'!$A4)*G4,"")</f>
        <v>0</v>
      </c>
      <c r="AN4" s="10">
        <f ca="1">IFERROR(SUMIFS('RES balance'!H$5:H$25,'RES balance'!$D$5:$D$25,'RES Assumptions'!$A4)*H4,"")</f>
        <v>0</v>
      </c>
      <c r="AO4" s="10">
        <f ca="1">IFERROR(SUMIFS('RES balance'!I$5:I$25,'RES balance'!$D$5:$D$25,'RES Assumptions'!$A4)*I4,"")</f>
        <v>0</v>
      </c>
      <c r="AP4" s="10">
        <f ca="1">IFERROR(SUMIFS('RES balance'!J$5:J$25,'RES balance'!$D$5:$D$25,'RES Assumptions'!$A4)*J4,"")</f>
        <v>0</v>
      </c>
      <c r="AQ4" s="10">
        <f ca="1">IFERROR(SUMIFS('RES balance'!K$5:K$25,'RES balance'!$D$5:$D$25,'RES Assumptions'!$A4)*K4,"")</f>
        <v>0</v>
      </c>
      <c r="AR4" s="10">
        <f ca="1">IFERROR(SUMIFS('RES balance'!L$5:L$25,'RES balance'!$D$5:$D$25,'RES Assumptions'!$A4)*L4,"")</f>
        <v>0</v>
      </c>
      <c r="AS4" s="10">
        <f ca="1">IFERROR(SUMIFS('RES balance'!M$5:M$25,'RES balance'!$D$5:$D$25,'RES Assumptions'!$A4)*M4,"")</f>
        <v>0</v>
      </c>
      <c r="AT4" s="10">
        <f ca="1">IFERROR(SUMIFS('RES balance'!N$5:N$25,'RES balance'!$D$5:$D$25,'RES Assumptions'!$A4)*N4,"")</f>
        <v>0</v>
      </c>
      <c r="AU4" s="10">
        <f ca="1">IFERROR(SUMIFS('RES balance'!O$5:O$25,'RES balance'!$D$5:$D$25,'RES Assumptions'!$A4)*O4,"")</f>
        <v>0</v>
      </c>
      <c r="AV4" s="10">
        <f ca="1">IFERROR(SUMIFS('RES balance'!P$5:P$25,'RES balance'!$D$5:$D$25,'RES Assumptions'!$A4)*P4,"")</f>
        <v>0</v>
      </c>
      <c r="AW4" s="10">
        <f ca="1">IFERROR(SUMIFS('RES balance'!Q$5:Q$25,'RES balance'!$D$5:$D$25,'RES Assumptions'!$A4)*Q4,"")</f>
        <v>0</v>
      </c>
      <c r="AX4" s="10">
        <f ca="1">IFERROR(SUMIFS('RES balance'!R$5:R$25,'RES balance'!$D$5:$D$25,'RES Assumptions'!$A4)*R4,"")</f>
        <v>0</v>
      </c>
      <c r="AY4" s="10">
        <f ca="1">IFERROR(SUMIFS('RES balance'!S$5:S$25,'RES balance'!$D$5:$D$25,'RES Assumptions'!$A4)*S4,"")</f>
        <v>0</v>
      </c>
      <c r="AZ4" s="10">
        <f ca="1">IFERROR(SUMIFS('RES balance'!T$5:T$25,'RES balance'!$D$5:$D$25,'RES Assumptions'!$A4)*T4,"")</f>
        <v>0</v>
      </c>
      <c r="BA4" s="10">
        <f ca="1">IFERROR(SUMIFS('RES balance'!U$5:U$25,'RES balance'!$D$5:$D$25,'RES Assumptions'!$A4)*U4,"")</f>
        <v>0</v>
      </c>
      <c r="BB4" s="10">
        <f ca="1">IFERROR(SUMIFS('RES balance'!V$5:V$25,'RES balance'!$D$5:$D$25,'RES Assumptions'!$A4)*V4,"")</f>
        <v>0</v>
      </c>
      <c r="BC4" s="10">
        <f ca="1">IFERROR(SUMIFS('RES balance'!W$5:W$25,'RES balance'!$D$5:$D$25,'RES Assumptions'!$A4)*W4,"")</f>
        <v>0</v>
      </c>
      <c r="BD4" s="10">
        <f ca="1">IFERROR(SUMIFS('RES balance'!X$5:X$25,'RES balance'!$D$5:$D$25,'RES Assumptions'!$A4)*X4,"")</f>
        <v>0</v>
      </c>
      <c r="BE4" s="10">
        <f ca="1">IFERROR(SUMIFS('RES balance'!Y$5:Y$25,'RES balance'!$D$5:$D$25,'RES Assumptions'!$A4)*Y4,"")</f>
        <v>0</v>
      </c>
      <c r="BF4" s="10">
        <f ca="1">IFERROR(SUMIFS('RES balance'!Z$5:Z$25,'RES balance'!$D$5:$D$25,'RES Assumptions'!$A4)*Z4,"")</f>
        <v>0</v>
      </c>
      <c r="BG4" s="10">
        <f ca="1">IFERROR(SUMIFS('RES balance'!AA$5:AA$25,'RES balance'!$D$5:$D$25,'RES Assumptions'!$A4)*AA4,"")</f>
        <v>0</v>
      </c>
      <c r="BH4" s="10">
        <f ca="1">IFERROR(SUMIFS('RES balance'!AB$5:AB$25,'RES balance'!$D$5:$D$25,'RES Assumptions'!$A4)*AB4,"")</f>
        <v>0</v>
      </c>
      <c r="BI4" s="10">
        <f ca="1">IFERROR(SUMIFS('RES balance'!AC$5:AC$25,'RES balance'!$D$5:$D$25,'RES Assumptions'!$A4)*AC4,"")</f>
        <v>0</v>
      </c>
      <c r="BJ4" s="10">
        <f ca="1">IFERROR(SUMIFS('RES balance'!AD$5:AD$25,'RES balance'!$D$5:$D$25,'RES Assumptions'!$A4)*AD4,"")</f>
        <v>0</v>
      </c>
      <c r="BK4" s="10">
        <f ca="1">IFERROR(SUMIFS('RES balance'!AE$5:AE$25,'RES balance'!$D$5:$D$25,'RES Assumptions'!$A4)*AE4,"")</f>
        <v>0</v>
      </c>
      <c r="BL4" s="10">
        <f ca="1">IFERROR(SUMIFS('RES balance'!AF$5:AF$25,'RES balance'!$D$5:$D$25,'RES Assumptions'!$A4)*AF4,"")</f>
        <v>0</v>
      </c>
      <c r="BM4" s="10">
        <f ca="1">IFERROR(SUMIFS('RES balance'!AG$5:AG$25,'RES balance'!$D$5:$D$25,'RES Assumptions'!$A4)*AG4,"")</f>
        <v>0</v>
      </c>
      <c r="BN4" s="10">
        <f ca="1">IFERROR(SUMIFS('RES balance'!AH$5:AH$25,'RES balance'!$D$5:$D$25,'RES Assumptions'!$A4)*AH4,"")</f>
        <v>0</v>
      </c>
    </row>
    <row r="5" spans="1:66" x14ac:dyDescent="0.45">
      <c r="A5" s="8" t="str">
        <f>VLOOKUP(C5,'RES balance'!$AL$5:$AM$25,2,FALSE)</f>
        <v>RESNGA</v>
      </c>
      <c r="B5" s="36"/>
      <c r="C5" s="20" t="s">
        <v>33</v>
      </c>
      <c r="D5" s="21" t="s">
        <v>64</v>
      </c>
      <c r="E5" s="14">
        <f ca="1">OFFSET('RES Assumptions T15'!$D5,0,MATCH(VLOOKUP('RES Assumptions'!E$2,'RES Assumptions T15'!$V$3:$W$35,2,FALSE),'RES Assumptions T15'!$E$2:$S$2,0))</f>
        <v>0.65441803240519503</v>
      </c>
      <c r="F5" s="14">
        <f ca="1">OFFSET('RES Assumptions T15'!$D5,0,MATCH(VLOOKUP('RES Assumptions'!F$2,'RES Assumptions T15'!$V$3:$W$35,2,FALSE),'RES Assumptions T15'!$E$2:$S$2,0))</f>
        <v>0.65441803240519503</v>
      </c>
      <c r="G5" s="14">
        <f ca="1">OFFSET('RES Assumptions T15'!$D5,0,MATCH(VLOOKUP('RES Assumptions'!G$2,'RES Assumptions T15'!$V$3:$W$35,2,FALSE),'RES Assumptions T15'!$E$2:$S$2,0))</f>
        <v>0.65441803240519503</v>
      </c>
      <c r="H5" s="14">
        <f ca="1">OFFSET('RES Assumptions T15'!$D5,0,MATCH(VLOOKUP('RES Assumptions'!H$2,'RES Assumptions T15'!$V$3:$W$35,2,FALSE),'RES Assumptions T15'!$E$2:$S$2,0))</f>
        <v>0.195058867767293</v>
      </c>
      <c r="I5" s="14">
        <f ca="1">OFFSET('RES Assumptions T15'!$D5,0,MATCH(VLOOKUP('RES Assumptions'!I$2,'RES Assumptions T15'!$V$3:$W$35,2,FALSE),'RES Assumptions T15'!$E$2:$S$2,0))</f>
        <v>0.65308992324012105</v>
      </c>
      <c r="J5" s="14">
        <f ca="1">OFFSET('RES Assumptions T15'!$D5,0,MATCH(VLOOKUP('RES Assumptions'!J$2,'RES Assumptions T15'!$V$3:$W$35,2,FALSE),'RES Assumptions T15'!$E$2:$S$2,0))</f>
        <v>0</v>
      </c>
      <c r="K5" s="14">
        <f ca="1">OFFSET('RES Assumptions T15'!$D5,0,MATCH(VLOOKUP('RES Assumptions'!K$2,'RES Assumptions T15'!$V$3:$W$35,2,FALSE),'RES Assumptions T15'!$E$2:$S$2,0))</f>
        <v>0.33386000948017103</v>
      </c>
      <c r="L5" s="14">
        <f ca="1">OFFSET('RES Assumptions T15'!$D5,0,MATCH(VLOOKUP('RES Assumptions'!L$2,'RES Assumptions T15'!$V$3:$W$35,2,FALSE),'RES Assumptions T15'!$E$2:$S$2,0))</f>
        <v>0.65441803240519503</v>
      </c>
      <c r="M5" s="14">
        <f ca="1">OFFSET('RES Assumptions T15'!$D5,0,MATCH(VLOOKUP('RES Assumptions'!M$2,'RES Assumptions T15'!$V$3:$W$35,2,FALSE),'RES Assumptions T15'!$E$2:$S$2,0))</f>
        <v>0.30291648975296798</v>
      </c>
      <c r="N5" s="14">
        <f ca="1">OFFSET('RES Assumptions T15'!$D5,0,MATCH(VLOOKUP('RES Assumptions'!N$2,'RES Assumptions T15'!$V$3:$W$35,2,FALSE),'RES Assumptions T15'!$E$2:$S$2,0))</f>
        <v>0.60078130442313105</v>
      </c>
      <c r="O5" s="14">
        <f ca="1">OFFSET('RES Assumptions T15'!$D5,0,MATCH(VLOOKUP('RES Assumptions'!O$2,'RES Assumptions T15'!$V$3:$W$35,2,FALSE),'RES Assumptions T15'!$E$2:$S$2,0))</f>
        <v>0.18768063455446399</v>
      </c>
      <c r="P5" s="14">
        <f ca="1">OFFSET('RES Assumptions T15'!$D5,0,MATCH(VLOOKUP('RES Assumptions'!P$2,'RES Assumptions T15'!$V$3:$W$35,2,FALSE),'RES Assumptions T15'!$E$2:$S$2,0))</f>
        <v>0.195058867767293</v>
      </c>
      <c r="Q5" s="14">
        <f ca="1">OFFSET('RES Assumptions T15'!$D5,0,MATCH(VLOOKUP('RES Assumptions'!Q$2,'RES Assumptions T15'!$V$3:$W$35,2,FALSE),'RES Assumptions T15'!$E$2:$S$2,0))</f>
        <v>0.18768063455446399</v>
      </c>
      <c r="R5" s="14">
        <f ca="1">OFFSET('RES Assumptions T15'!$D5,0,MATCH(VLOOKUP('RES Assumptions'!R$2,'RES Assumptions T15'!$V$3:$W$35,2,FALSE),'RES Assumptions T15'!$E$2:$S$2,0))</f>
        <v>0.18768063455446399</v>
      </c>
      <c r="S5" s="14">
        <f ca="1">OFFSET('RES Assumptions T15'!$D5,0,MATCH(VLOOKUP('RES Assumptions'!S$2,'RES Assumptions T15'!$V$3:$W$35,2,FALSE),'RES Assumptions T15'!$E$2:$S$2,0))</f>
        <v>0.195058867767293</v>
      </c>
      <c r="T5" s="14">
        <f ca="1">OFFSET('RES Assumptions T15'!$D5,0,MATCH(VLOOKUP('RES Assumptions'!T$2,'RES Assumptions T15'!$V$3:$W$35,2,FALSE),'RES Assumptions T15'!$E$2:$S$2,0))</f>
        <v>0.18768063455446399</v>
      </c>
      <c r="U5" s="14">
        <f ca="1">OFFSET('RES Assumptions T15'!$D5,0,MATCH(VLOOKUP('RES Assumptions'!U$2,'RES Assumptions T15'!$V$3:$W$35,2,FALSE),'RES Assumptions T15'!$E$2:$S$2,0))</f>
        <v>0.25085452623180199</v>
      </c>
      <c r="V5" s="14">
        <f ca="1">OFFSET('RES Assumptions T15'!$D5,0,MATCH(VLOOKUP('RES Assumptions'!V$2,'RES Assumptions T15'!$V$3:$W$35,2,FALSE),'RES Assumptions T15'!$E$2:$S$2,0))</f>
        <v>0.18768063455446399</v>
      </c>
      <c r="W5" s="14">
        <f ca="1">OFFSET('RES Assumptions T15'!$D5,0,MATCH(VLOOKUP('RES Assumptions'!W$2,'RES Assumptions T15'!$V$3:$W$35,2,FALSE),'RES Assumptions T15'!$E$2:$S$2,0))</f>
        <v>0.18768063455446399</v>
      </c>
      <c r="X5" s="14">
        <f ca="1">OFFSET('RES Assumptions T15'!$D5,0,MATCH(VLOOKUP('RES Assumptions'!X$2,'RES Assumptions T15'!$V$3:$W$35,2,FALSE),'RES Assumptions T15'!$E$2:$S$2,0))</f>
        <v>0.84047849624018001</v>
      </c>
      <c r="Y5" s="14">
        <f ca="1">OFFSET('RES Assumptions T15'!$D5,0,MATCH(VLOOKUP('RES Assumptions'!Y$2,'RES Assumptions T15'!$V$3:$W$35,2,FALSE),'RES Assumptions T15'!$E$2:$S$2,0))</f>
        <v>0.65441803240519503</v>
      </c>
      <c r="Z5" s="14">
        <f ca="1">OFFSET('RES Assumptions T15'!$D5,0,MATCH(VLOOKUP('RES Assumptions'!Z$2,'RES Assumptions T15'!$V$3:$W$35,2,FALSE),'RES Assumptions T15'!$E$2:$S$2,0))</f>
        <v>0.64863480423979702</v>
      </c>
      <c r="AA5" s="14">
        <f ca="1">OFFSET('RES Assumptions T15'!$D5,0,MATCH(VLOOKUP('RES Assumptions'!AA$2,'RES Assumptions T15'!$V$3:$W$35,2,FALSE),'RES Assumptions T15'!$E$2:$S$2,0))</f>
        <v>0.25085452623180199</v>
      </c>
      <c r="AB5" s="14">
        <f ca="1">OFFSET('RES Assumptions T15'!$D5,0,MATCH(VLOOKUP('RES Assumptions'!AB$2,'RES Assumptions T15'!$V$3:$W$35,2,FALSE),'RES Assumptions T15'!$E$2:$S$2,0))</f>
        <v>0.18768063455446399</v>
      </c>
      <c r="AC5" s="14">
        <f ca="1">OFFSET('RES Assumptions T15'!$D5,0,MATCH(VLOOKUP('RES Assumptions'!AC$2,'RES Assumptions T15'!$V$3:$W$35,2,FALSE),'RES Assumptions T15'!$E$2:$S$2,0))</f>
        <v>0.195058867767293</v>
      </c>
      <c r="AD5" s="14">
        <f ca="1">OFFSET('RES Assumptions T15'!$D5,0,MATCH(VLOOKUP('RES Assumptions'!AD$2,'RES Assumptions T15'!$V$3:$W$35,2,FALSE),'RES Assumptions T15'!$E$2:$S$2,0))</f>
        <v>0.25085452623180199</v>
      </c>
      <c r="AE5" s="14">
        <f ca="1">OFFSET('RES Assumptions T15'!$D5,0,MATCH(VLOOKUP('RES Assumptions'!AE$2,'RES Assumptions T15'!$V$3:$W$35,2,FALSE),'RES Assumptions T15'!$E$2:$S$2,0))</f>
        <v>0.65441803240519503</v>
      </c>
      <c r="AF5" s="14">
        <f ca="1">OFFSET('RES Assumptions T15'!$D5,0,MATCH(VLOOKUP('RES Assumptions'!AF$2,'RES Assumptions T15'!$V$3:$W$35,2,FALSE),'RES Assumptions T15'!$E$2:$S$2,0))</f>
        <v>0.18768063455446399</v>
      </c>
      <c r="AG5" s="14">
        <f ca="1">OFFSET('RES Assumptions T15'!$D5,0,MATCH(VLOOKUP('RES Assumptions'!AG$2,'RES Assumptions T15'!$V$3:$W$35,2,FALSE),'RES Assumptions T15'!$E$2:$S$2,0))</f>
        <v>0.27180533455280398</v>
      </c>
      <c r="AH5" s="14">
        <f ca="1">OFFSET('RES Assumptions T15'!$D5,0,MATCH(VLOOKUP('RES Assumptions'!AH$2,'RES Assumptions T15'!$V$3:$W$35,2,FALSE),'RES Assumptions T15'!$E$2:$S$2,0))</f>
        <v>0.27180533455280398</v>
      </c>
      <c r="AK5" s="10">
        <f ca="1">IFERROR(SUMIFS('RES balance'!E$5:E$25,'RES balance'!$D$5:$D$25,'RES Assumptions'!$A5)*E5,"")</f>
        <v>326.04456139994215</v>
      </c>
      <c r="AL5" s="10">
        <f ca="1">IFERROR(SUMIFS('RES balance'!F$5:F$25,'RES balance'!$D$5:$D$25,'RES Assumptions'!$A5)*F5,"")</f>
        <v>2.5755223729896263E-4</v>
      </c>
      <c r="AM5" s="10">
        <f ca="1">IFERROR(SUMIFS('RES balance'!G$5:G$25,'RES balance'!$D$5:$D$25,'RES Assumptions'!$A5)*G5,"")</f>
        <v>245.92273727555235</v>
      </c>
      <c r="AN5" s="10">
        <f ca="1">IFERROR(SUMIFS('RES balance'!H$5:H$25,'RES balance'!$D$5:$D$25,'RES Assumptions'!$A5)*H5,"")</f>
        <v>120.26231863457325</v>
      </c>
      <c r="AO5" s="10">
        <f ca="1">IFERROR(SUMIFS('RES balance'!I$5:I$25,'RES balance'!$D$5:$D$25,'RES Assumptions'!$A5)*I5,"")</f>
        <v>489.83744296389733</v>
      </c>
      <c r="AP5" s="10">
        <f ca="1">IFERROR(SUMIFS('RES balance'!J$5:J$25,'RES balance'!$D$5:$D$25,'RES Assumptions'!$A5)*J5,"")</f>
        <v>0</v>
      </c>
      <c r="AQ5" s="10">
        <f ca="1">IFERROR(SUMIFS('RES balance'!K$5:K$25,'RES balance'!$D$5:$D$25,'RES Assumptions'!$A5)*K5,"")</f>
        <v>52.76723012207767</v>
      </c>
      <c r="AR5" s="10">
        <f ca="1">IFERROR(SUMIFS('RES balance'!L$5:L$25,'RES balance'!$D$5:$D$25,'RES Assumptions'!$A5)*L5,"")</f>
        <v>11.177745179435632</v>
      </c>
      <c r="AS5" s="10">
        <f ca="1">IFERROR(SUMIFS('RES balance'!M$5:M$25,'RES balance'!$D$5:$D$25,'RES Assumptions'!$A5)*M5,"")</f>
        <v>188.1193193321927</v>
      </c>
      <c r="AT5" s="10">
        <f ca="1">IFERROR(SUMIFS('RES balance'!N$5:N$25,'RES balance'!$D$5:$D$25,'RES Assumptions'!$A5)*N5,"")</f>
        <v>1274.2696058523709</v>
      </c>
      <c r="AU5" s="10">
        <f ca="1">IFERROR(SUMIFS('RES balance'!O$5:O$25,'RES balance'!$D$5:$D$25,'RES Assumptions'!$A5)*O5,"")</f>
        <v>5.4066647533160017</v>
      </c>
      <c r="AV5" s="10">
        <f ca="1">IFERROR(SUMIFS('RES balance'!P$5:P$25,'RES balance'!$D$5:$D$25,'RES Assumptions'!$A5)*P5,"")</f>
        <v>67.864406497269528</v>
      </c>
      <c r="AW5" s="10">
        <f ca="1">IFERROR(SUMIFS('RES balance'!Q$5:Q$25,'RES balance'!$D$5:$D$25,'RES Assumptions'!$A5)*Q5,"")</f>
        <v>83.908419602777514</v>
      </c>
      <c r="AX5" s="10">
        <f ca="1">IFERROR(SUMIFS('RES balance'!R$5:R$25,'RES balance'!$D$5:$D$25,'RES Assumptions'!$A5)*R5,"")</f>
        <v>129.74051227913569</v>
      </c>
      <c r="AY5" s="10">
        <f ca="1">IFERROR(SUMIFS('RES balance'!S$5:S$25,'RES balance'!$D$5:$D$25,'RES Assumptions'!$A5)*S5,"")</f>
        <v>48.521288801283156</v>
      </c>
      <c r="AZ5" s="10">
        <f ca="1">IFERROR(SUMIFS('RES balance'!T$5:T$25,'RES balance'!$D$5:$D$25,'RES Assumptions'!$A5)*T5,"")</f>
        <v>29.398645646181379</v>
      </c>
      <c r="BA5" s="10">
        <f ca="1">IFERROR(SUMIFS('RES balance'!U$5:U$25,'RES balance'!$D$5:$D$25,'RES Assumptions'!$A5)*U5,"")</f>
        <v>229.17949978244866</v>
      </c>
      <c r="BB5" s="10">
        <f ca="1">IFERROR(SUMIFS('RES balance'!V$5:V$25,'RES balance'!$D$5:$D$25,'RES Assumptions'!$A5)*V5,"")</f>
        <v>89.28800790472134</v>
      </c>
      <c r="BC5" s="10">
        <f ca="1">IFERROR(SUMIFS('RES balance'!W$5:W$25,'RES balance'!$D$5:$D$25,'RES Assumptions'!$A5)*W5,"")</f>
        <v>178.13741627196498</v>
      </c>
      <c r="BD5" s="10">
        <f ca="1">IFERROR(SUMIFS('RES balance'!X$5:X$25,'RES balance'!$D$5:$D$25,'RES Assumptions'!$A5)*X5,"")</f>
        <v>86.116585966501489</v>
      </c>
      <c r="BE5" s="10">
        <f ca="1">IFERROR(SUMIFS('RES balance'!Y$5:Y$25,'RES balance'!$D$5:$D$25,'RES Assumptions'!$A5)*Y5,"")</f>
        <v>53.681697757662739</v>
      </c>
      <c r="BF5" s="10">
        <f ca="1">IFERROR(SUMIFS('RES balance'!Z$5:Z$25,'RES balance'!$D$5:$D$25,'RES Assumptions'!$A5)*Z5,"")</f>
        <v>17.478114710002142</v>
      </c>
      <c r="BG5" s="10">
        <f ca="1">IFERROR(SUMIFS('RES balance'!AA$5:AA$25,'RES balance'!$D$5:$D$25,'RES Assumptions'!$A5)*AA5,"")</f>
        <v>432.76333111856843</v>
      </c>
      <c r="BH5" s="10">
        <f ca="1">IFERROR(SUMIFS('RES balance'!AB$5:AB$25,'RES balance'!$D$5:$D$25,'RES Assumptions'!$A5)*AB5,"")</f>
        <v>1.2163108444769958E-2</v>
      </c>
      <c r="BI5" s="10">
        <f ca="1">IFERROR(SUMIFS('RES balance'!AC$5:AC$25,'RES balance'!$D$5:$D$25,'RES Assumptions'!$A5)*AC5,"")</f>
        <v>530.80521367608048</v>
      </c>
      <c r="BJ5" s="10">
        <f ca="1">IFERROR(SUMIFS('RES balance'!AD$5:AD$25,'RES balance'!$D$5:$D$25,'RES Assumptions'!$A5)*AD5,"")</f>
        <v>0</v>
      </c>
      <c r="BK5" s="10">
        <f ca="1">IFERROR(SUMIFS('RES balance'!AE$5:AE$25,'RES balance'!$D$5:$D$25,'RES Assumptions'!$A5)*AE5,"")</f>
        <v>0.13660132279550086</v>
      </c>
      <c r="BL5" s="10">
        <f ca="1">IFERROR(SUMIFS('RES balance'!AF$5:AF$25,'RES balance'!$D$5:$D$25,'RES Assumptions'!$A5)*AF5,"")</f>
        <v>179.31049107303113</v>
      </c>
      <c r="BM5" s="10">
        <f ca="1">IFERROR(SUMIFS('RES balance'!AG$5:AG$25,'RES balance'!$D$5:$D$25,'RES Assumptions'!$A5)*AG5,"")</f>
        <v>1343.7380512047973</v>
      </c>
      <c r="BN5" s="10">
        <f ca="1">IFERROR(SUMIFS('RES balance'!AH$5:AH$25,'RES balance'!$D$5:$D$25,'RES Assumptions'!$A5)*AH5,"")</f>
        <v>0</v>
      </c>
    </row>
    <row r="6" spans="1:66" x14ac:dyDescent="0.45">
      <c r="A6" s="8" t="str">
        <f>VLOOKUP(C6,'RES balance'!$AL$5:$AM$25,2,FALSE)</f>
        <v>RESNGA</v>
      </c>
      <c r="B6" s="36"/>
      <c r="C6" s="20" t="s">
        <v>33</v>
      </c>
      <c r="D6" s="21" t="s">
        <v>66</v>
      </c>
      <c r="E6" s="14">
        <f ca="1">OFFSET('RES Assumptions T15'!$D6,0,MATCH(VLOOKUP('RES Assumptions'!E$2,'RES Assumptions T15'!$V$3:$W$35,2,FALSE),'RES Assumptions T15'!$E$2:$S$2,0))</f>
        <v>0</v>
      </c>
      <c r="F6" s="14">
        <f ca="1">OFFSET('RES Assumptions T15'!$D6,0,MATCH(VLOOKUP('RES Assumptions'!F$2,'RES Assumptions T15'!$V$3:$W$35,2,FALSE),'RES Assumptions T15'!$E$2:$S$2,0))</f>
        <v>0</v>
      </c>
      <c r="G6" s="14">
        <f ca="1">OFFSET('RES Assumptions T15'!$D6,0,MATCH(VLOOKUP('RES Assumptions'!G$2,'RES Assumptions T15'!$V$3:$W$35,2,FALSE),'RES Assumptions T15'!$E$2:$S$2,0))</f>
        <v>0</v>
      </c>
      <c r="H6" s="14">
        <f ca="1">OFFSET('RES Assumptions T15'!$D6,0,MATCH(VLOOKUP('RES Assumptions'!H$2,'RES Assumptions T15'!$V$3:$W$35,2,FALSE),'RES Assumptions T15'!$E$2:$S$2,0))</f>
        <v>0</v>
      </c>
      <c r="I6" s="14">
        <f ca="1">OFFSET('RES Assumptions T15'!$D6,0,MATCH(VLOOKUP('RES Assumptions'!I$2,'RES Assumptions T15'!$V$3:$W$35,2,FALSE),'RES Assumptions T15'!$E$2:$S$2,0))</f>
        <v>0</v>
      </c>
      <c r="J6" s="14">
        <f ca="1">OFFSET('RES Assumptions T15'!$D6,0,MATCH(VLOOKUP('RES Assumptions'!J$2,'RES Assumptions T15'!$V$3:$W$35,2,FALSE),'RES Assumptions T15'!$E$2:$S$2,0))</f>
        <v>0</v>
      </c>
      <c r="K6" s="14">
        <f ca="1">OFFSET('RES Assumptions T15'!$D6,0,MATCH(VLOOKUP('RES Assumptions'!K$2,'RES Assumptions T15'!$V$3:$W$35,2,FALSE),'RES Assumptions T15'!$E$2:$S$2,0))</f>
        <v>0</v>
      </c>
      <c r="L6" s="14">
        <f ca="1">OFFSET('RES Assumptions T15'!$D6,0,MATCH(VLOOKUP('RES Assumptions'!L$2,'RES Assumptions T15'!$V$3:$W$35,2,FALSE),'RES Assumptions T15'!$E$2:$S$2,0))</f>
        <v>0</v>
      </c>
      <c r="M6" s="14">
        <f ca="1">OFFSET('RES Assumptions T15'!$D6,0,MATCH(VLOOKUP('RES Assumptions'!M$2,'RES Assumptions T15'!$V$3:$W$35,2,FALSE),'RES Assumptions T15'!$E$2:$S$2,0))</f>
        <v>0</v>
      </c>
      <c r="N6" s="14">
        <f ca="1">OFFSET('RES Assumptions T15'!$D6,0,MATCH(VLOOKUP('RES Assumptions'!N$2,'RES Assumptions T15'!$V$3:$W$35,2,FALSE),'RES Assumptions T15'!$E$2:$S$2,0))</f>
        <v>0</v>
      </c>
      <c r="O6" s="14">
        <f ca="1">OFFSET('RES Assumptions T15'!$D6,0,MATCH(VLOOKUP('RES Assumptions'!O$2,'RES Assumptions T15'!$V$3:$W$35,2,FALSE),'RES Assumptions T15'!$E$2:$S$2,0))</f>
        <v>0</v>
      </c>
      <c r="P6" s="14">
        <f ca="1">OFFSET('RES Assumptions T15'!$D6,0,MATCH(VLOOKUP('RES Assumptions'!P$2,'RES Assumptions T15'!$V$3:$W$35,2,FALSE),'RES Assumptions T15'!$E$2:$S$2,0))</f>
        <v>0</v>
      </c>
      <c r="Q6" s="14">
        <f ca="1">OFFSET('RES Assumptions T15'!$D6,0,MATCH(VLOOKUP('RES Assumptions'!Q$2,'RES Assumptions T15'!$V$3:$W$35,2,FALSE),'RES Assumptions T15'!$E$2:$S$2,0))</f>
        <v>0</v>
      </c>
      <c r="R6" s="14">
        <f ca="1">OFFSET('RES Assumptions T15'!$D6,0,MATCH(VLOOKUP('RES Assumptions'!R$2,'RES Assumptions T15'!$V$3:$W$35,2,FALSE),'RES Assumptions T15'!$E$2:$S$2,0))</f>
        <v>0</v>
      </c>
      <c r="S6" s="14">
        <f ca="1">OFFSET('RES Assumptions T15'!$D6,0,MATCH(VLOOKUP('RES Assumptions'!S$2,'RES Assumptions T15'!$V$3:$W$35,2,FALSE),'RES Assumptions T15'!$E$2:$S$2,0))</f>
        <v>0</v>
      </c>
      <c r="T6" s="14">
        <f ca="1">OFFSET('RES Assumptions T15'!$D6,0,MATCH(VLOOKUP('RES Assumptions'!T$2,'RES Assumptions T15'!$V$3:$W$35,2,FALSE),'RES Assumptions T15'!$E$2:$S$2,0))</f>
        <v>0</v>
      </c>
      <c r="U6" s="14">
        <f ca="1">OFFSET('RES Assumptions T15'!$D6,0,MATCH(VLOOKUP('RES Assumptions'!U$2,'RES Assumptions T15'!$V$3:$W$35,2,FALSE),'RES Assumptions T15'!$E$2:$S$2,0))</f>
        <v>0</v>
      </c>
      <c r="V6" s="14">
        <f ca="1">OFFSET('RES Assumptions T15'!$D6,0,MATCH(VLOOKUP('RES Assumptions'!V$2,'RES Assumptions T15'!$V$3:$W$35,2,FALSE),'RES Assumptions T15'!$E$2:$S$2,0))</f>
        <v>0</v>
      </c>
      <c r="W6" s="14">
        <f ca="1">OFFSET('RES Assumptions T15'!$D6,0,MATCH(VLOOKUP('RES Assumptions'!W$2,'RES Assumptions T15'!$V$3:$W$35,2,FALSE),'RES Assumptions T15'!$E$2:$S$2,0))</f>
        <v>0</v>
      </c>
      <c r="X6" s="14">
        <f ca="1">OFFSET('RES Assumptions T15'!$D6,0,MATCH(VLOOKUP('RES Assumptions'!X$2,'RES Assumptions T15'!$V$3:$W$35,2,FALSE),'RES Assumptions T15'!$E$2:$S$2,0))</f>
        <v>0</v>
      </c>
      <c r="Y6" s="14">
        <f ca="1">OFFSET('RES Assumptions T15'!$D6,0,MATCH(VLOOKUP('RES Assumptions'!Y$2,'RES Assumptions T15'!$V$3:$W$35,2,FALSE),'RES Assumptions T15'!$E$2:$S$2,0))</f>
        <v>0</v>
      </c>
      <c r="Z6" s="14">
        <f ca="1">OFFSET('RES Assumptions T15'!$D6,0,MATCH(VLOOKUP('RES Assumptions'!Z$2,'RES Assumptions T15'!$V$3:$W$35,2,FALSE),'RES Assumptions T15'!$E$2:$S$2,0))</f>
        <v>0</v>
      </c>
      <c r="AA6" s="14">
        <f ca="1">OFFSET('RES Assumptions T15'!$D6,0,MATCH(VLOOKUP('RES Assumptions'!AA$2,'RES Assumptions T15'!$V$3:$W$35,2,FALSE),'RES Assumptions T15'!$E$2:$S$2,0))</f>
        <v>0</v>
      </c>
      <c r="AB6" s="14">
        <f ca="1">OFFSET('RES Assumptions T15'!$D6,0,MATCH(VLOOKUP('RES Assumptions'!AB$2,'RES Assumptions T15'!$V$3:$W$35,2,FALSE),'RES Assumptions T15'!$E$2:$S$2,0))</f>
        <v>0</v>
      </c>
      <c r="AC6" s="14">
        <f ca="1">OFFSET('RES Assumptions T15'!$D6,0,MATCH(VLOOKUP('RES Assumptions'!AC$2,'RES Assumptions T15'!$V$3:$W$35,2,FALSE),'RES Assumptions T15'!$E$2:$S$2,0))</f>
        <v>0</v>
      </c>
      <c r="AD6" s="14">
        <f ca="1">OFFSET('RES Assumptions T15'!$D6,0,MATCH(VLOOKUP('RES Assumptions'!AD$2,'RES Assumptions T15'!$V$3:$W$35,2,FALSE),'RES Assumptions T15'!$E$2:$S$2,0))</f>
        <v>0</v>
      </c>
      <c r="AE6" s="14">
        <f ca="1">OFFSET('RES Assumptions T15'!$D6,0,MATCH(VLOOKUP('RES Assumptions'!AE$2,'RES Assumptions T15'!$V$3:$W$35,2,FALSE),'RES Assumptions T15'!$E$2:$S$2,0))</f>
        <v>0</v>
      </c>
      <c r="AF6" s="14">
        <f ca="1">OFFSET('RES Assumptions T15'!$D6,0,MATCH(VLOOKUP('RES Assumptions'!AF$2,'RES Assumptions T15'!$V$3:$W$35,2,FALSE),'RES Assumptions T15'!$E$2:$S$2,0))</f>
        <v>0</v>
      </c>
      <c r="AG6" s="14">
        <f ca="1">OFFSET('RES Assumptions T15'!$D6,0,MATCH(VLOOKUP('RES Assumptions'!AG$2,'RES Assumptions T15'!$V$3:$W$35,2,FALSE),'RES Assumptions T15'!$E$2:$S$2,0))</f>
        <v>0</v>
      </c>
      <c r="AH6" s="14">
        <f ca="1">OFFSET('RES Assumptions T15'!$D6,0,MATCH(VLOOKUP('RES Assumptions'!AH$2,'RES Assumptions T15'!$V$3:$W$35,2,FALSE),'RES Assumptions T15'!$E$2:$S$2,0))</f>
        <v>0</v>
      </c>
      <c r="AK6" s="10">
        <f ca="1">IFERROR(SUMIFS('RES balance'!E$5:E$25,'RES balance'!$D$5:$D$25,'RES Assumptions'!$A6)*E6,"")</f>
        <v>0</v>
      </c>
      <c r="AL6" s="10">
        <f ca="1">IFERROR(SUMIFS('RES balance'!F$5:F$25,'RES balance'!$D$5:$D$25,'RES Assumptions'!$A6)*F6,"")</f>
        <v>0</v>
      </c>
      <c r="AM6" s="10">
        <f ca="1">IFERROR(SUMIFS('RES balance'!G$5:G$25,'RES balance'!$D$5:$D$25,'RES Assumptions'!$A6)*G6,"")</f>
        <v>0</v>
      </c>
      <c r="AN6" s="10">
        <f ca="1">IFERROR(SUMIFS('RES balance'!H$5:H$25,'RES balance'!$D$5:$D$25,'RES Assumptions'!$A6)*H6,"")</f>
        <v>0</v>
      </c>
      <c r="AO6" s="10">
        <f ca="1">IFERROR(SUMIFS('RES balance'!I$5:I$25,'RES balance'!$D$5:$D$25,'RES Assumptions'!$A6)*I6,"")</f>
        <v>0</v>
      </c>
      <c r="AP6" s="10">
        <f ca="1">IFERROR(SUMIFS('RES balance'!J$5:J$25,'RES balance'!$D$5:$D$25,'RES Assumptions'!$A6)*J6,"")</f>
        <v>0</v>
      </c>
      <c r="AQ6" s="10">
        <f ca="1">IFERROR(SUMIFS('RES balance'!K$5:K$25,'RES balance'!$D$5:$D$25,'RES Assumptions'!$A6)*K6,"")</f>
        <v>0</v>
      </c>
      <c r="AR6" s="10">
        <f ca="1">IFERROR(SUMIFS('RES balance'!L$5:L$25,'RES balance'!$D$5:$D$25,'RES Assumptions'!$A6)*L6,"")</f>
        <v>0</v>
      </c>
      <c r="AS6" s="10">
        <f ca="1">IFERROR(SUMIFS('RES balance'!M$5:M$25,'RES balance'!$D$5:$D$25,'RES Assumptions'!$A6)*M6,"")</f>
        <v>0</v>
      </c>
      <c r="AT6" s="10">
        <f ca="1">IFERROR(SUMIFS('RES balance'!N$5:N$25,'RES balance'!$D$5:$D$25,'RES Assumptions'!$A6)*N6,"")</f>
        <v>0</v>
      </c>
      <c r="AU6" s="10">
        <f ca="1">IFERROR(SUMIFS('RES balance'!O$5:O$25,'RES balance'!$D$5:$D$25,'RES Assumptions'!$A6)*O6,"")</f>
        <v>0</v>
      </c>
      <c r="AV6" s="10">
        <f ca="1">IFERROR(SUMIFS('RES balance'!P$5:P$25,'RES balance'!$D$5:$D$25,'RES Assumptions'!$A6)*P6,"")</f>
        <v>0</v>
      </c>
      <c r="AW6" s="10">
        <f ca="1">IFERROR(SUMIFS('RES balance'!Q$5:Q$25,'RES balance'!$D$5:$D$25,'RES Assumptions'!$A6)*Q6,"")</f>
        <v>0</v>
      </c>
      <c r="AX6" s="10">
        <f ca="1">IFERROR(SUMIFS('RES balance'!R$5:R$25,'RES balance'!$D$5:$D$25,'RES Assumptions'!$A6)*R6,"")</f>
        <v>0</v>
      </c>
      <c r="AY6" s="10">
        <f ca="1">IFERROR(SUMIFS('RES balance'!S$5:S$25,'RES balance'!$D$5:$D$25,'RES Assumptions'!$A6)*S6,"")</f>
        <v>0</v>
      </c>
      <c r="AZ6" s="10">
        <f ca="1">IFERROR(SUMIFS('RES balance'!T$5:T$25,'RES balance'!$D$5:$D$25,'RES Assumptions'!$A6)*T6,"")</f>
        <v>0</v>
      </c>
      <c r="BA6" s="10">
        <f ca="1">IFERROR(SUMIFS('RES balance'!U$5:U$25,'RES balance'!$D$5:$D$25,'RES Assumptions'!$A6)*U6,"")</f>
        <v>0</v>
      </c>
      <c r="BB6" s="10">
        <f ca="1">IFERROR(SUMIFS('RES balance'!V$5:V$25,'RES balance'!$D$5:$D$25,'RES Assumptions'!$A6)*V6,"")</f>
        <v>0</v>
      </c>
      <c r="BC6" s="10">
        <f ca="1">IFERROR(SUMIFS('RES balance'!W$5:W$25,'RES balance'!$D$5:$D$25,'RES Assumptions'!$A6)*W6,"")</f>
        <v>0</v>
      </c>
      <c r="BD6" s="10">
        <f ca="1">IFERROR(SUMIFS('RES balance'!X$5:X$25,'RES balance'!$D$5:$D$25,'RES Assumptions'!$A6)*X6,"")</f>
        <v>0</v>
      </c>
      <c r="BE6" s="10">
        <f ca="1">IFERROR(SUMIFS('RES balance'!Y$5:Y$25,'RES balance'!$D$5:$D$25,'RES Assumptions'!$A6)*Y6,"")</f>
        <v>0</v>
      </c>
      <c r="BF6" s="10">
        <f ca="1">IFERROR(SUMIFS('RES balance'!Z$5:Z$25,'RES balance'!$D$5:$D$25,'RES Assumptions'!$A6)*Z6,"")</f>
        <v>0</v>
      </c>
      <c r="BG6" s="10">
        <f ca="1">IFERROR(SUMIFS('RES balance'!AA$5:AA$25,'RES balance'!$D$5:$D$25,'RES Assumptions'!$A6)*AA6,"")</f>
        <v>0</v>
      </c>
      <c r="BH6" s="10">
        <f ca="1">IFERROR(SUMIFS('RES balance'!AB$5:AB$25,'RES balance'!$D$5:$D$25,'RES Assumptions'!$A6)*AB6,"")</f>
        <v>0</v>
      </c>
      <c r="BI6" s="10">
        <f ca="1">IFERROR(SUMIFS('RES balance'!AC$5:AC$25,'RES balance'!$D$5:$D$25,'RES Assumptions'!$A6)*AC6,"")</f>
        <v>0</v>
      </c>
      <c r="BJ6" s="10">
        <f ca="1">IFERROR(SUMIFS('RES balance'!AD$5:AD$25,'RES balance'!$D$5:$D$25,'RES Assumptions'!$A6)*AD6,"")</f>
        <v>0</v>
      </c>
      <c r="BK6" s="10">
        <f ca="1">IFERROR(SUMIFS('RES balance'!AE$5:AE$25,'RES balance'!$D$5:$D$25,'RES Assumptions'!$A6)*AE6,"")</f>
        <v>0</v>
      </c>
      <c r="BL6" s="10">
        <f ca="1">IFERROR(SUMIFS('RES balance'!AF$5:AF$25,'RES balance'!$D$5:$D$25,'RES Assumptions'!$A6)*AF6,"")</f>
        <v>0</v>
      </c>
      <c r="BM6" s="10">
        <f ca="1">IFERROR(SUMIFS('RES balance'!AG$5:AG$25,'RES balance'!$D$5:$D$25,'RES Assumptions'!$A6)*AG6,"")</f>
        <v>0</v>
      </c>
      <c r="BN6" s="10">
        <f ca="1">IFERROR(SUMIFS('RES balance'!AH$5:AH$25,'RES balance'!$D$5:$D$25,'RES Assumptions'!$A6)*AH6,"")</f>
        <v>0</v>
      </c>
    </row>
    <row r="7" spans="1:66" x14ac:dyDescent="0.45">
      <c r="A7" s="8" t="str">
        <f>VLOOKUP(C7,'RES balance'!$AL$5:$AM$25,2,FALSE)</f>
        <v>RESNGA</v>
      </c>
      <c r="B7" s="36"/>
      <c r="C7" s="20" t="s">
        <v>33</v>
      </c>
      <c r="D7" s="21" t="s">
        <v>67</v>
      </c>
      <c r="E7" s="14">
        <f ca="1">OFFSET('RES Assumptions T15'!$D7,0,MATCH(VLOOKUP('RES Assumptions'!E$2,'RES Assumptions T15'!$V$3:$W$35,2,FALSE),'RES Assumptions T15'!$E$2:$S$2,0))</f>
        <v>0.34408400548010998</v>
      </c>
      <c r="F7" s="14">
        <f ca="1">OFFSET('RES Assumptions T15'!$D7,0,MATCH(VLOOKUP('RES Assumptions'!F$2,'RES Assumptions T15'!$V$3:$W$35,2,FALSE),'RES Assumptions T15'!$E$2:$S$2,0))</f>
        <v>0.34408400548010998</v>
      </c>
      <c r="G7" s="14">
        <f ca="1">OFFSET('RES Assumptions T15'!$D7,0,MATCH(VLOOKUP('RES Assumptions'!G$2,'RES Assumptions T15'!$V$3:$W$35,2,FALSE),'RES Assumptions T15'!$E$2:$S$2,0))</f>
        <v>0.34408400548010998</v>
      </c>
      <c r="H7" s="14">
        <f ca="1">OFFSET('RES Assumptions T15'!$D7,0,MATCH(VLOOKUP('RES Assumptions'!H$2,'RES Assumptions T15'!$V$3:$W$35,2,FALSE),'RES Assumptions T15'!$E$2:$S$2,0))</f>
        <v>0.120250816831557</v>
      </c>
      <c r="I7" s="14">
        <f ca="1">OFFSET('RES Assumptions T15'!$D7,0,MATCH(VLOOKUP('RES Assumptions'!I$2,'RES Assumptions T15'!$V$3:$W$35,2,FALSE),'RES Assumptions T15'!$E$2:$S$2,0))</f>
        <v>0.163594114728871</v>
      </c>
      <c r="J7" s="14">
        <f ca="1">OFFSET('RES Assumptions T15'!$D7,0,MATCH(VLOOKUP('RES Assumptions'!J$2,'RES Assumptions T15'!$V$3:$W$35,2,FALSE),'RES Assumptions T15'!$E$2:$S$2,0))</f>
        <v>1</v>
      </c>
      <c r="K7" s="14">
        <f ca="1">OFFSET('RES Assumptions T15'!$D7,0,MATCH(VLOOKUP('RES Assumptions'!K$2,'RES Assumptions T15'!$V$3:$W$35,2,FALSE),'RES Assumptions T15'!$E$2:$S$2,0))</f>
        <v>4.89808816558698E-2</v>
      </c>
      <c r="L7" s="14">
        <f ca="1">OFFSET('RES Assumptions T15'!$D7,0,MATCH(VLOOKUP('RES Assumptions'!L$2,'RES Assumptions T15'!$V$3:$W$35,2,FALSE),'RES Assumptions T15'!$E$2:$S$2,0))</f>
        <v>0.34408400548010998</v>
      </c>
      <c r="M7" s="14">
        <f ca="1">OFFSET('RES Assumptions T15'!$D7,0,MATCH(VLOOKUP('RES Assumptions'!M$2,'RES Assumptions T15'!$V$3:$W$35,2,FALSE),'RES Assumptions T15'!$E$2:$S$2,0))</f>
        <v>1.2130377303765399E-2</v>
      </c>
      <c r="N7" s="14">
        <f ca="1">OFFSET('RES Assumptions T15'!$D7,0,MATCH(VLOOKUP('RES Assumptions'!N$2,'RES Assumptions T15'!$V$3:$W$35,2,FALSE),'RES Assumptions T15'!$E$2:$S$2,0))</f>
        <v>0.39921869557686901</v>
      </c>
      <c r="O7" s="14">
        <f ca="1">OFFSET('RES Assumptions T15'!$D7,0,MATCH(VLOOKUP('RES Assumptions'!O$2,'RES Assumptions T15'!$V$3:$W$35,2,FALSE),'RES Assumptions T15'!$E$2:$S$2,0))</f>
        <v>3.5806845731872303E-2</v>
      </c>
      <c r="P7" s="14">
        <f ca="1">OFFSET('RES Assumptions T15'!$D7,0,MATCH(VLOOKUP('RES Assumptions'!P$2,'RES Assumptions T15'!$V$3:$W$35,2,FALSE),'RES Assumptions T15'!$E$2:$S$2,0))</f>
        <v>0.120250816831557</v>
      </c>
      <c r="Q7" s="14">
        <f ca="1">OFFSET('RES Assumptions T15'!$D7,0,MATCH(VLOOKUP('RES Assumptions'!Q$2,'RES Assumptions T15'!$V$3:$W$35,2,FALSE),'RES Assumptions T15'!$E$2:$S$2,0))</f>
        <v>3.5806845731872303E-2</v>
      </c>
      <c r="R7" s="14">
        <f ca="1">OFFSET('RES Assumptions T15'!$D7,0,MATCH(VLOOKUP('RES Assumptions'!R$2,'RES Assumptions T15'!$V$3:$W$35,2,FALSE),'RES Assumptions T15'!$E$2:$S$2,0))</f>
        <v>3.5806845731872303E-2</v>
      </c>
      <c r="S7" s="14">
        <f ca="1">OFFSET('RES Assumptions T15'!$D7,0,MATCH(VLOOKUP('RES Assumptions'!S$2,'RES Assumptions T15'!$V$3:$W$35,2,FALSE),'RES Assumptions T15'!$E$2:$S$2,0))</f>
        <v>0.120250816831557</v>
      </c>
      <c r="T7" s="14">
        <f ca="1">OFFSET('RES Assumptions T15'!$D7,0,MATCH(VLOOKUP('RES Assumptions'!T$2,'RES Assumptions T15'!$V$3:$W$35,2,FALSE),'RES Assumptions T15'!$E$2:$S$2,0))</f>
        <v>3.5806845731872303E-2</v>
      </c>
      <c r="U7" s="14">
        <f ca="1">OFFSET('RES Assumptions T15'!$D7,0,MATCH(VLOOKUP('RES Assumptions'!U$2,'RES Assumptions T15'!$V$3:$W$35,2,FALSE),'RES Assumptions T15'!$E$2:$S$2,0))</f>
        <v>0.101664250148585</v>
      </c>
      <c r="V7" s="14">
        <f ca="1">OFFSET('RES Assumptions T15'!$D7,0,MATCH(VLOOKUP('RES Assumptions'!V$2,'RES Assumptions T15'!$V$3:$W$35,2,FALSE),'RES Assumptions T15'!$E$2:$S$2,0))</f>
        <v>3.5806845731872303E-2</v>
      </c>
      <c r="W7" s="14">
        <f ca="1">OFFSET('RES Assumptions T15'!$D7,0,MATCH(VLOOKUP('RES Assumptions'!W$2,'RES Assumptions T15'!$V$3:$W$35,2,FALSE),'RES Assumptions T15'!$E$2:$S$2,0))</f>
        <v>3.5806845731872303E-2</v>
      </c>
      <c r="X7" s="14">
        <f ca="1">OFFSET('RES Assumptions T15'!$D7,0,MATCH(VLOOKUP('RES Assumptions'!X$2,'RES Assumptions T15'!$V$3:$W$35,2,FALSE),'RES Assumptions T15'!$E$2:$S$2,0))</f>
        <v>0.15952150375981999</v>
      </c>
      <c r="Y7" s="14">
        <f ca="1">OFFSET('RES Assumptions T15'!$D7,0,MATCH(VLOOKUP('RES Assumptions'!Y$2,'RES Assumptions T15'!$V$3:$W$35,2,FALSE),'RES Assumptions T15'!$E$2:$S$2,0))</f>
        <v>0.34408400548010998</v>
      </c>
      <c r="Z7" s="14">
        <f ca="1">OFFSET('RES Assumptions T15'!$D7,0,MATCH(VLOOKUP('RES Assumptions'!Z$2,'RES Assumptions T15'!$V$3:$W$35,2,FALSE),'RES Assumptions T15'!$E$2:$S$2,0))</f>
        <v>0.33044138821117303</v>
      </c>
      <c r="AA7" s="14">
        <f ca="1">OFFSET('RES Assumptions T15'!$D7,0,MATCH(VLOOKUP('RES Assumptions'!AA$2,'RES Assumptions T15'!$V$3:$W$35,2,FALSE),'RES Assumptions T15'!$E$2:$S$2,0))</f>
        <v>0.101664250148585</v>
      </c>
      <c r="AB7" s="14">
        <f ca="1">OFFSET('RES Assumptions T15'!$D7,0,MATCH(VLOOKUP('RES Assumptions'!AB$2,'RES Assumptions T15'!$V$3:$W$35,2,FALSE),'RES Assumptions T15'!$E$2:$S$2,0))</f>
        <v>3.5806845731872303E-2</v>
      </c>
      <c r="AC7" s="14">
        <f ca="1">OFFSET('RES Assumptions T15'!$D7,0,MATCH(VLOOKUP('RES Assumptions'!AC$2,'RES Assumptions T15'!$V$3:$W$35,2,FALSE),'RES Assumptions T15'!$E$2:$S$2,0))</f>
        <v>0.120250816831557</v>
      </c>
      <c r="AD7" s="14">
        <f ca="1">OFFSET('RES Assumptions T15'!$D7,0,MATCH(VLOOKUP('RES Assumptions'!AD$2,'RES Assumptions T15'!$V$3:$W$35,2,FALSE),'RES Assumptions T15'!$E$2:$S$2,0))</f>
        <v>0.101664250148585</v>
      </c>
      <c r="AE7" s="14">
        <f ca="1">OFFSET('RES Assumptions T15'!$D7,0,MATCH(VLOOKUP('RES Assumptions'!AE$2,'RES Assumptions T15'!$V$3:$W$35,2,FALSE),'RES Assumptions T15'!$E$2:$S$2,0))</f>
        <v>0.34408400548010998</v>
      </c>
      <c r="AF7" s="14">
        <f ca="1">OFFSET('RES Assumptions T15'!$D7,0,MATCH(VLOOKUP('RES Assumptions'!AF$2,'RES Assumptions T15'!$V$3:$W$35,2,FALSE),'RES Assumptions T15'!$E$2:$S$2,0))</f>
        <v>3.5806845731872303E-2</v>
      </c>
      <c r="AG7" s="14">
        <f ca="1">OFFSET('RES Assumptions T15'!$D7,0,MATCH(VLOOKUP('RES Assumptions'!AG$2,'RES Assumptions T15'!$V$3:$W$35,2,FALSE),'RES Assumptions T15'!$E$2:$S$2,0))</f>
        <v>4.2616360523618502E-2</v>
      </c>
      <c r="AH7" s="14">
        <f ca="1">OFFSET('RES Assumptions T15'!$D7,0,MATCH(VLOOKUP('RES Assumptions'!AH$2,'RES Assumptions T15'!$V$3:$W$35,2,FALSE),'RES Assumptions T15'!$E$2:$S$2,0))</f>
        <v>4.2616360523618502E-2</v>
      </c>
      <c r="AK7" s="10">
        <f ca="1">IFERROR(SUMIFS('RES balance'!E$5:E$25,'RES balance'!$D$5:$D$25,'RES Assumptions'!$A7)*E7,"")</f>
        <v>171.42974841199864</v>
      </c>
      <c r="AL7" s="10">
        <f ca="1">IFERROR(SUMIFS('RES balance'!F$5:F$25,'RES balance'!$D$5:$D$25,'RES Assumptions'!$A7)*F7,"")</f>
        <v>1.3541742592954769E-4</v>
      </c>
      <c r="AM7" s="10">
        <f ca="1">IFERROR(SUMIFS('RES balance'!G$5:G$25,'RES balance'!$D$5:$D$25,'RES Assumptions'!$A7)*G7,"")</f>
        <v>129.30279468217947</v>
      </c>
      <c r="AN7" s="10">
        <f ca="1">IFERROR(SUMIFS('RES balance'!H$5:H$25,'RES balance'!$D$5:$D$25,'RES Assumptions'!$A7)*H7,"")</f>
        <v>74.139885130048441</v>
      </c>
      <c r="AO7" s="10">
        <f ca="1">IFERROR(SUMIFS('RES balance'!I$5:I$25,'RES balance'!$D$5:$D$25,'RES Assumptions'!$A7)*I7,"")</f>
        <v>122.7005960299737</v>
      </c>
      <c r="AP7" s="10">
        <f ca="1">IFERROR(SUMIFS('RES balance'!J$5:J$25,'RES balance'!$D$5:$D$25,'RES Assumptions'!$A7)*J7,"")</f>
        <v>505.28145429360001</v>
      </c>
      <c r="AQ7" s="10">
        <f ca="1">IFERROR(SUMIFS('RES balance'!K$5:K$25,'RES balance'!$D$5:$D$25,'RES Assumptions'!$A7)*K7,"")</f>
        <v>7.741524532817821</v>
      </c>
      <c r="AR7" s="10">
        <f ca="1">IFERROR(SUMIFS('RES balance'!L$5:L$25,'RES balance'!$D$5:$D$25,'RES Assumptions'!$A7)*L7,"")</f>
        <v>5.8771047604550564</v>
      </c>
      <c r="AS7" s="10">
        <f ca="1">IFERROR(SUMIFS('RES balance'!M$5:M$25,'RES balance'!$D$5:$D$25,'RES Assumptions'!$A7)*M7,"")</f>
        <v>7.53329184386096</v>
      </c>
      <c r="AT7" s="10">
        <f ca="1">IFERROR(SUMIFS('RES balance'!N$5:N$25,'RES balance'!$D$5:$D$25,'RES Assumptions'!$A7)*N7,"")</f>
        <v>846.75113242762927</v>
      </c>
      <c r="AU7" s="10">
        <f ca="1">IFERROR(SUMIFS('RES balance'!O$5:O$25,'RES balance'!$D$5:$D$25,'RES Assumptions'!$A7)*O7,"")</f>
        <v>1.0315161774975616</v>
      </c>
      <c r="AV7" s="10">
        <f ca="1">IFERROR(SUMIFS('RES balance'!P$5:P$25,'RES balance'!$D$5:$D$25,'RES Assumptions'!$A7)*P7,"")</f>
        <v>41.837371499671235</v>
      </c>
      <c r="AW7" s="10">
        <f ca="1">IFERROR(SUMIFS('RES balance'!Q$5:Q$25,'RES balance'!$D$5:$D$25,'RES Assumptions'!$A7)*Q7,"")</f>
        <v>16.008555402928238</v>
      </c>
      <c r="AX7" s="10">
        <f ca="1">IFERROR(SUMIFS('RES balance'!R$5:R$25,'RES balance'!$D$5:$D$25,'RES Assumptions'!$A7)*R7,"")</f>
        <v>24.752679035752973</v>
      </c>
      <c r="AY7" s="10">
        <f ca="1">IFERROR(SUMIFS('RES balance'!S$5:S$25,'RES balance'!$D$5:$D$25,'RES Assumptions'!$A7)*S7,"")</f>
        <v>29.912634472148472</v>
      </c>
      <c r="AZ7" s="10">
        <f ca="1">IFERROR(SUMIFS('RES balance'!T$5:T$25,'RES balance'!$D$5:$D$25,'RES Assumptions'!$A7)*T7,"")</f>
        <v>5.6088512907990813</v>
      </c>
      <c r="BA7" s="10">
        <f ca="1">IFERROR(SUMIFS('RES balance'!U$5:U$25,'RES balance'!$D$5:$D$25,'RES Assumptions'!$A7)*U7,"")</f>
        <v>92.879974480829887</v>
      </c>
      <c r="BB7" s="10">
        <f ca="1">IFERROR(SUMIFS('RES balance'!V$5:V$25,'RES balance'!$D$5:$D$25,'RES Assumptions'!$A7)*V7,"")</f>
        <v>17.034905771393067</v>
      </c>
      <c r="BC7" s="10">
        <f ca="1">IFERROR(SUMIFS('RES balance'!W$5:W$25,'RES balance'!$D$5:$D$25,'RES Assumptions'!$A7)*W7,"")</f>
        <v>33.986132872294547</v>
      </c>
      <c r="BD7" s="10">
        <f ca="1">IFERROR(SUMIFS('RES balance'!X$5:X$25,'RES balance'!$D$5:$D$25,'RES Assumptions'!$A7)*X7,"")</f>
        <v>16.344793297498519</v>
      </c>
      <c r="BE7" s="10">
        <f ca="1">IFERROR(SUMIFS('RES balance'!Y$5:Y$25,'RES balance'!$D$5:$D$25,'RES Assumptions'!$A7)*Y7,"")</f>
        <v>28.225098745433964</v>
      </c>
      <c r="BF7" s="10">
        <f ca="1">IFERROR(SUMIFS('RES balance'!Z$5:Z$25,'RES balance'!$D$5:$D$25,'RES Assumptions'!$A7)*Z7,"")</f>
        <v>8.9040742962538619</v>
      </c>
      <c r="BG7" s="10">
        <f ca="1">IFERROR(SUMIFS('RES balance'!AA$5:AA$25,'RES balance'!$D$5:$D$25,'RES Assumptions'!$A7)*AA7,"")</f>
        <v>175.38674789275305</v>
      </c>
      <c r="BH7" s="10">
        <f ca="1">IFERROR(SUMIFS('RES balance'!AB$5:AB$25,'RES balance'!$D$5:$D$25,'RES Assumptions'!$A7)*AB7,"")</f>
        <v>2.3205513383722318E-3</v>
      </c>
      <c r="BI7" s="10">
        <f ca="1">IFERROR(SUMIFS('RES balance'!AC$5:AC$25,'RES balance'!$D$5:$D$25,'RES Assumptions'!$A7)*AC7,"")</f>
        <v>327.23331809321951</v>
      </c>
      <c r="BJ7" s="10">
        <f ca="1">IFERROR(SUMIFS('RES balance'!AD$5:AD$25,'RES balance'!$D$5:$D$25,'RES Assumptions'!$A7)*AD7,"")</f>
        <v>0</v>
      </c>
      <c r="BK7" s="10">
        <f ca="1">IFERROR(SUMIFS('RES balance'!AE$5:AE$25,'RES balance'!$D$5:$D$25,'RES Assumptions'!$A7)*AE7,"")</f>
        <v>7.1823097735569469E-2</v>
      </c>
      <c r="BL7" s="10">
        <f ca="1">IFERROR(SUMIFS('RES balance'!AF$5:AF$25,'RES balance'!$D$5:$D$25,'RES Assumptions'!$A7)*AF7,"")</f>
        <v>34.209939172467379</v>
      </c>
      <c r="BM7" s="10">
        <f ca="1">IFERROR(SUMIFS('RES balance'!AG$5:AG$25,'RES balance'!$D$5:$D$25,'RES Assumptions'!$A7)*AG7,"")</f>
        <v>210.68469952462686</v>
      </c>
      <c r="BN7" s="10">
        <f ca="1">IFERROR(SUMIFS('RES balance'!AH$5:AH$25,'RES balance'!$D$5:$D$25,'RES Assumptions'!$A7)*AH7,"")</f>
        <v>0</v>
      </c>
    </row>
    <row r="8" spans="1:66" x14ac:dyDescent="0.45">
      <c r="A8" s="8" t="str">
        <f>VLOOKUP(C8,'RES balance'!$AL$5:$AM$25,2,FALSE)</f>
        <v>RESNGA</v>
      </c>
      <c r="B8" s="36"/>
      <c r="C8" s="22" t="s">
        <v>33</v>
      </c>
      <c r="D8" s="23" t="s">
        <v>70</v>
      </c>
      <c r="E8" s="14">
        <f ca="1">OFFSET('RES Assumptions T15'!$D8,0,MATCH(VLOOKUP('RES Assumptions'!E$2,'RES Assumptions T15'!$V$3:$W$35,2,FALSE),'RES Assumptions T15'!$E$2:$S$2,0))</f>
        <v>0</v>
      </c>
      <c r="F8" s="14">
        <f ca="1">OFFSET('RES Assumptions T15'!$D8,0,MATCH(VLOOKUP('RES Assumptions'!F$2,'RES Assumptions T15'!$V$3:$W$35,2,FALSE),'RES Assumptions T15'!$E$2:$S$2,0))</f>
        <v>0</v>
      </c>
      <c r="G8" s="14">
        <f ca="1">OFFSET('RES Assumptions T15'!$D8,0,MATCH(VLOOKUP('RES Assumptions'!G$2,'RES Assumptions T15'!$V$3:$W$35,2,FALSE),'RES Assumptions T15'!$E$2:$S$2,0))</f>
        <v>0</v>
      </c>
      <c r="H8" s="14">
        <f ca="1">OFFSET('RES Assumptions T15'!$D8,0,MATCH(VLOOKUP('RES Assumptions'!H$2,'RES Assumptions T15'!$V$3:$W$35,2,FALSE),'RES Assumptions T15'!$E$2:$S$2,0))</f>
        <v>2.3841826857116701E-2</v>
      </c>
      <c r="I8" s="14">
        <f ca="1">OFFSET('RES Assumptions T15'!$D8,0,MATCH(VLOOKUP('RES Assumptions'!I$2,'RES Assumptions T15'!$V$3:$W$35,2,FALSE),'RES Assumptions T15'!$E$2:$S$2,0))</f>
        <v>0</v>
      </c>
      <c r="J8" s="14">
        <f ca="1">OFFSET('RES Assumptions T15'!$D8,0,MATCH(VLOOKUP('RES Assumptions'!J$2,'RES Assumptions T15'!$V$3:$W$35,2,FALSE),'RES Assumptions T15'!$E$2:$S$2,0))</f>
        <v>0</v>
      </c>
      <c r="K8" s="14">
        <f ca="1">OFFSET('RES Assumptions T15'!$D8,0,MATCH(VLOOKUP('RES Assumptions'!K$2,'RES Assumptions T15'!$V$3:$W$35,2,FALSE),'RES Assumptions T15'!$E$2:$S$2,0))</f>
        <v>0</v>
      </c>
      <c r="L8" s="14">
        <f ca="1">OFFSET('RES Assumptions T15'!$D8,0,MATCH(VLOOKUP('RES Assumptions'!L$2,'RES Assumptions T15'!$V$3:$W$35,2,FALSE),'RES Assumptions T15'!$E$2:$S$2,0))</f>
        <v>0</v>
      </c>
      <c r="M8" s="14">
        <f ca="1">OFFSET('RES Assumptions T15'!$D8,0,MATCH(VLOOKUP('RES Assumptions'!M$2,'RES Assumptions T15'!$V$3:$W$35,2,FALSE),'RES Assumptions T15'!$E$2:$S$2,0))</f>
        <v>0</v>
      </c>
      <c r="N8" s="14">
        <f ca="1">OFFSET('RES Assumptions T15'!$D8,0,MATCH(VLOOKUP('RES Assumptions'!N$2,'RES Assumptions T15'!$V$3:$W$35,2,FALSE),'RES Assumptions T15'!$E$2:$S$2,0))</f>
        <v>0</v>
      </c>
      <c r="O8" s="14">
        <f ca="1">OFFSET('RES Assumptions T15'!$D8,0,MATCH(VLOOKUP('RES Assumptions'!O$2,'RES Assumptions T15'!$V$3:$W$35,2,FALSE),'RES Assumptions T15'!$E$2:$S$2,0))</f>
        <v>1.07143930924964E-4</v>
      </c>
      <c r="P8" s="14">
        <f ca="1">OFFSET('RES Assumptions T15'!$D8,0,MATCH(VLOOKUP('RES Assumptions'!P$2,'RES Assumptions T15'!$V$3:$W$35,2,FALSE),'RES Assumptions T15'!$E$2:$S$2,0))</f>
        <v>2.3841826857116701E-2</v>
      </c>
      <c r="Q8" s="14">
        <f ca="1">OFFSET('RES Assumptions T15'!$D8,0,MATCH(VLOOKUP('RES Assumptions'!Q$2,'RES Assumptions T15'!$V$3:$W$35,2,FALSE),'RES Assumptions T15'!$E$2:$S$2,0))</f>
        <v>1.07143930924964E-4</v>
      </c>
      <c r="R8" s="14">
        <f ca="1">OFFSET('RES Assumptions T15'!$D8,0,MATCH(VLOOKUP('RES Assumptions'!R$2,'RES Assumptions T15'!$V$3:$W$35,2,FALSE),'RES Assumptions T15'!$E$2:$S$2,0))</f>
        <v>1.07143930924964E-4</v>
      </c>
      <c r="S8" s="14">
        <f ca="1">OFFSET('RES Assumptions T15'!$D8,0,MATCH(VLOOKUP('RES Assumptions'!S$2,'RES Assumptions T15'!$V$3:$W$35,2,FALSE),'RES Assumptions T15'!$E$2:$S$2,0))</f>
        <v>2.3841826857116701E-2</v>
      </c>
      <c r="T8" s="14">
        <f ca="1">OFFSET('RES Assumptions T15'!$D8,0,MATCH(VLOOKUP('RES Assumptions'!T$2,'RES Assumptions T15'!$V$3:$W$35,2,FALSE),'RES Assumptions T15'!$E$2:$S$2,0))</f>
        <v>1.07143930924964E-4</v>
      </c>
      <c r="U8" s="14">
        <f ca="1">OFFSET('RES Assumptions T15'!$D8,0,MATCH(VLOOKUP('RES Assumptions'!U$2,'RES Assumptions T15'!$V$3:$W$35,2,FALSE),'RES Assumptions T15'!$E$2:$S$2,0))</f>
        <v>0</v>
      </c>
      <c r="V8" s="14">
        <f ca="1">OFFSET('RES Assumptions T15'!$D8,0,MATCH(VLOOKUP('RES Assumptions'!V$2,'RES Assumptions T15'!$V$3:$W$35,2,FALSE),'RES Assumptions T15'!$E$2:$S$2,0))</f>
        <v>1.07143930924964E-4</v>
      </c>
      <c r="W8" s="14">
        <f ca="1">OFFSET('RES Assumptions T15'!$D8,0,MATCH(VLOOKUP('RES Assumptions'!W$2,'RES Assumptions T15'!$V$3:$W$35,2,FALSE),'RES Assumptions T15'!$E$2:$S$2,0))</f>
        <v>1.07143930924964E-4</v>
      </c>
      <c r="X8" s="14">
        <f ca="1">OFFSET('RES Assumptions T15'!$D8,0,MATCH(VLOOKUP('RES Assumptions'!X$2,'RES Assumptions T15'!$V$3:$W$35,2,FALSE),'RES Assumptions T15'!$E$2:$S$2,0))</f>
        <v>0</v>
      </c>
      <c r="Y8" s="14">
        <f ca="1">OFFSET('RES Assumptions T15'!$D8,0,MATCH(VLOOKUP('RES Assumptions'!Y$2,'RES Assumptions T15'!$V$3:$W$35,2,FALSE),'RES Assumptions T15'!$E$2:$S$2,0))</f>
        <v>0</v>
      </c>
      <c r="Z8" s="14">
        <f ca="1">OFFSET('RES Assumptions T15'!$D8,0,MATCH(VLOOKUP('RES Assumptions'!Z$2,'RES Assumptions T15'!$V$3:$W$35,2,FALSE),'RES Assumptions T15'!$E$2:$S$2,0))</f>
        <v>0</v>
      </c>
      <c r="AA8" s="14">
        <f ca="1">OFFSET('RES Assumptions T15'!$D8,0,MATCH(VLOOKUP('RES Assumptions'!AA$2,'RES Assumptions T15'!$V$3:$W$35,2,FALSE),'RES Assumptions T15'!$E$2:$S$2,0))</f>
        <v>0</v>
      </c>
      <c r="AB8" s="14">
        <f ca="1">OFFSET('RES Assumptions T15'!$D8,0,MATCH(VLOOKUP('RES Assumptions'!AB$2,'RES Assumptions T15'!$V$3:$W$35,2,FALSE),'RES Assumptions T15'!$E$2:$S$2,0))</f>
        <v>1.07143930924964E-4</v>
      </c>
      <c r="AC8" s="14">
        <f ca="1">OFFSET('RES Assumptions T15'!$D8,0,MATCH(VLOOKUP('RES Assumptions'!AC$2,'RES Assumptions T15'!$V$3:$W$35,2,FALSE),'RES Assumptions T15'!$E$2:$S$2,0))</f>
        <v>2.3841826857116701E-2</v>
      </c>
      <c r="AD8" s="14">
        <f ca="1">OFFSET('RES Assumptions T15'!$D8,0,MATCH(VLOOKUP('RES Assumptions'!AD$2,'RES Assumptions T15'!$V$3:$W$35,2,FALSE),'RES Assumptions T15'!$E$2:$S$2,0))</f>
        <v>0</v>
      </c>
      <c r="AE8" s="14">
        <f ca="1">OFFSET('RES Assumptions T15'!$D8,0,MATCH(VLOOKUP('RES Assumptions'!AE$2,'RES Assumptions T15'!$V$3:$W$35,2,FALSE),'RES Assumptions T15'!$E$2:$S$2,0))</f>
        <v>0</v>
      </c>
      <c r="AF8" s="14">
        <f ca="1">OFFSET('RES Assumptions T15'!$D8,0,MATCH(VLOOKUP('RES Assumptions'!AF$2,'RES Assumptions T15'!$V$3:$W$35,2,FALSE),'RES Assumptions T15'!$E$2:$S$2,0))</f>
        <v>1.07143930924964E-4</v>
      </c>
      <c r="AG8" s="14">
        <f ca="1">OFFSET('RES Assumptions T15'!$D8,0,MATCH(VLOOKUP('RES Assumptions'!AG$2,'RES Assumptions T15'!$V$3:$W$35,2,FALSE),'RES Assumptions T15'!$E$2:$S$2,0))</f>
        <v>0</v>
      </c>
      <c r="AH8" s="14">
        <f ca="1">OFFSET('RES Assumptions T15'!$D8,0,MATCH(VLOOKUP('RES Assumptions'!AH$2,'RES Assumptions T15'!$V$3:$W$35,2,FALSE),'RES Assumptions T15'!$E$2:$S$2,0))</f>
        <v>0</v>
      </c>
      <c r="AK8" s="10">
        <f ca="1">IFERROR(SUMIFS('RES balance'!E$5:E$25,'RES balance'!$D$5:$D$25,'RES Assumptions'!$A8)*E8,"")</f>
        <v>0</v>
      </c>
      <c r="AL8" s="10">
        <f ca="1">IFERROR(SUMIFS('RES balance'!F$5:F$25,'RES balance'!$D$5:$D$25,'RES Assumptions'!$A8)*F8,"")</f>
        <v>0</v>
      </c>
      <c r="AM8" s="10">
        <f ca="1">IFERROR(SUMIFS('RES balance'!G$5:G$25,'RES balance'!$D$5:$D$25,'RES Assumptions'!$A8)*G8,"")</f>
        <v>0</v>
      </c>
      <c r="AN8" s="10">
        <f ca="1">IFERROR(SUMIFS('RES balance'!H$5:H$25,'RES balance'!$D$5:$D$25,'RES Assumptions'!$A8)*H8,"")</f>
        <v>14.699528461026329</v>
      </c>
      <c r="AO8" s="10">
        <f ca="1">IFERROR(SUMIFS('RES balance'!I$5:I$25,'RES balance'!$D$5:$D$25,'RES Assumptions'!$A8)*I8,"")</f>
        <v>0</v>
      </c>
      <c r="AP8" s="10">
        <f ca="1">IFERROR(SUMIFS('RES balance'!J$5:J$25,'RES balance'!$D$5:$D$25,'RES Assumptions'!$A8)*J8,"")</f>
        <v>0</v>
      </c>
      <c r="AQ8" s="10">
        <f ca="1">IFERROR(SUMIFS('RES balance'!K$5:K$25,'RES balance'!$D$5:$D$25,'RES Assumptions'!$A8)*K8,"")</f>
        <v>0</v>
      </c>
      <c r="AR8" s="10">
        <f ca="1">IFERROR(SUMIFS('RES balance'!L$5:L$25,'RES balance'!$D$5:$D$25,'RES Assumptions'!$A8)*L8,"")</f>
        <v>0</v>
      </c>
      <c r="AS8" s="10">
        <f ca="1">IFERROR(SUMIFS('RES balance'!M$5:M$25,'RES balance'!$D$5:$D$25,'RES Assumptions'!$A8)*M8,"")</f>
        <v>0</v>
      </c>
      <c r="AT8" s="10">
        <f ca="1">IFERROR(SUMIFS('RES balance'!N$5:N$25,'RES balance'!$D$5:$D$25,'RES Assumptions'!$A8)*N8,"")</f>
        <v>0</v>
      </c>
      <c r="AU8" s="10">
        <f ca="1">IFERROR(SUMIFS('RES balance'!O$5:O$25,'RES balance'!$D$5:$D$25,'RES Assumptions'!$A8)*O8,"")</f>
        <v>3.0865801164777062E-3</v>
      </c>
      <c r="AV8" s="10">
        <f ca="1">IFERROR(SUMIFS('RES balance'!P$5:P$25,'RES balance'!$D$5:$D$25,'RES Assumptions'!$A8)*P8,"")</f>
        <v>8.2949903687495397</v>
      </c>
      <c r="AW8" s="10">
        <f ca="1">IFERROR(SUMIFS('RES balance'!Q$5:Q$25,'RES balance'!$D$5:$D$25,'RES Assumptions'!$A8)*Q8,"")</f>
        <v>4.7902000839271222E-2</v>
      </c>
      <c r="AX8" s="10">
        <f ca="1">IFERROR(SUMIFS('RES balance'!R$5:R$25,'RES balance'!$D$5:$D$25,'RES Assumptions'!$A8)*R8,"")</f>
        <v>7.406682377648921E-2</v>
      </c>
      <c r="AY8" s="10">
        <f ca="1">IFERROR(SUMIFS('RES balance'!S$5:S$25,'RES balance'!$D$5:$D$25,'RES Assumptions'!$A8)*S8,"")</f>
        <v>5.9307027654054911</v>
      </c>
      <c r="AZ8" s="10">
        <f ca="1">IFERROR(SUMIFS('RES balance'!T$5:T$25,'RES balance'!$D$5:$D$25,'RES Assumptions'!$A8)*T8,"")</f>
        <v>1.6783225748780543E-2</v>
      </c>
      <c r="BA8" s="10">
        <f ca="1">IFERROR(SUMIFS('RES balance'!U$5:U$25,'RES balance'!$D$5:$D$25,'RES Assumptions'!$A8)*U8,"")</f>
        <v>0</v>
      </c>
      <c r="BB8" s="10">
        <f ca="1">IFERROR(SUMIFS('RES balance'!V$5:V$25,'RES balance'!$D$5:$D$25,'RES Assumptions'!$A8)*V8,"")</f>
        <v>5.0973123434292868E-2</v>
      </c>
      <c r="BC8" s="10">
        <f ca="1">IFERROR(SUMIFS('RES balance'!W$5:W$25,'RES balance'!$D$5:$D$25,'RES Assumptions'!$A8)*W8,"")</f>
        <v>0.1016958572710719</v>
      </c>
      <c r="BD8" s="10">
        <f ca="1">IFERROR(SUMIFS('RES balance'!X$5:X$25,'RES balance'!$D$5:$D$25,'RES Assumptions'!$A8)*X8,"")</f>
        <v>0</v>
      </c>
      <c r="BE8" s="10">
        <f ca="1">IFERROR(SUMIFS('RES balance'!Y$5:Y$25,'RES balance'!$D$5:$D$25,'RES Assumptions'!$A8)*Y8,"")</f>
        <v>0</v>
      </c>
      <c r="BF8" s="10">
        <f ca="1">IFERROR(SUMIFS('RES balance'!Z$5:Z$25,'RES balance'!$D$5:$D$25,'RES Assumptions'!$A8)*Z8,"")</f>
        <v>0</v>
      </c>
      <c r="BG8" s="10">
        <f ca="1">IFERROR(SUMIFS('RES balance'!AA$5:AA$25,'RES balance'!$D$5:$D$25,'RES Assumptions'!$A8)*AA8,"")</f>
        <v>0</v>
      </c>
      <c r="BH8" s="10">
        <f ca="1">IFERROR(SUMIFS('RES balance'!AB$5:AB$25,'RES balance'!$D$5:$D$25,'RES Assumptions'!$A8)*AB8,"")</f>
        <v>6.9437278605379802E-6</v>
      </c>
      <c r="BI8" s="10">
        <f ca="1">IFERROR(SUMIFS('RES balance'!AC$5:AC$25,'RES balance'!$D$5:$D$25,'RES Assumptions'!$A8)*AC8,"")</f>
        <v>64.879726536800732</v>
      </c>
      <c r="BJ8" s="10">
        <f ca="1">IFERROR(SUMIFS('RES balance'!AD$5:AD$25,'RES balance'!$D$5:$D$25,'RES Assumptions'!$A8)*AD8,"")</f>
        <v>0</v>
      </c>
      <c r="BK8" s="10">
        <f ca="1">IFERROR(SUMIFS('RES balance'!AE$5:AE$25,'RES balance'!$D$5:$D$25,'RES Assumptions'!$A8)*AE8,"")</f>
        <v>0</v>
      </c>
      <c r="BL8" s="10">
        <f ca="1">IFERROR(SUMIFS('RES balance'!AF$5:AF$25,'RES balance'!$D$5:$D$25,'RES Assumptions'!$A8)*AF8,"")</f>
        <v>0.10236554727800105</v>
      </c>
      <c r="BM8" s="10">
        <f ca="1">IFERROR(SUMIFS('RES balance'!AG$5:AG$25,'RES balance'!$D$5:$D$25,'RES Assumptions'!$A8)*AG8,"")</f>
        <v>0</v>
      </c>
      <c r="BN8" s="10">
        <f ca="1">IFERROR(SUMIFS('RES balance'!AH$5:AH$25,'RES balance'!$D$5:$D$25,'RES Assumptions'!$A8)*AH8,"")</f>
        <v>0</v>
      </c>
    </row>
    <row r="9" spans="1:66" x14ac:dyDescent="0.45">
      <c r="A9" s="8" t="str">
        <f>VLOOKUP(C9,'RES balance'!$AL$5:$AM$25,2,FALSE)</f>
        <v>RESOIL</v>
      </c>
      <c r="B9" s="36"/>
      <c r="C9" s="20" t="s">
        <v>72</v>
      </c>
      <c r="D9" s="21" t="s">
        <v>62</v>
      </c>
      <c r="E9" s="14">
        <f ca="1">OFFSET('RES Assumptions T15'!$D9,0,MATCH(VLOOKUP('RES Assumptions'!E$2,'RES Assumptions T15'!$V$3:$W$35,2,FALSE),'RES Assumptions T15'!$E$2:$S$2,0))</f>
        <v>1.11994966344176E-2</v>
      </c>
      <c r="F9" s="14">
        <f ca="1">OFFSET('RES Assumptions T15'!$D9,0,MATCH(VLOOKUP('RES Assumptions'!F$2,'RES Assumptions T15'!$V$3:$W$35,2,FALSE),'RES Assumptions T15'!$E$2:$S$2,0))</f>
        <v>1.11994966344176E-2</v>
      </c>
      <c r="G9" s="14">
        <f ca="1">OFFSET('RES Assumptions T15'!$D9,0,MATCH(VLOOKUP('RES Assumptions'!G$2,'RES Assumptions T15'!$V$3:$W$35,2,FALSE),'RES Assumptions T15'!$E$2:$S$2,0))</f>
        <v>2.8907422966084801E-2</v>
      </c>
      <c r="H9" s="14">
        <f ca="1">OFFSET('RES Assumptions T15'!$D9,0,MATCH(VLOOKUP('RES Assumptions'!H$2,'RES Assumptions T15'!$V$3:$W$35,2,FALSE),'RES Assumptions T15'!$E$2:$S$2,0))</f>
        <v>0.74195819027563203</v>
      </c>
      <c r="I9" s="14">
        <f ca="1">OFFSET('RES Assumptions T15'!$D9,0,MATCH(VLOOKUP('RES Assumptions'!I$2,'RES Assumptions T15'!$V$3:$W$35,2,FALSE),'RES Assumptions T15'!$E$2:$S$2,0))</f>
        <v>0.54377694288475398</v>
      </c>
      <c r="J9" s="14">
        <f ca="1">OFFSET('RES Assumptions T15'!$D9,0,MATCH(VLOOKUP('RES Assumptions'!J$2,'RES Assumptions T15'!$V$3:$W$35,2,FALSE),'RES Assumptions T15'!$E$2:$S$2,0))</f>
        <v>0</v>
      </c>
      <c r="K9" s="14">
        <f ca="1">OFFSET('RES Assumptions T15'!$D9,0,MATCH(VLOOKUP('RES Assumptions'!K$2,'RES Assumptions T15'!$V$3:$W$35,2,FALSE),'RES Assumptions T15'!$E$2:$S$2,0))</f>
        <v>0.28924650964510301</v>
      </c>
      <c r="L9" s="14">
        <f ca="1">OFFSET('RES Assumptions T15'!$D9,0,MATCH(VLOOKUP('RES Assumptions'!L$2,'RES Assumptions T15'!$V$3:$W$35,2,FALSE),'RES Assumptions T15'!$E$2:$S$2,0))</f>
        <v>2.8907422966084801E-2</v>
      </c>
      <c r="M9" s="14">
        <f ca="1">OFFSET('RES Assumptions T15'!$D9,0,MATCH(VLOOKUP('RES Assumptions'!M$2,'RES Assumptions T15'!$V$3:$W$35,2,FALSE),'RES Assumptions T15'!$E$2:$S$2,0))</f>
        <v>0.87110070437297604</v>
      </c>
      <c r="N9" s="14">
        <f ca="1">OFFSET('RES Assumptions T15'!$D9,0,MATCH(VLOOKUP('RES Assumptions'!N$2,'RES Assumptions T15'!$V$3:$W$35,2,FALSE),'RES Assumptions T15'!$E$2:$S$2,0))</f>
        <v>0</v>
      </c>
      <c r="O9" s="14">
        <f ca="1">OFFSET('RES Assumptions T15'!$D9,0,MATCH(VLOOKUP('RES Assumptions'!O$2,'RES Assumptions T15'!$V$3:$W$35,2,FALSE),'RES Assumptions T15'!$E$2:$S$2,0))</f>
        <v>0.82458358028349898</v>
      </c>
      <c r="P9" s="14">
        <f ca="1">OFFSET('RES Assumptions T15'!$D9,0,MATCH(VLOOKUP('RES Assumptions'!P$2,'RES Assumptions T15'!$V$3:$W$35,2,FALSE),'RES Assumptions T15'!$E$2:$S$2,0))</f>
        <v>0.27814100468562702</v>
      </c>
      <c r="Q9" s="14">
        <f ca="1">OFFSET('RES Assumptions T15'!$D9,0,MATCH(VLOOKUP('RES Assumptions'!Q$2,'RES Assumptions T15'!$V$3:$W$35,2,FALSE),'RES Assumptions T15'!$E$2:$S$2,0))</f>
        <v>0.82458358028349898</v>
      </c>
      <c r="R9" s="14">
        <f ca="1">OFFSET('RES Assumptions T15'!$D9,0,MATCH(VLOOKUP('RES Assumptions'!R$2,'RES Assumptions T15'!$V$3:$W$35,2,FALSE),'RES Assumptions T15'!$E$2:$S$2,0))</f>
        <v>0.82458358028349898</v>
      </c>
      <c r="S9" s="14">
        <f ca="1">OFFSET('RES Assumptions T15'!$D9,0,MATCH(VLOOKUP('RES Assumptions'!S$2,'RES Assumptions T15'!$V$3:$W$35,2,FALSE),'RES Assumptions T15'!$E$2:$S$2,0))</f>
        <v>0.27814100468562702</v>
      </c>
      <c r="T9" s="14">
        <f ca="1">OFFSET('RES Assumptions T15'!$D9,0,MATCH(VLOOKUP('RES Assumptions'!T$2,'RES Assumptions T15'!$V$3:$W$35,2,FALSE),'RES Assumptions T15'!$E$2:$S$2,0))</f>
        <v>0.82458358028349898</v>
      </c>
      <c r="U9" s="14">
        <f ca="1">OFFSET('RES Assumptions T15'!$D9,0,MATCH(VLOOKUP('RES Assumptions'!U$2,'RES Assumptions T15'!$V$3:$W$35,2,FALSE),'RES Assumptions T15'!$E$2:$S$2,0))</f>
        <v>0.36444122803811602</v>
      </c>
      <c r="V9" s="14">
        <f ca="1">OFFSET('RES Assumptions T15'!$D9,0,MATCH(VLOOKUP('RES Assumptions'!V$2,'RES Assumptions T15'!$V$3:$W$35,2,FALSE),'RES Assumptions T15'!$E$2:$S$2,0))</f>
        <v>0.82458358028349898</v>
      </c>
      <c r="W9" s="14">
        <f ca="1">OFFSET('RES Assumptions T15'!$D9,0,MATCH(VLOOKUP('RES Assumptions'!W$2,'RES Assumptions T15'!$V$3:$W$35,2,FALSE),'RES Assumptions T15'!$E$2:$S$2,0))</f>
        <v>0.82458358028349898</v>
      </c>
      <c r="X9" s="14">
        <f ca="1">OFFSET('RES Assumptions T15'!$D9,0,MATCH(VLOOKUP('RES Assumptions'!X$2,'RES Assumptions T15'!$V$3:$W$35,2,FALSE),'RES Assumptions T15'!$E$2:$S$2,0))</f>
        <v>0</v>
      </c>
      <c r="Y9" s="14">
        <f ca="1">OFFSET('RES Assumptions T15'!$D9,0,MATCH(VLOOKUP('RES Assumptions'!Y$2,'RES Assumptions T15'!$V$3:$W$35,2,FALSE),'RES Assumptions T15'!$E$2:$S$2,0))</f>
        <v>2.8907422966084801E-2</v>
      </c>
      <c r="Z9" s="14">
        <f ca="1">OFFSET('RES Assumptions T15'!$D9,0,MATCH(VLOOKUP('RES Assumptions'!Z$2,'RES Assumptions T15'!$V$3:$W$35,2,FALSE),'RES Assumptions T15'!$E$2:$S$2,0))</f>
        <v>1.8289276077225299E-2</v>
      </c>
      <c r="AA9" s="14">
        <f ca="1">OFFSET('RES Assumptions T15'!$D9,0,MATCH(VLOOKUP('RES Assumptions'!AA$2,'RES Assumptions T15'!$V$3:$W$35,2,FALSE),'RES Assumptions T15'!$E$2:$S$2,0))</f>
        <v>0.36444122803811602</v>
      </c>
      <c r="AB9" s="14">
        <f ca="1">OFFSET('RES Assumptions T15'!$D9,0,MATCH(VLOOKUP('RES Assumptions'!AB$2,'RES Assumptions T15'!$V$3:$W$35,2,FALSE),'RES Assumptions T15'!$E$2:$S$2,0))</f>
        <v>0.82458358028349898</v>
      </c>
      <c r="AC9" s="14">
        <f ca="1">OFFSET('RES Assumptions T15'!$D9,0,MATCH(VLOOKUP('RES Assumptions'!AC$2,'RES Assumptions T15'!$V$3:$W$35,2,FALSE),'RES Assumptions T15'!$E$2:$S$2,0))</f>
        <v>0.74195819027563203</v>
      </c>
      <c r="AD9" s="14">
        <f ca="1">OFFSET('RES Assumptions T15'!$D9,0,MATCH(VLOOKUP('RES Assumptions'!AD$2,'RES Assumptions T15'!$V$3:$W$35,2,FALSE),'RES Assumptions T15'!$E$2:$S$2,0))</f>
        <v>0.36444122803811602</v>
      </c>
      <c r="AE9" s="14">
        <f ca="1">OFFSET('RES Assumptions T15'!$D9,0,MATCH(VLOOKUP('RES Assumptions'!AE$2,'RES Assumptions T15'!$V$3:$W$35,2,FALSE),'RES Assumptions T15'!$E$2:$S$2,0))</f>
        <v>1.11994966344176E-2</v>
      </c>
      <c r="AF9" s="14">
        <f ca="1">OFFSET('RES Assumptions T15'!$D9,0,MATCH(VLOOKUP('RES Assumptions'!AF$2,'RES Assumptions T15'!$V$3:$W$35,2,FALSE),'RES Assumptions T15'!$E$2:$S$2,0))</f>
        <v>0.82458358028349898</v>
      </c>
      <c r="AG9" s="14">
        <f ca="1">OFFSET('RES Assumptions T15'!$D9,0,MATCH(VLOOKUP('RES Assumptions'!AG$2,'RES Assumptions T15'!$V$3:$W$35,2,FALSE),'RES Assumptions T15'!$E$2:$S$2,0))</f>
        <v>0.83153081316014898</v>
      </c>
      <c r="AH9" s="14">
        <f ca="1">OFFSET('RES Assumptions T15'!$D9,0,MATCH(VLOOKUP('RES Assumptions'!AH$2,'RES Assumptions T15'!$V$3:$W$35,2,FALSE),'RES Assumptions T15'!$E$2:$S$2,0))</f>
        <v>0.83153081316014898</v>
      </c>
      <c r="AK9" s="10">
        <f ca="1">IFERROR(SUMIFS('RES balance'!E$5:E$25,'RES balance'!$D$5:$D$25,'RES Assumptions'!$A9)*E9,"")</f>
        <v>4.0239636361631024E-3</v>
      </c>
      <c r="AL9" s="10">
        <f ca="1">IFERROR(SUMIFS('RES balance'!F$5:F$25,'RES balance'!$D$5:$D$25,'RES Assumptions'!$A9)*F9,"")</f>
        <v>0.17029055680680874</v>
      </c>
      <c r="AM9" s="10">
        <f ca="1">IFERROR(SUMIFS('RES balance'!G$5:G$25,'RES balance'!$D$5:$D$25,'RES Assumptions'!$A9)*G9,"")</f>
        <v>0</v>
      </c>
      <c r="AN9" s="10">
        <f ca="1">IFERROR(SUMIFS('RES balance'!H$5:H$25,'RES balance'!$D$5:$D$25,'RES Assumptions'!$A9)*H9,"")</f>
        <v>78.22072894728197</v>
      </c>
      <c r="AO9" s="10">
        <f ca="1">IFERROR(SUMIFS('RES balance'!I$5:I$25,'RES balance'!$D$5:$D$25,'RES Assumptions'!$A9)*I9,"")</f>
        <v>16.990966174447298</v>
      </c>
      <c r="AP9" s="10">
        <f ca="1">IFERROR(SUMIFS('RES balance'!J$5:J$25,'RES balance'!$D$5:$D$25,'RES Assumptions'!$A9)*J9,"")</f>
        <v>0</v>
      </c>
      <c r="AQ9" s="10">
        <f ca="1">IFERROR(SUMIFS('RES balance'!K$5:K$25,'RES balance'!$D$5:$D$25,'RES Assumptions'!$A9)*K9,"")</f>
        <v>3.5198217434509238E-2</v>
      </c>
      <c r="AR9" s="10">
        <f ca="1">IFERROR(SUMIFS('RES balance'!L$5:L$25,'RES balance'!$D$5:$D$25,'RES Assumptions'!$A9)*L9,"")</f>
        <v>0</v>
      </c>
      <c r="AS9" s="10">
        <f ca="1">IFERROR(SUMIFS('RES balance'!M$5:M$25,'RES balance'!$D$5:$D$25,'RES Assumptions'!$A9)*M9,"")</f>
        <v>42.897875071269709</v>
      </c>
      <c r="AT9" s="10">
        <f ca="1">IFERROR(SUMIFS('RES balance'!N$5:N$25,'RES balance'!$D$5:$D$25,'RES Assumptions'!$A9)*N9,"")</f>
        <v>0</v>
      </c>
      <c r="AU9" s="10">
        <f ca="1">IFERROR(SUMIFS('RES balance'!O$5:O$25,'RES balance'!$D$5:$D$25,'RES Assumptions'!$A9)*O9,"")</f>
        <v>22.725962230237965</v>
      </c>
      <c r="AV9" s="10">
        <f ca="1">IFERROR(SUMIFS('RES balance'!P$5:P$25,'RES balance'!$D$5:$D$25,'RES Assumptions'!$A9)*P9,"")</f>
        <v>11.886384491329189</v>
      </c>
      <c r="AW9" s="10">
        <f ca="1">IFERROR(SUMIFS('RES balance'!Q$5:Q$25,'RES balance'!$D$5:$D$25,'RES Assumptions'!$A9)*Q9,"")</f>
        <v>88.481406180889323</v>
      </c>
      <c r="AX9" s="10">
        <f ca="1">IFERROR(SUMIFS('RES balance'!R$5:R$25,'RES balance'!$D$5:$D$25,'RES Assumptions'!$A9)*R9,"")</f>
        <v>68.622195906531218</v>
      </c>
      <c r="AY9" s="10">
        <f ca="1">IFERROR(SUMIFS('RES balance'!S$5:S$25,'RES balance'!$D$5:$D$25,'RES Assumptions'!$A9)*S9,"")</f>
        <v>2.0865277398535462</v>
      </c>
      <c r="AZ9" s="10">
        <f ca="1">IFERROR(SUMIFS('RES balance'!T$5:T$25,'RES balance'!$D$5:$D$25,'RES Assumptions'!$A9)*T9,"")</f>
        <v>52.852786765829457</v>
      </c>
      <c r="BA9" s="10">
        <f ca="1">IFERROR(SUMIFS('RES balance'!U$5:U$25,'RES balance'!$D$5:$D$25,'RES Assumptions'!$A9)*U9,"")</f>
        <v>24.443052890942479</v>
      </c>
      <c r="BB9" s="10">
        <f ca="1">IFERROR(SUMIFS('RES balance'!V$5:V$25,'RES balance'!$D$5:$D$25,'RES Assumptions'!$A9)*V9,"")</f>
        <v>116.13462390438544</v>
      </c>
      <c r="BC9" s="10">
        <f ca="1">IFERROR(SUMIFS('RES balance'!W$5:W$25,'RES balance'!$D$5:$D$25,'RES Assumptions'!$A9)*W9,"")</f>
        <v>379.63036475133464</v>
      </c>
      <c r="BD9" s="10">
        <f ca="1">IFERROR(SUMIFS('RES balance'!X$5:X$25,'RES balance'!$D$5:$D$25,'RES Assumptions'!$A9)*X9,"")</f>
        <v>0</v>
      </c>
      <c r="BE9" s="10">
        <f ca="1">IFERROR(SUMIFS('RES balance'!Y$5:Y$25,'RES balance'!$D$5:$D$25,'RES Assumptions'!$A9)*Y9,"")</f>
        <v>3.407152638492332E-2</v>
      </c>
      <c r="BF9" s="10">
        <f ca="1">IFERROR(SUMIFS('RES balance'!Z$5:Z$25,'RES balance'!$D$5:$D$25,'RES Assumptions'!$A9)*Z9,"")</f>
        <v>0</v>
      </c>
      <c r="BG9" s="10">
        <f ca="1">IFERROR(SUMIFS('RES balance'!AA$5:AA$25,'RES balance'!$D$5:$D$25,'RES Assumptions'!$A9)*AA9,"")</f>
        <v>9.0564918770027099</v>
      </c>
      <c r="BH9" s="10">
        <f ca="1">IFERROR(SUMIFS('RES balance'!AB$5:AB$25,'RES balance'!$D$5:$D$25,'RES Assumptions'!$A9)*AB9,"")</f>
        <v>0.31828748022923037</v>
      </c>
      <c r="BI9" s="10">
        <f ca="1">IFERROR(SUMIFS('RES balance'!AC$5:AC$25,'RES balance'!$D$5:$D$25,'RES Assumptions'!$A9)*AC9,"")</f>
        <v>75.287873309706185</v>
      </c>
      <c r="BJ9" s="10">
        <f ca="1">IFERROR(SUMIFS('RES balance'!AD$5:AD$25,'RES balance'!$D$5:$D$25,'RES Assumptions'!$A9)*AD9,"")</f>
        <v>0</v>
      </c>
      <c r="BK9" s="10">
        <f ca="1">IFERROR(SUMIFS('RES balance'!AE$5:AE$25,'RES balance'!$D$5:$D$25,'RES Assumptions'!$A9)*AE9,"")</f>
        <v>2.9028224806734006E-3</v>
      </c>
      <c r="BL9" s="10">
        <f ca="1">IFERROR(SUMIFS('RES balance'!AF$5:AF$25,'RES balance'!$D$5:$D$25,'RES Assumptions'!$A9)*AF9,"")</f>
        <v>5.7296061899428876</v>
      </c>
      <c r="BM9" s="10">
        <f ca="1">IFERROR(SUMIFS('RES balance'!AG$5:AG$25,'RES balance'!$D$5:$D$25,'RES Assumptions'!$A9)*AG9,"")</f>
        <v>344.59701329938872</v>
      </c>
      <c r="BN9" s="10">
        <f ca="1">IFERROR(SUMIFS('RES balance'!AH$5:AH$25,'RES balance'!$D$5:$D$25,'RES Assumptions'!$A9)*AH9,"")</f>
        <v>0</v>
      </c>
    </row>
    <row r="10" spans="1:66" x14ac:dyDescent="0.45">
      <c r="A10" s="8" t="str">
        <f>VLOOKUP(C10,'RES balance'!$AL$5:$AM$25,2,FALSE)</f>
        <v>RESOIL</v>
      </c>
      <c r="B10" s="36"/>
      <c r="C10" s="20" t="s">
        <v>72</v>
      </c>
      <c r="D10" s="21" t="s">
        <v>64</v>
      </c>
      <c r="E10" s="14">
        <f ca="1">OFFSET('RES Assumptions T15'!$D10,0,MATCH(VLOOKUP('RES Assumptions'!E$2,'RES Assumptions T15'!$V$3:$W$35,2,FALSE),'RES Assumptions T15'!$E$2:$S$2,0))</f>
        <v>0.110955598742628</v>
      </c>
      <c r="F10" s="14">
        <f ca="1">OFFSET('RES Assumptions T15'!$D10,0,MATCH(VLOOKUP('RES Assumptions'!F$2,'RES Assumptions T15'!$V$3:$W$35,2,FALSE),'RES Assumptions T15'!$E$2:$S$2,0))</f>
        <v>0.110955598742628</v>
      </c>
      <c r="G10" s="14">
        <f ca="1">OFFSET('RES Assumptions T15'!$D10,0,MATCH(VLOOKUP('RES Assumptions'!G$2,'RES Assumptions T15'!$V$3:$W$35,2,FALSE),'RES Assumptions T15'!$E$2:$S$2,0))</f>
        <v>0.14250342330351601</v>
      </c>
      <c r="H10" s="14">
        <f ca="1">OFFSET('RES Assumptions T15'!$D10,0,MATCH(VLOOKUP('RES Assumptions'!H$2,'RES Assumptions T15'!$V$3:$W$35,2,FALSE),'RES Assumptions T15'!$E$2:$S$2,0))</f>
        <v>9.6822342220246896E-2</v>
      </c>
      <c r="I10" s="14">
        <f ca="1">OFFSET('RES Assumptions T15'!$D10,0,MATCH(VLOOKUP('RES Assumptions'!I$2,'RES Assumptions T15'!$V$3:$W$35,2,FALSE),'RES Assumptions T15'!$E$2:$S$2,0))</f>
        <v>0.34868853280258</v>
      </c>
      <c r="J10" s="14">
        <f ca="1">OFFSET('RES Assumptions T15'!$D10,0,MATCH(VLOOKUP('RES Assumptions'!J$2,'RES Assumptions T15'!$V$3:$W$35,2,FALSE),'RES Assumptions T15'!$E$2:$S$2,0))</f>
        <v>9.8003347400173801E-2</v>
      </c>
      <c r="K10" s="14">
        <f ca="1">OFFSET('RES Assumptions T15'!$D10,0,MATCH(VLOOKUP('RES Assumptions'!K$2,'RES Assumptions T15'!$V$3:$W$35,2,FALSE),'RES Assumptions T15'!$E$2:$S$2,0))</f>
        <v>0.46648193541511201</v>
      </c>
      <c r="L10" s="14">
        <f ca="1">OFFSET('RES Assumptions T15'!$D10,0,MATCH(VLOOKUP('RES Assumptions'!L$2,'RES Assumptions T15'!$V$3:$W$35,2,FALSE),'RES Assumptions T15'!$E$2:$S$2,0))</f>
        <v>0.14250342330351601</v>
      </c>
      <c r="M10" s="14">
        <f ca="1">OFFSET('RES Assumptions T15'!$D10,0,MATCH(VLOOKUP('RES Assumptions'!M$2,'RES Assumptions T15'!$V$3:$W$35,2,FALSE),'RES Assumptions T15'!$E$2:$S$2,0))</f>
        <v>0.12889929562702299</v>
      </c>
      <c r="N10" s="14">
        <f ca="1">OFFSET('RES Assumptions T15'!$D10,0,MATCH(VLOOKUP('RES Assumptions'!N$2,'RES Assumptions T15'!$V$3:$W$35,2,FALSE),'RES Assumptions T15'!$E$2:$S$2,0))</f>
        <v>0.69062770767757298</v>
      </c>
      <c r="O10" s="14">
        <f ca="1">OFFSET('RES Assumptions T15'!$D10,0,MATCH(VLOOKUP('RES Assumptions'!O$2,'RES Assumptions T15'!$V$3:$W$35,2,FALSE),'RES Assumptions T15'!$E$2:$S$2,0))</f>
        <v>0.141090346718032</v>
      </c>
      <c r="P10" s="14">
        <f ca="1">OFFSET('RES Assumptions T15'!$D10,0,MATCH(VLOOKUP('RES Assumptions'!P$2,'RES Assumptions T15'!$V$3:$W$35,2,FALSE),'RES Assumptions T15'!$E$2:$S$2,0))</f>
        <v>7.0611310885910397E-2</v>
      </c>
      <c r="Q10" s="14">
        <f ca="1">OFFSET('RES Assumptions T15'!$D10,0,MATCH(VLOOKUP('RES Assumptions'!Q$2,'RES Assumptions T15'!$V$3:$W$35,2,FALSE),'RES Assumptions T15'!$E$2:$S$2,0))</f>
        <v>0.141090346718032</v>
      </c>
      <c r="R10" s="14">
        <f ca="1">OFFSET('RES Assumptions T15'!$D10,0,MATCH(VLOOKUP('RES Assumptions'!R$2,'RES Assumptions T15'!$V$3:$W$35,2,FALSE),'RES Assumptions T15'!$E$2:$S$2,0))</f>
        <v>0.141090346718032</v>
      </c>
      <c r="S10" s="14">
        <f ca="1">OFFSET('RES Assumptions T15'!$D10,0,MATCH(VLOOKUP('RES Assumptions'!S$2,'RES Assumptions T15'!$V$3:$W$35,2,FALSE),'RES Assumptions T15'!$E$2:$S$2,0))</f>
        <v>7.0611310885910397E-2</v>
      </c>
      <c r="T10" s="14">
        <f ca="1">OFFSET('RES Assumptions T15'!$D10,0,MATCH(VLOOKUP('RES Assumptions'!T$2,'RES Assumptions T15'!$V$3:$W$35,2,FALSE),'RES Assumptions T15'!$E$2:$S$2,0))</f>
        <v>0.141090346718032</v>
      </c>
      <c r="U10" s="14">
        <f ca="1">OFFSET('RES Assumptions T15'!$D10,0,MATCH(VLOOKUP('RES Assumptions'!U$2,'RES Assumptions T15'!$V$3:$W$35,2,FALSE),'RES Assumptions T15'!$E$2:$S$2,0))</f>
        <v>0.163911059454764</v>
      </c>
      <c r="V10" s="14">
        <f ca="1">OFFSET('RES Assumptions T15'!$D10,0,MATCH(VLOOKUP('RES Assumptions'!V$2,'RES Assumptions T15'!$V$3:$W$35,2,FALSE),'RES Assumptions T15'!$E$2:$S$2,0))</f>
        <v>0.141090346718032</v>
      </c>
      <c r="W10" s="14">
        <f ca="1">OFFSET('RES Assumptions T15'!$D10,0,MATCH(VLOOKUP('RES Assumptions'!W$2,'RES Assumptions T15'!$V$3:$W$35,2,FALSE),'RES Assumptions T15'!$E$2:$S$2,0))</f>
        <v>0.141090346718032</v>
      </c>
      <c r="X10" s="14">
        <f ca="1">OFFSET('RES Assumptions T15'!$D10,0,MATCH(VLOOKUP('RES Assumptions'!X$2,'RES Assumptions T15'!$V$3:$W$35,2,FALSE),'RES Assumptions T15'!$E$2:$S$2,0))</f>
        <v>9.4607929782982603E-2</v>
      </c>
      <c r="Y10" s="14">
        <f ca="1">OFFSET('RES Assumptions T15'!$D10,0,MATCH(VLOOKUP('RES Assumptions'!Y$2,'RES Assumptions T15'!$V$3:$W$35,2,FALSE),'RES Assumptions T15'!$E$2:$S$2,0))</f>
        <v>0.14250342330351601</v>
      </c>
      <c r="Z10" s="14">
        <f ca="1">OFFSET('RES Assumptions T15'!$D10,0,MATCH(VLOOKUP('RES Assumptions'!Z$2,'RES Assumptions T15'!$V$3:$W$35,2,FALSE),'RES Assumptions T15'!$E$2:$S$2,0))</f>
        <v>0.56696888809402401</v>
      </c>
      <c r="AA10" s="14">
        <f ca="1">OFFSET('RES Assumptions T15'!$D10,0,MATCH(VLOOKUP('RES Assumptions'!AA$2,'RES Assumptions T15'!$V$3:$W$35,2,FALSE),'RES Assumptions T15'!$E$2:$S$2,0))</f>
        <v>0.163911059454764</v>
      </c>
      <c r="AB10" s="14">
        <f ca="1">OFFSET('RES Assumptions T15'!$D10,0,MATCH(VLOOKUP('RES Assumptions'!AB$2,'RES Assumptions T15'!$V$3:$W$35,2,FALSE),'RES Assumptions T15'!$E$2:$S$2,0))</f>
        <v>0.141090346718032</v>
      </c>
      <c r="AC10" s="14">
        <f ca="1">OFFSET('RES Assumptions T15'!$D10,0,MATCH(VLOOKUP('RES Assumptions'!AC$2,'RES Assumptions T15'!$V$3:$W$35,2,FALSE),'RES Assumptions T15'!$E$2:$S$2,0))</f>
        <v>9.6822342220246896E-2</v>
      </c>
      <c r="AD10" s="14">
        <f ca="1">OFFSET('RES Assumptions T15'!$D10,0,MATCH(VLOOKUP('RES Assumptions'!AD$2,'RES Assumptions T15'!$V$3:$W$35,2,FALSE),'RES Assumptions T15'!$E$2:$S$2,0))</f>
        <v>0.163911059454764</v>
      </c>
      <c r="AE10" s="14">
        <f ca="1">OFFSET('RES Assumptions T15'!$D10,0,MATCH(VLOOKUP('RES Assumptions'!AE$2,'RES Assumptions T15'!$V$3:$W$35,2,FALSE),'RES Assumptions T15'!$E$2:$S$2,0))</f>
        <v>0.110955598742628</v>
      </c>
      <c r="AF10" s="14">
        <f ca="1">OFFSET('RES Assumptions T15'!$D10,0,MATCH(VLOOKUP('RES Assumptions'!AF$2,'RES Assumptions T15'!$V$3:$W$35,2,FALSE),'RES Assumptions T15'!$E$2:$S$2,0))</f>
        <v>0.141090346718032</v>
      </c>
      <c r="AG10" s="14">
        <f ca="1">OFFSET('RES Assumptions T15'!$D10,0,MATCH(VLOOKUP('RES Assumptions'!AG$2,'RES Assumptions T15'!$V$3:$W$35,2,FALSE),'RES Assumptions T15'!$E$2:$S$2,0))</f>
        <v>0.14541311487324701</v>
      </c>
      <c r="AH10" s="14">
        <f ca="1">OFFSET('RES Assumptions T15'!$D10,0,MATCH(VLOOKUP('RES Assumptions'!AH$2,'RES Assumptions T15'!$V$3:$W$35,2,FALSE),'RES Assumptions T15'!$E$2:$S$2,0))</f>
        <v>0.14541311487324701</v>
      </c>
      <c r="AK10" s="10">
        <f ca="1">IFERROR(SUMIFS('RES balance'!E$5:E$25,'RES balance'!$D$5:$D$25,'RES Assumptions'!$A10)*E10,"")</f>
        <v>3.9866193021295342E-2</v>
      </c>
      <c r="AL10" s="10">
        <f ca="1">IFERROR(SUMIFS('RES balance'!F$5:F$25,'RES balance'!$D$5:$D$25,'RES Assumptions'!$A10)*F10,"")</f>
        <v>1.6871017785432407</v>
      </c>
      <c r="AM10" s="10">
        <f ca="1">IFERROR(SUMIFS('RES balance'!G$5:G$25,'RES balance'!$D$5:$D$25,'RES Assumptions'!$A10)*G10,"")</f>
        <v>0</v>
      </c>
      <c r="AN10" s="10">
        <f ca="1">IFERROR(SUMIFS('RES balance'!H$5:H$25,'RES balance'!$D$5:$D$25,'RES Assumptions'!$A10)*H10,"")</f>
        <v>10.20746759873006</v>
      </c>
      <c r="AO10" s="10">
        <f ca="1">IFERROR(SUMIFS('RES balance'!I$5:I$25,'RES balance'!$D$5:$D$25,'RES Assumptions'!$A10)*I10,"")</f>
        <v>10.89519359691189</v>
      </c>
      <c r="AP10" s="10">
        <f ca="1">IFERROR(SUMIFS('RES balance'!J$5:J$25,'RES balance'!$D$5:$D$25,'RES Assumptions'!$A10)*J10,"")</f>
        <v>0.30636737906304695</v>
      </c>
      <c r="AQ10" s="10">
        <f ca="1">IFERROR(SUMIFS('RES balance'!K$5:K$25,'RES balance'!$D$5:$D$25,'RES Assumptions'!$A10)*K10,"")</f>
        <v>5.6765879775551482E-2</v>
      </c>
      <c r="AR10" s="10">
        <f ca="1">IFERROR(SUMIFS('RES balance'!L$5:L$25,'RES balance'!$D$5:$D$25,'RES Assumptions'!$A10)*L10,"")</f>
        <v>0</v>
      </c>
      <c r="AS10" s="10">
        <f ca="1">IFERROR(SUMIFS('RES balance'!M$5:M$25,'RES balance'!$D$5:$D$25,'RES Assumptions'!$A10)*M10,"")</f>
        <v>6.3477228899302389</v>
      </c>
      <c r="AT10" s="10">
        <f ca="1">IFERROR(SUMIFS('RES balance'!N$5:N$25,'RES balance'!$D$5:$D$25,'RES Assumptions'!$A10)*N10,"")</f>
        <v>88.006400773012672</v>
      </c>
      <c r="AU10" s="10">
        <f ca="1">IFERROR(SUMIFS('RES balance'!O$5:O$25,'RES balance'!$D$5:$D$25,'RES Assumptions'!$A10)*O10,"")</f>
        <v>3.8885250291580893</v>
      </c>
      <c r="AV10" s="10">
        <f ca="1">IFERROR(SUMIFS('RES balance'!P$5:P$25,'RES balance'!$D$5:$D$25,'RES Assumptions'!$A10)*P10,"")</f>
        <v>3.0175816455950297</v>
      </c>
      <c r="AW10" s="10">
        <f ca="1">IFERROR(SUMIFS('RES balance'!Q$5:Q$25,'RES balance'!$D$5:$D$25,'RES Assumptions'!$A10)*Q10,"")</f>
        <v>15.139608130286357</v>
      </c>
      <c r="AX10" s="10">
        <f ca="1">IFERROR(SUMIFS('RES balance'!R$5:R$25,'RES balance'!$D$5:$D$25,'RES Assumptions'!$A10)*R10,"")</f>
        <v>11.741598601413424</v>
      </c>
      <c r="AY10" s="10">
        <f ca="1">IFERROR(SUMIFS('RES balance'!S$5:S$25,'RES balance'!$D$5:$D$25,'RES Assumptions'!$A10)*S10,"")</f>
        <v>0.52970420192951917</v>
      </c>
      <c r="AZ10" s="10">
        <f ca="1">IFERROR(SUMIFS('RES balance'!T$5:T$25,'RES balance'!$D$5:$D$25,'RES Assumptions'!$A10)*T10,"")</f>
        <v>9.0433743626586693</v>
      </c>
      <c r="BA10" s="10">
        <f ca="1">IFERROR(SUMIFS('RES balance'!U$5:U$25,'RES balance'!$D$5:$D$25,'RES Assumptions'!$A10)*U10,"")</f>
        <v>10.993505639389912</v>
      </c>
      <c r="BB10" s="10">
        <f ca="1">IFERROR(SUMIFS('RES balance'!V$5:V$25,'RES balance'!$D$5:$D$25,'RES Assumptions'!$A10)*V10,"")</f>
        <v>19.871211050557811</v>
      </c>
      <c r="BC10" s="10">
        <f ca="1">IFERROR(SUMIFS('RES balance'!W$5:W$25,'RES balance'!$D$5:$D$25,'RES Assumptions'!$A10)*W10,"")</f>
        <v>64.956641228586705</v>
      </c>
      <c r="BD10" s="10">
        <f ca="1">IFERROR(SUMIFS('RES balance'!X$5:X$25,'RES balance'!$D$5:$D$25,'RES Assumptions'!$A10)*X10,"")</f>
        <v>0</v>
      </c>
      <c r="BE10" s="10">
        <f ca="1">IFERROR(SUMIFS('RES balance'!Y$5:Y$25,'RES balance'!$D$5:$D$25,'RES Assumptions'!$A10)*Y10,"")</f>
        <v>0.16796063601809338</v>
      </c>
      <c r="BF10" s="10">
        <f ca="1">IFERROR(SUMIFS('RES balance'!Z$5:Z$25,'RES balance'!$D$5:$D$25,'RES Assumptions'!$A10)*Z10,"")</f>
        <v>0</v>
      </c>
      <c r="BG10" s="10">
        <f ca="1">IFERROR(SUMIFS('RES balance'!AA$5:AA$25,'RES balance'!$D$5:$D$25,'RES Assumptions'!$A10)*AA10,"")</f>
        <v>4.0732471089898823</v>
      </c>
      <c r="BH10" s="10">
        <f ca="1">IFERROR(SUMIFS('RES balance'!AB$5:AB$25,'RES balance'!$D$5:$D$25,'RES Assumptions'!$A10)*AB10,"")</f>
        <v>5.4460568965139171E-2</v>
      </c>
      <c r="BI10" s="10">
        <f ca="1">IFERROR(SUMIFS('RES balance'!AC$5:AC$25,'RES balance'!$D$5:$D$25,'RES Assumptions'!$A10)*AC10,"")</f>
        <v>9.8247425935401438</v>
      </c>
      <c r="BJ10" s="10">
        <f ca="1">IFERROR(SUMIFS('RES balance'!AD$5:AD$25,'RES balance'!$D$5:$D$25,'RES Assumptions'!$A10)*AD10,"")</f>
        <v>0</v>
      </c>
      <c r="BK10" s="10">
        <f ca="1">IFERROR(SUMIFS('RES balance'!AE$5:AE$25,'RES balance'!$D$5:$D$25,'RES Assumptions'!$A10)*AE10,"")</f>
        <v>2.8758828802793509E-2</v>
      </c>
      <c r="BL10" s="10">
        <f ca="1">IFERROR(SUMIFS('RES balance'!AF$5:AF$25,'RES balance'!$D$5:$D$25,'RES Assumptions'!$A10)*AF10,"")</f>
        <v>0.9803640810054598</v>
      </c>
      <c r="BM10" s="10">
        <f ca="1">IFERROR(SUMIFS('RES balance'!AG$5:AG$25,'RES balance'!$D$5:$D$25,'RES Assumptions'!$A10)*AG10,"")</f>
        <v>60.261056219249319</v>
      </c>
      <c r="BN10" s="10">
        <f ca="1">IFERROR(SUMIFS('RES balance'!AH$5:AH$25,'RES balance'!$D$5:$D$25,'RES Assumptions'!$A10)*AH10,"")</f>
        <v>0</v>
      </c>
    </row>
    <row r="11" spans="1:66" x14ac:dyDescent="0.45">
      <c r="A11" s="8" t="str">
        <f>VLOOKUP(C11,'RES balance'!$AL$5:$AM$25,2,FALSE)</f>
        <v>RESOIL</v>
      </c>
      <c r="B11" s="36"/>
      <c r="C11" s="20" t="s">
        <v>72</v>
      </c>
      <c r="D11" s="21" t="s">
        <v>67</v>
      </c>
      <c r="E11" s="14">
        <f ca="1">OFFSET('RES Assumptions T15'!$D11,0,MATCH(VLOOKUP('RES Assumptions'!E$2,'RES Assumptions T15'!$V$3:$W$35,2,FALSE),'RES Assumptions T15'!$E$2:$S$2,0))</f>
        <v>0.85970762590704897</v>
      </c>
      <c r="F11" s="14">
        <f ca="1">OFFSET('RES Assumptions T15'!$D11,0,MATCH(VLOOKUP('RES Assumptions'!F$2,'RES Assumptions T15'!$V$3:$W$35,2,FALSE),'RES Assumptions T15'!$E$2:$S$2,0))</f>
        <v>0.85970762590704897</v>
      </c>
      <c r="G11" s="14">
        <f ca="1">OFFSET('RES Assumptions T15'!$D11,0,MATCH(VLOOKUP('RES Assumptions'!G$2,'RES Assumptions T15'!$V$3:$W$35,2,FALSE),'RES Assumptions T15'!$E$2:$S$2,0))</f>
        <v>0.70693720634574397</v>
      </c>
      <c r="H11" s="14">
        <f ca="1">OFFSET('RES Assumptions T15'!$D11,0,MATCH(VLOOKUP('RES Assumptions'!H$2,'RES Assumptions T15'!$V$3:$W$35,2,FALSE),'RES Assumptions T15'!$E$2:$S$2,0))</f>
        <v>0.159098093913425</v>
      </c>
      <c r="I11" s="14">
        <f ca="1">OFFSET('RES Assumptions T15'!$D11,0,MATCH(VLOOKUP('RES Assumptions'!I$2,'RES Assumptions T15'!$V$3:$W$35,2,FALSE),'RES Assumptions T15'!$E$2:$S$2,0))</f>
        <v>0.107534524312666</v>
      </c>
      <c r="J11" s="14">
        <f ca="1">OFFSET('RES Assumptions T15'!$D11,0,MATCH(VLOOKUP('RES Assumptions'!J$2,'RES Assumptions T15'!$V$3:$W$35,2,FALSE),'RES Assumptions T15'!$E$2:$S$2,0))</f>
        <v>0.89583576477700899</v>
      </c>
      <c r="K11" s="14">
        <f ca="1">OFFSET('RES Assumptions T15'!$D11,0,MATCH(VLOOKUP('RES Assumptions'!K$2,'RES Assumptions T15'!$V$3:$W$35,2,FALSE),'RES Assumptions T15'!$E$2:$S$2,0))</f>
        <v>0.244271554939785</v>
      </c>
      <c r="L11" s="14">
        <f ca="1">OFFSET('RES Assumptions T15'!$D11,0,MATCH(VLOOKUP('RES Assumptions'!L$2,'RES Assumptions T15'!$V$3:$W$35,2,FALSE),'RES Assumptions T15'!$E$2:$S$2,0))</f>
        <v>0.70693720634574397</v>
      </c>
      <c r="M11" s="14">
        <f ca="1">OFFSET('RES Assumptions T15'!$D11,0,MATCH(VLOOKUP('RES Assumptions'!M$2,'RES Assumptions T15'!$V$3:$W$35,2,FALSE),'RES Assumptions T15'!$E$2:$S$2,0))</f>
        <v>0</v>
      </c>
      <c r="N11" s="14">
        <f ca="1">OFFSET('RES Assumptions T15'!$D11,0,MATCH(VLOOKUP('RES Assumptions'!N$2,'RES Assumptions T15'!$V$3:$W$35,2,FALSE),'RES Assumptions T15'!$E$2:$S$2,0))</f>
        <v>0.30937229232242702</v>
      </c>
      <c r="O11" s="14">
        <f ca="1">OFFSET('RES Assumptions T15'!$D11,0,MATCH(VLOOKUP('RES Assumptions'!O$2,'RES Assumptions T15'!$V$3:$W$35,2,FALSE),'RES Assumptions T15'!$E$2:$S$2,0))</f>
        <v>3.2009371758779097E-2</v>
      </c>
      <c r="P11" s="14">
        <f ca="1">OFFSET('RES Assumptions T15'!$D11,0,MATCH(VLOOKUP('RES Assumptions'!P$2,'RES Assumptions T15'!$V$3:$W$35,2,FALSE),'RES Assumptions T15'!$E$2:$S$2,0))</f>
        <v>0.648468998583415</v>
      </c>
      <c r="Q11" s="14">
        <f ca="1">OFFSET('RES Assumptions T15'!$D11,0,MATCH(VLOOKUP('RES Assumptions'!Q$2,'RES Assumptions T15'!$V$3:$W$35,2,FALSE),'RES Assumptions T15'!$E$2:$S$2,0))</f>
        <v>3.2009371758779097E-2</v>
      </c>
      <c r="R11" s="14">
        <f ca="1">OFFSET('RES Assumptions T15'!$D11,0,MATCH(VLOOKUP('RES Assumptions'!R$2,'RES Assumptions T15'!$V$3:$W$35,2,FALSE),'RES Assumptions T15'!$E$2:$S$2,0))</f>
        <v>3.2009371758779097E-2</v>
      </c>
      <c r="S11" s="14">
        <f ca="1">OFFSET('RES Assumptions T15'!$D11,0,MATCH(VLOOKUP('RES Assumptions'!S$2,'RES Assumptions T15'!$V$3:$W$35,2,FALSE),'RES Assumptions T15'!$E$2:$S$2,0))</f>
        <v>0.648468998583415</v>
      </c>
      <c r="T11" s="14">
        <f ca="1">OFFSET('RES Assumptions T15'!$D11,0,MATCH(VLOOKUP('RES Assumptions'!T$2,'RES Assumptions T15'!$V$3:$W$35,2,FALSE),'RES Assumptions T15'!$E$2:$S$2,0))</f>
        <v>3.2009371758779097E-2</v>
      </c>
      <c r="U11" s="14">
        <f ca="1">OFFSET('RES Assumptions T15'!$D11,0,MATCH(VLOOKUP('RES Assumptions'!U$2,'RES Assumptions T15'!$V$3:$W$35,2,FALSE),'RES Assumptions T15'!$E$2:$S$2,0))</f>
        <v>0.471622606768548</v>
      </c>
      <c r="V11" s="14">
        <f ca="1">OFFSET('RES Assumptions T15'!$D11,0,MATCH(VLOOKUP('RES Assumptions'!V$2,'RES Assumptions T15'!$V$3:$W$35,2,FALSE),'RES Assumptions T15'!$E$2:$S$2,0))</f>
        <v>3.2009371758779097E-2</v>
      </c>
      <c r="W11" s="14">
        <f ca="1">OFFSET('RES Assumptions T15'!$D11,0,MATCH(VLOOKUP('RES Assumptions'!W$2,'RES Assumptions T15'!$V$3:$W$35,2,FALSE),'RES Assumptions T15'!$E$2:$S$2,0))</f>
        <v>3.2009371758779097E-2</v>
      </c>
      <c r="X11" s="14">
        <f ca="1">OFFSET('RES Assumptions T15'!$D11,0,MATCH(VLOOKUP('RES Assumptions'!X$2,'RES Assumptions T15'!$V$3:$W$35,2,FALSE),'RES Assumptions T15'!$E$2:$S$2,0))</f>
        <v>0.90539207021701695</v>
      </c>
      <c r="Y11" s="14">
        <f ca="1">OFFSET('RES Assumptions T15'!$D11,0,MATCH(VLOOKUP('RES Assumptions'!Y$2,'RES Assumptions T15'!$V$3:$W$35,2,FALSE),'RES Assumptions T15'!$E$2:$S$2,0))</f>
        <v>0.70693720634574397</v>
      </c>
      <c r="Z11" s="14">
        <f ca="1">OFFSET('RES Assumptions T15'!$D11,0,MATCH(VLOOKUP('RES Assumptions'!Z$2,'RES Assumptions T15'!$V$3:$W$35,2,FALSE),'RES Assumptions T15'!$E$2:$S$2,0))</f>
        <v>0.41264007870494501</v>
      </c>
      <c r="AA11" s="14">
        <f ca="1">OFFSET('RES Assumptions T15'!$D11,0,MATCH(VLOOKUP('RES Assumptions'!AA$2,'RES Assumptions T15'!$V$3:$W$35,2,FALSE),'RES Assumptions T15'!$E$2:$S$2,0))</f>
        <v>0.471622606768548</v>
      </c>
      <c r="AB11" s="14">
        <f ca="1">OFFSET('RES Assumptions T15'!$D11,0,MATCH(VLOOKUP('RES Assumptions'!AB$2,'RES Assumptions T15'!$V$3:$W$35,2,FALSE),'RES Assumptions T15'!$E$2:$S$2,0))</f>
        <v>3.2009371758779097E-2</v>
      </c>
      <c r="AC11" s="14">
        <f ca="1">OFFSET('RES Assumptions T15'!$D11,0,MATCH(VLOOKUP('RES Assumptions'!AC$2,'RES Assumptions T15'!$V$3:$W$35,2,FALSE),'RES Assumptions T15'!$E$2:$S$2,0))</f>
        <v>0.159098093913425</v>
      </c>
      <c r="AD11" s="14">
        <f ca="1">OFFSET('RES Assumptions T15'!$D11,0,MATCH(VLOOKUP('RES Assumptions'!AD$2,'RES Assumptions T15'!$V$3:$W$35,2,FALSE),'RES Assumptions T15'!$E$2:$S$2,0))</f>
        <v>0.471622606768548</v>
      </c>
      <c r="AE11" s="14">
        <f ca="1">OFFSET('RES Assumptions T15'!$D11,0,MATCH(VLOOKUP('RES Assumptions'!AE$2,'RES Assumptions T15'!$V$3:$W$35,2,FALSE),'RES Assumptions T15'!$E$2:$S$2,0))</f>
        <v>0.85970762590704897</v>
      </c>
      <c r="AF11" s="14">
        <f ca="1">OFFSET('RES Assumptions T15'!$D11,0,MATCH(VLOOKUP('RES Assumptions'!AF$2,'RES Assumptions T15'!$V$3:$W$35,2,FALSE),'RES Assumptions T15'!$E$2:$S$2,0))</f>
        <v>3.2009371758779097E-2</v>
      </c>
      <c r="AG11" s="14">
        <f ca="1">OFFSET('RES Assumptions T15'!$D11,0,MATCH(VLOOKUP('RES Assumptions'!AG$2,'RES Assumptions T15'!$V$3:$W$35,2,FALSE),'RES Assumptions T15'!$E$2:$S$2,0))</f>
        <v>2.3056071966604599E-2</v>
      </c>
      <c r="AH11" s="14">
        <f ca="1">OFFSET('RES Assumptions T15'!$D11,0,MATCH(VLOOKUP('RES Assumptions'!AH$2,'RES Assumptions T15'!$V$3:$W$35,2,FALSE),'RES Assumptions T15'!$E$2:$S$2,0))</f>
        <v>2.3056071966604599E-2</v>
      </c>
      <c r="AK11" s="10">
        <f ca="1">IFERROR(SUMIFS('RES balance'!E$5:E$25,'RES balance'!$D$5:$D$25,'RES Assumptions'!$A11)*E11,"")</f>
        <v>0.30889175980916539</v>
      </c>
      <c r="AL11" s="10">
        <f ca="1">IFERROR(SUMIFS('RES balance'!F$5:F$25,'RES balance'!$D$5:$D$25,'RES Assumptions'!$A11)*F11,"")</f>
        <v>13.07202413516187</v>
      </c>
      <c r="AM11" s="10">
        <f ca="1">IFERROR(SUMIFS('RES balance'!G$5:G$25,'RES balance'!$D$5:$D$25,'RES Assumptions'!$A11)*G11,"")</f>
        <v>0</v>
      </c>
      <c r="AN11" s="10">
        <f ca="1">IFERROR(SUMIFS('RES balance'!H$5:H$25,'RES balance'!$D$5:$D$25,'RES Assumptions'!$A11)*H11,"")</f>
        <v>16.772870820939502</v>
      </c>
      <c r="AO11" s="10">
        <f ca="1">IFERROR(SUMIFS('RES balance'!I$5:I$25,'RES balance'!$D$5:$D$25,'RES Assumptions'!$A11)*I11,"")</f>
        <v>3.36004585904081</v>
      </c>
      <c r="AP11" s="10">
        <f ca="1">IFERROR(SUMIFS('RES balance'!J$5:J$25,'RES balance'!$D$5:$D$25,'RES Assumptions'!$A11)*J11,"")</f>
        <v>2.8004640923641118</v>
      </c>
      <c r="AQ11" s="10">
        <f ca="1">IFERROR(SUMIFS('RES balance'!K$5:K$25,'RES balance'!$D$5:$D$25,'RES Assumptions'!$A11)*K11,"")</f>
        <v>2.9725244789939289E-2</v>
      </c>
      <c r="AR11" s="10">
        <f ca="1">IFERROR(SUMIFS('RES balance'!L$5:L$25,'RES balance'!$D$5:$D$25,'RES Assumptions'!$A11)*L11,"")</f>
        <v>0</v>
      </c>
      <c r="AS11" s="10">
        <f ca="1">IFERROR(SUMIFS('RES balance'!M$5:M$25,'RES balance'!$D$5:$D$25,'RES Assumptions'!$A11)*M11,"")</f>
        <v>0</v>
      </c>
      <c r="AT11" s="10">
        <f ca="1">IFERROR(SUMIFS('RES balance'!N$5:N$25,'RES balance'!$D$5:$D$25,'RES Assumptions'!$A11)*N11,"")</f>
        <v>39.423182191387326</v>
      </c>
      <c r="AU11" s="10">
        <f ca="1">IFERROR(SUMIFS('RES balance'!O$5:O$25,'RES balance'!$D$5:$D$25,'RES Assumptions'!$A11)*O11,"")</f>
        <v>0.8821953177306272</v>
      </c>
      <c r="AV11" s="10">
        <f ca="1">IFERROR(SUMIFS('RES balance'!P$5:P$25,'RES balance'!$D$5:$D$25,'RES Assumptions'!$A11)*P11,"")</f>
        <v>27.712389464407448</v>
      </c>
      <c r="AW11" s="10">
        <f ca="1">IFERROR(SUMIFS('RES balance'!Q$5:Q$25,'RES balance'!$D$5:$D$25,'RES Assumptions'!$A11)*Q11,"")</f>
        <v>3.4347448723267981</v>
      </c>
      <c r="AX11" s="10">
        <f ca="1">IFERROR(SUMIFS('RES balance'!R$5:R$25,'RES balance'!$D$5:$D$25,'RES Assumptions'!$A11)*R11,"")</f>
        <v>2.6638335181507404</v>
      </c>
      <c r="AY11" s="10">
        <f ca="1">IFERROR(SUMIFS('RES balance'!S$5:S$25,'RES balance'!$D$5:$D$25,'RES Assumptions'!$A11)*S11,"")</f>
        <v>4.8646137433372996</v>
      </c>
      <c r="AZ11" s="10">
        <f ca="1">IFERROR(SUMIFS('RES balance'!T$5:T$25,'RES balance'!$D$5:$D$25,'RES Assumptions'!$A11)*T11,"")</f>
        <v>2.0516834685129974</v>
      </c>
      <c r="BA11" s="10">
        <f ca="1">IFERROR(SUMIFS('RES balance'!U$5:U$25,'RES balance'!$D$5:$D$25,'RES Assumptions'!$A11)*U11,"")</f>
        <v>31.631701999978198</v>
      </c>
      <c r="BB11" s="10">
        <f ca="1">IFERROR(SUMIFS('RES balance'!V$5:V$25,'RES balance'!$D$5:$D$25,'RES Assumptions'!$A11)*V11,"")</f>
        <v>4.5082104949790462</v>
      </c>
      <c r="BC11" s="10">
        <f ca="1">IFERROR(SUMIFS('RES balance'!W$5:W$25,'RES balance'!$D$5:$D$25,'RES Assumptions'!$A11)*W11,"")</f>
        <v>14.736807482958257</v>
      </c>
      <c r="BD11" s="10">
        <f ca="1">IFERROR(SUMIFS('RES balance'!X$5:X$25,'RES balance'!$D$5:$D$25,'RES Assumptions'!$A11)*X11,"")</f>
        <v>0</v>
      </c>
      <c r="BE11" s="10">
        <f ca="1">IFERROR(SUMIFS('RES balance'!Y$5:Y$25,'RES balance'!$D$5:$D$25,'RES Assumptions'!$A11)*Y11,"")</f>
        <v>0.8332264590569709</v>
      </c>
      <c r="BF11" s="10">
        <f ca="1">IFERROR(SUMIFS('RES balance'!Z$5:Z$25,'RES balance'!$D$5:$D$25,'RES Assumptions'!$A11)*Z11,"")</f>
        <v>0</v>
      </c>
      <c r="BG11" s="10">
        <f ca="1">IFERROR(SUMIFS('RES balance'!AA$5:AA$25,'RES balance'!$D$5:$D$25,'RES Assumptions'!$A11)*AA11,"")</f>
        <v>11.719986594830262</v>
      </c>
      <c r="BH11" s="10">
        <f ca="1">IFERROR(SUMIFS('RES balance'!AB$5:AB$25,'RES balance'!$D$5:$D$25,'RES Assumptions'!$A11)*AB11,"")</f>
        <v>1.2355548333038235E-2</v>
      </c>
      <c r="BI11" s="10">
        <f ca="1">IFERROR(SUMIFS('RES balance'!AC$5:AC$25,'RES balance'!$D$5:$D$25,'RES Assumptions'!$A11)*AC11,"")</f>
        <v>16.14397858984464</v>
      </c>
      <c r="BJ11" s="10">
        <f ca="1">IFERROR(SUMIFS('RES balance'!AD$5:AD$25,'RES balance'!$D$5:$D$25,'RES Assumptions'!$A11)*AD11,"")</f>
        <v>0</v>
      </c>
      <c r="BK11" s="10">
        <f ca="1">IFERROR(SUMIFS('RES balance'!AE$5:AE$25,'RES balance'!$D$5:$D$25,'RES Assumptions'!$A11)*AE11,"")</f>
        <v>0.22282953464355548</v>
      </c>
      <c r="BL11" s="10">
        <f ca="1">IFERROR(SUMIFS('RES balance'!AF$5:AF$25,'RES balance'!$D$5:$D$25,'RES Assumptions'!$A11)*AF11,"")</f>
        <v>0.22241662209939819</v>
      </c>
      <c r="BM11" s="10">
        <f ca="1">IFERROR(SUMIFS('RES balance'!AG$5:AG$25,'RES balance'!$D$5:$D$25,'RES Assumptions'!$A11)*AG11,"")</f>
        <v>9.55473136096224</v>
      </c>
      <c r="BN11" s="10">
        <f ca="1">IFERROR(SUMIFS('RES balance'!AH$5:AH$25,'RES balance'!$D$5:$D$25,'RES Assumptions'!$A11)*AH11,"")</f>
        <v>0</v>
      </c>
    </row>
    <row r="12" spans="1:66" x14ac:dyDescent="0.45">
      <c r="A12" s="8" t="str">
        <f>VLOOKUP(C12,'RES balance'!$AL$5:$AM$25,2,FALSE)</f>
        <v>RESOIL</v>
      </c>
      <c r="B12" s="36"/>
      <c r="C12" s="22" t="s">
        <v>72</v>
      </c>
      <c r="D12" s="23" t="s">
        <v>70</v>
      </c>
      <c r="E12" s="14">
        <f ca="1">OFFSET('RES Assumptions T15'!$D12,0,MATCH(VLOOKUP('RES Assumptions'!E$2,'RES Assumptions T15'!$V$3:$W$35,2,FALSE),'RES Assumptions T15'!$E$2:$S$2,0))</f>
        <v>1.8137278715904599E-2</v>
      </c>
      <c r="F12" s="14">
        <f ca="1">OFFSET('RES Assumptions T15'!$D12,0,MATCH(VLOOKUP('RES Assumptions'!F$2,'RES Assumptions T15'!$V$3:$W$35,2,FALSE),'RES Assumptions T15'!$E$2:$S$2,0))</f>
        <v>1.8137278715904599E-2</v>
      </c>
      <c r="G12" s="14">
        <f ca="1">OFFSET('RES Assumptions T15'!$D12,0,MATCH(VLOOKUP('RES Assumptions'!G$2,'RES Assumptions T15'!$V$3:$W$35,2,FALSE),'RES Assumptions T15'!$E$2:$S$2,0))</f>
        <v>0.12165194738465616</v>
      </c>
      <c r="H12" s="14">
        <f ca="1">OFFSET('RES Assumptions T15'!$D12,0,MATCH(VLOOKUP('RES Assumptions'!H$2,'RES Assumptions T15'!$V$3:$W$35,2,FALSE),'RES Assumptions T15'!$E$2:$S$2,0))</f>
        <v>2.1213735906961302E-3</v>
      </c>
      <c r="I12" s="14">
        <f ca="1">OFFSET('RES Assumptions T15'!$D12,0,MATCH(VLOOKUP('RES Assumptions'!I$2,'RES Assumptions T15'!$V$3:$W$35,2,FALSE),'RES Assumptions T15'!$E$2:$S$2,0))</f>
        <v>0</v>
      </c>
      <c r="J12" s="14">
        <f ca="1">OFFSET('RES Assumptions T15'!$D12,0,MATCH(VLOOKUP('RES Assumptions'!J$2,'RES Assumptions T15'!$V$3:$W$35,2,FALSE),'RES Assumptions T15'!$E$2:$S$2,0))</f>
        <v>6.1608878228174404E-3</v>
      </c>
      <c r="K12" s="14">
        <f ca="1">OFFSET('RES Assumptions T15'!$D12,0,MATCH(VLOOKUP('RES Assumptions'!K$2,'RES Assumptions T15'!$V$3:$W$35,2,FALSE),'RES Assumptions T15'!$E$2:$S$2,0))</f>
        <v>0</v>
      </c>
      <c r="L12" s="14">
        <f ca="1">OFFSET('RES Assumptions T15'!$D12,0,MATCH(VLOOKUP('RES Assumptions'!L$2,'RES Assumptions T15'!$V$3:$W$35,2,FALSE),'RES Assumptions T15'!$E$2:$S$2,0))</f>
        <v>0.12165194738465616</v>
      </c>
      <c r="M12" s="14">
        <f ca="1">OFFSET('RES Assumptions T15'!$D12,0,MATCH(VLOOKUP('RES Assumptions'!M$2,'RES Assumptions T15'!$V$3:$W$35,2,FALSE),'RES Assumptions T15'!$E$2:$S$2,0))</f>
        <v>0</v>
      </c>
      <c r="N12" s="14">
        <f ca="1">OFFSET('RES Assumptions T15'!$D12,0,MATCH(VLOOKUP('RES Assumptions'!N$2,'RES Assumptions T15'!$V$3:$W$35,2,FALSE),'RES Assumptions T15'!$E$2:$S$2,0))</f>
        <v>0</v>
      </c>
      <c r="O12" s="14">
        <f ca="1">OFFSET('RES Assumptions T15'!$D12,0,MATCH(VLOOKUP('RES Assumptions'!O$2,'RES Assumptions T15'!$V$3:$W$35,2,FALSE),'RES Assumptions T15'!$E$2:$S$2,0))</f>
        <v>2.3167012396898301E-3</v>
      </c>
      <c r="P12" s="14">
        <f ca="1">OFFSET('RES Assumptions T15'!$D12,0,MATCH(VLOOKUP('RES Assumptions'!P$2,'RES Assumptions T15'!$V$3:$W$35,2,FALSE),'RES Assumptions T15'!$E$2:$S$2,0))</f>
        <v>2.7786858450474E-3</v>
      </c>
      <c r="Q12" s="14">
        <f ca="1">OFFSET('RES Assumptions T15'!$D12,0,MATCH(VLOOKUP('RES Assumptions'!Q$2,'RES Assumptions T15'!$V$3:$W$35,2,FALSE),'RES Assumptions T15'!$E$2:$S$2,0))</f>
        <v>2.3167012396898301E-3</v>
      </c>
      <c r="R12" s="14">
        <f ca="1">OFFSET('RES Assumptions T15'!$D12,0,MATCH(VLOOKUP('RES Assumptions'!R$2,'RES Assumptions T15'!$V$3:$W$35,2,FALSE),'RES Assumptions T15'!$E$2:$S$2,0))</f>
        <v>2.3167012396898301E-3</v>
      </c>
      <c r="S12" s="14">
        <f ca="1">OFFSET('RES Assumptions T15'!$D12,0,MATCH(VLOOKUP('RES Assumptions'!S$2,'RES Assumptions T15'!$V$3:$W$35,2,FALSE),'RES Assumptions T15'!$E$2:$S$2,0))</f>
        <v>2.7786858450474E-3</v>
      </c>
      <c r="T12" s="14">
        <f ca="1">OFFSET('RES Assumptions T15'!$D12,0,MATCH(VLOOKUP('RES Assumptions'!T$2,'RES Assumptions T15'!$V$3:$W$35,2,FALSE),'RES Assumptions T15'!$E$2:$S$2,0))</f>
        <v>2.3167012396898301E-3</v>
      </c>
      <c r="U12" s="14">
        <f ca="1">OFFSET('RES Assumptions T15'!$D12,0,MATCH(VLOOKUP('RES Assumptions'!U$2,'RES Assumptions T15'!$V$3:$W$35,2,FALSE),'RES Assumptions T15'!$E$2:$S$2,0))</f>
        <v>2.51057385728E-5</v>
      </c>
      <c r="V12" s="14">
        <f ca="1">OFFSET('RES Assumptions T15'!$D12,0,MATCH(VLOOKUP('RES Assumptions'!V$2,'RES Assumptions T15'!$V$3:$W$35,2,FALSE),'RES Assumptions T15'!$E$2:$S$2,0))</f>
        <v>2.3167012396898301E-3</v>
      </c>
      <c r="W12" s="14">
        <f ca="1">OFFSET('RES Assumptions T15'!$D12,0,MATCH(VLOOKUP('RES Assumptions'!W$2,'RES Assumptions T15'!$V$3:$W$35,2,FALSE),'RES Assumptions T15'!$E$2:$S$2,0))</f>
        <v>2.3167012396898301E-3</v>
      </c>
      <c r="X12" s="14">
        <f ca="1">OFFSET('RES Assumptions T15'!$D12,0,MATCH(VLOOKUP('RES Assumptions'!X$2,'RES Assumptions T15'!$V$3:$W$35,2,FALSE),'RES Assumptions T15'!$E$2:$S$2,0))</f>
        <v>0</v>
      </c>
      <c r="Y12" s="14">
        <f ca="1">OFFSET('RES Assumptions T15'!$D12,0,MATCH(VLOOKUP('RES Assumptions'!Y$2,'RES Assumptions T15'!$V$3:$W$35,2,FALSE),'RES Assumptions T15'!$E$2:$S$2,0))</f>
        <v>0.12165194738465616</v>
      </c>
      <c r="Z12" s="14">
        <f ca="1">OFFSET('RES Assumptions T15'!$D12,0,MATCH(VLOOKUP('RES Assumptions'!Z$2,'RES Assumptions T15'!$V$3:$W$35,2,FALSE),'RES Assumptions T15'!$E$2:$S$2,0))</f>
        <v>2.1017571238056299E-3</v>
      </c>
      <c r="AA12" s="14">
        <f ca="1">OFFSET('RES Assumptions T15'!$D12,0,MATCH(VLOOKUP('RES Assumptions'!AA$2,'RES Assumptions T15'!$V$3:$W$35,2,FALSE),'RES Assumptions T15'!$E$2:$S$2,0))</f>
        <v>2.51057385728E-5</v>
      </c>
      <c r="AB12" s="14">
        <f ca="1">OFFSET('RES Assumptions T15'!$D12,0,MATCH(VLOOKUP('RES Assumptions'!AB$2,'RES Assumptions T15'!$V$3:$W$35,2,FALSE),'RES Assumptions T15'!$E$2:$S$2,0))</f>
        <v>2.3167012396898301E-3</v>
      </c>
      <c r="AC12" s="14">
        <f ca="1">OFFSET('RES Assumptions T15'!$D12,0,MATCH(VLOOKUP('RES Assumptions'!AC$2,'RES Assumptions T15'!$V$3:$W$35,2,FALSE),'RES Assumptions T15'!$E$2:$S$2,0))</f>
        <v>2.1213735906961302E-3</v>
      </c>
      <c r="AD12" s="14">
        <f ca="1">OFFSET('RES Assumptions T15'!$D12,0,MATCH(VLOOKUP('RES Assumptions'!AD$2,'RES Assumptions T15'!$V$3:$W$35,2,FALSE),'RES Assumptions T15'!$E$2:$S$2,0))</f>
        <v>2.51057385728E-5</v>
      </c>
      <c r="AE12" s="14">
        <f ca="1">OFFSET('RES Assumptions T15'!$D12,0,MATCH(VLOOKUP('RES Assumptions'!AE$2,'RES Assumptions T15'!$V$3:$W$35,2,FALSE),'RES Assumptions T15'!$E$2:$S$2,0))</f>
        <v>1.8137278715904599E-2</v>
      </c>
      <c r="AF12" s="14">
        <f ca="1">OFFSET('RES Assumptions T15'!$D12,0,MATCH(VLOOKUP('RES Assumptions'!AF$2,'RES Assumptions T15'!$V$3:$W$35,2,FALSE),'RES Assumptions T15'!$E$2:$S$2,0))</f>
        <v>2.3167012396898301E-3</v>
      </c>
      <c r="AG12" s="14">
        <f ca="1">OFFSET('RES Assumptions T15'!$D12,0,MATCH(VLOOKUP('RES Assumptions'!AG$2,'RES Assumptions T15'!$V$3:$W$35,2,FALSE),'RES Assumptions T15'!$E$2:$S$2,0))</f>
        <v>0</v>
      </c>
      <c r="AH12" s="14">
        <f ca="1">OFFSET('RES Assumptions T15'!$D12,0,MATCH(VLOOKUP('RES Assumptions'!AH$2,'RES Assumptions T15'!$V$3:$W$35,2,FALSE),'RES Assumptions T15'!$E$2:$S$2,0))</f>
        <v>0</v>
      </c>
      <c r="AK12" s="10">
        <f ca="1">IFERROR(SUMIFS('RES balance'!E$5:E$25,'RES balance'!$D$5:$D$25,'RES Assumptions'!$A12)*E12,"")</f>
        <v>6.5166991333758676E-3</v>
      </c>
      <c r="AL12" s="10">
        <f ca="1">IFERROR(SUMIFS('RES balance'!F$5:F$25,'RES balance'!$D$5:$D$25,'RES Assumptions'!$A12)*F12,"")</f>
        <v>0.27578090268806887</v>
      </c>
      <c r="AM12" s="10">
        <f ca="1">IFERROR(SUMIFS('RES balance'!G$5:G$25,'RES balance'!$D$5:$D$25,'RES Assumptions'!$A12)*G12,"")</f>
        <v>0</v>
      </c>
      <c r="AN12" s="10">
        <f ca="1">IFERROR(SUMIFS('RES balance'!H$5:H$25,'RES balance'!$D$5:$D$25,'RES Assumptions'!$A12)*H12,"")</f>
        <v>0.22364520104848562</v>
      </c>
      <c r="AO12" s="10">
        <f ca="1">IFERROR(SUMIFS('RES balance'!I$5:I$25,'RES balance'!$D$5:$D$25,'RES Assumptions'!$A12)*I12,"")</f>
        <v>0</v>
      </c>
      <c r="AP12" s="10">
        <f ca="1">IFERROR(SUMIFS('RES balance'!J$5:J$25,'RES balance'!$D$5:$D$25,'RES Assumptions'!$A12)*J12,"")</f>
        <v>1.9259495772842077E-2</v>
      </c>
      <c r="AQ12" s="10">
        <f ca="1">IFERROR(SUMIFS('RES balance'!K$5:K$25,'RES balance'!$D$5:$D$25,'RES Assumptions'!$A12)*K12,"")</f>
        <v>0</v>
      </c>
      <c r="AR12" s="10">
        <f ca="1">IFERROR(SUMIFS('RES balance'!L$5:L$25,'RES balance'!$D$5:$D$25,'RES Assumptions'!$A12)*L12,"")</f>
        <v>0</v>
      </c>
      <c r="AS12" s="10">
        <f ca="1">IFERROR(SUMIFS('RES balance'!M$5:M$25,'RES balance'!$D$5:$D$25,'RES Assumptions'!$A12)*M12,"")</f>
        <v>0</v>
      </c>
      <c r="AT12" s="10">
        <f ca="1">IFERROR(SUMIFS('RES balance'!N$5:N$25,'RES balance'!$D$5:$D$25,'RES Assumptions'!$A12)*N12,"")</f>
        <v>0</v>
      </c>
      <c r="AU12" s="10">
        <f ca="1">IFERROR(SUMIFS('RES balance'!O$5:O$25,'RES balance'!$D$5:$D$25,'RES Assumptions'!$A12)*O12,"")</f>
        <v>6.3849518873314554E-2</v>
      </c>
      <c r="AV12" s="10">
        <f ca="1">IFERROR(SUMIFS('RES balance'!P$5:P$25,'RES balance'!$D$5:$D$25,'RES Assumptions'!$A12)*P12,"")</f>
        <v>0.11874742586832293</v>
      </c>
      <c r="AW12" s="10">
        <f ca="1">IFERROR(SUMIFS('RES balance'!Q$5:Q$25,'RES balance'!$D$5:$D$25,'RES Assumptions'!$A12)*Q12,"")</f>
        <v>0.24859212369750328</v>
      </c>
      <c r="AX12" s="10">
        <f ca="1">IFERROR(SUMIFS('RES balance'!R$5:R$25,'RES balance'!$D$5:$D$25,'RES Assumptions'!$A12)*R12,"")</f>
        <v>0.19279686150461731</v>
      </c>
      <c r="AY12" s="10">
        <f ca="1">IFERROR(SUMIFS('RES balance'!S$5:S$25,'RES balance'!$D$5:$D$25,'RES Assumptions'!$A12)*S12,"")</f>
        <v>2.0844841279633861E-2</v>
      </c>
      <c r="AZ12" s="10">
        <f ca="1">IFERROR(SUMIFS('RES balance'!T$5:T$25,'RES balance'!$D$5:$D$25,'RES Assumptions'!$A12)*T12,"")</f>
        <v>0.14849206259887202</v>
      </c>
      <c r="BA12" s="10">
        <f ca="1">IFERROR(SUMIFS('RES balance'!U$5:U$25,'RES balance'!$D$5:$D$25,'RES Assumptions'!$A12)*U12,"")</f>
        <v>1.6838404894655439E-3</v>
      </c>
      <c r="BB12" s="10">
        <f ca="1">IFERROR(SUMIFS('RES balance'!V$5:V$25,'RES balance'!$D$5:$D$25,'RES Assumptions'!$A12)*V12,"")</f>
        <v>0.32628496807770591</v>
      </c>
      <c r="BC12" s="10">
        <f ca="1">IFERROR(SUMIFS('RES balance'!W$5:W$25,'RES balance'!$D$5:$D$25,'RES Assumptions'!$A12)*W12,"")</f>
        <v>1.0665870115203397</v>
      </c>
      <c r="BD12" s="10">
        <f ca="1">IFERROR(SUMIFS('RES balance'!X$5:X$25,'RES balance'!$D$5:$D$25,'RES Assumptions'!$A12)*X12,"")</f>
        <v>0</v>
      </c>
      <c r="BE12" s="10">
        <f ca="1">IFERROR(SUMIFS('RES balance'!Y$5:Y$25,'RES balance'!$D$5:$D$25,'RES Assumptions'!$A12)*Y12,"")</f>
        <v>0.1433841937400134</v>
      </c>
      <c r="BF12" s="10">
        <f ca="1">IFERROR(SUMIFS('RES balance'!Z$5:Z$25,'RES balance'!$D$5:$D$25,'RES Assumptions'!$A12)*Z12,"")</f>
        <v>0</v>
      </c>
      <c r="BG12" s="10">
        <f ca="1">IFERROR(SUMIFS('RES balance'!AA$5:AA$25,'RES balance'!$D$5:$D$25,'RES Assumptions'!$A12)*AA12,"")</f>
        <v>6.2388637716624294E-4</v>
      </c>
      <c r="BH12" s="10">
        <f ca="1">IFERROR(SUMIFS('RES balance'!AB$5:AB$25,'RES balance'!$D$5:$D$25,'RES Assumptions'!$A12)*AB12,"")</f>
        <v>8.9424167259223575E-4</v>
      </c>
      <c r="BI12" s="10">
        <f ca="1">IFERROR(SUMIFS('RES balance'!AC$5:AC$25,'RES balance'!$D$5:$D$25,'RES Assumptions'!$A12)*AC12,"")</f>
        <v>0.2152597117090308</v>
      </c>
      <c r="BJ12" s="10">
        <f ca="1">IFERROR(SUMIFS('RES balance'!AD$5:AD$25,'RES balance'!$D$5:$D$25,'RES Assumptions'!$A12)*AD12,"")</f>
        <v>0</v>
      </c>
      <c r="BK12" s="10">
        <f ca="1">IFERROR(SUMIFS('RES balance'!AE$5:AE$25,'RES balance'!$D$5:$D$25,'RES Assumptions'!$A12)*AE12,"")</f>
        <v>4.7010416729773808E-3</v>
      </c>
      <c r="BL12" s="10">
        <f ca="1">IFERROR(SUMIFS('RES balance'!AF$5:AF$25,'RES balance'!$D$5:$D$25,'RES Assumptions'!$A12)*AF12,"")</f>
        <v>1.6097562552254033E-2</v>
      </c>
      <c r="BM12" s="10">
        <f ca="1">IFERROR(SUMIFS('RES balance'!AG$5:AG$25,'RES balance'!$D$5:$D$25,'RES Assumptions'!$A12)*AG12,"")</f>
        <v>0</v>
      </c>
      <c r="BN12" s="10">
        <f ca="1">IFERROR(SUMIFS('RES balance'!AH$5:AH$25,'RES balance'!$D$5:$D$25,'RES Assumptions'!$A12)*AH12,"")</f>
        <v>0</v>
      </c>
    </row>
    <row r="13" spans="1:66" x14ac:dyDescent="0.45">
      <c r="A13" s="8">
        <f>VLOOKUP(C13,'RES balance'!$AL$5:$AM$25,2,FALSE)</f>
        <v>0</v>
      </c>
      <c r="B13" s="36"/>
      <c r="C13" s="20" t="s">
        <v>73</v>
      </c>
      <c r="D13" s="21" t="s">
        <v>62</v>
      </c>
      <c r="E13" s="14">
        <f ca="1">OFFSET('RES Assumptions T15'!$D13,0,MATCH(VLOOKUP('RES Assumptions'!E$2,'RES Assumptions T15'!$V$3:$W$35,2,FALSE),'RES Assumptions T15'!$E$2:$S$2,0))</f>
        <v>1</v>
      </c>
      <c r="F13" s="14">
        <f ca="1">OFFSET('RES Assumptions T15'!$D13,0,MATCH(VLOOKUP('RES Assumptions'!F$2,'RES Assumptions T15'!$V$3:$W$35,2,FALSE),'RES Assumptions T15'!$E$2:$S$2,0))</f>
        <v>1</v>
      </c>
      <c r="G13" s="14">
        <f ca="1">OFFSET('RES Assumptions T15'!$D13,0,MATCH(VLOOKUP('RES Assumptions'!G$2,'RES Assumptions T15'!$V$3:$W$35,2,FALSE),'RES Assumptions T15'!$E$2:$S$2,0))</f>
        <v>1</v>
      </c>
      <c r="H13" s="14">
        <f ca="1">OFFSET('RES Assumptions T15'!$D13,0,MATCH(VLOOKUP('RES Assumptions'!H$2,'RES Assumptions T15'!$V$3:$W$35,2,FALSE),'RES Assumptions T15'!$E$2:$S$2,0))</f>
        <v>0.9</v>
      </c>
      <c r="I13" s="14">
        <f ca="1">OFFSET('RES Assumptions T15'!$D13,0,MATCH(VLOOKUP('RES Assumptions'!I$2,'RES Assumptions T15'!$V$3:$W$35,2,FALSE),'RES Assumptions T15'!$E$2:$S$2,0))</f>
        <v>1</v>
      </c>
      <c r="J13" s="14">
        <f ca="1">OFFSET('RES Assumptions T15'!$D13,0,MATCH(VLOOKUP('RES Assumptions'!J$2,'RES Assumptions T15'!$V$3:$W$35,2,FALSE),'RES Assumptions T15'!$E$2:$S$2,0))</f>
        <v>1</v>
      </c>
      <c r="K13" s="14">
        <f ca="1">OFFSET('RES Assumptions T15'!$D13,0,MATCH(VLOOKUP('RES Assumptions'!K$2,'RES Assumptions T15'!$V$3:$W$35,2,FALSE),'RES Assumptions T15'!$E$2:$S$2,0))</f>
        <v>1</v>
      </c>
      <c r="L13" s="14">
        <f ca="1">OFFSET('RES Assumptions T15'!$D13,0,MATCH(VLOOKUP('RES Assumptions'!L$2,'RES Assumptions T15'!$V$3:$W$35,2,FALSE),'RES Assumptions T15'!$E$2:$S$2,0))</f>
        <v>1</v>
      </c>
      <c r="M13" s="14">
        <f ca="1">OFFSET('RES Assumptions T15'!$D13,0,MATCH(VLOOKUP('RES Assumptions'!M$2,'RES Assumptions T15'!$V$3:$W$35,2,FALSE),'RES Assumptions T15'!$E$2:$S$2,0))</f>
        <v>1</v>
      </c>
      <c r="N13" s="14">
        <f ca="1">OFFSET('RES Assumptions T15'!$D13,0,MATCH(VLOOKUP('RES Assumptions'!N$2,'RES Assumptions T15'!$V$3:$W$35,2,FALSE),'RES Assumptions T15'!$E$2:$S$2,0))</f>
        <v>1</v>
      </c>
      <c r="O13" s="14">
        <f ca="1">OFFSET('RES Assumptions T15'!$D13,0,MATCH(VLOOKUP('RES Assumptions'!O$2,'RES Assumptions T15'!$V$3:$W$35,2,FALSE),'RES Assumptions T15'!$E$2:$S$2,0))</f>
        <v>1</v>
      </c>
      <c r="P13" s="14">
        <f ca="1">OFFSET('RES Assumptions T15'!$D13,0,MATCH(VLOOKUP('RES Assumptions'!P$2,'RES Assumptions T15'!$V$3:$W$35,2,FALSE),'RES Assumptions T15'!$E$2:$S$2,0))</f>
        <v>0.9</v>
      </c>
      <c r="Q13" s="14">
        <f ca="1">OFFSET('RES Assumptions T15'!$D13,0,MATCH(VLOOKUP('RES Assumptions'!Q$2,'RES Assumptions T15'!$V$3:$W$35,2,FALSE),'RES Assumptions T15'!$E$2:$S$2,0))</f>
        <v>1</v>
      </c>
      <c r="R13" s="14">
        <f ca="1">OFFSET('RES Assumptions T15'!$D13,0,MATCH(VLOOKUP('RES Assumptions'!R$2,'RES Assumptions T15'!$V$3:$W$35,2,FALSE),'RES Assumptions T15'!$E$2:$S$2,0))</f>
        <v>1</v>
      </c>
      <c r="S13" s="14">
        <f ca="1">OFFSET('RES Assumptions T15'!$D13,0,MATCH(VLOOKUP('RES Assumptions'!S$2,'RES Assumptions T15'!$V$3:$W$35,2,FALSE),'RES Assumptions T15'!$E$2:$S$2,0))</f>
        <v>0.9</v>
      </c>
      <c r="T13" s="14">
        <f ca="1">OFFSET('RES Assumptions T15'!$D13,0,MATCH(VLOOKUP('RES Assumptions'!T$2,'RES Assumptions T15'!$V$3:$W$35,2,FALSE),'RES Assumptions T15'!$E$2:$S$2,0))</f>
        <v>1</v>
      </c>
      <c r="U13" s="14">
        <f ca="1">OFFSET('RES Assumptions T15'!$D13,0,MATCH(VLOOKUP('RES Assumptions'!U$2,'RES Assumptions T15'!$V$3:$W$35,2,FALSE),'RES Assumptions T15'!$E$2:$S$2,0))</f>
        <v>0.5</v>
      </c>
      <c r="V13" s="14">
        <f ca="1">OFFSET('RES Assumptions T15'!$D13,0,MATCH(VLOOKUP('RES Assumptions'!V$2,'RES Assumptions T15'!$V$3:$W$35,2,FALSE),'RES Assumptions T15'!$E$2:$S$2,0))</f>
        <v>1</v>
      </c>
      <c r="W13" s="14">
        <f ca="1">OFFSET('RES Assumptions T15'!$D13,0,MATCH(VLOOKUP('RES Assumptions'!W$2,'RES Assumptions T15'!$V$3:$W$35,2,FALSE),'RES Assumptions T15'!$E$2:$S$2,0))</f>
        <v>1</v>
      </c>
      <c r="X13" s="14">
        <f ca="1">OFFSET('RES Assumptions T15'!$D13,0,MATCH(VLOOKUP('RES Assumptions'!X$2,'RES Assumptions T15'!$V$3:$W$35,2,FALSE),'RES Assumptions T15'!$E$2:$S$2,0))</f>
        <v>1</v>
      </c>
      <c r="Y13" s="14">
        <f ca="1">OFFSET('RES Assumptions T15'!$D13,0,MATCH(VLOOKUP('RES Assumptions'!Y$2,'RES Assumptions T15'!$V$3:$W$35,2,FALSE),'RES Assumptions T15'!$E$2:$S$2,0))</f>
        <v>1</v>
      </c>
      <c r="Z13" s="14">
        <f ca="1">OFFSET('RES Assumptions T15'!$D13,0,MATCH(VLOOKUP('RES Assumptions'!Z$2,'RES Assumptions T15'!$V$3:$W$35,2,FALSE),'RES Assumptions T15'!$E$2:$S$2,0))</f>
        <v>0.5</v>
      </c>
      <c r="AA13" s="14">
        <f ca="1">OFFSET('RES Assumptions T15'!$D13,0,MATCH(VLOOKUP('RES Assumptions'!AA$2,'RES Assumptions T15'!$V$3:$W$35,2,FALSE),'RES Assumptions T15'!$E$2:$S$2,0))</f>
        <v>0.5</v>
      </c>
      <c r="AB13" s="14">
        <f ca="1">OFFSET('RES Assumptions T15'!$D13,0,MATCH(VLOOKUP('RES Assumptions'!AB$2,'RES Assumptions T15'!$V$3:$W$35,2,FALSE),'RES Assumptions T15'!$E$2:$S$2,0))</f>
        <v>1</v>
      </c>
      <c r="AC13" s="14">
        <f ca="1">OFFSET('RES Assumptions T15'!$D13,0,MATCH(VLOOKUP('RES Assumptions'!AC$2,'RES Assumptions T15'!$V$3:$W$35,2,FALSE),'RES Assumptions T15'!$E$2:$S$2,0))</f>
        <v>0.9</v>
      </c>
      <c r="AD13" s="14">
        <f ca="1">OFFSET('RES Assumptions T15'!$D13,0,MATCH(VLOOKUP('RES Assumptions'!AD$2,'RES Assumptions T15'!$V$3:$W$35,2,FALSE),'RES Assumptions T15'!$E$2:$S$2,0))</f>
        <v>0.5</v>
      </c>
      <c r="AE13" s="14">
        <f ca="1">OFFSET('RES Assumptions T15'!$D13,0,MATCH(VLOOKUP('RES Assumptions'!AE$2,'RES Assumptions T15'!$V$3:$W$35,2,FALSE),'RES Assumptions T15'!$E$2:$S$2,0))</f>
        <v>1</v>
      </c>
      <c r="AF13" s="14">
        <f ca="1">OFFSET('RES Assumptions T15'!$D13,0,MATCH(VLOOKUP('RES Assumptions'!AF$2,'RES Assumptions T15'!$V$3:$W$35,2,FALSE),'RES Assumptions T15'!$E$2:$S$2,0))</f>
        <v>1</v>
      </c>
      <c r="AG13" s="14">
        <f ca="1">OFFSET('RES Assumptions T15'!$D13,0,MATCH(VLOOKUP('RES Assumptions'!AG$2,'RES Assumptions T15'!$V$3:$W$35,2,FALSE),'RES Assumptions T15'!$E$2:$S$2,0))</f>
        <v>1</v>
      </c>
      <c r="AH13" s="14">
        <f ca="1">OFFSET('RES Assumptions T15'!$D13,0,MATCH(VLOOKUP('RES Assumptions'!AH$2,'RES Assumptions T15'!$V$3:$W$35,2,FALSE),'RES Assumptions T15'!$E$2:$S$2,0))</f>
        <v>1</v>
      </c>
      <c r="AK13" s="10">
        <f ca="1">IFERROR(SUMIFS('RES balance'!E$5:E$25,'RES balance'!$D$5:$D$25,'RES Assumptions'!$A13)*E13,"")</f>
        <v>0</v>
      </c>
      <c r="AL13" s="10">
        <f ca="1">IFERROR(SUMIFS('RES balance'!F$5:F$25,'RES balance'!$D$5:$D$25,'RES Assumptions'!$A13)*F13,"")</f>
        <v>0</v>
      </c>
      <c r="AM13" s="10">
        <f ca="1">IFERROR(SUMIFS('RES balance'!G$5:G$25,'RES balance'!$D$5:$D$25,'RES Assumptions'!$A13)*G13,"")</f>
        <v>0</v>
      </c>
      <c r="AN13" s="10">
        <f ca="1">IFERROR(SUMIFS('RES balance'!H$5:H$25,'RES balance'!$D$5:$D$25,'RES Assumptions'!$A13)*H13,"")</f>
        <v>0</v>
      </c>
      <c r="AO13" s="10">
        <f ca="1">IFERROR(SUMIFS('RES balance'!I$5:I$25,'RES balance'!$D$5:$D$25,'RES Assumptions'!$A13)*I13,"")</f>
        <v>0</v>
      </c>
      <c r="AP13" s="10">
        <f ca="1">IFERROR(SUMIFS('RES balance'!J$5:J$25,'RES balance'!$D$5:$D$25,'RES Assumptions'!$A13)*J13,"")</f>
        <v>0</v>
      </c>
      <c r="AQ13" s="10">
        <f ca="1">IFERROR(SUMIFS('RES balance'!K$5:K$25,'RES balance'!$D$5:$D$25,'RES Assumptions'!$A13)*K13,"")</f>
        <v>0</v>
      </c>
      <c r="AR13" s="10">
        <f ca="1">IFERROR(SUMIFS('RES balance'!L$5:L$25,'RES balance'!$D$5:$D$25,'RES Assumptions'!$A13)*L13,"")</f>
        <v>0</v>
      </c>
      <c r="AS13" s="10">
        <f ca="1">IFERROR(SUMIFS('RES balance'!M$5:M$25,'RES balance'!$D$5:$D$25,'RES Assumptions'!$A13)*M13,"")</f>
        <v>0</v>
      </c>
      <c r="AT13" s="10">
        <f ca="1">IFERROR(SUMIFS('RES balance'!N$5:N$25,'RES balance'!$D$5:$D$25,'RES Assumptions'!$A13)*N13,"")</f>
        <v>0</v>
      </c>
      <c r="AU13" s="10">
        <f ca="1">IFERROR(SUMIFS('RES balance'!O$5:O$25,'RES balance'!$D$5:$D$25,'RES Assumptions'!$A13)*O13,"")</f>
        <v>0</v>
      </c>
      <c r="AV13" s="10">
        <f ca="1">IFERROR(SUMIFS('RES balance'!P$5:P$25,'RES balance'!$D$5:$D$25,'RES Assumptions'!$A13)*P13,"")</f>
        <v>0</v>
      </c>
      <c r="AW13" s="10">
        <f ca="1">IFERROR(SUMIFS('RES balance'!Q$5:Q$25,'RES balance'!$D$5:$D$25,'RES Assumptions'!$A13)*Q13,"")</f>
        <v>0</v>
      </c>
      <c r="AX13" s="10">
        <f ca="1">IFERROR(SUMIFS('RES balance'!R$5:R$25,'RES balance'!$D$5:$D$25,'RES Assumptions'!$A13)*R13,"")</f>
        <v>0</v>
      </c>
      <c r="AY13" s="10">
        <f ca="1">IFERROR(SUMIFS('RES balance'!S$5:S$25,'RES balance'!$D$5:$D$25,'RES Assumptions'!$A13)*S13,"")</f>
        <v>0</v>
      </c>
      <c r="AZ13" s="10">
        <f ca="1">IFERROR(SUMIFS('RES balance'!T$5:T$25,'RES balance'!$D$5:$D$25,'RES Assumptions'!$A13)*T13,"")</f>
        <v>0</v>
      </c>
      <c r="BA13" s="10">
        <f ca="1">IFERROR(SUMIFS('RES balance'!U$5:U$25,'RES balance'!$D$5:$D$25,'RES Assumptions'!$A13)*U13,"")</f>
        <v>0</v>
      </c>
      <c r="BB13" s="10">
        <f ca="1">IFERROR(SUMIFS('RES balance'!V$5:V$25,'RES balance'!$D$5:$D$25,'RES Assumptions'!$A13)*V13,"")</f>
        <v>0</v>
      </c>
      <c r="BC13" s="10">
        <f ca="1">IFERROR(SUMIFS('RES balance'!W$5:W$25,'RES balance'!$D$5:$D$25,'RES Assumptions'!$A13)*W13,"")</f>
        <v>0</v>
      </c>
      <c r="BD13" s="10">
        <f ca="1">IFERROR(SUMIFS('RES balance'!X$5:X$25,'RES balance'!$D$5:$D$25,'RES Assumptions'!$A13)*X13,"")</f>
        <v>0</v>
      </c>
      <c r="BE13" s="10">
        <f ca="1">IFERROR(SUMIFS('RES balance'!Y$5:Y$25,'RES balance'!$D$5:$D$25,'RES Assumptions'!$A13)*Y13,"")</f>
        <v>0</v>
      </c>
      <c r="BF13" s="10">
        <f ca="1">IFERROR(SUMIFS('RES balance'!Z$5:Z$25,'RES balance'!$D$5:$D$25,'RES Assumptions'!$A13)*Z13,"")</f>
        <v>0</v>
      </c>
      <c r="BG13" s="10">
        <f ca="1">IFERROR(SUMIFS('RES balance'!AA$5:AA$25,'RES balance'!$D$5:$D$25,'RES Assumptions'!$A13)*AA13,"")</f>
        <v>0</v>
      </c>
      <c r="BH13" s="10">
        <f ca="1">IFERROR(SUMIFS('RES balance'!AB$5:AB$25,'RES balance'!$D$5:$D$25,'RES Assumptions'!$A13)*AB13,"")</f>
        <v>0</v>
      </c>
      <c r="BI13" s="10">
        <f ca="1">IFERROR(SUMIFS('RES balance'!AC$5:AC$25,'RES balance'!$D$5:$D$25,'RES Assumptions'!$A13)*AC13,"")</f>
        <v>0</v>
      </c>
      <c r="BJ13" s="10">
        <f ca="1">IFERROR(SUMIFS('RES balance'!AD$5:AD$25,'RES balance'!$D$5:$D$25,'RES Assumptions'!$A13)*AD13,"")</f>
        <v>0</v>
      </c>
      <c r="BK13" s="10">
        <f ca="1">IFERROR(SUMIFS('RES balance'!AE$5:AE$25,'RES balance'!$D$5:$D$25,'RES Assumptions'!$A13)*AE13,"")</f>
        <v>0</v>
      </c>
      <c r="BL13" s="10">
        <f ca="1">IFERROR(SUMIFS('RES balance'!AF$5:AF$25,'RES balance'!$D$5:$D$25,'RES Assumptions'!$A13)*AF13,"")</f>
        <v>0</v>
      </c>
      <c r="BM13" s="10">
        <f ca="1">IFERROR(SUMIFS('RES balance'!AG$5:AG$25,'RES balance'!$D$5:$D$25,'RES Assumptions'!$A13)*AG13,"")</f>
        <v>0</v>
      </c>
      <c r="BN13" s="10">
        <f ca="1">IFERROR(SUMIFS('RES balance'!AH$5:AH$25,'RES balance'!$D$5:$D$25,'RES Assumptions'!$A13)*AH13,"")</f>
        <v>0</v>
      </c>
    </row>
    <row r="14" spans="1:66" x14ac:dyDescent="0.45">
      <c r="A14" s="8">
        <f>VLOOKUP(C14,'RES balance'!$AL$5:$AM$25,2,FALSE)</f>
        <v>0</v>
      </c>
      <c r="B14" s="36"/>
      <c r="C14" s="20" t="s">
        <v>73</v>
      </c>
      <c r="D14" s="21" t="s">
        <v>64</v>
      </c>
      <c r="E14" s="14">
        <f ca="1">OFFSET('RES Assumptions T15'!$D14,0,MATCH(VLOOKUP('RES Assumptions'!E$2,'RES Assumptions T15'!$V$3:$W$35,2,FALSE),'RES Assumptions T15'!$E$2:$S$2,0))</f>
        <v>0</v>
      </c>
      <c r="F14" s="14">
        <f ca="1">OFFSET('RES Assumptions T15'!$D14,0,MATCH(VLOOKUP('RES Assumptions'!F$2,'RES Assumptions T15'!$V$3:$W$35,2,FALSE),'RES Assumptions T15'!$E$2:$S$2,0))</f>
        <v>0</v>
      </c>
      <c r="G14" s="14">
        <f ca="1">OFFSET('RES Assumptions T15'!$D14,0,MATCH(VLOOKUP('RES Assumptions'!G$2,'RES Assumptions T15'!$V$3:$W$35,2,FALSE),'RES Assumptions T15'!$E$2:$S$2,0))</f>
        <v>0</v>
      </c>
      <c r="H14" s="14">
        <f ca="1">OFFSET('RES Assumptions T15'!$D14,0,MATCH(VLOOKUP('RES Assumptions'!H$2,'RES Assumptions T15'!$V$3:$W$35,2,FALSE),'RES Assumptions T15'!$E$2:$S$2,0))</f>
        <v>0.1</v>
      </c>
      <c r="I14" s="14">
        <f ca="1">OFFSET('RES Assumptions T15'!$D14,0,MATCH(VLOOKUP('RES Assumptions'!I$2,'RES Assumptions T15'!$V$3:$W$35,2,FALSE),'RES Assumptions T15'!$E$2:$S$2,0))</f>
        <v>0</v>
      </c>
      <c r="J14" s="14">
        <f ca="1">OFFSET('RES Assumptions T15'!$D14,0,MATCH(VLOOKUP('RES Assumptions'!J$2,'RES Assumptions T15'!$V$3:$W$35,2,FALSE),'RES Assumptions T15'!$E$2:$S$2,0))</f>
        <v>0</v>
      </c>
      <c r="K14" s="14">
        <f ca="1">OFFSET('RES Assumptions T15'!$D14,0,MATCH(VLOOKUP('RES Assumptions'!K$2,'RES Assumptions T15'!$V$3:$W$35,2,FALSE),'RES Assumptions T15'!$E$2:$S$2,0))</f>
        <v>0</v>
      </c>
      <c r="L14" s="14">
        <f ca="1">OFFSET('RES Assumptions T15'!$D14,0,MATCH(VLOOKUP('RES Assumptions'!L$2,'RES Assumptions T15'!$V$3:$W$35,2,FALSE),'RES Assumptions T15'!$E$2:$S$2,0))</f>
        <v>0</v>
      </c>
      <c r="M14" s="14">
        <f ca="1">OFFSET('RES Assumptions T15'!$D14,0,MATCH(VLOOKUP('RES Assumptions'!M$2,'RES Assumptions T15'!$V$3:$W$35,2,FALSE),'RES Assumptions T15'!$E$2:$S$2,0))</f>
        <v>0</v>
      </c>
      <c r="N14" s="14">
        <f ca="1">OFFSET('RES Assumptions T15'!$D14,0,MATCH(VLOOKUP('RES Assumptions'!N$2,'RES Assumptions T15'!$V$3:$W$35,2,FALSE),'RES Assumptions T15'!$E$2:$S$2,0))</f>
        <v>0</v>
      </c>
      <c r="O14" s="14">
        <f ca="1">OFFSET('RES Assumptions T15'!$D14,0,MATCH(VLOOKUP('RES Assumptions'!O$2,'RES Assumptions T15'!$V$3:$W$35,2,FALSE),'RES Assumptions T15'!$E$2:$S$2,0))</f>
        <v>0</v>
      </c>
      <c r="P14" s="14">
        <f ca="1">OFFSET('RES Assumptions T15'!$D14,0,MATCH(VLOOKUP('RES Assumptions'!P$2,'RES Assumptions T15'!$V$3:$W$35,2,FALSE),'RES Assumptions T15'!$E$2:$S$2,0))</f>
        <v>0.1</v>
      </c>
      <c r="Q14" s="14">
        <f ca="1">OFFSET('RES Assumptions T15'!$D14,0,MATCH(VLOOKUP('RES Assumptions'!Q$2,'RES Assumptions T15'!$V$3:$W$35,2,FALSE),'RES Assumptions T15'!$E$2:$S$2,0))</f>
        <v>0</v>
      </c>
      <c r="R14" s="14">
        <f ca="1">OFFSET('RES Assumptions T15'!$D14,0,MATCH(VLOOKUP('RES Assumptions'!R$2,'RES Assumptions T15'!$V$3:$W$35,2,FALSE),'RES Assumptions T15'!$E$2:$S$2,0))</f>
        <v>0</v>
      </c>
      <c r="S14" s="14">
        <f ca="1">OFFSET('RES Assumptions T15'!$D14,0,MATCH(VLOOKUP('RES Assumptions'!S$2,'RES Assumptions T15'!$V$3:$W$35,2,FALSE),'RES Assumptions T15'!$E$2:$S$2,0))</f>
        <v>0.1</v>
      </c>
      <c r="T14" s="14">
        <f ca="1">OFFSET('RES Assumptions T15'!$D14,0,MATCH(VLOOKUP('RES Assumptions'!T$2,'RES Assumptions T15'!$V$3:$W$35,2,FALSE),'RES Assumptions T15'!$E$2:$S$2,0))</f>
        <v>0</v>
      </c>
      <c r="U14" s="14">
        <f ca="1">OFFSET('RES Assumptions T15'!$D14,0,MATCH(VLOOKUP('RES Assumptions'!U$2,'RES Assumptions T15'!$V$3:$W$35,2,FALSE),'RES Assumptions T15'!$E$2:$S$2,0))</f>
        <v>0.5</v>
      </c>
      <c r="V14" s="14">
        <f ca="1">OFFSET('RES Assumptions T15'!$D14,0,MATCH(VLOOKUP('RES Assumptions'!V$2,'RES Assumptions T15'!$V$3:$W$35,2,FALSE),'RES Assumptions T15'!$E$2:$S$2,0))</f>
        <v>0</v>
      </c>
      <c r="W14" s="14">
        <f ca="1">OFFSET('RES Assumptions T15'!$D14,0,MATCH(VLOOKUP('RES Assumptions'!W$2,'RES Assumptions T15'!$V$3:$W$35,2,FALSE),'RES Assumptions T15'!$E$2:$S$2,0))</f>
        <v>0</v>
      </c>
      <c r="X14" s="14">
        <f ca="1">OFFSET('RES Assumptions T15'!$D14,0,MATCH(VLOOKUP('RES Assumptions'!X$2,'RES Assumptions T15'!$V$3:$W$35,2,FALSE),'RES Assumptions T15'!$E$2:$S$2,0))</f>
        <v>0</v>
      </c>
      <c r="Y14" s="14">
        <f ca="1">OFFSET('RES Assumptions T15'!$D14,0,MATCH(VLOOKUP('RES Assumptions'!Y$2,'RES Assumptions T15'!$V$3:$W$35,2,FALSE),'RES Assumptions T15'!$E$2:$S$2,0))</f>
        <v>0</v>
      </c>
      <c r="Z14" s="14">
        <f ca="1">OFFSET('RES Assumptions T15'!$D14,0,MATCH(VLOOKUP('RES Assumptions'!Z$2,'RES Assumptions T15'!$V$3:$W$35,2,FALSE),'RES Assumptions T15'!$E$2:$S$2,0))</f>
        <v>0.5</v>
      </c>
      <c r="AA14" s="14">
        <f ca="1">OFFSET('RES Assumptions T15'!$D14,0,MATCH(VLOOKUP('RES Assumptions'!AA$2,'RES Assumptions T15'!$V$3:$W$35,2,FALSE),'RES Assumptions T15'!$E$2:$S$2,0))</f>
        <v>0.5</v>
      </c>
      <c r="AB14" s="14">
        <f ca="1">OFFSET('RES Assumptions T15'!$D14,0,MATCH(VLOOKUP('RES Assumptions'!AB$2,'RES Assumptions T15'!$V$3:$W$35,2,FALSE),'RES Assumptions T15'!$E$2:$S$2,0))</f>
        <v>0</v>
      </c>
      <c r="AC14" s="14">
        <f ca="1">OFFSET('RES Assumptions T15'!$D14,0,MATCH(VLOOKUP('RES Assumptions'!AC$2,'RES Assumptions T15'!$V$3:$W$35,2,FALSE),'RES Assumptions T15'!$E$2:$S$2,0))</f>
        <v>0.1</v>
      </c>
      <c r="AD14" s="14">
        <f ca="1">OFFSET('RES Assumptions T15'!$D14,0,MATCH(VLOOKUP('RES Assumptions'!AD$2,'RES Assumptions T15'!$V$3:$W$35,2,FALSE),'RES Assumptions T15'!$E$2:$S$2,0))</f>
        <v>0.5</v>
      </c>
      <c r="AE14" s="14">
        <f ca="1">OFFSET('RES Assumptions T15'!$D14,0,MATCH(VLOOKUP('RES Assumptions'!AE$2,'RES Assumptions T15'!$V$3:$W$35,2,FALSE),'RES Assumptions T15'!$E$2:$S$2,0))</f>
        <v>0</v>
      </c>
      <c r="AF14" s="14">
        <f ca="1">OFFSET('RES Assumptions T15'!$D14,0,MATCH(VLOOKUP('RES Assumptions'!AF$2,'RES Assumptions T15'!$V$3:$W$35,2,FALSE),'RES Assumptions T15'!$E$2:$S$2,0))</f>
        <v>0</v>
      </c>
      <c r="AG14" s="14">
        <f ca="1">OFFSET('RES Assumptions T15'!$D14,0,MATCH(VLOOKUP('RES Assumptions'!AG$2,'RES Assumptions T15'!$V$3:$W$35,2,FALSE),'RES Assumptions T15'!$E$2:$S$2,0))</f>
        <v>0</v>
      </c>
      <c r="AH14" s="14">
        <f ca="1">OFFSET('RES Assumptions T15'!$D14,0,MATCH(VLOOKUP('RES Assumptions'!AH$2,'RES Assumptions T15'!$V$3:$W$35,2,FALSE),'RES Assumptions T15'!$E$2:$S$2,0))</f>
        <v>0</v>
      </c>
      <c r="AK14" s="10">
        <f ca="1">IFERROR(SUMIFS('RES balance'!E$5:E$25,'RES balance'!$D$5:$D$25,'RES Assumptions'!$A14)*E14,"")</f>
        <v>0</v>
      </c>
      <c r="AL14" s="10">
        <f ca="1">IFERROR(SUMIFS('RES balance'!F$5:F$25,'RES balance'!$D$5:$D$25,'RES Assumptions'!$A14)*F14,"")</f>
        <v>0</v>
      </c>
      <c r="AM14" s="10">
        <f ca="1">IFERROR(SUMIFS('RES balance'!G$5:G$25,'RES balance'!$D$5:$D$25,'RES Assumptions'!$A14)*G14,"")</f>
        <v>0</v>
      </c>
      <c r="AN14" s="10">
        <f ca="1">IFERROR(SUMIFS('RES balance'!H$5:H$25,'RES balance'!$D$5:$D$25,'RES Assumptions'!$A14)*H14,"")</f>
        <v>0</v>
      </c>
      <c r="AO14" s="10">
        <f ca="1">IFERROR(SUMIFS('RES balance'!I$5:I$25,'RES balance'!$D$5:$D$25,'RES Assumptions'!$A14)*I14,"")</f>
        <v>0</v>
      </c>
      <c r="AP14" s="10">
        <f ca="1">IFERROR(SUMIFS('RES balance'!J$5:J$25,'RES balance'!$D$5:$D$25,'RES Assumptions'!$A14)*J14,"")</f>
        <v>0</v>
      </c>
      <c r="AQ14" s="10">
        <f ca="1">IFERROR(SUMIFS('RES balance'!K$5:K$25,'RES balance'!$D$5:$D$25,'RES Assumptions'!$A14)*K14,"")</f>
        <v>0</v>
      </c>
      <c r="AR14" s="10">
        <f ca="1">IFERROR(SUMIFS('RES balance'!L$5:L$25,'RES balance'!$D$5:$D$25,'RES Assumptions'!$A14)*L14,"")</f>
        <v>0</v>
      </c>
      <c r="AS14" s="10">
        <f ca="1">IFERROR(SUMIFS('RES balance'!M$5:M$25,'RES balance'!$D$5:$D$25,'RES Assumptions'!$A14)*M14,"")</f>
        <v>0</v>
      </c>
      <c r="AT14" s="10">
        <f ca="1">IFERROR(SUMIFS('RES balance'!N$5:N$25,'RES balance'!$D$5:$D$25,'RES Assumptions'!$A14)*N14,"")</f>
        <v>0</v>
      </c>
      <c r="AU14" s="10">
        <f ca="1">IFERROR(SUMIFS('RES balance'!O$5:O$25,'RES balance'!$D$5:$D$25,'RES Assumptions'!$A14)*O14,"")</f>
        <v>0</v>
      </c>
      <c r="AV14" s="10">
        <f ca="1">IFERROR(SUMIFS('RES balance'!P$5:P$25,'RES balance'!$D$5:$D$25,'RES Assumptions'!$A14)*P14,"")</f>
        <v>0</v>
      </c>
      <c r="AW14" s="10">
        <f ca="1">IFERROR(SUMIFS('RES balance'!Q$5:Q$25,'RES balance'!$D$5:$D$25,'RES Assumptions'!$A14)*Q14,"")</f>
        <v>0</v>
      </c>
      <c r="AX14" s="10">
        <f ca="1">IFERROR(SUMIFS('RES balance'!R$5:R$25,'RES balance'!$D$5:$D$25,'RES Assumptions'!$A14)*R14,"")</f>
        <v>0</v>
      </c>
      <c r="AY14" s="10">
        <f ca="1">IFERROR(SUMIFS('RES balance'!S$5:S$25,'RES balance'!$D$5:$D$25,'RES Assumptions'!$A14)*S14,"")</f>
        <v>0</v>
      </c>
      <c r="AZ14" s="10">
        <f ca="1">IFERROR(SUMIFS('RES balance'!T$5:T$25,'RES balance'!$D$5:$D$25,'RES Assumptions'!$A14)*T14,"")</f>
        <v>0</v>
      </c>
      <c r="BA14" s="10">
        <f ca="1">IFERROR(SUMIFS('RES balance'!U$5:U$25,'RES balance'!$D$5:$D$25,'RES Assumptions'!$A14)*U14,"")</f>
        <v>0</v>
      </c>
      <c r="BB14" s="10">
        <f ca="1">IFERROR(SUMIFS('RES balance'!V$5:V$25,'RES balance'!$D$5:$D$25,'RES Assumptions'!$A14)*V14,"")</f>
        <v>0</v>
      </c>
      <c r="BC14" s="10">
        <f ca="1">IFERROR(SUMIFS('RES balance'!W$5:W$25,'RES balance'!$D$5:$D$25,'RES Assumptions'!$A14)*W14,"")</f>
        <v>0</v>
      </c>
      <c r="BD14" s="10">
        <f ca="1">IFERROR(SUMIFS('RES balance'!X$5:X$25,'RES balance'!$D$5:$D$25,'RES Assumptions'!$A14)*X14,"")</f>
        <v>0</v>
      </c>
      <c r="BE14" s="10">
        <f ca="1">IFERROR(SUMIFS('RES balance'!Y$5:Y$25,'RES balance'!$D$5:$D$25,'RES Assumptions'!$A14)*Y14,"")</f>
        <v>0</v>
      </c>
      <c r="BF14" s="10">
        <f ca="1">IFERROR(SUMIFS('RES balance'!Z$5:Z$25,'RES balance'!$D$5:$D$25,'RES Assumptions'!$A14)*Z14,"")</f>
        <v>0</v>
      </c>
      <c r="BG14" s="10">
        <f ca="1">IFERROR(SUMIFS('RES balance'!AA$5:AA$25,'RES balance'!$D$5:$D$25,'RES Assumptions'!$A14)*AA14,"")</f>
        <v>0</v>
      </c>
      <c r="BH14" s="10">
        <f ca="1">IFERROR(SUMIFS('RES balance'!AB$5:AB$25,'RES balance'!$D$5:$D$25,'RES Assumptions'!$A14)*AB14,"")</f>
        <v>0</v>
      </c>
      <c r="BI14" s="10">
        <f ca="1">IFERROR(SUMIFS('RES balance'!AC$5:AC$25,'RES balance'!$D$5:$D$25,'RES Assumptions'!$A14)*AC14,"")</f>
        <v>0</v>
      </c>
      <c r="BJ14" s="10">
        <f ca="1">IFERROR(SUMIFS('RES balance'!AD$5:AD$25,'RES balance'!$D$5:$D$25,'RES Assumptions'!$A14)*AD14,"")</f>
        <v>0</v>
      </c>
      <c r="BK14" s="10">
        <f ca="1">IFERROR(SUMIFS('RES balance'!AE$5:AE$25,'RES balance'!$D$5:$D$25,'RES Assumptions'!$A14)*AE14,"")</f>
        <v>0</v>
      </c>
      <c r="BL14" s="10">
        <f ca="1">IFERROR(SUMIFS('RES balance'!AF$5:AF$25,'RES balance'!$D$5:$D$25,'RES Assumptions'!$A14)*AF14,"")</f>
        <v>0</v>
      </c>
      <c r="BM14" s="10">
        <f ca="1">IFERROR(SUMIFS('RES balance'!AG$5:AG$25,'RES balance'!$D$5:$D$25,'RES Assumptions'!$A14)*AG14,"")</f>
        <v>0</v>
      </c>
      <c r="BN14" s="10">
        <f ca="1">IFERROR(SUMIFS('RES balance'!AH$5:AH$25,'RES balance'!$D$5:$D$25,'RES Assumptions'!$A14)*AH14,"")</f>
        <v>0</v>
      </c>
    </row>
    <row r="15" spans="1:66" x14ac:dyDescent="0.45">
      <c r="A15" s="8">
        <f>VLOOKUP(C15,'RES balance'!$AL$5:$AM$25,2,FALSE)</f>
        <v>0</v>
      </c>
      <c r="B15" s="36"/>
      <c r="C15" s="22" t="s">
        <v>73</v>
      </c>
      <c r="D15" s="23" t="s">
        <v>70</v>
      </c>
      <c r="E15" s="14">
        <f ca="1">OFFSET('RES Assumptions T15'!$D15,0,MATCH(VLOOKUP('RES Assumptions'!E$2,'RES Assumptions T15'!$V$3:$W$35,2,FALSE),'RES Assumptions T15'!$E$2:$S$2,0))</f>
        <v>0</v>
      </c>
      <c r="F15" s="14">
        <f ca="1">OFFSET('RES Assumptions T15'!$D15,0,MATCH(VLOOKUP('RES Assumptions'!F$2,'RES Assumptions T15'!$V$3:$W$35,2,FALSE),'RES Assumptions T15'!$E$2:$S$2,0))</f>
        <v>0</v>
      </c>
      <c r="G15" s="14">
        <f ca="1">OFFSET('RES Assumptions T15'!$D15,0,MATCH(VLOOKUP('RES Assumptions'!G$2,'RES Assumptions T15'!$V$3:$W$35,2,FALSE),'RES Assumptions T15'!$E$2:$S$2,0))</f>
        <v>0</v>
      </c>
      <c r="H15" s="14">
        <f ca="1">OFFSET('RES Assumptions T15'!$D15,0,MATCH(VLOOKUP('RES Assumptions'!H$2,'RES Assumptions T15'!$V$3:$W$35,2,FALSE),'RES Assumptions T15'!$E$2:$S$2,0))</f>
        <v>0</v>
      </c>
      <c r="I15" s="14">
        <f ca="1">OFFSET('RES Assumptions T15'!$D15,0,MATCH(VLOOKUP('RES Assumptions'!I$2,'RES Assumptions T15'!$V$3:$W$35,2,FALSE),'RES Assumptions T15'!$E$2:$S$2,0))</f>
        <v>0</v>
      </c>
      <c r="J15" s="14">
        <f ca="1">OFFSET('RES Assumptions T15'!$D15,0,MATCH(VLOOKUP('RES Assumptions'!J$2,'RES Assumptions T15'!$V$3:$W$35,2,FALSE),'RES Assumptions T15'!$E$2:$S$2,0))</f>
        <v>0</v>
      </c>
      <c r="K15" s="14">
        <f ca="1">OFFSET('RES Assumptions T15'!$D15,0,MATCH(VLOOKUP('RES Assumptions'!K$2,'RES Assumptions T15'!$V$3:$W$35,2,FALSE),'RES Assumptions T15'!$E$2:$S$2,0))</f>
        <v>0</v>
      </c>
      <c r="L15" s="14">
        <f ca="1">OFFSET('RES Assumptions T15'!$D15,0,MATCH(VLOOKUP('RES Assumptions'!L$2,'RES Assumptions T15'!$V$3:$W$35,2,FALSE),'RES Assumptions T15'!$E$2:$S$2,0))</f>
        <v>0</v>
      </c>
      <c r="M15" s="14">
        <f ca="1">OFFSET('RES Assumptions T15'!$D15,0,MATCH(VLOOKUP('RES Assumptions'!M$2,'RES Assumptions T15'!$V$3:$W$35,2,FALSE),'RES Assumptions T15'!$E$2:$S$2,0))</f>
        <v>0</v>
      </c>
      <c r="N15" s="14">
        <f ca="1">OFFSET('RES Assumptions T15'!$D15,0,MATCH(VLOOKUP('RES Assumptions'!N$2,'RES Assumptions T15'!$V$3:$W$35,2,FALSE),'RES Assumptions T15'!$E$2:$S$2,0))</f>
        <v>0</v>
      </c>
      <c r="O15" s="14">
        <f ca="1">OFFSET('RES Assumptions T15'!$D15,0,MATCH(VLOOKUP('RES Assumptions'!O$2,'RES Assumptions T15'!$V$3:$W$35,2,FALSE),'RES Assumptions T15'!$E$2:$S$2,0))</f>
        <v>0</v>
      </c>
      <c r="P15" s="14">
        <f ca="1">OFFSET('RES Assumptions T15'!$D15,0,MATCH(VLOOKUP('RES Assumptions'!P$2,'RES Assumptions T15'!$V$3:$W$35,2,FALSE),'RES Assumptions T15'!$E$2:$S$2,0))</f>
        <v>0</v>
      </c>
      <c r="Q15" s="14">
        <f ca="1">OFFSET('RES Assumptions T15'!$D15,0,MATCH(VLOOKUP('RES Assumptions'!Q$2,'RES Assumptions T15'!$V$3:$W$35,2,FALSE),'RES Assumptions T15'!$E$2:$S$2,0))</f>
        <v>0</v>
      </c>
      <c r="R15" s="14">
        <f ca="1">OFFSET('RES Assumptions T15'!$D15,0,MATCH(VLOOKUP('RES Assumptions'!R$2,'RES Assumptions T15'!$V$3:$W$35,2,FALSE),'RES Assumptions T15'!$E$2:$S$2,0))</f>
        <v>0</v>
      </c>
      <c r="S15" s="14">
        <f ca="1">OFFSET('RES Assumptions T15'!$D15,0,MATCH(VLOOKUP('RES Assumptions'!S$2,'RES Assumptions T15'!$V$3:$W$35,2,FALSE),'RES Assumptions T15'!$E$2:$S$2,0))</f>
        <v>0</v>
      </c>
      <c r="T15" s="14">
        <f ca="1">OFFSET('RES Assumptions T15'!$D15,0,MATCH(VLOOKUP('RES Assumptions'!T$2,'RES Assumptions T15'!$V$3:$W$35,2,FALSE),'RES Assumptions T15'!$E$2:$S$2,0))</f>
        <v>0</v>
      </c>
      <c r="U15" s="14">
        <f ca="1">OFFSET('RES Assumptions T15'!$D15,0,MATCH(VLOOKUP('RES Assumptions'!U$2,'RES Assumptions T15'!$V$3:$W$35,2,FALSE),'RES Assumptions T15'!$E$2:$S$2,0))</f>
        <v>0</v>
      </c>
      <c r="V15" s="14">
        <f ca="1">OFFSET('RES Assumptions T15'!$D15,0,MATCH(VLOOKUP('RES Assumptions'!V$2,'RES Assumptions T15'!$V$3:$W$35,2,FALSE),'RES Assumptions T15'!$E$2:$S$2,0))</f>
        <v>0</v>
      </c>
      <c r="W15" s="14">
        <f ca="1">OFFSET('RES Assumptions T15'!$D15,0,MATCH(VLOOKUP('RES Assumptions'!W$2,'RES Assumptions T15'!$V$3:$W$35,2,FALSE),'RES Assumptions T15'!$E$2:$S$2,0))</f>
        <v>0</v>
      </c>
      <c r="X15" s="14">
        <f ca="1">OFFSET('RES Assumptions T15'!$D15,0,MATCH(VLOOKUP('RES Assumptions'!X$2,'RES Assumptions T15'!$V$3:$W$35,2,FALSE),'RES Assumptions T15'!$E$2:$S$2,0))</f>
        <v>0</v>
      </c>
      <c r="Y15" s="14">
        <f ca="1">OFFSET('RES Assumptions T15'!$D15,0,MATCH(VLOOKUP('RES Assumptions'!Y$2,'RES Assumptions T15'!$V$3:$W$35,2,FALSE),'RES Assumptions T15'!$E$2:$S$2,0))</f>
        <v>0</v>
      </c>
      <c r="Z15" s="14">
        <f ca="1">OFFSET('RES Assumptions T15'!$D15,0,MATCH(VLOOKUP('RES Assumptions'!Z$2,'RES Assumptions T15'!$V$3:$W$35,2,FALSE),'RES Assumptions T15'!$E$2:$S$2,0))</f>
        <v>0</v>
      </c>
      <c r="AA15" s="14">
        <f ca="1">OFFSET('RES Assumptions T15'!$D15,0,MATCH(VLOOKUP('RES Assumptions'!AA$2,'RES Assumptions T15'!$V$3:$W$35,2,FALSE),'RES Assumptions T15'!$E$2:$S$2,0))</f>
        <v>0</v>
      </c>
      <c r="AB15" s="14">
        <f ca="1">OFFSET('RES Assumptions T15'!$D15,0,MATCH(VLOOKUP('RES Assumptions'!AB$2,'RES Assumptions T15'!$V$3:$W$35,2,FALSE),'RES Assumptions T15'!$E$2:$S$2,0))</f>
        <v>0</v>
      </c>
      <c r="AC15" s="14">
        <f ca="1">OFFSET('RES Assumptions T15'!$D15,0,MATCH(VLOOKUP('RES Assumptions'!AC$2,'RES Assumptions T15'!$V$3:$W$35,2,FALSE),'RES Assumptions T15'!$E$2:$S$2,0))</f>
        <v>0</v>
      </c>
      <c r="AD15" s="14">
        <f ca="1">OFFSET('RES Assumptions T15'!$D15,0,MATCH(VLOOKUP('RES Assumptions'!AD$2,'RES Assumptions T15'!$V$3:$W$35,2,FALSE),'RES Assumptions T15'!$E$2:$S$2,0))</f>
        <v>0</v>
      </c>
      <c r="AE15" s="14">
        <f ca="1">OFFSET('RES Assumptions T15'!$D15,0,MATCH(VLOOKUP('RES Assumptions'!AE$2,'RES Assumptions T15'!$V$3:$W$35,2,FALSE),'RES Assumptions T15'!$E$2:$S$2,0))</f>
        <v>0</v>
      </c>
      <c r="AF15" s="14">
        <f ca="1">OFFSET('RES Assumptions T15'!$D15,0,MATCH(VLOOKUP('RES Assumptions'!AF$2,'RES Assumptions T15'!$V$3:$W$35,2,FALSE),'RES Assumptions T15'!$E$2:$S$2,0))</f>
        <v>0</v>
      </c>
      <c r="AG15" s="14">
        <f ca="1">OFFSET('RES Assumptions T15'!$D15,0,MATCH(VLOOKUP('RES Assumptions'!AG$2,'RES Assumptions T15'!$V$3:$W$35,2,FALSE),'RES Assumptions T15'!$E$2:$S$2,0))</f>
        <v>0</v>
      </c>
      <c r="AH15" s="14">
        <f ca="1">OFFSET('RES Assumptions T15'!$D15,0,MATCH(VLOOKUP('RES Assumptions'!AH$2,'RES Assumptions T15'!$V$3:$W$35,2,FALSE),'RES Assumptions T15'!$E$2:$S$2,0))</f>
        <v>0</v>
      </c>
      <c r="AK15" s="10">
        <f ca="1">IFERROR(SUMIFS('RES balance'!E$5:E$25,'RES balance'!$D$5:$D$25,'RES Assumptions'!$A15)*E15,"")</f>
        <v>0</v>
      </c>
      <c r="AL15" s="10">
        <f ca="1">IFERROR(SUMIFS('RES balance'!F$5:F$25,'RES balance'!$D$5:$D$25,'RES Assumptions'!$A15)*F15,"")</f>
        <v>0</v>
      </c>
      <c r="AM15" s="10">
        <f ca="1">IFERROR(SUMIFS('RES balance'!G$5:G$25,'RES balance'!$D$5:$D$25,'RES Assumptions'!$A15)*G15,"")</f>
        <v>0</v>
      </c>
      <c r="AN15" s="10">
        <f ca="1">IFERROR(SUMIFS('RES balance'!H$5:H$25,'RES balance'!$D$5:$D$25,'RES Assumptions'!$A15)*H15,"")</f>
        <v>0</v>
      </c>
      <c r="AO15" s="10">
        <f ca="1">IFERROR(SUMIFS('RES balance'!I$5:I$25,'RES balance'!$D$5:$D$25,'RES Assumptions'!$A15)*I15,"")</f>
        <v>0</v>
      </c>
      <c r="AP15" s="10">
        <f ca="1">IFERROR(SUMIFS('RES balance'!J$5:J$25,'RES balance'!$D$5:$D$25,'RES Assumptions'!$A15)*J15,"")</f>
        <v>0</v>
      </c>
      <c r="AQ15" s="10">
        <f ca="1">IFERROR(SUMIFS('RES balance'!K$5:K$25,'RES balance'!$D$5:$D$25,'RES Assumptions'!$A15)*K15,"")</f>
        <v>0</v>
      </c>
      <c r="AR15" s="10">
        <f ca="1">IFERROR(SUMIFS('RES balance'!L$5:L$25,'RES balance'!$D$5:$D$25,'RES Assumptions'!$A15)*L15,"")</f>
        <v>0</v>
      </c>
      <c r="AS15" s="10">
        <f ca="1">IFERROR(SUMIFS('RES balance'!M$5:M$25,'RES balance'!$D$5:$D$25,'RES Assumptions'!$A15)*M15,"")</f>
        <v>0</v>
      </c>
      <c r="AT15" s="10">
        <f ca="1">IFERROR(SUMIFS('RES balance'!N$5:N$25,'RES balance'!$D$5:$D$25,'RES Assumptions'!$A15)*N15,"")</f>
        <v>0</v>
      </c>
      <c r="AU15" s="10">
        <f ca="1">IFERROR(SUMIFS('RES balance'!O$5:O$25,'RES balance'!$D$5:$D$25,'RES Assumptions'!$A15)*O15,"")</f>
        <v>0</v>
      </c>
      <c r="AV15" s="10">
        <f ca="1">IFERROR(SUMIFS('RES balance'!P$5:P$25,'RES balance'!$D$5:$D$25,'RES Assumptions'!$A15)*P15,"")</f>
        <v>0</v>
      </c>
      <c r="AW15" s="10">
        <f ca="1">IFERROR(SUMIFS('RES balance'!Q$5:Q$25,'RES balance'!$D$5:$D$25,'RES Assumptions'!$A15)*Q15,"")</f>
        <v>0</v>
      </c>
      <c r="AX15" s="10">
        <f ca="1">IFERROR(SUMIFS('RES balance'!R$5:R$25,'RES balance'!$D$5:$D$25,'RES Assumptions'!$A15)*R15,"")</f>
        <v>0</v>
      </c>
      <c r="AY15" s="10">
        <f ca="1">IFERROR(SUMIFS('RES balance'!S$5:S$25,'RES balance'!$D$5:$D$25,'RES Assumptions'!$A15)*S15,"")</f>
        <v>0</v>
      </c>
      <c r="AZ15" s="10">
        <f ca="1">IFERROR(SUMIFS('RES balance'!T$5:T$25,'RES balance'!$D$5:$D$25,'RES Assumptions'!$A15)*T15,"")</f>
        <v>0</v>
      </c>
      <c r="BA15" s="10">
        <f ca="1">IFERROR(SUMIFS('RES balance'!U$5:U$25,'RES balance'!$D$5:$D$25,'RES Assumptions'!$A15)*U15,"")</f>
        <v>0</v>
      </c>
      <c r="BB15" s="10">
        <f ca="1">IFERROR(SUMIFS('RES balance'!V$5:V$25,'RES balance'!$D$5:$D$25,'RES Assumptions'!$A15)*V15,"")</f>
        <v>0</v>
      </c>
      <c r="BC15" s="10">
        <f ca="1">IFERROR(SUMIFS('RES balance'!W$5:W$25,'RES balance'!$D$5:$D$25,'RES Assumptions'!$A15)*W15,"")</f>
        <v>0</v>
      </c>
      <c r="BD15" s="10">
        <f ca="1">IFERROR(SUMIFS('RES balance'!X$5:X$25,'RES balance'!$D$5:$D$25,'RES Assumptions'!$A15)*X15,"")</f>
        <v>0</v>
      </c>
      <c r="BE15" s="10">
        <f ca="1">IFERROR(SUMIFS('RES balance'!Y$5:Y$25,'RES balance'!$D$5:$D$25,'RES Assumptions'!$A15)*Y15,"")</f>
        <v>0</v>
      </c>
      <c r="BF15" s="10">
        <f ca="1">IFERROR(SUMIFS('RES balance'!Z$5:Z$25,'RES balance'!$D$5:$D$25,'RES Assumptions'!$A15)*Z15,"")</f>
        <v>0</v>
      </c>
      <c r="BG15" s="10">
        <f ca="1">IFERROR(SUMIFS('RES balance'!AA$5:AA$25,'RES balance'!$D$5:$D$25,'RES Assumptions'!$A15)*AA15,"")</f>
        <v>0</v>
      </c>
      <c r="BH15" s="10">
        <f ca="1">IFERROR(SUMIFS('RES balance'!AB$5:AB$25,'RES balance'!$D$5:$D$25,'RES Assumptions'!$A15)*AB15,"")</f>
        <v>0</v>
      </c>
      <c r="BI15" s="10">
        <f ca="1">IFERROR(SUMIFS('RES balance'!AC$5:AC$25,'RES balance'!$D$5:$D$25,'RES Assumptions'!$A15)*AC15,"")</f>
        <v>0</v>
      </c>
      <c r="BJ15" s="10">
        <f ca="1">IFERROR(SUMIFS('RES balance'!AD$5:AD$25,'RES balance'!$D$5:$D$25,'RES Assumptions'!$A15)*AD15,"")</f>
        <v>0</v>
      </c>
      <c r="BK15" s="10">
        <f ca="1">IFERROR(SUMIFS('RES balance'!AE$5:AE$25,'RES balance'!$D$5:$D$25,'RES Assumptions'!$A15)*AE15,"")</f>
        <v>0</v>
      </c>
      <c r="BL15" s="10">
        <f ca="1">IFERROR(SUMIFS('RES balance'!AF$5:AF$25,'RES balance'!$D$5:$D$25,'RES Assumptions'!$A15)*AF15,"")</f>
        <v>0</v>
      </c>
      <c r="BM15" s="10">
        <f ca="1">IFERROR(SUMIFS('RES balance'!AG$5:AG$25,'RES balance'!$D$5:$D$25,'RES Assumptions'!$A15)*AG15,"")</f>
        <v>0</v>
      </c>
      <c r="BN15" s="10">
        <f ca="1">IFERROR(SUMIFS('RES balance'!AH$5:AH$25,'RES balance'!$D$5:$D$25,'RES Assumptions'!$A15)*AH15,"")</f>
        <v>0</v>
      </c>
    </row>
    <row r="16" spans="1:66" x14ac:dyDescent="0.45">
      <c r="A16" s="8" t="str">
        <f>VLOOKUP(C16,'RES balance'!$AL$5:$AM$25,2,FALSE)</f>
        <v>RESKER</v>
      </c>
      <c r="B16" s="36"/>
      <c r="C16" s="20" t="s">
        <v>74</v>
      </c>
      <c r="D16" s="21" t="s">
        <v>62</v>
      </c>
      <c r="E16" s="14">
        <f ca="1">OFFSET('RES Assumptions T15'!$D16,0,MATCH(VLOOKUP('RES Assumptions'!E$2,'RES Assumptions T15'!$V$3:$W$35,2,FALSE),'RES Assumptions T15'!$E$2:$S$2,0))</f>
        <v>1.11994966344176E-2</v>
      </c>
      <c r="F16" s="14">
        <f ca="1">OFFSET('RES Assumptions T15'!$D16,0,MATCH(VLOOKUP('RES Assumptions'!F$2,'RES Assumptions T15'!$V$3:$W$35,2,FALSE),'RES Assumptions T15'!$E$2:$S$2,0))</f>
        <v>1.11994966344176E-2</v>
      </c>
      <c r="G16" s="14">
        <f ca="1">OFFSET('RES Assumptions T15'!$D16,0,MATCH(VLOOKUP('RES Assumptions'!G$2,'RES Assumptions T15'!$V$3:$W$35,2,FALSE),'RES Assumptions T15'!$E$2:$S$2,0))</f>
        <v>2.8907422966084801E-2</v>
      </c>
      <c r="H16" s="14">
        <f ca="1">OFFSET('RES Assumptions T15'!$D16,0,MATCH(VLOOKUP('RES Assumptions'!H$2,'RES Assumptions T15'!$V$3:$W$35,2,FALSE),'RES Assumptions T15'!$E$2:$S$2,0))</f>
        <v>0.74195819027563203</v>
      </c>
      <c r="I16" s="14">
        <f ca="1">OFFSET('RES Assumptions T15'!$D16,0,MATCH(VLOOKUP('RES Assumptions'!I$2,'RES Assumptions T15'!$V$3:$W$35,2,FALSE),'RES Assumptions T15'!$E$2:$S$2,0))</f>
        <v>0.54377694288475398</v>
      </c>
      <c r="J16" s="14">
        <f ca="1">OFFSET('RES Assumptions T15'!$D16,0,MATCH(VLOOKUP('RES Assumptions'!J$2,'RES Assumptions T15'!$V$3:$W$35,2,FALSE),'RES Assumptions T15'!$E$2:$S$2,0))</f>
        <v>0</v>
      </c>
      <c r="K16" s="14">
        <f ca="1">OFFSET('RES Assumptions T15'!$D16,0,MATCH(VLOOKUP('RES Assumptions'!K$2,'RES Assumptions T15'!$V$3:$W$35,2,FALSE),'RES Assumptions T15'!$E$2:$S$2,0))</f>
        <v>0.28924650964510301</v>
      </c>
      <c r="L16" s="14">
        <f ca="1">OFFSET('RES Assumptions T15'!$D16,0,MATCH(VLOOKUP('RES Assumptions'!L$2,'RES Assumptions T15'!$V$3:$W$35,2,FALSE),'RES Assumptions T15'!$E$2:$S$2,0))</f>
        <v>2.8907422966084801E-2</v>
      </c>
      <c r="M16" s="14">
        <f ca="1">OFFSET('RES Assumptions T15'!$D16,0,MATCH(VLOOKUP('RES Assumptions'!M$2,'RES Assumptions T15'!$V$3:$W$35,2,FALSE),'RES Assumptions T15'!$E$2:$S$2,0))</f>
        <v>0.87110070437297604</v>
      </c>
      <c r="N16" s="14">
        <f ca="1">OFFSET('RES Assumptions T15'!$D16,0,MATCH(VLOOKUP('RES Assumptions'!N$2,'RES Assumptions T15'!$V$3:$W$35,2,FALSE),'RES Assumptions T15'!$E$2:$S$2,0))</f>
        <v>0</v>
      </c>
      <c r="O16" s="14">
        <f ca="1">OFFSET('RES Assumptions T15'!$D16,0,MATCH(VLOOKUP('RES Assumptions'!O$2,'RES Assumptions T15'!$V$3:$W$35,2,FALSE),'RES Assumptions T15'!$E$2:$S$2,0))</f>
        <v>0.82458358028349898</v>
      </c>
      <c r="P16" s="14">
        <f ca="1">OFFSET('RES Assumptions T15'!$D16,0,MATCH(VLOOKUP('RES Assumptions'!P$2,'RES Assumptions T15'!$V$3:$W$35,2,FALSE),'RES Assumptions T15'!$E$2:$S$2,0))</f>
        <v>0.27814100468562702</v>
      </c>
      <c r="Q16" s="14">
        <f ca="1">OFFSET('RES Assumptions T15'!$D16,0,MATCH(VLOOKUP('RES Assumptions'!Q$2,'RES Assumptions T15'!$V$3:$W$35,2,FALSE),'RES Assumptions T15'!$E$2:$S$2,0))</f>
        <v>0.82458358028349898</v>
      </c>
      <c r="R16" s="14">
        <f ca="1">OFFSET('RES Assumptions T15'!$D16,0,MATCH(VLOOKUP('RES Assumptions'!R$2,'RES Assumptions T15'!$V$3:$W$35,2,FALSE),'RES Assumptions T15'!$E$2:$S$2,0))</f>
        <v>0.82458358028349898</v>
      </c>
      <c r="S16" s="14">
        <f ca="1">OFFSET('RES Assumptions T15'!$D16,0,MATCH(VLOOKUP('RES Assumptions'!S$2,'RES Assumptions T15'!$V$3:$W$35,2,FALSE),'RES Assumptions T15'!$E$2:$S$2,0))</f>
        <v>0.27814100468562702</v>
      </c>
      <c r="T16" s="14">
        <f ca="1">OFFSET('RES Assumptions T15'!$D16,0,MATCH(VLOOKUP('RES Assumptions'!T$2,'RES Assumptions T15'!$V$3:$W$35,2,FALSE),'RES Assumptions T15'!$E$2:$S$2,0))</f>
        <v>0.82458358028349898</v>
      </c>
      <c r="U16" s="14">
        <f ca="1">OFFSET('RES Assumptions T15'!$D16,0,MATCH(VLOOKUP('RES Assumptions'!U$2,'RES Assumptions T15'!$V$3:$W$35,2,FALSE),'RES Assumptions T15'!$E$2:$S$2,0))</f>
        <v>0.36444122803811602</v>
      </c>
      <c r="V16" s="14">
        <f ca="1">OFFSET('RES Assumptions T15'!$D16,0,MATCH(VLOOKUP('RES Assumptions'!V$2,'RES Assumptions T15'!$V$3:$W$35,2,FALSE),'RES Assumptions T15'!$E$2:$S$2,0))</f>
        <v>0.82458358028349898</v>
      </c>
      <c r="W16" s="14">
        <f ca="1">OFFSET('RES Assumptions T15'!$D16,0,MATCH(VLOOKUP('RES Assumptions'!W$2,'RES Assumptions T15'!$V$3:$W$35,2,FALSE),'RES Assumptions T15'!$E$2:$S$2,0))</f>
        <v>0.82458358028349898</v>
      </c>
      <c r="X16" s="14">
        <f ca="1">OFFSET('RES Assumptions T15'!$D16,0,MATCH(VLOOKUP('RES Assumptions'!X$2,'RES Assumptions T15'!$V$3:$W$35,2,FALSE),'RES Assumptions T15'!$E$2:$S$2,0))</f>
        <v>0</v>
      </c>
      <c r="Y16" s="14">
        <f ca="1">OFFSET('RES Assumptions T15'!$D16,0,MATCH(VLOOKUP('RES Assumptions'!Y$2,'RES Assumptions T15'!$V$3:$W$35,2,FALSE),'RES Assumptions T15'!$E$2:$S$2,0))</f>
        <v>2.8907422966084801E-2</v>
      </c>
      <c r="Z16" s="14">
        <f ca="1">OFFSET('RES Assumptions T15'!$D16,0,MATCH(VLOOKUP('RES Assumptions'!Z$2,'RES Assumptions T15'!$V$3:$W$35,2,FALSE),'RES Assumptions T15'!$E$2:$S$2,0))</f>
        <v>1.8289276077225299E-2</v>
      </c>
      <c r="AA16" s="14">
        <f ca="1">OFFSET('RES Assumptions T15'!$D16,0,MATCH(VLOOKUP('RES Assumptions'!AA$2,'RES Assumptions T15'!$V$3:$W$35,2,FALSE),'RES Assumptions T15'!$E$2:$S$2,0))</f>
        <v>0.36444122803811602</v>
      </c>
      <c r="AB16" s="14">
        <f ca="1">OFFSET('RES Assumptions T15'!$D16,0,MATCH(VLOOKUP('RES Assumptions'!AB$2,'RES Assumptions T15'!$V$3:$W$35,2,FALSE),'RES Assumptions T15'!$E$2:$S$2,0))</f>
        <v>0.82458358028349898</v>
      </c>
      <c r="AC16" s="14">
        <f ca="1">OFFSET('RES Assumptions T15'!$D16,0,MATCH(VLOOKUP('RES Assumptions'!AC$2,'RES Assumptions T15'!$V$3:$W$35,2,FALSE),'RES Assumptions T15'!$E$2:$S$2,0))</f>
        <v>0.74195819027563203</v>
      </c>
      <c r="AD16" s="14">
        <f ca="1">OFFSET('RES Assumptions T15'!$D16,0,MATCH(VLOOKUP('RES Assumptions'!AD$2,'RES Assumptions T15'!$V$3:$W$35,2,FALSE),'RES Assumptions T15'!$E$2:$S$2,0))</f>
        <v>0.36444122803811602</v>
      </c>
      <c r="AE16" s="14">
        <f ca="1">OFFSET('RES Assumptions T15'!$D16,0,MATCH(VLOOKUP('RES Assumptions'!AE$2,'RES Assumptions T15'!$V$3:$W$35,2,FALSE),'RES Assumptions T15'!$E$2:$S$2,0))</f>
        <v>1.11994966344176E-2</v>
      </c>
      <c r="AF16" s="14">
        <f ca="1">OFFSET('RES Assumptions T15'!$D16,0,MATCH(VLOOKUP('RES Assumptions'!AF$2,'RES Assumptions T15'!$V$3:$W$35,2,FALSE),'RES Assumptions T15'!$E$2:$S$2,0))</f>
        <v>0.82458358028349898</v>
      </c>
      <c r="AG16" s="14">
        <f ca="1">OFFSET('RES Assumptions T15'!$D16,0,MATCH(VLOOKUP('RES Assumptions'!AG$2,'RES Assumptions T15'!$V$3:$W$35,2,FALSE),'RES Assumptions T15'!$E$2:$S$2,0))</f>
        <v>0.83153081316014898</v>
      </c>
      <c r="AH16" s="14">
        <f ca="1">OFFSET('RES Assumptions T15'!$D16,0,MATCH(VLOOKUP('RES Assumptions'!AH$2,'RES Assumptions T15'!$V$3:$W$35,2,FALSE),'RES Assumptions T15'!$E$2:$S$2,0))</f>
        <v>0.83153081316014898</v>
      </c>
      <c r="AK16" s="10">
        <f ca="1">IFERROR(SUMIFS('RES balance'!E$5:E$25,'RES balance'!$D$5:$D$25,'RES Assumptions'!$A16)*E16,"")</f>
        <v>5.1506471958593661E-2</v>
      </c>
      <c r="AL16" s="10">
        <f ca="1">IFERROR(SUMIFS('RES balance'!F$5:F$25,'RES balance'!$D$5:$D$25,'RES Assumptions'!$A16)*F16,"")</f>
        <v>0.56868776162473322</v>
      </c>
      <c r="AM16" s="10">
        <f ca="1">IFERROR(SUMIFS('RES balance'!G$5:G$25,'RES balance'!$D$5:$D$25,'RES Assumptions'!$A16)*G16,"")</f>
        <v>0.12880587120598277</v>
      </c>
      <c r="AN16" s="10">
        <f ca="1">IFERROR(SUMIFS('RES balance'!H$5:H$25,'RES balance'!$D$5:$D$25,'RES Assumptions'!$A16)*H16,"")</f>
        <v>4.8036257761794561</v>
      </c>
      <c r="AO16" s="10">
        <f ca="1">IFERROR(SUMIFS('RES balance'!I$5:I$25,'RES balance'!$D$5:$D$25,'RES Assumptions'!$A16)*I16,"")</f>
        <v>189.8079869263226</v>
      </c>
      <c r="AP16" s="10">
        <f ca="1">IFERROR(SUMIFS('RES balance'!J$5:J$25,'RES balance'!$D$5:$D$25,'RES Assumptions'!$A16)*J16,"")</f>
        <v>0</v>
      </c>
      <c r="AQ16" s="10">
        <f ca="1">IFERROR(SUMIFS('RES balance'!K$5:K$25,'RES balance'!$D$5:$D$25,'RES Assumptions'!$A16)*K16,"")</f>
        <v>0</v>
      </c>
      <c r="AR16" s="10">
        <f ca="1">IFERROR(SUMIFS('RES balance'!L$5:L$25,'RES balance'!$D$5:$D$25,'RES Assumptions'!$A16)*L16,"")</f>
        <v>2.271967622561509E-3</v>
      </c>
      <c r="AS16" s="10">
        <f ca="1">IFERROR(SUMIFS('RES balance'!M$5:M$25,'RES balance'!$D$5:$D$25,'RES Assumptions'!$A16)*M16,"")</f>
        <v>1.9840174537912689</v>
      </c>
      <c r="AT16" s="10">
        <f ca="1">IFERROR(SUMIFS('RES balance'!N$5:N$25,'RES balance'!$D$5:$D$25,'RES Assumptions'!$A16)*N16,"")</f>
        <v>0</v>
      </c>
      <c r="AU16" s="10">
        <f ca="1">IFERROR(SUMIFS('RES balance'!O$5:O$25,'RES balance'!$D$5:$D$25,'RES Assumptions'!$A16)*O16,"")</f>
        <v>0.12839005903035822</v>
      </c>
      <c r="AV16" s="10">
        <f ca="1">IFERROR(SUMIFS('RES balance'!P$5:P$25,'RES balance'!$D$5:$D$25,'RES Assumptions'!$A16)*P16,"")</f>
        <v>0</v>
      </c>
      <c r="AW16" s="10">
        <f ca="1">IFERROR(SUMIFS('RES balance'!Q$5:Q$25,'RES balance'!$D$5:$D$25,'RES Assumptions'!$A16)*Q16,"")</f>
        <v>28.6747867903524</v>
      </c>
      <c r="AX16" s="10">
        <f ca="1">IFERROR(SUMIFS('RES balance'!R$5:R$25,'RES balance'!$D$5:$D$25,'RES Assumptions'!$A16)*R16,"")</f>
        <v>0.62034538538245132</v>
      </c>
      <c r="AY16" s="10">
        <f ca="1">IFERROR(SUMIFS('RES balance'!S$5:S$25,'RES balance'!$D$5:$D$25,'RES Assumptions'!$A16)*S16,"")</f>
        <v>0</v>
      </c>
      <c r="AZ16" s="10">
        <f ca="1">IFERROR(SUMIFS('RES balance'!T$5:T$25,'RES balance'!$D$5:$D$25,'RES Assumptions'!$A16)*T16,"")</f>
        <v>3.5110567650077796E-3</v>
      </c>
      <c r="BA16" s="10">
        <f ca="1">IFERROR(SUMIFS('RES balance'!U$5:U$25,'RES balance'!$D$5:$D$25,'RES Assumptions'!$A16)*U16,"")</f>
        <v>0.14103820290362568</v>
      </c>
      <c r="BB16" s="10">
        <f ca="1">IFERROR(SUMIFS('RES balance'!V$5:V$25,'RES balance'!$D$5:$D$25,'RES Assumptions'!$A16)*V16,"")</f>
        <v>6.0605742124512458</v>
      </c>
      <c r="BC16" s="10">
        <f ca="1">IFERROR(SUMIFS('RES balance'!W$5:W$25,'RES balance'!$D$5:$D$25,'RES Assumptions'!$A16)*W16,"")</f>
        <v>0.21274173055389323</v>
      </c>
      <c r="BD16" s="10">
        <f ca="1">IFERROR(SUMIFS('RES balance'!X$5:X$25,'RES balance'!$D$5:$D$25,'RES Assumptions'!$A16)*X16,"")</f>
        <v>0</v>
      </c>
      <c r="BE16" s="10">
        <f ca="1">IFERROR(SUMIFS('RES balance'!Y$5:Y$25,'RES balance'!$D$5:$D$25,'RES Assumptions'!$A16)*Y16,"")</f>
        <v>0.30883328393031034</v>
      </c>
      <c r="BF16" s="10">
        <f ca="1">IFERROR(SUMIFS('RES balance'!Z$5:Z$25,'RES balance'!$D$5:$D$25,'RES Assumptions'!$A16)*Z16,"")</f>
        <v>0</v>
      </c>
      <c r="BG16" s="10">
        <f ca="1">IFERROR(SUMIFS('RES balance'!AA$5:AA$25,'RES balance'!$D$5:$D$25,'RES Assumptions'!$A16)*AA16,"")</f>
        <v>57.918377960352629</v>
      </c>
      <c r="BH16" s="10">
        <f ca="1">IFERROR(SUMIFS('RES balance'!AB$5:AB$25,'RES balance'!$D$5:$D$25,'RES Assumptions'!$A16)*AB16,"")</f>
        <v>1.9961583299188772E-2</v>
      </c>
      <c r="BI16" s="10">
        <f ca="1">IFERROR(SUMIFS('RES balance'!AC$5:AC$25,'RES balance'!$D$5:$D$25,'RES Assumptions'!$A16)*AC16,"")</f>
        <v>0</v>
      </c>
      <c r="BJ16" s="10">
        <f ca="1">IFERROR(SUMIFS('RES balance'!AD$5:AD$25,'RES balance'!$D$5:$D$25,'RES Assumptions'!$A16)*AD16,"")</f>
        <v>8.2114909628204646</v>
      </c>
      <c r="BK16" s="10">
        <f ca="1">IFERROR(SUMIFS('RES balance'!AE$5:AE$25,'RES balance'!$D$5:$D$25,'RES Assumptions'!$A16)*AE16,"")</f>
        <v>0.12606381239028666</v>
      </c>
      <c r="BL16" s="10">
        <f ca="1">IFERROR(SUMIFS('RES balance'!AF$5:AF$25,'RES balance'!$D$5:$D$25,'RES Assumptions'!$A16)*AF16,"")</f>
        <v>63.60612483182117</v>
      </c>
      <c r="BM16" s="10">
        <f ca="1">IFERROR(SUMIFS('RES balance'!AG$5:AG$25,'RES balance'!$D$5:$D$25,'RES Assumptions'!$A16)*AG16,"")</f>
        <v>9.5659158705849876</v>
      </c>
      <c r="BN16" s="10">
        <f ca="1">IFERROR(SUMIFS('RES balance'!AH$5:AH$25,'RES balance'!$D$5:$D$25,'RES Assumptions'!$A16)*AH16,"")</f>
        <v>0</v>
      </c>
    </row>
    <row r="17" spans="1:66" x14ac:dyDescent="0.45">
      <c r="A17" s="8" t="str">
        <f>VLOOKUP(C17,'RES balance'!$AL$5:$AM$25,2,FALSE)</f>
        <v>RESKER</v>
      </c>
      <c r="B17" s="36"/>
      <c r="C17" s="20" t="s">
        <v>74</v>
      </c>
      <c r="D17" s="21" t="s">
        <v>64</v>
      </c>
      <c r="E17" s="14">
        <f ca="1">OFFSET('RES Assumptions T15'!$D17,0,MATCH(VLOOKUP('RES Assumptions'!E$2,'RES Assumptions T15'!$V$3:$W$35,2,FALSE),'RES Assumptions T15'!$E$2:$S$2,0))</f>
        <v>0.110955598742628</v>
      </c>
      <c r="F17" s="14">
        <f ca="1">OFFSET('RES Assumptions T15'!$D17,0,MATCH(VLOOKUP('RES Assumptions'!F$2,'RES Assumptions T15'!$V$3:$W$35,2,FALSE),'RES Assumptions T15'!$E$2:$S$2,0))</f>
        <v>0.110955598742628</v>
      </c>
      <c r="G17" s="14">
        <f ca="1">OFFSET('RES Assumptions T15'!$D17,0,MATCH(VLOOKUP('RES Assumptions'!G$2,'RES Assumptions T15'!$V$3:$W$35,2,FALSE),'RES Assumptions T15'!$E$2:$S$2,0))</f>
        <v>0.14250342330351601</v>
      </c>
      <c r="H17" s="14">
        <f ca="1">OFFSET('RES Assumptions T15'!$D17,0,MATCH(VLOOKUP('RES Assumptions'!H$2,'RES Assumptions T15'!$V$3:$W$35,2,FALSE),'RES Assumptions T15'!$E$2:$S$2,0))</f>
        <v>9.6822342220246896E-2</v>
      </c>
      <c r="I17" s="14">
        <f ca="1">OFFSET('RES Assumptions T15'!$D17,0,MATCH(VLOOKUP('RES Assumptions'!I$2,'RES Assumptions T15'!$V$3:$W$35,2,FALSE),'RES Assumptions T15'!$E$2:$S$2,0))</f>
        <v>0.34868853280258</v>
      </c>
      <c r="J17" s="14">
        <f ca="1">OFFSET('RES Assumptions T15'!$D17,0,MATCH(VLOOKUP('RES Assumptions'!J$2,'RES Assumptions T15'!$V$3:$W$35,2,FALSE),'RES Assumptions T15'!$E$2:$S$2,0))</f>
        <v>9.8003347400173801E-2</v>
      </c>
      <c r="K17" s="14">
        <f ca="1">OFFSET('RES Assumptions T15'!$D17,0,MATCH(VLOOKUP('RES Assumptions'!K$2,'RES Assumptions T15'!$V$3:$W$35,2,FALSE),'RES Assumptions T15'!$E$2:$S$2,0))</f>
        <v>0.46648193541511201</v>
      </c>
      <c r="L17" s="14">
        <f ca="1">OFFSET('RES Assumptions T15'!$D17,0,MATCH(VLOOKUP('RES Assumptions'!L$2,'RES Assumptions T15'!$V$3:$W$35,2,FALSE),'RES Assumptions T15'!$E$2:$S$2,0))</f>
        <v>0.14250342330351601</v>
      </c>
      <c r="M17" s="14">
        <f ca="1">OFFSET('RES Assumptions T15'!$D17,0,MATCH(VLOOKUP('RES Assumptions'!M$2,'RES Assumptions T15'!$V$3:$W$35,2,FALSE),'RES Assumptions T15'!$E$2:$S$2,0))</f>
        <v>0.12889929562702299</v>
      </c>
      <c r="N17" s="14">
        <f ca="1">OFFSET('RES Assumptions T15'!$D17,0,MATCH(VLOOKUP('RES Assumptions'!N$2,'RES Assumptions T15'!$V$3:$W$35,2,FALSE),'RES Assumptions T15'!$E$2:$S$2,0))</f>
        <v>0.69062770767757298</v>
      </c>
      <c r="O17" s="14">
        <f ca="1">OFFSET('RES Assumptions T15'!$D17,0,MATCH(VLOOKUP('RES Assumptions'!O$2,'RES Assumptions T15'!$V$3:$W$35,2,FALSE),'RES Assumptions T15'!$E$2:$S$2,0))</f>
        <v>0.141090346718032</v>
      </c>
      <c r="P17" s="14">
        <f ca="1">OFFSET('RES Assumptions T15'!$D17,0,MATCH(VLOOKUP('RES Assumptions'!P$2,'RES Assumptions T15'!$V$3:$W$35,2,FALSE),'RES Assumptions T15'!$E$2:$S$2,0))</f>
        <v>7.0611310885910397E-2</v>
      </c>
      <c r="Q17" s="14">
        <f ca="1">OFFSET('RES Assumptions T15'!$D17,0,MATCH(VLOOKUP('RES Assumptions'!Q$2,'RES Assumptions T15'!$V$3:$W$35,2,FALSE),'RES Assumptions T15'!$E$2:$S$2,0))</f>
        <v>0.141090346718032</v>
      </c>
      <c r="R17" s="14">
        <f ca="1">OFFSET('RES Assumptions T15'!$D17,0,MATCH(VLOOKUP('RES Assumptions'!R$2,'RES Assumptions T15'!$V$3:$W$35,2,FALSE),'RES Assumptions T15'!$E$2:$S$2,0))</f>
        <v>0.141090346718032</v>
      </c>
      <c r="S17" s="14">
        <f ca="1">OFFSET('RES Assumptions T15'!$D17,0,MATCH(VLOOKUP('RES Assumptions'!S$2,'RES Assumptions T15'!$V$3:$W$35,2,FALSE),'RES Assumptions T15'!$E$2:$S$2,0))</f>
        <v>7.0611310885910397E-2</v>
      </c>
      <c r="T17" s="14">
        <f ca="1">OFFSET('RES Assumptions T15'!$D17,0,MATCH(VLOOKUP('RES Assumptions'!T$2,'RES Assumptions T15'!$V$3:$W$35,2,FALSE),'RES Assumptions T15'!$E$2:$S$2,0))</f>
        <v>0.141090346718032</v>
      </c>
      <c r="U17" s="14">
        <f ca="1">OFFSET('RES Assumptions T15'!$D17,0,MATCH(VLOOKUP('RES Assumptions'!U$2,'RES Assumptions T15'!$V$3:$W$35,2,FALSE),'RES Assumptions T15'!$E$2:$S$2,0))</f>
        <v>0.163911059454764</v>
      </c>
      <c r="V17" s="14">
        <f ca="1">OFFSET('RES Assumptions T15'!$D17,0,MATCH(VLOOKUP('RES Assumptions'!V$2,'RES Assumptions T15'!$V$3:$W$35,2,FALSE),'RES Assumptions T15'!$E$2:$S$2,0))</f>
        <v>0.141090346718032</v>
      </c>
      <c r="W17" s="14">
        <f ca="1">OFFSET('RES Assumptions T15'!$D17,0,MATCH(VLOOKUP('RES Assumptions'!W$2,'RES Assumptions T15'!$V$3:$W$35,2,FALSE),'RES Assumptions T15'!$E$2:$S$2,0))</f>
        <v>0.141090346718032</v>
      </c>
      <c r="X17" s="14">
        <f ca="1">OFFSET('RES Assumptions T15'!$D17,0,MATCH(VLOOKUP('RES Assumptions'!X$2,'RES Assumptions T15'!$V$3:$W$35,2,FALSE),'RES Assumptions T15'!$E$2:$S$2,0))</f>
        <v>9.4607929782982603E-2</v>
      </c>
      <c r="Y17" s="14">
        <f ca="1">OFFSET('RES Assumptions T15'!$D17,0,MATCH(VLOOKUP('RES Assumptions'!Y$2,'RES Assumptions T15'!$V$3:$W$35,2,FALSE),'RES Assumptions T15'!$E$2:$S$2,0))</f>
        <v>0.14250342330351601</v>
      </c>
      <c r="Z17" s="14">
        <f ca="1">OFFSET('RES Assumptions T15'!$D17,0,MATCH(VLOOKUP('RES Assumptions'!Z$2,'RES Assumptions T15'!$V$3:$W$35,2,FALSE),'RES Assumptions T15'!$E$2:$S$2,0))</f>
        <v>0.56696888809402401</v>
      </c>
      <c r="AA17" s="14">
        <f ca="1">OFFSET('RES Assumptions T15'!$D17,0,MATCH(VLOOKUP('RES Assumptions'!AA$2,'RES Assumptions T15'!$V$3:$W$35,2,FALSE),'RES Assumptions T15'!$E$2:$S$2,0))</f>
        <v>0.163911059454764</v>
      </c>
      <c r="AB17" s="14">
        <f ca="1">OFFSET('RES Assumptions T15'!$D17,0,MATCH(VLOOKUP('RES Assumptions'!AB$2,'RES Assumptions T15'!$V$3:$W$35,2,FALSE),'RES Assumptions T15'!$E$2:$S$2,0))</f>
        <v>0.141090346718032</v>
      </c>
      <c r="AC17" s="14">
        <f ca="1">OFFSET('RES Assumptions T15'!$D17,0,MATCH(VLOOKUP('RES Assumptions'!AC$2,'RES Assumptions T15'!$V$3:$W$35,2,FALSE),'RES Assumptions T15'!$E$2:$S$2,0))</f>
        <v>9.6822342220246896E-2</v>
      </c>
      <c r="AD17" s="14">
        <f ca="1">OFFSET('RES Assumptions T15'!$D17,0,MATCH(VLOOKUP('RES Assumptions'!AD$2,'RES Assumptions T15'!$V$3:$W$35,2,FALSE),'RES Assumptions T15'!$E$2:$S$2,0))</f>
        <v>0.163911059454764</v>
      </c>
      <c r="AE17" s="14">
        <f ca="1">OFFSET('RES Assumptions T15'!$D17,0,MATCH(VLOOKUP('RES Assumptions'!AE$2,'RES Assumptions T15'!$V$3:$W$35,2,FALSE),'RES Assumptions T15'!$E$2:$S$2,0))</f>
        <v>0.110955598742628</v>
      </c>
      <c r="AF17" s="14">
        <f ca="1">OFFSET('RES Assumptions T15'!$D17,0,MATCH(VLOOKUP('RES Assumptions'!AF$2,'RES Assumptions T15'!$V$3:$W$35,2,FALSE),'RES Assumptions T15'!$E$2:$S$2,0))</f>
        <v>0.141090346718032</v>
      </c>
      <c r="AG17" s="14">
        <f ca="1">OFFSET('RES Assumptions T15'!$D17,0,MATCH(VLOOKUP('RES Assumptions'!AG$2,'RES Assumptions T15'!$V$3:$W$35,2,FALSE),'RES Assumptions T15'!$E$2:$S$2,0))</f>
        <v>0.14541311487324701</v>
      </c>
      <c r="AH17" s="14">
        <f ca="1">OFFSET('RES Assumptions T15'!$D17,0,MATCH(VLOOKUP('RES Assumptions'!AH$2,'RES Assumptions T15'!$V$3:$W$35,2,FALSE),'RES Assumptions T15'!$E$2:$S$2,0))</f>
        <v>0.14541311487324701</v>
      </c>
      <c r="AK17" s="10">
        <f ca="1">IFERROR(SUMIFS('RES balance'!E$5:E$25,'RES balance'!$D$5:$D$25,'RES Assumptions'!$A17)*E17,"")</f>
        <v>0.51028466919873572</v>
      </c>
      <c r="AL17" s="10">
        <f ca="1">IFERROR(SUMIFS('RES balance'!F$5:F$25,'RES balance'!$D$5:$D$25,'RES Assumptions'!$A17)*F17,"")</f>
        <v>5.6341006340200108</v>
      </c>
      <c r="AM17" s="10">
        <f ca="1">IFERROR(SUMIFS('RES balance'!G$5:G$25,'RES balance'!$D$5:$D$25,'RES Assumptions'!$A17)*G17,"")</f>
        <v>0.63496762094564363</v>
      </c>
      <c r="AN17" s="10">
        <f ca="1">IFERROR(SUMIFS('RES balance'!H$5:H$25,'RES balance'!$D$5:$D$25,'RES Assumptions'!$A17)*H17,"")</f>
        <v>0.62685243575041039</v>
      </c>
      <c r="AO17" s="10">
        <f ca="1">IFERROR(SUMIFS('RES balance'!I$5:I$25,'RES balance'!$D$5:$D$25,'RES Assumptions'!$A17)*I17,"")</f>
        <v>121.7114284479279</v>
      </c>
      <c r="AP17" s="10">
        <f ca="1">IFERROR(SUMIFS('RES balance'!J$5:J$25,'RES balance'!$D$5:$D$25,'RES Assumptions'!$A17)*J17,"")</f>
        <v>3.2891259838762128</v>
      </c>
      <c r="AQ17" s="10">
        <f ca="1">IFERROR(SUMIFS('RES balance'!K$5:K$25,'RES balance'!$D$5:$D$25,'RES Assumptions'!$A17)*K17,"")</f>
        <v>0</v>
      </c>
      <c r="AR17" s="10">
        <f ca="1">IFERROR(SUMIFS('RES balance'!L$5:L$25,'RES balance'!$D$5:$D$25,'RES Assumptions'!$A17)*L17,"")</f>
        <v>1.1200000921203384E-2</v>
      </c>
      <c r="AS17" s="10">
        <f ca="1">IFERROR(SUMIFS('RES balance'!M$5:M$25,'RES balance'!$D$5:$D$25,'RES Assumptions'!$A17)*M17,"")</f>
        <v>0.29358081220872895</v>
      </c>
      <c r="AT17" s="10">
        <f ca="1">IFERROR(SUMIFS('RES balance'!N$5:N$25,'RES balance'!$D$5:$D$25,'RES Assumptions'!$A17)*N17,"")</f>
        <v>13.150676726223592</v>
      </c>
      <c r="AU17" s="10">
        <f ca="1">IFERROR(SUMIFS('RES balance'!O$5:O$25,'RES balance'!$D$5:$D$25,'RES Assumptions'!$A17)*O17,"")</f>
        <v>2.1968176879672865E-2</v>
      </c>
      <c r="AV17" s="10">
        <f ca="1">IFERROR(SUMIFS('RES balance'!P$5:P$25,'RES balance'!$D$5:$D$25,'RES Assumptions'!$A17)*P17,"")</f>
        <v>0</v>
      </c>
      <c r="AW17" s="10">
        <f ca="1">IFERROR(SUMIFS('RES balance'!Q$5:Q$25,'RES balance'!$D$5:$D$25,'RES Assumptions'!$A17)*Q17,"")</f>
        <v>4.9063984622705012</v>
      </c>
      <c r="AX17" s="10">
        <f ca="1">IFERROR(SUMIFS('RES balance'!R$5:R$25,'RES balance'!$D$5:$D$25,'RES Assumptions'!$A17)*R17,"")</f>
        <v>0.10614417701411112</v>
      </c>
      <c r="AY17" s="10">
        <f ca="1">IFERROR(SUMIFS('RES balance'!S$5:S$25,'RES balance'!$D$5:$D$25,'RES Assumptions'!$A17)*S17,"")</f>
        <v>0</v>
      </c>
      <c r="AZ17" s="10">
        <f ca="1">IFERROR(SUMIFS('RES balance'!T$5:T$25,'RES balance'!$D$5:$D$25,'RES Assumptions'!$A17)*T17,"")</f>
        <v>6.0075925372092033E-4</v>
      </c>
      <c r="BA17" s="10">
        <f ca="1">IFERROR(SUMIFS('RES balance'!U$5:U$25,'RES balance'!$D$5:$D$25,'RES Assumptions'!$A17)*U17,"")</f>
        <v>6.3433331585391967E-2</v>
      </c>
      <c r="BB17" s="10">
        <f ca="1">IFERROR(SUMIFS('RES balance'!V$5:V$25,'RES balance'!$D$5:$D$25,'RES Assumptions'!$A17)*V17,"")</f>
        <v>1.0369943537453452</v>
      </c>
      <c r="BC17" s="10">
        <f ca="1">IFERROR(SUMIFS('RES balance'!W$5:W$25,'RES balance'!$D$5:$D$25,'RES Assumptions'!$A17)*W17,"")</f>
        <v>3.6401166895565933E-2</v>
      </c>
      <c r="BD17" s="10">
        <f ca="1">IFERROR(SUMIFS('RES balance'!X$5:X$25,'RES balance'!$D$5:$D$25,'RES Assumptions'!$A17)*X17,"")</f>
        <v>9.0074372742879465</v>
      </c>
      <c r="BE17" s="10">
        <f ca="1">IFERROR(SUMIFS('RES balance'!Y$5:Y$25,'RES balance'!$D$5:$D$25,'RES Assumptions'!$A17)*Y17,"")</f>
        <v>1.5224394177844838</v>
      </c>
      <c r="BF17" s="10">
        <f ca="1">IFERROR(SUMIFS('RES balance'!Z$5:Z$25,'RES balance'!$D$5:$D$25,'RES Assumptions'!$A17)*Z17,"")</f>
        <v>0</v>
      </c>
      <c r="BG17" s="10">
        <f ca="1">IFERROR(SUMIFS('RES balance'!AA$5:AA$25,'RES balance'!$D$5:$D$25,'RES Assumptions'!$A17)*AA17,"")</f>
        <v>26.049365337968716</v>
      </c>
      <c r="BH17" s="10">
        <f ca="1">IFERROR(SUMIFS('RES balance'!AB$5:AB$25,'RES balance'!$D$5:$D$25,'RES Assumptions'!$A17)*AB17,"")</f>
        <v>3.4155260619610239E-3</v>
      </c>
      <c r="BI17" s="10">
        <f ca="1">IFERROR(SUMIFS('RES balance'!AC$5:AC$25,'RES balance'!$D$5:$D$25,'RES Assumptions'!$A17)*AC17,"")</f>
        <v>0</v>
      </c>
      <c r="BJ17" s="10">
        <f ca="1">IFERROR(SUMIFS('RES balance'!AD$5:AD$25,'RES balance'!$D$5:$D$25,'RES Assumptions'!$A17)*AD17,"")</f>
        <v>3.6931995610506294</v>
      </c>
      <c r="BK17" s="10">
        <f ca="1">IFERROR(SUMIFS('RES balance'!AE$5:AE$25,'RES balance'!$D$5:$D$25,'RES Assumptions'!$A17)*AE17,"")</f>
        <v>1.2489387907450329</v>
      </c>
      <c r="BL17" s="10">
        <f ca="1">IFERROR(SUMIFS('RES balance'!AF$5:AF$25,'RES balance'!$D$5:$D$25,'RES Assumptions'!$A17)*AF17,"")</f>
        <v>10.883323923120884</v>
      </c>
      <c r="BM17" s="10">
        <f ca="1">IFERROR(SUMIFS('RES balance'!AG$5:AG$25,'RES balance'!$D$5:$D$25,'RES Assumptions'!$A17)*AG17,"")</f>
        <v>1.6728299196403797</v>
      </c>
      <c r="BN17" s="10">
        <f ca="1">IFERROR(SUMIFS('RES balance'!AH$5:AH$25,'RES balance'!$D$5:$D$25,'RES Assumptions'!$A17)*AH17,"")</f>
        <v>0</v>
      </c>
    </row>
    <row r="18" spans="1:66" x14ac:dyDescent="0.45">
      <c r="A18" s="8" t="str">
        <f>VLOOKUP(C18,'RES balance'!$AL$5:$AM$25,2,FALSE)</f>
        <v>RESKER</v>
      </c>
      <c r="B18" s="36"/>
      <c r="C18" s="20" t="s">
        <v>74</v>
      </c>
      <c r="D18" s="21" t="s">
        <v>67</v>
      </c>
      <c r="E18" s="14">
        <f ca="1">OFFSET('RES Assumptions T15'!$D18,0,MATCH(VLOOKUP('RES Assumptions'!E$2,'RES Assumptions T15'!$V$3:$W$35,2,FALSE),'RES Assumptions T15'!$E$2:$S$2,0))</f>
        <v>0.85970762590704897</v>
      </c>
      <c r="F18" s="14">
        <f ca="1">OFFSET('RES Assumptions T15'!$D18,0,MATCH(VLOOKUP('RES Assumptions'!F$2,'RES Assumptions T15'!$V$3:$W$35,2,FALSE),'RES Assumptions T15'!$E$2:$S$2,0))</f>
        <v>0.85970762590704897</v>
      </c>
      <c r="G18" s="14">
        <f ca="1">OFFSET('RES Assumptions T15'!$D18,0,MATCH(VLOOKUP('RES Assumptions'!G$2,'RES Assumptions T15'!$V$3:$W$35,2,FALSE),'RES Assumptions T15'!$E$2:$S$2,0))</f>
        <v>0.70693720634574397</v>
      </c>
      <c r="H18" s="14">
        <f ca="1">OFFSET('RES Assumptions T15'!$D18,0,MATCH(VLOOKUP('RES Assumptions'!H$2,'RES Assumptions T15'!$V$3:$W$35,2,FALSE),'RES Assumptions T15'!$E$2:$S$2,0))</f>
        <v>0.159098093913425</v>
      </c>
      <c r="I18" s="14">
        <f ca="1">OFFSET('RES Assumptions T15'!$D18,0,MATCH(VLOOKUP('RES Assumptions'!I$2,'RES Assumptions T15'!$V$3:$W$35,2,FALSE),'RES Assumptions T15'!$E$2:$S$2,0))</f>
        <v>0.107534524312666</v>
      </c>
      <c r="J18" s="14">
        <f ca="1">OFFSET('RES Assumptions T15'!$D18,0,MATCH(VLOOKUP('RES Assumptions'!J$2,'RES Assumptions T15'!$V$3:$W$35,2,FALSE),'RES Assumptions T15'!$E$2:$S$2,0))</f>
        <v>0.89583576477700899</v>
      </c>
      <c r="K18" s="14">
        <f ca="1">OFFSET('RES Assumptions T15'!$D18,0,MATCH(VLOOKUP('RES Assumptions'!K$2,'RES Assumptions T15'!$V$3:$W$35,2,FALSE),'RES Assumptions T15'!$E$2:$S$2,0))</f>
        <v>0.244271554939785</v>
      </c>
      <c r="L18" s="14">
        <f ca="1">OFFSET('RES Assumptions T15'!$D18,0,MATCH(VLOOKUP('RES Assumptions'!L$2,'RES Assumptions T15'!$V$3:$W$35,2,FALSE),'RES Assumptions T15'!$E$2:$S$2,0))</f>
        <v>0.70693720634574397</v>
      </c>
      <c r="M18" s="14">
        <f ca="1">OFFSET('RES Assumptions T15'!$D18,0,MATCH(VLOOKUP('RES Assumptions'!M$2,'RES Assumptions T15'!$V$3:$W$35,2,FALSE),'RES Assumptions T15'!$E$2:$S$2,0))</f>
        <v>0</v>
      </c>
      <c r="N18" s="14">
        <f ca="1">OFFSET('RES Assumptions T15'!$D18,0,MATCH(VLOOKUP('RES Assumptions'!N$2,'RES Assumptions T15'!$V$3:$W$35,2,FALSE),'RES Assumptions T15'!$E$2:$S$2,0))</f>
        <v>0.30937229232242702</v>
      </c>
      <c r="O18" s="14">
        <f ca="1">OFFSET('RES Assumptions T15'!$D18,0,MATCH(VLOOKUP('RES Assumptions'!O$2,'RES Assumptions T15'!$V$3:$W$35,2,FALSE),'RES Assumptions T15'!$E$2:$S$2,0))</f>
        <v>3.2009371758779097E-2</v>
      </c>
      <c r="P18" s="14">
        <f ca="1">OFFSET('RES Assumptions T15'!$D18,0,MATCH(VLOOKUP('RES Assumptions'!P$2,'RES Assumptions T15'!$V$3:$W$35,2,FALSE),'RES Assumptions T15'!$E$2:$S$2,0))</f>
        <v>0.648468998583415</v>
      </c>
      <c r="Q18" s="14">
        <f ca="1">OFFSET('RES Assumptions T15'!$D18,0,MATCH(VLOOKUP('RES Assumptions'!Q$2,'RES Assumptions T15'!$V$3:$W$35,2,FALSE),'RES Assumptions T15'!$E$2:$S$2,0))</f>
        <v>3.2009371758779097E-2</v>
      </c>
      <c r="R18" s="14">
        <f ca="1">OFFSET('RES Assumptions T15'!$D18,0,MATCH(VLOOKUP('RES Assumptions'!R$2,'RES Assumptions T15'!$V$3:$W$35,2,FALSE),'RES Assumptions T15'!$E$2:$S$2,0))</f>
        <v>3.2009371758779097E-2</v>
      </c>
      <c r="S18" s="14">
        <f ca="1">OFFSET('RES Assumptions T15'!$D18,0,MATCH(VLOOKUP('RES Assumptions'!S$2,'RES Assumptions T15'!$V$3:$W$35,2,FALSE),'RES Assumptions T15'!$E$2:$S$2,0))</f>
        <v>0.648468998583415</v>
      </c>
      <c r="T18" s="14">
        <f ca="1">OFFSET('RES Assumptions T15'!$D18,0,MATCH(VLOOKUP('RES Assumptions'!T$2,'RES Assumptions T15'!$V$3:$W$35,2,FALSE),'RES Assumptions T15'!$E$2:$S$2,0))</f>
        <v>3.2009371758779097E-2</v>
      </c>
      <c r="U18" s="14">
        <f ca="1">OFFSET('RES Assumptions T15'!$D18,0,MATCH(VLOOKUP('RES Assumptions'!U$2,'RES Assumptions T15'!$V$3:$W$35,2,FALSE),'RES Assumptions T15'!$E$2:$S$2,0))</f>
        <v>0.471622606768548</v>
      </c>
      <c r="V18" s="14">
        <f ca="1">OFFSET('RES Assumptions T15'!$D18,0,MATCH(VLOOKUP('RES Assumptions'!V$2,'RES Assumptions T15'!$V$3:$W$35,2,FALSE),'RES Assumptions T15'!$E$2:$S$2,0))</f>
        <v>3.2009371758779097E-2</v>
      </c>
      <c r="W18" s="14">
        <f ca="1">OFFSET('RES Assumptions T15'!$D18,0,MATCH(VLOOKUP('RES Assumptions'!W$2,'RES Assumptions T15'!$V$3:$W$35,2,FALSE),'RES Assumptions T15'!$E$2:$S$2,0))</f>
        <v>3.2009371758779097E-2</v>
      </c>
      <c r="X18" s="14">
        <f ca="1">OFFSET('RES Assumptions T15'!$D18,0,MATCH(VLOOKUP('RES Assumptions'!X$2,'RES Assumptions T15'!$V$3:$W$35,2,FALSE),'RES Assumptions T15'!$E$2:$S$2,0))</f>
        <v>0.90539207021701695</v>
      </c>
      <c r="Y18" s="14">
        <f ca="1">OFFSET('RES Assumptions T15'!$D18,0,MATCH(VLOOKUP('RES Assumptions'!Y$2,'RES Assumptions T15'!$V$3:$W$35,2,FALSE),'RES Assumptions T15'!$E$2:$S$2,0))</f>
        <v>0.70693720634574397</v>
      </c>
      <c r="Z18" s="14">
        <f ca="1">OFFSET('RES Assumptions T15'!$D18,0,MATCH(VLOOKUP('RES Assumptions'!Z$2,'RES Assumptions T15'!$V$3:$W$35,2,FALSE),'RES Assumptions T15'!$E$2:$S$2,0))</f>
        <v>0.41264007870494501</v>
      </c>
      <c r="AA18" s="14">
        <f ca="1">OFFSET('RES Assumptions T15'!$D18,0,MATCH(VLOOKUP('RES Assumptions'!AA$2,'RES Assumptions T15'!$V$3:$W$35,2,FALSE),'RES Assumptions T15'!$E$2:$S$2,0))</f>
        <v>0.471622606768548</v>
      </c>
      <c r="AB18" s="14">
        <f ca="1">OFFSET('RES Assumptions T15'!$D18,0,MATCH(VLOOKUP('RES Assumptions'!AB$2,'RES Assumptions T15'!$V$3:$W$35,2,FALSE),'RES Assumptions T15'!$E$2:$S$2,0))</f>
        <v>3.2009371758779097E-2</v>
      </c>
      <c r="AC18" s="14">
        <f ca="1">OFFSET('RES Assumptions T15'!$D18,0,MATCH(VLOOKUP('RES Assumptions'!AC$2,'RES Assumptions T15'!$V$3:$W$35,2,FALSE),'RES Assumptions T15'!$E$2:$S$2,0))</f>
        <v>0.159098093913425</v>
      </c>
      <c r="AD18" s="14">
        <f ca="1">OFFSET('RES Assumptions T15'!$D18,0,MATCH(VLOOKUP('RES Assumptions'!AD$2,'RES Assumptions T15'!$V$3:$W$35,2,FALSE),'RES Assumptions T15'!$E$2:$S$2,0))</f>
        <v>0.471622606768548</v>
      </c>
      <c r="AE18" s="14">
        <f ca="1">OFFSET('RES Assumptions T15'!$D18,0,MATCH(VLOOKUP('RES Assumptions'!AE$2,'RES Assumptions T15'!$V$3:$W$35,2,FALSE),'RES Assumptions T15'!$E$2:$S$2,0))</f>
        <v>0.85970762590704897</v>
      </c>
      <c r="AF18" s="14">
        <f ca="1">OFFSET('RES Assumptions T15'!$D18,0,MATCH(VLOOKUP('RES Assumptions'!AF$2,'RES Assumptions T15'!$V$3:$W$35,2,FALSE),'RES Assumptions T15'!$E$2:$S$2,0))</f>
        <v>3.2009371758779097E-2</v>
      </c>
      <c r="AG18" s="14">
        <f ca="1">OFFSET('RES Assumptions T15'!$D18,0,MATCH(VLOOKUP('RES Assumptions'!AG$2,'RES Assumptions T15'!$V$3:$W$35,2,FALSE),'RES Assumptions T15'!$E$2:$S$2,0))</f>
        <v>2.3056071966604599E-2</v>
      </c>
      <c r="AH18" s="14">
        <f ca="1">OFFSET('RES Assumptions T15'!$D18,0,MATCH(VLOOKUP('RES Assumptions'!AH$2,'RES Assumptions T15'!$V$3:$W$35,2,FALSE),'RES Assumptions T15'!$E$2:$S$2,0))</f>
        <v>2.3056071966604599E-2</v>
      </c>
      <c r="AK18" s="10">
        <f ca="1">IFERROR(SUMIFS('RES balance'!E$5:E$25,'RES balance'!$D$5:$D$25,'RES Assumptions'!$A18)*E18,"")</f>
        <v>3.9537943687835431</v>
      </c>
      <c r="AL18" s="10">
        <f ca="1">IFERROR(SUMIFS('RES balance'!F$5:F$25,'RES balance'!$D$5:$D$25,'RES Assumptions'!$A18)*F18,"")</f>
        <v>43.654212451506076</v>
      </c>
      <c r="AM18" s="10">
        <f ca="1">IFERROR(SUMIFS('RES balance'!G$5:G$25,'RES balance'!$D$5:$D$25,'RES Assumptions'!$A18)*G18,"")</f>
        <v>3.1499751070207536</v>
      </c>
      <c r="AN18" s="10">
        <f ca="1">IFERROR(SUMIFS('RES balance'!H$5:H$25,'RES balance'!$D$5:$D$25,'RES Assumptions'!$A18)*H18,"")</f>
        <v>1.0300414698295004</v>
      </c>
      <c r="AO18" s="10">
        <f ca="1">IFERROR(SUMIFS('RES balance'!I$5:I$25,'RES balance'!$D$5:$D$25,'RES Assumptions'!$A18)*I18,"")</f>
        <v>37.535448775349487</v>
      </c>
      <c r="AP18" s="10">
        <f ca="1">IFERROR(SUMIFS('RES balance'!J$5:J$25,'RES balance'!$D$5:$D$25,'RES Assumptions'!$A18)*J18,"")</f>
        <v>30.065469898515463</v>
      </c>
      <c r="AQ18" s="10">
        <f ca="1">IFERROR(SUMIFS('RES balance'!K$5:K$25,'RES balance'!$D$5:$D$25,'RES Assumptions'!$A18)*K18,"")</f>
        <v>0</v>
      </c>
      <c r="AR18" s="10">
        <f ca="1">IFERROR(SUMIFS('RES balance'!L$5:L$25,'RES balance'!$D$5:$D$25,'RES Assumptions'!$A18)*L18,"")</f>
        <v>5.5561453744458394E-2</v>
      </c>
      <c r="AS18" s="10">
        <f ca="1">IFERROR(SUMIFS('RES balance'!M$5:M$25,'RES balance'!$D$5:$D$25,'RES Assumptions'!$A18)*M18,"")</f>
        <v>0</v>
      </c>
      <c r="AT18" s="10">
        <f ca="1">IFERROR(SUMIFS('RES balance'!N$5:N$25,'RES balance'!$D$5:$D$25,'RES Assumptions'!$A18)*N18,"")</f>
        <v>5.8909524757764062</v>
      </c>
      <c r="AU18" s="10">
        <f ca="1">IFERROR(SUMIFS('RES balance'!O$5:O$25,'RES balance'!$D$5:$D$25,'RES Assumptions'!$A18)*O18,"")</f>
        <v>4.9839521764687388E-3</v>
      </c>
      <c r="AV18" s="10">
        <f ca="1">IFERROR(SUMIFS('RES balance'!P$5:P$25,'RES balance'!$D$5:$D$25,'RES Assumptions'!$A18)*P18,"")</f>
        <v>0</v>
      </c>
      <c r="AW18" s="10">
        <f ca="1">IFERROR(SUMIFS('RES balance'!Q$5:Q$25,'RES balance'!$D$5:$D$25,'RES Assumptions'!$A18)*Q18,"")</f>
        <v>1.1131217409890082</v>
      </c>
      <c r="AX18" s="10">
        <f ca="1">IFERROR(SUMIFS('RES balance'!R$5:R$25,'RES balance'!$D$5:$D$25,'RES Assumptions'!$A18)*R18,"")</f>
        <v>2.4081083512144406E-2</v>
      </c>
      <c r="AY18" s="10">
        <f ca="1">IFERROR(SUMIFS('RES balance'!S$5:S$25,'RES balance'!$D$5:$D$25,'RES Assumptions'!$A18)*S18,"")</f>
        <v>0</v>
      </c>
      <c r="AZ18" s="10">
        <f ca="1">IFERROR(SUMIFS('RES balance'!T$5:T$25,'RES balance'!$D$5:$D$25,'RES Assumptions'!$A18)*T18,"")</f>
        <v>1.3629512392021047E-4</v>
      </c>
      <c r="BA18" s="10">
        <f ca="1">IFERROR(SUMIFS('RES balance'!U$5:U$25,'RES balance'!$D$5:$D$25,'RES Assumptions'!$A18)*U18,"")</f>
        <v>0.18251723402820527</v>
      </c>
      <c r="BB18" s="10">
        <f ca="1">IFERROR(SUMIFS('RES balance'!V$5:V$25,'RES balance'!$D$5:$D$25,'RES Assumptions'!$A18)*V18,"")</f>
        <v>0.2352644142772338</v>
      </c>
      <c r="BC18" s="10">
        <f ca="1">IFERROR(SUMIFS('RES balance'!W$5:W$25,'RES balance'!$D$5:$D$25,'RES Assumptions'!$A18)*W18,"")</f>
        <v>8.2583855714957813E-3</v>
      </c>
      <c r="BD18" s="10">
        <f ca="1">IFERROR(SUMIFS('RES balance'!X$5:X$25,'RES balance'!$D$5:$D$25,'RES Assumptions'!$A18)*X18,"")</f>
        <v>86.200620812912007</v>
      </c>
      <c r="BE18" s="10">
        <f ca="1">IFERROR(SUMIFS('RES balance'!Y$5:Y$25,'RES balance'!$D$5:$D$25,'RES Assumptions'!$A18)*Y18,"")</f>
        <v>7.5525839582595422</v>
      </c>
      <c r="BF18" s="10">
        <f ca="1">IFERROR(SUMIFS('RES balance'!Z$5:Z$25,'RES balance'!$D$5:$D$25,'RES Assumptions'!$A18)*Z18,"")</f>
        <v>0</v>
      </c>
      <c r="BG18" s="10">
        <f ca="1">IFERROR(SUMIFS('RES balance'!AA$5:AA$25,'RES balance'!$D$5:$D$25,'RES Assumptions'!$A18)*AA18,"")</f>
        <v>74.952047935176665</v>
      </c>
      <c r="BH18" s="10">
        <f ca="1">IFERROR(SUMIFS('RES balance'!AB$5:AB$25,'RES balance'!$D$5:$D$25,'RES Assumptions'!$A18)*AB18,"")</f>
        <v>7.7488535546377279E-4</v>
      </c>
      <c r="BI18" s="10">
        <f ca="1">IFERROR(SUMIFS('RES balance'!AC$5:AC$25,'RES balance'!$D$5:$D$25,'RES Assumptions'!$A18)*AC18,"")</f>
        <v>0</v>
      </c>
      <c r="BJ18" s="10">
        <f ca="1">IFERROR(SUMIFS('RES balance'!AD$5:AD$25,'RES balance'!$D$5:$D$25,'RES Assumptions'!$A18)*AD18,"")</f>
        <v>10.626472735232696</v>
      </c>
      <c r="BK18" s="10">
        <f ca="1">IFERROR(SUMIFS('RES balance'!AE$5:AE$25,'RES balance'!$D$5:$D$25,'RES Assumptions'!$A18)*AE18,"")</f>
        <v>9.6770439244371342</v>
      </c>
      <c r="BL18" s="10">
        <f ca="1">IFERROR(SUMIFS('RES balance'!AF$5:AF$25,'RES balance'!$D$5:$D$25,'RES Assumptions'!$A18)*AF18,"")</f>
        <v>2.4691154960629738</v>
      </c>
      <c r="BM18" s="10">
        <f ca="1">IFERROR(SUMIFS('RES balance'!AG$5:AG$25,'RES balance'!$D$5:$D$25,'RES Assumptions'!$A18)*AG18,"")</f>
        <v>0.26523664697463856</v>
      </c>
      <c r="BN18" s="10">
        <f ca="1">IFERROR(SUMIFS('RES balance'!AH$5:AH$25,'RES balance'!$D$5:$D$25,'RES Assumptions'!$A18)*AH18,"")</f>
        <v>0</v>
      </c>
    </row>
    <row r="19" spans="1:66" x14ac:dyDescent="0.45">
      <c r="A19" s="8" t="str">
        <f>VLOOKUP(C19,'RES balance'!$AL$5:$AM$25,2,FALSE)</f>
        <v>RESKER</v>
      </c>
      <c r="B19" s="36"/>
      <c r="C19" s="20" t="s">
        <v>74</v>
      </c>
      <c r="D19" s="21" t="s">
        <v>70</v>
      </c>
      <c r="E19" s="14">
        <f ca="1">OFFSET('RES Assumptions T15'!$D19,0,MATCH(VLOOKUP('RES Assumptions'!E$2,'RES Assumptions T15'!$V$3:$W$35,2,FALSE),'RES Assumptions T15'!$E$2:$S$2,0))</f>
        <v>0</v>
      </c>
      <c r="F19" s="14">
        <f ca="1">OFFSET('RES Assumptions T15'!$D19,0,MATCH(VLOOKUP('RES Assumptions'!F$2,'RES Assumptions T15'!$V$3:$W$35,2,FALSE),'RES Assumptions T15'!$E$2:$S$2,0))</f>
        <v>0</v>
      </c>
      <c r="G19" s="14">
        <f ca="1">OFFSET('RES Assumptions T15'!$D19,0,MATCH(VLOOKUP('RES Assumptions'!G$2,'RES Assumptions T15'!$V$3:$W$35,2,FALSE),'RES Assumptions T15'!$E$2:$S$2,0))</f>
        <v>0.121423957926812</v>
      </c>
      <c r="H19" s="14">
        <f ca="1">OFFSET('RES Assumptions T15'!$D19,0,MATCH(VLOOKUP('RES Assumptions'!H$2,'RES Assumptions T15'!$V$3:$W$35,2,FALSE),'RES Assumptions T15'!$E$2:$S$2,0))</f>
        <v>2.1213735906961302E-3</v>
      </c>
      <c r="I19" s="14">
        <f ca="1">OFFSET('RES Assumptions T15'!$D19,0,MATCH(VLOOKUP('RES Assumptions'!I$2,'RES Assumptions T15'!$V$3:$W$35,2,FALSE),'RES Assumptions T15'!$E$2:$S$2,0))</f>
        <v>0</v>
      </c>
      <c r="J19" s="14">
        <f ca="1">OFFSET('RES Assumptions T15'!$D19,0,MATCH(VLOOKUP('RES Assumptions'!J$2,'RES Assumptions T15'!$V$3:$W$35,2,FALSE),'RES Assumptions T15'!$E$2:$S$2,0))</f>
        <v>0</v>
      </c>
      <c r="K19" s="14">
        <f ca="1">OFFSET('RES Assumptions T15'!$D19,0,MATCH(VLOOKUP('RES Assumptions'!K$2,'RES Assumptions T15'!$V$3:$W$35,2,FALSE),'RES Assumptions T15'!$E$2:$S$2,0))</f>
        <v>0</v>
      </c>
      <c r="L19" s="14">
        <f ca="1">OFFSET('RES Assumptions T15'!$D19,0,MATCH(VLOOKUP('RES Assumptions'!L$2,'RES Assumptions T15'!$V$3:$W$35,2,FALSE),'RES Assumptions T15'!$E$2:$S$2,0))</f>
        <v>0.121423957926812</v>
      </c>
      <c r="M19" s="14">
        <f ca="1">OFFSET('RES Assumptions T15'!$D19,0,MATCH(VLOOKUP('RES Assumptions'!M$2,'RES Assumptions T15'!$V$3:$W$35,2,FALSE),'RES Assumptions T15'!$E$2:$S$2,0))</f>
        <v>0</v>
      </c>
      <c r="N19" s="14">
        <f ca="1">OFFSET('RES Assumptions T15'!$D19,0,MATCH(VLOOKUP('RES Assumptions'!N$2,'RES Assumptions T15'!$V$3:$W$35,2,FALSE),'RES Assumptions T15'!$E$2:$S$2,0))</f>
        <v>0</v>
      </c>
      <c r="O19" s="14">
        <f ca="1">OFFSET('RES Assumptions T15'!$D19,0,MATCH(VLOOKUP('RES Assumptions'!O$2,'RES Assumptions T15'!$V$3:$W$35,2,FALSE),'RES Assumptions T15'!$E$2:$S$2,0))</f>
        <v>2.3167012396898301E-3</v>
      </c>
      <c r="P19" s="14">
        <f ca="1">OFFSET('RES Assumptions T15'!$D19,0,MATCH(VLOOKUP('RES Assumptions'!P$2,'RES Assumptions T15'!$V$3:$W$35,2,FALSE),'RES Assumptions T15'!$E$2:$S$2,0))</f>
        <v>2.7786858450474E-3</v>
      </c>
      <c r="Q19" s="14">
        <f ca="1">OFFSET('RES Assumptions T15'!$D19,0,MATCH(VLOOKUP('RES Assumptions'!Q$2,'RES Assumptions T15'!$V$3:$W$35,2,FALSE),'RES Assumptions T15'!$E$2:$S$2,0))</f>
        <v>2.3167012396898301E-3</v>
      </c>
      <c r="R19" s="14">
        <f ca="1">OFFSET('RES Assumptions T15'!$D19,0,MATCH(VLOOKUP('RES Assumptions'!R$2,'RES Assumptions T15'!$V$3:$W$35,2,FALSE),'RES Assumptions T15'!$E$2:$S$2,0))</f>
        <v>2.3167012396898301E-3</v>
      </c>
      <c r="S19" s="14">
        <f ca="1">OFFSET('RES Assumptions T15'!$D19,0,MATCH(VLOOKUP('RES Assumptions'!S$2,'RES Assumptions T15'!$V$3:$W$35,2,FALSE),'RES Assumptions T15'!$E$2:$S$2,0))</f>
        <v>2.7786858450474E-3</v>
      </c>
      <c r="T19" s="14">
        <f ca="1">OFFSET('RES Assumptions T15'!$D19,0,MATCH(VLOOKUP('RES Assumptions'!T$2,'RES Assumptions T15'!$V$3:$W$35,2,FALSE),'RES Assumptions T15'!$E$2:$S$2,0))</f>
        <v>2.3167012396898301E-3</v>
      </c>
      <c r="U19" s="14">
        <f ca="1">OFFSET('RES Assumptions T15'!$D19,0,MATCH(VLOOKUP('RES Assumptions'!U$2,'RES Assumptions T15'!$V$3:$W$35,2,FALSE),'RES Assumptions T15'!$E$2:$S$2,0))</f>
        <v>0</v>
      </c>
      <c r="V19" s="14">
        <f ca="1">OFFSET('RES Assumptions T15'!$D19,0,MATCH(VLOOKUP('RES Assumptions'!V$2,'RES Assumptions T15'!$V$3:$W$35,2,FALSE),'RES Assumptions T15'!$E$2:$S$2,0))</f>
        <v>2.3167012396898301E-3</v>
      </c>
      <c r="W19" s="14">
        <f ca="1">OFFSET('RES Assumptions T15'!$D19,0,MATCH(VLOOKUP('RES Assumptions'!W$2,'RES Assumptions T15'!$V$3:$W$35,2,FALSE),'RES Assumptions T15'!$E$2:$S$2,0))</f>
        <v>2.3167012396898301E-3</v>
      </c>
      <c r="X19" s="14">
        <f ca="1">OFFSET('RES Assumptions T15'!$D19,0,MATCH(VLOOKUP('RES Assumptions'!X$2,'RES Assumptions T15'!$V$3:$W$35,2,FALSE),'RES Assumptions T15'!$E$2:$S$2,0))</f>
        <v>0</v>
      </c>
      <c r="Y19" s="14">
        <f ca="1">OFFSET('RES Assumptions T15'!$D19,0,MATCH(VLOOKUP('RES Assumptions'!Y$2,'RES Assumptions T15'!$V$3:$W$35,2,FALSE),'RES Assumptions T15'!$E$2:$S$2,0))</f>
        <v>0.121423957926812</v>
      </c>
      <c r="Z19" s="14">
        <f ca="1">OFFSET('RES Assumptions T15'!$D19,0,MATCH(VLOOKUP('RES Assumptions'!Z$2,'RES Assumptions T15'!$V$3:$W$35,2,FALSE),'RES Assumptions T15'!$E$2:$S$2,0))</f>
        <v>0</v>
      </c>
      <c r="AA19" s="14">
        <f ca="1">OFFSET('RES Assumptions T15'!$D19,0,MATCH(VLOOKUP('RES Assumptions'!AA$2,'RES Assumptions T15'!$V$3:$W$35,2,FALSE),'RES Assumptions T15'!$E$2:$S$2,0))</f>
        <v>0</v>
      </c>
      <c r="AB19" s="14">
        <f ca="1">OFFSET('RES Assumptions T15'!$D19,0,MATCH(VLOOKUP('RES Assumptions'!AB$2,'RES Assumptions T15'!$V$3:$W$35,2,FALSE),'RES Assumptions T15'!$E$2:$S$2,0))</f>
        <v>2.3167012396898301E-3</v>
      </c>
      <c r="AC19" s="14">
        <f ca="1">OFFSET('RES Assumptions T15'!$D19,0,MATCH(VLOOKUP('RES Assumptions'!AC$2,'RES Assumptions T15'!$V$3:$W$35,2,FALSE),'RES Assumptions T15'!$E$2:$S$2,0))</f>
        <v>2.1213735906961302E-3</v>
      </c>
      <c r="AD19" s="14">
        <f ca="1">OFFSET('RES Assumptions T15'!$D19,0,MATCH(VLOOKUP('RES Assumptions'!AD$2,'RES Assumptions T15'!$V$3:$W$35,2,FALSE),'RES Assumptions T15'!$E$2:$S$2,0))</f>
        <v>0</v>
      </c>
      <c r="AE19" s="14">
        <f ca="1">OFFSET('RES Assumptions T15'!$D19,0,MATCH(VLOOKUP('RES Assumptions'!AE$2,'RES Assumptions T15'!$V$3:$W$35,2,FALSE),'RES Assumptions T15'!$E$2:$S$2,0))</f>
        <v>0</v>
      </c>
      <c r="AF19" s="14">
        <f ca="1">OFFSET('RES Assumptions T15'!$D19,0,MATCH(VLOOKUP('RES Assumptions'!AF$2,'RES Assumptions T15'!$V$3:$W$35,2,FALSE),'RES Assumptions T15'!$E$2:$S$2,0))</f>
        <v>2.3167012396898301E-3</v>
      </c>
      <c r="AG19" s="14">
        <f ca="1">OFFSET('RES Assumptions T15'!$D19,0,MATCH(VLOOKUP('RES Assumptions'!AG$2,'RES Assumptions T15'!$V$3:$W$35,2,FALSE),'RES Assumptions T15'!$E$2:$S$2,0))</f>
        <v>0</v>
      </c>
      <c r="AH19" s="14">
        <f ca="1">OFFSET('RES Assumptions T15'!$D19,0,MATCH(VLOOKUP('RES Assumptions'!AH$2,'RES Assumptions T15'!$V$3:$W$35,2,FALSE),'RES Assumptions T15'!$E$2:$S$2,0))</f>
        <v>0</v>
      </c>
      <c r="AK19" s="10">
        <f ca="1">IFERROR(SUMIFS('RES balance'!E$5:E$25,'RES balance'!$D$5:$D$25,'RES Assumptions'!$A19)*E19,"")</f>
        <v>0</v>
      </c>
      <c r="AL19" s="10">
        <f ca="1">IFERROR(SUMIFS('RES balance'!F$5:F$25,'RES balance'!$D$5:$D$25,'RES Assumptions'!$A19)*F19,"")</f>
        <v>0</v>
      </c>
      <c r="AM19" s="10">
        <f ca="1">IFERROR(SUMIFS('RES balance'!G$5:G$25,'RES balance'!$D$5:$D$25,'RES Assumptions'!$A19)*G19,"")</f>
        <v>0.541041610813636</v>
      </c>
      <c r="AN19" s="10">
        <f ca="1">IFERROR(SUMIFS('RES balance'!H$5:H$25,'RES balance'!$D$5:$D$25,'RES Assumptions'!$A19)*H19,"")</f>
        <v>1.3734311440633442E-2</v>
      </c>
      <c r="AO19" s="10">
        <f ca="1">IFERROR(SUMIFS('RES balance'!I$5:I$25,'RES balance'!$D$5:$D$25,'RES Assumptions'!$A19)*I19,"")</f>
        <v>0</v>
      </c>
      <c r="AP19" s="10">
        <f ca="1">IFERROR(SUMIFS('RES balance'!J$5:J$25,'RES balance'!$D$5:$D$25,'RES Assumptions'!$A19)*J19,"")</f>
        <v>0</v>
      </c>
      <c r="AQ19" s="10">
        <f ca="1">IFERROR(SUMIFS('RES balance'!K$5:K$25,'RES balance'!$D$5:$D$25,'RES Assumptions'!$A19)*K19,"")</f>
        <v>0</v>
      </c>
      <c r="AR19" s="10">
        <f ca="1">IFERROR(SUMIFS('RES balance'!L$5:L$25,'RES balance'!$D$5:$D$25,'RES Assumptions'!$A19)*L19,"")</f>
        <v>9.5432685693446154E-3</v>
      </c>
      <c r="AS19" s="10">
        <f ca="1">IFERROR(SUMIFS('RES balance'!M$5:M$25,'RES balance'!$D$5:$D$25,'RES Assumptions'!$A19)*M19,"")</f>
        <v>0</v>
      </c>
      <c r="AT19" s="10">
        <f ca="1">IFERROR(SUMIFS('RES balance'!N$5:N$25,'RES balance'!$D$5:$D$25,'RES Assumptions'!$A19)*N19,"")</f>
        <v>0</v>
      </c>
      <c r="AU19" s="10">
        <f ca="1">IFERROR(SUMIFS('RES balance'!O$5:O$25,'RES balance'!$D$5:$D$25,'RES Assumptions'!$A19)*O19,"")</f>
        <v>3.6071711350014806E-4</v>
      </c>
      <c r="AV19" s="10">
        <f ca="1">IFERROR(SUMIFS('RES balance'!P$5:P$25,'RES balance'!$D$5:$D$25,'RES Assumptions'!$A19)*P19,"")</f>
        <v>0</v>
      </c>
      <c r="AW19" s="10">
        <f ca="1">IFERROR(SUMIFS('RES balance'!Q$5:Q$25,'RES balance'!$D$5:$D$25,'RES Assumptions'!$A19)*Q19,"")</f>
        <v>8.0562984388085249E-2</v>
      </c>
      <c r="AX19" s="10">
        <f ca="1">IFERROR(SUMIFS('RES balance'!R$5:R$25,'RES balance'!$D$5:$D$25,'RES Assumptions'!$A19)*R19,"")</f>
        <v>1.7428856912931542E-3</v>
      </c>
      <c r="AY19" s="10">
        <f ca="1">IFERROR(SUMIFS('RES balance'!S$5:S$25,'RES balance'!$D$5:$D$25,'RES Assumptions'!$A19)*S19,"")</f>
        <v>0</v>
      </c>
      <c r="AZ19" s="10">
        <f ca="1">IFERROR(SUMIFS('RES balance'!T$5:T$25,'RES balance'!$D$5:$D$25,'RES Assumptions'!$A19)*T19,"")</f>
        <v>9.8644573510890487E-6</v>
      </c>
      <c r="BA19" s="10">
        <f ca="1">IFERROR(SUMIFS('RES balance'!U$5:U$25,'RES balance'!$D$5:$D$25,'RES Assumptions'!$A19)*U19,"")</f>
        <v>0</v>
      </c>
      <c r="BB19" s="10">
        <f ca="1">IFERROR(SUMIFS('RES balance'!V$5:V$25,'RES balance'!$D$5:$D$25,'RES Assumptions'!$A19)*V19,"")</f>
        <v>1.7027430726174245E-2</v>
      </c>
      <c r="BC19" s="10">
        <f ca="1">IFERROR(SUMIFS('RES balance'!W$5:W$25,'RES balance'!$D$5:$D$25,'RES Assumptions'!$A19)*W19,"")</f>
        <v>5.9770657904504362E-4</v>
      </c>
      <c r="BD19" s="10">
        <f ca="1">IFERROR(SUMIFS('RES balance'!X$5:X$25,'RES balance'!$D$5:$D$25,'RES Assumptions'!$A19)*X19,"")</f>
        <v>0</v>
      </c>
      <c r="BE19" s="10">
        <f ca="1">IFERROR(SUMIFS('RES balance'!Y$5:Y$25,'RES balance'!$D$5:$D$25,'RES Assumptions'!$A19)*Y19,"")</f>
        <v>1.2972363437013814</v>
      </c>
      <c r="BF19" s="10">
        <f ca="1">IFERROR(SUMIFS('RES balance'!Z$5:Z$25,'RES balance'!$D$5:$D$25,'RES Assumptions'!$A19)*Z19,"")</f>
        <v>0</v>
      </c>
      <c r="BG19" s="10">
        <f ca="1">IFERROR(SUMIFS('RES balance'!AA$5:AA$25,'RES balance'!$D$5:$D$25,'RES Assumptions'!$A19)*AA19,"")</f>
        <v>0</v>
      </c>
      <c r="BH19" s="10">
        <f ca="1">IFERROR(SUMIFS('RES balance'!AB$5:AB$25,'RES balance'!$D$5:$D$25,'RES Assumptions'!$A19)*AB19,"")</f>
        <v>5.6082883386427603E-5</v>
      </c>
      <c r="BI19" s="10">
        <f ca="1">IFERROR(SUMIFS('RES balance'!AC$5:AC$25,'RES balance'!$D$5:$D$25,'RES Assumptions'!$A19)*AC19,"")</f>
        <v>0</v>
      </c>
      <c r="BJ19" s="10">
        <f ca="1">IFERROR(SUMIFS('RES balance'!AD$5:AD$25,'RES balance'!$D$5:$D$25,'RES Assumptions'!$A19)*AD19,"")</f>
        <v>0</v>
      </c>
      <c r="BK19" s="10">
        <f ca="1">IFERROR(SUMIFS('RES balance'!AE$5:AE$25,'RES balance'!$D$5:$D$25,'RES Assumptions'!$A19)*AE19,"")</f>
        <v>0</v>
      </c>
      <c r="BL19" s="10">
        <f ca="1">IFERROR(SUMIFS('RES balance'!AF$5:AF$25,'RES balance'!$D$5:$D$25,'RES Assumptions'!$A19)*AF19,"")</f>
        <v>0.17870400499496217</v>
      </c>
      <c r="BM19" s="10">
        <f ca="1">IFERROR(SUMIFS('RES balance'!AG$5:AG$25,'RES balance'!$D$5:$D$25,'RES Assumptions'!$A19)*AG19,"")</f>
        <v>0</v>
      </c>
      <c r="BN19" s="10">
        <f ca="1">IFERROR(SUMIFS('RES balance'!AH$5:AH$25,'RES balance'!$D$5:$D$25,'RES Assumptions'!$A19)*AH19,"")</f>
        <v>0</v>
      </c>
    </row>
    <row r="20" spans="1:66" x14ac:dyDescent="0.45">
      <c r="A20" s="8" t="str">
        <f>VLOOKUP(C20,'RES balance'!$AL$5:$AM$25,2,FALSE)</f>
        <v>RESKER</v>
      </c>
      <c r="B20" s="36"/>
      <c r="C20" s="22" t="s">
        <v>74</v>
      </c>
      <c r="D20" s="23" t="s">
        <v>71</v>
      </c>
      <c r="E20" s="14">
        <f ca="1">OFFSET('RES Assumptions T15'!$D20,0,MATCH(VLOOKUP('RES Assumptions'!E$2,'RES Assumptions T15'!$V$3:$W$35,2,FALSE),'RES Assumptions T15'!$E$2:$S$2,0))</f>
        <v>1.8137278715904599E-2</v>
      </c>
      <c r="F20" s="14">
        <f ca="1">OFFSET('RES Assumptions T15'!$D20,0,MATCH(VLOOKUP('RES Assumptions'!F$2,'RES Assumptions T15'!$V$3:$W$35,2,FALSE),'RES Assumptions T15'!$E$2:$S$2,0))</f>
        <v>1.8137278715904599E-2</v>
      </c>
      <c r="G20" s="14">
        <f ca="1">OFFSET('RES Assumptions T15'!$D20,0,MATCH(VLOOKUP('RES Assumptions'!G$2,'RES Assumptions T15'!$V$3:$W$35,2,FALSE),'RES Assumptions T15'!$E$2:$S$2,0))</f>
        <v>2.2798945784415799E-4</v>
      </c>
      <c r="H20" s="14">
        <f ca="1">OFFSET('RES Assumptions T15'!$D20,0,MATCH(VLOOKUP('RES Assumptions'!H$2,'RES Assumptions T15'!$V$3:$W$35,2,FALSE),'RES Assumptions T15'!$E$2:$S$2,0))</f>
        <v>0</v>
      </c>
      <c r="I20" s="14">
        <f ca="1">OFFSET('RES Assumptions T15'!$D20,0,MATCH(VLOOKUP('RES Assumptions'!I$2,'RES Assumptions T15'!$V$3:$W$35,2,FALSE),'RES Assumptions T15'!$E$2:$S$2,0))</f>
        <v>0</v>
      </c>
      <c r="J20" s="14">
        <f ca="1">OFFSET('RES Assumptions T15'!$D20,0,MATCH(VLOOKUP('RES Assumptions'!J$2,'RES Assumptions T15'!$V$3:$W$35,2,FALSE),'RES Assumptions T15'!$E$2:$S$2,0))</f>
        <v>6.1608878228174404E-3</v>
      </c>
      <c r="K20" s="14">
        <f ca="1">OFFSET('RES Assumptions T15'!$D20,0,MATCH(VLOOKUP('RES Assumptions'!K$2,'RES Assumptions T15'!$V$3:$W$35,2,FALSE),'RES Assumptions T15'!$E$2:$S$2,0))</f>
        <v>0</v>
      </c>
      <c r="L20" s="14">
        <f ca="1">OFFSET('RES Assumptions T15'!$D20,0,MATCH(VLOOKUP('RES Assumptions'!L$2,'RES Assumptions T15'!$V$3:$W$35,2,FALSE),'RES Assumptions T15'!$E$2:$S$2,0))</f>
        <v>2.2798945784415799E-4</v>
      </c>
      <c r="M20" s="14">
        <f ca="1">OFFSET('RES Assumptions T15'!$D20,0,MATCH(VLOOKUP('RES Assumptions'!M$2,'RES Assumptions T15'!$V$3:$W$35,2,FALSE),'RES Assumptions T15'!$E$2:$S$2,0))</f>
        <v>0</v>
      </c>
      <c r="N20" s="14">
        <f ca="1">OFFSET('RES Assumptions T15'!$D20,0,MATCH(VLOOKUP('RES Assumptions'!N$2,'RES Assumptions T15'!$V$3:$W$35,2,FALSE),'RES Assumptions T15'!$E$2:$S$2,0))</f>
        <v>0</v>
      </c>
      <c r="O20" s="14">
        <f ca="1">OFFSET('RES Assumptions T15'!$D20,0,MATCH(VLOOKUP('RES Assumptions'!O$2,'RES Assumptions T15'!$V$3:$W$35,2,FALSE),'RES Assumptions T15'!$E$2:$S$2,0))</f>
        <v>0</v>
      </c>
      <c r="P20" s="14">
        <f ca="1">OFFSET('RES Assumptions T15'!$D20,0,MATCH(VLOOKUP('RES Assumptions'!P$2,'RES Assumptions T15'!$V$3:$W$35,2,FALSE),'RES Assumptions T15'!$E$2:$S$2,0))</f>
        <v>0</v>
      </c>
      <c r="Q20" s="14">
        <f ca="1">OFFSET('RES Assumptions T15'!$D20,0,MATCH(VLOOKUP('RES Assumptions'!Q$2,'RES Assumptions T15'!$V$3:$W$35,2,FALSE),'RES Assumptions T15'!$E$2:$S$2,0))</f>
        <v>0</v>
      </c>
      <c r="R20" s="14">
        <f ca="1">OFFSET('RES Assumptions T15'!$D20,0,MATCH(VLOOKUP('RES Assumptions'!R$2,'RES Assumptions T15'!$V$3:$W$35,2,FALSE),'RES Assumptions T15'!$E$2:$S$2,0))</f>
        <v>0</v>
      </c>
      <c r="S20" s="14">
        <f ca="1">OFFSET('RES Assumptions T15'!$D20,0,MATCH(VLOOKUP('RES Assumptions'!S$2,'RES Assumptions T15'!$V$3:$W$35,2,FALSE),'RES Assumptions T15'!$E$2:$S$2,0))</f>
        <v>0</v>
      </c>
      <c r="T20" s="14">
        <f ca="1">OFFSET('RES Assumptions T15'!$D20,0,MATCH(VLOOKUP('RES Assumptions'!T$2,'RES Assumptions T15'!$V$3:$W$35,2,FALSE),'RES Assumptions T15'!$E$2:$S$2,0))</f>
        <v>0</v>
      </c>
      <c r="U20" s="14">
        <f ca="1">OFFSET('RES Assumptions T15'!$D20,0,MATCH(VLOOKUP('RES Assumptions'!U$2,'RES Assumptions T15'!$V$3:$W$35,2,FALSE),'RES Assumptions T15'!$E$2:$S$2,0))</f>
        <v>2.51057385728E-5</v>
      </c>
      <c r="V20" s="14">
        <f ca="1">OFFSET('RES Assumptions T15'!$D20,0,MATCH(VLOOKUP('RES Assumptions'!V$2,'RES Assumptions T15'!$V$3:$W$35,2,FALSE),'RES Assumptions T15'!$E$2:$S$2,0))</f>
        <v>0</v>
      </c>
      <c r="W20" s="14">
        <f ca="1">OFFSET('RES Assumptions T15'!$D20,0,MATCH(VLOOKUP('RES Assumptions'!W$2,'RES Assumptions T15'!$V$3:$W$35,2,FALSE),'RES Assumptions T15'!$E$2:$S$2,0))</f>
        <v>0</v>
      </c>
      <c r="X20" s="14">
        <f ca="1">OFFSET('RES Assumptions T15'!$D20,0,MATCH(VLOOKUP('RES Assumptions'!X$2,'RES Assumptions T15'!$V$3:$W$35,2,FALSE),'RES Assumptions T15'!$E$2:$S$2,0))</f>
        <v>0</v>
      </c>
      <c r="Y20" s="14">
        <f ca="1">OFFSET('RES Assumptions T15'!$D20,0,MATCH(VLOOKUP('RES Assumptions'!Y$2,'RES Assumptions T15'!$V$3:$W$35,2,FALSE),'RES Assumptions T15'!$E$2:$S$2,0))</f>
        <v>2.2798945784415799E-4</v>
      </c>
      <c r="Z20" s="14">
        <f ca="1">OFFSET('RES Assumptions T15'!$D20,0,MATCH(VLOOKUP('RES Assumptions'!Z$2,'RES Assumptions T15'!$V$3:$W$35,2,FALSE),'RES Assumptions T15'!$E$2:$S$2,0))</f>
        <v>2.1017571238056299E-3</v>
      </c>
      <c r="AA20" s="14">
        <f ca="1">OFFSET('RES Assumptions T15'!$D20,0,MATCH(VLOOKUP('RES Assumptions'!AA$2,'RES Assumptions T15'!$V$3:$W$35,2,FALSE),'RES Assumptions T15'!$E$2:$S$2,0))</f>
        <v>2.51057385728E-5</v>
      </c>
      <c r="AB20" s="14">
        <f ca="1">OFFSET('RES Assumptions T15'!$D20,0,MATCH(VLOOKUP('RES Assumptions'!AB$2,'RES Assumptions T15'!$V$3:$W$35,2,FALSE),'RES Assumptions T15'!$E$2:$S$2,0))</f>
        <v>0</v>
      </c>
      <c r="AC20" s="14">
        <f ca="1">OFFSET('RES Assumptions T15'!$D20,0,MATCH(VLOOKUP('RES Assumptions'!AC$2,'RES Assumptions T15'!$V$3:$W$35,2,FALSE),'RES Assumptions T15'!$E$2:$S$2,0))</f>
        <v>0</v>
      </c>
      <c r="AD20" s="14">
        <f ca="1">OFFSET('RES Assumptions T15'!$D20,0,MATCH(VLOOKUP('RES Assumptions'!AD$2,'RES Assumptions T15'!$V$3:$W$35,2,FALSE),'RES Assumptions T15'!$E$2:$S$2,0))</f>
        <v>2.51057385728E-5</v>
      </c>
      <c r="AE20" s="14">
        <f ca="1">OFFSET('RES Assumptions T15'!$D20,0,MATCH(VLOOKUP('RES Assumptions'!AE$2,'RES Assumptions T15'!$V$3:$W$35,2,FALSE),'RES Assumptions T15'!$E$2:$S$2,0))</f>
        <v>1.8137278715904599E-2</v>
      </c>
      <c r="AF20" s="14">
        <f ca="1">OFFSET('RES Assumptions T15'!$D20,0,MATCH(VLOOKUP('RES Assumptions'!AF$2,'RES Assumptions T15'!$V$3:$W$35,2,FALSE),'RES Assumptions T15'!$E$2:$S$2,0))</f>
        <v>0</v>
      </c>
      <c r="AG20" s="14">
        <f ca="1">OFFSET('RES Assumptions T15'!$D20,0,MATCH(VLOOKUP('RES Assumptions'!AG$2,'RES Assumptions T15'!$V$3:$W$35,2,FALSE),'RES Assumptions T15'!$E$2:$S$2,0))</f>
        <v>0</v>
      </c>
      <c r="AH20" s="14">
        <f ca="1">OFFSET('RES Assumptions T15'!$D20,0,MATCH(VLOOKUP('RES Assumptions'!AH$2,'RES Assumptions T15'!$V$3:$W$35,2,FALSE),'RES Assumptions T15'!$E$2:$S$2,0))</f>
        <v>0</v>
      </c>
      <c r="AK20" s="10">
        <f ca="1">IFERROR(SUMIFS('RES balance'!E$5:E$25,'RES balance'!$D$5:$D$25,'RES Assumptions'!$A20)*E20,"")</f>
        <v>8.3413323659123351E-2</v>
      </c>
      <c r="AL20" s="10">
        <f ca="1">IFERROR(SUMIFS('RES balance'!F$5:F$25,'RES balance'!$D$5:$D$25,'RES Assumptions'!$A20)*F20,"")</f>
        <v>0.92097428764914102</v>
      </c>
      <c r="AM20" s="10">
        <f ca="1">IFERROR(SUMIFS('RES balance'!G$5:G$25,'RES balance'!$D$5:$D$25,'RES Assumptions'!$A20)*G20,"")</f>
        <v>1.0158768139882312E-3</v>
      </c>
      <c r="AN20" s="10">
        <f ca="1">IFERROR(SUMIFS('RES balance'!H$5:H$25,'RES balance'!$D$5:$D$25,'RES Assumptions'!$A20)*H20,"")</f>
        <v>0</v>
      </c>
      <c r="AO20" s="10">
        <f ca="1">IFERROR(SUMIFS('RES balance'!I$5:I$25,'RES balance'!$D$5:$D$25,'RES Assumptions'!$A20)*I20,"")</f>
        <v>0</v>
      </c>
      <c r="AP20" s="10">
        <f ca="1">IFERROR(SUMIFS('RES balance'!J$5:J$25,'RES balance'!$D$5:$D$25,'RES Assumptions'!$A20)*J20,"")</f>
        <v>0.20676779680833079</v>
      </c>
      <c r="AQ20" s="10">
        <f ca="1">IFERROR(SUMIFS('RES balance'!K$5:K$25,'RES balance'!$D$5:$D$25,'RES Assumptions'!$A20)*K20,"")</f>
        <v>0</v>
      </c>
      <c r="AR20" s="10">
        <f ca="1">IFERROR(SUMIFS('RES balance'!L$5:L$25,'RES balance'!$D$5:$D$25,'RES Assumptions'!$A20)*L20,"")</f>
        <v>1.7918742432177257E-5</v>
      </c>
      <c r="AS20" s="10">
        <f ca="1">IFERROR(SUMIFS('RES balance'!M$5:M$25,'RES balance'!$D$5:$D$25,'RES Assumptions'!$A20)*M20,"")</f>
        <v>0</v>
      </c>
      <c r="AT20" s="10">
        <f ca="1">IFERROR(SUMIFS('RES balance'!N$5:N$25,'RES balance'!$D$5:$D$25,'RES Assumptions'!$A20)*N20,"")</f>
        <v>0</v>
      </c>
      <c r="AU20" s="10">
        <f ca="1">IFERROR(SUMIFS('RES balance'!O$5:O$25,'RES balance'!$D$5:$D$25,'RES Assumptions'!$A20)*O20,"")</f>
        <v>0</v>
      </c>
      <c r="AV20" s="10">
        <f ca="1">IFERROR(SUMIFS('RES balance'!P$5:P$25,'RES balance'!$D$5:$D$25,'RES Assumptions'!$A20)*P20,"")</f>
        <v>0</v>
      </c>
      <c r="AW20" s="10">
        <f ca="1">IFERROR(SUMIFS('RES balance'!Q$5:Q$25,'RES balance'!$D$5:$D$25,'RES Assumptions'!$A20)*Q20,"")</f>
        <v>0</v>
      </c>
      <c r="AX20" s="10">
        <f ca="1">IFERROR(SUMIFS('RES balance'!R$5:R$25,'RES balance'!$D$5:$D$25,'RES Assumptions'!$A20)*R20,"")</f>
        <v>0</v>
      </c>
      <c r="AY20" s="10">
        <f ca="1">IFERROR(SUMIFS('RES balance'!S$5:S$25,'RES balance'!$D$5:$D$25,'RES Assumptions'!$A20)*S20,"")</f>
        <v>0</v>
      </c>
      <c r="AZ20" s="10">
        <f ca="1">IFERROR(SUMIFS('RES balance'!T$5:T$25,'RES balance'!$D$5:$D$25,'RES Assumptions'!$A20)*T20,"")</f>
        <v>0</v>
      </c>
      <c r="BA20" s="10">
        <f ca="1">IFERROR(SUMIFS('RES balance'!U$5:U$25,'RES balance'!$D$5:$D$25,'RES Assumptions'!$A20)*U20,"")</f>
        <v>9.7158827774162194E-6</v>
      </c>
      <c r="BB20" s="10">
        <f ca="1">IFERROR(SUMIFS('RES balance'!V$5:V$25,'RES balance'!$D$5:$D$25,'RES Assumptions'!$A20)*V20,"")</f>
        <v>0</v>
      </c>
      <c r="BC20" s="10">
        <f ca="1">IFERROR(SUMIFS('RES balance'!W$5:W$25,'RES balance'!$D$5:$D$25,'RES Assumptions'!$A20)*W20,"")</f>
        <v>0</v>
      </c>
      <c r="BD20" s="10">
        <f ca="1">IFERROR(SUMIFS('RES balance'!X$5:X$25,'RES balance'!$D$5:$D$25,'RES Assumptions'!$A20)*X20,"")</f>
        <v>0</v>
      </c>
      <c r="BE20" s="10">
        <f ca="1">IFERROR(SUMIFS('RES balance'!Y$5:Y$25,'RES balance'!$D$5:$D$25,'RES Assumptions'!$A20)*Y20,"")</f>
        <v>2.4357319242919264E-3</v>
      </c>
      <c r="BF20" s="10">
        <f ca="1">IFERROR(SUMIFS('RES balance'!Z$5:Z$25,'RES balance'!$D$5:$D$25,'RES Assumptions'!$A20)*Z20,"")</f>
        <v>0</v>
      </c>
      <c r="BG20" s="10">
        <f ca="1">IFERROR(SUMIFS('RES balance'!AA$5:AA$25,'RES balance'!$D$5:$D$25,'RES Assumptions'!$A20)*AA20,"")</f>
        <v>3.9898989021109194E-3</v>
      </c>
      <c r="BH20" s="10">
        <f ca="1">IFERROR(SUMIFS('RES balance'!AB$5:AB$25,'RES balance'!$D$5:$D$25,'RES Assumptions'!$A20)*AB20,"")</f>
        <v>0</v>
      </c>
      <c r="BI20" s="10">
        <f ca="1">IFERROR(SUMIFS('RES balance'!AC$5:AC$25,'RES balance'!$D$5:$D$25,'RES Assumptions'!$A20)*AC20,"")</f>
        <v>0</v>
      </c>
      <c r="BJ20" s="10">
        <f ca="1">IFERROR(SUMIFS('RES balance'!AD$5:AD$25,'RES balance'!$D$5:$D$25,'RES Assumptions'!$A20)*AD20,"")</f>
        <v>5.6567569623028216E-4</v>
      </c>
      <c r="BK20" s="10">
        <f ca="1">IFERROR(SUMIFS('RES balance'!AE$5:AE$25,'RES balance'!$D$5:$D$25,'RES Assumptions'!$A20)*AE20,"")</f>
        <v>0.20415689882753715</v>
      </c>
      <c r="BL20" s="10">
        <f ca="1">IFERROR(SUMIFS('RES balance'!AF$5:AF$25,'RES balance'!$D$5:$D$25,'RES Assumptions'!$A20)*AF20,"")</f>
        <v>0</v>
      </c>
      <c r="BM20" s="10">
        <f ca="1">IFERROR(SUMIFS('RES balance'!AG$5:AG$25,'RES balance'!$D$5:$D$25,'RES Assumptions'!$A20)*AG20,"")</f>
        <v>0</v>
      </c>
      <c r="BN20" s="10">
        <f ca="1">IFERROR(SUMIFS('RES balance'!AH$5:AH$25,'RES balance'!$D$5:$D$25,'RES Assumptions'!$A20)*AH20,"")</f>
        <v>0</v>
      </c>
    </row>
    <row r="21" spans="1:66" x14ac:dyDescent="0.45">
      <c r="A21" s="8" t="str">
        <f>VLOOKUP(C21,'RES balance'!$AL$5:$AM$25,2,FALSE)</f>
        <v>RESCOA</v>
      </c>
      <c r="B21" s="36"/>
      <c r="C21" s="20" t="s">
        <v>32</v>
      </c>
      <c r="D21" s="21" t="s">
        <v>62</v>
      </c>
      <c r="E21" s="14">
        <f ca="1">OFFSET('RES Assumptions T15'!$D21,0,MATCH(VLOOKUP('RES Assumptions'!E$2,'RES Assumptions T15'!$V$3:$W$35,2,FALSE),'RES Assumptions T15'!$E$2:$S$2,0))</f>
        <v>0.40222709421780201</v>
      </c>
      <c r="F21" s="14">
        <f ca="1">OFFSET('RES Assumptions T15'!$D21,0,MATCH(VLOOKUP('RES Assumptions'!F$2,'RES Assumptions T15'!$V$3:$W$35,2,FALSE),'RES Assumptions T15'!$E$2:$S$2,0))</f>
        <v>0.40222709421780201</v>
      </c>
      <c r="G21" s="14">
        <f ca="1">OFFSET('RES Assumptions T15'!$D21,0,MATCH(VLOOKUP('RES Assumptions'!G$2,'RES Assumptions T15'!$V$3:$W$35,2,FALSE),'RES Assumptions T15'!$E$2:$S$2,0))</f>
        <v>0.40222709421780201</v>
      </c>
      <c r="H21" s="14">
        <f ca="1">OFFSET('RES Assumptions T15'!$D21,0,MATCH(VLOOKUP('RES Assumptions'!H$2,'RES Assumptions T15'!$V$3:$W$35,2,FALSE),'RES Assumptions T15'!$E$2:$S$2,0))</f>
        <v>0.80697432271266301</v>
      </c>
      <c r="I21" s="14">
        <f ca="1">OFFSET('RES Assumptions T15'!$D21,0,MATCH(VLOOKUP('RES Assumptions'!I$2,'RES Assumptions T15'!$V$3:$W$35,2,FALSE),'RES Assumptions T15'!$E$2:$S$2,0))</f>
        <v>0.74850398624061598</v>
      </c>
      <c r="J21" s="14">
        <f ca="1">OFFSET('RES Assumptions T15'!$D21,0,MATCH(VLOOKUP('RES Assumptions'!J$2,'RES Assumptions T15'!$V$3:$W$35,2,FALSE),'RES Assumptions T15'!$E$2:$S$2,0))</f>
        <v>0</v>
      </c>
      <c r="K21" s="14">
        <f ca="1">OFFSET('RES Assumptions T15'!$D21,0,MATCH(VLOOKUP('RES Assumptions'!K$2,'RES Assumptions T15'!$V$3:$W$35,2,FALSE),'RES Assumptions T15'!$E$2:$S$2,0))</f>
        <v>0.93975903614457801</v>
      </c>
      <c r="L21" s="14">
        <f ca="1">OFFSET('RES Assumptions T15'!$D21,0,MATCH(VLOOKUP('RES Assumptions'!L$2,'RES Assumptions T15'!$V$3:$W$35,2,FALSE),'RES Assumptions T15'!$E$2:$S$2,0))</f>
        <v>0.40222709421780201</v>
      </c>
      <c r="M21" s="14">
        <f ca="1">OFFSET('RES Assumptions T15'!$D21,0,MATCH(VLOOKUP('RES Assumptions'!M$2,'RES Assumptions T15'!$V$3:$W$35,2,FALSE),'RES Assumptions T15'!$E$2:$S$2,0))</f>
        <v>0.86488204548665104</v>
      </c>
      <c r="N21" s="14">
        <f ca="1">OFFSET('RES Assumptions T15'!$D21,0,MATCH(VLOOKUP('RES Assumptions'!N$2,'RES Assumptions T15'!$V$3:$W$35,2,FALSE),'RES Assumptions T15'!$E$2:$S$2,0))</f>
        <v>0.71664574586903296</v>
      </c>
      <c r="O21" s="14">
        <f ca="1">OFFSET('RES Assumptions T15'!$D21,0,MATCH(VLOOKUP('RES Assumptions'!O$2,'RES Assumptions T15'!$V$3:$W$35,2,FALSE),'RES Assumptions T15'!$E$2:$S$2,0))</f>
        <v>0.951894879314234</v>
      </c>
      <c r="P21" s="14">
        <f ca="1">OFFSET('RES Assumptions T15'!$D21,0,MATCH(VLOOKUP('RES Assumptions'!P$2,'RES Assumptions T15'!$V$3:$W$35,2,FALSE),'RES Assumptions T15'!$E$2:$S$2,0))</f>
        <v>0.90652580638763502</v>
      </c>
      <c r="Q21" s="14">
        <f ca="1">OFFSET('RES Assumptions T15'!$D21,0,MATCH(VLOOKUP('RES Assumptions'!Q$2,'RES Assumptions T15'!$V$3:$W$35,2,FALSE),'RES Assumptions T15'!$E$2:$S$2,0))</f>
        <v>0.951894879314234</v>
      </c>
      <c r="R21" s="14">
        <f ca="1">OFFSET('RES Assumptions T15'!$D21,0,MATCH(VLOOKUP('RES Assumptions'!R$2,'RES Assumptions T15'!$V$3:$W$35,2,FALSE),'RES Assumptions T15'!$E$2:$S$2,0))</f>
        <v>0.951894879314234</v>
      </c>
      <c r="S21" s="14">
        <f ca="1">OFFSET('RES Assumptions T15'!$D21,0,MATCH(VLOOKUP('RES Assumptions'!S$2,'RES Assumptions T15'!$V$3:$W$35,2,FALSE),'RES Assumptions T15'!$E$2:$S$2,0))</f>
        <v>0.90652580638763502</v>
      </c>
      <c r="T21" s="14">
        <f ca="1">OFFSET('RES Assumptions T15'!$D21,0,MATCH(VLOOKUP('RES Assumptions'!T$2,'RES Assumptions T15'!$V$3:$W$35,2,FALSE),'RES Assumptions T15'!$E$2:$S$2,0))</f>
        <v>0.951894879314234</v>
      </c>
      <c r="U21" s="14">
        <f ca="1">OFFSET('RES Assumptions T15'!$D21,0,MATCH(VLOOKUP('RES Assumptions'!U$2,'RES Assumptions T15'!$V$3:$W$35,2,FALSE),'RES Assumptions T15'!$E$2:$S$2,0))</f>
        <v>0.81165927205829602</v>
      </c>
      <c r="V21" s="14">
        <f ca="1">OFFSET('RES Assumptions T15'!$D21,0,MATCH(VLOOKUP('RES Assumptions'!V$2,'RES Assumptions T15'!$V$3:$W$35,2,FALSE),'RES Assumptions T15'!$E$2:$S$2,0))</f>
        <v>0.951894879314234</v>
      </c>
      <c r="W21" s="14">
        <f ca="1">OFFSET('RES Assumptions T15'!$D21,0,MATCH(VLOOKUP('RES Assumptions'!W$2,'RES Assumptions T15'!$V$3:$W$35,2,FALSE),'RES Assumptions T15'!$E$2:$S$2,0))</f>
        <v>0.951894879314234</v>
      </c>
      <c r="X21" s="14">
        <f ca="1">OFFSET('RES Assumptions T15'!$D21,0,MATCH(VLOOKUP('RES Assumptions'!X$2,'RES Assumptions T15'!$V$3:$W$35,2,FALSE),'RES Assumptions T15'!$E$2:$S$2,0))</f>
        <v>0</v>
      </c>
      <c r="Y21" s="14">
        <f ca="1">OFFSET('RES Assumptions T15'!$D21,0,MATCH(VLOOKUP('RES Assumptions'!Y$2,'RES Assumptions T15'!$V$3:$W$35,2,FALSE),'RES Assumptions T15'!$E$2:$S$2,0))</f>
        <v>0.40222709421780201</v>
      </c>
      <c r="Z21" s="14">
        <f ca="1">OFFSET('RES Assumptions T15'!$D21,0,MATCH(VLOOKUP('RES Assumptions'!Z$2,'RES Assumptions T15'!$V$3:$W$35,2,FALSE),'RES Assumptions T15'!$E$2:$S$2,0))</f>
        <v>0.74850398624061598</v>
      </c>
      <c r="AA21" s="14">
        <f ca="1">OFFSET('RES Assumptions T15'!$D21,0,MATCH(VLOOKUP('RES Assumptions'!AA$2,'RES Assumptions T15'!$V$3:$W$35,2,FALSE),'RES Assumptions T15'!$E$2:$S$2,0))</f>
        <v>0.81165927205829602</v>
      </c>
      <c r="AB21" s="14">
        <f ca="1">OFFSET('RES Assumptions T15'!$D21,0,MATCH(VLOOKUP('RES Assumptions'!AB$2,'RES Assumptions T15'!$V$3:$W$35,2,FALSE),'RES Assumptions T15'!$E$2:$S$2,0))</f>
        <v>0.951894879314234</v>
      </c>
      <c r="AC21" s="14">
        <f ca="1">OFFSET('RES Assumptions T15'!$D21,0,MATCH(VLOOKUP('RES Assumptions'!AC$2,'RES Assumptions T15'!$V$3:$W$35,2,FALSE),'RES Assumptions T15'!$E$2:$S$2,0))</f>
        <v>0.80697432271266301</v>
      </c>
      <c r="AD21" s="14">
        <f ca="1">OFFSET('RES Assumptions T15'!$D21,0,MATCH(VLOOKUP('RES Assumptions'!AD$2,'RES Assumptions T15'!$V$3:$W$35,2,FALSE),'RES Assumptions T15'!$E$2:$S$2,0))</f>
        <v>0.81165927205829602</v>
      </c>
      <c r="AE21" s="14">
        <f ca="1">OFFSET('RES Assumptions T15'!$D21,0,MATCH(VLOOKUP('RES Assumptions'!AE$2,'RES Assumptions T15'!$V$3:$W$35,2,FALSE),'RES Assumptions T15'!$E$2:$S$2,0))</f>
        <v>0.40222709421780201</v>
      </c>
      <c r="AF21" s="14">
        <f ca="1">OFFSET('RES Assumptions T15'!$D21,0,MATCH(VLOOKUP('RES Assumptions'!AF$2,'RES Assumptions T15'!$V$3:$W$35,2,FALSE),'RES Assumptions T15'!$E$2:$S$2,0))</f>
        <v>0.951894879314234</v>
      </c>
      <c r="AG21" s="14">
        <f ca="1">OFFSET('RES Assumptions T15'!$D21,0,MATCH(VLOOKUP('RES Assumptions'!AG$2,'RES Assumptions T15'!$V$3:$W$35,2,FALSE),'RES Assumptions T15'!$E$2:$S$2,0))</f>
        <v>0.74850398624061598</v>
      </c>
      <c r="AH21" s="14">
        <f ca="1">OFFSET('RES Assumptions T15'!$D21,0,MATCH(VLOOKUP('RES Assumptions'!AH$2,'RES Assumptions T15'!$V$3:$W$35,2,FALSE),'RES Assumptions T15'!$E$2:$S$2,0))</f>
        <v>0.74850398624061598</v>
      </c>
      <c r="AK21" s="10">
        <f ca="1">IFERROR(SUMIFS('RES balance'!E$5:E$25,'RES balance'!$D$5:$D$25,'RES Assumptions'!$A21)*E21,"")</f>
        <v>0</v>
      </c>
      <c r="AL21" s="10">
        <f ca="1">IFERROR(SUMIFS('RES balance'!F$5:F$25,'RES balance'!$D$5:$D$25,'RES Assumptions'!$A21)*F21,"")</f>
        <v>6.053465993306352E-2</v>
      </c>
      <c r="AM21" s="10">
        <f ca="1">IFERROR(SUMIFS('RES balance'!G$5:G$25,'RES balance'!$D$5:$D$25,'RES Assumptions'!$A21)*G21,"")</f>
        <v>0</v>
      </c>
      <c r="AN21" s="10">
        <f ca="1">IFERROR(SUMIFS('RES balance'!H$5:H$25,'RES balance'!$D$5:$D$25,'RES Assumptions'!$A21)*H21,"")</f>
        <v>161.20673062641524</v>
      </c>
      <c r="AO21" s="10">
        <f ca="1">IFERROR(SUMIFS('RES balance'!I$5:I$25,'RES balance'!$D$5:$D$25,'RES Assumptions'!$A21)*I21,"")</f>
        <v>9.3387230547076534</v>
      </c>
      <c r="AP21" s="10">
        <f ca="1">IFERROR(SUMIFS('RES balance'!J$5:J$25,'RES balance'!$D$5:$D$25,'RES Assumptions'!$A21)*J21,"")</f>
        <v>0</v>
      </c>
      <c r="AQ21" s="10">
        <f ca="1">IFERROR(SUMIFS('RES balance'!K$5:K$25,'RES balance'!$D$5:$D$25,'RES Assumptions'!$A21)*K21,"")</f>
        <v>0.25830538265060232</v>
      </c>
      <c r="AR21" s="10">
        <f ca="1">IFERROR(SUMIFS('RES balance'!L$5:L$25,'RES balance'!$D$5:$D$25,'RES Assumptions'!$A21)*L21,"")</f>
        <v>0</v>
      </c>
      <c r="AS21" s="10">
        <f ca="1">IFERROR(SUMIFS('RES balance'!M$5:M$25,'RES balance'!$D$5:$D$25,'RES Assumptions'!$A21)*M21,"")</f>
        <v>0</v>
      </c>
      <c r="AT21" s="10">
        <f ca="1">IFERROR(SUMIFS('RES balance'!N$5:N$25,'RES balance'!$D$5:$D$25,'RES Assumptions'!$A21)*N21,"")</f>
        <v>988.02681687781967</v>
      </c>
      <c r="AU21" s="10">
        <f ca="1">IFERROR(SUMIFS('RES balance'!O$5:O$25,'RES balance'!$D$5:$D$25,'RES Assumptions'!$A21)*O21,"")</f>
        <v>0.14906567235910217</v>
      </c>
      <c r="AV21" s="10">
        <f ca="1">IFERROR(SUMIFS('RES balance'!P$5:P$25,'RES balance'!$D$5:$D$25,'RES Assumptions'!$A21)*P21,"")</f>
        <v>217.30827353178537</v>
      </c>
      <c r="AW21" s="10">
        <f ca="1">IFERROR(SUMIFS('RES balance'!Q$5:Q$25,'RES balance'!$D$5:$D$25,'RES Assumptions'!$A21)*Q21,"")</f>
        <v>15.6264648019053</v>
      </c>
      <c r="AX21" s="10">
        <f ca="1">IFERROR(SUMIFS('RES balance'!R$5:R$25,'RES balance'!$D$5:$D$25,'RES Assumptions'!$A21)*R21,"")</f>
        <v>0.13583416600313555</v>
      </c>
      <c r="AY21" s="10">
        <f ca="1">IFERROR(SUMIFS('RES balance'!S$5:S$25,'RES balance'!$D$5:$D$25,'RES Assumptions'!$A21)*S21,"")</f>
        <v>8.2135533609496694</v>
      </c>
      <c r="AZ21" s="10">
        <f ca="1">IFERROR(SUMIFS('RES balance'!T$5:T$25,'RES balance'!$D$5:$D$25,'RES Assumptions'!$A21)*T21,"")</f>
        <v>2.5877279432072857</v>
      </c>
      <c r="BA21" s="10">
        <f ca="1">IFERROR(SUMIFS('RES balance'!U$5:U$25,'RES balance'!$D$5:$D$25,'RES Assumptions'!$A21)*U21,"")</f>
        <v>69.035048201007427</v>
      </c>
      <c r="BB21" s="10">
        <f ca="1">IFERROR(SUMIFS('RES balance'!V$5:V$25,'RES balance'!$D$5:$D$25,'RES Assumptions'!$A21)*V21,"")</f>
        <v>0.97450442851042163</v>
      </c>
      <c r="BC21" s="10">
        <f ca="1">IFERROR(SUMIFS('RES balance'!W$5:W$25,'RES balance'!$D$5:$D$25,'RES Assumptions'!$A21)*W21,"")</f>
        <v>13.765078805951408</v>
      </c>
      <c r="BD21" s="10">
        <f ca="1">IFERROR(SUMIFS('RES balance'!X$5:X$25,'RES balance'!$D$5:$D$25,'RES Assumptions'!$A21)*X21,"")</f>
        <v>0</v>
      </c>
      <c r="BE21" s="10">
        <f ca="1">IFERROR(SUMIFS('RES balance'!Y$5:Y$25,'RES balance'!$D$5:$D$25,'RES Assumptions'!$A21)*Y21,"")</f>
        <v>1.1111527023800842</v>
      </c>
      <c r="BF21" s="10">
        <f ca="1">IFERROR(SUMIFS('RES balance'!Z$5:Z$25,'RES balance'!$D$5:$D$25,'RES Assumptions'!$A21)*Z21,"")</f>
        <v>0</v>
      </c>
      <c r="BG21" s="10">
        <f ca="1">IFERROR(SUMIFS('RES balance'!AA$5:AA$25,'RES balance'!$D$5:$D$25,'RES Assumptions'!$A21)*AA21,"")</f>
        <v>0.29317086057772468</v>
      </c>
      <c r="BH21" s="10">
        <f ca="1">IFERROR(SUMIFS('RES balance'!AB$5:AB$25,'RES balance'!$D$5:$D$25,'RES Assumptions'!$A21)*AB21,"")</f>
        <v>0</v>
      </c>
      <c r="BI21" s="10">
        <f ca="1">IFERROR(SUMIFS('RES balance'!AC$5:AC$25,'RES balance'!$D$5:$D$25,'RES Assumptions'!$A21)*AC21,"")</f>
        <v>57.718477740969725</v>
      </c>
      <c r="BJ21" s="10">
        <f ca="1">IFERROR(SUMIFS('RES balance'!AD$5:AD$25,'RES balance'!$D$5:$D$25,'RES Assumptions'!$A21)*AD21,"")</f>
        <v>0</v>
      </c>
      <c r="BK21" s="10">
        <f ca="1">IFERROR(SUMIFS('RES balance'!AE$5:AE$25,'RES balance'!$D$5:$D$25,'RES Assumptions'!$A21)*AE21,"")</f>
        <v>43.177089702859313</v>
      </c>
      <c r="BL21" s="10">
        <f ca="1">IFERROR(SUMIFS('RES balance'!AF$5:AF$25,'RES balance'!$D$5:$D$25,'RES Assumptions'!$A21)*AF21,"")</f>
        <v>18.186035940171347</v>
      </c>
      <c r="BM21" s="10">
        <f ca="1">IFERROR(SUMIFS('RES balance'!AG$5:AG$25,'RES balance'!$D$5:$D$25,'RES Assumptions'!$A21)*AG21,"")</f>
        <v>0</v>
      </c>
      <c r="BN21" s="10">
        <f ca="1">IFERROR(SUMIFS('RES balance'!AH$5:AH$25,'RES balance'!$D$5:$D$25,'RES Assumptions'!$A21)*AH21,"")</f>
        <v>0</v>
      </c>
    </row>
    <row r="22" spans="1:66" x14ac:dyDescent="0.45">
      <c r="A22" s="8" t="str">
        <f>VLOOKUP(C22,'RES balance'!$AL$5:$AM$25,2,FALSE)</f>
        <v>RESCOA</v>
      </c>
      <c r="B22" s="36"/>
      <c r="C22" s="20" t="s">
        <v>32</v>
      </c>
      <c r="D22" s="21" t="s">
        <v>64</v>
      </c>
      <c r="E22" s="14">
        <f ca="1">OFFSET('RES Assumptions T15'!$D22,0,MATCH(VLOOKUP('RES Assumptions'!E$2,'RES Assumptions T15'!$V$3:$W$35,2,FALSE),'RES Assumptions T15'!$E$2:$S$2,0))</f>
        <v>0.53297308041681601</v>
      </c>
      <c r="F22" s="14">
        <f ca="1">OFFSET('RES Assumptions T15'!$D22,0,MATCH(VLOOKUP('RES Assumptions'!F$2,'RES Assumptions T15'!$V$3:$W$35,2,FALSE),'RES Assumptions T15'!$E$2:$S$2,0))</f>
        <v>0.53297308041681601</v>
      </c>
      <c r="G22" s="14">
        <f ca="1">OFFSET('RES Assumptions T15'!$D22,0,MATCH(VLOOKUP('RES Assumptions'!G$2,'RES Assumptions T15'!$V$3:$W$35,2,FALSE),'RES Assumptions T15'!$E$2:$S$2,0))</f>
        <v>0.53297308041681601</v>
      </c>
      <c r="H22" s="14">
        <f ca="1">OFFSET('RES Assumptions T15'!$D22,0,MATCH(VLOOKUP('RES Assumptions'!H$2,'RES Assumptions T15'!$V$3:$W$35,2,FALSE),'RES Assumptions T15'!$E$2:$S$2,0))</f>
        <v>0.124033912698812</v>
      </c>
      <c r="I22" s="14">
        <f ca="1">OFFSET('RES Assumptions T15'!$D22,0,MATCH(VLOOKUP('RES Assumptions'!I$2,'RES Assumptions T15'!$V$3:$W$35,2,FALSE),'RES Assumptions T15'!$E$2:$S$2,0))</f>
        <v>0.25149601375938402</v>
      </c>
      <c r="J22" s="14">
        <f ca="1">OFFSET('RES Assumptions T15'!$D22,0,MATCH(VLOOKUP('RES Assumptions'!J$2,'RES Assumptions T15'!$V$3:$W$35,2,FALSE),'RES Assumptions T15'!$E$2:$S$2,0))</f>
        <v>0</v>
      </c>
      <c r="K22" s="14">
        <f ca="1">OFFSET('RES Assumptions T15'!$D22,0,MATCH(VLOOKUP('RES Assumptions'!K$2,'RES Assumptions T15'!$V$3:$W$35,2,FALSE),'RES Assumptions T15'!$E$2:$S$2,0))</f>
        <v>6.02409638554217E-2</v>
      </c>
      <c r="L22" s="14">
        <f ca="1">OFFSET('RES Assumptions T15'!$D22,0,MATCH(VLOOKUP('RES Assumptions'!L$2,'RES Assumptions T15'!$V$3:$W$35,2,FALSE),'RES Assumptions T15'!$E$2:$S$2,0))</f>
        <v>0.53297308041681601</v>
      </c>
      <c r="M22" s="14">
        <f ca="1">OFFSET('RES Assumptions T15'!$D22,0,MATCH(VLOOKUP('RES Assumptions'!M$2,'RES Assumptions T15'!$V$3:$W$35,2,FALSE),'RES Assumptions T15'!$E$2:$S$2,0))</f>
        <v>0.13511795451334899</v>
      </c>
      <c r="N22" s="14">
        <f ca="1">OFFSET('RES Assumptions T15'!$D22,0,MATCH(VLOOKUP('RES Assumptions'!N$2,'RES Assumptions T15'!$V$3:$W$35,2,FALSE),'RES Assumptions T15'!$E$2:$S$2,0))</f>
        <v>0.22775487341525999</v>
      </c>
      <c r="O22" s="14">
        <f ca="1">OFFSET('RES Assumptions T15'!$D22,0,MATCH(VLOOKUP('RES Assumptions'!O$2,'RES Assumptions T15'!$V$3:$W$35,2,FALSE),'RES Assumptions T15'!$E$2:$S$2,0))</f>
        <v>4.2437401308369101E-2</v>
      </c>
      <c r="P22" s="14">
        <f ca="1">OFFSET('RES Assumptions T15'!$D22,0,MATCH(VLOOKUP('RES Assumptions'!P$2,'RES Assumptions T15'!$V$3:$W$35,2,FALSE),'RES Assumptions T15'!$E$2:$S$2,0))</f>
        <v>8.1633732422765906E-2</v>
      </c>
      <c r="Q22" s="14">
        <f ca="1">OFFSET('RES Assumptions T15'!$D22,0,MATCH(VLOOKUP('RES Assumptions'!Q$2,'RES Assumptions T15'!$V$3:$W$35,2,FALSE),'RES Assumptions T15'!$E$2:$S$2,0))</f>
        <v>4.2437401308369101E-2</v>
      </c>
      <c r="R22" s="14">
        <f ca="1">OFFSET('RES Assumptions T15'!$D22,0,MATCH(VLOOKUP('RES Assumptions'!R$2,'RES Assumptions T15'!$V$3:$W$35,2,FALSE),'RES Assumptions T15'!$E$2:$S$2,0))</f>
        <v>4.2437401308369101E-2</v>
      </c>
      <c r="S22" s="14">
        <f ca="1">OFFSET('RES Assumptions T15'!$D22,0,MATCH(VLOOKUP('RES Assumptions'!S$2,'RES Assumptions T15'!$V$3:$W$35,2,FALSE),'RES Assumptions T15'!$E$2:$S$2,0))</f>
        <v>8.1633732422765906E-2</v>
      </c>
      <c r="T22" s="14">
        <f ca="1">OFFSET('RES Assumptions T15'!$D22,0,MATCH(VLOOKUP('RES Assumptions'!T$2,'RES Assumptions T15'!$V$3:$W$35,2,FALSE),'RES Assumptions T15'!$E$2:$S$2,0))</f>
        <v>4.2437401308369101E-2</v>
      </c>
      <c r="U22" s="14">
        <f ca="1">OFFSET('RES Assumptions T15'!$D22,0,MATCH(VLOOKUP('RES Assumptions'!U$2,'RES Assumptions T15'!$V$3:$W$35,2,FALSE),'RES Assumptions T15'!$E$2:$S$2,0))</f>
        <v>0.18834072794170401</v>
      </c>
      <c r="V22" s="14">
        <f ca="1">OFFSET('RES Assumptions T15'!$D22,0,MATCH(VLOOKUP('RES Assumptions'!V$2,'RES Assumptions T15'!$V$3:$W$35,2,FALSE),'RES Assumptions T15'!$E$2:$S$2,0))</f>
        <v>4.2437401308369101E-2</v>
      </c>
      <c r="W22" s="14">
        <f ca="1">OFFSET('RES Assumptions T15'!$D22,0,MATCH(VLOOKUP('RES Assumptions'!W$2,'RES Assumptions T15'!$V$3:$W$35,2,FALSE),'RES Assumptions T15'!$E$2:$S$2,0))</f>
        <v>4.2437401308369101E-2</v>
      </c>
      <c r="X22" s="14">
        <f ca="1">OFFSET('RES Assumptions T15'!$D22,0,MATCH(VLOOKUP('RES Assumptions'!X$2,'RES Assumptions T15'!$V$3:$W$35,2,FALSE),'RES Assumptions T15'!$E$2:$S$2,0))</f>
        <v>0</v>
      </c>
      <c r="Y22" s="14">
        <f ca="1">OFFSET('RES Assumptions T15'!$D22,0,MATCH(VLOOKUP('RES Assumptions'!Y$2,'RES Assumptions T15'!$V$3:$W$35,2,FALSE),'RES Assumptions T15'!$E$2:$S$2,0))</f>
        <v>0.53297308041681601</v>
      </c>
      <c r="Z22" s="14">
        <f ca="1">OFFSET('RES Assumptions T15'!$D22,0,MATCH(VLOOKUP('RES Assumptions'!Z$2,'RES Assumptions T15'!$V$3:$W$35,2,FALSE),'RES Assumptions T15'!$E$2:$S$2,0))</f>
        <v>0.25149601375938402</v>
      </c>
      <c r="AA22" s="14">
        <f ca="1">OFFSET('RES Assumptions T15'!$D22,0,MATCH(VLOOKUP('RES Assumptions'!AA$2,'RES Assumptions T15'!$V$3:$W$35,2,FALSE),'RES Assumptions T15'!$E$2:$S$2,0))</f>
        <v>0.18834072794170401</v>
      </c>
      <c r="AB22" s="14">
        <f ca="1">OFFSET('RES Assumptions T15'!$D22,0,MATCH(VLOOKUP('RES Assumptions'!AB$2,'RES Assumptions T15'!$V$3:$W$35,2,FALSE),'RES Assumptions T15'!$E$2:$S$2,0))</f>
        <v>4.2437401308369101E-2</v>
      </c>
      <c r="AC22" s="14">
        <f ca="1">OFFSET('RES Assumptions T15'!$D22,0,MATCH(VLOOKUP('RES Assumptions'!AC$2,'RES Assumptions T15'!$V$3:$W$35,2,FALSE),'RES Assumptions T15'!$E$2:$S$2,0))</f>
        <v>0.124033912698812</v>
      </c>
      <c r="AD22" s="14">
        <f ca="1">OFFSET('RES Assumptions T15'!$D22,0,MATCH(VLOOKUP('RES Assumptions'!AD$2,'RES Assumptions T15'!$V$3:$W$35,2,FALSE),'RES Assumptions T15'!$E$2:$S$2,0))</f>
        <v>0.18834072794170401</v>
      </c>
      <c r="AE22" s="14">
        <f ca="1">OFFSET('RES Assumptions T15'!$D22,0,MATCH(VLOOKUP('RES Assumptions'!AE$2,'RES Assumptions T15'!$V$3:$W$35,2,FALSE),'RES Assumptions T15'!$E$2:$S$2,0))</f>
        <v>0.53297308041681601</v>
      </c>
      <c r="AF22" s="14">
        <f ca="1">OFFSET('RES Assumptions T15'!$D22,0,MATCH(VLOOKUP('RES Assumptions'!AF$2,'RES Assumptions T15'!$V$3:$W$35,2,FALSE),'RES Assumptions T15'!$E$2:$S$2,0))</f>
        <v>4.2437401308369101E-2</v>
      </c>
      <c r="AG22" s="14">
        <f ca="1">OFFSET('RES Assumptions T15'!$D22,0,MATCH(VLOOKUP('RES Assumptions'!AG$2,'RES Assumptions T15'!$V$3:$W$35,2,FALSE),'RES Assumptions T15'!$E$2:$S$2,0))</f>
        <v>0.25149601375938402</v>
      </c>
      <c r="AH22" s="14">
        <f ca="1">OFFSET('RES Assumptions T15'!$D22,0,MATCH(VLOOKUP('RES Assumptions'!AH$2,'RES Assumptions T15'!$V$3:$W$35,2,FALSE),'RES Assumptions T15'!$E$2:$S$2,0))</f>
        <v>0.25149601375938402</v>
      </c>
      <c r="AK22" s="10">
        <f ca="1">IFERROR(SUMIFS('RES balance'!E$5:E$25,'RES balance'!$D$5:$D$25,'RES Assumptions'!$A22)*E22,"")</f>
        <v>0</v>
      </c>
      <c r="AL22" s="10">
        <f ca="1">IFERROR(SUMIFS('RES balance'!F$5:F$25,'RES balance'!$D$5:$D$25,'RES Assumptions'!$A22)*F22,"")</f>
        <v>8.0211762559781685E-2</v>
      </c>
      <c r="AM22" s="10">
        <f ca="1">IFERROR(SUMIFS('RES balance'!G$5:G$25,'RES balance'!$D$5:$D$25,'RES Assumptions'!$A22)*G22,"")</f>
        <v>0</v>
      </c>
      <c r="AN22" s="10">
        <f ca="1">IFERROR(SUMIFS('RES balance'!H$5:H$25,'RES balance'!$D$5:$D$25,'RES Assumptions'!$A22)*H22,"")</f>
        <v>24.777865900074353</v>
      </c>
      <c r="AO22" s="10">
        <f ca="1">IFERROR(SUMIFS('RES balance'!I$5:I$25,'RES balance'!$D$5:$D$25,'RES Assumptions'!$A22)*I22,"")</f>
        <v>3.1377944072923469</v>
      </c>
      <c r="AP22" s="10">
        <f ca="1">IFERROR(SUMIFS('RES balance'!J$5:J$25,'RES balance'!$D$5:$D$25,'RES Assumptions'!$A22)*J22,"")</f>
        <v>0</v>
      </c>
      <c r="AQ22" s="10">
        <f ca="1">IFERROR(SUMIFS('RES balance'!K$5:K$25,'RES balance'!$D$5:$D$25,'RES Assumptions'!$A22)*K22,"")</f>
        <v>1.6558037349397595E-2</v>
      </c>
      <c r="AR22" s="10">
        <f ca="1">IFERROR(SUMIFS('RES balance'!L$5:L$25,'RES balance'!$D$5:$D$25,'RES Assumptions'!$A22)*L22,"")</f>
        <v>0</v>
      </c>
      <c r="AS22" s="10">
        <f ca="1">IFERROR(SUMIFS('RES balance'!M$5:M$25,'RES balance'!$D$5:$D$25,'RES Assumptions'!$A22)*M22,"")</f>
        <v>0</v>
      </c>
      <c r="AT22" s="10">
        <f ca="1">IFERROR(SUMIFS('RES balance'!N$5:N$25,'RES balance'!$D$5:$D$25,'RES Assumptions'!$A22)*N22,"")</f>
        <v>314.00161642767074</v>
      </c>
      <c r="AU22" s="10">
        <f ca="1">IFERROR(SUMIFS('RES balance'!O$5:O$25,'RES balance'!$D$5:$D$25,'RES Assumptions'!$A22)*O22,"")</f>
        <v>6.645649531976096E-3</v>
      </c>
      <c r="AV22" s="10">
        <f ca="1">IFERROR(SUMIFS('RES balance'!P$5:P$25,'RES balance'!$D$5:$D$25,'RES Assumptions'!$A22)*P22,"")</f>
        <v>19.568869777063369</v>
      </c>
      <c r="AW22" s="10">
        <f ca="1">IFERROR(SUMIFS('RES balance'!Q$5:Q$25,'RES balance'!$D$5:$D$25,'RES Assumptions'!$A22)*Q22,"")</f>
        <v>0.69665944448330785</v>
      </c>
      <c r="AX22" s="10">
        <f ca="1">IFERROR(SUMIFS('RES balance'!R$5:R$25,'RES balance'!$D$5:$D$25,'RES Assumptions'!$A22)*R22,"")</f>
        <v>6.055762184807135E-3</v>
      </c>
      <c r="AY22" s="10">
        <f ca="1">IFERROR(SUMIFS('RES balance'!S$5:S$25,'RES balance'!$D$5:$D$25,'RES Assumptions'!$A22)*S22,"")</f>
        <v>0.73964029769844675</v>
      </c>
      <c r="AZ22" s="10">
        <f ca="1">IFERROR(SUMIFS('RES balance'!T$5:T$25,'RES balance'!$D$5:$D$25,'RES Assumptions'!$A22)*T22,"")</f>
        <v>0.11536615186109871</v>
      </c>
      <c r="BA22" s="10">
        <f ca="1">IFERROR(SUMIFS('RES balance'!U$5:U$25,'RES balance'!$D$5:$D$25,'RES Assumptions'!$A22)*U22,"")</f>
        <v>16.019174152592576</v>
      </c>
      <c r="BB22" s="10">
        <f ca="1">IFERROR(SUMIFS('RES balance'!V$5:V$25,'RES balance'!$D$5:$D$25,'RES Assumptions'!$A22)*V22,"")</f>
        <v>4.3445380795905757E-2</v>
      </c>
      <c r="BC22" s="10">
        <f ca="1">IFERROR(SUMIFS('RES balance'!W$5:W$25,'RES balance'!$D$5:$D$25,'RES Assumptions'!$A22)*W22,"")</f>
        <v>0.61367508747428456</v>
      </c>
      <c r="BD22" s="10">
        <f ca="1">IFERROR(SUMIFS('RES balance'!X$5:X$25,'RES balance'!$D$5:$D$25,'RES Assumptions'!$A22)*X22,"")</f>
        <v>0</v>
      </c>
      <c r="BE22" s="10">
        <f ca="1">IFERROR(SUMIFS('RES balance'!Y$5:Y$25,'RES balance'!$D$5:$D$25,'RES Assumptions'!$A22)*Y22,"")</f>
        <v>1.4723386045205218</v>
      </c>
      <c r="BF22" s="10">
        <f ca="1">IFERROR(SUMIFS('RES balance'!Z$5:Z$25,'RES balance'!$D$5:$D$25,'RES Assumptions'!$A22)*Z22,"")</f>
        <v>0</v>
      </c>
      <c r="BG22" s="10">
        <f ca="1">IFERROR(SUMIFS('RES balance'!AA$5:AA$25,'RES balance'!$D$5:$D$25,'RES Assumptions'!$A22)*AA22,"")</f>
        <v>6.8028562222275324E-2</v>
      </c>
      <c r="BH22" s="10">
        <f ca="1">IFERROR(SUMIFS('RES balance'!AB$5:AB$25,'RES balance'!$D$5:$D$25,'RES Assumptions'!$A22)*AB22,"")</f>
        <v>0</v>
      </c>
      <c r="BI22" s="10">
        <f ca="1">IFERROR(SUMIFS('RES balance'!AC$5:AC$25,'RES balance'!$D$5:$D$25,'RES Assumptions'!$A22)*AC22,"")</f>
        <v>8.8714701666918643</v>
      </c>
      <c r="BJ22" s="10">
        <f ca="1">IFERROR(SUMIFS('RES balance'!AD$5:AD$25,'RES balance'!$D$5:$D$25,'RES Assumptions'!$A22)*AD22,"")</f>
        <v>0</v>
      </c>
      <c r="BK22" s="10">
        <f ca="1">IFERROR(SUMIFS('RES balance'!AE$5:AE$25,'RES balance'!$D$5:$D$25,'RES Assumptions'!$A22)*AE22,"")</f>
        <v>57.212024831686797</v>
      </c>
      <c r="BL22" s="10">
        <f ca="1">IFERROR(SUMIFS('RES balance'!AF$5:AF$25,'RES balance'!$D$5:$D$25,'RES Assumptions'!$A22)*AF22,"")</f>
        <v>0.81077030896255453</v>
      </c>
      <c r="BM22" s="10">
        <f ca="1">IFERROR(SUMIFS('RES balance'!AG$5:AG$25,'RES balance'!$D$5:$D$25,'RES Assumptions'!$A22)*AG22,"")</f>
        <v>0</v>
      </c>
      <c r="BN22" s="10">
        <f ca="1">IFERROR(SUMIFS('RES balance'!AH$5:AH$25,'RES balance'!$D$5:$D$25,'RES Assumptions'!$A22)*AH22,"")</f>
        <v>0</v>
      </c>
    </row>
    <row r="23" spans="1:66" x14ac:dyDescent="0.45">
      <c r="A23" s="8" t="str">
        <f>VLOOKUP(C23,'RES balance'!$AL$5:$AM$25,2,FALSE)</f>
        <v>RESCOA</v>
      </c>
      <c r="B23" s="36"/>
      <c r="C23" s="20" t="s">
        <v>32</v>
      </c>
      <c r="D23" s="21" t="s">
        <v>67</v>
      </c>
      <c r="E23" s="14">
        <f ca="1">OFFSET('RES Assumptions T15'!$D23,0,MATCH(VLOOKUP('RES Assumptions'!E$2,'RES Assumptions T15'!$V$3:$W$35,2,FALSE),'RES Assumptions T15'!$E$2:$S$2,0))</f>
        <v>6.4799825365382396E-2</v>
      </c>
      <c r="F23" s="14">
        <f ca="1">OFFSET('RES Assumptions T15'!$D23,0,MATCH(VLOOKUP('RES Assumptions'!F$2,'RES Assumptions T15'!$V$3:$W$35,2,FALSE),'RES Assumptions T15'!$E$2:$S$2,0))</f>
        <v>6.4799825365382396E-2</v>
      </c>
      <c r="G23" s="14">
        <f ca="1">OFFSET('RES Assumptions T15'!$D23,0,MATCH(VLOOKUP('RES Assumptions'!G$2,'RES Assumptions T15'!$V$3:$W$35,2,FALSE),'RES Assumptions T15'!$E$2:$S$2,0))</f>
        <v>6.4799825365382396E-2</v>
      </c>
      <c r="H23" s="14">
        <f ca="1">OFFSET('RES Assumptions T15'!$D23,0,MATCH(VLOOKUP('RES Assumptions'!H$2,'RES Assumptions T15'!$V$3:$W$35,2,FALSE),'RES Assumptions T15'!$E$2:$S$2,0))</f>
        <v>4.1338825961717597E-2</v>
      </c>
      <c r="I23" s="14">
        <f ca="1">OFFSET('RES Assumptions T15'!$D23,0,MATCH(VLOOKUP('RES Assumptions'!I$2,'RES Assumptions T15'!$V$3:$W$35,2,FALSE),'RES Assumptions T15'!$E$2:$S$2,0))</f>
        <v>0</v>
      </c>
      <c r="J23" s="14">
        <f ca="1">OFFSET('RES Assumptions T15'!$D23,0,MATCH(VLOOKUP('RES Assumptions'!J$2,'RES Assumptions T15'!$V$3:$W$35,2,FALSE),'RES Assumptions T15'!$E$2:$S$2,0))</f>
        <v>1</v>
      </c>
      <c r="K23" s="14">
        <f ca="1">OFFSET('RES Assumptions T15'!$D23,0,MATCH(VLOOKUP('RES Assumptions'!K$2,'RES Assumptions T15'!$V$3:$W$35,2,FALSE),'RES Assumptions T15'!$E$2:$S$2,0))</f>
        <v>0</v>
      </c>
      <c r="L23" s="14">
        <f ca="1">OFFSET('RES Assumptions T15'!$D23,0,MATCH(VLOOKUP('RES Assumptions'!L$2,'RES Assumptions T15'!$V$3:$W$35,2,FALSE),'RES Assumptions T15'!$E$2:$S$2,0))</f>
        <v>6.4799825365382396E-2</v>
      </c>
      <c r="M23" s="14">
        <f ca="1">OFFSET('RES Assumptions T15'!$D23,0,MATCH(VLOOKUP('RES Assumptions'!M$2,'RES Assumptions T15'!$V$3:$W$35,2,FALSE),'RES Assumptions T15'!$E$2:$S$2,0))</f>
        <v>0</v>
      </c>
      <c r="N23" s="14">
        <f ca="1">OFFSET('RES Assumptions T15'!$D23,0,MATCH(VLOOKUP('RES Assumptions'!N$2,'RES Assumptions T15'!$V$3:$W$35,2,FALSE),'RES Assumptions T15'!$E$2:$S$2,0))</f>
        <v>5.5599380715706699E-2</v>
      </c>
      <c r="O23" s="14">
        <f ca="1">OFFSET('RES Assumptions T15'!$D23,0,MATCH(VLOOKUP('RES Assumptions'!O$2,'RES Assumptions T15'!$V$3:$W$35,2,FALSE),'RES Assumptions T15'!$E$2:$S$2,0))</f>
        <v>2.8197608842770101E-4</v>
      </c>
      <c r="P23" s="14">
        <f ca="1">OFFSET('RES Assumptions T15'!$D23,0,MATCH(VLOOKUP('RES Assumptions'!P$2,'RES Assumptions T15'!$V$3:$W$35,2,FALSE),'RES Assumptions T15'!$E$2:$S$2,0))</f>
        <v>1.10074639199794E-2</v>
      </c>
      <c r="Q23" s="14">
        <f ca="1">OFFSET('RES Assumptions T15'!$D23,0,MATCH(VLOOKUP('RES Assumptions'!Q$2,'RES Assumptions T15'!$V$3:$W$35,2,FALSE),'RES Assumptions T15'!$E$2:$S$2,0))</f>
        <v>2.8197608842770101E-4</v>
      </c>
      <c r="R23" s="14">
        <f ca="1">OFFSET('RES Assumptions T15'!$D23,0,MATCH(VLOOKUP('RES Assumptions'!R$2,'RES Assumptions T15'!$V$3:$W$35,2,FALSE),'RES Assumptions T15'!$E$2:$S$2,0))</f>
        <v>2.8197608842770101E-4</v>
      </c>
      <c r="S23" s="14">
        <f ca="1">OFFSET('RES Assumptions T15'!$D23,0,MATCH(VLOOKUP('RES Assumptions'!S$2,'RES Assumptions T15'!$V$3:$W$35,2,FALSE),'RES Assumptions T15'!$E$2:$S$2,0))</f>
        <v>1.10074639199794E-2</v>
      </c>
      <c r="T23" s="14">
        <f ca="1">OFFSET('RES Assumptions T15'!$D23,0,MATCH(VLOOKUP('RES Assumptions'!T$2,'RES Assumptions T15'!$V$3:$W$35,2,FALSE),'RES Assumptions T15'!$E$2:$S$2,0))</f>
        <v>2.8197608842770101E-4</v>
      </c>
      <c r="U23" s="14">
        <f ca="1">OFFSET('RES Assumptions T15'!$D23,0,MATCH(VLOOKUP('RES Assumptions'!U$2,'RES Assumptions T15'!$V$3:$W$35,2,FALSE),'RES Assumptions T15'!$E$2:$S$2,0))</f>
        <v>0</v>
      </c>
      <c r="V23" s="14">
        <f ca="1">OFFSET('RES Assumptions T15'!$D23,0,MATCH(VLOOKUP('RES Assumptions'!V$2,'RES Assumptions T15'!$V$3:$W$35,2,FALSE),'RES Assumptions T15'!$E$2:$S$2,0))</f>
        <v>2.8197608842770101E-4</v>
      </c>
      <c r="W23" s="14">
        <f ca="1">OFFSET('RES Assumptions T15'!$D23,0,MATCH(VLOOKUP('RES Assumptions'!W$2,'RES Assumptions T15'!$V$3:$W$35,2,FALSE),'RES Assumptions T15'!$E$2:$S$2,0))</f>
        <v>2.8197608842770101E-4</v>
      </c>
      <c r="X23" s="14">
        <f ca="1">OFFSET('RES Assumptions T15'!$D23,0,MATCH(VLOOKUP('RES Assumptions'!X$2,'RES Assumptions T15'!$V$3:$W$35,2,FALSE),'RES Assumptions T15'!$E$2:$S$2,0))</f>
        <v>1</v>
      </c>
      <c r="Y23" s="14">
        <f ca="1">OFFSET('RES Assumptions T15'!$D23,0,MATCH(VLOOKUP('RES Assumptions'!Y$2,'RES Assumptions T15'!$V$3:$W$35,2,FALSE),'RES Assumptions T15'!$E$2:$S$2,0))</f>
        <v>6.4799825365382396E-2</v>
      </c>
      <c r="Z23" s="14">
        <f ca="1">OFFSET('RES Assumptions T15'!$D23,0,MATCH(VLOOKUP('RES Assumptions'!Z$2,'RES Assumptions T15'!$V$3:$W$35,2,FALSE),'RES Assumptions T15'!$E$2:$S$2,0))</f>
        <v>0</v>
      </c>
      <c r="AA23" s="14">
        <f ca="1">OFFSET('RES Assumptions T15'!$D23,0,MATCH(VLOOKUP('RES Assumptions'!AA$2,'RES Assumptions T15'!$V$3:$W$35,2,FALSE),'RES Assumptions T15'!$E$2:$S$2,0))</f>
        <v>0</v>
      </c>
      <c r="AB23" s="14">
        <f ca="1">OFFSET('RES Assumptions T15'!$D23,0,MATCH(VLOOKUP('RES Assumptions'!AB$2,'RES Assumptions T15'!$V$3:$W$35,2,FALSE),'RES Assumptions T15'!$E$2:$S$2,0))</f>
        <v>2.8197608842770101E-4</v>
      </c>
      <c r="AC23" s="14">
        <f ca="1">OFFSET('RES Assumptions T15'!$D23,0,MATCH(VLOOKUP('RES Assumptions'!AC$2,'RES Assumptions T15'!$V$3:$W$35,2,FALSE),'RES Assumptions T15'!$E$2:$S$2,0))</f>
        <v>4.1338825961717597E-2</v>
      </c>
      <c r="AD23" s="14">
        <f ca="1">OFFSET('RES Assumptions T15'!$D23,0,MATCH(VLOOKUP('RES Assumptions'!AD$2,'RES Assumptions T15'!$V$3:$W$35,2,FALSE),'RES Assumptions T15'!$E$2:$S$2,0))</f>
        <v>0</v>
      </c>
      <c r="AE23" s="14">
        <f ca="1">OFFSET('RES Assumptions T15'!$D23,0,MATCH(VLOOKUP('RES Assumptions'!AE$2,'RES Assumptions T15'!$V$3:$W$35,2,FALSE),'RES Assumptions T15'!$E$2:$S$2,0))</f>
        <v>6.4799825365382396E-2</v>
      </c>
      <c r="AF23" s="14">
        <f ca="1">OFFSET('RES Assumptions T15'!$D23,0,MATCH(VLOOKUP('RES Assumptions'!AF$2,'RES Assumptions T15'!$V$3:$W$35,2,FALSE),'RES Assumptions T15'!$E$2:$S$2,0))</f>
        <v>2.8197608842770101E-4</v>
      </c>
      <c r="AG23" s="14">
        <f ca="1">OFFSET('RES Assumptions T15'!$D23,0,MATCH(VLOOKUP('RES Assumptions'!AG$2,'RES Assumptions T15'!$V$3:$W$35,2,FALSE),'RES Assumptions T15'!$E$2:$S$2,0))</f>
        <v>0</v>
      </c>
      <c r="AH23" s="14">
        <f ca="1">OFFSET('RES Assumptions T15'!$D23,0,MATCH(VLOOKUP('RES Assumptions'!AH$2,'RES Assumptions T15'!$V$3:$W$35,2,FALSE),'RES Assumptions T15'!$E$2:$S$2,0))</f>
        <v>0</v>
      </c>
      <c r="AK23" s="10">
        <f ca="1">IFERROR(SUMIFS('RES balance'!E$5:E$25,'RES balance'!$D$5:$D$25,'RES Assumptions'!$A23)*E23,"")</f>
        <v>0</v>
      </c>
      <c r="AL23" s="10">
        <f ca="1">IFERROR(SUMIFS('RES balance'!F$5:F$25,'RES balance'!$D$5:$D$25,'RES Assumptions'!$A23)*F23,"")</f>
        <v>9.75229030715484E-3</v>
      </c>
      <c r="AM23" s="10">
        <f ca="1">IFERROR(SUMIFS('RES balance'!G$5:G$25,'RES balance'!$D$5:$D$25,'RES Assumptions'!$A23)*G23,"")</f>
        <v>0</v>
      </c>
      <c r="AN23" s="10">
        <f ca="1">IFERROR(SUMIFS('RES balance'!H$5:H$25,'RES balance'!$D$5:$D$25,'RES Assumptions'!$A23)*H23,"")</f>
        <v>8.258127667335625</v>
      </c>
      <c r="AO23" s="10">
        <f ca="1">IFERROR(SUMIFS('RES balance'!I$5:I$25,'RES balance'!$D$5:$D$25,'RES Assumptions'!$A23)*I23,"")</f>
        <v>0</v>
      </c>
      <c r="AP23" s="10">
        <f ca="1">IFERROR(SUMIFS('RES balance'!J$5:J$25,'RES balance'!$D$5:$D$25,'RES Assumptions'!$A23)*J23,"")</f>
        <v>87.196189233599995</v>
      </c>
      <c r="AQ23" s="10">
        <f ca="1">IFERROR(SUMIFS('RES balance'!K$5:K$25,'RES balance'!$D$5:$D$25,'RES Assumptions'!$A23)*K23,"")</f>
        <v>0</v>
      </c>
      <c r="AR23" s="10">
        <f ca="1">IFERROR(SUMIFS('RES balance'!L$5:L$25,'RES balance'!$D$5:$D$25,'RES Assumptions'!$A23)*L23,"")</f>
        <v>0</v>
      </c>
      <c r="AS23" s="10">
        <f ca="1">IFERROR(SUMIFS('RES balance'!M$5:M$25,'RES balance'!$D$5:$D$25,'RES Assumptions'!$A23)*M23,"")</f>
        <v>0</v>
      </c>
      <c r="AT23" s="10">
        <f ca="1">IFERROR(SUMIFS('RES balance'!N$5:N$25,'RES balance'!$D$5:$D$25,'RES Assumptions'!$A23)*N23,"")</f>
        <v>76.653882989709189</v>
      </c>
      <c r="AU23" s="10">
        <f ca="1">IFERROR(SUMIFS('RES balance'!O$5:O$25,'RES balance'!$D$5:$D$25,'RES Assumptions'!$A23)*O23,"")</f>
        <v>4.4157139747349371E-5</v>
      </c>
      <c r="AV23" s="10">
        <f ca="1">IFERROR(SUMIFS('RES balance'!P$5:P$25,'RES balance'!$D$5:$D$25,'RES Assumptions'!$A23)*P23,"")</f>
        <v>2.6386595544874156</v>
      </c>
      <c r="AW23" s="10">
        <f ca="1">IFERROR(SUMIFS('RES balance'!Q$5:Q$25,'RES balance'!$D$5:$D$25,'RES Assumptions'!$A23)*Q23,"")</f>
        <v>4.6289664085269518E-3</v>
      </c>
      <c r="AX23" s="10">
        <f ca="1">IFERROR(SUMIFS('RES balance'!R$5:R$25,'RES balance'!$D$5:$D$25,'RES Assumptions'!$A23)*R23,"")</f>
        <v>4.023762249041276E-5</v>
      </c>
      <c r="AY23" s="10">
        <f ca="1">IFERROR(SUMIFS('RES balance'!S$5:S$25,'RES balance'!$D$5:$D$25,'RES Assumptions'!$A23)*S23,"")</f>
        <v>9.9732838975373939E-2</v>
      </c>
      <c r="AZ23" s="10">
        <f ca="1">IFERROR(SUMIFS('RES balance'!T$5:T$25,'RES balance'!$D$5:$D$25,'RES Assumptions'!$A23)*T23,"")</f>
        <v>7.6655250406045471E-4</v>
      </c>
      <c r="BA23" s="10">
        <f ca="1">IFERROR(SUMIFS('RES balance'!U$5:U$25,'RES balance'!$D$5:$D$25,'RES Assumptions'!$A23)*U23,"")</f>
        <v>0</v>
      </c>
      <c r="BB23" s="10">
        <f ca="1">IFERROR(SUMIFS('RES balance'!V$5:V$25,'RES balance'!$D$5:$D$25,'RES Assumptions'!$A23)*V23,"")</f>
        <v>2.8867362655086813E-4</v>
      </c>
      <c r="BC23" s="10">
        <f ca="1">IFERROR(SUMIFS('RES balance'!W$5:W$25,'RES balance'!$D$5:$D$25,'RES Assumptions'!$A23)*W23,"")</f>
        <v>4.0775753320550371E-3</v>
      </c>
      <c r="BD23" s="10">
        <f ca="1">IFERROR(SUMIFS('RES balance'!X$5:X$25,'RES balance'!$D$5:$D$25,'RES Assumptions'!$A23)*X23,"")</f>
        <v>122.9289655572</v>
      </c>
      <c r="BE23" s="10">
        <f ca="1">IFERROR(SUMIFS('RES balance'!Y$5:Y$25,'RES balance'!$D$5:$D$25,'RES Assumptions'!$A23)*Y23,"")</f>
        <v>0.17900957469939491</v>
      </c>
      <c r="BF23" s="10">
        <f ca="1">IFERROR(SUMIFS('RES balance'!Z$5:Z$25,'RES balance'!$D$5:$D$25,'RES Assumptions'!$A23)*Z23,"")</f>
        <v>0</v>
      </c>
      <c r="BG23" s="10">
        <f ca="1">IFERROR(SUMIFS('RES balance'!AA$5:AA$25,'RES balance'!$D$5:$D$25,'RES Assumptions'!$A23)*AA23,"")</f>
        <v>0</v>
      </c>
      <c r="BH23" s="10">
        <f ca="1">IFERROR(SUMIFS('RES balance'!AB$5:AB$25,'RES balance'!$D$5:$D$25,'RES Assumptions'!$A23)*AB23,"")</f>
        <v>0</v>
      </c>
      <c r="BI23" s="10">
        <f ca="1">IFERROR(SUMIFS('RES balance'!AC$5:AC$25,'RES balance'!$D$5:$D$25,'RES Assumptions'!$A23)*AC23,"")</f>
        <v>2.9567410498125599</v>
      </c>
      <c r="BJ23" s="10">
        <f ca="1">IFERROR(SUMIFS('RES balance'!AD$5:AD$25,'RES balance'!$D$5:$D$25,'RES Assumptions'!$A23)*AD23,"")</f>
        <v>0</v>
      </c>
      <c r="BK23" s="10">
        <f ca="1">IFERROR(SUMIFS('RES balance'!AE$5:AE$25,'RES balance'!$D$5:$D$25,'RES Assumptions'!$A23)*AE23,"")</f>
        <v>6.955940842253943</v>
      </c>
      <c r="BL23" s="10">
        <f ca="1">IFERROR(SUMIFS('RES balance'!AF$5:AF$25,'RES balance'!$D$5:$D$25,'RES Assumptions'!$A23)*AF23,"")</f>
        <v>5.3871781326415456E-3</v>
      </c>
      <c r="BM23" s="10">
        <f ca="1">IFERROR(SUMIFS('RES balance'!AG$5:AG$25,'RES balance'!$D$5:$D$25,'RES Assumptions'!$A23)*AG23,"")</f>
        <v>0</v>
      </c>
      <c r="BN23" s="10">
        <f ca="1">IFERROR(SUMIFS('RES balance'!AH$5:AH$25,'RES balance'!$D$5:$D$25,'RES Assumptions'!$A23)*AH23,"")</f>
        <v>0</v>
      </c>
    </row>
    <row r="24" spans="1:66" x14ac:dyDescent="0.45">
      <c r="A24" s="8" t="str">
        <f>VLOOKUP(C24,'RES balance'!$AL$5:$AM$25,2,FALSE)</f>
        <v>RESCOA</v>
      </c>
      <c r="B24" s="36"/>
      <c r="C24" s="22" t="s">
        <v>32</v>
      </c>
      <c r="D24" s="23" t="s">
        <v>70</v>
      </c>
      <c r="E24" s="14">
        <f ca="1">OFFSET('RES Assumptions T15'!$D24,0,MATCH(VLOOKUP('RES Assumptions'!E$2,'RES Assumptions T15'!$V$3:$W$35,2,FALSE),'RES Assumptions T15'!$E$2:$S$2,0))</f>
        <v>0</v>
      </c>
      <c r="F24" s="14">
        <f ca="1">OFFSET('RES Assumptions T15'!$D24,0,MATCH(VLOOKUP('RES Assumptions'!F$2,'RES Assumptions T15'!$V$3:$W$35,2,FALSE),'RES Assumptions T15'!$E$2:$S$2,0))</f>
        <v>0</v>
      </c>
      <c r="G24" s="14">
        <f ca="1">OFFSET('RES Assumptions T15'!$D24,0,MATCH(VLOOKUP('RES Assumptions'!G$2,'RES Assumptions T15'!$V$3:$W$35,2,FALSE),'RES Assumptions T15'!$E$2:$S$2,0))</f>
        <v>0</v>
      </c>
      <c r="H24" s="14">
        <f ca="1">OFFSET('RES Assumptions T15'!$D24,0,MATCH(VLOOKUP('RES Assumptions'!H$2,'RES Assumptions T15'!$V$3:$W$35,2,FALSE),'RES Assumptions T15'!$E$2:$S$2,0))</f>
        <v>2.7652938626807601E-2</v>
      </c>
      <c r="I24" s="14">
        <f ca="1">OFFSET('RES Assumptions T15'!$D24,0,MATCH(VLOOKUP('RES Assumptions'!I$2,'RES Assumptions T15'!$V$3:$W$35,2,FALSE),'RES Assumptions T15'!$E$2:$S$2,0))</f>
        <v>0</v>
      </c>
      <c r="J24" s="14">
        <f ca="1">OFFSET('RES Assumptions T15'!$D24,0,MATCH(VLOOKUP('RES Assumptions'!J$2,'RES Assumptions T15'!$V$3:$W$35,2,FALSE),'RES Assumptions T15'!$E$2:$S$2,0))</f>
        <v>0</v>
      </c>
      <c r="K24" s="14">
        <f ca="1">OFFSET('RES Assumptions T15'!$D24,0,MATCH(VLOOKUP('RES Assumptions'!K$2,'RES Assumptions T15'!$V$3:$W$35,2,FALSE),'RES Assumptions T15'!$E$2:$S$2,0))</f>
        <v>0</v>
      </c>
      <c r="L24" s="14">
        <f ca="1">OFFSET('RES Assumptions T15'!$D24,0,MATCH(VLOOKUP('RES Assumptions'!L$2,'RES Assumptions T15'!$V$3:$W$35,2,FALSE),'RES Assumptions T15'!$E$2:$S$2,0))</f>
        <v>0</v>
      </c>
      <c r="M24" s="14">
        <f ca="1">OFFSET('RES Assumptions T15'!$D24,0,MATCH(VLOOKUP('RES Assumptions'!M$2,'RES Assumptions T15'!$V$3:$W$35,2,FALSE),'RES Assumptions T15'!$E$2:$S$2,0))</f>
        <v>0</v>
      </c>
      <c r="N24" s="14">
        <f ca="1">OFFSET('RES Assumptions T15'!$D24,0,MATCH(VLOOKUP('RES Assumptions'!N$2,'RES Assumptions T15'!$V$3:$W$35,2,FALSE),'RES Assumptions T15'!$E$2:$S$2,0))</f>
        <v>0</v>
      </c>
      <c r="O24" s="14">
        <f ca="1">OFFSET('RES Assumptions T15'!$D24,0,MATCH(VLOOKUP('RES Assumptions'!O$2,'RES Assumptions T15'!$V$3:$W$35,2,FALSE),'RES Assumptions T15'!$E$2:$S$2,0))</f>
        <v>5.3857432889690996E-3</v>
      </c>
      <c r="P24" s="14">
        <f ca="1">OFFSET('RES Assumptions T15'!$D24,0,MATCH(VLOOKUP('RES Assumptions'!P$2,'RES Assumptions T15'!$V$3:$W$35,2,FALSE),'RES Assumptions T15'!$E$2:$S$2,0))</f>
        <v>8.3299726962006101E-4</v>
      </c>
      <c r="Q24" s="14">
        <f ca="1">OFFSET('RES Assumptions T15'!$D24,0,MATCH(VLOOKUP('RES Assumptions'!Q$2,'RES Assumptions T15'!$V$3:$W$35,2,FALSE),'RES Assumptions T15'!$E$2:$S$2,0))</f>
        <v>5.3857432889690996E-3</v>
      </c>
      <c r="R24" s="14">
        <f ca="1">OFFSET('RES Assumptions T15'!$D24,0,MATCH(VLOOKUP('RES Assumptions'!R$2,'RES Assumptions T15'!$V$3:$W$35,2,FALSE),'RES Assumptions T15'!$E$2:$S$2,0))</f>
        <v>5.3857432889690996E-3</v>
      </c>
      <c r="S24" s="14">
        <f ca="1">OFFSET('RES Assumptions T15'!$D24,0,MATCH(VLOOKUP('RES Assumptions'!S$2,'RES Assumptions T15'!$V$3:$W$35,2,FALSE),'RES Assumptions T15'!$E$2:$S$2,0))</f>
        <v>8.3299726962006101E-4</v>
      </c>
      <c r="T24" s="14">
        <f ca="1">OFFSET('RES Assumptions T15'!$D24,0,MATCH(VLOOKUP('RES Assumptions'!T$2,'RES Assumptions T15'!$V$3:$W$35,2,FALSE),'RES Assumptions T15'!$E$2:$S$2,0))</f>
        <v>5.3857432889690996E-3</v>
      </c>
      <c r="U24" s="14">
        <f ca="1">OFFSET('RES Assumptions T15'!$D24,0,MATCH(VLOOKUP('RES Assumptions'!U$2,'RES Assumptions T15'!$V$3:$W$35,2,FALSE),'RES Assumptions T15'!$E$2:$S$2,0))</f>
        <v>0</v>
      </c>
      <c r="V24" s="14">
        <f ca="1">OFFSET('RES Assumptions T15'!$D24,0,MATCH(VLOOKUP('RES Assumptions'!V$2,'RES Assumptions T15'!$V$3:$W$35,2,FALSE),'RES Assumptions T15'!$E$2:$S$2,0))</f>
        <v>5.3857432889690996E-3</v>
      </c>
      <c r="W24" s="14">
        <f ca="1">OFFSET('RES Assumptions T15'!$D24,0,MATCH(VLOOKUP('RES Assumptions'!W$2,'RES Assumptions T15'!$V$3:$W$35,2,FALSE),'RES Assumptions T15'!$E$2:$S$2,0))</f>
        <v>5.3857432889690996E-3</v>
      </c>
      <c r="X24" s="14">
        <f ca="1">OFFSET('RES Assumptions T15'!$D24,0,MATCH(VLOOKUP('RES Assumptions'!X$2,'RES Assumptions T15'!$V$3:$W$35,2,FALSE),'RES Assumptions T15'!$E$2:$S$2,0))</f>
        <v>0</v>
      </c>
      <c r="Y24" s="14">
        <f ca="1">OFFSET('RES Assumptions T15'!$D24,0,MATCH(VLOOKUP('RES Assumptions'!Y$2,'RES Assumptions T15'!$V$3:$W$35,2,FALSE),'RES Assumptions T15'!$E$2:$S$2,0))</f>
        <v>0</v>
      </c>
      <c r="Z24" s="14">
        <f ca="1">OFFSET('RES Assumptions T15'!$D24,0,MATCH(VLOOKUP('RES Assumptions'!Z$2,'RES Assumptions T15'!$V$3:$W$35,2,FALSE),'RES Assumptions T15'!$E$2:$S$2,0))</f>
        <v>0</v>
      </c>
      <c r="AA24" s="14">
        <f ca="1">OFFSET('RES Assumptions T15'!$D24,0,MATCH(VLOOKUP('RES Assumptions'!AA$2,'RES Assumptions T15'!$V$3:$W$35,2,FALSE),'RES Assumptions T15'!$E$2:$S$2,0))</f>
        <v>0</v>
      </c>
      <c r="AB24" s="14">
        <f ca="1">OFFSET('RES Assumptions T15'!$D24,0,MATCH(VLOOKUP('RES Assumptions'!AB$2,'RES Assumptions T15'!$V$3:$W$35,2,FALSE),'RES Assumptions T15'!$E$2:$S$2,0))</f>
        <v>5.3857432889690996E-3</v>
      </c>
      <c r="AC24" s="14">
        <f ca="1">OFFSET('RES Assumptions T15'!$D24,0,MATCH(VLOOKUP('RES Assumptions'!AC$2,'RES Assumptions T15'!$V$3:$W$35,2,FALSE),'RES Assumptions T15'!$E$2:$S$2,0))</f>
        <v>2.7652938626807601E-2</v>
      </c>
      <c r="AD24" s="14">
        <f ca="1">OFFSET('RES Assumptions T15'!$D24,0,MATCH(VLOOKUP('RES Assumptions'!AD$2,'RES Assumptions T15'!$V$3:$W$35,2,FALSE),'RES Assumptions T15'!$E$2:$S$2,0))</f>
        <v>0</v>
      </c>
      <c r="AE24" s="14">
        <f ca="1">OFFSET('RES Assumptions T15'!$D24,0,MATCH(VLOOKUP('RES Assumptions'!AE$2,'RES Assumptions T15'!$V$3:$W$35,2,FALSE),'RES Assumptions T15'!$E$2:$S$2,0))</f>
        <v>0</v>
      </c>
      <c r="AF24" s="14">
        <f ca="1">OFFSET('RES Assumptions T15'!$D24,0,MATCH(VLOOKUP('RES Assumptions'!AF$2,'RES Assumptions T15'!$V$3:$W$35,2,FALSE),'RES Assumptions T15'!$E$2:$S$2,0))</f>
        <v>5.3857432889690996E-3</v>
      </c>
      <c r="AG24" s="14">
        <f ca="1">OFFSET('RES Assumptions T15'!$D24,0,MATCH(VLOOKUP('RES Assumptions'!AG$2,'RES Assumptions T15'!$V$3:$W$35,2,FALSE),'RES Assumptions T15'!$E$2:$S$2,0))</f>
        <v>0</v>
      </c>
      <c r="AH24" s="14">
        <f ca="1">OFFSET('RES Assumptions T15'!$D24,0,MATCH(VLOOKUP('RES Assumptions'!AH$2,'RES Assumptions T15'!$V$3:$W$35,2,FALSE),'RES Assumptions T15'!$E$2:$S$2,0))</f>
        <v>0</v>
      </c>
      <c r="AK24" s="10">
        <f ca="1">IFERROR(SUMIFS('RES balance'!E$5:E$25,'RES balance'!$D$5:$D$25,'RES Assumptions'!$A24)*E24,"")</f>
        <v>0</v>
      </c>
      <c r="AL24" s="10">
        <f ca="1">IFERROR(SUMIFS('RES balance'!F$5:F$25,'RES balance'!$D$5:$D$25,'RES Assumptions'!$A24)*F24,"")</f>
        <v>0</v>
      </c>
      <c r="AM24" s="10">
        <f ca="1">IFERROR(SUMIFS('RES balance'!G$5:G$25,'RES balance'!$D$5:$D$25,'RES Assumptions'!$A24)*G24,"")</f>
        <v>0</v>
      </c>
      <c r="AN24" s="10">
        <f ca="1">IFERROR(SUMIFS('RES balance'!H$5:H$25,'RES balance'!$D$5:$D$25,'RES Assumptions'!$A24)*H24,"")</f>
        <v>5.5241408589748344</v>
      </c>
      <c r="AO24" s="10">
        <f ca="1">IFERROR(SUMIFS('RES balance'!I$5:I$25,'RES balance'!$D$5:$D$25,'RES Assumptions'!$A24)*I24,"")</f>
        <v>0</v>
      </c>
      <c r="AP24" s="10">
        <f ca="1">IFERROR(SUMIFS('RES balance'!J$5:J$25,'RES balance'!$D$5:$D$25,'RES Assumptions'!$A24)*J24,"")</f>
        <v>0</v>
      </c>
      <c r="AQ24" s="10">
        <f ca="1">IFERROR(SUMIFS('RES balance'!K$5:K$25,'RES balance'!$D$5:$D$25,'RES Assumptions'!$A24)*K24,"")</f>
        <v>0</v>
      </c>
      <c r="AR24" s="10">
        <f ca="1">IFERROR(SUMIFS('RES balance'!L$5:L$25,'RES balance'!$D$5:$D$25,'RES Assumptions'!$A24)*L24,"")</f>
        <v>0</v>
      </c>
      <c r="AS24" s="10">
        <f ca="1">IFERROR(SUMIFS('RES balance'!M$5:M$25,'RES balance'!$D$5:$D$25,'RES Assumptions'!$A24)*M24,"")</f>
        <v>0</v>
      </c>
      <c r="AT24" s="10">
        <f ca="1">IFERROR(SUMIFS('RES balance'!N$5:N$25,'RES balance'!$D$5:$D$25,'RES Assumptions'!$A24)*N24,"")</f>
        <v>0</v>
      </c>
      <c r="AU24" s="10">
        <f ca="1">IFERROR(SUMIFS('RES balance'!O$5:O$25,'RES balance'!$D$5:$D$25,'RES Assumptions'!$A24)*O24,"")</f>
        <v>8.4340136917437469E-4</v>
      </c>
      <c r="AV24" s="10">
        <f ca="1">IFERROR(SUMIFS('RES balance'!P$5:P$25,'RES balance'!$D$5:$D$25,'RES Assumptions'!$A24)*P24,"")</f>
        <v>0.1996823446639121</v>
      </c>
      <c r="AW24" s="10">
        <f ca="1">IFERROR(SUMIFS('RES balance'!Q$5:Q$25,'RES balance'!$D$5:$D$25,'RES Assumptions'!$A24)*Q24,"")</f>
        <v>8.8413258402864944E-2</v>
      </c>
      <c r="AX24" s="10">
        <f ca="1">IFERROR(SUMIFS('RES balance'!R$5:R$25,'RES balance'!$D$5:$D$25,'RES Assumptions'!$A24)*R24,"")</f>
        <v>7.6853858956688525E-4</v>
      </c>
      <c r="AY24" s="10">
        <f ca="1">IFERROR(SUMIFS('RES balance'!S$5:S$25,'RES balance'!$D$5:$D$25,'RES Assumptions'!$A24)*S24,"")</f>
        <v>7.5473499765147693E-3</v>
      </c>
      <c r="AZ24" s="10">
        <f ca="1">IFERROR(SUMIFS('RES balance'!T$5:T$25,'RES balance'!$D$5:$D$25,'RES Assumptions'!$A24)*T24,"")</f>
        <v>1.4641152827554715E-2</v>
      </c>
      <c r="BA24" s="10">
        <f ca="1">IFERROR(SUMIFS('RES balance'!U$5:U$25,'RES balance'!$D$5:$D$25,'RES Assumptions'!$A24)*U24,"")</f>
        <v>0</v>
      </c>
      <c r="BB24" s="10">
        <f ca="1">IFERROR(SUMIFS('RES balance'!V$5:V$25,'RES balance'!$D$5:$D$25,'RES Assumptions'!$A24)*V24,"")</f>
        <v>5.5136662671215917E-3</v>
      </c>
      <c r="BC24" s="10">
        <f ca="1">IFERROR(SUMIFS('RES balance'!W$5:W$25,'RES balance'!$D$5:$D$25,'RES Assumptions'!$A24)*W24,"")</f>
        <v>7.7881688842251356E-2</v>
      </c>
      <c r="BD24" s="10">
        <f ca="1">IFERROR(SUMIFS('RES balance'!X$5:X$25,'RES balance'!$D$5:$D$25,'RES Assumptions'!$A24)*X24,"")</f>
        <v>0</v>
      </c>
      <c r="BE24" s="10">
        <f ca="1">IFERROR(SUMIFS('RES balance'!Y$5:Y$25,'RES balance'!$D$5:$D$25,'RES Assumptions'!$A24)*Y24,"")</f>
        <v>0</v>
      </c>
      <c r="BF24" s="10">
        <f ca="1">IFERROR(SUMIFS('RES balance'!Z$5:Z$25,'RES balance'!$D$5:$D$25,'RES Assumptions'!$A24)*Z24,"")</f>
        <v>0</v>
      </c>
      <c r="BG24" s="10">
        <f ca="1">IFERROR(SUMIFS('RES balance'!AA$5:AA$25,'RES balance'!$D$5:$D$25,'RES Assumptions'!$A24)*AA24,"")</f>
        <v>0</v>
      </c>
      <c r="BH24" s="10">
        <f ca="1">IFERROR(SUMIFS('RES balance'!AB$5:AB$25,'RES balance'!$D$5:$D$25,'RES Assumptions'!$A24)*AB24,"")</f>
        <v>0</v>
      </c>
      <c r="BI24" s="10">
        <f ca="1">IFERROR(SUMIFS('RES balance'!AC$5:AC$25,'RES balance'!$D$5:$D$25,'RES Assumptions'!$A24)*AC24,"")</f>
        <v>1.9778640753258638</v>
      </c>
      <c r="BJ24" s="10">
        <f ca="1">IFERROR(SUMIFS('RES balance'!AD$5:AD$25,'RES balance'!$D$5:$D$25,'RES Assumptions'!$A24)*AD24,"")</f>
        <v>0</v>
      </c>
      <c r="BK24" s="10">
        <f ca="1">IFERROR(SUMIFS('RES balance'!AE$5:AE$25,'RES balance'!$D$5:$D$25,'RES Assumptions'!$A24)*AE24,"")</f>
        <v>0</v>
      </c>
      <c r="BL24" s="10">
        <f ca="1">IFERROR(SUMIFS('RES balance'!AF$5:AF$25,'RES balance'!$D$5:$D$25,'RES Assumptions'!$A24)*AF24,"")</f>
        <v>0.10289510233345373</v>
      </c>
      <c r="BM24" s="10">
        <f ca="1">IFERROR(SUMIFS('RES balance'!AG$5:AG$25,'RES balance'!$D$5:$D$25,'RES Assumptions'!$A24)*AG24,"")</f>
        <v>0</v>
      </c>
      <c r="BN24" s="10">
        <f ca="1">IFERROR(SUMIFS('RES balance'!AH$5:AH$25,'RES balance'!$D$5:$D$25,'RES Assumptions'!$A24)*AH24,"")</f>
        <v>0</v>
      </c>
    </row>
    <row r="25" spans="1:66" x14ac:dyDescent="0.45">
      <c r="A25" s="8" t="str">
        <f>VLOOKUP(C25,'RES balance'!$AL$5:$AM$25,2,FALSE)</f>
        <v>RESLPG</v>
      </c>
      <c r="B25" s="36"/>
      <c r="C25" s="20" t="s">
        <v>75</v>
      </c>
      <c r="D25" s="21" t="s">
        <v>62</v>
      </c>
      <c r="E25" s="14">
        <f ca="1">OFFSET('RES Assumptions T15'!$D25,0,MATCH(VLOOKUP('RES Assumptions'!E$2,'RES Assumptions T15'!$V$3:$W$35,2,FALSE),'RES Assumptions T15'!$E$2:$S$2,0))</f>
        <v>1.11994966344176E-2</v>
      </c>
      <c r="F25" s="14">
        <f ca="1">OFFSET('RES Assumptions T15'!$D25,0,MATCH(VLOOKUP('RES Assumptions'!F$2,'RES Assumptions T15'!$V$3:$W$35,2,FALSE),'RES Assumptions T15'!$E$2:$S$2,0))</f>
        <v>1.11994966344176E-2</v>
      </c>
      <c r="G25" s="14">
        <f ca="1">OFFSET('RES Assumptions T15'!$D25,0,MATCH(VLOOKUP('RES Assumptions'!G$2,'RES Assumptions T15'!$V$3:$W$35,2,FALSE),'RES Assumptions T15'!$E$2:$S$2,0))</f>
        <v>1.11994966344176E-2</v>
      </c>
      <c r="H25" s="14">
        <f ca="1">OFFSET('RES Assumptions T15'!$D25,0,MATCH(VLOOKUP('RES Assumptions'!H$2,'RES Assumptions T15'!$V$3:$W$35,2,FALSE),'RES Assumptions T15'!$E$2:$S$2,0))</f>
        <v>0.74195819027563203</v>
      </c>
      <c r="I25" s="14">
        <f ca="1">OFFSET('RES Assumptions T15'!$D25,0,MATCH(VLOOKUP('RES Assumptions'!I$2,'RES Assumptions T15'!$V$3:$W$35,2,FALSE),'RES Assumptions T15'!$E$2:$S$2,0))</f>
        <v>0.54377694288475398</v>
      </c>
      <c r="J25" s="14">
        <f ca="1">OFFSET('RES Assumptions T15'!$D25,0,MATCH(VLOOKUP('RES Assumptions'!J$2,'RES Assumptions T15'!$V$3:$W$35,2,FALSE),'RES Assumptions T15'!$E$2:$S$2,0))</f>
        <v>0</v>
      </c>
      <c r="K25" s="14">
        <f ca="1">OFFSET('RES Assumptions T15'!$D25,0,MATCH(VLOOKUP('RES Assumptions'!K$2,'RES Assumptions T15'!$V$3:$W$35,2,FALSE),'RES Assumptions T15'!$E$2:$S$2,0))</f>
        <v>0.28924650964510301</v>
      </c>
      <c r="L25" s="14">
        <f ca="1">OFFSET('RES Assumptions T15'!$D25,0,MATCH(VLOOKUP('RES Assumptions'!L$2,'RES Assumptions T15'!$V$3:$W$35,2,FALSE),'RES Assumptions T15'!$E$2:$S$2,0))</f>
        <v>1.11994966344176E-2</v>
      </c>
      <c r="M25" s="14">
        <f ca="1">OFFSET('RES Assumptions T15'!$D25,0,MATCH(VLOOKUP('RES Assumptions'!M$2,'RES Assumptions T15'!$V$3:$W$35,2,FALSE),'RES Assumptions T15'!$E$2:$S$2,0))</f>
        <v>0.87110070437297604</v>
      </c>
      <c r="N25" s="14">
        <f ca="1">OFFSET('RES Assumptions T15'!$D25,0,MATCH(VLOOKUP('RES Assumptions'!N$2,'RES Assumptions T15'!$V$3:$W$35,2,FALSE),'RES Assumptions T15'!$E$2:$S$2,0))</f>
        <v>0</v>
      </c>
      <c r="O25" s="14">
        <f ca="1">OFFSET('RES Assumptions T15'!$D25,0,MATCH(VLOOKUP('RES Assumptions'!O$2,'RES Assumptions T15'!$V$3:$W$35,2,FALSE),'RES Assumptions T15'!$E$2:$S$2,0))</f>
        <v>0.82458358028349898</v>
      </c>
      <c r="P25" s="14">
        <f ca="1">OFFSET('RES Assumptions T15'!$D25,0,MATCH(VLOOKUP('RES Assumptions'!P$2,'RES Assumptions T15'!$V$3:$W$35,2,FALSE),'RES Assumptions T15'!$E$2:$S$2,0))</f>
        <v>0.27814100468562702</v>
      </c>
      <c r="Q25" s="14">
        <f ca="1">OFFSET('RES Assumptions T15'!$D25,0,MATCH(VLOOKUP('RES Assumptions'!Q$2,'RES Assumptions T15'!$V$3:$W$35,2,FALSE),'RES Assumptions T15'!$E$2:$S$2,0))</f>
        <v>0.82458358028349898</v>
      </c>
      <c r="R25" s="14">
        <f ca="1">OFFSET('RES Assumptions T15'!$D25,0,MATCH(VLOOKUP('RES Assumptions'!R$2,'RES Assumptions T15'!$V$3:$W$35,2,FALSE),'RES Assumptions T15'!$E$2:$S$2,0))</f>
        <v>0.82458358028349898</v>
      </c>
      <c r="S25" s="14">
        <f ca="1">OFFSET('RES Assumptions T15'!$D25,0,MATCH(VLOOKUP('RES Assumptions'!S$2,'RES Assumptions T15'!$V$3:$W$35,2,FALSE),'RES Assumptions T15'!$E$2:$S$2,0))</f>
        <v>0.27814100468562702</v>
      </c>
      <c r="T25" s="14">
        <f ca="1">OFFSET('RES Assumptions T15'!$D25,0,MATCH(VLOOKUP('RES Assumptions'!T$2,'RES Assumptions T15'!$V$3:$W$35,2,FALSE),'RES Assumptions T15'!$E$2:$S$2,0))</f>
        <v>0.82458358028349898</v>
      </c>
      <c r="U25" s="14">
        <f ca="1">OFFSET('RES Assumptions T15'!$D25,0,MATCH(VLOOKUP('RES Assumptions'!U$2,'RES Assumptions T15'!$V$3:$W$35,2,FALSE),'RES Assumptions T15'!$E$2:$S$2,0))</f>
        <v>0.36444122803811602</v>
      </c>
      <c r="V25" s="14">
        <f ca="1">OFFSET('RES Assumptions T15'!$D25,0,MATCH(VLOOKUP('RES Assumptions'!V$2,'RES Assumptions T15'!$V$3:$W$35,2,FALSE),'RES Assumptions T15'!$E$2:$S$2,0))</f>
        <v>0.82458358028349898</v>
      </c>
      <c r="W25" s="14">
        <f ca="1">OFFSET('RES Assumptions T15'!$D25,0,MATCH(VLOOKUP('RES Assumptions'!W$2,'RES Assumptions T15'!$V$3:$W$35,2,FALSE),'RES Assumptions T15'!$E$2:$S$2,0))</f>
        <v>0.82458358028349898</v>
      </c>
      <c r="X25" s="14">
        <f ca="1">OFFSET('RES Assumptions T15'!$D25,0,MATCH(VLOOKUP('RES Assumptions'!X$2,'RES Assumptions T15'!$V$3:$W$35,2,FALSE),'RES Assumptions T15'!$E$2:$S$2,0))</f>
        <v>0</v>
      </c>
      <c r="Y25" s="14">
        <f ca="1">OFFSET('RES Assumptions T15'!$D25,0,MATCH(VLOOKUP('RES Assumptions'!Y$2,'RES Assumptions T15'!$V$3:$W$35,2,FALSE),'RES Assumptions T15'!$E$2:$S$2,0))</f>
        <v>1.11994966344176E-2</v>
      </c>
      <c r="Z25" s="14">
        <f ca="1">OFFSET('RES Assumptions T15'!$D25,0,MATCH(VLOOKUP('RES Assumptions'!Z$2,'RES Assumptions T15'!$V$3:$W$35,2,FALSE),'RES Assumptions T15'!$E$2:$S$2,0))</f>
        <v>1.8289276077225299E-2</v>
      </c>
      <c r="AA25" s="14">
        <f ca="1">OFFSET('RES Assumptions T15'!$D25,0,MATCH(VLOOKUP('RES Assumptions'!AA$2,'RES Assumptions T15'!$V$3:$W$35,2,FALSE),'RES Assumptions T15'!$E$2:$S$2,0))</f>
        <v>0.36444122803811602</v>
      </c>
      <c r="AB25" s="14">
        <f ca="1">OFFSET('RES Assumptions T15'!$D25,0,MATCH(VLOOKUP('RES Assumptions'!AB$2,'RES Assumptions T15'!$V$3:$W$35,2,FALSE),'RES Assumptions T15'!$E$2:$S$2,0))</f>
        <v>0.82458358028349898</v>
      </c>
      <c r="AC25" s="14">
        <f ca="1">OFFSET('RES Assumptions T15'!$D25,0,MATCH(VLOOKUP('RES Assumptions'!AC$2,'RES Assumptions T15'!$V$3:$W$35,2,FALSE),'RES Assumptions T15'!$E$2:$S$2,0))</f>
        <v>0.74195819027563203</v>
      </c>
      <c r="AD25" s="14">
        <f ca="1">OFFSET('RES Assumptions T15'!$D25,0,MATCH(VLOOKUP('RES Assumptions'!AD$2,'RES Assumptions T15'!$V$3:$W$35,2,FALSE),'RES Assumptions T15'!$E$2:$S$2,0))</f>
        <v>0.36444122803811602</v>
      </c>
      <c r="AE25" s="14">
        <f ca="1">OFFSET('RES Assumptions T15'!$D25,0,MATCH(VLOOKUP('RES Assumptions'!AE$2,'RES Assumptions T15'!$V$3:$W$35,2,FALSE),'RES Assumptions T15'!$E$2:$S$2,0))</f>
        <v>1.11994966344176E-2</v>
      </c>
      <c r="AF25" s="14">
        <f ca="1">OFFSET('RES Assumptions T15'!$D25,0,MATCH(VLOOKUP('RES Assumptions'!AF$2,'RES Assumptions T15'!$V$3:$W$35,2,FALSE),'RES Assumptions T15'!$E$2:$S$2,0))</f>
        <v>0.82458358028349898</v>
      </c>
      <c r="AG25" s="14">
        <f ca="1">OFFSET('RES Assumptions T15'!$D25,0,MATCH(VLOOKUP('RES Assumptions'!AG$2,'RES Assumptions T15'!$V$3:$W$35,2,FALSE),'RES Assumptions T15'!$E$2:$S$2,0))</f>
        <v>0.83153081316014898</v>
      </c>
      <c r="AH25" s="14">
        <f ca="1">OFFSET('RES Assumptions T15'!$D25,0,MATCH(VLOOKUP('RES Assumptions'!AH$2,'RES Assumptions T15'!$V$3:$W$35,2,FALSE),'RES Assumptions T15'!$E$2:$S$2,0))</f>
        <v>0.83153081316014898</v>
      </c>
      <c r="AK25" s="10">
        <f ca="1">IFERROR(SUMIFS('RES balance'!E$5:E$25,'RES balance'!$D$5:$D$25,'RES Assumptions'!$A25)*E25,"")</f>
        <v>4.398411137091383</v>
      </c>
      <c r="AL25" s="10">
        <f ca="1">IFERROR(SUMIFS('RES balance'!F$5:F$25,'RES balance'!$D$5:$D$25,'RES Assumptions'!$A25)*F25,"")</f>
        <v>1.3674155419056322</v>
      </c>
      <c r="AM25" s="10">
        <f ca="1">IFERROR(SUMIFS('RES balance'!G$5:G$25,'RES balance'!$D$5:$D$25,'RES Assumptions'!$A25)*G25,"")</f>
        <v>1.0236833229833062</v>
      </c>
      <c r="AN25" s="10">
        <f ca="1">IFERROR(SUMIFS('RES balance'!H$5:H$25,'RES balance'!$D$5:$D$25,'RES Assumptions'!$A25)*H25,"")</f>
        <v>48.28180556470199</v>
      </c>
      <c r="AO25" s="10">
        <f ca="1">IFERROR(SUMIFS('RES balance'!I$5:I$25,'RES balance'!$D$5:$D$25,'RES Assumptions'!$A25)*I25,"")</f>
        <v>122.72614654244991</v>
      </c>
      <c r="AP25" s="10">
        <f ca="1">IFERROR(SUMIFS('RES balance'!J$5:J$25,'RES balance'!$D$5:$D$25,'RES Assumptions'!$A25)*J25,"")</f>
        <v>0</v>
      </c>
      <c r="AQ25" s="10">
        <f ca="1">IFERROR(SUMIFS('RES balance'!K$5:K$25,'RES balance'!$D$5:$D$25,'RES Assumptions'!$A25)*K25,"")</f>
        <v>5.4988734592871396</v>
      </c>
      <c r="AR25" s="10">
        <f ca="1">IFERROR(SUMIFS('RES balance'!L$5:L$25,'RES balance'!$D$5:$D$25,'RES Assumptions'!$A25)*L25,"")</f>
        <v>3.0472598787990162</v>
      </c>
      <c r="AS25" s="10">
        <f ca="1">IFERROR(SUMIFS('RES balance'!M$5:M$25,'RES balance'!$D$5:$D$25,'RES Assumptions'!$A25)*M25,"")</f>
        <v>13.308590457635425</v>
      </c>
      <c r="AT25" s="10">
        <f ca="1">IFERROR(SUMIFS('RES balance'!N$5:N$25,'RES balance'!$D$5:$D$25,'RES Assumptions'!$A25)*N25,"")</f>
        <v>0</v>
      </c>
      <c r="AU25" s="10">
        <f ca="1">IFERROR(SUMIFS('RES balance'!O$5:O$25,'RES balance'!$D$5:$D$25,'RES Assumptions'!$A25)*O25,"")</f>
        <v>0.98935158236166121</v>
      </c>
      <c r="AV25" s="10">
        <f ca="1">IFERROR(SUMIFS('RES balance'!P$5:P$25,'RES balance'!$D$5:$D$25,'RES Assumptions'!$A25)*P25,"")</f>
        <v>8.4638975760451096</v>
      </c>
      <c r="AW25" s="10">
        <f ca="1">IFERROR(SUMIFS('RES balance'!Q$5:Q$25,'RES balance'!$D$5:$D$25,'RES Assumptions'!$A25)*Q25,"")</f>
        <v>6.5214133592330192</v>
      </c>
      <c r="AX25" s="10">
        <f ca="1">IFERROR(SUMIFS('RES balance'!R$5:R$25,'RES balance'!$D$5:$D$25,'RES Assumptions'!$A25)*R25,"")</f>
        <v>43.17411861635243</v>
      </c>
      <c r="AY25" s="10">
        <f ca="1">IFERROR(SUMIFS('RES balance'!S$5:S$25,'RES balance'!$D$5:$D$25,'RES Assumptions'!$A25)*S25,"")</f>
        <v>5.2997351360800904</v>
      </c>
      <c r="AZ25" s="10">
        <f ca="1">IFERROR(SUMIFS('RES balance'!T$5:T$25,'RES balance'!$D$5:$D$25,'RES Assumptions'!$A25)*T25,"")</f>
        <v>42.636505742589101</v>
      </c>
      <c r="BA25" s="10">
        <f ca="1">IFERROR(SUMIFS('RES balance'!U$5:U$25,'RES balance'!$D$5:$D$25,'RES Assumptions'!$A25)*U25,"")</f>
        <v>7.7820746244460253</v>
      </c>
      <c r="BB25" s="10">
        <f ca="1">IFERROR(SUMIFS('RES balance'!V$5:V$25,'RES balance'!$D$5:$D$25,'RES Assumptions'!$A25)*V25,"")</f>
        <v>28.141575683919836</v>
      </c>
      <c r="BC25" s="10">
        <f ca="1">IFERROR(SUMIFS('RES balance'!W$5:W$25,'RES balance'!$D$5:$D$25,'RES Assumptions'!$A25)*W25,"")</f>
        <v>29.017095836924721</v>
      </c>
      <c r="BD25" s="10">
        <f ca="1">IFERROR(SUMIFS('RES balance'!X$5:X$25,'RES balance'!$D$5:$D$25,'RES Assumptions'!$A25)*X25,"")</f>
        <v>0</v>
      </c>
      <c r="BE25" s="10">
        <f ca="1">IFERROR(SUMIFS('RES balance'!Y$5:Y$25,'RES balance'!$D$5:$D$25,'RES Assumptions'!$A25)*Y25,"")</f>
        <v>2.5407423248744685</v>
      </c>
      <c r="BF25" s="10">
        <f ca="1">IFERROR(SUMIFS('RES balance'!Z$5:Z$25,'RES balance'!$D$5:$D$25,'RES Assumptions'!$A25)*Z25,"")</f>
        <v>4.1320513926319249</v>
      </c>
      <c r="BG25" s="10">
        <f ca="1">IFERROR(SUMIFS('RES balance'!AA$5:AA$25,'RES balance'!$D$5:$D$25,'RES Assumptions'!$A25)*AA25,"")</f>
        <v>108.87771770717102</v>
      </c>
      <c r="BH25" s="10">
        <f ca="1">IFERROR(SUMIFS('RES balance'!AB$5:AB$25,'RES balance'!$D$5:$D$25,'RES Assumptions'!$A25)*AB25,"")</f>
        <v>0.19894607388430513</v>
      </c>
      <c r="BI25" s="10">
        <f ca="1">IFERROR(SUMIFS('RES balance'!AC$5:AC$25,'RES balance'!$D$5:$D$25,'RES Assumptions'!$A25)*AC25,"")</f>
        <v>375.73119046937848</v>
      </c>
      <c r="BJ25" s="10">
        <f ca="1">IFERROR(SUMIFS('RES balance'!AD$5:AD$25,'RES balance'!$D$5:$D$25,'RES Assumptions'!$A25)*AD25,"")</f>
        <v>18.709252499266082</v>
      </c>
      <c r="BK25" s="10">
        <f ca="1">IFERROR(SUMIFS('RES balance'!AE$5:AE$25,'RES balance'!$D$5:$D$25,'RES Assumptions'!$A25)*AE25,"")</f>
        <v>0.11293670774013527</v>
      </c>
      <c r="BL25" s="10">
        <f ca="1">IFERROR(SUMIFS('RES balance'!AF$5:AF$25,'RES balance'!$D$5:$D$25,'RES Assumptions'!$A25)*AF25,"")</f>
        <v>8.0826839816056815</v>
      </c>
      <c r="BM25" s="10">
        <f ca="1">IFERROR(SUMIFS('RES balance'!AG$5:AG$25,'RES balance'!$D$5:$D$25,'RES Assumptions'!$A25)*AG25,"")</f>
        <v>162.91068974017196</v>
      </c>
      <c r="BN25" s="10">
        <f ca="1">IFERROR(SUMIFS('RES balance'!AH$5:AH$25,'RES balance'!$D$5:$D$25,'RES Assumptions'!$A25)*AH25,"")</f>
        <v>0</v>
      </c>
    </row>
    <row r="26" spans="1:66" x14ac:dyDescent="0.45">
      <c r="A26" s="8" t="str">
        <f>VLOOKUP(C26,'RES balance'!$AL$5:$AM$25,2,FALSE)</f>
        <v>RESLPG</v>
      </c>
      <c r="B26" s="36"/>
      <c r="C26" s="20" t="s">
        <v>75</v>
      </c>
      <c r="D26" s="21" t="s">
        <v>64</v>
      </c>
      <c r="E26" s="14">
        <f ca="1">OFFSET('RES Assumptions T15'!$D26,0,MATCH(VLOOKUP('RES Assumptions'!E$2,'RES Assumptions T15'!$V$3:$W$35,2,FALSE),'RES Assumptions T15'!$E$2:$S$2,0))</f>
        <v>0.110955598742628</v>
      </c>
      <c r="F26" s="14">
        <f ca="1">OFFSET('RES Assumptions T15'!$D26,0,MATCH(VLOOKUP('RES Assumptions'!F$2,'RES Assumptions T15'!$V$3:$W$35,2,FALSE),'RES Assumptions T15'!$E$2:$S$2,0))</f>
        <v>0.110955598742628</v>
      </c>
      <c r="G26" s="14">
        <f ca="1">OFFSET('RES Assumptions T15'!$D26,0,MATCH(VLOOKUP('RES Assumptions'!G$2,'RES Assumptions T15'!$V$3:$W$35,2,FALSE),'RES Assumptions T15'!$E$2:$S$2,0))</f>
        <v>0.110955598742628</v>
      </c>
      <c r="H26" s="14">
        <f ca="1">OFFSET('RES Assumptions T15'!$D26,0,MATCH(VLOOKUP('RES Assumptions'!H$2,'RES Assumptions T15'!$V$3:$W$35,2,FALSE),'RES Assumptions T15'!$E$2:$S$2,0))</f>
        <v>9.6822342220246896E-2</v>
      </c>
      <c r="I26" s="14">
        <f ca="1">OFFSET('RES Assumptions T15'!$D26,0,MATCH(VLOOKUP('RES Assumptions'!I$2,'RES Assumptions T15'!$V$3:$W$35,2,FALSE),'RES Assumptions T15'!$E$2:$S$2,0))</f>
        <v>0.34868853280258</v>
      </c>
      <c r="J26" s="14">
        <f ca="1">OFFSET('RES Assumptions T15'!$D26,0,MATCH(VLOOKUP('RES Assumptions'!J$2,'RES Assumptions T15'!$V$3:$W$35,2,FALSE),'RES Assumptions T15'!$E$2:$S$2,0))</f>
        <v>9.8003347400173801E-2</v>
      </c>
      <c r="K26" s="14">
        <f ca="1">OFFSET('RES Assumptions T15'!$D26,0,MATCH(VLOOKUP('RES Assumptions'!K$2,'RES Assumptions T15'!$V$3:$W$35,2,FALSE),'RES Assumptions T15'!$E$2:$S$2,0))</f>
        <v>0.46648193541511201</v>
      </c>
      <c r="L26" s="14">
        <f ca="1">OFFSET('RES Assumptions T15'!$D26,0,MATCH(VLOOKUP('RES Assumptions'!L$2,'RES Assumptions T15'!$V$3:$W$35,2,FALSE),'RES Assumptions T15'!$E$2:$S$2,0))</f>
        <v>0.110955598742628</v>
      </c>
      <c r="M26" s="14">
        <f ca="1">OFFSET('RES Assumptions T15'!$D26,0,MATCH(VLOOKUP('RES Assumptions'!M$2,'RES Assumptions T15'!$V$3:$W$35,2,FALSE),'RES Assumptions T15'!$E$2:$S$2,0))</f>
        <v>0.12889929562702299</v>
      </c>
      <c r="N26" s="14">
        <f ca="1">OFFSET('RES Assumptions T15'!$D26,0,MATCH(VLOOKUP('RES Assumptions'!N$2,'RES Assumptions T15'!$V$3:$W$35,2,FALSE),'RES Assumptions T15'!$E$2:$S$2,0))</f>
        <v>0.69062770767757298</v>
      </c>
      <c r="O26" s="14">
        <f ca="1">OFFSET('RES Assumptions T15'!$D26,0,MATCH(VLOOKUP('RES Assumptions'!O$2,'RES Assumptions T15'!$V$3:$W$35,2,FALSE),'RES Assumptions T15'!$E$2:$S$2,0))</f>
        <v>0.141090346718032</v>
      </c>
      <c r="P26" s="14">
        <f ca="1">OFFSET('RES Assumptions T15'!$D26,0,MATCH(VLOOKUP('RES Assumptions'!P$2,'RES Assumptions T15'!$V$3:$W$35,2,FALSE),'RES Assumptions T15'!$E$2:$S$2,0))</f>
        <v>7.0611310885910397E-2</v>
      </c>
      <c r="Q26" s="14">
        <f ca="1">OFFSET('RES Assumptions T15'!$D26,0,MATCH(VLOOKUP('RES Assumptions'!Q$2,'RES Assumptions T15'!$V$3:$W$35,2,FALSE),'RES Assumptions T15'!$E$2:$S$2,0))</f>
        <v>0.141090346718032</v>
      </c>
      <c r="R26" s="14">
        <f ca="1">OFFSET('RES Assumptions T15'!$D26,0,MATCH(VLOOKUP('RES Assumptions'!R$2,'RES Assumptions T15'!$V$3:$W$35,2,FALSE),'RES Assumptions T15'!$E$2:$S$2,0))</f>
        <v>0.141090346718032</v>
      </c>
      <c r="S26" s="14">
        <f ca="1">OFFSET('RES Assumptions T15'!$D26,0,MATCH(VLOOKUP('RES Assumptions'!S$2,'RES Assumptions T15'!$V$3:$W$35,2,FALSE),'RES Assumptions T15'!$E$2:$S$2,0))</f>
        <v>7.0611310885910397E-2</v>
      </c>
      <c r="T26" s="14">
        <f ca="1">OFFSET('RES Assumptions T15'!$D26,0,MATCH(VLOOKUP('RES Assumptions'!T$2,'RES Assumptions T15'!$V$3:$W$35,2,FALSE),'RES Assumptions T15'!$E$2:$S$2,0))</f>
        <v>0.141090346718032</v>
      </c>
      <c r="U26" s="14">
        <f ca="1">OFFSET('RES Assumptions T15'!$D26,0,MATCH(VLOOKUP('RES Assumptions'!U$2,'RES Assumptions T15'!$V$3:$W$35,2,FALSE),'RES Assumptions T15'!$E$2:$S$2,0))</f>
        <v>0.163911059454764</v>
      </c>
      <c r="V26" s="14">
        <f ca="1">OFFSET('RES Assumptions T15'!$D26,0,MATCH(VLOOKUP('RES Assumptions'!V$2,'RES Assumptions T15'!$V$3:$W$35,2,FALSE),'RES Assumptions T15'!$E$2:$S$2,0))</f>
        <v>0.141090346718032</v>
      </c>
      <c r="W26" s="14">
        <f ca="1">OFFSET('RES Assumptions T15'!$D26,0,MATCH(VLOOKUP('RES Assumptions'!W$2,'RES Assumptions T15'!$V$3:$W$35,2,FALSE),'RES Assumptions T15'!$E$2:$S$2,0))</f>
        <v>0.141090346718032</v>
      </c>
      <c r="X26" s="14">
        <f ca="1">OFFSET('RES Assumptions T15'!$D26,0,MATCH(VLOOKUP('RES Assumptions'!X$2,'RES Assumptions T15'!$V$3:$W$35,2,FALSE),'RES Assumptions T15'!$E$2:$S$2,0))</f>
        <v>9.4607929782982603E-2</v>
      </c>
      <c r="Y26" s="14">
        <f ca="1">OFFSET('RES Assumptions T15'!$D26,0,MATCH(VLOOKUP('RES Assumptions'!Y$2,'RES Assumptions T15'!$V$3:$W$35,2,FALSE),'RES Assumptions T15'!$E$2:$S$2,0))</f>
        <v>0.110955598742628</v>
      </c>
      <c r="Z26" s="14">
        <f ca="1">OFFSET('RES Assumptions T15'!$D26,0,MATCH(VLOOKUP('RES Assumptions'!Z$2,'RES Assumptions T15'!$V$3:$W$35,2,FALSE),'RES Assumptions T15'!$E$2:$S$2,0))</f>
        <v>0.56696888809402401</v>
      </c>
      <c r="AA26" s="14">
        <f ca="1">OFFSET('RES Assumptions T15'!$D26,0,MATCH(VLOOKUP('RES Assumptions'!AA$2,'RES Assumptions T15'!$V$3:$W$35,2,FALSE),'RES Assumptions T15'!$E$2:$S$2,0))</f>
        <v>0.163911059454764</v>
      </c>
      <c r="AB26" s="14">
        <f ca="1">OFFSET('RES Assumptions T15'!$D26,0,MATCH(VLOOKUP('RES Assumptions'!AB$2,'RES Assumptions T15'!$V$3:$W$35,2,FALSE),'RES Assumptions T15'!$E$2:$S$2,0))</f>
        <v>0.141090346718032</v>
      </c>
      <c r="AC26" s="14">
        <f ca="1">OFFSET('RES Assumptions T15'!$D26,0,MATCH(VLOOKUP('RES Assumptions'!AC$2,'RES Assumptions T15'!$V$3:$W$35,2,FALSE),'RES Assumptions T15'!$E$2:$S$2,0))</f>
        <v>9.6822342220246896E-2</v>
      </c>
      <c r="AD26" s="14">
        <f ca="1">OFFSET('RES Assumptions T15'!$D26,0,MATCH(VLOOKUP('RES Assumptions'!AD$2,'RES Assumptions T15'!$V$3:$W$35,2,FALSE),'RES Assumptions T15'!$E$2:$S$2,0))</f>
        <v>0.163911059454764</v>
      </c>
      <c r="AE26" s="14">
        <f ca="1">OFFSET('RES Assumptions T15'!$D26,0,MATCH(VLOOKUP('RES Assumptions'!AE$2,'RES Assumptions T15'!$V$3:$W$35,2,FALSE),'RES Assumptions T15'!$E$2:$S$2,0))</f>
        <v>0.110955598742628</v>
      </c>
      <c r="AF26" s="14">
        <f ca="1">OFFSET('RES Assumptions T15'!$D26,0,MATCH(VLOOKUP('RES Assumptions'!AF$2,'RES Assumptions T15'!$V$3:$W$35,2,FALSE),'RES Assumptions T15'!$E$2:$S$2,0))</f>
        <v>0.141090346718032</v>
      </c>
      <c r="AG26" s="14">
        <f ca="1">OFFSET('RES Assumptions T15'!$D26,0,MATCH(VLOOKUP('RES Assumptions'!AG$2,'RES Assumptions T15'!$V$3:$W$35,2,FALSE),'RES Assumptions T15'!$E$2:$S$2,0))</f>
        <v>0.14541311487324701</v>
      </c>
      <c r="AH26" s="14">
        <f ca="1">OFFSET('RES Assumptions T15'!$D26,0,MATCH(VLOOKUP('RES Assumptions'!AH$2,'RES Assumptions T15'!$V$3:$W$35,2,FALSE),'RES Assumptions T15'!$E$2:$S$2,0))</f>
        <v>0.14541311487324701</v>
      </c>
      <c r="AK26" s="10">
        <f ca="1">IFERROR(SUMIFS('RES balance'!E$5:E$25,'RES balance'!$D$5:$D$25,'RES Assumptions'!$A26)*E26,"")</f>
        <v>43.575917486544817</v>
      </c>
      <c r="AL26" s="10">
        <f ca="1">IFERROR(SUMIFS('RES balance'!F$5:F$25,'RES balance'!$D$5:$D$25,'RES Assumptions'!$A26)*F26,"")</f>
        <v>13.547252625251982</v>
      </c>
      <c r="AM26" s="10">
        <f ca="1">IFERROR(SUMIFS('RES balance'!G$5:G$25,'RES balance'!$D$5:$D$25,'RES Assumptions'!$A26)*G26,"")</f>
        <v>10.141830452932888</v>
      </c>
      <c r="AN26" s="10">
        <f ca="1">IFERROR(SUMIFS('RES balance'!H$5:H$25,'RES balance'!$D$5:$D$25,'RES Assumptions'!$A26)*H26,"")</f>
        <v>6.3005672862245232</v>
      </c>
      <c r="AO26" s="10">
        <f ca="1">IFERROR(SUMIFS('RES balance'!I$5:I$25,'RES balance'!$D$5:$D$25,'RES Assumptions'!$A26)*I26,"")</f>
        <v>78.696238474882733</v>
      </c>
      <c r="AP26" s="10">
        <f ca="1">IFERROR(SUMIFS('RES balance'!J$5:J$25,'RES balance'!$D$5:$D$25,'RES Assumptions'!$A26)*J26,"")</f>
        <v>69.473231175303226</v>
      </c>
      <c r="AQ26" s="10">
        <f ca="1">IFERROR(SUMIFS('RES balance'!K$5:K$25,'RES balance'!$D$5:$D$25,'RES Assumptions'!$A26)*K26,"")</f>
        <v>8.8683010800662387</v>
      </c>
      <c r="AR26" s="10">
        <f ca="1">IFERROR(SUMIFS('RES balance'!L$5:L$25,'RES balance'!$D$5:$D$25,'RES Assumptions'!$A26)*L26,"")</f>
        <v>30.189798293029746</v>
      </c>
      <c r="AS26" s="10">
        <f ca="1">IFERROR(SUMIFS('RES balance'!M$5:M$25,'RES balance'!$D$5:$D$25,'RES Assumptions'!$A26)*M26,"")</f>
        <v>1.9693106975645609</v>
      </c>
      <c r="AT26" s="10">
        <f ca="1">IFERROR(SUMIFS('RES balance'!N$5:N$25,'RES balance'!$D$5:$D$25,'RES Assumptions'!$A26)*N26,"")</f>
        <v>990.52816261627913</v>
      </c>
      <c r="AU26" s="10">
        <f ca="1">IFERROR(SUMIFS('RES balance'!O$5:O$25,'RES balance'!$D$5:$D$25,'RES Assumptions'!$A26)*O26,"")</f>
        <v>0.16928297036117165</v>
      </c>
      <c r="AV26" s="10">
        <f ca="1">IFERROR(SUMIFS('RES balance'!P$5:P$25,'RES balance'!$D$5:$D$25,'RES Assumptions'!$A26)*P26,"")</f>
        <v>2.1487191495699238</v>
      </c>
      <c r="AW26" s="10">
        <f ca="1">IFERROR(SUMIFS('RES balance'!Q$5:Q$25,'RES balance'!$D$5:$D$25,'RES Assumptions'!$A26)*Q26,"")</f>
        <v>1.1158462209852047</v>
      </c>
      <c r="AX26" s="10">
        <f ca="1">IFERROR(SUMIFS('RES balance'!R$5:R$25,'RES balance'!$D$5:$D$25,'RES Assumptions'!$A26)*R26,"")</f>
        <v>7.3873061633513375</v>
      </c>
      <c r="AY26" s="10">
        <f ca="1">IFERROR(SUMIFS('RES balance'!S$5:S$25,'RES balance'!$D$5:$D$25,'RES Assumptions'!$A26)*S26,"")</f>
        <v>1.3454371667697935</v>
      </c>
      <c r="AZ26" s="10">
        <f ca="1">IFERROR(SUMIFS('RES balance'!T$5:T$25,'RES balance'!$D$5:$D$25,'RES Assumptions'!$A26)*T26,"")</f>
        <v>7.2953179300502731</v>
      </c>
      <c r="BA26" s="10">
        <f ca="1">IFERROR(SUMIFS('RES balance'!U$5:U$25,'RES balance'!$D$5:$D$25,'RES Assumptions'!$A26)*U26,"")</f>
        <v>3.5000653008324685</v>
      </c>
      <c r="BB26" s="10">
        <f ca="1">IFERROR(SUMIFS('RES balance'!V$5:V$25,'RES balance'!$D$5:$D$25,'RES Assumptions'!$A26)*V26,"")</f>
        <v>4.8151633932255775</v>
      </c>
      <c r="BC26" s="10">
        <f ca="1">IFERROR(SUMIFS('RES balance'!W$5:W$25,'RES balance'!$D$5:$D$25,'RES Assumptions'!$A26)*W26,"")</f>
        <v>4.9649692405644412</v>
      </c>
      <c r="BD26" s="10">
        <f ca="1">IFERROR(SUMIFS('RES balance'!X$5:X$25,'RES balance'!$D$5:$D$25,'RES Assumptions'!$A26)*X26,"")</f>
        <v>103.26406332945412</v>
      </c>
      <c r="BE26" s="10">
        <f ca="1">IFERROR(SUMIFS('RES balance'!Y$5:Y$25,'RES balance'!$D$5:$D$25,'RES Assumptions'!$A26)*Y26,"")</f>
        <v>25.171630039231964</v>
      </c>
      <c r="BF26" s="10">
        <f ca="1">IFERROR(SUMIFS('RES balance'!Z$5:Z$25,'RES balance'!$D$5:$D$25,'RES Assumptions'!$A26)*Z26,"")</f>
        <v>128.09389358746606</v>
      </c>
      <c r="BG26" s="10">
        <f ca="1">IFERROR(SUMIFS('RES balance'!AA$5:AA$25,'RES balance'!$D$5:$D$25,'RES Assumptions'!$A26)*AA26,"")</f>
        <v>48.968834169696692</v>
      </c>
      <c r="BH26" s="10">
        <f ca="1">IFERROR(SUMIFS('RES balance'!AB$5:AB$25,'RES balance'!$D$5:$D$25,'RES Assumptions'!$A26)*AB26,"")</f>
        <v>3.4040661509264263E-2</v>
      </c>
      <c r="BI26" s="10">
        <f ca="1">IFERROR(SUMIFS('RES balance'!AC$5:AC$25,'RES balance'!$D$5:$D$25,'RES Assumptions'!$A26)*AC26,"")</f>
        <v>49.031299045209451</v>
      </c>
      <c r="BJ26" s="10">
        <f ca="1">IFERROR(SUMIFS('RES balance'!AD$5:AD$25,'RES balance'!$D$5:$D$25,'RES Assumptions'!$A26)*AD26,"")</f>
        <v>8.4146720042351006</v>
      </c>
      <c r="BK26" s="10">
        <f ca="1">IFERROR(SUMIFS('RES balance'!AE$5:AE$25,'RES balance'!$D$5:$D$25,'RES Assumptions'!$A26)*AE26,"")</f>
        <v>1.1188860032171917</v>
      </c>
      <c r="BL26" s="10">
        <f ca="1">IFERROR(SUMIFS('RES balance'!AF$5:AF$25,'RES balance'!$D$5:$D$25,'RES Assumptions'!$A26)*AF26,"")</f>
        <v>1.3829873801088224</v>
      </c>
      <c r="BM26" s="10">
        <f ca="1">IFERROR(SUMIFS('RES balance'!AG$5:AG$25,'RES balance'!$D$5:$D$25,'RES Assumptions'!$A26)*AG26,"")</f>
        <v>28.488843066727188</v>
      </c>
      <c r="BN26" s="10">
        <f ca="1">IFERROR(SUMIFS('RES balance'!AH$5:AH$25,'RES balance'!$D$5:$D$25,'RES Assumptions'!$A26)*AH26,"")</f>
        <v>0</v>
      </c>
    </row>
    <row r="27" spans="1:66" x14ac:dyDescent="0.45">
      <c r="A27" s="8" t="str">
        <f>VLOOKUP(C27,'RES balance'!$AL$5:$AM$25,2,FALSE)</f>
        <v>RESLPG</v>
      </c>
      <c r="B27" s="36"/>
      <c r="C27" s="20" t="s">
        <v>75</v>
      </c>
      <c r="D27" s="21" t="s">
        <v>67</v>
      </c>
      <c r="E27" s="14">
        <f ca="1">OFFSET('RES Assumptions T15'!$D27,0,MATCH(VLOOKUP('RES Assumptions'!E$2,'RES Assumptions T15'!$V$3:$W$35,2,FALSE),'RES Assumptions T15'!$E$2:$S$2,0))</f>
        <v>0.85970762590704897</v>
      </c>
      <c r="F27" s="14">
        <f ca="1">OFFSET('RES Assumptions T15'!$D27,0,MATCH(VLOOKUP('RES Assumptions'!F$2,'RES Assumptions T15'!$V$3:$W$35,2,FALSE),'RES Assumptions T15'!$E$2:$S$2,0))</f>
        <v>0.85970762590704897</v>
      </c>
      <c r="G27" s="14">
        <f ca="1">OFFSET('RES Assumptions T15'!$D27,0,MATCH(VLOOKUP('RES Assumptions'!G$2,'RES Assumptions T15'!$V$3:$W$35,2,FALSE),'RES Assumptions T15'!$E$2:$S$2,0))</f>
        <v>0.85970762590704897</v>
      </c>
      <c r="H27" s="14">
        <f ca="1">OFFSET('RES Assumptions T15'!$D27,0,MATCH(VLOOKUP('RES Assumptions'!H$2,'RES Assumptions T15'!$V$3:$W$35,2,FALSE),'RES Assumptions T15'!$E$2:$S$2,0))</f>
        <v>0.159098093913425</v>
      </c>
      <c r="I27" s="14">
        <f ca="1">OFFSET('RES Assumptions T15'!$D27,0,MATCH(VLOOKUP('RES Assumptions'!I$2,'RES Assumptions T15'!$V$3:$W$35,2,FALSE),'RES Assumptions T15'!$E$2:$S$2,0))</f>
        <v>0.107534524312666</v>
      </c>
      <c r="J27" s="14">
        <f ca="1">OFFSET('RES Assumptions T15'!$D27,0,MATCH(VLOOKUP('RES Assumptions'!J$2,'RES Assumptions T15'!$V$3:$W$35,2,FALSE),'RES Assumptions T15'!$E$2:$S$2,0))</f>
        <v>0.89583576477700899</v>
      </c>
      <c r="K27" s="14">
        <f ca="1">OFFSET('RES Assumptions T15'!$D27,0,MATCH(VLOOKUP('RES Assumptions'!K$2,'RES Assumptions T15'!$V$3:$W$35,2,FALSE),'RES Assumptions T15'!$E$2:$S$2,0))</f>
        <v>0.244271554939785</v>
      </c>
      <c r="L27" s="14">
        <f ca="1">OFFSET('RES Assumptions T15'!$D27,0,MATCH(VLOOKUP('RES Assumptions'!L$2,'RES Assumptions T15'!$V$3:$W$35,2,FALSE),'RES Assumptions T15'!$E$2:$S$2,0))</f>
        <v>0.85970762590704897</v>
      </c>
      <c r="M27" s="14">
        <f ca="1">OFFSET('RES Assumptions T15'!$D27,0,MATCH(VLOOKUP('RES Assumptions'!M$2,'RES Assumptions T15'!$V$3:$W$35,2,FALSE),'RES Assumptions T15'!$E$2:$S$2,0))</f>
        <v>0</v>
      </c>
      <c r="N27" s="14">
        <f ca="1">OFFSET('RES Assumptions T15'!$D27,0,MATCH(VLOOKUP('RES Assumptions'!N$2,'RES Assumptions T15'!$V$3:$W$35,2,FALSE),'RES Assumptions T15'!$E$2:$S$2,0))</f>
        <v>0.30937229232242702</v>
      </c>
      <c r="O27" s="14">
        <f ca="1">OFFSET('RES Assumptions T15'!$D27,0,MATCH(VLOOKUP('RES Assumptions'!O$2,'RES Assumptions T15'!$V$3:$W$35,2,FALSE),'RES Assumptions T15'!$E$2:$S$2,0))</f>
        <v>3.2009371758779097E-2</v>
      </c>
      <c r="P27" s="14">
        <f ca="1">OFFSET('RES Assumptions T15'!$D27,0,MATCH(VLOOKUP('RES Assumptions'!P$2,'RES Assumptions T15'!$V$3:$W$35,2,FALSE),'RES Assumptions T15'!$E$2:$S$2,0))</f>
        <v>0.648468998583415</v>
      </c>
      <c r="Q27" s="14">
        <f ca="1">OFFSET('RES Assumptions T15'!$D27,0,MATCH(VLOOKUP('RES Assumptions'!Q$2,'RES Assumptions T15'!$V$3:$W$35,2,FALSE),'RES Assumptions T15'!$E$2:$S$2,0))</f>
        <v>3.2009371758779097E-2</v>
      </c>
      <c r="R27" s="14">
        <f ca="1">OFFSET('RES Assumptions T15'!$D27,0,MATCH(VLOOKUP('RES Assumptions'!R$2,'RES Assumptions T15'!$V$3:$W$35,2,FALSE),'RES Assumptions T15'!$E$2:$S$2,0))</f>
        <v>3.2009371758779097E-2</v>
      </c>
      <c r="S27" s="14">
        <f ca="1">OFFSET('RES Assumptions T15'!$D27,0,MATCH(VLOOKUP('RES Assumptions'!S$2,'RES Assumptions T15'!$V$3:$W$35,2,FALSE),'RES Assumptions T15'!$E$2:$S$2,0))</f>
        <v>0.648468998583415</v>
      </c>
      <c r="T27" s="14">
        <f ca="1">OFFSET('RES Assumptions T15'!$D27,0,MATCH(VLOOKUP('RES Assumptions'!T$2,'RES Assumptions T15'!$V$3:$W$35,2,FALSE),'RES Assumptions T15'!$E$2:$S$2,0))</f>
        <v>3.2009371758779097E-2</v>
      </c>
      <c r="U27" s="14">
        <f ca="1">OFFSET('RES Assumptions T15'!$D27,0,MATCH(VLOOKUP('RES Assumptions'!U$2,'RES Assumptions T15'!$V$3:$W$35,2,FALSE),'RES Assumptions T15'!$E$2:$S$2,0))</f>
        <v>0.471622606768548</v>
      </c>
      <c r="V27" s="14">
        <f ca="1">OFFSET('RES Assumptions T15'!$D27,0,MATCH(VLOOKUP('RES Assumptions'!V$2,'RES Assumptions T15'!$V$3:$W$35,2,FALSE),'RES Assumptions T15'!$E$2:$S$2,0))</f>
        <v>3.2009371758779097E-2</v>
      </c>
      <c r="W27" s="14">
        <f ca="1">OFFSET('RES Assumptions T15'!$D27,0,MATCH(VLOOKUP('RES Assumptions'!W$2,'RES Assumptions T15'!$V$3:$W$35,2,FALSE),'RES Assumptions T15'!$E$2:$S$2,0))</f>
        <v>3.2009371758779097E-2</v>
      </c>
      <c r="X27" s="14">
        <f ca="1">OFFSET('RES Assumptions T15'!$D27,0,MATCH(VLOOKUP('RES Assumptions'!X$2,'RES Assumptions T15'!$V$3:$W$35,2,FALSE),'RES Assumptions T15'!$E$2:$S$2,0))</f>
        <v>0.90539207021701695</v>
      </c>
      <c r="Y27" s="14">
        <f ca="1">OFFSET('RES Assumptions T15'!$D27,0,MATCH(VLOOKUP('RES Assumptions'!Y$2,'RES Assumptions T15'!$V$3:$W$35,2,FALSE),'RES Assumptions T15'!$E$2:$S$2,0))</f>
        <v>0.85970762590704897</v>
      </c>
      <c r="Z27" s="14">
        <f ca="1">OFFSET('RES Assumptions T15'!$D27,0,MATCH(VLOOKUP('RES Assumptions'!Z$2,'RES Assumptions T15'!$V$3:$W$35,2,FALSE),'RES Assumptions T15'!$E$2:$S$2,0))</f>
        <v>0.41264007870494501</v>
      </c>
      <c r="AA27" s="14">
        <f ca="1">OFFSET('RES Assumptions T15'!$D27,0,MATCH(VLOOKUP('RES Assumptions'!AA$2,'RES Assumptions T15'!$V$3:$W$35,2,FALSE),'RES Assumptions T15'!$E$2:$S$2,0))</f>
        <v>0.471622606768548</v>
      </c>
      <c r="AB27" s="14">
        <f ca="1">OFFSET('RES Assumptions T15'!$D27,0,MATCH(VLOOKUP('RES Assumptions'!AB$2,'RES Assumptions T15'!$V$3:$W$35,2,FALSE),'RES Assumptions T15'!$E$2:$S$2,0))</f>
        <v>3.2009371758779097E-2</v>
      </c>
      <c r="AC27" s="14">
        <f ca="1">OFFSET('RES Assumptions T15'!$D27,0,MATCH(VLOOKUP('RES Assumptions'!AC$2,'RES Assumptions T15'!$V$3:$W$35,2,FALSE),'RES Assumptions T15'!$E$2:$S$2,0))</f>
        <v>0.159098093913425</v>
      </c>
      <c r="AD27" s="14">
        <f ca="1">OFFSET('RES Assumptions T15'!$D27,0,MATCH(VLOOKUP('RES Assumptions'!AD$2,'RES Assumptions T15'!$V$3:$W$35,2,FALSE),'RES Assumptions T15'!$E$2:$S$2,0))</f>
        <v>0.471622606768548</v>
      </c>
      <c r="AE27" s="14">
        <f ca="1">OFFSET('RES Assumptions T15'!$D27,0,MATCH(VLOOKUP('RES Assumptions'!AE$2,'RES Assumptions T15'!$V$3:$W$35,2,FALSE),'RES Assumptions T15'!$E$2:$S$2,0))</f>
        <v>0.85970762590704897</v>
      </c>
      <c r="AF27" s="14">
        <f ca="1">OFFSET('RES Assumptions T15'!$D27,0,MATCH(VLOOKUP('RES Assumptions'!AF$2,'RES Assumptions T15'!$V$3:$W$35,2,FALSE),'RES Assumptions T15'!$E$2:$S$2,0))</f>
        <v>3.2009371758779097E-2</v>
      </c>
      <c r="AG27" s="14">
        <f ca="1">OFFSET('RES Assumptions T15'!$D27,0,MATCH(VLOOKUP('RES Assumptions'!AG$2,'RES Assumptions T15'!$V$3:$W$35,2,FALSE),'RES Assumptions T15'!$E$2:$S$2,0))</f>
        <v>2.3056071966604599E-2</v>
      </c>
      <c r="AH27" s="14">
        <f ca="1">OFFSET('RES Assumptions T15'!$D27,0,MATCH(VLOOKUP('RES Assumptions'!AH$2,'RES Assumptions T15'!$V$3:$W$35,2,FALSE),'RES Assumptions T15'!$E$2:$S$2,0))</f>
        <v>2.3056071966604599E-2</v>
      </c>
      <c r="AK27" s="10">
        <f ca="1">IFERROR(SUMIFS('RES balance'!E$5:E$25,'RES balance'!$D$5:$D$25,'RES Assumptions'!$A27)*E27,"")</f>
        <v>337.63549558212765</v>
      </c>
      <c r="AL27" s="10">
        <f ca="1">IFERROR(SUMIFS('RES balance'!F$5:F$25,'RES balance'!$D$5:$D$25,'RES Assumptions'!$A27)*F27,"")</f>
        <v>104.96700052995058</v>
      </c>
      <c r="AM27" s="10">
        <f ca="1">IFERROR(SUMIFS('RES balance'!G$5:G$25,'RES balance'!$D$5:$D$25,'RES Assumptions'!$A27)*G27,"")</f>
        <v>78.581063775495537</v>
      </c>
      <c r="AN27" s="10">
        <f ca="1">IFERROR(SUMIFS('RES balance'!H$5:H$25,'RES balance'!$D$5:$D$25,'RES Assumptions'!$A27)*H27,"")</f>
        <v>10.353067513398628</v>
      </c>
      <c r="AO27" s="10">
        <f ca="1">IFERROR(SUMIFS('RES balance'!I$5:I$25,'RES balance'!$D$5:$D$25,'RES Assumptions'!$A27)*I27,"")</f>
        <v>24.269689919467357</v>
      </c>
      <c r="AP27" s="10">
        <f ca="1">IFERROR(SUMIFS('RES balance'!J$5:J$25,'RES balance'!$D$5:$D$25,'RES Assumptions'!$A27)*J27,"")</f>
        <v>635.045708462682</v>
      </c>
      <c r="AQ27" s="10">
        <f ca="1">IFERROR(SUMIFS('RES balance'!K$5:K$25,'RES balance'!$D$5:$D$25,'RES Assumptions'!$A27)*K27,"")</f>
        <v>4.6438533414466221</v>
      </c>
      <c r="AR27" s="10">
        <f ca="1">IFERROR(SUMIFS('RES balance'!L$5:L$25,'RES balance'!$D$5:$D$25,'RES Assumptions'!$A27)*L27,"")</f>
        <v>233.91699122201996</v>
      </c>
      <c r="AS27" s="10">
        <f ca="1">IFERROR(SUMIFS('RES balance'!M$5:M$25,'RES balance'!$D$5:$D$25,'RES Assumptions'!$A27)*M27,"")</f>
        <v>0</v>
      </c>
      <c r="AT27" s="10">
        <f ca="1">IFERROR(SUMIFS('RES balance'!N$5:N$25,'RES balance'!$D$5:$D$25,'RES Assumptions'!$A27)*N27,"")</f>
        <v>443.71513750732078</v>
      </c>
      <c r="AU27" s="10">
        <f ca="1">IFERROR(SUMIFS('RES balance'!O$5:O$25,'RES balance'!$D$5:$D$25,'RES Assumptions'!$A27)*O27,"")</f>
        <v>3.8405473207534471E-2</v>
      </c>
      <c r="AV27" s="10">
        <f ca="1">IFERROR(SUMIFS('RES balance'!P$5:P$25,'RES balance'!$D$5:$D$25,'RES Assumptions'!$A27)*P27,"")</f>
        <v>19.733067375139846</v>
      </c>
      <c r="AW27" s="10">
        <f ca="1">IFERROR(SUMIFS('RES balance'!Q$5:Q$25,'RES balance'!$D$5:$D$25,'RES Assumptions'!$A27)*Q27,"")</f>
        <v>0.25315365185490274</v>
      </c>
      <c r="AX27" s="10">
        <f ca="1">IFERROR(SUMIFS('RES balance'!R$5:R$25,'RES balance'!$D$5:$D$25,'RES Assumptions'!$A27)*R27,"")</f>
        <v>1.6759688722801331</v>
      </c>
      <c r="AY27" s="10">
        <f ca="1">IFERROR(SUMIFS('RES balance'!S$5:S$25,'RES balance'!$D$5:$D$25,'RES Assumptions'!$A27)*S27,"")</f>
        <v>12.356013239887414</v>
      </c>
      <c r="AZ27" s="10">
        <f ca="1">IFERROR(SUMIFS('RES balance'!T$5:T$25,'RES balance'!$D$5:$D$25,'RES Assumptions'!$A27)*T27,"")</f>
        <v>1.6550993682661441</v>
      </c>
      <c r="BA27" s="10">
        <f ca="1">IFERROR(SUMIFS('RES balance'!U$5:U$25,'RES balance'!$D$5:$D$25,'RES Assumptions'!$A27)*U27,"")</f>
        <v>10.070765978389103</v>
      </c>
      <c r="BB27" s="10">
        <f ca="1">IFERROR(SUMIFS('RES balance'!V$5:V$25,'RES balance'!$D$5:$D$25,'RES Assumptions'!$A27)*V27,"")</f>
        <v>1.0924231084430609</v>
      </c>
      <c r="BC27" s="10">
        <f ca="1">IFERROR(SUMIFS('RES balance'!W$5:W$25,'RES balance'!$D$5:$D$25,'RES Assumptions'!$A27)*W27,"")</f>
        <v>1.1264097784786216</v>
      </c>
      <c r="BD27" s="10">
        <f ca="1">IFERROR(SUMIFS('RES balance'!X$5:X$25,'RES balance'!$D$5:$D$25,'RES Assumptions'!$A27)*X27,"")</f>
        <v>988.23073595774542</v>
      </c>
      <c r="BE27" s="10">
        <f ca="1">IFERROR(SUMIFS('RES balance'!Y$5:Y$25,'RES balance'!$D$5:$D$25,'RES Assumptions'!$A27)*Y27,"")</f>
        <v>195.03515411993996</v>
      </c>
      <c r="BF27" s="10">
        <f ca="1">IFERROR(SUMIFS('RES balance'!Z$5:Z$25,'RES balance'!$D$5:$D$25,'RES Assumptions'!$A27)*Z27,"")</f>
        <v>93.226763304848731</v>
      </c>
      <c r="BG27" s="10">
        <f ca="1">IFERROR(SUMIFS('RES balance'!AA$5:AA$25,'RES balance'!$D$5:$D$25,'RES Assumptions'!$A27)*AA27,"")</f>
        <v>140.89841953527718</v>
      </c>
      <c r="BH27" s="10">
        <f ca="1">IFERROR(SUMIFS('RES balance'!AB$5:AB$25,'RES balance'!$D$5:$D$25,'RES Assumptions'!$A27)*AB27,"")</f>
        <v>7.7228542881278752E-3</v>
      </c>
      <c r="BI27" s="10">
        <f ca="1">IFERROR(SUMIFS('RES balance'!AC$5:AC$25,'RES balance'!$D$5:$D$25,'RES Assumptions'!$A27)*AC27,"")</f>
        <v>80.568038753360241</v>
      </c>
      <c r="BJ27" s="10">
        <f ca="1">IFERROR(SUMIFS('RES balance'!AD$5:AD$25,'RES balance'!$D$5:$D$25,'RES Assumptions'!$A27)*AD27,"")</f>
        <v>24.211603286201175</v>
      </c>
      <c r="BK27" s="10">
        <f ca="1">IFERROR(SUMIFS('RES balance'!AE$5:AE$25,'RES balance'!$D$5:$D$25,'RES Assumptions'!$A27)*AE27,"")</f>
        <v>8.6693672098307637</v>
      </c>
      <c r="BL27" s="10">
        <f ca="1">IFERROR(SUMIFS('RES balance'!AF$5:AF$25,'RES balance'!$D$5:$D$25,'RES Assumptions'!$A27)*AF27,"")</f>
        <v>0.31376035439244904</v>
      </c>
      <c r="BM27" s="10">
        <f ca="1">IFERROR(SUMIFS('RES balance'!AG$5:AG$25,'RES balance'!$D$5:$D$25,'RES Assumptions'!$A27)*AG27,"")</f>
        <v>4.5170672299009498</v>
      </c>
      <c r="BN27" s="10">
        <f ca="1">IFERROR(SUMIFS('RES balance'!AH$5:AH$25,'RES balance'!$D$5:$D$25,'RES Assumptions'!$A27)*AH27,"")</f>
        <v>0</v>
      </c>
    </row>
    <row r="28" spans="1:66" x14ac:dyDescent="0.45">
      <c r="A28" s="8" t="str">
        <f>VLOOKUP(C28,'RES balance'!$AL$5:$AM$25,2,FALSE)</f>
        <v>RESLPG</v>
      </c>
      <c r="B28" s="36"/>
      <c r="C28" s="22" t="s">
        <v>75</v>
      </c>
      <c r="D28" s="23" t="s">
        <v>70</v>
      </c>
      <c r="E28" s="14">
        <f ca="1">OFFSET('RES Assumptions T15'!$D28,0,MATCH(VLOOKUP('RES Assumptions'!E$2,'RES Assumptions T15'!$V$3:$W$35,2,FALSE),'RES Assumptions T15'!$E$2:$S$2,0))</f>
        <v>1.8137278715904599E-2</v>
      </c>
      <c r="F28" s="14">
        <f ca="1">OFFSET('RES Assumptions T15'!$D28,0,MATCH(VLOOKUP('RES Assumptions'!F$2,'RES Assumptions T15'!$V$3:$W$35,2,FALSE),'RES Assumptions T15'!$E$2:$S$2,0))</f>
        <v>1.8137278715904599E-2</v>
      </c>
      <c r="G28" s="14">
        <f ca="1">OFFSET('RES Assumptions T15'!$D28,0,MATCH(VLOOKUP('RES Assumptions'!G$2,'RES Assumptions T15'!$V$3:$W$35,2,FALSE),'RES Assumptions T15'!$E$2:$S$2,0))</f>
        <v>1.8137278715904599E-2</v>
      </c>
      <c r="H28" s="14">
        <f ca="1">OFFSET('RES Assumptions T15'!$D28,0,MATCH(VLOOKUP('RES Assumptions'!H$2,'RES Assumptions T15'!$V$3:$W$35,2,FALSE),'RES Assumptions T15'!$E$2:$S$2,0))</f>
        <v>2.1213735906961302E-3</v>
      </c>
      <c r="I28" s="14">
        <f ca="1">OFFSET('RES Assumptions T15'!$D28,0,MATCH(VLOOKUP('RES Assumptions'!I$2,'RES Assumptions T15'!$V$3:$W$35,2,FALSE),'RES Assumptions T15'!$E$2:$S$2,0))</f>
        <v>0</v>
      </c>
      <c r="J28" s="14">
        <f ca="1">OFFSET('RES Assumptions T15'!$D28,0,MATCH(VLOOKUP('RES Assumptions'!J$2,'RES Assumptions T15'!$V$3:$W$35,2,FALSE),'RES Assumptions T15'!$E$2:$S$2,0))</f>
        <v>6.1608878228174404E-3</v>
      </c>
      <c r="K28" s="14">
        <f ca="1">OFFSET('RES Assumptions T15'!$D28,0,MATCH(VLOOKUP('RES Assumptions'!K$2,'RES Assumptions T15'!$V$3:$W$35,2,FALSE),'RES Assumptions T15'!$E$2:$S$2,0))</f>
        <v>0</v>
      </c>
      <c r="L28" s="14">
        <f ca="1">OFFSET('RES Assumptions T15'!$D28,0,MATCH(VLOOKUP('RES Assumptions'!L$2,'RES Assumptions T15'!$V$3:$W$35,2,FALSE),'RES Assumptions T15'!$E$2:$S$2,0))</f>
        <v>1.8137278715904599E-2</v>
      </c>
      <c r="M28" s="14">
        <f ca="1">OFFSET('RES Assumptions T15'!$D28,0,MATCH(VLOOKUP('RES Assumptions'!M$2,'RES Assumptions T15'!$V$3:$W$35,2,FALSE),'RES Assumptions T15'!$E$2:$S$2,0))</f>
        <v>0</v>
      </c>
      <c r="N28" s="14">
        <f ca="1">OFFSET('RES Assumptions T15'!$D28,0,MATCH(VLOOKUP('RES Assumptions'!N$2,'RES Assumptions T15'!$V$3:$W$35,2,FALSE),'RES Assumptions T15'!$E$2:$S$2,0))</f>
        <v>0</v>
      </c>
      <c r="O28" s="14">
        <f ca="1">OFFSET('RES Assumptions T15'!$D28,0,MATCH(VLOOKUP('RES Assumptions'!O$2,'RES Assumptions T15'!$V$3:$W$35,2,FALSE),'RES Assumptions T15'!$E$2:$S$2,0))</f>
        <v>2.3167012396898301E-3</v>
      </c>
      <c r="P28" s="14">
        <f ca="1">OFFSET('RES Assumptions T15'!$D28,0,MATCH(VLOOKUP('RES Assumptions'!P$2,'RES Assumptions T15'!$V$3:$W$35,2,FALSE),'RES Assumptions T15'!$E$2:$S$2,0))</f>
        <v>2.7786858450474E-3</v>
      </c>
      <c r="Q28" s="14">
        <f ca="1">OFFSET('RES Assumptions T15'!$D28,0,MATCH(VLOOKUP('RES Assumptions'!Q$2,'RES Assumptions T15'!$V$3:$W$35,2,FALSE),'RES Assumptions T15'!$E$2:$S$2,0))</f>
        <v>2.3167012396898301E-3</v>
      </c>
      <c r="R28" s="14">
        <f ca="1">OFFSET('RES Assumptions T15'!$D28,0,MATCH(VLOOKUP('RES Assumptions'!R$2,'RES Assumptions T15'!$V$3:$W$35,2,FALSE),'RES Assumptions T15'!$E$2:$S$2,0))</f>
        <v>2.3167012396898301E-3</v>
      </c>
      <c r="S28" s="14">
        <f ca="1">OFFSET('RES Assumptions T15'!$D28,0,MATCH(VLOOKUP('RES Assumptions'!S$2,'RES Assumptions T15'!$V$3:$W$35,2,FALSE),'RES Assumptions T15'!$E$2:$S$2,0))</f>
        <v>2.7786858450474E-3</v>
      </c>
      <c r="T28" s="14">
        <f ca="1">OFFSET('RES Assumptions T15'!$D28,0,MATCH(VLOOKUP('RES Assumptions'!T$2,'RES Assumptions T15'!$V$3:$W$35,2,FALSE),'RES Assumptions T15'!$E$2:$S$2,0))</f>
        <v>2.3167012396898301E-3</v>
      </c>
      <c r="U28" s="14">
        <f ca="1">OFFSET('RES Assumptions T15'!$D28,0,MATCH(VLOOKUP('RES Assumptions'!U$2,'RES Assumptions T15'!$V$3:$W$35,2,FALSE),'RES Assumptions T15'!$E$2:$S$2,0))</f>
        <v>2.51057385728E-5</v>
      </c>
      <c r="V28" s="14">
        <f ca="1">OFFSET('RES Assumptions T15'!$D28,0,MATCH(VLOOKUP('RES Assumptions'!V$2,'RES Assumptions T15'!$V$3:$W$35,2,FALSE),'RES Assumptions T15'!$E$2:$S$2,0))</f>
        <v>2.3167012396898301E-3</v>
      </c>
      <c r="W28" s="14">
        <f ca="1">OFFSET('RES Assumptions T15'!$D28,0,MATCH(VLOOKUP('RES Assumptions'!W$2,'RES Assumptions T15'!$V$3:$W$35,2,FALSE),'RES Assumptions T15'!$E$2:$S$2,0))</f>
        <v>2.3167012396898301E-3</v>
      </c>
      <c r="X28" s="14">
        <f ca="1">OFFSET('RES Assumptions T15'!$D28,0,MATCH(VLOOKUP('RES Assumptions'!X$2,'RES Assumptions T15'!$V$3:$W$35,2,FALSE),'RES Assumptions T15'!$E$2:$S$2,0))</f>
        <v>0</v>
      </c>
      <c r="Y28" s="14">
        <f ca="1">OFFSET('RES Assumptions T15'!$D28,0,MATCH(VLOOKUP('RES Assumptions'!Y$2,'RES Assumptions T15'!$V$3:$W$35,2,FALSE),'RES Assumptions T15'!$E$2:$S$2,0))</f>
        <v>1.8137278715904599E-2</v>
      </c>
      <c r="Z28" s="14">
        <f ca="1">OFFSET('RES Assumptions T15'!$D28,0,MATCH(VLOOKUP('RES Assumptions'!Z$2,'RES Assumptions T15'!$V$3:$W$35,2,FALSE),'RES Assumptions T15'!$E$2:$S$2,0))</f>
        <v>2.1017571238056299E-3</v>
      </c>
      <c r="AA28" s="14">
        <f ca="1">OFFSET('RES Assumptions T15'!$D28,0,MATCH(VLOOKUP('RES Assumptions'!AA$2,'RES Assumptions T15'!$V$3:$W$35,2,FALSE),'RES Assumptions T15'!$E$2:$S$2,0))</f>
        <v>2.51057385728E-5</v>
      </c>
      <c r="AB28" s="14">
        <f ca="1">OFFSET('RES Assumptions T15'!$D28,0,MATCH(VLOOKUP('RES Assumptions'!AB$2,'RES Assumptions T15'!$V$3:$W$35,2,FALSE),'RES Assumptions T15'!$E$2:$S$2,0))</f>
        <v>2.3167012396898301E-3</v>
      </c>
      <c r="AC28" s="14">
        <f ca="1">OFFSET('RES Assumptions T15'!$D28,0,MATCH(VLOOKUP('RES Assumptions'!AC$2,'RES Assumptions T15'!$V$3:$W$35,2,FALSE),'RES Assumptions T15'!$E$2:$S$2,0))</f>
        <v>2.1213735906961302E-3</v>
      </c>
      <c r="AD28" s="14">
        <f ca="1">OFFSET('RES Assumptions T15'!$D28,0,MATCH(VLOOKUP('RES Assumptions'!AD$2,'RES Assumptions T15'!$V$3:$W$35,2,FALSE),'RES Assumptions T15'!$E$2:$S$2,0))</f>
        <v>2.51057385728E-5</v>
      </c>
      <c r="AE28" s="14">
        <f ca="1">OFFSET('RES Assumptions T15'!$D28,0,MATCH(VLOOKUP('RES Assumptions'!AE$2,'RES Assumptions T15'!$V$3:$W$35,2,FALSE),'RES Assumptions T15'!$E$2:$S$2,0))</f>
        <v>1.8137278715904599E-2</v>
      </c>
      <c r="AF28" s="14">
        <f ca="1">OFFSET('RES Assumptions T15'!$D28,0,MATCH(VLOOKUP('RES Assumptions'!AF$2,'RES Assumptions T15'!$V$3:$W$35,2,FALSE),'RES Assumptions T15'!$E$2:$S$2,0))</f>
        <v>2.3167012396898301E-3</v>
      </c>
      <c r="AG28" s="14">
        <f ca="1">OFFSET('RES Assumptions T15'!$D28,0,MATCH(VLOOKUP('RES Assumptions'!AG$2,'RES Assumptions T15'!$V$3:$W$35,2,FALSE),'RES Assumptions T15'!$E$2:$S$2,0))</f>
        <v>0</v>
      </c>
      <c r="AH28" s="14">
        <f ca="1">OFFSET('RES Assumptions T15'!$D28,0,MATCH(VLOOKUP('RES Assumptions'!AH$2,'RES Assumptions T15'!$V$3:$W$35,2,FALSE),'RES Assumptions T15'!$E$2:$S$2,0))</f>
        <v>0</v>
      </c>
      <c r="AK28" s="10">
        <f ca="1">IFERROR(SUMIFS('RES balance'!E$5:E$25,'RES balance'!$D$5:$D$25,'RES Assumptions'!$A28)*E28,"")</f>
        <v>7.1231066274358312</v>
      </c>
      <c r="AL28" s="10">
        <f ca="1">IFERROR(SUMIFS('RES balance'!F$5:F$25,'RES balance'!$D$5:$D$25,'RES Assumptions'!$A28)*F28,"")</f>
        <v>2.2144920984917014</v>
      </c>
      <c r="AM28" s="10">
        <f ca="1">IFERROR(SUMIFS('RES balance'!G$5:G$25,'RES balance'!$D$5:$D$25,'RES Assumptions'!$A28)*G28,"")</f>
        <v>1.6578271641881819</v>
      </c>
      <c r="AN28" s="10">
        <f ca="1">IFERROR(SUMIFS('RES balance'!H$5:H$25,'RES balance'!$D$5:$D$25,'RES Assumptions'!$A28)*H28,"")</f>
        <v>0.13804517367485977</v>
      </c>
      <c r="AO28" s="10">
        <f ca="1">IFERROR(SUMIFS('RES balance'!I$5:I$25,'RES balance'!$D$5:$D$25,'RES Assumptions'!$A28)*I28,"")</f>
        <v>0</v>
      </c>
      <c r="AP28" s="10">
        <f ca="1">IFERROR(SUMIFS('RES balance'!J$5:J$25,'RES balance'!$D$5:$D$25,'RES Assumptions'!$A28)*J28,"")</f>
        <v>4.3673690268149716</v>
      </c>
      <c r="AQ28" s="10">
        <f ca="1">IFERROR(SUMIFS('RES balance'!K$5:K$25,'RES balance'!$D$5:$D$25,'RES Assumptions'!$A28)*K28,"")</f>
        <v>0</v>
      </c>
      <c r="AR28" s="10">
        <f ca="1">IFERROR(SUMIFS('RES balance'!L$5:L$25,'RES balance'!$D$5:$D$25,'RES Assumptions'!$A28)*L28,"")</f>
        <v>4.9349540917510657</v>
      </c>
      <c r="AS28" s="10">
        <f ca="1">IFERROR(SUMIFS('RES balance'!M$5:M$25,'RES balance'!$D$5:$D$25,'RES Assumptions'!$A28)*M28,"")</f>
        <v>0</v>
      </c>
      <c r="AT28" s="10">
        <f ca="1">IFERROR(SUMIFS('RES balance'!N$5:N$25,'RES balance'!$D$5:$D$25,'RES Assumptions'!$A28)*N28,"")</f>
        <v>0</v>
      </c>
      <c r="AU28" s="10">
        <f ca="1">IFERROR(SUMIFS('RES balance'!O$5:O$25,'RES balance'!$D$5:$D$25,'RES Assumptions'!$A28)*O28,"")</f>
        <v>2.7796236696325375E-3</v>
      </c>
      <c r="AV28" s="10">
        <f ca="1">IFERROR(SUMIFS('RES balance'!P$5:P$25,'RES balance'!$D$5:$D$25,'RES Assumptions'!$A28)*P28,"")</f>
        <v>8.4556077645112748E-2</v>
      </c>
      <c r="AW28" s="10">
        <f ca="1">IFERROR(SUMIFS('RES balance'!Q$5:Q$25,'RES balance'!$D$5:$D$25,'RES Assumptions'!$A28)*Q28,"")</f>
        <v>1.8322177126872497E-2</v>
      </c>
      <c r="AX28" s="10">
        <f ca="1">IFERROR(SUMIFS('RES balance'!R$5:R$25,'RES balance'!$D$5:$D$25,'RES Assumptions'!$A28)*R28,"")</f>
        <v>0.12129944921608939</v>
      </c>
      <c r="AY28" s="10">
        <f ca="1">IFERROR(SUMIFS('RES balance'!S$5:S$25,'RES balance'!$D$5:$D$25,'RES Assumptions'!$A28)*S28,"")</f>
        <v>5.2945444062700207E-2</v>
      </c>
      <c r="AZ28" s="10">
        <f ca="1">IFERROR(SUMIFS('RES balance'!T$5:T$25,'RES balance'!$D$5:$D$25,'RES Assumptions'!$A28)*T28,"")</f>
        <v>0.11978900389447322</v>
      </c>
      <c r="BA28" s="10">
        <f ca="1">IFERROR(SUMIFS('RES balance'!U$5:U$25,'RES balance'!$D$5:$D$25,'RES Assumptions'!$A28)*U28,"")</f>
        <v>5.3609393242119382E-4</v>
      </c>
      <c r="BB28" s="10">
        <f ca="1">IFERROR(SUMIFS('RES balance'!V$5:V$25,'RES balance'!$D$5:$D$25,'RES Assumptions'!$A28)*V28,"")</f>
        <v>7.9064906011525771E-2</v>
      </c>
      <c r="BC28" s="10">
        <f ca="1">IFERROR(SUMIFS('RES balance'!W$5:W$25,'RES balance'!$D$5:$D$25,'RES Assumptions'!$A28)*W28,"")</f>
        <v>8.1524715632210309E-2</v>
      </c>
      <c r="BD28" s="10">
        <f ca="1">IFERROR(SUMIFS('RES balance'!X$5:X$25,'RES balance'!$D$5:$D$25,'RES Assumptions'!$A28)*X28,"")</f>
        <v>0</v>
      </c>
      <c r="BE28" s="10">
        <f ca="1">IFERROR(SUMIFS('RES balance'!Y$5:Y$25,'RES balance'!$D$5:$D$25,'RES Assumptions'!$A28)*Y28,"")</f>
        <v>4.1146627563534279</v>
      </c>
      <c r="BF28" s="10">
        <f ca="1">IFERROR(SUMIFS('RES balance'!Z$5:Z$25,'RES balance'!$D$5:$D$25,'RES Assumptions'!$A28)*Z28,"")</f>
        <v>0.474844844253271</v>
      </c>
      <c r="BG28" s="10">
        <f ca="1">IFERROR(SUMIFS('RES balance'!AA$5:AA$25,'RES balance'!$D$5:$D$25,'RES Assumptions'!$A28)*AA28,"")</f>
        <v>7.5004014553300413E-3</v>
      </c>
      <c r="BH28" s="10">
        <f ca="1">IFERROR(SUMIFS('RES balance'!AB$5:AB$25,'RES balance'!$D$5:$D$25,'RES Assumptions'!$A28)*AB28,"")</f>
        <v>5.5894711830271134E-4</v>
      </c>
      <c r="BI28" s="10">
        <f ca="1">IFERROR(SUMIFS('RES balance'!AC$5:AC$25,'RES balance'!$D$5:$D$25,'RES Assumptions'!$A28)*AC28,"")</f>
        <v>1.0742737732519034</v>
      </c>
      <c r="BJ28" s="10">
        <f ca="1">IFERROR(SUMIFS('RES balance'!AD$5:AD$25,'RES balance'!$D$5:$D$25,'RES Assumptions'!$A28)*AD28,"")</f>
        <v>1.2888486976834397E-3</v>
      </c>
      <c r="BK28" s="10">
        <f ca="1">IFERROR(SUMIFS('RES balance'!AE$5:AE$25,'RES balance'!$D$5:$D$25,'RES Assumptions'!$A28)*AE28,"")</f>
        <v>0.18289791161190105</v>
      </c>
      <c r="BL28" s="10">
        <f ca="1">IFERROR(SUMIFS('RES balance'!AF$5:AF$25,'RES balance'!$D$5:$D$25,'RES Assumptions'!$A28)*AF28,"")</f>
        <v>2.2708630693045261E-2</v>
      </c>
      <c r="BM28" s="10">
        <f ca="1">IFERROR(SUMIFS('RES balance'!AG$5:AG$25,'RES balance'!$D$5:$D$25,'RES Assumptions'!$A28)*AG28,"")</f>
        <v>0</v>
      </c>
      <c r="BN28" s="10">
        <f ca="1">IFERROR(SUMIFS('RES balance'!AH$5:AH$25,'RES balance'!$D$5:$D$25,'RES Assumptions'!$A28)*AH28,"")</f>
        <v>0</v>
      </c>
    </row>
    <row r="29" spans="1:66" x14ac:dyDescent="0.45">
      <c r="A29" s="8">
        <f>VLOOKUP(C29,'RES balance'!$AL$5:$AM$25,2,FALSE)</f>
        <v>0</v>
      </c>
      <c r="B29" s="36"/>
      <c r="C29" s="20" t="s">
        <v>76</v>
      </c>
      <c r="D29" s="21" t="s">
        <v>62</v>
      </c>
      <c r="E29" s="14">
        <f ca="1">OFFSET('RES Assumptions T15'!$D29,0,MATCH(VLOOKUP('RES Assumptions'!E$2,'RES Assumptions T15'!$V$3:$W$35,2,FALSE),'RES Assumptions T15'!$E$2:$S$2,0))</f>
        <v>0.3</v>
      </c>
      <c r="F29" s="14">
        <f ca="1">OFFSET('RES Assumptions T15'!$D29,0,MATCH(VLOOKUP('RES Assumptions'!F$2,'RES Assumptions T15'!$V$3:$W$35,2,FALSE),'RES Assumptions T15'!$E$2:$S$2,0))</f>
        <v>0.3</v>
      </c>
      <c r="G29" s="14">
        <f ca="1">OFFSET('RES Assumptions T15'!$D29,0,MATCH(VLOOKUP('RES Assumptions'!G$2,'RES Assumptions T15'!$V$3:$W$35,2,FALSE),'RES Assumptions T15'!$E$2:$S$2,0))</f>
        <v>0.2</v>
      </c>
      <c r="H29" s="14">
        <f ca="1">OFFSET('RES Assumptions T15'!$D29,0,MATCH(VLOOKUP('RES Assumptions'!H$2,'RES Assumptions T15'!$V$3:$W$35,2,FALSE),'RES Assumptions T15'!$E$2:$S$2,0))</f>
        <v>0.75</v>
      </c>
      <c r="I29" s="14">
        <f ca="1">OFFSET('RES Assumptions T15'!$D29,0,MATCH(VLOOKUP('RES Assumptions'!I$2,'RES Assumptions T15'!$V$3:$W$35,2,FALSE),'RES Assumptions T15'!$E$2:$S$2,0))</f>
        <v>1</v>
      </c>
      <c r="J29" s="14">
        <f ca="1">OFFSET('RES Assumptions T15'!$D29,0,MATCH(VLOOKUP('RES Assumptions'!J$2,'RES Assumptions T15'!$V$3:$W$35,2,FALSE),'RES Assumptions T15'!$E$2:$S$2,0))</f>
        <v>0.2</v>
      </c>
      <c r="K29" s="14">
        <f ca="1">OFFSET('RES Assumptions T15'!$D29,0,MATCH(VLOOKUP('RES Assumptions'!K$2,'RES Assumptions T15'!$V$3:$W$35,2,FALSE),'RES Assumptions T15'!$E$2:$S$2,0))</f>
        <v>0.3</v>
      </c>
      <c r="L29" s="14">
        <f ca="1">OFFSET('RES Assumptions T15'!$D29,0,MATCH(VLOOKUP('RES Assumptions'!L$2,'RES Assumptions T15'!$V$3:$W$35,2,FALSE),'RES Assumptions T15'!$E$2:$S$2,0))</f>
        <v>0.2</v>
      </c>
      <c r="M29" s="14">
        <f ca="1">OFFSET('RES Assumptions T15'!$D29,0,MATCH(VLOOKUP('RES Assumptions'!M$2,'RES Assumptions T15'!$V$3:$W$35,2,FALSE),'RES Assumptions T15'!$E$2:$S$2,0))</f>
        <v>0.8</v>
      </c>
      <c r="N29" s="14">
        <f ca="1">OFFSET('RES Assumptions T15'!$D29,0,MATCH(VLOOKUP('RES Assumptions'!N$2,'RES Assumptions T15'!$V$3:$W$35,2,FALSE),'RES Assumptions T15'!$E$2:$S$2,0))</f>
        <v>0.2</v>
      </c>
      <c r="O29" s="14">
        <f ca="1">OFFSET('RES Assumptions T15'!$D29,0,MATCH(VLOOKUP('RES Assumptions'!O$2,'RES Assumptions T15'!$V$3:$W$35,2,FALSE),'RES Assumptions T15'!$E$2:$S$2,0))</f>
        <v>0.8</v>
      </c>
      <c r="P29" s="14">
        <f ca="1">OFFSET('RES Assumptions T15'!$D29,0,MATCH(VLOOKUP('RES Assumptions'!P$2,'RES Assumptions T15'!$V$3:$W$35,2,FALSE),'RES Assumptions T15'!$E$2:$S$2,0))</f>
        <v>0.75</v>
      </c>
      <c r="Q29" s="14">
        <f ca="1">OFFSET('RES Assumptions T15'!$D29,0,MATCH(VLOOKUP('RES Assumptions'!Q$2,'RES Assumptions T15'!$V$3:$W$35,2,FALSE),'RES Assumptions T15'!$E$2:$S$2,0))</f>
        <v>0.8</v>
      </c>
      <c r="R29" s="14">
        <f ca="1">OFFSET('RES Assumptions T15'!$D29,0,MATCH(VLOOKUP('RES Assumptions'!R$2,'RES Assumptions T15'!$V$3:$W$35,2,FALSE),'RES Assumptions T15'!$E$2:$S$2,0))</f>
        <v>0.8</v>
      </c>
      <c r="S29" s="14">
        <f ca="1">OFFSET('RES Assumptions T15'!$D29,0,MATCH(VLOOKUP('RES Assumptions'!S$2,'RES Assumptions T15'!$V$3:$W$35,2,FALSE),'RES Assumptions T15'!$E$2:$S$2,0))</f>
        <v>0.75</v>
      </c>
      <c r="T29" s="14">
        <f ca="1">OFFSET('RES Assumptions T15'!$D29,0,MATCH(VLOOKUP('RES Assumptions'!T$2,'RES Assumptions T15'!$V$3:$W$35,2,FALSE),'RES Assumptions T15'!$E$2:$S$2,0))</f>
        <v>0.8</v>
      </c>
      <c r="U29" s="14">
        <f ca="1">OFFSET('RES Assumptions T15'!$D29,0,MATCH(VLOOKUP('RES Assumptions'!U$2,'RES Assumptions T15'!$V$3:$W$35,2,FALSE),'RES Assumptions T15'!$E$2:$S$2,0))</f>
        <v>0.3</v>
      </c>
      <c r="V29" s="14">
        <f ca="1">OFFSET('RES Assumptions T15'!$D29,0,MATCH(VLOOKUP('RES Assumptions'!V$2,'RES Assumptions T15'!$V$3:$W$35,2,FALSE),'RES Assumptions T15'!$E$2:$S$2,0))</f>
        <v>0.8</v>
      </c>
      <c r="W29" s="14">
        <f ca="1">OFFSET('RES Assumptions T15'!$D29,0,MATCH(VLOOKUP('RES Assumptions'!W$2,'RES Assumptions T15'!$V$3:$W$35,2,FALSE),'RES Assumptions T15'!$E$2:$S$2,0))</f>
        <v>0.8</v>
      </c>
      <c r="X29" s="14">
        <f ca="1">OFFSET('RES Assumptions T15'!$D29,0,MATCH(VLOOKUP('RES Assumptions'!X$2,'RES Assumptions T15'!$V$3:$W$35,2,FALSE),'RES Assumptions T15'!$E$2:$S$2,0))</f>
        <v>0.2</v>
      </c>
      <c r="Y29" s="14">
        <f ca="1">OFFSET('RES Assumptions T15'!$D29,0,MATCH(VLOOKUP('RES Assumptions'!Y$2,'RES Assumptions T15'!$V$3:$W$35,2,FALSE),'RES Assumptions T15'!$E$2:$S$2,0))</f>
        <v>0.2</v>
      </c>
      <c r="Z29" s="14">
        <f ca="1">OFFSET('RES Assumptions T15'!$D29,0,MATCH(VLOOKUP('RES Assumptions'!Z$2,'RES Assumptions T15'!$V$3:$W$35,2,FALSE),'RES Assumptions T15'!$E$2:$S$2,0))</f>
        <v>0.2</v>
      </c>
      <c r="AA29" s="14">
        <f ca="1">OFFSET('RES Assumptions T15'!$D29,0,MATCH(VLOOKUP('RES Assumptions'!AA$2,'RES Assumptions T15'!$V$3:$W$35,2,FALSE),'RES Assumptions T15'!$E$2:$S$2,0))</f>
        <v>0.3</v>
      </c>
      <c r="AB29" s="14">
        <f ca="1">OFFSET('RES Assumptions T15'!$D29,0,MATCH(VLOOKUP('RES Assumptions'!AB$2,'RES Assumptions T15'!$V$3:$W$35,2,FALSE),'RES Assumptions T15'!$E$2:$S$2,0))</f>
        <v>0.8</v>
      </c>
      <c r="AC29" s="14">
        <f ca="1">OFFSET('RES Assumptions T15'!$D29,0,MATCH(VLOOKUP('RES Assumptions'!AC$2,'RES Assumptions T15'!$V$3:$W$35,2,FALSE),'RES Assumptions T15'!$E$2:$S$2,0))</f>
        <v>0.75</v>
      </c>
      <c r="AD29" s="14">
        <f ca="1">OFFSET('RES Assumptions T15'!$D29,0,MATCH(VLOOKUP('RES Assumptions'!AD$2,'RES Assumptions T15'!$V$3:$W$35,2,FALSE),'RES Assumptions T15'!$E$2:$S$2,0))</f>
        <v>0.3</v>
      </c>
      <c r="AE29" s="14">
        <f ca="1">OFFSET('RES Assumptions T15'!$D29,0,MATCH(VLOOKUP('RES Assumptions'!AE$2,'RES Assumptions T15'!$V$3:$W$35,2,FALSE),'RES Assumptions T15'!$E$2:$S$2,0))</f>
        <v>0.3</v>
      </c>
      <c r="AF29" s="14">
        <f ca="1">OFFSET('RES Assumptions T15'!$D29,0,MATCH(VLOOKUP('RES Assumptions'!AF$2,'RES Assumptions T15'!$V$3:$W$35,2,FALSE),'RES Assumptions T15'!$E$2:$S$2,0))</f>
        <v>0.8</v>
      </c>
      <c r="AG29" s="14">
        <f ca="1">OFFSET('RES Assumptions T15'!$D29,0,MATCH(VLOOKUP('RES Assumptions'!AG$2,'RES Assumptions T15'!$V$3:$W$35,2,FALSE),'RES Assumptions T15'!$E$2:$S$2,0))</f>
        <v>0.8416344197936183</v>
      </c>
      <c r="AH29" s="14">
        <f ca="1">OFFSET('RES Assumptions T15'!$D29,0,MATCH(VLOOKUP('RES Assumptions'!AH$2,'RES Assumptions T15'!$V$3:$W$35,2,FALSE),'RES Assumptions T15'!$E$2:$S$2,0))</f>
        <v>0.8416344197936183</v>
      </c>
      <c r="AK29" s="10">
        <f ca="1">IFERROR(SUMIFS('RES balance'!E$5:E$25,'RES balance'!$D$5:$D$25,'RES Assumptions'!$A29)*E29,"")</f>
        <v>0</v>
      </c>
      <c r="AL29" s="10">
        <f ca="1">IFERROR(SUMIFS('RES balance'!F$5:F$25,'RES balance'!$D$5:$D$25,'RES Assumptions'!$A29)*F29,"")</f>
        <v>0</v>
      </c>
      <c r="AM29" s="10">
        <f ca="1">IFERROR(SUMIFS('RES balance'!G$5:G$25,'RES balance'!$D$5:$D$25,'RES Assumptions'!$A29)*G29,"")</f>
        <v>0</v>
      </c>
      <c r="AN29" s="10">
        <f ca="1">IFERROR(SUMIFS('RES balance'!H$5:H$25,'RES balance'!$D$5:$D$25,'RES Assumptions'!$A29)*H29,"")</f>
        <v>0</v>
      </c>
      <c r="AO29" s="10">
        <f ca="1">IFERROR(SUMIFS('RES balance'!I$5:I$25,'RES balance'!$D$5:$D$25,'RES Assumptions'!$A29)*I29,"")</f>
        <v>0</v>
      </c>
      <c r="AP29" s="10">
        <f ca="1">IFERROR(SUMIFS('RES balance'!J$5:J$25,'RES balance'!$D$5:$D$25,'RES Assumptions'!$A29)*J29,"")</f>
        <v>0</v>
      </c>
      <c r="AQ29" s="10">
        <f ca="1">IFERROR(SUMIFS('RES balance'!K$5:K$25,'RES balance'!$D$5:$D$25,'RES Assumptions'!$A29)*K29,"")</f>
        <v>0</v>
      </c>
      <c r="AR29" s="10">
        <f ca="1">IFERROR(SUMIFS('RES balance'!L$5:L$25,'RES balance'!$D$5:$D$25,'RES Assumptions'!$A29)*L29,"")</f>
        <v>0</v>
      </c>
      <c r="AS29" s="10">
        <f ca="1">IFERROR(SUMIFS('RES balance'!M$5:M$25,'RES balance'!$D$5:$D$25,'RES Assumptions'!$A29)*M29,"")</f>
        <v>0</v>
      </c>
      <c r="AT29" s="10">
        <f ca="1">IFERROR(SUMIFS('RES balance'!N$5:N$25,'RES balance'!$D$5:$D$25,'RES Assumptions'!$A29)*N29,"")</f>
        <v>0</v>
      </c>
      <c r="AU29" s="10">
        <f ca="1">IFERROR(SUMIFS('RES balance'!O$5:O$25,'RES balance'!$D$5:$D$25,'RES Assumptions'!$A29)*O29,"")</f>
        <v>0</v>
      </c>
      <c r="AV29" s="10">
        <f ca="1">IFERROR(SUMIFS('RES balance'!P$5:P$25,'RES balance'!$D$5:$D$25,'RES Assumptions'!$A29)*P29,"")</f>
        <v>0</v>
      </c>
      <c r="AW29" s="10">
        <f ca="1">IFERROR(SUMIFS('RES balance'!Q$5:Q$25,'RES balance'!$D$5:$D$25,'RES Assumptions'!$A29)*Q29,"")</f>
        <v>0</v>
      </c>
      <c r="AX29" s="10">
        <f ca="1">IFERROR(SUMIFS('RES balance'!R$5:R$25,'RES balance'!$D$5:$D$25,'RES Assumptions'!$A29)*R29,"")</f>
        <v>0</v>
      </c>
      <c r="AY29" s="10">
        <f ca="1">IFERROR(SUMIFS('RES balance'!S$5:S$25,'RES balance'!$D$5:$D$25,'RES Assumptions'!$A29)*S29,"")</f>
        <v>0</v>
      </c>
      <c r="AZ29" s="10">
        <f ca="1">IFERROR(SUMIFS('RES balance'!T$5:T$25,'RES balance'!$D$5:$D$25,'RES Assumptions'!$A29)*T29,"")</f>
        <v>0</v>
      </c>
      <c r="BA29" s="10">
        <f ca="1">IFERROR(SUMIFS('RES balance'!U$5:U$25,'RES balance'!$D$5:$D$25,'RES Assumptions'!$A29)*U29,"")</f>
        <v>0</v>
      </c>
      <c r="BB29" s="10">
        <f ca="1">IFERROR(SUMIFS('RES balance'!V$5:V$25,'RES balance'!$D$5:$D$25,'RES Assumptions'!$A29)*V29,"")</f>
        <v>0</v>
      </c>
      <c r="BC29" s="10">
        <f ca="1">IFERROR(SUMIFS('RES balance'!W$5:W$25,'RES balance'!$D$5:$D$25,'RES Assumptions'!$A29)*W29,"")</f>
        <v>0</v>
      </c>
      <c r="BD29" s="10">
        <f ca="1">IFERROR(SUMIFS('RES balance'!X$5:X$25,'RES balance'!$D$5:$D$25,'RES Assumptions'!$A29)*X29,"")</f>
        <v>0</v>
      </c>
      <c r="BE29" s="10">
        <f ca="1">IFERROR(SUMIFS('RES balance'!Y$5:Y$25,'RES balance'!$D$5:$D$25,'RES Assumptions'!$A29)*Y29,"")</f>
        <v>0</v>
      </c>
      <c r="BF29" s="10">
        <f ca="1">IFERROR(SUMIFS('RES balance'!Z$5:Z$25,'RES balance'!$D$5:$D$25,'RES Assumptions'!$A29)*Z29,"")</f>
        <v>0</v>
      </c>
      <c r="BG29" s="10">
        <f ca="1">IFERROR(SUMIFS('RES balance'!AA$5:AA$25,'RES balance'!$D$5:$D$25,'RES Assumptions'!$A29)*AA29,"")</f>
        <v>0</v>
      </c>
      <c r="BH29" s="10">
        <f ca="1">IFERROR(SUMIFS('RES balance'!AB$5:AB$25,'RES balance'!$D$5:$D$25,'RES Assumptions'!$A29)*AB29,"")</f>
        <v>0</v>
      </c>
      <c r="BI29" s="10">
        <f ca="1">IFERROR(SUMIFS('RES balance'!AC$5:AC$25,'RES balance'!$D$5:$D$25,'RES Assumptions'!$A29)*AC29,"")</f>
        <v>0</v>
      </c>
      <c r="BJ29" s="10">
        <f ca="1">IFERROR(SUMIFS('RES balance'!AD$5:AD$25,'RES balance'!$D$5:$D$25,'RES Assumptions'!$A29)*AD29,"")</f>
        <v>0</v>
      </c>
      <c r="BK29" s="10">
        <f ca="1">IFERROR(SUMIFS('RES balance'!AE$5:AE$25,'RES balance'!$D$5:$D$25,'RES Assumptions'!$A29)*AE29,"")</f>
        <v>0</v>
      </c>
      <c r="BL29" s="10">
        <f ca="1">IFERROR(SUMIFS('RES balance'!AF$5:AF$25,'RES balance'!$D$5:$D$25,'RES Assumptions'!$A29)*AF29,"")</f>
        <v>0</v>
      </c>
      <c r="BM29" s="10">
        <f ca="1">IFERROR(SUMIFS('RES balance'!AG$5:AG$25,'RES balance'!$D$5:$D$25,'RES Assumptions'!$A29)*AG29,"")</f>
        <v>0</v>
      </c>
      <c r="BN29" s="10">
        <f ca="1">IFERROR(SUMIFS('RES balance'!AH$5:AH$25,'RES balance'!$D$5:$D$25,'RES Assumptions'!$A29)*AH29,"")</f>
        <v>0</v>
      </c>
    </row>
    <row r="30" spans="1:66" x14ac:dyDescent="0.45">
      <c r="A30" s="8">
        <f>VLOOKUP(C30,'RES balance'!$AL$5:$AM$25,2,FALSE)</f>
        <v>0</v>
      </c>
      <c r="B30" s="36"/>
      <c r="C30" s="20" t="s">
        <v>76</v>
      </c>
      <c r="D30" s="21" t="s">
        <v>64</v>
      </c>
      <c r="E30" s="14">
        <f ca="1">OFFSET('RES Assumptions T15'!$D30,0,MATCH(VLOOKUP('RES Assumptions'!E$2,'RES Assumptions T15'!$V$3:$W$35,2,FALSE),'RES Assumptions T15'!$E$2:$S$2,0))</f>
        <v>0.7</v>
      </c>
      <c r="F30" s="14">
        <f ca="1">OFFSET('RES Assumptions T15'!$D30,0,MATCH(VLOOKUP('RES Assumptions'!F$2,'RES Assumptions T15'!$V$3:$W$35,2,FALSE),'RES Assumptions T15'!$E$2:$S$2,0))</f>
        <v>0.7</v>
      </c>
      <c r="G30" s="14">
        <f ca="1">OFFSET('RES Assumptions T15'!$D30,0,MATCH(VLOOKUP('RES Assumptions'!G$2,'RES Assumptions T15'!$V$3:$W$35,2,FALSE),'RES Assumptions T15'!$E$2:$S$2,0))</f>
        <v>0.4</v>
      </c>
      <c r="H30" s="14">
        <f ca="1">OFFSET('RES Assumptions T15'!$D30,0,MATCH(VLOOKUP('RES Assumptions'!H$2,'RES Assumptions T15'!$V$3:$W$35,2,FALSE),'RES Assumptions T15'!$E$2:$S$2,0))</f>
        <v>0.25</v>
      </c>
      <c r="I30" s="14">
        <f ca="1">OFFSET('RES Assumptions T15'!$D30,0,MATCH(VLOOKUP('RES Assumptions'!I$2,'RES Assumptions T15'!$V$3:$W$35,2,FALSE),'RES Assumptions T15'!$E$2:$S$2,0))</f>
        <v>0</v>
      </c>
      <c r="J30" s="14">
        <f ca="1">OFFSET('RES Assumptions T15'!$D30,0,MATCH(VLOOKUP('RES Assumptions'!J$2,'RES Assumptions T15'!$V$3:$W$35,2,FALSE),'RES Assumptions T15'!$E$2:$S$2,0))</f>
        <v>0.5</v>
      </c>
      <c r="K30" s="14">
        <f ca="1">OFFSET('RES Assumptions T15'!$D30,0,MATCH(VLOOKUP('RES Assumptions'!K$2,'RES Assumptions T15'!$V$3:$W$35,2,FALSE),'RES Assumptions T15'!$E$2:$S$2,0))</f>
        <v>0.7</v>
      </c>
      <c r="L30" s="14">
        <f ca="1">OFFSET('RES Assumptions T15'!$D30,0,MATCH(VLOOKUP('RES Assumptions'!L$2,'RES Assumptions T15'!$V$3:$W$35,2,FALSE),'RES Assumptions T15'!$E$2:$S$2,0))</f>
        <v>0.4</v>
      </c>
      <c r="M30" s="14">
        <f ca="1">OFFSET('RES Assumptions T15'!$D30,0,MATCH(VLOOKUP('RES Assumptions'!M$2,'RES Assumptions T15'!$V$3:$W$35,2,FALSE),'RES Assumptions T15'!$E$2:$S$2,0))</f>
        <v>0.2</v>
      </c>
      <c r="N30" s="14">
        <f ca="1">OFFSET('RES Assumptions T15'!$D30,0,MATCH(VLOOKUP('RES Assumptions'!N$2,'RES Assumptions T15'!$V$3:$W$35,2,FALSE),'RES Assumptions T15'!$E$2:$S$2,0))</f>
        <v>0.6</v>
      </c>
      <c r="O30" s="14">
        <f ca="1">OFFSET('RES Assumptions T15'!$D30,0,MATCH(VLOOKUP('RES Assumptions'!O$2,'RES Assumptions T15'!$V$3:$W$35,2,FALSE),'RES Assumptions T15'!$E$2:$S$2,0))</f>
        <v>0.2</v>
      </c>
      <c r="P30" s="14">
        <f ca="1">OFFSET('RES Assumptions T15'!$D30,0,MATCH(VLOOKUP('RES Assumptions'!P$2,'RES Assumptions T15'!$V$3:$W$35,2,FALSE),'RES Assumptions T15'!$E$2:$S$2,0))</f>
        <v>0.25</v>
      </c>
      <c r="Q30" s="14">
        <f ca="1">OFFSET('RES Assumptions T15'!$D30,0,MATCH(VLOOKUP('RES Assumptions'!Q$2,'RES Assumptions T15'!$V$3:$W$35,2,FALSE),'RES Assumptions T15'!$E$2:$S$2,0))</f>
        <v>0.2</v>
      </c>
      <c r="R30" s="14">
        <f ca="1">OFFSET('RES Assumptions T15'!$D30,0,MATCH(VLOOKUP('RES Assumptions'!R$2,'RES Assumptions T15'!$V$3:$W$35,2,FALSE),'RES Assumptions T15'!$E$2:$S$2,0))</f>
        <v>0.2</v>
      </c>
      <c r="S30" s="14">
        <f ca="1">OFFSET('RES Assumptions T15'!$D30,0,MATCH(VLOOKUP('RES Assumptions'!S$2,'RES Assumptions T15'!$V$3:$W$35,2,FALSE),'RES Assumptions T15'!$E$2:$S$2,0))</f>
        <v>0.25</v>
      </c>
      <c r="T30" s="14">
        <f ca="1">OFFSET('RES Assumptions T15'!$D30,0,MATCH(VLOOKUP('RES Assumptions'!T$2,'RES Assumptions T15'!$V$3:$W$35,2,FALSE),'RES Assumptions T15'!$E$2:$S$2,0))</f>
        <v>0.2</v>
      </c>
      <c r="U30" s="14">
        <f ca="1">OFFSET('RES Assumptions T15'!$D30,0,MATCH(VLOOKUP('RES Assumptions'!U$2,'RES Assumptions T15'!$V$3:$W$35,2,FALSE),'RES Assumptions T15'!$E$2:$S$2,0))</f>
        <v>0.4</v>
      </c>
      <c r="V30" s="14">
        <f ca="1">OFFSET('RES Assumptions T15'!$D30,0,MATCH(VLOOKUP('RES Assumptions'!V$2,'RES Assumptions T15'!$V$3:$W$35,2,FALSE),'RES Assumptions T15'!$E$2:$S$2,0))</f>
        <v>0.2</v>
      </c>
      <c r="W30" s="14">
        <f ca="1">OFFSET('RES Assumptions T15'!$D30,0,MATCH(VLOOKUP('RES Assumptions'!W$2,'RES Assumptions T15'!$V$3:$W$35,2,FALSE),'RES Assumptions T15'!$E$2:$S$2,0))</f>
        <v>0.2</v>
      </c>
      <c r="X30" s="14">
        <f ca="1">OFFSET('RES Assumptions T15'!$D30,0,MATCH(VLOOKUP('RES Assumptions'!X$2,'RES Assumptions T15'!$V$3:$W$35,2,FALSE),'RES Assumptions T15'!$E$2:$S$2,0))</f>
        <v>0.6</v>
      </c>
      <c r="Y30" s="14">
        <f ca="1">OFFSET('RES Assumptions T15'!$D30,0,MATCH(VLOOKUP('RES Assumptions'!Y$2,'RES Assumptions T15'!$V$3:$W$35,2,FALSE),'RES Assumptions T15'!$E$2:$S$2,0))</f>
        <v>0.4</v>
      </c>
      <c r="Z30" s="14">
        <f ca="1">OFFSET('RES Assumptions T15'!$D30,0,MATCH(VLOOKUP('RES Assumptions'!Z$2,'RES Assumptions T15'!$V$3:$W$35,2,FALSE),'RES Assumptions T15'!$E$2:$S$2,0))</f>
        <v>0.4</v>
      </c>
      <c r="AA30" s="14">
        <f ca="1">OFFSET('RES Assumptions T15'!$D30,0,MATCH(VLOOKUP('RES Assumptions'!AA$2,'RES Assumptions T15'!$V$3:$W$35,2,FALSE),'RES Assumptions T15'!$E$2:$S$2,0))</f>
        <v>0.4</v>
      </c>
      <c r="AB30" s="14">
        <f ca="1">OFFSET('RES Assumptions T15'!$D30,0,MATCH(VLOOKUP('RES Assumptions'!AB$2,'RES Assumptions T15'!$V$3:$W$35,2,FALSE),'RES Assumptions T15'!$E$2:$S$2,0))</f>
        <v>0.2</v>
      </c>
      <c r="AC30" s="14">
        <f ca="1">OFFSET('RES Assumptions T15'!$D30,0,MATCH(VLOOKUP('RES Assumptions'!AC$2,'RES Assumptions T15'!$V$3:$W$35,2,FALSE),'RES Assumptions T15'!$E$2:$S$2,0))</f>
        <v>0.25</v>
      </c>
      <c r="AD30" s="14">
        <f ca="1">OFFSET('RES Assumptions T15'!$D30,0,MATCH(VLOOKUP('RES Assumptions'!AD$2,'RES Assumptions T15'!$V$3:$W$35,2,FALSE),'RES Assumptions T15'!$E$2:$S$2,0))</f>
        <v>0.4</v>
      </c>
      <c r="AE30" s="14">
        <f ca="1">OFFSET('RES Assumptions T15'!$D30,0,MATCH(VLOOKUP('RES Assumptions'!AE$2,'RES Assumptions T15'!$V$3:$W$35,2,FALSE),'RES Assumptions T15'!$E$2:$S$2,0))</f>
        <v>0.7</v>
      </c>
      <c r="AF30" s="14">
        <f ca="1">OFFSET('RES Assumptions T15'!$D30,0,MATCH(VLOOKUP('RES Assumptions'!AF$2,'RES Assumptions T15'!$V$3:$W$35,2,FALSE),'RES Assumptions T15'!$E$2:$S$2,0))</f>
        <v>0.2</v>
      </c>
      <c r="AG30" s="14">
        <f ca="1">OFFSET('RES Assumptions T15'!$D30,0,MATCH(VLOOKUP('RES Assumptions'!AG$2,'RES Assumptions T15'!$V$3:$W$35,2,FALSE),'RES Assumptions T15'!$E$2:$S$2,0))</f>
        <v>0.15836558020638167</v>
      </c>
      <c r="AH30" s="14">
        <f ca="1">OFFSET('RES Assumptions T15'!$D30,0,MATCH(VLOOKUP('RES Assumptions'!AH$2,'RES Assumptions T15'!$V$3:$W$35,2,FALSE),'RES Assumptions T15'!$E$2:$S$2,0))</f>
        <v>0.15836558020638167</v>
      </c>
      <c r="AK30" s="10">
        <f ca="1">IFERROR(SUMIFS('RES balance'!E$5:E$25,'RES balance'!$D$5:$D$25,'RES Assumptions'!$A30)*E30,"")</f>
        <v>0</v>
      </c>
      <c r="AL30" s="10">
        <f ca="1">IFERROR(SUMIFS('RES balance'!F$5:F$25,'RES balance'!$D$5:$D$25,'RES Assumptions'!$A30)*F30,"")</f>
        <v>0</v>
      </c>
      <c r="AM30" s="10">
        <f ca="1">IFERROR(SUMIFS('RES balance'!G$5:G$25,'RES balance'!$D$5:$D$25,'RES Assumptions'!$A30)*G30,"")</f>
        <v>0</v>
      </c>
      <c r="AN30" s="10">
        <f ca="1">IFERROR(SUMIFS('RES balance'!H$5:H$25,'RES balance'!$D$5:$D$25,'RES Assumptions'!$A30)*H30,"")</f>
        <v>0</v>
      </c>
      <c r="AO30" s="10">
        <f ca="1">IFERROR(SUMIFS('RES balance'!I$5:I$25,'RES balance'!$D$5:$D$25,'RES Assumptions'!$A30)*I30,"")</f>
        <v>0</v>
      </c>
      <c r="AP30" s="10">
        <f ca="1">IFERROR(SUMIFS('RES balance'!J$5:J$25,'RES balance'!$D$5:$D$25,'RES Assumptions'!$A30)*J30,"")</f>
        <v>0</v>
      </c>
      <c r="AQ30" s="10">
        <f ca="1">IFERROR(SUMIFS('RES balance'!K$5:K$25,'RES balance'!$D$5:$D$25,'RES Assumptions'!$A30)*K30,"")</f>
        <v>0</v>
      </c>
      <c r="AR30" s="10">
        <f ca="1">IFERROR(SUMIFS('RES balance'!L$5:L$25,'RES balance'!$D$5:$D$25,'RES Assumptions'!$A30)*L30,"")</f>
        <v>0</v>
      </c>
      <c r="AS30" s="10">
        <f ca="1">IFERROR(SUMIFS('RES balance'!M$5:M$25,'RES balance'!$D$5:$D$25,'RES Assumptions'!$A30)*M30,"")</f>
        <v>0</v>
      </c>
      <c r="AT30" s="10">
        <f ca="1">IFERROR(SUMIFS('RES balance'!N$5:N$25,'RES balance'!$D$5:$D$25,'RES Assumptions'!$A30)*N30,"")</f>
        <v>0</v>
      </c>
      <c r="AU30" s="10">
        <f ca="1">IFERROR(SUMIFS('RES balance'!O$5:O$25,'RES balance'!$D$5:$D$25,'RES Assumptions'!$A30)*O30,"")</f>
        <v>0</v>
      </c>
      <c r="AV30" s="10">
        <f ca="1">IFERROR(SUMIFS('RES balance'!P$5:P$25,'RES balance'!$D$5:$D$25,'RES Assumptions'!$A30)*P30,"")</f>
        <v>0</v>
      </c>
      <c r="AW30" s="10">
        <f ca="1">IFERROR(SUMIFS('RES balance'!Q$5:Q$25,'RES balance'!$D$5:$D$25,'RES Assumptions'!$A30)*Q30,"")</f>
        <v>0</v>
      </c>
      <c r="AX30" s="10">
        <f ca="1">IFERROR(SUMIFS('RES balance'!R$5:R$25,'RES balance'!$D$5:$D$25,'RES Assumptions'!$A30)*R30,"")</f>
        <v>0</v>
      </c>
      <c r="AY30" s="10">
        <f ca="1">IFERROR(SUMIFS('RES balance'!S$5:S$25,'RES balance'!$D$5:$D$25,'RES Assumptions'!$A30)*S30,"")</f>
        <v>0</v>
      </c>
      <c r="AZ30" s="10">
        <f ca="1">IFERROR(SUMIFS('RES balance'!T$5:T$25,'RES balance'!$D$5:$D$25,'RES Assumptions'!$A30)*T30,"")</f>
        <v>0</v>
      </c>
      <c r="BA30" s="10">
        <f ca="1">IFERROR(SUMIFS('RES balance'!U$5:U$25,'RES balance'!$D$5:$D$25,'RES Assumptions'!$A30)*U30,"")</f>
        <v>0</v>
      </c>
      <c r="BB30" s="10">
        <f ca="1">IFERROR(SUMIFS('RES balance'!V$5:V$25,'RES balance'!$D$5:$D$25,'RES Assumptions'!$A30)*V30,"")</f>
        <v>0</v>
      </c>
      <c r="BC30" s="10">
        <f ca="1">IFERROR(SUMIFS('RES balance'!W$5:W$25,'RES balance'!$D$5:$D$25,'RES Assumptions'!$A30)*W30,"")</f>
        <v>0</v>
      </c>
      <c r="BD30" s="10">
        <f ca="1">IFERROR(SUMIFS('RES balance'!X$5:X$25,'RES balance'!$D$5:$D$25,'RES Assumptions'!$A30)*X30,"")</f>
        <v>0</v>
      </c>
      <c r="BE30" s="10">
        <f ca="1">IFERROR(SUMIFS('RES balance'!Y$5:Y$25,'RES balance'!$D$5:$D$25,'RES Assumptions'!$A30)*Y30,"")</f>
        <v>0</v>
      </c>
      <c r="BF30" s="10">
        <f ca="1">IFERROR(SUMIFS('RES balance'!Z$5:Z$25,'RES balance'!$D$5:$D$25,'RES Assumptions'!$A30)*Z30,"")</f>
        <v>0</v>
      </c>
      <c r="BG30" s="10">
        <f ca="1">IFERROR(SUMIFS('RES balance'!AA$5:AA$25,'RES balance'!$D$5:$D$25,'RES Assumptions'!$A30)*AA30,"")</f>
        <v>0</v>
      </c>
      <c r="BH30" s="10">
        <f ca="1">IFERROR(SUMIFS('RES balance'!AB$5:AB$25,'RES balance'!$D$5:$D$25,'RES Assumptions'!$A30)*AB30,"")</f>
        <v>0</v>
      </c>
      <c r="BI30" s="10">
        <f ca="1">IFERROR(SUMIFS('RES balance'!AC$5:AC$25,'RES balance'!$D$5:$D$25,'RES Assumptions'!$A30)*AC30,"")</f>
        <v>0</v>
      </c>
      <c r="BJ30" s="10">
        <f ca="1">IFERROR(SUMIFS('RES balance'!AD$5:AD$25,'RES balance'!$D$5:$D$25,'RES Assumptions'!$A30)*AD30,"")</f>
        <v>0</v>
      </c>
      <c r="BK30" s="10">
        <f ca="1">IFERROR(SUMIFS('RES balance'!AE$5:AE$25,'RES balance'!$D$5:$D$25,'RES Assumptions'!$A30)*AE30,"")</f>
        <v>0</v>
      </c>
      <c r="BL30" s="10">
        <f ca="1">IFERROR(SUMIFS('RES balance'!AF$5:AF$25,'RES balance'!$D$5:$D$25,'RES Assumptions'!$A30)*AF30,"")</f>
        <v>0</v>
      </c>
      <c r="BM30" s="10">
        <f ca="1">IFERROR(SUMIFS('RES balance'!AG$5:AG$25,'RES balance'!$D$5:$D$25,'RES Assumptions'!$A30)*AG30,"")</f>
        <v>0</v>
      </c>
      <c r="BN30" s="10">
        <f ca="1">IFERROR(SUMIFS('RES balance'!AH$5:AH$25,'RES balance'!$D$5:$D$25,'RES Assumptions'!$A30)*AH30,"")</f>
        <v>0</v>
      </c>
    </row>
    <row r="31" spans="1:66" x14ac:dyDescent="0.45">
      <c r="A31" s="8">
        <f>VLOOKUP(C31,'RES balance'!$AL$5:$AM$25,2,FALSE)</f>
        <v>0</v>
      </c>
      <c r="B31" s="36"/>
      <c r="C31" s="20" t="s">
        <v>76</v>
      </c>
      <c r="D31" s="21" t="s">
        <v>67</v>
      </c>
      <c r="E31" s="14">
        <f ca="1">OFFSET('RES Assumptions T15'!$D31,0,MATCH(VLOOKUP('RES Assumptions'!E$2,'RES Assumptions T15'!$V$3:$W$35,2,FALSE),'RES Assumptions T15'!$E$2:$S$2,0))</f>
        <v>0</v>
      </c>
      <c r="F31" s="14">
        <f ca="1">OFFSET('RES Assumptions T15'!$D31,0,MATCH(VLOOKUP('RES Assumptions'!F$2,'RES Assumptions T15'!$V$3:$W$35,2,FALSE),'RES Assumptions T15'!$E$2:$S$2,0))</f>
        <v>0</v>
      </c>
      <c r="G31" s="14">
        <f ca="1">OFFSET('RES Assumptions T15'!$D31,0,MATCH(VLOOKUP('RES Assumptions'!G$2,'RES Assumptions T15'!$V$3:$W$35,2,FALSE),'RES Assumptions T15'!$E$2:$S$2,0))</f>
        <v>0.4</v>
      </c>
      <c r="H31" s="14">
        <f ca="1">OFFSET('RES Assumptions T15'!$D31,0,MATCH(VLOOKUP('RES Assumptions'!H$2,'RES Assumptions T15'!$V$3:$W$35,2,FALSE),'RES Assumptions T15'!$E$2:$S$2,0))</f>
        <v>0</v>
      </c>
      <c r="I31" s="14">
        <f ca="1">OFFSET('RES Assumptions T15'!$D31,0,MATCH(VLOOKUP('RES Assumptions'!I$2,'RES Assumptions T15'!$V$3:$W$35,2,FALSE),'RES Assumptions T15'!$E$2:$S$2,0))</f>
        <v>0</v>
      </c>
      <c r="J31" s="14">
        <f ca="1">OFFSET('RES Assumptions T15'!$D31,0,MATCH(VLOOKUP('RES Assumptions'!J$2,'RES Assumptions T15'!$V$3:$W$35,2,FALSE),'RES Assumptions T15'!$E$2:$S$2,0))</f>
        <v>0.3</v>
      </c>
      <c r="K31" s="14">
        <f ca="1">OFFSET('RES Assumptions T15'!$D31,0,MATCH(VLOOKUP('RES Assumptions'!K$2,'RES Assumptions T15'!$V$3:$W$35,2,FALSE),'RES Assumptions T15'!$E$2:$S$2,0))</f>
        <v>0</v>
      </c>
      <c r="L31" s="14">
        <f ca="1">OFFSET('RES Assumptions T15'!$D31,0,MATCH(VLOOKUP('RES Assumptions'!L$2,'RES Assumptions T15'!$V$3:$W$35,2,FALSE),'RES Assumptions T15'!$E$2:$S$2,0))</f>
        <v>0.4</v>
      </c>
      <c r="M31" s="14">
        <f ca="1">OFFSET('RES Assumptions T15'!$D31,0,MATCH(VLOOKUP('RES Assumptions'!M$2,'RES Assumptions T15'!$V$3:$W$35,2,FALSE),'RES Assumptions T15'!$E$2:$S$2,0))</f>
        <v>0</v>
      </c>
      <c r="N31" s="14">
        <f ca="1">OFFSET('RES Assumptions T15'!$D31,0,MATCH(VLOOKUP('RES Assumptions'!N$2,'RES Assumptions T15'!$V$3:$W$35,2,FALSE),'RES Assumptions T15'!$E$2:$S$2,0))</f>
        <v>0.2</v>
      </c>
      <c r="O31" s="14">
        <f ca="1">OFFSET('RES Assumptions T15'!$D31,0,MATCH(VLOOKUP('RES Assumptions'!O$2,'RES Assumptions T15'!$V$3:$W$35,2,FALSE),'RES Assumptions T15'!$E$2:$S$2,0))</f>
        <v>0</v>
      </c>
      <c r="P31" s="14">
        <f ca="1">OFFSET('RES Assumptions T15'!$D31,0,MATCH(VLOOKUP('RES Assumptions'!P$2,'RES Assumptions T15'!$V$3:$W$35,2,FALSE),'RES Assumptions T15'!$E$2:$S$2,0))</f>
        <v>0</v>
      </c>
      <c r="Q31" s="14">
        <f ca="1">OFFSET('RES Assumptions T15'!$D31,0,MATCH(VLOOKUP('RES Assumptions'!Q$2,'RES Assumptions T15'!$V$3:$W$35,2,FALSE),'RES Assumptions T15'!$E$2:$S$2,0))</f>
        <v>0</v>
      </c>
      <c r="R31" s="14">
        <f ca="1">OFFSET('RES Assumptions T15'!$D31,0,MATCH(VLOOKUP('RES Assumptions'!R$2,'RES Assumptions T15'!$V$3:$W$35,2,FALSE),'RES Assumptions T15'!$E$2:$S$2,0))</f>
        <v>0</v>
      </c>
      <c r="S31" s="14">
        <f ca="1">OFFSET('RES Assumptions T15'!$D31,0,MATCH(VLOOKUP('RES Assumptions'!S$2,'RES Assumptions T15'!$V$3:$W$35,2,FALSE),'RES Assumptions T15'!$E$2:$S$2,0))</f>
        <v>0</v>
      </c>
      <c r="T31" s="14">
        <f ca="1">OFFSET('RES Assumptions T15'!$D31,0,MATCH(VLOOKUP('RES Assumptions'!T$2,'RES Assumptions T15'!$V$3:$W$35,2,FALSE),'RES Assumptions T15'!$E$2:$S$2,0))</f>
        <v>0</v>
      </c>
      <c r="U31" s="14">
        <f ca="1">OFFSET('RES Assumptions T15'!$D31,0,MATCH(VLOOKUP('RES Assumptions'!U$2,'RES Assumptions T15'!$V$3:$W$35,2,FALSE),'RES Assumptions T15'!$E$2:$S$2,0))</f>
        <v>0.3</v>
      </c>
      <c r="V31" s="14">
        <f ca="1">OFFSET('RES Assumptions T15'!$D31,0,MATCH(VLOOKUP('RES Assumptions'!V$2,'RES Assumptions T15'!$V$3:$W$35,2,FALSE),'RES Assumptions T15'!$E$2:$S$2,0))</f>
        <v>0</v>
      </c>
      <c r="W31" s="14">
        <f ca="1">OFFSET('RES Assumptions T15'!$D31,0,MATCH(VLOOKUP('RES Assumptions'!W$2,'RES Assumptions T15'!$V$3:$W$35,2,FALSE),'RES Assumptions T15'!$E$2:$S$2,0))</f>
        <v>0</v>
      </c>
      <c r="X31" s="14">
        <f ca="1">OFFSET('RES Assumptions T15'!$D31,0,MATCH(VLOOKUP('RES Assumptions'!X$2,'RES Assumptions T15'!$V$3:$W$35,2,FALSE),'RES Assumptions T15'!$E$2:$S$2,0))</f>
        <v>0.2</v>
      </c>
      <c r="Y31" s="14">
        <f ca="1">OFFSET('RES Assumptions T15'!$D31,0,MATCH(VLOOKUP('RES Assumptions'!Y$2,'RES Assumptions T15'!$V$3:$W$35,2,FALSE),'RES Assumptions T15'!$E$2:$S$2,0))</f>
        <v>0.4</v>
      </c>
      <c r="Z31" s="14">
        <f ca="1">OFFSET('RES Assumptions T15'!$D31,0,MATCH(VLOOKUP('RES Assumptions'!Z$2,'RES Assumptions T15'!$V$3:$W$35,2,FALSE),'RES Assumptions T15'!$E$2:$S$2,0))</f>
        <v>0.4</v>
      </c>
      <c r="AA31" s="14">
        <f ca="1">OFFSET('RES Assumptions T15'!$D31,0,MATCH(VLOOKUP('RES Assumptions'!AA$2,'RES Assumptions T15'!$V$3:$W$35,2,FALSE),'RES Assumptions T15'!$E$2:$S$2,0))</f>
        <v>0.3</v>
      </c>
      <c r="AB31" s="14">
        <f ca="1">OFFSET('RES Assumptions T15'!$D31,0,MATCH(VLOOKUP('RES Assumptions'!AB$2,'RES Assumptions T15'!$V$3:$W$35,2,FALSE),'RES Assumptions T15'!$E$2:$S$2,0))</f>
        <v>0</v>
      </c>
      <c r="AC31" s="14">
        <f ca="1">OFFSET('RES Assumptions T15'!$D31,0,MATCH(VLOOKUP('RES Assumptions'!AC$2,'RES Assumptions T15'!$V$3:$W$35,2,FALSE),'RES Assumptions T15'!$E$2:$S$2,0))</f>
        <v>0</v>
      </c>
      <c r="AD31" s="14">
        <f ca="1">OFFSET('RES Assumptions T15'!$D31,0,MATCH(VLOOKUP('RES Assumptions'!AD$2,'RES Assumptions T15'!$V$3:$W$35,2,FALSE),'RES Assumptions T15'!$E$2:$S$2,0))</f>
        <v>0.3</v>
      </c>
      <c r="AE31" s="14">
        <f ca="1">OFFSET('RES Assumptions T15'!$D31,0,MATCH(VLOOKUP('RES Assumptions'!AE$2,'RES Assumptions T15'!$V$3:$W$35,2,FALSE),'RES Assumptions T15'!$E$2:$S$2,0))</f>
        <v>0</v>
      </c>
      <c r="AF31" s="14">
        <f ca="1">OFFSET('RES Assumptions T15'!$D31,0,MATCH(VLOOKUP('RES Assumptions'!AF$2,'RES Assumptions T15'!$V$3:$W$35,2,FALSE),'RES Assumptions T15'!$E$2:$S$2,0))</f>
        <v>0</v>
      </c>
      <c r="AG31" s="14">
        <f ca="1">OFFSET('RES Assumptions T15'!$D31,0,MATCH(VLOOKUP('RES Assumptions'!AG$2,'RES Assumptions T15'!$V$3:$W$35,2,FALSE),'RES Assumptions T15'!$E$2:$S$2,0))</f>
        <v>0</v>
      </c>
      <c r="AH31" s="14">
        <f ca="1">OFFSET('RES Assumptions T15'!$D31,0,MATCH(VLOOKUP('RES Assumptions'!AH$2,'RES Assumptions T15'!$V$3:$W$35,2,FALSE),'RES Assumptions T15'!$E$2:$S$2,0))</f>
        <v>0</v>
      </c>
      <c r="AK31" s="10">
        <f ca="1">IFERROR(SUMIFS('RES balance'!E$5:E$25,'RES balance'!$D$5:$D$25,'RES Assumptions'!$A31)*E31,"")</f>
        <v>0</v>
      </c>
      <c r="AL31" s="10">
        <f ca="1">IFERROR(SUMIFS('RES balance'!F$5:F$25,'RES balance'!$D$5:$D$25,'RES Assumptions'!$A31)*F31,"")</f>
        <v>0</v>
      </c>
      <c r="AM31" s="10">
        <f ca="1">IFERROR(SUMIFS('RES balance'!G$5:G$25,'RES balance'!$D$5:$D$25,'RES Assumptions'!$A31)*G31,"")</f>
        <v>0</v>
      </c>
      <c r="AN31" s="10">
        <f ca="1">IFERROR(SUMIFS('RES balance'!H$5:H$25,'RES balance'!$D$5:$D$25,'RES Assumptions'!$A31)*H31,"")</f>
        <v>0</v>
      </c>
      <c r="AO31" s="10">
        <f ca="1">IFERROR(SUMIFS('RES balance'!I$5:I$25,'RES balance'!$D$5:$D$25,'RES Assumptions'!$A31)*I31,"")</f>
        <v>0</v>
      </c>
      <c r="AP31" s="10">
        <f ca="1">IFERROR(SUMIFS('RES balance'!J$5:J$25,'RES balance'!$D$5:$D$25,'RES Assumptions'!$A31)*J31,"")</f>
        <v>0</v>
      </c>
      <c r="AQ31" s="10">
        <f ca="1">IFERROR(SUMIFS('RES balance'!K$5:K$25,'RES balance'!$D$5:$D$25,'RES Assumptions'!$A31)*K31,"")</f>
        <v>0</v>
      </c>
      <c r="AR31" s="10">
        <f ca="1">IFERROR(SUMIFS('RES balance'!L$5:L$25,'RES balance'!$D$5:$D$25,'RES Assumptions'!$A31)*L31,"")</f>
        <v>0</v>
      </c>
      <c r="AS31" s="10">
        <f ca="1">IFERROR(SUMIFS('RES balance'!M$5:M$25,'RES balance'!$D$5:$D$25,'RES Assumptions'!$A31)*M31,"")</f>
        <v>0</v>
      </c>
      <c r="AT31" s="10">
        <f ca="1">IFERROR(SUMIFS('RES balance'!N$5:N$25,'RES balance'!$D$5:$D$25,'RES Assumptions'!$A31)*N31,"")</f>
        <v>0</v>
      </c>
      <c r="AU31" s="10">
        <f ca="1">IFERROR(SUMIFS('RES balance'!O$5:O$25,'RES balance'!$D$5:$D$25,'RES Assumptions'!$A31)*O31,"")</f>
        <v>0</v>
      </c>
      <c r="AV31" s="10">
        <f ca="1">IFERROR(SUMIFS('RES balance'!P$5:P$25,'RES balance'!$D$5:$D$25,'RES Assumptions'!$A31)*P31,"")</f>
        <v>0</v>
      </c>
      <c r="AW31" s="10">
        <f ca="1">IFERROR(SUMIFS('RES balance'!Q$5:Q$25,'RES balance'!$D$5:$D$25,'RES Assumptions'!$A31)*Q31,"")</f>
        <v>0</v>
      </c>
      <c r="AX31" s="10">
        <f ca="1">IFERROR(SUMIFS('RES balance'!R$5:R$25,'RES balance'!$D$5:$D$25,'RES Assumptions'!$A31)*R31,"")</f>
        <v>0</v>
      </c>
      <c r="AY31" s="10">
        <f ca="1">IFERROR(SUMIFS('RES balance'!S$5:S$25,'RES balance'!$D$5:$D$25,'RES Assumptions'!$A31)*S31,"")</f>
        <v>0</v>
      </c>
      <c r="AZ31" s="10">
        <f ca="1">IFERROR(SUMIFS('RES balance'!T$5:T$25,'RES balance'!$D$5:$D$25,'RES Assumptions'!$A31)*T31,"")</f>
        <v>0</v>
      </c>
      <c r="BA31" s="10">
        <f ca="1">IFERROR(SUMIFS('RES balance'!U$5:U$25,'RES balance'!$D$5:$D$25,'RES Assumptions'!$A31)*U31,"")</f>
        <v>0</v>
      </c>
      <c r="BB31" s="10">
        <f ca="1">IFERROR(SUMIFS('RES balance'!V$5:V$25,'RES balance'!$D$5:$D$25,'RES Assumptions'!$A31)*V31,"")</f>
        <v>0</v>
      </c>
      <c r="BC31" s="10">
        <f ca="1">IFERROR(SUMIFS('RES balance'!W$5:W$25,'RES balance'!$D$5:$D$25,'RES Assumptions'!$A31)*W31,"")</f>
        <v>0</v>
      </c>
      <c r="BD31" s="10">
        <f ca="1">IFERROR(SUMIFS('RES balance'!X$5:X$25,'RES balance'!$D$5:$D$25,'RES Assumptions'!$A31)*X31,"")</f>
        <v>0</v>
      </c>
      <c r="BE31" s="10">
        <f ca="1">IFERROR(SUMIFS('RES balance'!Y$5:Y$25,'RES balance'!$D$5:$D$25,'RES Assumptions'!$A31)*Y31,"")</f>
        <v>0</v>
      </c>
      <c r="BF31" s="10">
        <f ca="1">IFERROR(SUMIFS('RES balance'!Z$5:Z$25,'RES balance'!$D$5:$D$25,'RES Assumptions'!$A31)*Z31,"")</f>
        <v>0</v>
      </c>
      <c r="BG31" s="10">
        <f ca="1">IFERROR(SUMIFS('RES balance'!AA$5:AA$25,'RES balance'!$D$5:$D$25,'RES Assumptions'!$A31)*AA31,"")</f>
        <v>0</v>
      </c>
      <c r="BH31" s="10">
        <f ca="1">IFERROR(SUMIFS('RES balance'!AB$5:AB$25,'RES balance'!$D$5:$D$25,'RES Assumptions'!$A31)*AB31,"")</f>
        <v>0</v>
      </c>
      <c r="BI31" s="10">
        <f ca="1">IFERROR(SUMIFS('RES balance'!AC$5:AC$25,'RES balance'!$D$5:$D$25,'RES Assumptions'!$A31)*AC31,"")</f>
        <v>0</v>
      </c>
      <c r="BJ31" s="10">
        <f ca="1">IFERROR(SUMIFS('RES balance'!AD$5:AD$25,'RES balance'!$D$5:$D$25,'RES Assumptions'!$A31)*AD31,"")</f>
        <v>0</v>
      </c>
      <c r="BK31" s="10">
        <f ca="1">IFERROR(SUMIFS('RES balance'!AE$5:AE$25,'RES balance'!$D$5:$D$25,'RES Assumptions'!$A31)*AE31,"")</f>
        <v>0</v>
      </c>
      <c r="BL31" s="10">
        <f ca="1">IFERROR(SUMIFS('RES balance'!AF$5:AF$25,'RES balance'!$D$5:$D$25,'RES Assumptions'!$A31)*AF31,"")</f>
        <v>0</v>
      </c>
      <c r="BM31" s="10">
        <f ca="1">IFERROR(SUMIFS('RES balance'!AG$5:AG$25,'RES balance'!$D$5:$D$25,'RES Assumptions'!$A31)*AG31,"")</f>
        <v>0</v>
      </c>
      <c r="BN31" s="10">
        <f ca="1">IFERROR(SUMIFS('RES balance'!AH$5:AH$25,'RES balance'!$D$5:$D$25,'RES Assumptions'!$A31)*AH31,"")</f>
        <v>0</v>
      </c>
    </row>
    <row r="32" spans="1:66" x14ac:dyDescent="0.45">
      <c r="A32" s="8">
        <f>VLOOKUP(C32,'RES balance'!$AL$5:$AM$25,2,FALSE)</f>
        <v>0</v>
      </c>
      <c r="B32" s="36"/>
      <c r="C32" s="22" t="s">
        <v>76</v>
      </c>
      <c r="D32" s="23" t="s">
        <v>70</v>
      </c>
      <c r="E32" s="14">
        <f ca="1">OFFSET('RES Assumptions T15'!$D32,0,MATCH(VLOOKUP('RES Assumptions'!E$2,'RES Assumptions T15'!$V$3:$W$35,2,FALSE),'RES Assumptions T15'!$E$2:$S$2,0))</f>
        <v>0</v>
      </c>
      <c r="F32" s="14">
        <f ca="1">OFFSET('RES Assumptions T15'!$D32,0,MATCH(VLOOKUP('RES Assumptions'!F$2,'RES Assumptions T15'!$V$3:$W$35,2,FALSE),'RES Assumptions T15'!$E$2:$S$2,0))</f>
        <v>0</v>
      </c>
      <c r="G32" s="14">
        <f ca="1">OFFSET('RES Assumptions T15'!$D32,0,MATCH(VLOOKUP('RES Assumptions'!G$2,'RES Assumptions T15'!$V$3:$W$35,2,FALSE),'RES Assumptions T15'!$E$2:$S$2,0))</f>
        <v>0</v>
      </c>
      <c r="H32" s="14">
        <f ca="1">OFFSET('RES Assumptions T15'!$D32,0,MATCH(VLOOKUP('RES Assumptions'!H$2,'RES Assumptions T15'!$V$3:$W$35,2,FALSE),'RES Assumptions T15'!$E$2:$S$2,0))</f>
        <v>0</v>
      </c>
      <c r="I32" s="14">
        <f ca="1">OFFSET('RES Assumptions T15'!$D32,0,MATCH(VLOOKUP('RES Assumptions'!I$2,'RES Assumptions T15'!$V$3:$W$35,2,FALSE),'RES Assumptions T15'!$E$2:$S$2,0))</f>
        <v>0</v>
      </c>
      <c r="J32" s="14">
        <f ca="1">OFFSET('RES Assumptions T15'!$D32,0,MATCH(VLOOKUP('RES Assumptions'!J$2,'RES Assumptions T15'!$V$3:$W$35,2,FALSE),'RES Assumptions T15'!$E$2:$S$2,0))</f>
        <v>0</v>
      </c>
      <c r="K32" s="14">
        <f ca="1">OFFSET('RES Assumptions T15'!$D32,0,MATCH(VLOOKUP('RES Assumptions'!K$2,'RES Assumptions T15'!$V$3:$W$35,2,FALSE),'RES Assumptions T15'!$E$2:$S$2,0))</f>
        <v>0</v>
      </c>
      <c r="L32" s="14">
        <f ca="1">OFFSET('RES Assumptions T15'!$D32,0,MATCH(VLOOKUP('RES Assumptions'!L$2,'RES Assumptions T15'!$V$3:$W$35,2,FALSE),'RES Assumptions T15'!$E$2:$S$2,0))</f>
        <v>0</v>
      </c>
      <c r="M32" s="14">
        <f ca="1">OFFSET('RES Assumptions T15'!$D32,0,MATCH(VLOOKUP('RES Assumptions'!M$2,'RES Assumptions T15'!$V$3:$W$35,2,FALSE),'RES Assumptions T15'!$E$2:$S$2,0))</f>
        <v>0</v>
      </c>
      <c r="N32" s="14">
        <f ca="1">OFFSET('RES Assumptions T15'!$D32,0,MATCH(VLOOKUP('RES Assumptions'!N$2,'RES Assumptions T15'!$V$3:$W$35,2,FALSE),'RES Assumptions T15'!$E$2:$S$2,0))</f>
        <v>0</v>
      </c>
      <c r="O32" s="14">
        <f ca="1">OFFSET('RES Assumptions T15'!$D32,0,MATCH(VLOOKUP('RES Assumptions'!O$2,'RES Assumptions T15'!$V$3:$W$35,2,FALSE),'RES Assumptions T15'!$E$2:$S$2,0))</f>
        <v>0</v>
      </c>
      <c r="P32" s="14">
        <f ca="1">OFFSET('RES Assumptions T15'!$D32,0,MATCH(VLOOKUP('RES Assumptions'!P$2,'RES Assumptions T15'!$V$3:$W$35,2,FALSE),'RES Assumptions T15'!$E$2:$S$2,0))</f>
        <v>0</v>
      </c>
      <c r="Q32" s="14">
        <f ca="1">OFFSET('RES Assumptions T15'!$D32,0,MATCH(VLOOKUP('RES Assumptions'!Q$2,'RES Assumptions T15'!$V$3:$W$35,2,FALSE),'RES Assumptions T15'!$E$2:$S$2,0))</f>
        <v>0</v>
      </c>
      <c r="R32" s="14">
        <f ca="1">OFFSET('RES Assumptions T15'!$D32,0,MATCH(VLOOKUP('RES Assumptions'!R$2,'RES Assumptions T15'!$V$3:$W$35,2,FALSE),'RES Assumptions T15'!$E$2:$S$2,0))</f>
        <v>0</v>
      </c>
      <c r="S32" s="14">
        <f ca="1">OFFSET('RES Assumptions T15'!$D32,0,MATCH(VLOOKUP('RES Assumptions'!S$2,'RES Assumptions T15'!$V$3:$W$35,2,FALSE),'RES Assumptions T15'!$E$2:$S$2,0))</f>
        <v>0</v>
      </c>
      <c r="T32" s="14">
        <f ca="1">OFFSET('RES Assumptions T15'!$D32,0,MATCH(VLOOKUP('RES Assumptions'!T$2,'RES Assumptions T15'!$V$3:$W$35,2,FALSE),'RES Assumptions T15'!$E$2:$S$2,0))</f>
        <v>0</v>
      </c>
      <c r="U32" s="14">
        <f ca="1">OFFSET('RES Assumptions T15'!$D32,0,MATCH(VLOOKUP('RES Assumptions'!U$2,'RES Assumptions T15'!$V$3:$W$35,2,FALSE),'RES Assumptions T15'!$E$2:$S$2,0))</f>
        <v>0</v>
      </c>
      <c r="V32" s="14">
        <f ca="1">OFFSET('RES Assumptions T15'!$D32,0,MATCH(VLOOKUP('RES Assumptions'!V$2,'RES Assumptions T15'!$V$3:$W$35,2,FALSE),'RES Assumptions T15'!$E$2:$S$2,0))</f>
        <v>0</v>
      </c>
      <c r="W32" s="14">
        <f ca="1">OFFSET('RES Assumptions T15'!$D32,0,MATCH(VLOOKUP('RES Assumptions'!W$2,'RES Assumptions T15'!$V$3:$W$35,2,FALSE),'RES Assumptions T15'!$E$2:$S$2,0))</f>
        <v>0</v>
      </c>
      <c r="X32" s="14">
        <f ca="1">OFFSET('RES Assumptions T15'!$D32,0,MATCH(VLOOKUP('RES Assumptions'!X$2,'RES Assumptions T15'!$V$3:$W$35,2,FALSE),'RES Assumptions T15'!$E$2:$S$2,0))</f>
        <v>0</v>
      </c>
      <c r="Y32" s="14">
        <f ca="1">OFFSET('RES Assumptions T15'!$D32,0,MATCH(VLOOKUP('RES Assumptions'!Y$2,'RES Assumptions T15'!$V$3:$W$35,2,FALSE),'RES Assumptions T15'!$E$2:$S$2,0))</f>
        <v>0</v>
      </c>
      <c r="Z32" s="14">
        <f ca="1">OFFSET('RES Assumptions T15'!$D32,0,MATCH(VLOOKUP('RES Assumptions'!Z$2,'RES Assumptions T15'!$V$3:$W$35,2,FALSE),'RES Assumptions T15'!$E$2:$S$2,0))</f>
        <v>0</v>
      </c>
      <c r="AA32" s="14">
        <f ca="1">OFFSET('RES Assumptions T15'!$D32,0,MATCH(VLOOKUP('RES Assumptions'!AA$2,'RES Assumptions T15'!$V$3:$W$35,2,FALSE),'RES Assumptions T15'!$E$2:$S$2,0))</f>
        <v>0</v>
      </c>
      <c r="AB32" s="14">
        <f ca="1">OFFSET('RES Assumptions T15'!$D32,0,MATCH(VLOOKUP('RES Assumptions'!AB$2,'RES Assumptions T15'!$V$3:$W$35,2,FALSE),'RES Assumptions T15'!$E$2:$S$2,0))</f>
        <v>0</v>
      </c>
      <c r="AC32" s="14">
        <f ca="1">OFFSET('RES Assumptions T15'!$D32,0,MATCH(VLOOKUP('RES Assumptions'!AC$2,'RES Assumptions T15'!$V$3:$W$35,2,FALSE),'RES Assumptions T15'!$E$2:$S$2,0))</f>
        <v>0</v>
      </c>
      <c r="AD32" s="14">
        <f ca="1">OFFSET('RES Assumptions T15'!$D32,0,MATCH(VLOOKUP('RES Assumptions'!AD$2,'RES Assumptions T15'!$V$3:$W$35,2,FALSE),'RES Assumptions T15'!$E$2:$S$2,0))</f>
        <v>0</v>
      </c>
      <c r="AE32" s="14">
        <f ca="1">OFFSET('RES Assumptions T15'!$D32,0,MATCH(VLOOKUP('RES Assumptions'!AE$2,'RES Assumptions T15'!$V$3:$W$35,2,FALSE),'RES Assumptions T15'!$E$2:$S$2,0))</f>
        <v>0</v>
      </c>
      <c r="AF32" s="14">
        <f ca="1">OFFSET('RES Assumptions T15'!$D32,0,MATCH(VLOOKUP('RES Assumptions'!AF$2,'RES Assumptions T15'!$V$3:$W$35,2,FALSE),'RES Assumptions T15'!$E$2:$S$2,0))</f>
        <v>0</v>
      </c>
      <c r="AG32" s="14">
        <f ca="1">OFFSET('RES Assumptions T15'!$D32,0,MATCH(VLOOKUP('RES Assumptions'!AG$2,'RES Assumptions T15'!$V$3:$W$35,2,FALSE),'RES Assumptions T15'!$E$2:$S$2,0))</f>
        <v>0</v>
      </c>
      <c r="AH32" s="14">
        <f ca="1">OFFSET('RES Assumptions T15'!$D32,0,MATCH(VLOOKUP('RES Assumptions'!AH$2,'RES Assumptions T15'!$V$3:$W$35,2,FALSE),'RES Assumptions T15'!$E$2:$S$2,0))</f>
        <v>0</v>
      </c>
      <c r="AK32" s="10">
        <f ca="1">IFERROR(SUMIFS('RES balance'!E$5:E$25,'RES balance'!$D$5:$D$25,'RES Assumptions'!$A32)*E32,"")</f>
        <v>0</v>
      </c>
      <c r="AL32" s="10">
        <f ca="1">IFERROR(SUMIFS('RES balance'!F$5:F$25,'RES balance'!$D$5:$D$25,'RES Assumptions'!$A32)*F32,"")</f>
        <v>0</v>
      </c>
      <c r="AM32" s="10">
        <f ca="1">IFERROR(SUMIFS('RES balance'!G$5:G$25,'RES balance'!$D$5:$D$25,'RES Assumptions'!$A32)*G32,"")</f>
        <v>0</v>
      </c>
      <c r="AN32" s="10">
        <f ca="1">IFERROR(SUMIFS('RES balance'!H$5:H$25,'RES balance'!$D$5:$D$25,'RES Assumptions'!$A32)*H32,"")</f>
        <v>0</v>
      </c>
      <c r="AO32" s="10">
        <f ca="1">IFERROR(SUMIFS('RES balance'!I$5:I$25,'RES balance'!$D$5:$D$25,'RES Assumptions'!$A32)*I32,"")</f>
        <v>0</v>
      </c>
      <c r="AP32" s="10">
        <f ca="1">IFERROR(SUMIFS('RES balance'!J$5:J$25,'RES balance'!$D$5:$D$25,'RES Assumptions'!$A32)*J32,"")</f>
        <v>0</v>
      </c>
      <c r="AQ32" s="10">
        <f ca="1">IFERROR(SUMIFS('RES balance'!K$5:K$25,'RES balance'!$D$5:$D$25,'RES Assumptions'!$A32)*K32,"")</f>
        <v>0</v>
      </c>
      <c r="AR32" s="10">
        <f ca="1">IFERROR(SUMIFS('RES balance'!L$5:L$25,'RES balance'!$D$5:$D$25,'RES Assumptions'!$A32)*L32,"")</f>
        <v>0</v>
      </c>
      <c r="AS32" s="10">
        <f ca="1">IFERROR(SUMIFS('RES balance'!M$5:M$25,'RES balance'!$D$5:$D$25,'RES Assumptions'!$A32)*M32,"")</f>
        <v>0</v>
      </c>
      <c r="AT32" s="10">
        <f ca="1">IFERROR(SUMIFS('RES balance'!N$5:N$25,'RES balance'!$D$5:$D$25,'RES Assumptions'!$A32)*N32,"")</f>
        <v>0</v>
      </c>
      <c r="AU32" s="10">
        <f ca="1">IFERROR(SUMIFS('RES balance'!O$5:O$25,'RES balance'!$D$5:$D$25,'RES Assumptions'!$A32)*O32,"")</f>
        <v>0</v>
      </c>
      <c r="AV32" s="10">
        <f ca="1">IFERROR(SUMIFS('RES balance'!P$5:P$25,'RES balance'!$D$5:$D$25,'RES Assumptions'!$A32)*P32,"")</f>
        <v>0</v>
      </c>
      <c r="AW32" s="10">
        <f ca="1">IFERROR(SUMIFS('RES balance'!Q$5:Q$25,'RES balance'!$D$5:$D$25,'RES Assumptions'!$A32)*Q32,"")</f>
        <v>0</v>
      </c>
      <c r="AX32" s="10">
        <f ca="1">IFERROR(SUMIFS('RES balance'!R$5:R$25,'RES balance'!$D$5:$D$25,'RES Assumptions'!$A32)*R32,"")</f>
        <v>0</v>
      </c>
      <c r="AY32" s="10">
        <f ca="1">IFERROR(SUMIFS('RES balance'!S$5:S$25,'RES balance'!$D$5:$D$25,'RES Assumptions'!$A32)*S32,"")</f>
        <v>0</v>
      </c>
      <c r="AZ32" s="10">
        <f ca="1">IFERROR(SUMIFS('RES balance'!T$5:T$25,'RES balance'!$D$5:$D$25,'RES Assumptions'!$A32)*T32,"")</f>
        <v>0</v>
      </c>
      <c r="BA32" s="10">
        <f ca="1">IFERROR(SUMIFS('RES balance'!U$5:U$25,'RES balance'!$D$5:$D$25,'RES Assumptions'!$A32)*U32,"")</f>
        <v>0</v>
      </c>
      <c r="BB32" s="10">
        <f ca="1">IFERROR(SUMIFS('RES balance'!V$5:V$25,'RES balance'!$D$5:$D$25,'RES Assumptions'!$A32)*V32,"")</f>
        <v>0</v>
      </c>
      <c r="BC32" s="10">
        <f ca="1">IFERROR(SUMIFS('RES balance'!W$5:W$25,'RES balance'!$D$5:$D$25,'RES Assumptions'!$A32)*W32,"")</f>
        <v>0</v>
      </c>
      <c r="BD32" s="10">
        <f ca="1">IFERROR(SUMIFS('RES balance'!X$5:X$25,'RES balance'!$D$5:$D$25,'RES Assumptions'!$A32)*X32,"")</f>
        <v>0</v>
      </c>
      <c r="BE32" s="10">
        <f ca="1">IFERROR(SUMIFS('RES balance'!Y$5:Y$25,'RES balance'!$D$5:$D$25,'RES Assumptions'!$A32)*Y32,"")</f>
        <v>0</v>
      </c>
      <c r="BF32" s="10">
        <f ca="1">IFERROR(SUMIFS('RES balance'!Z$5:Z$25,'RES balance'!$D$5:$D$25,'RES Assumptions'!$A32)*Z32,"")</f>
        <v>0</v>
      </c>
      <c r="BG32" s="10">
        <f ca="1">IFERROR(SUMIFS('RES balance'!AA$5:AA$25,'RES balance'!$D$5:$D$25,'RES Assumptions'!$A32)*AA32,"")</f>
        <v>0</v>
      </c>
      <c r="BH32" s="10">
        <f ca="1">IFERROR(SUMIFS('RES balance'!AB$5:AB$25,'RES balance'!$D$5:$D$25,'RES Assumptions'!$A32)*AB32,"")</f>
        <v>0</v>
      </c>
      <c r="BI32" s="10">
        <f ca="1">IFERROR(SUMIFS('RES balance'!AC$5:AC$25,'RES balance'!$D$5:$D$25,'RES Assumptions'!$A32)*AC32,"")</f>
        <v>0</v>
      </c>
      <c r="BJ32" s="10">
        <f ca="1">IFERROR(SUMIFS('RES balance'!AD$5:AD$25,'RES balance'!$D$5:$D$25,'RES Assumptions'!$A32)*AD32,"")</f>
        <v>0</v>
      </c>
      <c r="BK32" s="10">
        <f ca="1">IFERROR(SUMIFS('RES balance'!AE$5:AE$25,'RES balance'!$D$5:$D$25,'RES Assumptions'!$A32)*AE32,"")</f>
        <v>0</v>
      </c>
      <c r="BL32" s="10">
        <f ca="1">IFERROR(SUMIFS('RES balance'!AF$5:AF$25,'RES balance'!$D$5:$D$25,'RES Assumptions'!$A32)*AF32,"")</f>
        <v>0</v>
      </c>
      <c r="BM32" s="10">
        <f ca="1">IFERROR(SUMIFS('RES balance'!AG$5:AG$25,'RES balance'!$D$5:$D$25,'RES Assumptions'!$A32)*AG32,"")</f>
        <v>0</v>
      </c>
      <c r="BN32" s="10">
        <f ca="1">IFERROR(SUMIFS('RES balance'!AH$5:AH$25,'RES balance'!$D$5:$D$25,'RES Assumptions'!$A32)*AH32,"")</f>
        <v>0</v>
      </c>
    </row>
    <row r="33" spans="1:66" x14ac:dyDescent="0.45">
      <c r="A33" s="8" t="str">
        <f>VLOOKUP(C33,'RES balance'!$AL$5:$AM$25,2,FALSE)</f>
        <v>RESBIO</v>
      </c>
      <c r="B33" s="36"/>
      <c r="C33" s="20" t="s">
        <v>77</v>
      </c>
      <c r="D33" s="21" t="s">
        <v>62</v>
      </c>
      <c r="E33" s="14">
        <f ca="1">OFFSET('RES Assumptions T15'!$D33,0,MATCH(VLOOKUP('RES Assumptions'!E$2,'RES Assumptions T15'!$V$3:$W$35,2,FALSE),'RES Assumptions T15'!$E$2:$S$2,0))</f>
        <v>0</v>
      </c>
      <c r="F33" s="14">
        <f ca="1">OFFSET('RES Assumptions T15'!$D33,0,MATCH(VLOOKUP('RES Assumptions'!F$2,'RES Assumptions T15'!$V$3:$W$35,2,FALSE),'RES Assumptions T15'!$E$2:$S$2,0))</f>
        <v>0</v>
      </c>
      <c r="G33" s="14">
        <f ca="1">OFFSET('RES Assumptions T15'!$D33,0,MATCH(VLOOKUP('RES Assumptions'!G$2,'RES Assumptions T15'!$V$3:$W$35,2,FALSE),'RES Assumptions T15'!$E$2:$S$2,0))</f>
        <v>0.212431126075148</v>
      </c>
      <c r="H33" s="14">
        <f ca="1">OFFSET('RES Assumptions T15'!$D33,0,MATCH(VLOOKUP('RES Assumptions'!H$2,'RES Assumptions T15'!$V$3:$W$35,2,FALSE),'RES Assumptions T15'!$E$2:$S$2,0))</f>
        <v>0.91202534850578398</v>
      </c>
      <c r="I33" s="14">
        <f ca="1">OFFSET('RES Assumptions T15'!$D33,0,MATCH(VLOOKUP('RES Assumptions'!I$2,'RES Assumptions T15'!$V$3:$W$35,2,FALSE),'RES Assumptions T15'!$E$2:$S$2,0))</f>
        <v>1</v>
      </c>
      <c r="J33" s="14">
        <f ca="1">OFFSET('RES Assumptions T15'!$D33,0,MATCH(VLOOKUP('RES Assumptions'!J$2,'RES Assumptions T15'!$V$3:$W$35,2,FALSE),'RES Assumptions T15'!$E$2:$S$2,0))</f>
        <v>0</v>
      </c>
      <c r="K33" s="14">
        <f ca="1">OFFSET('RES Assumptions T15'!$D33,0,MATCH(VLOOKUP('RES Assumptions'!K$2,'RES Assumptions T15'!$V$3:$W$35,2,FALSE),'RES Assumptions T15'!$E$2:$S$2,0))</f>
        <v>0.99541203458620098</v>
      </c>
      <c r="L33" s="14">
        <f ca="1">OFFSET('RES Assumptions T15'!$D33,0,MATCH(VLOOKUP('RES Assumptions'!L$2,'RES Assumptions T15'!$V$3:$W$35,2,FALSE),'RES Assumptions T15'!$E$2:$S$2,0))</f>
        <v>0.212431126075148</v>
      </c>
      <c r="M33" s="14">
        <f ca="1">OFFSET('RES Assumptions T15'!$D33,0,MATCH(VLOOKUP('RES Assumptions'!M$2,'RES Assumptions T15'!$V$3:$W$35,2,FALSE),'RES Assumptions T15'!$E$2:$S$2,0))</f>
        <v>0.96540442451976605</v>
      </c>
      <c r="N33" s="14">
        <f ca="1">OFFSET('RES Assumptions T15'!$D33,0,MATCH(VLOOKUP('RES Assumptions'!N$2,'RES Assumptions T15'!$V$3:$W$35,2,FALSE),'RES Assumptions T15'!$E$2:$S$2,0))</f>
        <v>0.18130465891578401</v>
      </c>
      <c r="O33" s="14">
        <f ca="1">OFFSET('RES Assumptions T15'!$D33,0,MATCH(VLOOKUP('RES Assumptions'!O$2,'RES Assumptions T15'!$V$3:$W$35,2,FALSE),'RES Assumptions T15'!$E$2:$S$2,0))</f>
        <v>0.92001568030547098</v>
      </c>
      <c r="P33" s="14">
        <f ca="1">OFFSET('RES Assumptions T15'!$D33,0,MATCH(VLOOKUP('RES Assumptions'!P$2,'RES Assumptions T15'!$V$3:$W$35,2,FALSE),'RES Assumptions T15'!$E$2:$S$2,0))</f>
        <v>0.91202534850578398</v>
      </c>
      <c r="Q33" s="14">
        <f ca="1">OFFSET('RES Assumptions T15'!$D33,0,MATCH(VLOOKUP('RES Assumptions'!Q$2,'RES Assumptions T15'!$V$3:$W$35,2,FALSE),'RES Assumptions T15'!$E$2:$S$2,0))</f>
        <v>0.92001568030547098</v>
      </c>
      <c r="R33" s="14">
        <f ca="1">OFFSET('RES Assumptions T15'!$D33,0,MATCH(VLOOKUP('RES Assumptions'!R$2,'RES Assumptions T15'!$V$3:$W$35,2,FALSE),'RES Assumptions T15'!$E$2:$S$2,0))</f>
        <v>0.92001568030547098</v>
      </c>
      <c r="S33" s="14">
        <f ca="1">OFFSET('RES Assumptions T15'!$D33,0,MATCH(VLOOKUP('RES Assumptions'!S$2,'RES Assumptions T15'!$V$3:$W$35,2,FALSE),'RES Assumptions T15'!$E$2:$S$2,0))</f>
        <v>0.91202534850578398</v>
      </c>
      <c r="T33" s="14">
        <f ca="1">OFFSET('RES Assumptions T15'!$D33,0,MATCH(VLOOKUP('RES Assumptions'!T$2,'RES Assumptions T15'!$V$3:$W$35,2,FALSE),'RES Assumptions T15'!$E$2:$S$2,0))</f>
        <v>0.92001568030547098</v>
      </c>
      <c r="U33" s="14">
        <f ca="1">OFFSET('RES Assumptions T15'!$D33,0,MATCH(VLOOKUP('RES Assumptions'!U$2,'RES Assumptions T15'!$V$3:$W$35,2,FALSE),'RES Assumptions T15'!$E$2:$S$2,0))</f>
        <v>0.89249849829603201</v>
      </c>
      <c r="V33" s="14">
        <f ca="1">OFFSET('RES Assumptions T15'!$D33,0,MATCH(VLOOKUP('RES Assumptions'!V$2,'RES Assumptions T15'!$V$3:$W$35,2,FALSE),'RES Assumptions T15'!$E$2:$S$2,0))</f>
        <v>0.92001568030547098</v>
      </c>
      <c r="W33" s="14">
        <f ca="1">OFFSET('RES Assumptions T15'!$D33,0,MATCH(VLOOKUP('RES Assumptions'!W$2,'RES Assumptions T15'!$V$3:$W$35,2,FALSE),'RES Assumptions T15'!$E$2:$S$2,0))</f>
        <v>0.92001568030547098</v>
      </c>
      <c r="X33" s="14">
        <f ca="1">OFFSET('RES Assumptions T15'!$D33,0,MATCH(VLOOKUP('RES Assumptions'!X$2,'RES Assumptions T15'!$V$3:$W$35,2,FALSE),'RES Assumptions T15'!$E$2:$S$2,0))</f>
        <v>0</v>
      </c>
      <c r="Y33" s="14">
        <f ca="1">OFFSET('RES Assumptions T15'!$D33,0,MATCH(VLOOKUP('RES Assumptions'!Y$2,'RES Assumptions T15'!$V$3:$W$35,2,FALSE),'RES Assumptions T15'!$E$2:$S$2,0))</f>
        <v>0.212431126075148</v>
      </c>
      <c r="Z33" s="14">
        <f ca="1">OFFSET('RES Assumptions T15'!$D33,0,MATCH(VLOOKUP('RES Assumptions'!Z$2,'RES Assumptions T15'!$V$3:$W$35,2,FALSE),'RES Assumptions T15'!$E$2:$S$2,0))</f>
        <v>0.32685216253524502</v>
      </c>
      <c r="AA33" s="14">
        <f ca="1">OFFSET('RES Assumptions T15'!$D33,0,MATCH(VLOOKUP('RES Assumptions'!AA$2,'RES Assumptions T15'!$V$3:$W$35,2,FALSE),'RES Assumptions T15'!$E$2:$S$2,0))</f>
        <v>0.89249849829603201</v>
      </c>
      <c r="AB33" s="14">
        <f ca="1">OFFSET('RES Assumptions T15'!$D33,0,MATCH(VLOOKUP('RES Assumptions'!AB$2,'RES Assumptions T15'!$V$3:$W$35,2,FALSE),'RES Assumptions T15'!$E$2:$S$2,0))</f>
        <v>0.92001568030547098</v>
      </c>
      <c r="AC33" s="14">
        <f ca="1">OFFSET('RES Assumptions T15'!$D33,0,MATCH(VLOOKUP('RES Assumptions'!AC$2,'RES Assumptions T15'!$V$3:$W$35,2,FALSE),'RES Assumptions T15'!$E$2:$S$2,0))</f>
        <v>0.91202534850578398</v>
      </c>
      <c r="AD33" s="14">
        <f ca="1">OFFSET('RES Assumptions T15'!$D33,0,MATCH(VLOOKUP('RES Assumptions'!AD$2,'RES Assumptions T15'!$V$3:$W$35,2,FALSE),'RES Assumptions T15'!$E$2:$S$2,0))</f>
        <v>0.89249849829603201</v>
      </c>
      <c r="AE33" s="14">
        <f ca="1">OFFSET('RES Assumptions T15'!$D33,0,MATCH(VLOOKUP('RES Assumptions'!AE$2,'RES Assumptions T15'!$V$3:$W$35,2,FALSE),'RES Assumptions T15'!$E$2:$S$2,0))</f>
        <v>0</v>
      </c>
      <c r="AF33" s="14">
        <f ca="1">OFFSET('RES Assumptions T15'!$D33,0,MATCH(VLOOKUP('RES Assumptions'!AF$2,'RES Assumptions T15'!$V$3:$W$35,2,FALSE),'RES Assumptions T15'!$E$2:$S$2,0))</f>
        <v>0.92001568030547098</v>
      </c>
      <c r="AG33" s="14">
        <f ca="1">OFFSET('RES Assumptions T15'!$D33,0,MATCH(VLOOKUP('RES Assumptions'!AG$2,'RES Assumptions T15'!$V$3:$W$35,2,FALSE),'RES Assumptions T15'!$E$2:$S$2,0))</f>
        <v>1</v>
      </c>
      <c r="AH33" s="14">
        <f ca="1">OFFSET('RES Assumptions T15'!$D33,0,MATCH(VLOOKUP('RES Assumptions'!AH$2,'RES Assumptions T15'!$V$3:$W$35,2,FALSE),'RES Assumptions T15'!$E$2:$S$2,0))</f>
        <v>1</v>
      </c>
      <c r="AK33" s="10">
        <f ca="1">IFERROR(SUMIFS('RES balance'!E$5:E$25,'RES balance'!$D$5:$D$25,'RES Assumptions'!$A33)*E33,"")</f>
        <v>0</v>
      </c>
      <c r="AL33" s="10">
        <f ca="1">IFERROR(SUMIFS('RES balance'!F$5:F$25,'RES balance'!$D$5:$D$25,'RES Assumptions'!$A33)*F33,"")</f>
        <v>0</v>
      </c>
      <c r="AM33" s="10">
        <f ca="1">IFERROR(SUMIFS('RES balance'!G$5:G$25,'RES balance'!$D$5:$D$25,'RES Assumptions'!$A33)*G33,"")</f>
        <v>18.869417331682765</v>
      </c>
      <c r="AN33" s="10">
        <f ca="1">IFERROR(SUMIFS('RES balance'!H$5:H$25,'RES balance'!$D$5:$D$25,'RES Assumptions'!$A33)*H33,"")</f>
        <v>14.507588449550916</v>
      </c>
      <c r="AO33" s="10">
        <f ca="1">IFERROR(SUMIFS('RES balance'!I$5:I$25,'RES balance'!$D$5:$D$25,'RES Assumptions'!$A33)*I33,"")</f>
        <v>5.8054545612000004</v>
      </c>
      <c r="AP33" s="10">
        <f ca="1">IFERROR(SUMIFS('RES balance'!J$5:J$25,'RES balance'!$D$5:$D$25,'RES Assumptions'!$A33)*J33,"")</f>
        <v>0</v>
      </c>
      <c r="AQ33" s="10">
        <f ca="1">IFERROR(SUMIFS('RES balance'!K$5:K$25,'RES balance'!$D$5:$D$25,'RES Assumptions'!$A33)*K33,"")</f>
        <v>56.185958796169622</v>
      </c>
      <c r="AR33" s="10">
        <f ca="1">IFERROR(SUMIFS('RES balance'!L$5:L$25,'RES balance'!$D$5:$D$25,'RES Assumptions'!$A33)*L33,"")</f>
        <v>66.574894759817738</v>
      </c>
      <c r="AS33" s="10">
        <f ca="1">IFERROR(SUMIFS('RES balance'!M$5:M$25,'RES balance'!$D$5:$D$25,'RES Assumptions'!$A33)*M33,"")</f>
        <v>109.41217963405843</v>
      </c>
      <c r="AT33" s="10">
        <f ca="1">IFERROR(SUMIFS('RES balance'!N$5:N$25,'RES balance'!$D$5:$D$25,'RES Assumptions'!$A33)*N33,"")</f>
        <v>557.16205122486463</v>
      </c>
      <c r="AU33" s="10">
        <f ca="1">IFERROR(SUMIFS('RES balance'!O$5:O$25,'RES balance'!$D$5:$D$25,'RES Assumptions'!$A33)*O33,"")</f>
        <v>109.97577206680963</v>
      </c>
      <c r="AV33" s="10">
        <f ca="1">IFERROR(SUMIFS('RES balance'!P$5:P$25,'RES balance'!$D$5:$D$25,'RES Assumptions'!$A33)*P33,"")</f>
        <v>415.4089086324575</v>
      </c>
      <c r="AW33" s="10">
        <f ca="1">IFERROR(SUMIFS('RES balance'!Q$5:Q$25,'RES balance'!$D$5:$D$25,'RES Assumptions'!$A33)*Q33,"")</f>
        <v>38.454854744174547</v>
      </c>
      <c r="AX33" s="10">
        <f ca="1">IFERROR(SUMIFS('RES balance'!R$5:R$25,'RES balance'!$D$5:$D$25,'RES Assumptions'!$A33)*R33,"")</f>
        <v>267.65040223490013</v>
      </c>
      <c r="AY33" s="10">
        <f ca="1">IFERROR(SUMIFS('RES balance'!S$5:S$25,'RES balance'!$D$5:$D$25,'RES Assumptions'!$A33)*S33,"")</f>
        <v>245.63630513142203</v>
      </c>
      <c r="AZ33" s="10">
        <f ca="1">IFERROR(SUMIFS('RES balance'!T$5:T$25,'RES balance'!$D$5:$D$25,'RES Assumptions'!$A33)*T33,"")</f>
        <v>100.06875669564491</v>
      </c>
      <c r="BA33" s="10">
        <f ca="1">IFERROR(SUMIFS('RES balance'!U$5:U$25,'RES balance'!$D$5:$D$25,'RES Assumptions'!$A33)*U33,"")</f>
        <v>285.90574335748573</v>
      </c>
      <c r="BB33" s="10">
        <f ca="1">IFERROR(SUMIFS('RES balance'!V$5:V$25,'RES balance'!$D$5:$D$25,'RES Assumptions'!$A33)*V33,"")</f>
        <v>248.25094996787112</v>
      </c>
      <c r="BC33" s="10">
        <f ca="1">IFERROR(SUMIFS('RES balance'!W$5:W$25,'RES balance'!$D$5:$D$25,'RES Assumptions'!$A33)*W33,"")</f>
        <v>236.51220333088628</v>
      </c>
      <c r="BD33" s="10">
        <f ca="1">IFERROR(SUMIFS('RES balance'!X$5:X$25,'RES balance'!$D$5:$D$25,'RES Assumptions'!$A33)*X33,"")</f>
        <v>0</v>
      </c>
      <c r="BE33" s="10">
        <f ca="1">IFERROR(SUMIFS('RES balance'!Y$5:Y$25,'RES balance'!$D$5:$D$25,'RES Assumptions'!$A33)*Y33,"")</f>
        <v>168.4884429669238</v>
      </c>
      <c r="BF33" s="10">
        <f ca="1">IFERROR(SUMIFS('RES balance'!Z$5:Z$25,'RES balance'!$D$5:$D$25,'RES Assumptions'!$A33)*Z33,"")</f>
        <v>80.980238555289901</v>
      </c>
      <c r="BG33" s="10">
        <f ca="1">IFERROR(SUMIFS('RES balance'!AA$5:AA$25,'RES balance'!$D$5:$D$25,'RES Assumptions'!$A33)*AA33,"")</f>
        <v>16.196620574403379</v>
      </c>
      <c r="BH33" s="10">
        <f ca="1">IFERROR(SUMIFS('RES balance'!AB$5:AB$25,'RES balance'!$D$5:$D$25,'RES Assumptions'!$A33)*AB33,"")</f>
        <v>17.958013110504162</v>
      </c>
      <c r="BI33" s="10">
        <f ca="1">IFERROR(SUMIFS('RES balance'!AC$5:AC$25,'RES balance'!$D$5:$D$25,'RES Assumptions'!$A33)*AC33,"")</f>
        <v>39.867888413979863</v>
      </c>
      <c r="BJ33" s="10">
        <f ca="1">IFERROR(SUMIFS('RES balance'!AD$5:AD$25,'RES balance'!$D$5:$D$25,'RES Assumptions'!$A33)*AD33,"")</f>
        <v>0.29033136763599676</v>
      </c>
      <c r="BK33" s="10">
        <f ca="1">IFERROR(SUMIFS('RES balance'!AE$5:AE$25,'RES balance'!$D$5:$D$25,'RES Assumptions'!$A33)*AE33,"")</f>
        <v>0</v>
      </c>
      <c r="BL33" s="10">
        <f ca="1">IFERROR(SUMIFS('RES balance'!AF$5:AF$25,'RES balance'!$D$5:$D$25,'RES Assumptions'!$A33)*AF33,"")</f>
        <v>25.505595505522212</v>
      </c>
      <c r="BM33" s="10">
        <f ca="1">IFERROR(SUMIFS('RES balance'!AG$5:AG$25,'RES balance'!$D$5:$D$25,'RES Assumptions'!$A33)*AG33,"")</f>
        <v>545.53772051279998</v>
      </c>
      <c r="BN33" s="10">
        <f ca="1">IFERROR(SUMIFS('RES balance'!AH$5:AH$25,'RES balance'!$D$5:$D$25,'RES Assumptions'!$A33)*AH33,"")</f>
        <v>0</v>
      </c>
    </row>
    <row r="34" spans="1:66" x14ac:dyDescent="0.45">
      <c r="A34" s="8" t="str">
        <f>VLOOKUP(C34,'RES balance'!$AL$5:$AM$25,2,FALSE)</f>
        <v>RESBIO</v>
      </c>
      <c r="B34" s="36"/>
      <c r="C34" s="20" t="s">
        <v>77</v>
      </c>
      <c r="D34" s="21" t="s">
        <v>64</v>
      </c>
      <c r="E34" s="14">
        <f ca="1">OFFSET('RES Assumptions T15'!$D34,0,MATCH(VLOOKUP('RES Assumptions'!E$2,'RES Assumptions T15'!$V$3:$W$35,2,FALSE),'RES Assumptions T15'!$E$2:$S$2,0))</f>
        <v>0.19999999999999996</v>
      </c>
      <c r="F34" s="14">
        <f ca="1">OFFSET('RES Assumptions T15'!$D34,0,MATCH(VLOOKUP('RES Assumptions'!F$2,'RES Assumptions T15'!$V$3:$W$35,2,FALSE),'RES Assumptions T15'!$E$2:$S$2,0))</f>
        <v>0.19999999999999996</v>
      </c>
      <c r="G34" s="14">
        <f ca="1">OFFSET('RES Assumptions T15'!$D34,0,MATCH(VLOOKUP('RES Assumptions'!G$2,'RES Assumptions T15'!$V$3:$W$35,2,FALSE),'RES Assumptions T15'!$E$2:$S$2,0))</f>
        <v>9.8684375155810106E-2</v>
      </c>
      <c r="H34" s="14">
        <f ca="1">OFFSET('RES Assumptions T15'!$D34,0,MATCH(VLOOKUP('RES Assumptions'!H$2,'RES Assumptions T15'!$V$3:$W$35,2,FALSE),'RES Assumptions T15'!$E$2:$S$2,0))</f>
        <v>5.60502918984613E-2</v>
      </c>
      <c r="I34" s="14">
        <f ca="1">OFFSET('RES Assumptions T15'!$D34,0,MATCH(VLOOKUP('RES Assumptions'!I$2,'RES Assumptions T15'!$V$3:$W$35,2,FALSE),'RES Assumptions T15'!$E$2:$S$2,0))</f>
        <v>0</v>
      </c>
      <c r="J34" s="14">
        <f ca="1">OFFSET('RES Assumptions T15'!$D34,0,MATCH(VLOOKUP('RES Assumptions'!J$2,'RES Assumptions T15'!$V$3:$W$35,2,FALSE),'RES Assumptions T15'!$E$2:$S$2,0))</f>
        <v>0</v>
      </c>
      <c r="K34" s="14">
        <f ca="1">OFFSET('RES Assumptions T15'!$D34,0,MATCH(VLOOKUP('RES Assumptions'!K$2,'RES Assumptions T15'!$V$3:$W$35,2,FALSE),'RES Assumptions T15'!$E$2:$S$2,0))</f>
        <v>3.4939121228163002E-3</v>
      </c>
      <c r="L34" s="14">
        <f ca="1">OFFSET('RES Assumptions T15'!$D34,0,MATCH(VLOOKUP('RES Assumptions'!L$2,'RES Assumptions T15'!$V$3:$W$35,2,FALSE),'RES Assumptions T15'!$E$2:$S$2,0))</f>
        <v>9.8684375155810106E-2</v>
      </c>
      <c r="M34" s="14">
        <f ca="1">OFFSET('RES Assumptions T15'!$D34,0,MATCH(VLOOKUP('RES Assumptions'!M$2,'RES Assumptions T15'!$V$3:$W$35,2,FALSE),'RES Assumptions T15'!$E$2:$S$2,0))</f>
        <v>3.45955754802343E-2</v>
      </c>
      <c r="N34" s="14">
        <f ca="1">OFFSET('RES Assumptions T15'!$D34,0,MATCH(VLOOKUP('RES Assumptions'!N$2,'RES Assumptions T15'!$V$3:$W$35,2,FALSE),'RES Assumptions T15'!$E$2:$S$2,0))</f>
        <v>0.23913836939497099</v>
      </c>
      <c r="O34" s="14">
        <f ca="1">OFFSET('RES Assumptions T15'!$D34,0,MATCH(VLOOKUP('RES Assumptions'!O$2,'RES Assumptions T15'!$V$3:$W$35,2,FALSE),'RES Assumptions T15'!$E$2:$S$2,0))</f>
        <v>6.3167356097112895E-2</v>
      </c>
      <c r="P34" s="14">
        <f ca="1">OFFSET('RES Assumptions T15'!$D34,0,MATCH(VLOOKUP('RES Assumptions'!P$2,'RES Assumptions T15'!$V$3:$W$35,2,FALSE),'RES Assumptions T15'!$E$2:$S$2,0))</f>
        <v>5.60502918984613E-2</v>
      </c>
      <c r="Q34" s="14">
        <f ca="1">OFFSET('RES Assumptions T15'!$D34,0,MATCH(VLOOKUP('RES Assumptions'!Q$2,'RES Assumptions T15'!$V$3:$W$35,2,FALSE),'RES Assumptions T15'!$E$2:$S$2,0))</f>
        <v>6.3167356097112895E-2</v>
      </c>
      <c r="R34" s="14">
        <f ca="1">OFFSET('RES Assumptions T15'!$D34,0,MATCH(VLOOKUP('RES Assumptions'!R$2,'RES Assumptions T15'!$V$3:$W$35,2,FALSE),'RES Assumptions T15'!$E$2:$S$2,0))</f>
        <v>6.3167356097112895E-2</v>
      </c>
      <c r="S34" s="14">
        <f ca="1">OFFSET('RES Assumptions T15'!$D34,0,MATCH(VLOOKUP('RES Assumptions'!S$2,'RES Assumptions T15'!$V$3:$W$35,2,FALSE),'RES Assumptions T15'!$E$2:$S$2,0))</f>
        <v>5.60502918984613E-2</v>
      </c>
      <c r="T34" s="14">
        <f ca="1">OFFSET('RES Assumptions T15'!$D34,0,MATCH(VLOOKUP('RES Assumptions'!T$2,'RES Assumptions T15'!$V$3:$W$35,2,FALSE),'RES Assumptions T15'!$E$2:$S$2,0))</f>
        <v>6.3167356097112895E-2</v>
      </c>
      <c r="U34" s="14">
        <f ca="1">OFFSET('RES Assumptions T15'!$D34,0,MATCH(VLOOKUP('RES Assumptions'!U$2,'RES Assumptions T15'!$V$3:$W$35,2,FALSE),'RES Assumptions T15'!$E$2:$S$2,0))</f>
        <v>6.8184358582659602E-2</v>
      </c>
      <c r="V34" s="14">
        <f ca="1">OFFSET('RES Assumptions T15'!$D34,0,MATCH(VLOOKUP('RES Assumptions'!V$2,'RES Assumptions T15'!$V$3:$W$35,2,FALSE),'RES Assumptions T15'!$E$2:$S$2,0))</f>
        <v>6.3167356097112895E-2</v>
      </c>
      <c r="W34" s="14">
        <f ca="1">OFFSET('RES Assumptions T15'!$D34,0,MATCH(VLOOKUP('RES Assumptions'!W$2,'RES Assumptions T15'!$V$3:$W$35,2,FALSE),'RES Assumptions T15'!$E$2:$S$2,0))</f>
        <v>6.3167356097112895E-2</v>
      </c>
      <c r="X34" s="14">
        <f ca="1">OFFSET('RES Assumptions T15'!$D34,0,MATCH(VLOOKUP('RES Assumptions'!X$2,'RES Assumptions T15'!$V$3:$W$35,2,FALSE),'RES Assumptions T15'!$E$2:$S$2,0))</f>
        <v>0</v>
      </c>
      <c r="Y34" s="14">
        <f ca="1">OFFSET('RES Assumptions T15'!$D34,0,MATCH(VLOOKUP('RES Assumptions'!Y$2,'RES Assumptions T15'!$V$3:$W$35,2,FALSE),'RES Assumptions T15'!$E$2:$S$2,0))</f>
        <v>9.8684375155810106E-2</v>
      </c>
      <c r="Z34" s="14">
        <f ca="1">OFFSET('RES Assumptions T15'!$D34,0,MATCH(VLOOKUP('RES Assumptions'!Z$2,'RES Assumptions T15'!$V$3:$W$35,2,FALSE),'RES Assumptions T15'!$E$2:$S$2,0))</f>
        <v>0</v>
      </c>
      <c r="AA34" s="14">
        <f ca="1">OFFSET('RES Assumptions T15'!$D34,0,MATCH(VLOOKUP('RES Assumptions'!AA$2,'RES Assumptions T15'!$V$3:$W$35,2,FALSE),'RES Assumptions T15'!$E$2:$S$2,0))</f>
        <v>6.8184358582659602E-2</v>
      </c>
      <c r="AB34" s="14">
        <f ca="1">OFFSET('RES Assumptions T15'!$D34,0,MATCH(VLOOKUP('RES Assumptions'!AB$2,'RES Assumptions T15'!$V$3:$W$35,2,FALSE),'RES Assumptions T15'!$E$2:$S$2,0))</f>
        <v>6.3167356097112895E-2</v>
      </c>
      <c r="AC34" s="14">
        <f ca="1">OFFSET('RES Assumptions T15'!$D34,0,MATCH(VLOOKUP('RES Assumptions'!AC$2,'RES Assumptions T15'!$V$3:$W$35,2,FALSE),'RES Assumptions T15'!$E$2:$S$2,0))</f>
        <v>5.60502918984613E-2</v>
      </c>
      <c r="AD34" s="14">
        <f ca="1">OFFSET('RES Assumptions T15'!$D34,0,MATCH(VLOOKUP('RES Assumptions'!AD$2,'RES Assumptions T15'!$V$3:$W$35,2,FALSE),'RES Assumptions T15'!$E$2:$S$2,0))</f>
        <v>6.8184358582659602E-2</v>
      </c>
      <c r="AE34" s="14">
        <f ca="1">OFFSET('RES Assumptions T15'!$D34,0,MATCH(VLOOKUP('RES Assumptions'!AE$2,'RES Assumptions T15'!$V$3:$W$35,2,FALSE),'RES Assumptions T15'!$E$2:$S$2,0))</f>
        <v>0.19999999999999996</v>
      </c>
      <c r="AF34" s="14">
        <f ca="1">OFFSET('RES Assumptions T15'!$D34,0,MATCH(VLOOKUP('RES Assumptions'!AF$2,'RES Assumptions T15'!$V$3:$W$35,2,FALSE),'RES Assumptions T15'!$E$2:$S$2,0))</f>
        <v>6.3167356097112895E-2</v>
      </c>
      <c r="AG34" s="14">
        <f ca="1">OFFSET('RES Assumptions T15'!$D34,0,MATCH(VLOOKUP('RES Assumptions'!AG$2,'RES Assumptions T15'!$V$3:$W$35,2,FALSE),'RES Assumptions T15'!$E$2:$S$2,0))</f>
        <v>0</v>
      </c>
      <c r="AH34" s="14">
        <f ca="1">OFFSET('RES Assumptions T15'!$D34,0,MATCH(VLOOKUP('RES Assumptions'!AH$2,'RES Assumptions T15'!$V$3:$W$35,2,FALSE),'RES Assumptions T15'!$E$2:$S$2,0))</f>
        <v>0</v>
      </c>
      <c r="AK34" s="10">
        <f ca="1">IFERROR(SUMIFS('RES balance'!E$5:E$25,'RES balance'!$D$5:$D$25,'RES Assumptions'!$A34)*E34,"")</f>
        <v>26.624531925359992</v>
      </c>
      <c r="AL34" s="10">
        <f ca="1">IFERROR(SUMIFS('RES balance'!F$5:F$25,'RES balance'!$D$5:$D$25,'RES Assumptions'!$A34)*F34,"")</f>
        <v>2249.5983166835995</v>
      </c>
      <c r="AM34" s="10">
        <f ca="1">IFERROR(SUMIFS('RES balance'!G$5:G$25,'RES balance'!$D$5:$D$25,'RES Assumptions'!$A34)*G34,"")</f>
        <v>8.765743012032047</v>
      </c>
      <c r="AN34" s="10">
        <f ca="1">IFERROR(SUMIFS('RES balance'!H$5:H$25,'RES balance'!$D$5:$D$25,'RES Assumptions'!$A34)*H34,"")</f>
        <v>0.89159206887429787</v>
      </c>
      <c r="AO34" s="10">
        <f ca="1">IFERROR(SUMIFS('RES balance'!I$5:I$25,'RES balance'!$D$5:$D$25,'RES Assumptions'!$A34)*I34,"")</f>
        <v>0</v>
      </c>
      <c r="AP34" s="10">
        <f ca="1">IFERROR(SUMIFS('RES balance'!J$5:J$25,'RES balance'!$D$5:$D$25,'RES Assumptions'!$A34)*J34,"")</f>
        <v>0</v>
      </c>
      <c r="AQ34" s="10">
        <f ca="1">IFERROR(SUMIFS('RES balance'!K$5:K$25,'RES balance'!$D$5:$D$25,'RES Assumptions'!$A34)*K34,"")</f>
        <v>0.19721361180006328</v>
      </c>
      <c r="AR34" s="10">
        <f ca="1">IFERROR(SUMIFS('RES balance'!L$5:L$25,'RES balance'!$D$5:$D$25,'RES Assumptions'!$A34)*L34,"")</f>
        <v>30.927209264579766</v>
      </c>
      <c r="AS34" s="10">
        <f ca="1">IFERROR(SUMIFS('RES balance'!M$5:M$25,'RES balance'!$D$5:$D$25,'RES Assumptions'!$A34)*M34,"")</f>
        <v>3.9208203555415997</v>
      </c>
      <c r="AT34" s="10">
        <f ca="1">IFERROR(SUMIFS('RES balance'!N$5:N$25,'RES balance'!$D$5:$D$25,'RES Assumptions'!$A34)*N34,"")</f>
        <v>734.88913751830739</v>
      </c>
      <c r="AU34" s="10">
        <f ca="1">IFERROR(SUMIFS('RES balance'!O$5:O$25,'RES balance'!$D$5:$D$25,'RES Assumptions'!$A34)*O34,"")</f>
        <v>7.5508264749276082</v>
      </c>
      <c r="AV34" s="10">
        <f ca="1">IFERROR(SUMIFS('RES balance'!P$5:P$25,'RES balance'!$D$5:$D$25,'RES Assumptions'!$A34)*P34,"")</f>
        <v>25.529762549053558</v>
      </c>
      <c r="AW34" s="10">
        <f ca="1">IFERROR(SUMIFS('RES balance'!Q$5:Q$25,'RES balance'!$D$5:$D$25,'RES Assumptions'!$A34)*Q34,"")</f>
        <v>2.6402718511074705</v>
      </c>
      <c r="AX34" s="10">
        <f ca="1">IFERROR(SUMIFS('RES balance'!R$5:R$25,'RES balance'!$D$5:$D$25,'RES Assumptions'!$A34)*R34,"")</f>
        <v>18.37660882246476</v>
      </c>
      <c r="AY34" s="10">
        <f ca="1">IFERROR(SUMIFS('RES balance'!S$5:S$25,'RES balance'!$D$5:$D$25,'RES Assumptions'!$A34)*S34,"")</f>
        <v>15.096056952838518</v>
      </c>
      <c r="AZ34" s="10">
        <f ca="1">IFERROR(SUMIFS('RES balance'!T$5:T$25,'RES balance'!$D$5:$D$25,'RES Assumptions'!$A34)*T34,"")</f>
        <v>6.8706207119104503</v>
      </c>
      <c r="BA34" s="10">
        <f ca="1">IFERROR(SUMIFS('RES balance'!U$5:U$25,'RES balance'!$D$5:$D$25,'RES Assumptions'!$A34)*U34,"")</f>
        <v>21.842389385693519</v>
      </c>
      <c r="BB34" s="10">
        <f ca="1">IFERROR(SUMIFS('RES balance'!V$5:V$25,'RES balance'!$D$5:$D$25,'RES Assumptions'!$A34)*V34,"")</f>
        <v>17.044661839742147</v>
      </c>
      <c r="BC34" s="10">
        <f ca="1">IFERROR(SUMIFS('RES balance'!W$5:W$25,'RES balance'!$D$5:$D$25,'RES Assumptions'!$A34)*W34,"")</f>
        <v>16.238691240734521</v>
      </c>
      <c r="BD34" s="10">
        <f ca="1">IFERROR(SUMIFS('RES balance'!X$5:X$25,'RES balance'!$D$5:$D$25,'RES Assumptions'!$A34)*X34,"")</f>
        <v>0</v>
      </c>
      <c r="BE34" s="10">
        <f ca="1">IFERROR(SUMIFS('RES balance'!Y$5:Y$25,'RES balance'!$D$5:$D$25,'RES Assumptions'!$A34)*Y34,"")</f>
        <v>78.270906069030204</v>
      </c>
      <c r="BF34" s="10">
        <f ca="1">IFERROR(SUMIFS('RES balance'!Z$5:Z$25,'RES balance'!$D$5:$D$25,'RES Assumptions'!$A34)*Z34,"")</f>
        <v>0</v>
      </c>
      <c r="BG34" s="10">
        <f ca="1">IFERROR(SUMIFS('RES balance'!AA$5:AA$25,'RES balance'!$D$5:$D$25,'RES Assumptions'!$A34)*AA34,"")</f>
        <v>1.2373759588176914</v>
      </c>
      <c r="BH34" s="10">
        <f ca="1">IFERROR(SUMIFS('RES balance'!AB$5:AB$25,'RES balance'!$D$5:$D$25,'RES Assumptions'!$A34)*AB34,"")</f>
        <v>1.2329792124534213</v>
      </c>
      <c r="BI34" s="10">
        <f ca="1">IFERROR(SUMIFS('RES balance'!AC$5:AC$25,'RES balance'!$D$5:$D$25,'RES Assumptions'!$A34)*AC34,"")</f>
        <v>2.4501586349983815</v>
      </c>
      <c r="BJ34" s="10">
        <f ca="1">IFERROR(SUMIFS('RES balance'!AD$5:AD$25,'RES balance'!$D$5:$D$25,'RES Assumptions'!$A34)*AD34,"")</f>
        <v>2.2180494551510874E-2</v>
      </c>
      <c r="BK34" s="10">
        <f ca="1">IFERROR(SUMIFS('RES balance'!AE$5:AE$25,'RES balance'!$D$5:$D$25,'RES Assumptions'!$A34)*AE34,"")</f>
        <v>25.593599414159993</v>
      </c>
      <c r="BL34" s="10">
        <f ca="1">IFERROR(SUMIFS('RES balance'!AF$5:AF$25,'RES balance'!$D$5:$D$25,'RES Assumptions'!$A34)*AF34,"")</f>
        <v>1.7511886680358606</v>
      </c>
      <c r="BM34" s="10">
        <f ca="1">IFERROR(SUMIFS('RES balance'!AG$5:AG$25,'RES balance'!$D$5:$D$25,'RES Assumptions'!$A34)*AG34,"")</f>
        <v>0</v>
      </c>
      <c r="BN34" s="10">
        <f ca="1">IFERROR(SUMIFS('RES balance'!AH$5:AH$25,'RES balance'!$D$5:$D$25,'RES Assumptions'!$A34)*AH34,"")</f>
        <v>0</v>
      </c>
    </row>
    <row r="35" spans="1:66" x14ac:dyDescent="0.45">
      <c r="A35" s="8" t="str">
        <f>VLOOKUP(C35,'RES balance'!$AL$5:$AM$25,2,FALSE)</f>
        <v>RESBIO</v>
      </c>
      <c r="B35" s="36"/>
      <c r="C35" s="20" t="s">
        <v>77</v>
      </c>
      <c r="D35" s="21" t="s">
        <v>67</v>
      </c>
      <c r="E35" s="14">
        <f ca="1">OFFSET('RES Assumptions T15'!$D35,0,MATCH(VLOOKUP('RES Assumptions'!E$2,'RES Assumptions T15'!$V$3:$W$35,2,FALSE),'RES Assumptions T15'!$E$2:$S$2,0))</f>
        <v>0.8</v>
      </c>
      <c r="F35" s="14">
        <f ca="1">OFFSET('RES Assumptions T15'!$D35,0,MATCH(VLOOKUP('RES Assumptions'!F$2,'RES Assumptions T15'!$V$3:$W$35,2,FALSE),'RES Assumptions T15'!$E$2:$S$2,0))</f>
        <v>0.8</v>
      </c>
      <c r="G35" s="14">
        <f ca="1">OFFSET('RES Assumptions T15'!$D35,0,MATCH(VLOOKUP('RES Assumptions'!G$2,'RES Assumptions T15'!$V$3:$W$35,2,FALSE),'RES Assumptions T15'!$E$2:$S$2,0))</f>
        <v>0.68888449876904201</v>
      </c>
      <c r="H35" s="14">
        <f ca="1">OFFSET('RES Assumptions T15'!$D35,0,MATCH(VLOOKUP('RES Assumptions'!H$2,'RES Assumptions T15'!$V$3:$W$35,2,FALSE),'RES Assumptions T15'!$E$2:$S$2,0))</f>
        <v>1.0438896645518799E-2</v>
      </c>
      <c r="I35" s="14">
        <f ca="1">OFFSET('RES Assumptions T15'!$D35,0,MATCH(VLOOKUP('RES Assumptions'!I$2,'RES Assumptions T15'!$V$3:$W$35,2,FALSE),'RES Assumptions T15'!$E$2:$S$2,0))</f>
        <v>0</v>
      </c>
      <c r="J35" s="14">
        <f ca="1">OFFSET('RES Assumptions T15'!$D35,0,MATCH(VLOOKUP('RES Assumptions'!J$2,'RES Assumptions T15'!$V$3:$W$35,2,FALSE),'RES Assumptions T15'!$E$2:$S$2,0))</f>
        <v>1</v>
      </c>
      <c r="K35" s="14">
        <f ca="1">OFFSET('RES Assumptions T15'!$D35,0,MATCH(VLOOKUP('RES Assumptions'!K$2,'RES Assumptions T15'!$V$3:$W$35,2,FALSE),'RES Assumptions T15'!$E$2:$S$2,0))</f>
        <v>1.0940532909828799E-3</v>
      </c>
      <c r="L35" s="14">
        <f ca="1">OFFSET('RES Assumptions T15'!$D35,0,MATCH(VLOOKUP('RES Assumptions'!L$2,'RES Assumptions T15'!$V$3:$W$35,2,FALSE),'RES Assumptions T15'!$E$2:$S$2,0))</f>
        <v>0.68888449876904201</v>
      </c>
      <c r="M35" s="14">
        <f ca="1">OFFSET('RES Assumptions T15'!$D35,0,MATCH(VLOOKUP('RES Assumptions'!M$2,'RES Assumptions T15'!$V$3:$W$35,2,FALSE),'RES Assumptions T15'!$E$2:$S$2,0))</f>
        <v>0</v>
      </c>
      <c r="N35" s="14">
        <f ca="1">OFFSET('RES Assumptions T15'!$D35,0,MATCH(VLOOKUP('RES Assumptions'!N$2,'RES Assumptions T15'!$V$3:$W$35,2,FALSE),'RES Assumptions T15'!$E$2:$S$2,0))</f>
        <v>0.57955697168924503</v>
      </c>
      <c r="O35" s="14">
        <f ca="1">OFFSET('RES Assumptions T15'!$D35,0,MATCH(VLOOKUP('RES Assumptions'!O$2,'RES Assumptions T15'!$V$3:$W$35,2,FALSE),'RES Assumptions T15'!$E$2:$S$2,0))</f>
        <v>1.42303692744742E-2</v>
      </c>
      <c r="P35" s="14">
        <f ca="1">OFFSET('RES Assumptions T15'!$D35,0,MATCH(VLOOKUP('RES Assumptions'!P$2,'RES Assumptions T15'!$V$3:$W$35,2,FALSE),'RES Assumptions T15'!$E$2:$S$2,0))</f>
        <v>1.0438896645518799E-2</v>
      </c>
      <c r="Q35" s="14">
        <f ca="1">OFFSET('RES Assumptions T15'!$D35,0,MATCH(VLOOKUP('RES Assumptions'!Q$2,'RES Assumptions T15'!$V$3:$W$35,2,FALSE),'RES Assumptions T15'!$E$2:$S$2,0))</f>
        <v>1.42303692744742E-2</v>
      </c>
      <c r="R35" s="14">
        <f ca="1">OFFSET('RES Assumptions T15'!$D35,0,MATCH(VLOOKUP('RES Assumptions'!R$2,'RES Assumptions T15'!$V$3:$W$35,2,FALSE),'RES Assumptions T15'!$E$2:$S$2,0))</f>
        <v>1.42303692744742E-2</v>
      </c>
      <c r="S35" s="14">
        <f ca="1">OFFSET('RES Assumptions T15'!$D35,0,MATCH(VLOOKUP('RES Assumptions'!S$2,'RES Assumptions T15'!$V$3:$W$35,2,FALSE),'RES Assumptions T15'!$E$2:$S$2,0))</f>
        <v>1.0438896645518799E-2</v>
      </c>
      <c r="T35" s="14">
        <f ca="1">OFFSET('RES Assumptions T15'!$D35,0,MATCH(VLOOKUP('RES Assumptions'!T$2,'RES Assumptions T15'!$V$3:$W$35,2,FALSE),'RES Assumptions T15'!$E$2:$S$2,0))</f>
        <v>1.42303692744742E-2</v>
      </c>
      <c r="U35" s="14">
        <f ca="1">OFFSET('RES Assumptions T15'!$D35,0,MATCH(VLOOKUP('RES Assumptions'!U$2,'RES Assumptions T15'!$V$3:$W$35,2,FALSE),'RES Assumptions T15'!$E$2:$S$2,0))</f>
        <v>3.9317143121308698E-2</v>
      </c>
      <c r="V35" s="14">
        <f ca="1">OFFSET('RES Assumptions T15'!$D35,0,MATCH(VLOOKUP('RES Assumptions'!V$2,'RES Assumptions T15'!$V$3:$W$35,2,FALSE),'RES Assumptions T15'!$E$2:$S$2,0))</f>
        <v>1.42303692744742E-2</v>
      </c>
      <c r="W35" s="14">
        <f ca="1">OFFSET('RES Assumptions T15'!$D35,0,MATCH(VLOOKUP('RES Assumptions'!W$2,'RES Assumptions T15'!$V$3:$W$35,2,FALSE),'RES Assumptions T15'!$E$2:$S$2,0))</f>
        <v>1.42303692744742E-2</v>
      </c>
      <c r="X35" s="14">
        <f ca="1">OFFSET('RES Assumptions T15'!$D35,0,MATCH(VLOOKUP('RES Assumptions'!X$2,'RES Assumptions T15'!$V$3:$W$35,2,FALSE),'RES Assumptions T15'!$E$2:$S$2,0))</f>
        <v>1</v>
      </c>
      <c r="Y35" s="14">
        <f ca="1">OFFSET('RES Assumptions T15'!$D35,0,MATCH(VLOOKUP('RES Assumptions'!Y$2,'RES Assumptions T15'!$V$3:$W$35,2,FALSE),'RES Assumptions T15'!$E$2:$S$2,0))</f>
        <v>0.68888449876904201</v>
      </c>
      <c r="Z35" s="14">
        <f ca="1">OFFSET('RES Assumptions T15'!$D35,0,MATCH(VLOOKUP('RES Assumptions'!Z$2,'RES Assumptions T15'!$V$3:$W$35,2,FALSE),'RES Assumptions T15'!$E$2:$S$2,0))</f>
        <v>0.67314783746475504</v>
      </c>
      <c r="AA35" s="14">
        <f ca="1">OFFSET('RES Assumptions T15'!$D35,0,MATCH(VLOOKUP('RES Assumptions'!AA$2,'RES Assumptions T15'!$V$3:$W$35,2,FALSE),'RES Assumptions T15'!$E$2:$S$2,0))</f>
        <v>3.9317143121308698E-2</v>
      </c>
      <c r="AB35" s="14">
        <f ca="1">OFFSET('RES Assumptions T15'!$D35,0,MATCH(VLOOKUP('RES Assumptions'!AB$2,'RES Assumptions T15'!$V$3:$W$35,2,FALSE),'RES Assumptions T15'!$E$2:$S$2,0))</f>
        <v>1.42303692744742E-2</v>
      </c>
      <c r="AC35" s="14">
        <f ca="1">OFFSET('RES Assumptions T15'!$D35,0,MATCH(VLOOKUP('RES Assumptions'!AC$2,'RES Assumptions T15'!$V$3:$W$35,2,FALSE),'RES Assumptions T15'!$E$2:$S$2,0))</f>
        <v>1.0438896645518799E-2</v>
      </c>
      <c r="AD35" s="14">
        <f ca="1">OFFSET('RES Assumptions T15'!$D35,0,MATCH(VLOOKUP('RES Assumptions'!AD$2,'RES Assumptions T15'!$V$3:$W$35,2,FALSE),'RES Assumptions T15'!$E$2:$S$2,0))</f>
        <v>3.9317143121308698E-2</v>
      </c>
      <c r="AE35" s="14">
        <f ca="1">OFFSET('RES Assumptions T15'!$D35,0,MATCH(VLOOKUP('RES Assumptions'!AE$2,'RES Assumptions T15'!$V$3:$W$35,2,FALSE),'RES Assumptions T15'!$E$2:$S$2,0))</f>
        <v>0.8</v>
      </c>
      <c r="AF35" s="14">
        <f ca="1">OFFSET('RES Assumptions T15'!$D35,0,MATCH(VLOOKUP('RES Assumptions'!AF$2,'RES Assumptions T15'!$V$3:$W$35,2,FALSE),'RES Assumptions T15'!$E$2:$S$2,0))</f>
        <v>1.42303692744742E-2</v>
      </c>
      <c r="AG35" s="14">
        <f ca="1">OFFSET('RES Assumptions T15'!$D35,0,MATCH(VLOOKUP('RES Assumptions'!AG$2,'RES Assumptions T15'!$V$3:$W$35,2,FALSE),'RES Assumptions T15'!$E$2:$S$2,0))</f>
        <v>0</v>
      </c>
      <c r="AH35" s="14">
        <f ca="1">OFFSET('RES Assumptions T15'!$D35,0,MATCH(VLOOKUP('RES Assumptions'!AH$2,'RES Assumptions T15'!$V$3:$W$35,2,FALSE),'RES Assumptions T15'!$E$2:$S$2,0))</f>
        <v>0</v>
      </c>
      <c r="AK35" s="10">
        <f ca="1">IFERROR(SUMIFS('RES balance'!E$5:E$25,'RES balance'!$D$5:$D$25,'RES Assumptions'!$A35)*E35,"")</f>
        <v>106.49812770144</v>
      </c>
      <c r="AL35" s="10">
        <f ca="1">IFERROR(SUMIFS('RES balance'!F$5:F$25,'RES balance'!$D$5:$D$25,'RES Assumptions'!$A35)*F35,"")</f>
        <v>8998.3932667343997</v>
      </c>
      <c r="AM35" s="10">
        <f ca="1">IFERROR(SUMIFS('RES balance'!G$5:G$25,'RES balance'!$D$5:$D$25,'RES Assumptions'!$A35)*G35,"")</f>
        <v>61.190887327885193</v>
      </c>
      <c r="AN35" s="10">
        <f ca="1">IFERROR(SUMIFS('RES balance'!H$5:H$25,'RES balance'!$D$5:$D$25,'RES Assumptions'!$A35)*H35,"")</f>
        <v>0.16605154302860245</v>
      </c>
      <c r="AO35" s="10">
        <f ca="1">IFERROR(SUMIFS('RES balance'!I$5:I$25,'RES balance'!$D$5:$D$25,'RES Assumptions'!$A35)*I35,"")</f>
        <v>0</v>
      </c>
      <c r="AP35" s="10">
        <f ca="1">IFERROR(SUMIFS('RES balance'!J$5:J$25,'RES balance'!$D$5:$D$25,'RES Assumptions'!$A35)*J35,"")</f>
        <v>4005.8889748992001</v>
      </c>
      <c r="AQ35" s="10">
        <f ca="1">IFERROR(SUMIFS('RES balance'!K$5:K$25,'RES balance'!$D$5:$D$25,'RES Assumptions'!$A35)*K35,"")</f>
        <v>6.1753757230322733E-2</v>
      </c>
      <c r="AR35" s="10">
        <f ca="1">IFERROR(SUMIFS('RES balance'!L$5:L$25,'RES balance'!$D$5:$D$25,'RES Assumptions'!$A35)*L35,"")</f>
        <v>215.89309370320257</v>
      </c>
      <c r="AS35" s="10">
        <f ca="1">IFERROR(SUMIFS('RES balance'!M$5:M$25,'RES balance'!$D$5:$D$25,'RES Assumptions'!$A35)*M35,"")</f>
        <v>0</v>
      </c>
      <c r="AT35" s="10">
        <f ca="1">IFERROR(SUMIFS('RES balance'!N$5:N$25,'RES balance'!$D$5:$D$25,'RES Assumptions'!$A35)*N35,"")</f>
        <v>1781.0196002632281</v>
      </c>
      <c r="AU35" s="10">
        <f ca="1">IFERROR(SUMIFS('RES balance'!O$5:O$25,'RES balance'!$D$5:$D$25,'RES Assumptions'!$A35)*O35,"")</f>
        <v>1.7010534507808424</v>
      </c>
      <c r="AV35" s="10">
        <f ca="1">IFERROR(SUMIFS('RES balance'!P$5:P$25,'RES balance'!$D$5:$D$25,'RES Assumptions'!$A35)*P35,"")</f>
        <v>4.7547040989009144</v>
      </c>
      <c r="AW35" s="10">
        <f ca="1">IFERROR(SUMIFS('RES balance'!Q$5:Q$25,'RES balance'!$D$5:$D$25,'RES Assumptions'!$A35)*Q35,"")</f>
        <v>0.59480158340798639</v>
      </c>
      <c r="AX35" s="10">
        <f ca="1">IFERROR(SUMIFS('RES balance'!R$5:R$25,'RES balance'!$D$5:$D$25,'RES Assumptions'!$A35)*R35,"")</f>
        <v>4.1398903755635628</v>
      </c>
      <c r="AY35" s="10">
        <f ca="1">IFERROR(SUMIFS('RES balance'!S$5:S$25,'RES balance'!$D$5:$D$25,'RES Assumptions'!$A35)*S35,"")</f>
        <v>2.8115139626930796</v>
      </c>
      <c r="AZ35" s="10">
        <f ca="1">IFERROR(SUMIFS('RES balance'!T$5:T$25,'RES balance'!$D$5:$D$25,'RES Assumptions'!$A35)*T35,"")</f>
        <v>1.547816402589711</v>
      </c>
      <c r="BA35" s="10">
        <f ca="1">IFERROR(SUMIFS('RES balance'!U$5:U$25,'RES balance'!$D$5:$D$25,'RES Assumptions'!$A35)*U35,"")</f>
        <v>12.594975848420871</v>
      </c>
      <c r="BB35" s="10">
        <f ca="1">IFERROR(SUMIFS('RES balance'!V$5:V$25,'RES balance'!$D$5:$D$25,'RES Assumptions'!$A35)*V35,"")</f>
        <v>3.8398287837973246</v>
      </c>
      <c r="BC35" s="10">
        <f ca="1">IFERROR(SUMIFS('RES balance'!W$5:W$25,'RES balance'!$D$5:$D$25,'RES Assumptions'!$A35)*W35,"")</f>
        <v>3.6582593790146563</v>
      </c>
      <c r="BD35" s="10">
        <f ca="1">IFERROR(SUMIFS('RES balance'!X$5:X$25,'RES balance'!$D$5:$D$25,'RES Assumptions'!$A35)*X35,"")</f>
        <v>4116.8910074832002</v>
      </c>
      <c r="BE35" s="10">
        <f ca="1">IFERROR(SUMIFS('RES balance'!Y$5:Y$25,'RES balance'!$D$5:$D$25,'RES Assumptions'!$A35)*Y35,"")</f>
        <v>546.38450930484601</v>
      </c>
      <c r="BF35" s="10">
        <f ca="1">IFERROR(SUMIFS('RES balance'!Z$5:Z$25,'RES balance'!$D$5:$D$25,'RES Assumptions'!$A35)*Z35,"")</f>
        <v>166.7777628823101</v>
      </c>
      <c r="BG35" s="10">
        <f ca="1">IFERROR(SUMIFS('RES balance'!AA$5:AA$25,'RES balance'!$D$5:$D$25,'RES Assumptions'!$A35)*AA35,"")</f>
        <v>0.71350803437893251</v>
      </c>
      <c r="BH35" s="10">
        <f ca="1">IFERROR(SUMIFS('RES balance'!AB$5:AB$25,'RES balance'!$D$5:$D$25,'RES Assumptions'!$A35)*AB35,"")</f>
        <v>0.27776608971868155</v>
      </c>
      <c r="BI35" s="10">
        <f ca="1">IFERROR(SUMIFS('RES balance'!AC$5:AC$25,'RES balance'!$D$5:$D$25,'RES Assumptions'!$A35)*AC35,"")</f>
        <v>0.45632149074634282</v>
      </c>
      <c r="BJ35" s="10">
        <f ca="1">IFERROR(SUMIFS('RES balance'!AD$5:AD$25,'RES balance'!$D$5:$D$25,'RES Assumptions'!$A35)*AD35,"")</f>
        <v>1.2789937412492481E-2</v>
      </c>
      <c r="BK35" s="10">
        <f ca="1">IFERROR(SUMIFS('RES balance'!AE$5:AE$25,'RES balance'!$D$5:$D$25,'RES Assumptions'!$A35)*AE35,"")</f>
        <v>102.37439765664</v>
      </c>
      <c r="BL35" s="10">
        <f ca="1">IFERROR(SUMIFS('RES balance'!AF$5:AF$25,'RES balance'!$D$5:$D$25,'RES Assumptions'!$A35)*AF35,"")</f>
        <v>0.3945085397766695</v>
      </c>
      <c r="BM35" s="10">
        <f ca="1">IFERROR(SUMIFS('RES balance'!AG$5:AG$25,'RES balance'!$D$5:$D$25,'RES Assumptions'!$A35)*AG35,"")</f>
        <v>0</v>
      </c>
      <c r="BN35" s="10">
        <f ca="1">IFERROR(SUMIFS('RES balance'!AH$5:AH$25,'RES balance'!$D$5:$D$25,'RES Assumptions'!$A35)*AH35,"")</f>
        <v>0</v>
      </c>
    </row>
    <row r="36" spans="1:66" x14ac:dyDescent="0.45">
      <c r="A36" s="8" t="str">
        <f>VLOOKUP(C36,'RES balance'!$AL$5:$AM$25,2,FALSE)</f>
        <v>RESBIO</v>
      </c>
      <c r="B36" s="36"/>
      <c r="C36" s="22" t="s">
        <v>77</v>
      </c>
      <c r="D36" s="23" t="s">
        <v>70</v>
      </c>
      <c r="E36" s="14">
        <f ca="1">OFFSET('RES Assumptions T15'!$D36,0,MATCH(VLOOKUP('RES Assumptions'!E$2,'RES Assumptions T15'!$V$3:$W$35,2,FALSE),'RES Assumptions T15'!$E$2:$S$2,0))</f>
        <v>0</v>
      </c>
      <c r="F36" s="14">
        <f ca="1">OFFSET('RES Assumptions T15'!$D36,0,MATCH(VLOOKUP('RES Assumptions'!F$2,'RES Assumptions T15'!$V$3:$W$35,2,FALSE),'RES Assumptions T15'!$E$2:$S$2,0))</f>
        <v>0</v>
      </c>
      <c r="G36" s="14">
        <f ca="1">OFFSET('RES Assumptions T15'!$D36,0,MATCH(VLOOKUP('RES Assumptions'!G$2,'RES Assumptions T15'!$V$3:$W$35,2,FALSE),'RES Assumptions T15'!$E$2:$S$2,0))</f>
        <v>0</v>
      </c>
      <c r="H36" s="14">
        <f ca="1">OFFSET('RES Assumptions T15'!$D36,0,MATCH(VLOOKUP('RES Assumptions'!H$2,'RES Assumptions T15'!$V$3:$W$35,2,FALSE),'RES Assumptions T15'!$E$2:$S$2,0))</f>
        <v>2.1485462950236199E-2</v>
      </c>
      <c r="I36" s="14">
        <f ca="1">OFFSET('RES Assumptions T15'!$D36,0,MATCH(VLOOKUP('RES Assumptions'!I$2,'RES Assumptions T15'!$V$3:$W$35,2,FALSE),'RES Assumptions T15'!$E$2:$S$2,0))</f>
        <v>0</v>
      </c>
      <c r="J36" s="14">
        <f ca="1">OFFSET('RES Assumptions T15'!$D36,0,MATCH(VLOOKUP('RES Assumptions'!J$2,'RES Assumptions T15'!$V$3:$W$35,2,FALSE),'RES Assumptions T15'!$E$2:$S$2,0))</f>
        <v>0</v>
      </c>
      <c r="K36" s="14">
        <f ca="1">OFFSET('RES Assumptions T15'!$D36,0,MATCH(VLOOKUP('RES Assumptions'!K$2,'RES Assumptions T15'!$V$3:$W$35,2,FALSE),'RES Assumptions T15'!$E$2:$S$2,0))</f>
        <v>0</v>
      </c>
      <c r="L36" s="14">
        <f ca="1">OFFSET('RES Assumptions T15'!$D36,0,MATCH(VLOOKUP('RES Assumptions'!L$2,'RES Assumptions T15'!$V$3:$W$35,2,FALSE),'RES Assumptions T15'!$E$2:$S$2,0))</f>
        <v>0</v>
      </c>
      <c r="M36" s="14">
        <f ca="1">OFFSET('RES Assumptions T15'!$D36,0,MATCH(VLOOKUP('RES Assumptions'!M$2,'RES Assumptions T15'!$V$3:$W$35,2,FALSE),'RES Assumptions T15'!$E$2:$S$2,0))</f>
        <v>0</v>
      </c>
      <c r="N36" s="14">
        <f ca="1">OFFSET('RES Assumptions T15'!$D36,0,MATCH(VLOOKUP('RES Assumptions'!N$2,'RES Assumptions T15'!$V$3:$W$35,2,FALSE),'RES Assumptions T15'!$E$2:$S$2,0))</f>
        <v>0</v>
      </c>
      <c r="O36" s="14">
        <f ca="1">OFFSET('RES Assumptions T15'!$D36,0,MATCH(VLOOKUP('RES Assumptions'!O$2,'RES Assumptions T15'!$V$3:$W$35,2,FALSE),'RES Assumptions T15'!$E$2:$S$2,0))</f>
        <v>2.5865943229421199E-3</v>
      </c>
      <c r="P36" s="14">
        <f ca="1">OFFSET('RES Assumptions T15'!$D36,0,MATCH(VLOOKUP('RES Assumptions'!P$2,'RES Assumptions T15'!$V$3:$W$35,2,FALSE),'RES Assumptions T15'!$E$2:$S$2,0))</f>
        <v>2.1485462950236199E-2</v>
      </c>
      <c r="Q36" s="14">
        <f ca="1">OFFSET('RES Assumptions T15'!$D36,0,MATCH(VLOOKUP('RES Assumptions'!Q$2,'RES Assumptions T15'!$V$3:$W$35,2,FALSE),'RES Assumptions T15'!$E$2:$S$2,0))</f>
        <v>2.5865943229421199E-3</v>
      </c>
      <c r="R36" s="14">
        <f ca="1">OFFSET('RES Assumptions T15'!$D36,0,MATCH(VLOOKUP('RES Assumptions'!R$2,'RES Assumptions T15'!$V$3:$W$35,2,FALSE),'RES Assumptions T15'!$E$2:$S$2,0))</f>
        <v>2.5865943229421199E-3</v>
      </c>
      <c r="S36" s="14">
        <f ca="1">OFFSET('RES Assumptions T15'!$D36,0,MATCH(VLOOKUP('RES Assumptions'!S$2,'RES Assumptions T15'!$V$3:$W$35,2,FALSE),'RES Assumptions T15'!$E$2:$S$2,0))</f>
        <v>2.1485462950236199E-2</v>
      </c>
      <c r="T36" s="14">
        <f ca="1">OFFSET('RES Assumptions T15'!$D36,0,MATCH(VLOOKUP('RES Assumptions'!T$2,'RES Assumptions T15'!$V$3:$W$35,2,FALSE),'RES Assumptions T15'!$E$2:$S$2,0))</f>
        <v>2.5865943229421199E-3</v>
      </c>
      <c r="U36" s="14">
        <f ca="1">OFFSET('RES Assumptions T15'!$D36,0,MATCH(VLOOKUP('RES Assumptions'!U$2,'RES Assumptions T15'!$V$3:$W$35,2,FALSE),'RES Assumptions T15'!$E$2:$S$2,0))</f>
        <v>0</v>
      </c>
      <c r="V36" s="14">
        <f ca="1">OFFSET('RES Assumptions T15'!$D36,0,MATCH(VLOOKUP('RES Assumptions'!V$2,'RES Assumptions T15'!$V$3:$W$35,2,FALSE),'RES Assumptions T15'!$E$2:$S$2,0))</f>
        <v>2.5865943229421199E-3</v>
      </c>
      <c r="W36" s="14">
        <f ca="1">OFFSET('RES Assumptions T15'!$D36,0,MATCH(VLOOKUP('RES Assumptions'!W$2,'RES Assumptions T15'!$V$3:$W$35,2,FALSE),'RES Assumptions T15'!$E$2:$S$2,0))</f>
        <v>2.5865943229421199E-3</v>
      </c>
      <c r="X36" s="14">
        <f ca="1">OFFSET('RES Assumptions T15'!$D36,0,MATCH(VLOOKUP('RES Assumptions'!X$2,'RES Assumptions T15'!$V$3:$W$35,2,FALSE),'RES Assumptions T15'!$E$2:$S$2,0))</f>
        <v>0</v>
      </c>
      <c r="Y36" s="14">
        <f ca="1">OFFSET('RES Assumptions T15'!$D36,0,MATCH(VLOOKUP('RES Assumptions'!Y$2,'RES Assumptions T15'!$V$3:$W$35,2,FALSE),'RES Assumptions T15'!$E$2:$S$2,0))</f>
        <v>0</v>
      </c>
      <c r="Z36" s="14">
        <f ca="1">OFFSET('RES Assumptions T15'!$D36,0,MATCH(VLOOKUP('RES Assumptions'!Z$2,'RES Assumptions T15'!$V$3:$W$35,2,FALSE),'RES Assumptions T15'!$E$2:$S$2,0))</f>
        <v>0</v>
      </c>
      <c r="AA36" s="14">
        <f ca="1">OFFSET('RES Assumptions T15'!$D36,0,MATCH(VLOOKUP('RES Assumptions'!AA$2,'RES Assumptions T15'!$V$3:$W$35,2,FALSE),'RES Assumptions T15'!$E$2:$S$2,0))</f>
        <v>0</v>
      </c>
      <c r="AB36" s="14">
        <f ca="1">OFFSET('RES Assumptions T15'!$D36,0,MATCH(VLOOKUP('RES Assumptions'!AB$2,'RES Assumptions T15'!$V$3:$W$35,2,FALSE),'RES Assumptions T15'!$E$2:$S$2,0))</f>
        <v>2.5865943229421199E-3</v>
      </c>
      <c r="AC36" s="14">
        <f ca="1">OFFSET('RES Assumptions T15'!$D36,0,MATCH(VLOOKUP('RES Assumptions'!AC$2,'RES Assumptions T15'!$V$3:$W$35,2,FALSE),'RES Assumptions T15'!$E$2:$S$2,0))</f>
        <v>2.1485462950236199E-2</v>
      </c>
      <c r="AD36" s="14">
        <f ca="1">OFFSET('RES Assumptions T15'!$D36,0,MATCH(VLOOKUP('RES Assumptions'!AD$2,'RES Assumptions T15'!$V$3:$W$35,2,FALSE),'RES Assumptions T15'!$E$2:$S$2,0))</f>
        <v>0</v>
      </c>
      <c r="AE36" s="14">
        <f ca="1">OFFSET('RES Assumptions T15'!$D36,0,MATCH(VLOOKUP('RES Assumptions'!AE$2,'RES Assumptions T15'!$V$3:$W$35,2,FALSE),'RES Assumptions T15'!$E$2:$S$2,0))</f>
        <v>0</v>
      </c>
      <c r="AF36" s="14">
        <f ca="1">OFFSET('RES Assumptions T15'!$D36,0,MATCH(VLOOKUP('RES Assumptions'!AF$2,'RES Assumptions T15'!$V$3:$W$35,2,FALSE),'RES Assumptions T15'!$E$2:$S$2,0))</f>
        <v>2.5865943229421199E-3</v>
      </c>
      <c r="AG36" s="14">
        <f ca="1">OFFSET('RES Assumptions T15'!$D36,0,MATCH(VLOOKUP('RES Assumptions'!AG$2,'RES Assumptions T15'!$V$3:$W$35,2,FALSE),'RES Assumptions T15'!$E$2:$S$2,0))</f>
        <v>0</v>
      </c>
      <c r="AH36" s="14">
        <f ca="1">OFFSET('RES Assumptions T15'!$D36,0,MATCH(VLOOKUP('RES Assumptions'!AH$2,'RES Assumptions T15'!$V$3:$W$35,2,FALSE),'RES Assumptions T15'!$E$2:$S$2,0))</f>
        <v>0</v>
      </c>
      <c r="AK36" s="10">
        <f ca="1">IFERROR(SUMIFS('RES balance'!E$5:E$25,'RES balance'!$D$5:$D$25,'RES Assumptions'!$A36)*E36,"")</f>
        <v>0</v>
      </c>
      <c r="AL36" s="10">
        <f ca="1">IFERROR(SUMIFS('RES balance'!F$5:F$25,'RES balance'!$D$5:$D$25,'RES Assumptions'!$A36)*F36,"")</f>
        <v>0</v>
      </c>
      <c r="AM36" s="10">
        <f ca="1">IFERROR(SUMIFS('RES balance'!G$5:G$25,'RES balance'!$D$5:$D$25,'RES Assumptions'!$A36)*G36,"")</f>
        <v>0</v>
      </c>
      <c r="AN36" s="10">
        <f ca="1">IFERROR(SUMIFS('RES balance'!H$5:H$25,'RES balance'!$D$5:$D$25,'RES Assumptions'!$A36)*H36,"")</f>
        <v>0.34176928814618801</v>
      </c>
      <c r="AO36" s="10">
        <f ca="1">IFERROR(SUMIFS('RES balance'!I$5:I$25,'RES balance'!$D$5:$D$25,'RES Assumptions'!$A36)*I36,"")</f>
        <v>0</v>
      </c>
      <c r="AP36" s="10">
        <f ca="1">IFERROR(SUMIFS('RES balance'!J$5:J$25,'RES balance'!$D$5:$D$25,'RES Assumptions'!$A36)*J36,"")</f>
        <v>0</v>
      </c>
      <c r="AQ36" s="10">
        <f ca="1">IFERROR(SUMIFS('RES balance'!K$5:K$25,'RES balance'!$D$5:$D$25,'RES Assumptions'!$A36)*K36,"")</f>
        <v>0</v>
      </c>
      <c r="AR36" s="10">
        <f ca="1">IFERROR(SUMIFS('RES balance'!L$5:L$25,'RES balance'!$D$5:$D$25,'RES Assumptions'!$A36)*L36,"")</f>
        <v>0</v>
      </c>
      <c r="AS36" s="10">
        <f ca="1">IFERROR(SUMIFS('RES balance'!M$5:M$25,'RES balance'!$D$5:$D$25,'RES Assumptions'!$A36)*M36,"")</f>
        <v>0</v>
      </c>
      <c r="AT36" s="10">
        <f ca="1">IFERROR(SUMIFS('RES balance'!N$5:N$25,'RES balance'!$D$5:$D$25,'RES Assumptions'!$A36)*N36,"")</f>
        <v>0</v>
      </c>
      <c r="AU36" s="10">
        <f ca="1">IFERROR(SUMIFS('RES balance'!O$5:O$25,'RES balance'!$D$5:$D$25,'RES Assumptions'!$A36)*O36,"")</f>
        <v>0.30919332548194911</v>
      </c>
      <c r="AV36" s="10">
        <f ca="1">IFERROR(SUMIFS('RES balance'!P$5:P$25,'RES balance'!$D$5:$D$25,'RES Assumptions'!$A36)*P36,"")</f>
        <v>9.7861893095881598</v>
      </c>
      <c r="AW36" s="10">
        <f ca="1">IFERROR(SUMIFS('RES balance'!Q$5:Q$25,'RES balance'!$D$5:$D$25,'RES Assumptions'!$A36)*Q36,"")</f>
        <v>0.10811458011000406</v>
      </c>
      <c r="AX36" s="10">
        <f ca="1">IFERROR(SUMIFS('RES balance'!R$5:R$25,'RES balance'!$D$5:$D$25,'RES Assumptions'!$A36)*R36,"")</f>
        <v>0.75249044747161642</v>
      </c>
      <c r="AY36" s="10">
        <f ca="1">IFERROR(SUMIFS('RES balance'!S$5:S$25,'RES balance'!$D$5:$D$25,'RES Assumptions'!$A36)*S36,"")</f>
        <v>5.7866919398464631</v>
      </c>
      <c r="AZ36" s="10">
        <f ca="1">IFERROR(SUMIFS('RES balance'!T$5:T$25,'RES balance'!$D$5:$D$25,'RES Assumptions'!$A36)*T36,"")</f>
        <v>0.2813400722549535</v>
      </c>
      <c r="BA36" s="10">
        <f ca="1">IFERROR(SUMIFS('RES balance'!U$5:U$25,'RES balance'!$D$5:$D$25,'RES Assumptions'!$A36)*U36,"")</f>
        <v>0</v>
      </c>
      <c r="BB36" s="10">
        <f ca="1">IFERROR(SUMIFS('RES balance'!V$5:V$25,'RES balance'!$D$5:$D$25,'RES Assumptions'!$A36)*V36,"")</f>
        <v>0.69794951498944058</v>
      </c>
      <c r="BC36" s="10">
        <f ca="1">IFERROR(SUMIFS('RES balance'!W$5:W$25,'RES balance'!$D$5:$D$25,'RES Assumptions'!$A36)*W36,"")</f>
        <v>0.66494640856455944</v>
      </c>
      <c r="BD36" s="10">
        <f ca="1">IFERROR(SUMIFS('RES balance'!X$5:X$25,'RES balance'!$D$5:$D$25,'RES Assumptions'!$A36)*X36,"")</f>
        <v>0</v>
      </c>
      <c r="BE36" s="10">
        <f ca="1">IFERROR(SUMIFS('RES balance'!Y$5:Y$25,'RES balance'!$D$5:$D$25,'RES Assumptions'!$A36)*Y36,"")</f>
        <v>0</v>
      </c>
      <c r="BF36" s="10">
        <f ca="1">IFERROR(SUMIFS('RES balance'!Z$5:Z$25,'RES balance'!$D$5:$D$25,'RES Assumptions'!$A36)*Z36,"")</f>
        <v>0</v>
      </c>
      <c r="BG36" s="10">
        <f ca="1">IFERROR(SUMIFS('RES balance'!AA$5:AA$25,'RES balance'!$D$5:$D$25,'RES Assumptions'!$A36)*AA36,"")</f>
        <v>0</v>
      </c>
      <c r="BH36" s="10">
        <f ca="1">IFERROR(SUMIFS('RES balance'!AB$5:AB$25,'RES balance'!$D$5:$D$25,'RES Assumptions'!$A36)*AB36,"")</f>
        <v>5.0488372923739179E-2</v>
      </c>
      <c r="BI36" s="10">
        <f ca="1">IFERROR(SUMIFS('RES balance'!AC$5:AC$25,'RES balance'!$D$5:$D$25,'RES Assumptions'!$A36)*AC36,"")</f>
        <v>0.93920639467542499</v>
      </c>
      <c r="BJ36" s="10">
        <f ca="1">IFERROR(SUMIFS('RES balance'!AD$5:AD$25,'RES balance'!$D$5:$D$25,'RES Assumptions'!$A36)*AD36,"")</f>
        <v>0</v>
      </c>
      <c r="BK36" s="10">
        <f ca="1">IFERROR(SUMIFS('RES balance'!AE$5:AE$25,'RES balance'!$D$5:$D$25,'RES Assumptions'!$A36)*AE36,"")</f>
        <v>0</v>
      </c>
      <c r="BL36" s="10">
        <f ca="1">IFERROR(SUMIFS('RES balance'!AF$5:AF$25,'RES balance'!$D$5:$D$25,'RES Assumptions'!$A36)*AF36,"")</f>
        <v>7.1708156665261452E-2</v>
      </c>
      <c r="BM36" s="10">
        <f ca="1">IFERROR(SUMIFS('RES balance'!AG$5:AG$25,'RES balance'!$D$5:$D$25,'RES Assumptions'!$A36)*AG36,"")</f>
        <v>0</v>
      </c>
      <c r="BN36" s="10">
        <f ca="1">IFERROR(SUMIFS('RES balance'!AH$5:AH$25,'RES balance'!$D$5:$D$25,'RES Assumptions'!$A36)*AH36,"")</f>
        <v>0</v>
      </c>
    </row>
    <row r="37" spans="1:66" x14ac:dyDescent="0.45">
      <c r="A37" s="8">
        <f>VLOOKUP(C37,'RES balance'!$AL$5:$AM$25,2,FALSE)</f>
        <v>0</v>
      </c>
      <c r="B37" s="36"/>
      <c r="C37" s="20" t="s">
        <v>35</v>
      </c>
      <c r="D37" s="21" t="s">
        <v>62</v>
      </c>
      <c r="E37" s="14">
        <f ca="1">OFFSET('RES Assumptions T15'!$D37,0,MATCH(VLOOKUP('RES Assumptions'!E$2,'RES Assumptions T15'!$V$3:$W$35,2,FALSE),'RES Assumptions T15'!$E$2:$S$2,0))</f>
        <v>0.1</v>
      </c>
      <c r="F37" s="14">
        <f ca="1">OFFSET('RES Assumptions T15'!$D37,0,MATCH(VLOOKUP('RES Assumptions'!F$2,'RES Assumptions T15'!$V$3:$W$35,2,FALSE),'RES Assumptions T15'!$E$2:$S$2,0))</f>
        <v>0.1</v>
      </c>
      <c r="G37" s="14">
        <f ca="1">OFFSET('RES Assumptions T15'!$D37,0,MATCH(VLOOKUP('RES Assumptions'!G$2,'RES Assumptions T15'!$V$3:$W$35,2,FALSE),'RES Assumptions T15'!$E$2:$S$2,0))</f>
        <v>0.1</v>
      </c>
      <c r="H37" s="14">
        <f ca="1">OFFSET('RES Assumptions T15'!$D37,0,MATCH(VLOOKUP('RES Assumptions'!H$2,'RES Assumptions T15'!$V$3:$W$35,2,FALSE),'RES Assumptions T15'!$E$2:$S$2,0))</f>
        <v>0.75</v>
      </c>
      <c r="I37" s="14">
        <f ca="1">OFFSET('RES Assumptions T15'!$D37,0,MATCH(VLOOKUP('RES Assumptions'!I$2,'RES Assumptions T15'!$V$3:$W$35,2,FALSE),'RES Assumptions T15'!$E$2:$S$2,0))</f>
        <v>1</v>
      </c>
      <c r="J37" s="14">
        <f ca="1">OFFSET('RES Assumptions T15'!$D37,0,MATCH(VLOOKUP('RES Assumptions'!J$2,'RES Assumptions T15'!$V$3:$W$35,2,FALSE),'RES Assumptions T15'!$E$2:$S$2,0))</f>
        <v>0.2</v>
      </c>
      <c r="K37" s="14">
        <f ca="1">OFFSET('RES Assumptions T15'!$D37,0,MATCH(VLOOKUP('RES Assumptions'!K$2,'RES Assumptions T15'!$V$3:$W$35,2,FALSE),'RES Assumptions T15'!$E$2:$S$2,0))</f>
        <v>0.7</v>
      </c>
      <c r="L37" s="14">
        <f ca="1">OFFSET('RES Assumptions T15'!$D37,0,MATCH(VLOOKUP('RES Assumptions'!L$2,'RES Assumptions T15'!$V$3:$W$35,2,FALSE),'RES Assumptions T15'!$E$2:$S$2,0))</f>
        <v>0.1</v>
      </c>
      <c r="M37" s="14">
        <f ca="1">OFFSET('RES Assumptions T15'!$D37,0,MATCH(VLOOKUP('RES Assumptions'!M$2,'RES Assumptions T15'!$V$3:$W$35,2,FALSE),'RES Assumptions T15'!$E$2:$S$2,0))</f>
        <v>1</v>
      </c>
      <c r="N37" s="14">
        <f ca="1">OFFSET('RES Assumptions T15'!$D37,0,MATCH(VLOOKUP('RES Assumptions'!N$2,'RES Assumptions T15'!$V$3:$W$35,2,FALSE),'RES Assumptions T15'!$E$2:$S$2,0))</f>
        <v>0.47</v>
      </c>
      <c r="O37" s="14">
        <f ca="1">OFFSET('RES Assumptions T15'!$D37,0,MATCH(VLOOKUP('RES Assumptions'!O$2,'RES Assumptions T15'!$V$3:$W$35,2,FALSE),'RES Assumptions T15'!$E$2:$S$2,0))</f>
        <v>0.9</v>
      </c>
      <c r="P37" s="14">
        <f ca="1">OFFSET('RES Assumptions T15'!$D37,0,MATCH(VLOOKUP('RES Assumptions'!P$2,'RES Assumptions T15'!$V$3:$W$35,2,FALSE),'RES Assumptions T15'!$E$2:$S$2,0))</f>
        <v>0.75</v>
      </c>
      <c r="Q37" s="14">
        <f ca="1">OFFSET('RES Assumptions T15'!$D37,0,MATCH(VLOOKUP('RES Assumptions'!Q$2,'RES Assumptions T15'!$V$3:$W$35,2,FALSE),'RES Assumptions T15'!$E$2:$S$2,0))</f>
        <v>0.9</v>
      </c>
      <c r="R37" s="14">
        <f ca="1">OFFSET('RES Assumptions T15'!$D37,0,MATCH(VLOOKUP('RES Assumptions'!R$2,'RES Assumptions T15'!$V$3:$W$35,2,FALSE),'RES Assumptions T15'!$E$2:$S$2,0))</f>
        <v>0.9</v>
      </c>
      <c r="S37" s="14">
        <f ca="1">OFFSET('RES Assumptions T15'!$D37,0,MATCH(VLOOKUP('RES Assumptions'!S$2,'RES Assumptions T15'!$V$3:$W$35,2,FALSE),'RES Assumptions T15'!$E$2:$S$2,0))</f>
        <v>0.75</v>
      </c>
      <c r="T37" s="14">
        <f ca="1">OFFSET('RES Assumptions T15'!$D37,0,MATCH(VLOOKUP('RES Assumptions'!T$2,'RES Assumptions T15'!$V$3:$W$35,2,FALSE),'RES Assumptions T15'!$E$2:$S$2,0))</f>
        <v>0.9</v>
      </c>
      <c r="U37" s="14">
        <f ca="1">OFFSET('RES Assumptions T15'!$D37,0,MATCH(VLOOKUP('RES Assumptions'!U$2,'RES Assumptions T15'!$V$3:$W$35,2,FALSE),'RES Assumptions T15'!$E$2:$S$2,0))</f>
        <v>0.01</v>
      </c>
      <c r="V37" s="14">
        <f ca="1">OFFSET('RES Assumptions T15'!$D37,0,MATCH(VLOOKUP('RES Assumptions'!V$2,'RES Assumptions T15'!$V$3:$W$35,2,FALSE),'RES Assumptions T15'!$E$2:$S$2,0))</f>
        <v>0.9</v>
      </c>
      <c r="W37" s="14">
        <f ca="1">OFFSET('RES Assumptions T15'!$D37,0,MATCH(VLOOKUP('RES Assumptions'!W$2,'RES Assumptions T15'!$V$3:$W$35,2,FALSE),'RES Assumptions T15'!$E$2:$S$2,0))</f>
        <v>0.9</v>
      </c>
      <c r="X37" s="14">
        <f ca="1">OFFSET('RES Assumptions T15'!$D37,0,MATCH(VLOOKUP('RES Assumptions'!X$2,'RES Assumptions T15'!$V$3:$W$35,2,FALSE),'RES Assumptions T15'!$E$2:$S$2,0))</f>
        <v>0.1</v>
      </c>
      <c r="Y37" s="14">
        <f ca="1">OFFSET('RES Assumptions T15'!$D37,0,MATCH(VLOOKUP('RES Assumptions'!Y$2,'RES Assumptions T15'!$V$3:$W$35,2,FALSE),'RES Assumptions T15'!$E$2:$S$2,0))</f>
        <v>0.1</v>
      </c>
      <c r="Z37" s="14">
        <f ca="1">OFFSET('RES Assumptions T15'!$D37,0,MATCH(VLOOKUP('RES Assumptions'!Z$2,'RES Assumptions T15'!$V$3:$W$35,2,FALSE),'RES Assumptions T15'!$E$2:$S$2,0))</f>
        <v>0.1</v>
      </c>
      <c r="AA37" s="14">
        <f ca="1">OFFSET('RES Assumptions T15'!$D37,0,MATCH(VLOOKUP('RES Assumptions'!AA$2,'RES Assumptions T15'!$V$3:$W$35,2,FALSE),'RES Assumptions T15'!$E$2:$S$2,0))</f>
        <v>0.01</v>
      </c>
      <c r="AB37" s="14">
        <f ca="1">OFFSET('RES Assumptions T15'!$D37,0,MATCH(VLOOKUP('RES Assumptions'!AB$2,'RES Assumptions T15'!$V$3:$W$35,2,FALSE),'RES Assumptions T15'!$E$2:$S$2,0))</f>
        <v>0.9</v>
      </c>
      <c r="AC37" s="14">
        <f ca="1">OFFSET('RES Assumptions T15'!$D37,0,MATCH(VLOOKUP('RES Assumptions'!AC$2,'RES Assumptions T15'!$V$3:$W$35,2,FALSE),'RES Assumptions T15'!$E$2:$S$2,0))</f>
        <v>0.75</v>
      </c>
      <c r="AD37" s="14">
        <f ca="1">OFFSET('RES Assumptions T15'!$D37,0,MATCH(VLOOKUP('RES Assumptions'!AD$2,'RES Assumptions T15'!$V$3:$W$35,2,FALSE),'RES Assumptions T15'!$E$2:$S$2,0))</f>
        <v>0.01</v>
      </c>
      <c r="AE37" s="14">
        <f ca="1">OFFSET('RES Assumptions T15'!$D37,0,MATCH(VLOOKUP('RES Assumptions'!AE$2,'RES Assumptions T15'!$V$3:$W$35,2,FALSE),'RES Assumptions T15'!$E$2:$S$2,0))</f>
        <v>0.1</v>
      </c>
      <c r="AF37" s="14">
        <f ca="1">OFFSET('RES Assumptions T15'!$D37,0,MATCH(VLOOKUP('RES Assumptions'!AF$2,'RES Assumptions T15'!$V$3:$W$35,2,FALSE),'RES Assumptions T15'!$E$2:$S$2,0))</f>
        <v>0.9</v>
      </c>
      <c r="AG37" s="14">
        <f ca="1">OFFSET('RES Assumptions T15'!$D37,0,MATCH(VLOOKUP('RES Assumptions'!AG$2,'RES Assumptions T15'!$V$3:$W$35,2,FALSE),'RES Assumptions T15'!$E$2:$S$2,0))</f>
        <v>1</v>
      </c>
      <c r="AH37" s="14">
        <f ca="1">OFFSET('RES Assumptions T15'!$D37,0,MATCH(VLOOKUP('RES Assumptions'!AH$2,'RES Assumptions T15'!$V$3:$W$35,2,FALSE),'RES Assumptions T15'!$E$2:$S$2,0))</f>
        <v>1</v>
      </c>
      <c r="AK37" s="10">
        <f ca="1">IFERROR(SUMIFS('RES balance'!E$5:E$25,'RES balance'!$D$5:$D$25,'RES Assumptions'!$A37)*E37,"")</f>
        <v>0</v>
      </c>
      <c r="AL37" s="10">
        <f ca="1">IFERROR(SUMIFS('RES balance'!F$5:F$25,'RES balance'!$D$5:$D$25,'RES Assumptions'!$A37)*F37,"")</f>
        <v>0</v>
      </c>
      <c r="AM37" s="10">
        <f ca="1">IFERROR(SUMIFS('RES balance'!G$5:G$25,'RES balance'!$D$5:$D$25,'RES Assumptions'!$A37)*G37,"")</f>
        <v>0</v>
      </c>
      <c r="AN37" s="10">
        <f ca="1">IFERROR(SUMIFS('RES balance'!H$5:H$25,'RES balance'!$D$5:$D$25,'RES Assumptions'!$A37)*H37,"")</f>
        <v>0</v>
      </c>
      <c r="AO37" s="10">
        <f ca="1">IFERROR(SUMIFS('RES balance'!I$5:I$25,'RES balance'!$D$5:$D$25,'RES Assumptions'!$A37)*I37,"")</f>
        <v>0</v>
      </c>
      <c r="AP37" s="10">
        <f ca="1">IFERROR(SUMIFS('RES balance'!J$5:J$25,'RES balance'!$D$5:$D$25,'RES Assumptions'!$A37)*J37,"")</f>
        <v>0</v>
      </c>
      <c r="AQ37" s="10">
        <f ca="1">IFERROR(SUMIFS('RES balance'!K$5:K$25,'RES balance'!$D$5:$D$25,'RES Assumptions'!$A37)*K37,"")</f>
        <v>0</v>
      </c>
      <c r="AR37" s="10">
        <f ca="1">IFERROR(SUMIFS('RES balance'!L$5:L$25,'RES balance'!$D$5:$D$25,'RES Assumptions'!$A37)*L37,"")</f>
        <v>0</v>
      </c>
      <c r="AS37" s="10">
        <f ca="1">IFERROR(SUMIFS('RES balance'!M$5:M$25,'RES balance'!$D$5:$D$25,'RES Assumptions'!$A37)*M37,"")</f>
        <v>0</v>
      </c>
      <c r="AT37" s="10">
        <f ca="1">IFERROR(SUMIFS('RES balance'!N$5:N$25,'RES balance'!$D$5:$D$25,'RES Assumptions'!$A37)*N37,"")</f>
        <v>0</v>
      </c>
      <c r="AU37" s="10">
        <f ca="1">IFERROR(SUMIFS('RES balance'!O$5:O$25,'RES balance'!$D$5:$D$25,'RES Assumptions'!$A37)*O37,"")</f>
        <v>0</v>
      </c>
      <c r="AV37" s="10">
        <f ca="1">IFERROR(SUMIFS('RES balance'!P$5:P$25,'RES balance'!$D$5:$D$25,'RES Assumptions'!$A37)*P37,"")</f>
        <v>0</v>
      </c>
      <c r="AW37" s="10">
        <f ca="1">IFERROR(SUMIFS('RES balance'!Q$5:Q$25,'RES balance'!$D$5:$D$25,'RES Assumptions'!$A37)*Q37,"")</f>
        <v>0</v>
      </c>
      <c r="AX37" s="10">
        <f ca="1">IFERROR(SUMIFS('RES balance'!R$5:R$25,'RES balance'!$D$5:$D$25,'RES Assumptions'!$A37)*R37,"")</f>
        <v>0</v>
      </c>
      <c r="AY37" s="10">
        <f ca="1">IFERROR(SUMIFS('RES balance'!S$5:S$25,'RES balance'!$D$5:$D$25,'RES Assumptions'!$A37)*S37,"")</f>
        <v>0</v>
      </c>
      <c r="AZ37" s="10">
        <f ca="1">IFERROR(SUMIFS('RES balance'!T$5:T$25,'RES balance'!$D$5:$D$25,'RES Assumptions'!$A37)*T37,"")</f>
        <v>0</v>
      </c>
      <c r="BA37" s="10">
        <f ca="1">IFERROR(SUMIFS('RES balance'!U$5:U$25,'RES balance'!$D$5:$D$25,'RES Assumptions'!$A37)*U37,"")</f>
        <v>0</v>
      </c>
      <c r="BB37" s="10">
        <f ca="1">IFERROR(SUMIFS('RES balance'!V$5:V$25,'RES balance'!$D$5:$D$25,'RES Assumptions'!$A37)*V37,"")</f>
        <v>0</v>
      </c>
      <c r="BC37" s="10">
        <f ca="1">IFERROR(SUMIFS('RES balance'!W$5:W$25,'RES balance'!$D$5:$D$25,'RES Assumptions'!$A37)*W37,"")</f>
        <v>0</v>
      </c>
      <c r="BD37" s="10">
        <f ca="1">IFERROR(SUMIFS('RES balance'!X$5:X$25,'RES balance'!$D$5:$D$25,'RES Assumptions'!$A37)*X37,"")</f>
        <v>0</v>
      </c>
      <c r="BE37" s="10">
        <f ca="1">IFERROR(SUMIFS('RES balance'!Y$5:Y$25,'RES balance'!$D$5:$D$25,'RES Assumptions'!$A37)*Y37,"")</f>
        <v>0</v>
      </c>
      <c r="BF37" s="10">
        <f ca="1">IFERROR(SUMIFS('RES balance'!Z$5:Z$25,'RES balance'!$D$5:$D$25,'RES Assumptions'!$A37)*Z37,"")</f>
        <v>0</v>
      </c>
      <c r="BG37" s="10">
        <f ca="1">IFERROR(SUMIFS('RES balance'!AA$5:AA$25,'RES balance'!$D$5:$D$25,'RES Assumptions'!$A37)*AA37,"")</f>
        <v>0</v>
      </c>
      <c r="BH37" s="10">
        <f ca="1">IFERROR(SUMIFS('RES balance'!AB$5:AB$25,'RES balance'!$D$5:$D$25,'RES Assumptions'!$A37)*AB37,"")</f>
        <v>0</v>
      </c>
      <c r="BI37" s="10">
        <f ca="1">IFERROR(SUMIFS('RES balance'!AC$5:AC$25,'RES balance'!$D$5:$D$25,'RES Assumptions'!$A37)*AC37,"")</f>
        <v>0</v>
      </c>
      <c r="BJ37" s="10">
        <f ca="1">IFERROR(SUMIFS('RES balance'!AD$5:AD$25,'RES balance'!$D$5:$D$25,'RES Assumptions'!$A37)*AD37,"")</f>
        <v>0</v>
      </c>
      <c r="BK37" s="10">
        <f ca="1">IFERROR(SUMIFS('RES balance'!AE$5:AE$25,'RES balance'!$D$5:$D$25,'RES Assumptions'!$A37)*AE37,"")</f>
        <v>0</v>
      </c>
      <c r="BL37" s="10">
        <f ca="1">IFERROR(SUMIFS('RES balance'!AF$5:AF$25,'RES balance'!$D$5:$D$25,'RES Assumptions'!$A37)*AF37,"")</f>
        <v>0</v>
      </c>
      <c r="BM37" s="10">
        <f ca="1">IFERROR(SUMIFS('RES balance'!AG$5:AG$25,'RES balance'!$D$5:$D$25,'RES Assumptions'!$A37)*AG37,"")</f>
        <v>0</v>
      </c>
      <c r="BN37" s="10">
        <f ca="1">IFERROR(SUMIFS('RES balance'!AH$5:AH$25,'RES balance'!$D$5:$D$25,'RES Assumptions'!$A37)*AH37,"")</f>
        <v>0</v>
      </c>
    </row>
    <row r="38" spans="1:66" x14ac:dyDescent="0.45">
      <c r="A38" s="8">
        <f>VLOOKUP(C38,'RES balance'!$AL$5:$AM$25,2,FALSE)</f>
        <v>0</v>
      </c>
      <c r="B38" s="36"/>
      <c r="C38" s="20" t="s">
        <v>35</v>
      </c>
      <c r="D38" s="21" t="s">
        <v>64</v>
      </c>
      <c r="E38" s="14">
        <f ca="1">OFFSET('RES Assumptions T15'!$D38,0,MATCH(VLOOKUP('RES Assumptions'!E$2,'RES Assumptions T15'!$V$3:$W$35,2,FALSE),'RES Assumptions T15'!$E$2:$S$2,0))</f>
        <v>0.2</v>
      </c>
      <c r="F38" s="14">
        <f ca="1">OFFSET('RES Assumptions T15'!$D38,0,MATCH(VLOOKUP('RES Assumptions'!F$2,'RES Assumptions T15'!$V$3:$W$35,2,FALSE),'RES Assumptions T15'!$E$2:$S$2,0))</f>
        <v>0.2</v>
      </c>
      <c r="G38" s="14">
        <f ca="1">OFFSET('RES Assumptions T15'!$D38,0,MATCH(VLOOKUP('RES Assumptions'!G$2,'RES Assumptions T15'!$V$3:$W$35,2,FALSE),'RES Assumptions T15'!$E$2:$S$2,0))</f>
        <v>0.3</v>
      </c>
      <c r="H38" s="14">
        <f ca="1">OFFSET('RES Assumptions T15'!$D38,0,MATCH(VLOOKUP('RES Assumptions'!H$2,'RES Assumptions T15'!$V$3:$W$35,2,FALSE),'RES Assumptions T15'!$E$2:$S$2,0))</f>
        <v>0</v>
      </c>
      <c r="I38" s="14">
        <f ca="1">OFFSET('RES Assumptions T15'!$D38,0,MATCH(VLOOKUP('RES Assumptions'!I$2,'RES Assumptions T15'!$V$3:$W$35,2,FALSE),'RES Assumptions T15'!$E$2:$S$2,0))</f>
        <v>0</v>
      </c>
      <c r="J38" s="14">
        <f ca="1">OFFSET('RES Assumptions T15'!$D38,0,MATCH(VLOOKUP('RES Assumptions'!J$2,'RES Assumptions T15'!$V$3:$W$35,2,FALSE),'RES Assumptions T15'!$E$2:$S$2,0))</f>
        <v>0.3</v>
      </c>
      <c r="K38" s="14">
        <f ca="1">OFFSET('RES Assumptions T15'!$D38,0,MATCH(VLOOKUP('RES Assumptions'!K$2,'RES Assumptions T15'!$V$3:$W$35,2,FALSE),'RES Assumptions T15'!$E$2:$S$2,0))</f>
        <v>0.2</v>
      </c>
      <c r="L38" s="14">
        <f ca="1">OFFSET('RES Assumptions T15'!$D38,0,MATCH(VLOOKUP('RES Assumptions'!L$2,'RES Assumptions T15'!$V$3:$W$35,2,FALSE),'RES Assumptions T15'!$E$2:$S$2,0))</f>
        <v>0.3</v>
      </c>
      <c r="M38" s="14">
        <f ca="1">OFFSET('RES Assumptions T15'!$D38,0,MATCH(VLOOKUP('RES Assumptions'!M$2,'RES Assumptions T15'!$V$3:$W$35,2,FALSE),'RES Assumptions T15'!$E$2:$S$2,0))</f>
        <v>0</v>
      </c>
      <c r="N38" s="14">
        <f ca="1">OFFSET('RES Assumptions T15'!$D38,0,MATCH(VLOOKUP('RES Assumptions'!N$2,'RES Assumptions T15'!$V$3:$W$35,2,FALSE),'RES Assumptions T15'!$E$2:$S$2,0))</f>
        <v>0.18</v>
      </c>
      <c r="O38" s="14">
        <f ca="1">OFFSET('RES Assumptions T15'!$D38,0,MATCH(VLOOKUP('RES Assumptions'!O$2,'RES Assumptions T15'!$V$3:$W$35,2,FALSE),'RES Assumptions T15'!$E$2:$S$2,0))</f>
        <v>0</v>
      </c>
      <c r="P38" s="14">
        <f ca="1">OFFSET('RES Assumptions T15'!$D38,0,MATCH(VLOOKUP('RES Assumptions'!P$2,'RES Assumptions T15'!$V$3:$W$35,2,FALSE),'RES Assumptions T15'!$E$2:$S$2,0))</f>
        <v>0</v>
      </c>
      <c r="Q38" s="14">
        <f ca="1">OFFSET('RES Assumptions T15'!$D38,0,MATCH(VLOOKUP('RES Assumptions'!Q$2,'RES Assumptions T15'!$V$3:$W$35,2,FALSE),'RES Assumptions T15'!$E$2:$S$2,0))</f>
        <v>0</v>
      </c>
      <c r="R38" s="14">
        <f ca="1">OFFSET('RES Assumptions T15'!$D38,0,MATCH(VLOOKUP('RES Assumptions'!R$2,'RES Assumptions T15'!$V$3:$W$35,2,FALSE),'RES Assumptions T15'!$E$2:$S$2,0))</f>
        <v>0</v>
      </c>
      <c r="S38" s="14">
        <f ca="1">OFFSET('RES Assumptions T15'!$D38,0,MATCH(VLOOKUP('RES Assumptions'!S$2,'RES Assumptions T15'!$V$3:$W$35,2,FALSE),'RES Assumptions T15'!$E$2:$S$2,0))</f>
        <v>0</v>
      </c>
      <c r="T38" s="14">
        <f ca="1">OFFSET('RES Assumptions T15'!$D38,0,MATCH(VLOOKUP('RES Assumptions'!T$2,'RES Assumptions T15'!$V$3:$W$35,2,FALSE),'RES Assumptions T15'!$E$2:$S$2,0))</f>
        <v>0</v>
      </c>
      <c r="U38" s="14">
        <f ca="1">OFFSET('RES Assumptions T15'!$D38,0,MATCH(VLOOKUP('RES Assumptions'!U$2,'RES Assumptions T15'!$V$3:$W$35,2,FALSE),'RES Assumptions T15'!$E$2:$S$2,0))</f>
        <v>0.21</v>
      </c>
      <c r="V38" s="14">
        <f ca="1">OFFSET('RES Assumptions T15'!$D38,0,MATCH(VLOOKUP('RES Assumptions'!V$2,'RES Assumptions T15'!$V$3:$W$35,2,FALSE),'RES Assumptions T15'!$E$2:$S$2,0))</f>
        <v>0</v>
      </c>
      <c r="W38" s="14">
        <f ca="1">OFFSET('RES Assumptions T15'!$D38,0,MATCH(VLOOKUP('RES Assumptions'!W$2,'RES Assumptions T15'!$V$3:$W$35,2,FALSE),'RES Assumptions T15'!$E$2:$S$2,0))</f>
        <v>0</v>
      </c>
      <c r="X38" s="14">
        <f ca="1">OFFSET('RES Assumptions T15'!$D38,0,MATCH(VLOOKUP('RES Assumptions'!X$2,'RES Assumptions T15'!$V$3:$W$35,2,FALSE),'RES Assumptions T15'!$E$2:$S$2,0))</f>
        <v>0.3</v>
      </c>
      <c r="Y38" s="14">
        <f ca="1">OFFSET('RES Assumptions T15'!$D38,0,MATCH(VLOOKUP('RES Assumptions'!Y$2,'RES Assumptions T15'!$V$3:$W$35,2,FALSE),'RES Assumptions T15'!$E$2:$S$2,0))</f>
        <v>0.3</v>
      </c>
      <c r="Z38" s="14">
        <f ca="1">OFFSET('RES Assumptions T15'!$D38,0,MATCH(VLOOKUP('RES Assumptions'!Z$2,'RES Assumptions T15'!$V$3:$W$35,2,FALSE),'RES Assumptions T15'!$E$2:$S$2,0))</f>
        <v>0.3</v>
      </c>
      <c r="AA38" s="14">
        <f ca="1">OFFSET('RES Assumptions T15'!$D38,0,MATCH(VLOOKUP('RES Assumptions'!AA$2,'RES Assumptions T15'!$V$3:$W$35,2,FALSE),'RES Assumptions T15'!$E$2:$S$2,0))</f>
        <v>0.21</v>
      </c>
      <c r="AB38" s="14">
        <f ca="1">OFFSET('RES Assumptions T15'!$D38,0,MATCH(VLOOKUP('RES Assumptions'!AB$2,'RES Assumptions T15'!$V$3:$W$35,2,FALSE),'RES Assumptions T15'!$E$2:$S$2,0))</f>
        <v>0</v>
      </c>
      <c r="AC38" s="14">
        <f ca="1">OFFSET('RES Assumptions T15'!$D38,0,MATCH(VLOOKUP('RES Assumptions'!AC$2,'RES Assumptions T15'!$V$3:$W$35,2,FALSE),'RES Assumptions T15'!$E$2:$S$2,0))</f>
        <v>0</v>
      </c>
      <c r="AD38" s="14">
        <f ca="1">OFFSET('RES Assumptions T15'!$D38,0,MATCH(VLOOKUP('RES Assumptions'!AD$2,'RES Assumptions T15'!$V$3:$W$35,2,FALSE),'RES Assumptions T15'!$E$2:$S$2,0))</f>
        <v>0.21</v>
      </c>
      <c r="AE38" s="14">
        <f ca="1">OFFSET('RES Assumptions T15'!$D38,0,MATCH(VLOOKUP('RES Assumptions'!AE$2,'RES Assumptions T15'!$V$3:$W$35,2,FALSE),'RES Assumptions T15'!$E$2:$S$2,0))</f>
        <v>0.2</v>
      </c>
      <c r="AF38" s="14">
        <f ca="1">OFFSET('RES Assumptions T15'!$D38,0,MATCH(VLOOKUP('RES Assumptions'!AF$2,'RES Assumptions T15'!$V$3:$W$35,2,FALSE),'RES Assumptions T15'!$E$2:$S$2,0))</f>
        <v>0</v>
      </c>
      <c r="AG38" s="14">
        <f ca="1">OFFSET('RES Assumptions T15'!$D38,0,MATCH(VLOOKUP('RES Assumptions'!AG$2,'RES Assumptions T15'!$V$3:$W$35,2,FALSE),'RES Assumptions T15'!$E$2:$S$2,0))</f>
        <v>0</v>
      </c>
      <c r="AH38" s="14">
        <f ca="1">OFFSET('RES Assumptions T15'!$D38,0,MATCH(VLOOKUP('RES Assumptions'!AH$2,'RES Assumptions T15'!$V$3:$W$35,2,FALSE),'RES Assumptions T15'!$E$2:$S$2,0))</f>
        <v>0</v>
      </c>
      <c r="AK38" s="10">
        <f ca="1">IFERROR(SUMIFS('RES balance'!E$5:E$25,'RES balance'!$D$5:$D$25,'RES Assumptions'!$A38)*E38,"")</f>
        <v>0</v>
      </c>
      <c r="AL38" s="10">
        <f ca="1">IFERROR(SUMIFS('RES balance'!F$5:F$25,'RES balance'!$D$5:$D$25,'RES Assumptions'!$A38)*F38,"")</f>
        <v>0</v>
      </c>
      <c r="AM38" s="10">
        <f ca="1">IFERROR(SUMIFS('RES balance'!G$5:G$25,'RES balance'!$D$5:$D$25,'RES Assumptions'!$A38)*G38,"")</f>
        <v>0</v>
      </c>
      <c r="AN38" s="10">
        <f ca="1">IFERROR(SUMIFS('RES balance'!H$5:H$25,'RES balance'!$D$5:$D$25,'RES Assumptions'!$A38)*H38,"")</f>
        <v>0</v>
      </c>
      <c r="AO38" s="10">
        <f ca="1">IFERROR(SUMIFS('RES balance'!I$5:I$25,'RES balance'!$D$5:$D$25,'RES Assumptions'!$A38)*I38,"")</f>
        <v>0</v>
      </c>
      <c r="AP38" s="10">
        <f ca="1">IFERROR(SUMIFS('RES balance'!J$5:J$25,'RES balance'!$D$5:$D$25,'RES Assumptions'!$A38)*J38,"")</f>
        <v>0</v>
      </c>
      <c r="AQ38" s="10">
        <f ca="1">IFERROR(SUMIFS('RES balance'!K$5:K$25,'RES balance'!$D$5:$D$25,'RES Assumptions'!$A38)*K38,"")</f>
        <v>0</v>
      </c>
      <c r="AR38" s="10">
        <f ca="1">IFERROR(SUMIFS('RES balance'!L$5:L$25,'RES balance'!$D$5:$D$25,'RES Assumptions'!$A38)*L38,"")</f>
        <v>0</v>
      </c>
      <c r="AS38" s="10">
        <f ca="1">IFERROR(SUMIFS('RES balance'!M$5:M$25,'RES balance'!$D$5:$D$25,'RES Assumptions'!$A38)*M38,"")</f>
        <v>0</v>
      </c>
      <c r="AT38" s="10">
        <f ca="1">IFERROR(SUMIFS('RES balance'!N$5:N$25,'RES balance'!$D$5:$D$25,'RES Assumptions'!$A38)*N38,"")</f>
        <v>0</v>
      </c>
      <c r="AU38" s="10">
        <f ca="1">IFERROR(SUMIFS('RES balance'!O$5:O$25,'RES balance'!$D$5:$D$25,'RES Assumptions'!$A38)*O38,"")</f>
        <v>0</v>
      </c>
      <c r="AV38" s="10">
        <f ca="1">IFERROR(SUMIFS('RES balance'!P$5:P$25,'RES balance'!$D$5:$D$25,'RES Assumptions'!$A38)*P38,"")</f>
        <v>0</v>
      </c>
      <c r="AW38" s="10">
        <f ca="1">IFERROR(SUMIFS('RES balance'!Q$5:Q$25,'RES balance'!$D$5:$D$25,'RES Assumptions'!$A38)*Q38,"")</f>
        <v>0</v>
      </c>
      <c r="AX38" s="10">
        <f ca="1">IFERROR(SUMIFS('RES balance'!R$5:R$25,'RES balance'!$D$5:$D$25,'RES Assumptions'!$A38)*R38,"")</f>
        <v>0</v>
      </c>
      <c r="AY38" s="10">
        <f ca="1">IFERROR(SUMIFS('RES balance'!S$5:S$25,'RES balance'!$D$5:$D$25,'RES Assumptions'!$A38)*S38,"")</f>
        <v>0</v>
      </c>
      <c r="AZ38" s="10">
        <f ca="1">IFERROR(SUMIFS('RES balance'!T$5:T$25,'RES balance'!$D$5:$D$25,'RES Assumptions'!$A38)*T38,"")</f>
        <v>0</v>
      </c>
      <c r="BA38" s="10">
        <f ca="1">IFERROR(SUMIFS('RES balance'!U$5:U$25,'RES balance'!$D$5:$D$25,'RES Assumptions'!$A38)*U38,"")</f>
        <v>0</v>
      </c>
      <c r="BB38" s="10">
        <f ca="1">IFERROR(SUMIFS('RES balance'!V$5:V$25,'RES balance'!$D$5:$D$25,'RES Assumptions'!$A38)*V38,"")</f>
        <v>0</v>
      </c>
      <c r="BC38" s="10">
        <f ca="1">IFERROR(SUMIFS('RES balance'!W$5:W$25,'RES balance'!$D$5:$D$25,'RES Assumptions'!$A38)*W38,"")</f>
        <v>0</v>
      </c>
      <c r="BD38" s="10">
        <f ca="1">IFERROR(SUMIFS('RES balance'!X$5:X$25,'RES balance'!$D$5:$D$25,'RES Assumptions'!$A38)*X38,"")</f>
        <v>0</v>
      </c>
      <c r="BE38" s="10">
        <f ca="1">IFERROR(SUMIFS('RES balance'!Y$5:Y$25,'RES balance'!$D$5:$D$25,'RES Assumptions'!$A38)*Y38,"")</f>
        <v>0</v>
      </c>
      <c r="BF38" s="10">
        <f ca="1">IFERROR(SUMIFS('RES balance'!Z$5:Z$25,'RES balance'!$D$5:$D$25,'RES Assumptions'!$A38)*Z38,"")</f>
        <v>0</v>
      </c>
      <c r="BG38" s="10">
        <f ca="1">IFERROR(SUMIFS('RES balance'!AA$5:AA$25,'RES balance'!$D$5:$D$25,'RES Assumptions'!$A38)*AA38,"")</f>
        <v>0</v>
      </c>
      <c r="BH38" s="10">
        <f ca="1">IFERROR(SUMIFS('RES balance'!AB$5:AB$25,'RES balance'!$D$5:$D$25,'RES Assumptions'!$A38)*AB38,"")</f>
        <v>0</v>
      </c>
      <c r="BI38" s="10">
        <f ca="1">IFERROR(SUMIFS('RES balance'!AC$5:AC$25,'RES balance'!$D$5:$D$25,'RES Assumptions'!$A38)*AC38,"")</f>
        <v>0</v>
      </c>
      <c r="BJ38" s="10">
        <f ca="1">IFERROR(SUMIFS('RES balance'!AD$5:AD$25,'RES balance'!$D$5:$D$25,'RES Assumptions'!$A38)*AD38,"")</f>
        <v>0</v>
      </c>
      <c r="BK38" s="10">
        <f ca="1">IFERROR(SUMIFS('RES balance'!AE$5:AE$25,'RES balance'!$D$5:$D$25,'RES Assumptions'!$A38)*AE38,"")</f>
        <v>0</v>
      </c>
      <c r="BL38" s="10">
        <f ca="1">IFERROR(SUMIFS('RES balance'!AF$5:AF$25,'RES balance'!$D$5:$D$25,'RES Assumptions'!$A38)*AF38,"")</f>
        <v>0</v>
      </c>
      <c r="BM38" s="10">
        <f ca="1">IFERROR(SUMIFS('RES balance'!AG$5:AG$25,'RES balance'!$D$5:$D$25,'RES Assumptions'!$A38)*AG38,"")</f>
        <v>0</v>
      </c>
      <c r="BN38" s="10">
        <f ca="1">IFERROR(SUMIFS('RES balance'!AH$5:AH$25,'RES balance'!$D$5:$D$25,'RES Assumptions'!$A38)*AH38,"")</f>
        <v>0</v>
      </c>
    </row>
    <row r="39" spans="1:66" x14ac:dyDescent="0.45">
      <c r="A39" s="8">
        <f>VLOOKUP(C39,'RES balance'!$AL$5:$AM$25,2,FALSE)</f>
        <v>0</v>
      </c>
      <c r="B39" s="36"/>
      <c r="C39" s="20" t="s">
        <v>35</v>
      </c>
      <c r="D39" s="21" t="s">
        <v>67</v>
      </c>
      <c r="E39" s="14">
        <f ca="1">OFFSET('RES Assumptions T15'!$D39,0,MATCH(VLOOKUP('RES Assumptions'!E$2,'RES Assumptions T15'!$V$3:$W$35,2,FALSE),'RES Assumptions T15'!$E$2:$S$2,0))</f>
        <v>0.7</v>
      </c>
      <c r="F39" s="14">
        <f ca="1">OFFSET('RES Assumptions T15'!$D39,0,MATCH(VLOOKUP('RES Assumptions'!F$2,'RES Assumptions T15'!$V$3:$W$35,2,FALSE),'RES Assumptions T15'!$E$2:$S$2,0))</f>
        <v>0.7</v>
      </c>
      <c r="G39" s="14">
        <f ca="1">OFFSET('RES Assumptions T15'!$D39,0,MATCH(VLOOKUP('RES Assumptions'!G$2,'RES Assumptions T15'!$V$3:$W$35,2,FALSE),'RES Assumptions T15'!$E$2:$S$2,0))</f>
        <v>0.6</v>
      </c>
      <c r="H39" s="14">
        <f ca="1">OFFSET('RES Assumptions T15'!$D39,0,MATCH(VLOOKUP('RES Assumptions'!H$2,'RES Assumptions T15'!$V$3:$W$35,2,FALSE),'RES Assumptions T15'!$E$2:$S$2,0))</f>
        <v>0.25</v>
      </c>
      <c r="I39" s="14">
        <f ca="1">OFFSET('RES Assumptions T15'!$D39,0,MATCH(VLOOKUP('RES Assumptions'!I$2,'RES Assumptions T15'!$V$3:$W$35,2,FALSE),'RES Assumptions T15'!$E$2:$S$2,0))</f>
        <v>0</v>
      </c>
      <c r="J39" s="14">
        <f ca="1">OFFSET('RES Assumptions T15'!$D39,0,MATCH(VLOOKUP('RES Assumptions'!J$2,'RES Assumptions T15'!$V$3:$W$35,2,FALSE),'RES Assumptions T15'!$E$2:$S$2,0))</f>
        <v>0.5</v>
      </c>
      <c r="K39" s="14">
        <f ca="1">OFFSET('RES Assumptions T15'!$D39,0,MATCH(VLOOKUP('RES Assumptions'!K$2,'RES Assumptions T15'!$V$3:$W$35,2,FALSE),'RES Assumptions T15'!$E$2:$S$2,0))</f>
        <v>0.1</v>
      </c>
      <c r="L39" s="14">
        <f ca="1">OFFSET('RES Assumptions T15'!$D39,0,MATCH(VLOOKUP('RES Assumptions'!L$2,'RES Assumptions T15'!$V$3:$W$35,2,FALSE),'RES Assumptions T15'!$E$2:$S$2,0))</f>
        <v>0.6</v>
      </c>
      <c r="M39" s="14">
        <f ca="1">OFFSET('RES Assumptions T15'!$D39,0,MATCH(VLOOKUP('RES Assumptions'!M$2,'RES Assumptions T15'!$V$3:$W$35,2,FALSE),'RES Assumptions T15'!$E$2:$S$2,0))</f>
        <v>0</v>
      </c>
      <c r="N39" s="14">
        <f ca="1">OFFSET('RES Assumptions T15'!$D39,0,MATCH(VLOOKUP('RES Assumptions'!N$2,'RES Assumptions T15'!$V$3:$W$35,2,FALSE),'RES Assumptions T15'!$E$2:$S$2,0))</f>
        <v>0.35</v>
      </c>
      <c r="O39" s="14">
        <f ca="1">OFFSET('RES Assumptions T15'!$D39,0,MATCH(VLOOKUP('RES Assumptions'!O$2,'RES Assumptions T15'!$V$3:$W$35,2,FALSE),'RES Assumptions T15'!$E$2:$S$2,0))</f>
        <v>0.1</v>
      </c>
      <c r="P39" s="14">
        <f ca="1">OFFSET('RES Assumptions T15'!$D39,0,MATCH(VLOOKUP('RES Assumptions'!P$2,'RES Assumptions T15'!$V$3:$W$35,2,FALSE),'RES Assumptions T15'!$E$2:$S$2,0))</f>
        <v>0.25</v>
      </c>
      <c r="Q39" s="14">
        <f ca="1">OFFSET('RES Assumptions T15'!$D39,0,MATCH(VLOOKUP('RES Assumptions'!Q$2,'RES Assumptions T15'!$V$3:$W$35,2,FALSE),'RES Assumptions T15'!$E$2:$S$2,0))</f>
        <v>0.1</v>
      </c>
      <c r="R39" s="14">
        <f ca="1">OFFSET('RES Assumptions T15'!$D39,0,MATCH(VLOOKUP('RES Assumptions'!R$2,'RES Assumptions T15'!$V$3:$W$35,2,FALSE),'RES Assumptions T15'!$E$2:$S$2,0))</f>
        <v>0.1</v>
      </c>
      <c r="S39" s="14">
        <f ca="1">OFFSET('RES Assumptions T15'!$D39,0,MATCH(VLOOKUP('RES Assumptions'!S$2,'RES Assumptions T15'!$V$3:$W$35,2,FALSE),'RES Assumptions T15'!$E$2:$S$2,0))</f>
        <v>0.25</v>
      </c>
      <c r="T39" s="14">
        <f ca="1">OFFSET('RES Assumptions T15'!$D39,0,MATCH(VLOOKUP('RES Assumptions'!T$2,'RES Assumptions T15'!$V$3:$W$35,2,FALSE),'RES Assumptions T15'!$E$2:$S$2,0))</f>
        <v>0.1</v>
      </c>
      <c r="U39" s="14">
        <f ca="1">OFFSET('RES Assumptions T15'!$D39,0,MATCH(VLOOKUP('RES Assumptions'!U$2,'RES Assumptions T15'!$V$3:$W$35,2,FALSE),'RES Assumptions T15'!$E$2:$S$2,0))</f>
        <v>0.78</v>
      </c>
      <c r="V39" s="14">
        <f ca="1">OFFSET('RES Assumptions T15'!$D39,0,MATCH(VLOOKUP('RES Assumptions'!V$2,'RES Assumptions T15'!$V$3:$W$35,2,FALSE),'RES Assumptions T15'!$E$2:$S$2,0))</f>
        <v>0.1</v>
      </c>
      <c r="W39" s="14">
        <f ca="1">OFFSET('RES Assumptions T15'!$D39,0,MATCH(VLOOKUP('RES Assumptions'!W$2,'RES Assumptions T15'!$V$3:$W$35,2,FALSE),'RES Assumptions T15'!$E$2:$S$2,0))</f>
        <v>0.1</v>
      </c>
      <c r="X39" s="14">
        <f ca="1">OFFSET('RES Assumptions T15'!$D39,0,MATCH(VLOOKUP('RES Assumptions'!X$2,'RES Assumptions T15'!$V$3:$W$35,2,FALSE),'RES Assumptions T15'!$E$2:$S$2,0))</f>
        <v>0.6</v>
      </c>
      <c r="Y39" s="14">
        <f ca="1">OFFSET('RES Assumptions T15'!$D39,0,MATCH(VLOOKUP('RES Assumptions'!Y$2,'RES Assumptions T15'!$V$3:$W$35,2,FALSE),'RES Assumptions T15'!$E$2:$S$2,0))</f>
        <v>0.6</v>
      </c>
      <c r="Z39" s="14">
        <f ca="1">OFFSET('RES Assumptions T15'!$D39,0,MATCH(VLOOKUP('RES Assumptions'!Z$2,'RES Assumptions T15'!$V$3:$W$35,2,FALSE),'RES Assumptions T15'!$E$2:$S$2,0))</f>
        <v>0.6</v>
      </c>
      <c r="AA39" s="14">
        <f ca="1">OFFSET('RES Assumptions T15'!$D39,0,MATCH(VLOOKUP('RES Assumptions'!AA$2,'RES Assumptions T15'!$V$3:$W$35,2,FALSE),'RES Assumptions T15'!$E$2:$S$2,0))</f>
        <v>0.78</v>
      </c>
      <c r="AB39" s="14">
        <f ca="1">OFFSET('RES Assumptions T15'!$D39,0,MATCH(VLOOKUP('RES Assumptions'!AB$2,'RES Assumptions T15'!$V$3:$W$35,2,FALSE),'RES Assumptions T15'!$E$2:$S$2,0))</f>
        <v>0.1</v>
      </c>
      <c r="AC39" s="14">
        <f ca="1">OFFSET('RES Assumptions T15'!$D39,0,MATCH(VLOOKUP('RES Assumptions'!AC$2,'RES Assumptions T15'!$V$3:$W$35,2,FALSE),'RES Assumptions T15'!$E$2:$S$2,0))</f>
        <v>0.25</v>
      </c>
      <c r="AD39" s="14">
        <f ca="1">OFFSET('RES Assumptions T15'!$D39,0,MATCH(VLOOKUP('RES Assumptions'!AD$2,'RES Assumptions T15'!$V$3:$W$35,2,FALSE),'RES Assumptions T15'!$E$2:$S$2,0))</f>
        <v>0.78</v>
      </c>
      <c r="AE39" s="14">
        <f ca="1">OFFSET('RES Assumptions T15'!$D39,0,MATCH(VLOOKUP('RES Assumptions'!AE$2,'RES Assumptions T15'!$V$3:$W$35,2,FALSE),'RES Assumptions T15'!$E$2:$S$2,0))</f>
        <v>0.7</v>
      </c>
      <c r="AF39" s="14">
        <f ca="1">OFFSET('RES Assumptions T15'!$D39,0,MATCH(VLOOKUP('RES Assumptions'!AF$2,'RES Assumptions T15'!$V$3:$W$35,2,FALSE),'RES Assumptions T15'!$E$2:$S$2,0))</f>
        <v>0.1</v>
      </c>
      <c r="AG39" s="14">
        <f ca="1">OFFSET('RES Assumptions T15'!$D39,0,MATCH(VLOOKUP('RES Assumptions'!AG$2,'RES Assumptions T15'!$V$3:$W$35,2,FALSE),'RES Assumptions T15'!$E$2:$S$2,0))</f>
        <v>0</v>
      </c>
      <c r="AH39" s="14">
        <f ca="1">OFFSET('RES Assumptions T15'!$D39,0,MATCH(VLOOKUP('RES Assumptions'!AH$2,'RES Assumptions T15'!$V$3:$W$35,2,FALSE),'RES Assumptions T15'!$E$2:$S$2,0))</f>
        <v>0</v>
      </c>
      <c r="AK39" s="10">
        <f ca="1">IFERROR(SUMIFS('RES balance'!E$5:E$25,'RES balance'!$D$5:$D$25,'RES Assumptions'!$A39)*E39,"")</f>
        <v>0</v>
      </c>
      <c r="AL39" s="10">
        <f ca="1">IFERROR(SUMIFS('RES balance'!F$5:F$25,'RES balance'!$D$5:$D$25,'RES Assumptions'!$A39)*F39,"")</f>
        <v>0</v>
      </c>
      <c r="AM39" s="10">
        <f ca="1">IFERROR(SUMIFS('RES balance'!G$5:G$25,'RES balance'!$D$5:$D$25,'RES Assumptions'!$A39)*G39,"")</f>
        <v>0</v>
      </c>
      <c r="AN39" s="10">
        <f ca="1">IFERROR(SUMIFS('RES balance'!H$5:H$25,'RES balance'!$D$5:$D$25,'RES Assumptions'!$A39)*H39,"")</f>
        <v>0</v>
      </c>
      <c r="AO39" s="10">
        <f ca="1">IFERROR(SUMIFS('RES balance'!I$5:I$25,'RES balance'!$D$5:$D$25,'RES Assumptions'!$A39)*I39,"")</f>
        <v>0</v>
      </c>
      <c r="AP39" s="10">
        <f ca="1">IFERROR(SUMIFS('RES balance'!J$5:J$25,'RES balance'!$D$5:$D$25,'RES Assumptions'!$A39)*J39,"")</f>
        <v>0</v>
      </c>
      <c r="AQ39" s="10">
        <f ca="1">IFERROR(SUMIFS('RES balance'!K$5:K$25,'RES balance'!$D$5:$D$25,'RES Assumptions'!$A39)*K39,"")</f>
        <v>0</v>
      </c>
      <c r="AR39" s="10">
        <f ca="1">IFERROR(SUMIFS('RES balance'!L$5:L$25,'RES balance'!$D$5:$D$25,'RES Assumptions'!$A39)*L39,"")</f>
        <v>0</v>
      </c>
      <c r="AS39" s="10">
        <f ca="1">IFERROR(SUMIFS('RES balance'!M$5:M$25,'RES balance'!$D$5:$D$25,'RES Assumptions'!$A39)*M39,"")</f>
        <v>0</v>
      </c>
      <c r="AT39" s="10">
        <f ca="1">IFERROR(SUMIFS('RES balance'!N$5:N$25,'RES balance'!$D$5:$D$25,'RES Assumptions'!$A39)*N39,"")</f>
        <v>0</v>
      </c>
      <c r="AU39" s="10">
        <f ca="1">IFERROR(SUMIFS('RES balance'!O$5:O$25,'RES balance'!$D$5:$D$25,'RES Assumptions'!$A39)*O39,"")</f>
        <v>0</v>
      </c>
      <c r="AV39" s="10">
        <f ca="1">IFERROR(SUMIFS('RES balance'!P$5:P$25,'RES balance'!$D$5:$D$25,'RES Assumptions'!$A39)*P39,"")</f>
        <v>0</v>
      </c>
      <c r="AW39" s="10">
        <f ca="1">IFERROR(SUMIFS('RES balance'!Q$5:Q$25,'RES balance'!$D$5:$D$25,'RES Assumptions'!$A39)*Q39,"")</f>
        <v>0</v>
      </c>
      <c r="AX39" s="10">
        <f ca="1">IFERROR(SUMIFS('RES balance'!R$5:R$25,'RES balance'!$D$5:$D$25,'RES Assumptions'!$A39)*R39,"")</f>
        <v>0</v>
      </c>
      <c r="AY39" s="10">
        <f ca="1">IFERROR(SUMIFS('RES balance'!S$5:S$25,'RES balance'!$D$5:$D$25,'RES Assumptions'!$A39)*S39,"")</f>
        <v>0</v>
      </c>
      <c r="AZ39" s="10">
        <f ca="1">IFERROR(SUMIFS('RES balance'!T$5:T$25,'RES balance'!$D$5:$D$25,'RES Assumptions'!$A39)*T39,"")</f>
        <v>0</v>
      </c>
      <c r="BA39" s="10">
        <f ca="1">IFERROR(SUMIFS('RES balance'!U$5:U$25,'RES balance'!$D$5:$D$25,'RES Assumptions'!$A39)*U39,"")</f>
        <v>0</v>
      </c>
      <c r="BB39" s="10">
        <f ca="1">IFERROR(SUMIFS('RES balance'!V$5:V$25,'RES balance'!$D$5:$D$25,'RES Assumptions'!$A39)*V39,"")</f>
        <v>0</v>
      </c>
      <c r="BC39" s="10">
        <f ca="1">IFERROR(SUMIFS('RES balance'!W$5:W$25,'RES balance'!$D$5:$D$25,'RES Assumptions'!$A39)*W39,"")</f>
        <v>0</v>
      </c>
      <c r="BD39" s="10">
        <f ca="1">IFERROR(SUMIFS('RES balance'!X$5:X$25,'RES balance'!$D$5:$D$25,'RES Assumptions'!$A39)*X39,"")</f>
        <v>0</v>
      </c>
      <c r="BE39" s="10">
        <f ca="1">IFERROR(SUMIFS('RES balance'!Y$5:Y$25,'RES balance'!$D$5:$D$25,'RES Assumptions'!$A39)*Y39,"")</f>
        <v>0</v>
      </c>
      <c r="BF39" s="10">
        <f ca="1">IFERROR(SUMIFS('RES balance'!Z$5:Z$25,'RES balance'!$D$5:$D$25,'RES Assumptions'!$A39)*Z39,"")</f>
        <v>0</v>
      </c>
      <c r="BG39" s="10">
        <f ca="1">IFERROR(SUMIFS('RES balance'!AA$5:AA$25,'RES balance'!$D$5:$D$25,'RES Assumptions'!$A39)*AA39,"")</f>
        <v>0</v>
      </c>
      <c r="BH39" s="10">
        <f ca="1">IFERROR(SUMIFS('RES balance'!AB$5:AB$25,'RES balance'!$D$5:$D$25,'RES Assumptions'!$A39)*AB39,"")</f>
        <v>0</v>
      </c>
      <c r="BI39" s="10">
        <f ca="1">IFERROR(SUMIFS('RES balance'!AC$5:AC$25,'RES balance'!$D$5:$D$25,'RES Assumptions'!$A39)*AC39,"")</f>
        <v>0</v>
      </c>
      <c r="BJ39" s="10">
        <f ca="1">IFERROR(SUMIFS('RES balance'!AD$5:AD$25,'RES balance'!$D$5:$D$25,'RES Assumptions'!$A39)*AD39,"")</f>
        <v>0</v>
      </c>
      <c r="BK39" s="10">
        <f ca="1">IFERROR(SUMIFS('RES balance'!AE$5:AE$25,'RES balance'!$D$5:$D$25,'RES Assumptions'!$A39)*AE39,"")</f>
        <v>0</v>
      </c>
      <c r="BL39" s="10">
        <f ca="1">IFERROR(SUMIFS('RES balance'!AF$5:AF$25,'RES balance'!$D$5:$D$25,'RES Assumptions'!$A39)*AF39,"")</f>
        <v>0</v>
      </c>
      <c r="BM39" s="10">
        <f ca="1">IFERROR(SUMIFS('RES balance'!AG$5:AG$25,'RES balance'!$D$5:$D$25,'RES Assumptions'!$A39)*AG39,"")</f>
        <v>0</v>
      </c>
      <c r="BN39" s="10">
        <f ca="1">IFERROR(SUMIFS('RES balance'!AH$5:AH$25,'RES balance'!$D$5:$D$25,'RES Assumptions'!$A39)*AH39,"")</f>
        <v>0</v>
      </c>
    </row>
    <row r="40" spans="1:66" x14ac:dyDescent="0.45">
      <c r="A40" s="8">
        <f>VLOOKUP(C40,'RES balance'!$AL$5:$AM$25,2,FALSE)</f>
        <v>0</v>
      </c>
      <c r="B40" s="36"/>
      <c r="C40" s="22" t="s">
        <v>35</v>
      </c>
      <c r="D40" s="23" t="s">
        <v>70</v>
      </c>
      <c r="E40" s="14">
        <f ca="1">OFFSET('RES Assumptions T15'!$D40,0,MATCH(VLOOKUP('RES Assumptions'!E$2,'RES Assumptions T15'!$V$3:$W$35,2,FALSE),'RES Assumptions T15'!$E$2:$S$2,0))</f>
        <v>0</v>
      </c>
      <c r="F40" s="14">
        <f ca="1">OFFSET('RES Assumptions T15'!$D40,0,MATCH(VLOOKUP('RES Assumptions'!F$2,'RES Assumptions T15'!$V$3:$W$35,2,FALSE),'RES Assumptions T15'!$E$2:$S$2,0))</f>
        <v>0</v>
      </c>
      <c r="G40" s="14">
        <f ca="1">OFFSET('RES Assumptions T15'!$D40,0,MATCH(VLOOKUP('RES Assumptions'!G$2,'RES Assumptions T15'!$V$3:$W$35,2,FALSE),'RES Assumptions T15'!$E$2:$S$2,0))</f>
        <v>0</v>
      </c>
      <c r="H40" s="14">
        <f ca="1">OFFSET('RES Assumptions T15'!$D40,0,MATCH(VLOOKUP('RES Assumptions'!H$2,'RES Assumptions T15'!$V$3:$W$35,2,FALSE),'RES Assumptions T15'!$E$2:$S$2,0))</f>
        <v>0</v>
      </c>
      <c r="I40" s="14">
        <f ca="1">OFFSET('RES Assumptions T15'!$D40,0,MATCH(VLOOKUP('RES Assumptions'!I$2,'RES Assumptions T15'!$V$3:$W$35,2,FALSE),'RES Assumptions T15'!$E$2:$S$2,0))</f>
        <v>0</v>
      </c>
      <c r="J40" s="14">
        <f ca="1">OFFSET('RES Assumptions T15'!$D40,0,MATCH(VLOOKUP('RES Assumptions'!J$2,'RES Assumptions T15'!$V$3:$W$35,2,FALSE),'RES Assumptions T15'!$E$2:$S$2,0))</f>
        <v>0</v>
      </c>
      <c r="K40" s="14">
        <f ca="1">OFFSET('RES Assumptions T15'!$D40,0,MATCH(VLOOKUP('RES Assumptions'!K$2,'RES Assumptions T15'!$V$3:$W$35,2,FALSE),'RES Assumptions T15'!$E$2:$S$2,0))</f>
        <v>0</v>
      </c>
      <c r="L40" s="14">
        <f ca="1">OFFSET('RES Assumptions T15'!$D40,0,MATCH(VLOOKUP('RES Assumptions'!L$2,'RES Assumptions T15'!$V$3:$W$35,2,FALSE),'RES Assumptions T15'!$E$2:$S$2,0))</f>
        <v>0</v>
      </c>
      <c r="M40" s="14">
        <f ca="1">OFFSET('RES Assumptions T15'!$D40,0,MATCH(VLOOKUP('RES Assumptions'!M$2,'RES Assumptions T15'!$V$3:$W$35,2,FALSE),'RES Assumptions T15'!$E$2:$S$2,0))</f>
        <v>0</v>
      </c>
      <c r="N40" s="14">
        <f ca="1">OFFSET('RES Assumptions T15'!$D40,0,MATCH(VLOOKUP('RES Assumptions'!N$2,'RES Assumptions T15'!$V$3:$W$35,2,FALSE),'RES Assumptions T15'!$E$2:$S$2,0))</f>
        <v>0</v>
      </c>
      <c r="O40" s="14">
        <f ca="1">OFFSET('RES Assumptions T15'!$D40,0,MATCH(VLOOKUP('RES Assumptions'!O$2,'RES Assumptions T15'!$V$3:$W$35,2,FALSE),'RES Assumptions T15'!$E$2:$S$2,0))</f>
        <v>0</v>
      </c>
      <c r="P40" s="14">
        <f ca="1">OFFSET('RES Assumptions T15'!$D40,0,MATCH(VLOOKUP('RES Assumptions'!P$2,'RES Assumptions T15'!$V$3:$W$35,2,FALSE),'RES Assumptions T15'!$E$2:$S$2,0))</f>
        <v>0</v>
      </c>
      <c r="Q40" s="14">
        <f ca="1">OFFSET('RES Assumptions T15'!$D40,0,MATCH(VLOOKUP('RES Assumptions'!Q$2,'RES Assumptions T15'!$V$3:$W$35,2,FALSE),'RES Assumptions T15'!$E$2:$S$2,0))</f>
        <v>0</v>
      </c>
      <c r="R40" s="14">
        <f ca="1">OFFSET('RES Assumptions T15'!$D40,0,MATCH(VLOOKUP('RES Assumptions'!R$2,'RES Assumptions T15'!$V$3:$W$35,2,FALSE),'RES Assumptions T15'!$E$2:$S$2,0))</f>
        <v>0</v>
      </c>
      <c r="S40" s="14">
        <f ca="1">OFFSET('RES Assumptions T15'!$D40,0,MATCH(VLOOKUP('RES Assumptions'!S$2,'RES Assumptions T15'!$V$3:$W$35,2,FALSE),'RES Assumptions T15'!$E$2:$S$2,0))</f>
        <v>0</v>
      </c>
      <c r="T40" s="14">
        <f ca="1">OFFSET('RES Assumptions T15'!$D40,0,MATCH(VLOOKUP('RES Assumptions'!T$2,'RES Assumptions T15'!$V$3:$W$35,2,FALSE),'RES Assumptions T15'!$E$2:$S$2,0))</f>
        <v>0</v>
      </c>
      <c r="U40" s="14">
        <f ca="1">OFFSET('RES Assumptions T15'!$D40,0,MATCH(VLOOKUP('RES Assumptions'!U$2,'RES Assumptions T15'!$V$3:$W$35,2,FALSE),'RES Assumptions T15'!$E$2:$S$2,0))</f>
        <v>0</v>
      </c>
      <c r="V40" s="14">
        <f ca="1">OFFSET('RES Assumptions T15'!$D40,0,MATCH(VLOOKUP('RES Assumptions'!V$2,'RES Assumptions T15'!$V$3:$W$35,2,FALSE),'RES Assumptions T15'!$E$2:$S$2,0))</f>
        <v>0</v>
      </c>
      <c r="W40" s="14">
        <f ca="1">OFFSET('RES Assumptions T15'!$D40,0,MATCH(VLOOKUP('RES Assumptions'!W$2,'RES Assumptions T15'!$V$3:$W$35,2,FALSE),'RES Assumptions T15'!$E$2:$S$2,0))</f>
        <v>0</v>
      </c>
      <c r="X40" s="14">
        <f ca="1">OFFSET('RES Assumptions T15'!$D40,0,MATCH(VLOOKUP('RES Assumptions'!X$2,'RES Assumptions T15'!$V$3:$W$35,2,FALSE),'RES Assumptions T15'!$E$2:$S$2,0))</f>
        <v>0</v>
      </c>
      <c r="Y40" s="14">
        <f ca="1">OFFSET('RES Assumptions T15'!$D40,0,MATCH(VLOOKUP('RES Assumptions'!Y$2,'RES Assumptions T15'!$V$3:$W$35,2,FALSE),'RES Assumptions T15'!$E$2:$S$2,0))</f>
        <v>0</v>
      </c>
      <c r="Z40" s="14">
        <f ca="1">OFFSET('RES Assumptions T15'!$D40,0,MATCH(VLOOKUP('RES Assumptions'!Z$2,'RES Assumptions T15'!$V$3:$W$35,2,FALSE),'RES Assumptions T15'!$E$2:$S$2,0))</f>
        <v>0</v>
      </c>
      <c r="AA40" s="14">
        <f ca="1">OFFSET('RES Assumptions T15'!$D40,0,MATCH(VLOOKUP('RES Assumptions'!AA$2,'RES Assumptions T15'!$V$3:$W$35,2,FALSE),'RES Assumptions T15'!$E$2:$S$2,0))</f>
        <v>0</v>
      </c>
      <c r="AB40" s="14">
        <f ca="1">OFFSET('RES Assumptions T15'!$D40,0,MATCH(VLOOKUP('RES Assumptions'!AB$2,'RES Assumptions T15'!$V$3:$W$35,2,FALSE),'RES Assumptions T15'!$E$2:$S$2,0))</f>
        <v>0</v>
      </c>
      <c r="AC40" s="14">
        <f ca="1">OFFSET('RES Assumptions T15'!$D40,0,MATCH(VLOOKUP('RES Assumptions'!AC$2,'RES Assumptions T15'!$V$3:$W$35,2,FALSE),'RES Assumptions T15'!$E$2:$S$2,0))</f>
        <v>0</v>
      </c>
      <c r="AD40" s="14">
        <f ca="1">OFFSET('RES Assumptions T15'!$D40,0,MATCH(VLOOKUP('RES Assumptions'!AD$2,'RES Assumptions T15'!$V$3:$W$35,2,FALSE),'RES Assumptions T15'!$E$2:$S$2,0))</f>
        <v>0</v>
      </c>
      <c r="AE40" s="14">
        <f ca="1">OFFSET('RES Assumptions T15'!$D40,0,MATCH(VLOOKUP('RES Assumptions'!AE$2,'RES Assumptions T15'!$V$3:$W$35,2,FALSE),'RES Assumptions T15'!$E$2:$S$2,0))</f>
        <v>0</v>
      </c>
      <c r="AF40" s="14">
        <f ca="1">OFFSET('RES Assumptions T15'!$D40,0,MATCH(VLOOKUP('RES Assumptions'!AF$2,'RES Assumptions T15'!$V$3:$W$35,2,FALSE),'RES Assumptions T15'!$E$2:$S$2,0))</f>
        <v>0</v>
      </c>
      <c r="AG40" s="14">
        <f ca="1">OFFSET('RES Assumptions T15'!$D40,0,MATCH(VLOOKUP('RES Assumptions'!AG$2,'RES Assumptions T15'!$V$3:$W$35,2,FALSE),'RES Assumptions T15'!$E$2:$S$2,0))</f>
        <v>0</v>
      </c>
      <c r="AH40" s="14">
        <f ca="1">OFFSET('RES Assumptions T15'!$D40,0,MATCH(VLOOKUP('RES Assumptions'!AH$2,'RES Assumptions T15'!$V$3:$W$35,2,FALSE),'RES Assumptions T15'!$E$2:$S$2,0))</f>
        <v>0</v>
      </c>
      <c r="AK40" s="10">
        <f ca="1">IFERROR(SUMIFS('RES balance'!E$5:E$25,'RES balance'!$D$5:$D$25,'RES Assumptions'!$A40)*E40,"")</f>
        <v>0</v>
      </c>
      <c r="AL40" s="10">
        <f ca="1">IFERROR(SUMIFS('RES balance'!F$5:F$25,'RES balance'!$D$5:$D$25,'RES Assumptions'!$A40)*F40,"")</f>
        <v>0</v>
      </c>
      <c r="AM40" s="10">
        <f ca="1">IFERROR(SUMIFS('RES balance'!G$5:G$25,'RES balance'!$D$5:$D$25,'RES Assumptions'!$A40)*G40,"")</f>
        <v>0</v>
      </c>
      <c r="AN40" s="10">
        <f ca="1">IFERROR(SUMIFS('RES balance'!H$5:H$25,'RES balance'!$D$5:$D$25,'RES Assumptions'!$A40)*H40,"")</f>
        <v>0</v>
      </c>
      <c r="AO40" s="10">
        <f ca="1">IFERROR(SUMIFS('RES balance'!I$5:I$25,'RES balance'!$D$5:$D$25,'RES Assumptions'!$A40)*I40,"")</f>
        <v>0</v>
      </c>
      <c r="AP40" s="10">
        <f ca="1">IFERROR(SUMIFS('RES balance'!J$5:J$25,'RES balance'!$D$5:$D$25,'RES Assumptions'!$A40)*J40,"")</f>
        <v>0</v>
      </c>
      <c r="AQ40" s="10">
        <f ca="1">IFERROR(SUMIFS('RES balance'!K$5:K$25,'RES balance'!$D$5:$D$25,'RES Assumptions'!$A40)*K40,"")</f>
        <v>0</v>
      </c>
      <c r="AR40" s="10">
        <f ca="1">IFERROR(SUMIFS('RES balance'!L$5:L$25,'RES balance'!$D$5:$D$25,'RES Assumptions'!$A40)*L40,"")</f>
        <v>0</v>
      </c>
      <c r="AS40" s="10">
        <f ca="1">IFERROR(SUMIFS('RES balance'!M$5:M$25,'RES balance'!$D$5:$D$25,'RES Assumptions'!$A40)*M40,"")</f>
        <v>0</v>
      </c>
      <c r="AT40" s="10">
        <f ca="1">IFERROR(SUMIFS('RES balance'!N$5:N$25,'RES balance'!$D$5:$D$25,'RES Assumptions'!$A40)*N40,"")</f>
        <v>0</v>
      </c>
      <c r="AU40" s="10">
        <f ca="1">IFERROR(SUMIFS('RES balance'!O$5:O$25,'RES balance'!$D$5:$D$25,'RES Assumptions'!$A40)*O40,"")</f>
        <v>0</v>
      </c>
      <c r="AV40" s="10">
        <f ca="1">IFERROR(SUMIFS('RES balance'!P$5:P$25,'RES balance'!$D$5:$D$25,'RES Assumptions'!$A40)*P40,"")</f>
        <v>0</v>
      </c>
      <c r="AW40" s="10">
        <f ca="1">IFERROR(SUMIFS('RES balance'!Q$5:Q$25,'RES balance'!$D$5:$D$25,'RES Assumptions'!$A40)*Q40,"")</f>
        <v>0</v>
      </c>
      <c r="AX40" s="10">
        <f ca="1">IFERROR(SUMIFS('RES balance'!R$5:R$25,'RES balance'!$D$5:$D$25,'RES Assumptions'!$A40)*R40,"")</f>
        <v>0</v>
      </c>
      <c r="AY40" s="10">
        <f ca="1">IFERROR(SUMIFS('RES balance'!S$5:S$25,'RES balance'!$D$5:$D$25,'RES Assumptions'!$A40)*S40,"")</f>
        <v>0</v>
      </c>
      <c r="AZ40" s="10">
        <f ca="1">IFERROR(SUMIFS('RES balance'!T$5:T$25,'RES balance'!$D$5:$D$25,'RES Assumptions'!$A40)*T40,"")</f>
        <v>0</v>
      </c>
      <c r="BA40" s="10">
        <f ca="1">IFERROR(SUMIFS('RES balance'!U$5:U$25,'RES balance'!$D$5:$D$25,'RES Assumptions'!$A40)*U40,"")</f>
        <v>0</v>
      </c>
      <c r="BB40" s="10">
        <f ca="1">IFERROR(SUMIFS('RES balance'!V$5:V$25,'RES balance'!$D$5:$D$25,'RES Assumptions'!$A40)*V40,"")</f>
        <v>0</v>
      </c>
      <c r="BC40" s="10">
        <f ca="1">IFERROR(SUMIFS('RES balance'!W$5:W$25,'RES balance'!$D$5:$D$25,'RES Assumptions'!$A40)*W40,"")</f>
        <v>0</v>
      </c>
      <c r="BD40" s="10">
        <f ca="1">IFERROR(SUMIFS('RES balance'!X$5:X$25,'RES balance'!$D$5:$D$25,'RES Assumptions'!$A40)*X40,"")</f>
        <v>0</v>
      </c>
      <c r="BE40" s="10">
        <f ca="1">IFERROR(SUMIFS('RES balance'!Y$5:Y$25,'RES balance'!$D$5:$D$25,'RES Assumptions'!$A40)*Y40,"")</f>
        <v>0</v>
      </c>
      <c r="BF40" s="10">
        <f ca="1">IFERROR(SUMIFS('RES balance'!Z$5:Z$25,'RES balance'!$D$5:$D$25,'RES Assumptions'!$A40)*Z40,"")</f>
        <v>0</v>
      </c>
      <c r="BG40" s="10">
        <f ca="1">IFERROR(SUMIFS('RES balance'!AA$5:AA$25,'RES balance'!$D$5:$D$25,'RES Assumptions'!$A40)*AA40,"")</f>
        <v>0</v>
      </c>
      <c r="BH40" s="10">
        <f ca="1">IFERROR(SUMIFS('RES balance'!AB$5:AB$25,'RES balance'!$D$5:$D$25,'RES Assumptions'!$A40)*AB40,"")</f>
        <v>0</v>
      </c>
      <c r="BI40" s="10">
        <f ca="1">IFERROR(SUMIFS('RES balance'!AC$5:AC$25,'RES balance'!$D$5:$D$25,'RES Assumptions'!$A40)*AC40,"")</f>
        <v>0</v>
      </c>
      <c r="BJ40" s="10">
        <f ca="1">IFERROR(SUMIFS('RES balance'!AD$5:AD$25,'RES balance'!$D$5:$D$25,'RES Assumptions'!$A40)*AD40,"")</f>
        <v>0</v>
      </c>
      <c r="BK40" s="10">
        <f ca="1">IFERROR(SUMIFS('RES balance'!AE$5:AE$25,'RES balance'!$D$5:$D$25,'RES Assumptions'!$A40)*AE40,"")</f>
        <v>0</v>
      </c>
      <c r="BL40" s="10">
        <f ca="1">IFERROR(SUMIFS('RES balance'!AF$5:AF$25,'RES balance'!$D$5:$D$25,'RES Assumptions'!$A40)*AF40,"")</f>
        <v>0</v>
      </c>
      <c r="BM40" s="10">
        <f ca="1">IFERROR(SUMIFS('RES balance'!AG$5:AG$25,'RES balance'!$D$5:$D$25,'RES Assumptions'!$A40)*AG40,"")</f>
        <v>0</v>
      </c>
      <c r="BN40" s="10">
        <f ca="1">IFERROR(SUMIFS('RES balance'!AH$5:AH$25,'RES balance'!$D$5:$D$25,'RES Assumptions'!$A40)*AH40,"")</f>
        <v>0</v>
      </c>
    </row>
    <row r="41" spans="1:66" x14ac:dyDescent="0.45">
      <c r="A41" s="8">
        <f>VLOOKUP(C41,'RES balance'!$AL$5:$AM$25,2,FALSE)</f>
        <v>0</v>
      </c>
      <c r="B41" s="36"/>
      <c r="C41" s="20" t="s">
        <v>78</v>
      </c>
      <c r="D41" s="21" t="s">
        <v>62</v>
      </c>
      <c r="E41" s="14">
        <f ca="1">OFFSET('RES Assumptions T15'!$D41,0,MATCH(VLOOKUP('RES Assumptions'!E$2,'RES Assumptions T15'!$V$3:$W$35,2,FALSE),'RES Assumptions T15'!$E$2:$S$2,0))</f>
        <v>0.1</v>
      </c>
      <c r="F41" s="14">
        <f ca="1">OFFSET('RES Assumptions T15'!$D41,0,MATCH(VLOOKUP('RES Assumptions'!F$2,'RES Assumptions T15'!$V$3:$W$35,2,FALSE),'RES Assumptions T15'!$E$2:$S$2,0))</f>
        <v>0.1</v>
      </c>
      <c r="G41" s="14">
        <f ca="1">OFFSET('RES Assumptions T15'!$D41,0,MATCH(VLOOKUP('RES Assumptions'!G$2,'RES Assumptions T15'!$V$3:$W$35,2,FALSE),'RES Assumptions T15'!$E$2:$S$2,0))</f>
        <v>0.1</v>
      </c>
      <c r="H41" s="14">
        <f ca="1">OFFSET('RES Assumptions T15'!$D41,0,MATCH(VLOOKUP('RES Assumptions'!H$2,'RES Assumptions T15'!$V$3:$W$35,2,FALSE),'RES Assumptions T15'!$E$2:$S$2,0))</f>
        <v>0.75</v>
      </c>
      <c r="I41" s="14">
        <f ca="1">OFFSET('RES Assumptions T15'!$D41,0,MATCH(VLOOKUP('RES Assumptions'!I$2,'RES Assumptions T15'!$V$3:$W$35,2,FALSE),'RES Assumptions T15'!$E$2:$S$2,0))</f>
        <v>1</v>
      </c>
      <c r="J41" s="14">
        <f ca="1">OFFSET('RES Assumptions T15'!$D41,0,MATCH(VLOOKUP('RES Assumptions'!J$2,'RES Assumptions T15'!$V$3:$W$35,2,FALSE),'RES Assumptions T15'!$E$2:$S$2,0))</f>
        <v>0.2</v>
      </c>
      <c r="K41" s="14">
        <f ca="1">OFFSET('RES Assumptions T15'!$D41,0,MATCH(VLOOKUP('RES Assumptions'!K$2,'RES Assumptions T15'!$V$3:$W$35,2,FALSE),'RES Assumptions T15'!$E$2:$S$2,0))</f>
        <v>0.7</v>
      </c>
      <c r="L41" s="14">
        <f ca="1">OFFSET('RES Assumptions T15'!$D41,0,MATCH(VLOOKUP('RES Assumptions'!L$2,'RES Assumptions T15'!$V$3:$W$35,2,FALSE),'RES Assumptions T15'!$E$2:$S$2,0))</f>
        <v>0.1</v>
      </c>
      <c r="M41" s="14">
        <f ca="1">OFFSET('RES Assumptions T15'!$D41,0,MATCH(VLOOKUP('RES Assumptions'!M$2,'RES Assumptions T15'!$V$3:$W$35,2,FALSE),'RES Assumptions T15'!$E$2:$S$2,0))</f>
        <v>1</v>
      </c>
      <c r="N41" s="14">
        <f ca="1">OFFSET('RES Assumptions T15'!$D41,0,MATCH(VLOOKUP('RES Assumptions'!N$2,'RES Assumptions T15'!$V$3:$W$35,2,FALSE),'RES Assumptions T15'!$E$2:$S$2,0))</f>
        <v>0.47</v>
      </c>
      <c r="O41" s="14">
        <f ca="1">OFFSET('RES Assumptions T15'!$D41,0,MATCH(VLOOKUP('RES Assumptions'!O$2,'RES Assumptions T15'!$V$3:$W$35,2,FALSE),'RES Assumptions T15'!$E$2:$S$2,0))</f>
        <v>0.9</v>
      </c>
      <c r="P41" s="14">
        <f ca="1">OFFSET('RES Assumptions T15'!$D41,0,MATCH(VLOOKUP('RES Assumptions'!P$2,'RES Assumptions T15'!$V$3:$W$35,2,FALSE),'RES Assumptions T15'!$E$2:$S$2,0))</f>
        <v>0.75</v>
      </c>
      <c r="Q41" s="14">
        <f ca="1">OFFSET('RES Assumptions T15'!$D41,0,MATCH(VLOOKUP('RES Assumptions'!Q$2,'RES Assumptions T15'!$V$3:$W$35,2,FALSE),'RES Assumptions T15'!$E$2:$S$2,0))</f>
        <v>0.9</v>
      </c>
      <c r="R41" s="14">
        <f ca="1">OFFSET('RES Assumptions T15'!$D41,0,MATCH(VLOOKUP('RES Assumptions'!R$2,'RES Assumptions T15'!$V$3:$W$35,2,FALSE),'RES Assumptions T15'!$E$2:$S$2,0))</f>
        <v>0.9</v>
      </c>
      <c r="S41" s="14">
        <f ca="1">OFFSET('RES Assumptions T15'!$D41,0,MATCH(VLOOKUP('RES Assumptions'!S$2,'RES Assumptions T15'!$V$3:$W$35,2,FALSE),'RES Assumptions T15'!$E$2:$S$2,0))</f>
        <v>0.75</v>
      </c>
      <c r="T41" s="14">
        <f ca="1">OFFSET('RES Assumptions T15'!$D41,0,MATCH(VLOOKUP('RES Assumptions'!T$2,'RES Assumptions T15'!$V$3:$W$35,2,FALSE),'RES Assumptions T15'!$E$2:$S$2,0))</f>
        <v>0.9</v>
      </c>
      <c r="U41" s="14">
        <f ca="1">OFFSET('RES Assumptions T15'!$D41,0,MATCH(VLOOKUP('RES Assumptions'!U$2,'RES Assumptions T15'!$V$3:$W$35,2,FALSE),'RES Assumptions T15'!$E$2:$S$2,0))</f>
        <v>0.01</v>
      </c>
      <c r="V41" s="14">
        <f ca="1">OFFSET('RES Assumptions T15'!$D41,0,MATCH(VLOOKUP('RES Assumptions'!V$2,'RES Assumptions T15'!$V$3:$W$35,2,FALSE),'RES Assumptions T15'!$E$2:$S$2,0))</f>
        <v>0.9</v>
      </c>
      <c r="W41" s="14">
        <f ca="1">OFFSET('RES Assumptions T15'!$D41,0,MATCH(VLOOKUP('RES Assumptions'!W$2,'RES Assumptions T15'!$V$3:$W$35,2,FALSE),'RES Assumptions T15'!$E$2:$S$2,0))</f>
        <v>0.9</v>
      </c>
      <c r="X41" s="14">
        <f ca="1">OFFSET('RES Assumptions T15'!$D41,0,MATCH(VLOOKUP('RES Assumptions'!X$2,'RES Assumptions T15'!$V$3:$W$35,2,FALSE),'RES Assumptions T15'!$E$2:$S$2,0))</f>
        <v>0.1</v>
      </c>
      <c r="Y41" s="14">
        <f ca="1">OFFSET('RES Assumptions T15'!$D41,0,MATCH(VLOOKUP('RES Assumptions'!Y$2,'RES Assumptions T15'!$V$3:$W$35,2,FALSE),'RES Assumptions T15'!$E$2:$S$2,0))</f>
        <v>0.1</v>
      </c>
      <c r="Z41" s="14">
        <f ca="1">OFFSET('RES Assumptions T15'!$D41,0,MATCH(VLOOKUP('RES Assumptions'!Z$2,'RES Assumptions T15'!$V$3:$W$35,2,FALSE),'RES Assumptions T15'!$E$2:$S$2,0))</f>
        <v>0.1</v>
      </c>
      <c r="AA41" s="14">
        <f ca="1">OFFSET('RES Assumptions T15'!$D41,0,MATCH(VLOOKUP('RES Assumptions'!AA$2,'RES Assumptions T15'!$V$3:$W$35,2,FALSE),'RES Assumptions T15'!$E$2:$S$2,0))</f>
        <v>0.01</v>
      </c>
      <c r="AB41" s="14">
        <f ca="1">OFFSET('RES Assumptions T15'!$D41,0,MATCH(VLOOKUP('RES Assumptions'!AB$2,'RES Assumptions T15'!$V$3:$W$35,2,FALSE),'RES Assumptions T15'!$E$2:$S$2,0))</f>
        <v>0.9</v>
      </c>
      <c r="AC41" s="14">
        <f ca="1">OFFSET('RES Assumptions T15'!$D41,0,MATCH(VLOOKUP('RES Assumptions'!AC$2,'RES Assumptions T15'!$V$3:$W$35,2,FALSE),'RES Assumptions T15'!$E$2:$S$2,0))</f>
        <v>0.75</v>
      </c>
      <c r="AD41" s="14">
        <f ca="1">OFFSET('RES Assumptions T15'!$D41,0,MATCH(VLOOKUP('RES Assumptions'!AD$2,'RES Assumptions T15'!$V$3:$W$35,2,FALSE),'RES Assumptions T15'!$E$2:$S$2,0))</f>
        <v>0.01</v>
      </c>
      <c r="AE41" s="14">
        <f ca="1">OFFSET('RES Assumptions T15'!$D41,0,MATCH(VLOOKUP('RES Assumptions'!AE$2,'RES Assumptions T15'!$V$3:$W$35,2,FALSE),'RES Assumptions T15'!$E$2:$S$2,0))</f>
        <v>0.1</v>
      </c>
      <c r="AF41" s="14">
        <f ca="1">OFFSET('RES Assumptions T15'!$D41,0,MATCH(VLOOKUP('RES Assumptions'!AF$2,'RES Assumptions T15'!$V$3:$W$35,2,FALSE),'RES Assumptions T15'!$E$2:$S$2,0))</f>
        <v>0.9</v>
      </c>
      <c r="AG41" s="14">
        <f ca="1">OFFSET('RES Assumptions T15'!$D41,0,MATCH(VLOOKUP('RES Assumptions'!AG$2,'RES Assumptions T15'!$V$3:$W$35,2,FALSE),'RES Assumptions T15'!$E$2:$S$2,0))</f>
        <v>1</v>
      </c>
      <c r="AH41" s="14">
        <f ca="1">OFFSET('RES Assumptions T15'!$D41,0,MATCH(VLOOKUP('RES Assumptions'!AH$2,'RES Assumptions T15'!$V$3:$W$35,2,FALSE),'RES Assumptions T15'!$E$2:$S$2,0))</f>
        <v>1</v>
      </c>
      <c r="AK41" s="10">
        <f ca="1">IFERROR(SUMIFS('RES balance'!E$5:E$25,'RES balance'!$D$5:$D$25,'RES Assumptions'!$A41)*E41,"")</f>
        <v>0</v>
      </c>
      <c r="AL41" s="10">
        <f ca="1">IFERROR(SUMIFS('RES balance'!F$5:F$25,'RES balance'!$D$5:$D$25,'RES Assumptions'!$A41)*F41,"")</f>
        <v>0</v>
      </c>
      <c r="AM41" s="10">
        <f ca="1">IFERROR(SUMIFS('RES balance'!G$5:G$25,'RES balance'!$D$5:$D$25,'RES Assumptions'!$A41)*G41,"")</f>
        <v>0</v>
      </c>
      <c r="AN41" s="10">
        <f ca="1">IFERROR(SUMIFS('RES balance'!H$5:H$25,'RES balance'!$D$5:$D$25,'RES Assumptions'!$A41)*H41,"")</f>
        <v>0</v>
      </c>
      <c r="AO41" s="10">
        <f ca="1">IFERROR(SUMIFS('RES balance'!I$5:I$25,'RES balance'!$D$5:$D$25,'RES Assumptions'!$A41)*I41,"")</f>
        <v>0</v>
      </c>
      <c r="AP41" s="10">
        <f ca="1">IFERROR(SUMIFS('RES balance'!J$5:J$25,'RES balance'!$D$5:$D$25,'RES Assumptions'!$A41)*J41,"")</f>
        <v>0</v>
      </c>
      <c r="AQ41" s="10">
        <f ca="1">IFERROR(SUMIFS('RES balance'!K$5:K$25,'RES balance'!$D$5:$D$25,'RES Assumptions'!$A41)*K41,"")</f>
        <v>0</v>
      </c>
      <c r="AR41" s="10">
        <f ca="1">IFERROR(SUMIFS('RES balance'!L$5:L$25,'RES balance'!$D$5:$D$25,'RES Assumptions'!$A41)*L41,"")</f>
        <v>0</v>
      </c>
      <c r="AS41" s="10">
        <f ca="1">IFERROR(SUMIFS('RES balance'!M$5:M$25,'RES balance'!$D$5:$D$25,'RES Assumptions'!$A41)*M41,"")</f>
        <v>0</v>
      </c>
      <c r="AT41" s="10">
        <f ca="1">IFERROR(SUMIFS('RES balance'!N$5:N$25,'RES balance'!$D$5:$D$25,'RES Assumptions'!$A41)*N41,"")</f>
        <v>0</v>
      </c>
      <c r="AU41" s="10">
        <f ca="1">IFERROR(SUMIFS('RES balance'!O$5:O$25,'RES balance'!$D$5:$D$25,'RES Assumptions'!$A41)*O41,"")</f>
        <v>0</v>
      </c>
      <c r="AV41" s="10">
        <f ca="1">IFERROR(SUMIFS('RES balance'!P$5:P$25,'RES balance'!$D$5:$D$25,'RES Assumptions'!$A41)*P41,"")</f>
        <v>0</v>
      </c>
      <c r="AW41" s="10">
        <f ca="1">IFERROR(SUMIFS('RES balance'!Q$5:Q$25,'RES balance'!$D$5:$D$25,'RES Assumptions'!$A41)*Q41,"")</f>
        <v>0</v>
      </c>
      <c r="AX41" s="10">
        <f ca="1">IFERROR(SUMIFS('RES balance'!R$5:R$25,'RES balance'!$D$5:$D$25,'RES Assumptions'!$A41)*R41,"")</f>
        <v>0</v>
      </c>
      <c r="AY41" s="10">
        <f ca="1">IFERROR(SUMIFS('RES balance'!S$5:S$25,'RES balance'!$D$5:$D$25,'RES Assumptions'!$A41)*S41,"")</f>
        <v>0</v>
      </c>
      <c r="AZ41" s="10">
        <f ca="1">IFERROR(SUMIFS('RES balance'!T$5:T$25,'RES balance'!$D$5:$D$25,'RES Assumptions'!$A41)*T41,"")</f>
        <v>0</v>
      </c>
      <c r="BA41" s="10">
        <f ca="1">IFERROR(SUMIFS('RES balance'!U$5:U$25,'RES balance'!$D$5:$D$25,'RES Assumptions'!$A41)*U41,"")</f>
        <v>0</v>
      </c>
      <c r="BB41" s="10">
        <f ca="1">IFERROR(SUMIFS('RES balance'!V$5:V$25,'RES balance'!$D$5:$D$25,'RES Assumptions'!$A41)*V41,"")</f>
        <v>0</v>
      </c>
      <c r="BC41" s="10">
        <f ca="1">IFERROR(SUMIFS('RES balance'!W$5:W$25,'RES balance'!$D$5:$D$25,'RES Assumptions'!$A41)*W41,"")</f>
        <v>0</v>
      </c>
      <c r="BD41" s="10">
        <f ca="1">IFERROR(SUMIFS('RES balance'!X$5:X$25,'RES balance'!$D$5:$D$25,'RES Assumptions'!$A41)*X41,"")</f>
        <v>0</v>
      </c>
      <c r="BE41" s="10">
        <f ca="1">IFERROR(SUMIFS('RES balance'!Y$5:Y$25,'RES balance'!$D$5:$D$25,'RES Assumptions'!$A41)*Y41,"")</f>
        <v>0</v>
      </c>
      <c r="BF41" s="10">
        <f ca="1">IFERROR(SUMIFS('RES balance'!Z$5:Z$25,'RES balance'!$D$5:$D$25,'RES Assumptions'!$A41)*Z41,"")</f>
        <v>0</v>
      </c>
      <c r="BG41" s="10">
        <f ca="1">IFERROR(SUMIFS('RES balance'!AA$5:AA$25,'RES balance'!$D$5:$D$25,'RES Assumptions'!$A41)*AA41,"")</f>
        <v>0</v>
      </c>
      <c r="BH41" s="10">
        <f ca="1">IFERROR(SUMIFS('RES balance'!AB$5:AB$25,'RES balance'!$D$5:$D$25,'RES Assumptions'!$A41)*AB41,"")</f>
        <v>0</v>
      </c>
      <c r="BI41" s="10">
        <f ca="1">IFERROR(SUMIFS('RES balance'!AC$5:AC$25,'RES balance'!$D$5:$D$25,'RES Assumptions'!$A41)*AC41,"")</f>
        <v>0</v>
      </c>
      <c r="BJ41" s="10">
        <f ca="1">IFERROR(SUMIFS('RES balance'!AD$5:AD$25,'RES balance'!$D$5:$D$25,'RES Assumptions'!$A41)*AD41,"")</f>
        <v>0</v>
      </c>
      <c r="BK41" s="10">
        <f ca="1">IFERROR(SUMIFS('RES balance'!AE$5:AE$25,'RES balance'!$D$5:$D$25,'RES Assumptions'!$A41)*AE41,"")</f>
        <v>0</v>
      </c>
      <c r="BL41" s="10">
        <f ca="1">IFERROR(SUMIFS('RES balance'!AF$5:AF$25,'RES balance'!$D$5:$D$25,'RES Assumptions'!$A41)*AF41,"")</f>
        <v>0</v>
      </c>
      <c r="BM41" s="10">
        <f ca="1">IFERROR(SUMIFS('RES balance'!AG$5:AG$25,'RES balance'!$D$5:$D$25,'RES Assumptions'!$A41)*AG41,"")</f>
        <v>0</v>
      </c>
      <c r="BN41" s="10">
        <f ca="1">IFERROR(SUMIFS('RES balance'!AH$5:AH$25,'RES balance'!$D$5:$D$25,'RES Assumptions'!$A41)*AH41,"")</f>
        <v>0</v>
      </c>
    </row>
    <row r="42" spans="1:66" x14ac:dyDescent="0.45">
      <c r="A42" s="8">
        <f>VLOOKUP(C42,'RES balance'!$AL$5:$AM$25,2,FALSE)</f>
        <v>0</v>
      </c>
      <c r="B42" s="36"/>
      <c r="C42" s="20" t="s">
        <v>78</v>
      </c>
      <c r="D42" s="21" t="s">
        <v>64</v>
      </c>
      <c r="E42" s="14">
        <f ca="1">OFFSET('RES Assumptions T15'!$D42,0,MATCH(VLOOKUP('RES Assumptions'!E$2,'RES Assumptions T15'!$V$3:$W$35,2,FALSE),'RES Assumptions T15'!$E$2:$S$2,0))</f>
        <v>0.89999999999999991</v>
      </c>
      <c r="F42" s="14">
        <f ca="1">OFFSET('RES Assumptions T15'!$D42,0,MATCH(VLOOKUP('RES Assumptions'!F$2,'RES Assumptions T15'!$V$3:$W$35,2,FALSE),'RES Assumptions T15'!$E$2:$S$2,0))</f>
        <v>0.89999999999999991</v>
      </c>
      <c r="G42" s="14">
        <f ca="1">OFFSET('RES Assumptions T15'!$D42,0,MATCH(VLOOKUP('RES Assumptions'!G$2,'RES Assumptions T15'!$V$3:$W$35,2,FALSE),'RES Assumptions T15'!$E$2:$S$2,0))</f>
        <v>0.89999999999999991</v>
      </c>
      <c r="H42" s="14">
        <f ca="1">OFFSET('RES Assumptions T15'!$D42,0,MATCH(VLOOKUP('RES Assumptions'!H$2,'RES Assumptions T15'!$V$3:$W$35,2,FALSE),'RES Assumptions T15'!$E$2:$S$2,0))</f>
        <v>0.25</v>
      </c>
      <c r="I42" s="14">
        <f ca="1">OFFSET('RES Assumptions T15'!$D42,0,MATCH(VLOOKUP('RES Assumptions'!I$2,'RES Assumptions T15'!$V$3:$W$35,2,FALSE),'RES Assumptions T15'!$E$2:$S$2,0))</f>
        <v>0</v>
      </c>
      <c r="J42" s="14">
        <f ca="1">OFFSET('RES Assumptions T15'!$D42,0,MATCH(VLOOKUP('RES Assumptions'!J$2,'RES Assumptions T15'!$V$3:$W$35,2,FALSE),'RES Assumptions T15'!$E$2:$S$2,0))</f>
        <v>0.8</v>
      </c>
      <c r="K42" s="14">
        <f ca="1">OFFSET('RES Assumptions T15'!$D42,0,MATCH(VLOOKUP('RES Assumptions'!K$2,'RES Assumptions T15'!$V$3:$W$35,2,FALSE),'RES Assumptions T15'!$E$2:$S$2,0))</f>
        <v>0.30000000000000004</v>
      </c>
      <c r="L42" s="14">
        <f ca="1">OFFSET('RES Assumptions T15'!$D42,0,MATCH(VLOOKUP('RES Assumptions'!L$2,'RES Assumptions T15'!$V$3:$W$35,2,FALSE),'RES Assumptions T15'!$E$2:$S$2,0))</f>
        <v>0.89999999999999991</v>
      </c>
      <c r="M42" s="14">
        <f ca="1">OFFSET('RES Assumptions T15'!$D42,0,MATCH(VLOOKUP('RES Assumptions'!M$2,'RES Assumptions T15'!$V$3:$W$35,2,FALSE),'RES Assumptions T15'!$E$2:$S$2,0))</f>
        <v>0</v>
      </c>
      <c r="N42" s="14">
        <f ca="1">OFFSET('RES Assumptions T15'!$D42,0,MATCH(VLOOKUP('RES Assumptions'!N$2,'RES Assumptions T15'!$V$3:$W$35,2,FALSE),'RES Assumptions T15'!$E$2:$S$2,0))</f>
        <v>0.53</v>
      </c>
      <c r="O42" s="14">
        <f ca="1">OFFSET('RES Assumptions T15'!$D42,0,MATCH(VLOOKUP('RES Assumptions'!O$2,'RES Assumptions T15'!$V$3:$W$35,2,FALSE),'RES Assumptions T15'!$E$2:$S$2,0))</f>
        <v>0.1</v>
      </c>
      <c r="P42" s="14">
        <f ca="1">OFFSET('RES Assumptions T15'!$D42,0,MATCH(VLOOKUP('RES Assumptions'!P$2,'RES Assumptions T15'!$V$3:$W$35,2,FALSE),'RES Assumptions T15'!$E$2:$S$2,0))</f>
        <v>0.25</v>
      </c>
      <c r="Q42" s="14">
        <f ca="1">OFFSET('RES Assumptions T15'!$D42,0,MATCH(VLOOKUP('RES Assumptions'!Q$2,'RES Assumptions T15'!$V$3:$W$35,2,FALSE),'RES Assumptions T15'!$E$2:$S$2,0))</f>
        <v>0.1</v>
      </c>
      <c r="R42" s="14">
        <f ca="1">OFFSET('RES Assumptions T15'!$D42,0,MATCH(VLOOKUP('RES Assumptions'!R$2,'RES Assumptions T15'!$V$3:$W$35,2,FALSE),'RES Assumptions T15'!$E$2:$S$2,0))</f>
        <v>0.1</v>
      </c>
      <c r="S42" s="14">
        <f ca="1">OFFSET('RES Assumptions T15'!$D42,0,MATCH(VLOOKUP('RES Assumptions'!S$2,'RES Assumptions T15'!$V$3:$W$35,2,FALSE),'RES Assumptions T15'!$E$2:$S$2,0))</f>
        <v>0.25</v>
      </c>
      <c r="T42" s="14">
        <f ca="1">OFFSET('RES Assumptions T15'!$D42,0,MATCH(VLOOKUP('RES Assumptions'!T$2,'RES Assumptions T15'!$V$3:$W$35,2,FALSE),'RES Assumptions T15'!$E$2:$S$2,0))</f>
        <v>0.1</v>
      </c>
      <c r="U42" s="14">
        <f ca="1">OFFSET('RES Assumptions T15'!$D42,0,MATCH(VLOOKUP('RES Assumptions'!U$2,'RES Assumptions T15'!$V$3:$W$35,2,FALSE),'RES Assumptions T15'!$E$2:$S$2,0))</f>
        <v>0.99</v>
      </c>
      <c r="V42" s="14">
        <f ca="1">OFFSET('RES Assumptions T15'!$D42,0,MATCH(VLOOKUP('RES Assumptions'!V$2,'RES Assumptions T15'!$V$3:$W$35,2,FALSE),'RES Assumptions T15'!$E$2:$S$2,0))</f>
        <v>0.1</v>
      </c>
      <c r="W42" s="14">
        <f ca="1">OFFSET('RES Assumptions T15'!$D42,0,MATCH(VLOOKUP('RES Assumptions'!W$2,'RES Assumptions T15'!$V$3:$W$35,2,FALSE),'RES Assumptions T15'!$E$2:$S$2,0))</f>
        <v>0.1</v>
      </c>
      <c r="X42" s="14">
        <f ca="1">OFFSET('RES Assumptions T15'!$D42,0,MATCH(VLOOKUP('RES Assumptions'!X$2,'RES Assumptions T15'!$V$3:$W$35,2,FALSE),'RES Assumptions T15'!$E$2:$S$2,0))</f>
        <v>0.89999999999999991</v>
      </c>
      <c r="Y42" s="14">
        <f ca="1">OFFSET('RES Assumptions T15'!$D42,0,MATCH(VLOOKUP('RES Assumptions'!Y$2,'RES Assumptions T15'!$V$3:$W$35,2,FALSE),'RES Assumptions T15'!$E$2:$S$2,0))</f>
        <v>0.89999999999999991</v>
      </c>
      <c r="Z42" s="14">
        <f ca="1">OFFSET('RES Assumptions T15'!$D42,0,MATCH(VLOOKUP('RES Assumptions'!Z$2,'RES Assumptions T15'!$V$3:$W$35,2,FALSE),'RES Assumptions T15'!$E$2:$S$2,0))</f>
        <v>0.89999999999999991</v>
      </c>
      <c r="AA42" s="14">
        <f ca="1">OFFSET('RES Assumptions T15'!$D42,0,MATCH(VLOOKUP('RES Assumptions'!AA$2,'RES Assumptions T15'!$V$3:$W$35,2,FALSE),'RES Assumptions T15'!$E$2:$S$2,0))</f>
        <v>0.99</v>
      </c>
      <c r="AB42" s="14">
        <f ca="1">OFFSET('RES Assumptions T15'!$D42,0,MATCH(VLOOKUP('RES Assumptions'!AB$2,'RES Assumptions T15'!$V$3:$W$35,2,FALSE),'RES Assumptions T15'!$E$2:$S$2,0))</f>
        <v>0.1</v>
      </c>
      <c r="AC42" s="14">
        <f ca="1">OFFSET('RES Assumptions T15'!$D42,0,MATCH(VLOOKUP('RES Assumptions'!AC$2,'RES Assumptions T15'!$V$3:$W$35,2,FALSE),'RES Assumptions T15'!$E$2:$S$2,0))</f>
        <v>0.25</v>
      </c>
      <c r="AD42" s="14">
        <f ca="1">OFFSET('RES Assumptions T15'!$D42,0,MATCH(VLOOKUP('RES Assumptions'!AD$2,'RES Assumptions T15'!$V$3:$W$35,2,FALSE),'RES Assumptions T15'!$E$2:$S$2,0))</f>
        <v>0.99</v>
      </c>
      <c r="AE42" s="14">
        <f ca="1">OFFSET('RES Assumptions T15'!$D42,0,MATCH(VLOOKUP('RES Assumptions'!AE$2,'RES Assumptions T15'!$V$3:$W$35,2,FALSE),'RES Assumptions T15'!$E$2:$S$2,0))</f>
        <v>0.89999999999999991</v>
      </c>
      <c r="AF42" s="14">
        <f ca="1">OFFSET('RES Assumptions T15'!$D42,0,MATCH(VLOOKUP('RES Assumptions'!AF$2,'RES Assumptions T15'!$V$3:$W$35,2,FALSE),'RES Assumptions T15'!$E$2:$S$2,0))</f>
        <v>0.1</v>
      </c>
      <c r="AG42" s="14">
        <f ca="1">OFFSET('RES Assumptions T15'!$D42,0,MATCH(VLOOKUP('RES Assumptions'!AG$2,'RES Assumptions T15'!$V$3:$W$35,2,FALSE),'RES Assumptions T15'!$E$2:$S$2,0))</f>
        <v>0</v>
      </c>
      <c r="AH42" s="14">
        <f ca="1">OFFSET('RES Assumptions T15'!$D42,0,MATCH(VLOOKUP('RES Assumptions'!AH$2,'RES Assumptions T15'!$V$3:$W$35,2,FALSE),'RES Assumptions T15'!$E$2:$S$2,0))</f>
        <v>0</v>
      </c>
      <c r="AK42" s="10">
        <f ca="1">IFERROR(SUMIFS('RES balance'!E$5:E$25,'RES balance'!$D$5:$D$25,'RES Assumptions'!$A42)*E42,"")</f>
        <v>0</v>
      </c>
      <c r="AL42" s="10">
        <f ca="1">IFERROR(SUMIFS('RES balance'!F$5:F$25,'RES balance'!$D$5:$D$25,'RES Assumptions'!$A42)*F42,"")</f>
        <v>0</v>
      </c>
      <c r="AM42" s="10">
        <f ca="1">IFERROR(SUMIFS('RES balance'!G$5:G$25,'RES balance'!$D$5:$D$25,'RES Assumptions'!$A42)*G42,"")</f>
        <v>0</v>
      </c>
      <c r="AN42" s="10">
        <f ca="1">IFERROR(SUMIFS('RES balance'!H$5:H$25,'RES balance'!$D$5:$D$25,'RES Assumptions'!$A42)*H42,"")</f>
        <v>0</v>
      </c>
      <c r="AO42" s="10">
        <f ca="1">IFERROR(SUMIFS('RES balance'!I$5:I$25,'RES balance'!$D$5:$D$25,'RES Assumptions'!$A42)*I42,"")</f>
        <v>0</v>
      </c>
      <c r="AP42" s="10">
        <f ca="1">IFERROR(SUMIFS('RES balance'!J$5:J$25,'RES balance'!$D$5:$D$25,'RES Assumptions'!$A42)*J42,"")</f>
        <v>0</v>
      </c>
      <c r="AQ42" s="10">
        <f ca="1">IFERROR(SUMIFS('RES balance'!K$5:K$25,'RES balance'!$D$5:$D$25,'RES Assumptions'!$A42)*K42,"")</f>
        <v>0</v>
      </c>
      <c r="AR42" s="10">
        <f ca="1">IFERROR(SUMIFS('RES balance'!L$5:L$25,'RES balance'!$D$5:$D$25,'RES Assumptions'!$A42)*L42,"")</f>
        <v>0</v>
      </c>
      <c r="AS42" s="10">
        <f ca="1">IFERROR(SUMIFS('RES balance'!M$5:M$25,'RES balance'!$D$5:$D$25,'RES Assumptions'!$A42)*M42,"")</f>
        <v>0</v>
      </c>
      <c r="AT42" s="10">
        <f ca="1">IFERROR(SUMIFS('RES balance'!N$5:N$25,'RES balance'!$D$5:$D$25,'RES Assumptions'!$A42)*N42,"")</f>
        <v>0</v>
      </c>
      <c r="AU42" s="10">
        <f ca="1">IFERROR(SUMIFS('RES balance'!O$5:O$25,'RES balance'!$D$5:$D$25,'RES Assumptions'!$A42)*O42,"")</f>
        <v>0</v>
      </c>
      <c r="AV42" s="10">
        <f ca="1">IFERROR(SUMIFS('RES balance'!P$5:P$25,'RES balance'!$D$5:$D$25,'RES Assumptions'!$A42)*P42,"")</f>
        <v>0</v>
      </c>
      <c r="AW42" s="10">
        <f ca="1">IFERROR(SUMIFS('RES balance'!Q$5:Q$25,'RES balance'!$D$5:$D$25,'RES Assumptions'!$A42)*Q42,"")</f>
        <v>0</v>
      </c>
      <c r="AX42" s="10">
        <f ca="1">IFERROR(SUMIFS('RES balance'!R$5:R$25,'RES balance'!$D$5:$D$25,'RES Assumptions'!$A42)*R42,"")</f>
        <v>0</v>
      </c>
      <c r="AY42" s="10">
        <f ca="1">IFERROR(SUMIFS('RES balance'!S$5:S$25,'RES balance'!$D$5:$D$25,'RES Assumptions'!$A42)*S42,"")</f>
        <v>0</v>
      </c>
      <c r="AZ42" s="10">
        <f ca="1">IFERROR(SUMIFS('RES balance'!T$5:T$25,'RES balance'!$D$5:$D$25,'RES Assumptions'!$A42)*T42,"")</f>
        <v>0</v>
      </c>
      <c r="BA42" s="10">
        <f ca="1">IFERROR(SUMIFS('RES balance'!U$5:U$25,'RES balance'!$D$5:$D$25,'RES Assumptions'!$A42)*U42,"")</f>
        <v>0</v>
      </c>
      <c r="BB42" s="10">
        <f ca="1">IFERROR(SUMIFS('RES balance'!V$5:V$25,'RES balance'!$D$5:$D$25,'RES Assumptions'!$A42)*V42,"")</f>
        <v>0</v>
      </c>
      <c r="BC42" s="10">
        <f ca="1">IFERROR(SUMIFS('RES balance'!W$5:W$25,'RES balance'!$D$5:$D$25,'RES Assumptions'!$A42)*W42,"")</f>
        <v>0</v>
      </c>
      <c r="BD42" s="10">
        <f ca="1">IFERROR(SUMIFS('RES balance'!X$5:X$25,'RES balance'!$D$5:$D$25,'RES Assumptions'!$A42)*X42,"")</f>
        <v>0</v>
      </c>
      <c r="BE42" s="10">
        <f ca="1">IFERROR(SUMIFS('RES balance'!Y$5:Y$25,'RES balance'!$D$5:$D$25,'RES Assumptions'!$A42)*Y42,"")</f>
        <v>0</v>
      </c>
      <c r="BF42" s="10">
        <f ca="1">IFERROR(SUMIFS('RES balance'!Z$5:Z$25,'RES balance'!$D$5:$D$25,'RES Assumptions'!$A42)*Z42,"")</f>
        <v>0</v>
      </c>
      <c r="BG42" s="10">
        <f ca="1">IFERROR(SUMIFS('RES balance'!AA$5:AA$25,'RES balance'!$D$5:$D$25,'RES Assumptions'!$A42)*AA42,"")</f>
        <v>0</v>
      </c>
      <c r="BH42" s="10">
        <f ca="1">IFERROR(SUMIFS('RES balance'!AB$5:AB$25,'RES balance'!$D$5:$D$25,'RES Assumptions'!$A42)*AB42,"")</f>
        <v>0</v>
      </c>
      <c r="BI42" s="10">
        <f ca="1">IFERROR(SUMIFS('RES balance'!AC$5:AC$25,'RES balance'!$D$5:$D$25,'RES Assumptions'!$A42)*AC42,"")</f>
        <v>0</v>
      </c>
      <c r="BJ42" s="10">
        <f ca="1">IFERROR(SUMIFS('RES balance'!AD$5:AD$25,'RES balance'!$D$5:$D$25,'RES Assumptions'!$A42)*AD42,"")</f>
        <v>0</v>
      </c>
      <c r="BK42" s="10">
        <f ca="1">IFERROR(SUMIFS('RES balance'!AE$5:AE$25,'RES balance'!$D$5:$D$25,'RES Assumptions'!$A42)*AE42,"")</f>
        <v>0</v>
      </c>
      <c r="BL42" s="10">
        <f ca="1">IFERROR(SUMIFS('RES balance'!AF$5:AF$25,'RES balance'!$D$5:$D$25,'RES Assumptions'!$A42)*AF42,"")</f>
        <v>0</v>
      </c>
      <c r="BM42" s="10">
        <f ca="1">IFERROR(SUMIFS('RES balance'!AG$5:AG$25,'RES balance'!$D$5:$D$25,'RES Assumptions'!$A42)*AG42,"")</f>
        <v>0</v>
      </c>
      <c r="BN42" s="10">
        <f ca="1">IFERROR(SUMIFS('RES balance'!AH$5:AH$25,'RES balance'!$D$5:$D$25,'RES Assumptions'!$A42)*AH42,"")</f>
        <v>0</v>
      </c>
    </row>
    <row r="43" spans="1:66" x14ac:dyDescent="0.45">
      <c r="A43" s="8">
        <f>VLOOKUP(C43,'RES balance'!$AL$5:$AM$25,2,FALSE)</f>
        <v>0</v>
      </c>
      <c r="B43" s="36"/>
      <c r="C43" s="22" t="s">
        <v>78</v>
      </c>
      <c r="D43" s="23" t="s">
        <v>70</v>
      </c>
      <c r="E43" s="14">
        <f ca="1">OFFSET('RES Assumptions T15'!$D43,0,MATCH(VLOOKUP('RES Assumptions'!E$2,'RES Assumptions T15'!$V$3:$W$35,2,FALSE),'RES Assumptions T15'!$E$2:$S$2,0))</f>
        <v>0</v>
      </c>
      <c r="F43" s="14">
        <f ca="1">OFFSET('RES Assumptions T15'!$D43,0,MATCH(VLOOKUP('RES Assumptions'!F$2,'RES Assumptions T15'!$V$3:$W$35,2,FALSE),'RES Assumptions T15'!$E$2:$S$2,0))</f>
        <v>0</v>
      </c>
      <c r="G43" s="14">
        <f ca="1">OFFSET('RES Assumptions T15'!$D43,0,MATCH(VLOOKUP('RES Assumptions'!G$2,'RES Assumptions T15'!$V$3:$W$35,2,FALSE),'RES Assumptions T15'!$E$2:$S$2,0))</f>
        <v>0</v>
      </c>
      <c r="H43" s="14">
        <f ca="1">OFFSET('RES Assumptions T15'!$D43,0,MATCH(VLOOKUP('RES Assumptions'!H$2,'RES Assumptions T15'!$V$3:$W$35,2,FALSE),'RES Assumptions T15'!$E$2:$S$2,0))</f>
        <v>0</v>
      </c>
      <c r="I43" s="14">
        <f ca="1">OFFSET('RES Assumptions T15'!$D43,0,MATCH(VLOOKUP('RES Assumptions'!I$2,'RES Assumptions T15'!$V$3:$W$35,2,FALSE),'RES Assumptions T15'!$E$2:$S$2,0))</f>
        <v>0</v>
      </c>
      <c r="J43" s="14">
        <f ca="1">OFFSET('RES Assumptions T15'!$D43,0,MATCH(VLOOKUP('RES Assumptions'!J$2,'RES Assumptions T15'!$V$3:$W$35,2,FALSE),'RES Assumptions T15'!$E$2:$S$2,0))</f>
        <v>0</v>
      </c>
      <c r="K43" s="14">
        <f ca="1">OFFSET('RES Assumptions T15'!$D43,0,MATCH(VLOOKUP('RES Assumptions'!K$2,'RES Assumptions T15'!$V$3:$W$35,2,FALSE),'RES Assumptions T15'!$E$2:$S$2,0))</f>
        <v>0</v>
      </c>
      <c r="L43" s="14">
        <f ca="1">OFFSET('RES Assumptions T15'!$D43,0,MATCH(VLOOKUP('RES Assumptions'!L$2,'RES Assumptions T15'!$V$3:$W$35,2,FALSE),'RES Assumptions T15'!$E$2:$S$2,0))</f>
        <v>0</v>
      </c>
      <c r="M43" s="14">
        <f ca="1">OFFSET('RES Assumptions T15'!$D43,0,MATCH(VLOOKUP('RES Assumptions'!M$2,'RES Assumptions T15'!$V$3:$W$35,2,FALSE),'RES Assumptions T15'!$E$2:$S$2,0))</f>
        <v>0</v>
      </c>
      <c r="N43" s="14">
        <f ca="1">OFFSET('RES Assumptions T15'!$D43,0,MATCH(VLOOKUP('RES Assumptions'!N$2,'RES Assumptions T15'!$V$3:$W$35,2,FALSE),'RES Assumptions T15'!$E$2:$S$2,0))</f>
        <v>0</v>
      </c>
      <c r="O43" s="14">
        <f ca="1">OFFSET('RES Assumptions T15'!$D43,0,MATCH(VLOOKUP('RES Assumptions'!O$2,'RES Assumptions T15'!$V$3:$W$35,2,FALSE),'RES Assumptions T15'!$E$2:$S$2,0))</f>
        <v>0</v>
      </c>
      <c r="P43" s="14">
        <f ca="1">OFFSET('RES Assumptions T15'!$D43,0,MATCH(VLOOKUP('RES Assumptions'!P$2,'RES Assumptions T15'!$V$3:$W$35,2,FALSE),'RES Assumptions T15'!$E$2:$S$2,0))</f>
        <v>0</v>
      </c>
      <c r="Q43" s="14">
        <f ca="1">OFFSET('RES Assumptions T15'!$D43,0,MATCH(VLOOKUP('RES Assumptions'!Q$2,'RES Assumptions T15'!$V$3:$W$35,2,FALSE),'RES Assumptions T15'!$E$2:$S$2,0))</f>
        <v>0</v>
      </c>
      <c r="R43" s="14">
        <f ca="1">OFFSET('RES Assumptions T15'!$D43,0,MATCH(VLOOKUP('RES Assumptions'!R$2,'RES Assumptions T15'!$V$3:$W$35,2,FALSE),'RES Assumptions T15'!$E$2:$S$2,0))</f>
        <v>0</v>
      </c>
      <c r="S43" s="14">
        <f ca="1">OFFSET('RES Assumptions T15'!$D43,0,MATCH(VLOOKUP('RES Assumptions'!S$2,'RES Assumptions T15'!$V$3:$W$35,2,FALSE),'RES Assumptions T15'!$E$2:$S$2,0))</f>
        <v>0</v>
      </c>
      <c r="T43" s="14">
        <f ca="1">OFFSET('RES Assumptions T15'!$D43,0,MATCH(VLOOKUP('RES Assumptions'!T$2,'RES Assumptions T15'!$V$3:$W$35,2,FALSE),'RES Assumptions T15'!$E$2:$S$2,0))</f>
        <v>0</v>
      </c>
      <c r="U43" s="14">
        <f ca="1">OFFSET('RES Assumptions T15'!$D43,0,MATCH(VLOOKUP('RES Assumptions'!U$2,'RES Assumptions T15'!$V$3:$W$35,2,FALSE),'RES Assumptions T15'!$E$2:$S$2,0))</f>
        <v>0</v>
      </c>
      <c r="V43" s="14">
        <f ca="1">OFFSET('RES Assumptions T15'!$D43,0,MATCH(VLOOKUP('RES Assumptions'!V$2,'RES Assumptions T15'!$V$3:$W$35,2,FALSE),'RES Assumptions T15'!$E$2:$S$2,0))</f>
        <v>0</v>
      </c>
      <c r="W43" s="14">
        <f ca="1">OFFSET('RES Assumptions T15'!$D43,0,MATCH(VLOOKUP('RES Assumptions'!W$2,'RES Assumptions T15'!$V$3:$W$35,2,FALSE),'RES Assumptions T15'!$E$2:$S$2,0))</f>
        <v>0</v>
      </c>
      <c r="X43" s="14">
        <f ca="1">OFFSET('RES Assumptions T15'!$D43,0,MATCH(VLOOKUP('RES Assumptions'!X$2,'RES Assumptions T15'!$V$3:$W$35,2,FALSE),'RES Assumptions T15'!$E$2:$S$2,0))</f>
        <v>0</v>
      </c>
      <c r="Y43" s="14">
        <f ca="1">OFFSET('RES Assumptions T15'!$D43,0,MATCH(VLOOKUP('RES Assumptions'!Y$2,'RES Assumptions T15'!$V$3:$W$35,2,FALSE),'RES Assumptions T15'!$E$2:$S$2,0))</f>
        <v>0</v>
      </c>
      <c r="Z43" s="14">
        <f ca="1">OFFSET('RES Assumptions T15'!$D43,0,MATCH(VLOOKUP('RES Assumptions'!Z$2,'RES Assumptions T15'!$V$3:$W$35,2,FALSE),'RES Assumptions T15'!$E$2:$S$2,0))</f>
        <v>0</v>
      </c>
      <c r="AA43" s="14">
        <f ca="1">OFFSET('RES Assumptions T15'!$D43,0,MATCH(VLOOKUP('RES Assumptions'!AA$2,'RES Assumptions T15'!$V$3:$W$35,2,FALSE),'RES Assumptions T15'!$E$2:$S$2,0))</f>
        <v>0</v>
      </c>
      <c r="AB43" s="14">
        <f ca="1">OFFSET('RES Assumptions T15'!$D43,0,MATCH(VLOOKUP('RES Assumptions'!AB$2,'RES Assumptions T15'!$V$3:$W$35,2,FALSE),'RES Assumptions T15'!$E$2:$S$2,0))</f>
        <v>0</v>
      </c>
      <c r="AC43" s="14">
        <f ca="1">OFFSET('RES Assumptions T15'!$D43,0,MATCH(VLOOKUP('RES Assumptions'!AC$2,'RES Assumptions T15'!$V$3:$W$35,2,FALSE),'RES Assumptions T15'!$E$2:$S$2,0))</f>
        <v>0</v>
      </c>
      <c r="AD43" s="14">
        <f ca="1">OFFSET('RES Assumptions T15'!$D43,0,MATCH(VLOOKUP('RES Assumptions'!AD$2,'RES Assumptions T15'!$V$3:$W$35,2,FALSE),'RES Assumptions T15'!$E$2:$S$2,0))</f>
        <v>0</v>
      </c>
      <c r="AE43" s="14">
        <f ca="1">OFFSET('RES Assumptions T15'!$D43,0,MATCH(VLOOKUP('RES Assumptions'!AE$2,'RES Assumptions T15'!$V$3:$W$35,2,FALSE),'RES Assumptions T15'!$E$2:$S$2,0))</f>
        <v>0</v>
      </c>
      <c r="AF43" s="14">
        <f ca="1">OFFSET('RES Assumptions T15'!$D43,0,MATCH(VLOOKUP('RES Assumptions'!AF$2,'RES Assumptions T15'!$V$3:$W$35,2,FALSE),'RES Assumptions T15'!$E$2:$S$2,0))</f>
        <v>0</v>
      </c>
      <c r="AG43" s="14">
        <f ca="1">OFFSET('RES Assumptions T15'!$D43,0,MATCH(VLOOKUP('RES Assumptions'!AG$2,'RES Assumptions T15'!$V$3:$W$35,2,FALSE),'RES Assumptions T15'!$E$2:$S$2,0))</f>
        <v>0</v>
      </c>
      <c r="AH43" s="14">
        <f ca="1">OFFSET('RES Assumptions T15'!$D43,0,MATCH(VLOOKUP('RES Assumptions'!AH$2,'RES Assumptions T15'!$V$3:$W$35,2,FALSE),'RES Assumptions T15'!$E$2:$S$2,0))</f>
        <v>0</v>
      </c>
      <c r="AK43" s="10">
        <f ca="1">IFERROR(SUMIFS('RES balance'!E$5:E$25,'RES balance'!$D$5:$D$25,'RES Assumptions'!$A43)*E43,"")</f>
        <v>0</v>
      </c>
      <c r="AL43" s="10">
        <f ca="1">IFERROR(SUMIFS('RES balance'!F$5:F$25,'RES balance'!$D$5:$D$25,'RES Assumptions'!$A43)*F43,"")</f>
        <v>0</v>
      </c>
      <c r="AM43" s="10">
        <f ca="1">IFERROR(SUMIFS('RES balance'!G$5:G$25,'RES balance'!$D$5:$D$25,'RES Assumptions'!$A43)*G43,"")</f>
        <v>0</v>
      </c>
      <c r="AN43" s="10">
        <f ca="1">IFERROR(SUMIFS('RES balance'!H$5:H$25,'RES balance'!$D$5:$D$25,'RES Assumptions'!$A43)*H43,"")</f>
        <v>0</v>
      </c>
      <c r="AO43" s="10">
        <f ca="1">IFERROR(SUMIFS('RES balance'!I$5:I$25,'RES balance'!$D$5:$D$25,'RES Assumptions'!$A43)*I43,"")</f>
        <v>0</v>
      </c>
      <c r="AP43" s="10">
        <f ca="1">IFERROR(SUMIFS('RES balance'!J$5:J$25,'RES balance'!$D$5:$D$25,'RES Assumptions'!$A43)*J43,"")</f>
        <v>0</v>
      </c>
      <c r="AQ43" s="10">
        <f ca="1">IFERROR(SUMIFS('RES balance'!K$5:K$25,'RES balance'!$D$5:$D$25,'RES Assumptions'!$A43)*K43,"")</f>
        <v>0</v>
      </c>
      <c r="AR43" s="10">
        <f ca="1">IFERROR(SUMIFS('RES balance'!L$5:L$25,'RES balance'!$D$5:$D$25,'RES Assumptions'!$A43)*L43,"")</f>
        <v>0</v>
      </c>
      <c r="AS43" s="10">
        <f ca="1">IFERROR(SUMIFS('RES balance'!M$5:M$25,'RES balance'!$D$5:$D$25,'RES Assumptions'!$A43)*M43,"")</f>
        <v>0</v>
      </c>
      <c r="AT43" s="10">
        <f ca="1">IFERROR(SUMIFS('RES balance'!N$5:N$25,'RES balance'!$D$5:$D$25,'RES Assumptions'!$A43)*N43,"")</f>
        <v>0</v>
      </c>
      <c r="AU43" s="10">
        <f ca="1">IFERROR(SUMIFS('RES balance'!O$5:O$25,'RES balance'!$D$5:$D$25,'RES Assumptions'!$A43)*O43,"")</f>
        <v>0</v>
      </c>
      <c r="AV43" s="10">
        <f ca="1">IFERROR(SUMIFS('RES balance'!P$5:P$25,'RES balance'!$D$5:$D$25,'RES Assumptions'!$A43)*P43,"")</f>
        <v>0</v>
      </c>
      <c r="AW43" s="10">
        <f ca="1">IFERROR(SUMIFS('RES balance'!Q$5:Q$25,'RES balance'!$D$5:$D$25,'RES Assumptions'!$A43)*Q43,"")</f>
        <v>0</v>
      </c>
      <c r="AX43" s="10">
        <f ca="1">IFERROR(SUMIFS('RES balance'!R$5:R$25,'RES balance'!$D$5:$D$25,'RES Assumptions'!$A43)*R43,"")</f>
        <v>0</v>
      </c>
      <c r="AY43" s="10">
        <f ca="1">IFERROR(SUMIFS('RES balance'!S$5:S$25,'RES balance'!$D$5:$D$25,'RES Assumptions'!$A43)*S43,"")</f>
        <v>0</v>
      </c>
      <c r="AZ43" s="10">
        <f ca="1">IFERROR(SUMIFS('RES balance'!T$5:T$25,'RES balance'!$D$5:$D$25,'RES Assumptions'!$A43)*T43,"")</f>
        <v>0</v>
      </c>
      <c r="BA43" s="10">
        <f ca="1">IFERROR(SUMIFS('RES balance'!U$5:U$25,'RES balance'!$D$5:$D$25,'RES Assumptions'!$A43)*U43,"")</f>
        <v>0</v>
      </c>
      <c r="BB43" s="10">
        <f ca="1">IFERROR(SUMIFS('RES balance'!V$5:V$25,'RES balance'!$D$5:$D$25,'RES Assumptions'!$A43)*V43,"")</f>
        <v>0</v>
      </c>
      <c r="BC43" s="10">
        <f ca="1">IFERROR(SUMIFS('RES balance'!W$5:W$25,'RES balance'!$D$5:$D$25,'RES Assumptions'!$A43)*W43,"")</f>
        <v>0</v>
      </c>
      <c r="BD43" s="10">
        <f ca="1">IFERROR(SUMIFS('RES balance'!X$5:X$25,'RES balance'!$D$5:$D$25,'RES Assumptions'!$A43)*X43,"")</f>
        <v>0</v>
      </c>
      <c r="BE43" s="10">
        <f ca="1">IFERROR(SUMIFS('RES balance'!Y$5:Y$25,'RES balance'!$D$5:$D$25,'RES Assumptions'!$A43)*Y43,"")</f>
        <v>0</v>
      </c>
      <c r="BF43" s="10">
        <f ca="1">IFERROR(SUMIFS('RES balance'!Z$5:Z$25,'RES balance'!$D$5:$D$25,'RES Assumptions'!$A43)*Z43,"")</f>
        <v>0</v>
      </c>
      <c r="BG43" s="10">
        <f ca="1">IFERROR(SUMIFS('RES balance'!AA$5:AA$25,'RES balance'!$D$5:$D$25,'RES Assumptions'!$A43)*AA43,"")</f>
        <v>0</v>
      </c>
      <c r="BH43" s="10">
        <f ca="1">IFERROR(SUMIFS('RES balance'!AB$5:AB$25,'RES balance'!$D$5:$D$25,'RES Assumptions'!$A43)*AB43,"")</f>
        <v>0</v>
      </c>
      <c r="BI43" s="10">
        <f ca="1">IFERROR(SUMIFS('RES balance'!AC$5:AC$25,'RES balance'!$D$5:$D$25,'RES Assumptions'!$A43)*AC43,"")</f>
        <v>0</v>
      </c>
      <c r="BJ43" s="10">
        <f ca="1">IFERROR(SUMIFS('RES balance'!AD$5:AD$25,'RES balance'!$D$5:$D$25,'RES Assumptions'!$A43)*AD43,"")</f>
        <v>0</v>
      </c>
      <c r="BK43" s="10">
        <f ca="1">IFERROR(SUMIFS('RES balance'!AE$5:AE$25,'RES balance'!$D$5:$D$25,'RES Assumptions'!$A43)*AE43,"")</f>
        <v>0</v>
      </c>
      <c r="BL43" s="10">
        <f ca="1">IFERROR(SUMIFS('RES balance'!AF$5:AF$25,'RES balance'!$D$5:$D$25,'RES Assumptions'!$A43)*AF43,"")</f>
        <v>0</v>
      </c>
      <c r="BM43" s="10">
        <f ca="1">IFERROR(SUMIFS('RES balance'!AG$5:AG$25,'RES balance'!$D$5:$D$25,'RES Assumptions'!$A43)*AG43,"")</f>
        <v>0</v>
      </c>
      <c r="BN43" s="10">
        <f ca="1">IFERROR(SUMIFS('RES balance'!AH$5:AH$25,'RES balance'!$D$5:$D$25,'RES Assumptions'!$A43)*AH43,"")</f>
        <v>0</v>
      </c>
    </row>
    <row r="44" spans="1:66" x14ac:dyDescent="0.45">
      <c r="A44" s="8" t="str">
        <f>VLOOKUP(C44,'RES balance'!$AL$5:$AM$25,2,FALSE)</f>
        <v>RESELC</v>
      </c>
      <c r="B44" s="36"/>
      <c r="C44" s="7" t="s">
        <v>34</v>
      </c>
      <c r="D44" s="33" t="s">
        <v>62</v>
      </c>
      <c r="E44" s="14">
        <f ca="1">OFFSET('RES Assumptions T15'!$D44,0,MATCH(VLOOKUP('RES Assumptions'!E$2,'RES Assumptions T15'!$V$3:$W$35,2,FALSE),'RES Assumptions T15'!$E$2:$S$2,0))</f>
        <v>0</v>
      </c>
      <c r="F44" s="14">
        <f ca="1">OFFSET('RES Assumptions T15'!$D44,0,MATCH(VLOOKUP('RES Assumptions'!F$2,'RES Assumptions T15'!$V$3:$W$35,2,FALSE),'RES Assumptions T15'!$E$2:$S$2,0))</f>
        <v>0</v>
      </c>
      <c r="G44" s="14">
        <f ca="1">OFFSET('RES Assumptions T15'!$D44,0,MATCH(VLOOKUP('RES Assumptions'!G$2,'RES Assumptions T15'!$V$3:$W$35,2,FALSE),'RES Assumptions T15'!$E$2:$S$2,0))</f>
        <v>6.7032364831137404E-3</v>
      </c>
      <c r="H44" s="14">
        <f ca="1">OFFSET('RES Assumptions T15'!$D44,0,MATCH(VLOOKUP('RES Assumptions'!H$2,'RES Assumptions T15'!$V$3:$W$35,2,FALSE),'RES Assumptions T15'!$E$2:$S$2,0))</f>
        <v>7.2525944405549103E-2</v>
      </c>
      <c r="I44" s="14">
        <f ca="1">OFFSET('RES Assumptions T15'!$D44,0,MATCH(VLOOKUP('RES Assumptions'!I$2,'RES Assumptions T15'!$V$3:$W$35,2,FALSE),'RES Assumptions T15'!$E$2:$S$2,0))</f>
        <v>0.14453780986657599</v>
      </c>
      <c r="J44" s="14">
        <f ca="1">OFFSET('RES Assumptions T15'!$D44,0,MATCH(VLOOKUP('RES Assumptions'!J$2,'RES Assumptions T15'!$V$3:$W$35,2,FALSE),'RES Assumptions T15'!$E$2:$S$2,0))</f>
        <v>0</v>
      </c>
      <c r="K44" s="14">
        <f ca="1">OFFSET('RES Assumptions T15'!$D44,0,MATCH(VLOOKUP('RES Assumptions'!K$2,'RES Assumptions T15'!$V$3:$W$35,2,FALSE),'RES Assumptions T15'!$E$2:$S$2,0))</f>
        <v>9.9558363538990502E-2</v>
      </c>
      <c r="L44" s="14">
        <f ca="1">OFFSET('RES Assumptions T15'!$D44,0,MATCH(VLOOKUP('RES Assumptions'!L$2,'RES Assumptions T15'!$V$3:$W$35,2,FALSE),'RES Assumptions T15'!$E$2:$S$2,0))</f>
        <v>6.7032364831137404E-3</v>
      </c>
      <c r="M44" s="14">
        <f ca="1">OFFSET('RES Assumptions T15'!$D44,0,MATCH(VLOOKUP('RES Assumptions'!M$2,'RES Assumptions T15'!$V$3:$W$35,2,FALSE),'RES Assumptions T15'!$E$2:$S$2,0))</f>
        <v>0.40885625672394998</v>
      </c>
      <c r="N44" s="14">
        <f ca="1">OFFSET('RES Assumptions T15'!$D44,0,MATCH(VLOOKUP('RES Assumptions'!N$2,'RES Assumptions T15'!$V$3:$W$35,2,FALSE),'RES Assumptions T15'!$E$2:$S$2,0))</f>
        <v>6.0998947348619201E-2</v>
      </c>
      <c r="O44" s="14">
        <f ca="1">OFFSET('RES Assumptions T15'!$D44,0,MATCH(VLOOKUP('RES Assumptions'!O$2,'RES Assumptions T15'!$V$3:$W$35,2,FALSE),'RES Assumptions T15'!$E$2:$S$2,0))</f>
        <v>0.15410555026073799</v>
      </c>
      <c r="P44" s="14">
        <f ca="1">OFFSET('RES Assumptions T15'!$D44,0,MATCH(VLOOKUP('RES Assumptions'!P$2,'RES Assumptions T15'!$V$3:$W$35,2,FALSE),'RES Assumptions T15'!$E$2:$S$2,0))</f>
        <v>7.9472281682757398E-2</v>
      </c>
      <c r="Q44" s="14">
        <f ca="1">OFFSET('RES Assumptions T15'!$D44,0,MATCH(VLOOKUP('RES Assumptions'!Q$2,'RES Assumptions T15'!$V$3:$W$35,2,FALSE),'RES Assumptions T15'!$E$2:$S$2,0))</f>
        <v>0.15410555026073799</v>
      </c>
      <c r="R44" s="14">
        <f ca="1">OFFSET('RES Assumptions T15'!$D44,0,MATCH(VLOOKUP('RES Assumptions'!R$2,'RES Assumptions T15'!$V$3:$W$35,2,FALSE),'RES Assumptions T15'!$E$2:$S$2,0))</f>
        <v>0.15410555026073799</v>
      </c>
      <c r="S44" s="14">
        <f ca="1">OFFSET('RES Assumptions T15'!$D44,0,MATCH(VLOOKUP('RES Assumptions'!S$2,'RES Assumptions T15'!$V$3:$W$35,2,FALSE),'RES Assumptions T15'!$E$2:$S$2,0))</f>
        <v>7.9472281682757398E-2</v>
      </c>
      <c r="T44" s="14">
        <f ca="1">OFFSET('RES Assumptions T15'!$D44,0,MATCH(VLOOKUP('RES Assumptions'!T$2,'RES Assumptions T15'!$V$3:$W$35,2,FALSE),'RES Assumptions T15'!$E$2:$S$2,0))</f>
        <v>0.15410555026073799</v>
      </c>
      <c r="U44" s="14">
        <f ca="1">OFFSET('RES Assumptions T15'!$D44,0,MATCH(VLOOKUP('RES Assumptions'!U$2,'RES Assumptions T15'!$V$3:$W$35,2,FALSE),'RES Assumptions T15'!$E$2:$S$2,0))</f>
        <v>1.7203265225146001E-2</v>
      </c>
      <c r="V44" s="14">
        <f ca="1">OFFSET('RES Assumptions T15'!$D44,0,MATCH(VLOOKUP('RES Assumptions'!V$2,'RES Assumptions T15'!$V$3:$W$35,2,FALSE),'RES Assumptions T15'!$E$2:$S$2,0))</f>
        <v>0.15410555026073799</v>
      </c>
      <c r="W44" s="14">
        <f ca="1">OFFSET('RES Assumptions T15'!$D44,0,MATCH(VLOOKUP('RES Assumptions'!W$2,'RES Assumptions T15'!$V$3:$W$35,2,FALSE),'RES Assumptions T15'!$E$2:$S$2,0))</f>
        <v>0.15410555026073799</v>
      </c>
      <c r="X44" s="14">
        <f ca="1">OFFSET('RES Assumptions T15'!$D44,0,MATCH(VLOOKUP('RES Assumptions'!X$2,'RES Assumptions T15'!$V$3:$W$35,2,FALSE),'RES Assumptions T15'!$E$2:$S$2,0))</f>
        <v>0</v>
      </c>
      <c r="Y44" s="14">
        <f ca="1">OFFSET('RES Assumptions T15'!$D44,0,MATCH(VLOOKUP('RES Assumptions'!Y$2,'RES Assumptions T15'!$V$3:$W$35,2,FALSE),'RES Assumptions T15'!$E$2:$S$2,0))</f>
        <v>6.7032364831137404E-3</v>
      </c>
      <c r="Z44" s="14">
        <f ca="1">OFFSET('RES Assumptions T15'!$D44,0,MATCH(VLOOKUP('RES Assumptions'!Z$2,'RES Assumptions T15'!$V$3:$W$35,2,FALSE),'RES Assumptions T15'!$E$2:$S$2,0))</f>
        <v>3.0000076362291801E-2</v>
      </c>
      <c r="AA44" s="14">
        <f ca="1">OFFSET('RES Assumptions T15'!$D44,0,MATCH(VLOOKUP('RES Assumptions'!AA$2,'RES Assumptions T15'!$V$3:$W$35,2,FALSE),'RES Assumptions T15'!$E$2:$S$2,0))</f>
        <v>1.7203265225146001E-2</v>
      </c>
      <c r="AB44" s="14">
        <f ca="1">OFFSET('RES Assumptions T15'!$D44,0,MATCH(VLOOKUP('RES Assumptions'!AB$2,'RES Assumptions T15'!$V$3:$W$35,2,FALSE),'RES Assumptions T15'!$E$2:$S$2,0))</f>
        <v>0.15410555026073799</v>
      </c>
      <c r="AC44" s="14">
        <f ca="1">OFFSET('RES Assumptions T15'!$D44,0,MATCH(VLOOKUP('RES Assumptions'!AC$2,'RES Assumptions T15'!$V$3:$W$35,2,FALSE),'RES Assumptions T15'!$E$2:$S$2,0))</f>
        <v>7.2525944405549103E-2</v>
      </c>
      <c r="AD44" s="14">
        <f ca="1">OFFSET('RES Assumptions T15'!$D44,0,MATCH(VLOOKUP('RES Assumptions'!AD$2,'RES Assumptions T15'!$V$3:$W$35,2,FALSE),'RES Assumptions T15'!$E$2:$S$2,0))</f>
        <v>1.7203265225146001E-2</v>
      </c>
      <c r="AE44" s="14">
        <f ca="1">OFFSET('RES Assumptions T15'!$D44,0,MATCH(VLOOKUP('RES Assumptions'!AE$2,'RES Assumptions T15'!$V$3:$W$35,2,FALSE),'RES Assumptions T15'!$E$2:$S$2,0))</f>
        <v>0</v>
      </c>
      <c r="AF44" s="14">
        <f ca="1">OFFSET('RES Assumptions T15'!$D44,0,MATCH(VLOOKUP('RES Assumptions'!AF$2,'RES Assumptions T15'!$V$3:$W$35,2,FALSE),'RES Assumptions T15'!$E$2:$S$2,0))</f>
        <v>0.15410555026073799</v>
      </c>
      <c r="AG44" s="14">
        <f ca="1">OFFSET('RES Assumptions T15'!$D44,0,MATCH(VLOOKUP('RES Assumptions'!AG$2,'RES Assumptions T15'!$V$3:$W$35,2,FALSE),'RES Assumptions T15'!$E$2:$S$2,0))</f>
        <v>8.1764608847753606E-2</v>
      </c>
      <c r="AH44" s="14">
        <f ca="1">OFFSET('RES Assumptions T15'!$D44,0,MATCH(VLOOKUP('RES Assumptions'!AH$2,'RES Assumptions T15'!$V$3:$W$35,2,FALSE),'RES Assumptions T15'!$E$2:$S$2,0))</f>
        <v>8.1764608847753606E-2</v>
      </c>
      <c r="AK44" s="10">
        <f ca="1">IFERROR(SUMIFS('RES balance'!E$5:E$25,'RES balance'!$D$5:$D$25,'RES Assumptions'!$A44)*E44,"")</f>
        <v>0</v>
      </c>
      <c r="AL44" s="10">
        <f ca="1">IFERROR(SUMIFS('RES balance'!F$5:F$25,'RES balance'!$D$5:$D$25,'RES Assumptions'!$A44)*F44,"")</f>
        <v>0</v>
      </c>
      <c r="AM44" s="10">
        <f ca="1">IFERROR(SUMIFS('RES balance'!G$5:G$25,'RES balance'!$D$5:$D$25,'RES Assumptions'!$A44)*G44,"")</f>
        <v>1.3699015167272808</v>
      </c>
      <c r="AN44" s="10">
        <f ca="1">IFERROR(SUMIFS('RES balance'!H$5:H$25,'RES balance'!$D$5:$D$25,'RES Assumptions'!$A44)*H44,"")</f>
        <v>14.927597645514677</v>
      </c>
      <c r="AO44" s="10">
        <f ca="1">IFERROR(SUMIFS('RES balance'!I$5:I$25,'RES balance'!$D$5:$D$25,'RES Assumptions'!$A44)*I44,"")</f>
        <v>166.23695834546518</v>
      </c>
      <c r="AP44" s="10">
        <f ca="1">IFERROR(SUMIFS('RES balance'!J$5:J$25,'RES balance'!$D$5:$D$25,'RES Assumptions'!$A44)*J44,"")</f>
        <v>0</v>
      </c>
      <c r="AQ44" s="10">
        <f ca="1">IFERROR(SUMIFS('RES balance'!K$5:K$25,'RES balance'!$D$5:$D$25,'RES Assumptions'!$A44)*K44,"")</f>
        <v>25.585036172264498</v>
      </c>
      <c r="AR44" s="10">
        <f ca="1">IFERROR(SUMIFS('RES balance'!L$5:L$25,'RES balance'!$D$5:$D$25,'RES Assumptions'!$A44)*L44,"")</f>
        <v>3.440492663693143</v>
      </c>
      <c r="AS44" s="10">
        <f ca="1">IFERROR(SUMIFS('RES balance'!M$5:M$25,'RES balance'!$D$5:$D$25,'RES Assumptions'!$A44)*M44,"")</f>
        <v>255.56001853165998</v>
      </c>
      <c r="AT44" s="10">
        <f ca="1">IFERROR(SUMIFS('RES balance'!N$5:N$25,'RES balance'!$D$5:$D$25,'RES Assumptions'!$A44)*N44,"")</f>
        <v>236.2083610498394</v>
      </c>
      <c r="AU44" s="10">
        <f ca="1">IFERROR(SUMIFS('RES balance'!O$5:O$25,'RES balance'!$D$5:$D$25,'RES Assumptions'!$A44)*O44,"")</f>
        <v>42.522029455948214</v>
      </c>
      <c r="AV44" s="10">
        <f ca="1">IFERROR(SUMIFS('RES balance'!P$5:P$25,'RES balance'!$D$5:$D$25,'RES Assumptions'!$A44)*P44,"")</f>
        <v>21.478040422507469</v>
      </c>
      <c r="AW44" s="10">
        <f ca="1">IFERROR(SUMIFS('RES balance'!Q$5:Q$25,'RES balance'!$D$5:$D$25,'RES Assumptions'!$A44)*Q44,"")</f>
        <v>28.189405729165195</v>
      </c>
      <c r="AX44" s="10">
        <f ca="1">IFERROR(SUMIFS('RES balance'!R$5:R$25,'RES balance'!$D$5:$D$25,'RES Assumptions'!$A44)*R44,"")</f>
        <v>47.486636177742156</v>
      </c>
      <c r="AY44" s="10">
        <f ca="1">IFERROR(SUMIFS('RES balance'!S$5:S$25,'RES balance'!$D$5:$D$25,'RES Assumptions'!$A44)*S44,"")</f>
        <v>12.894804692020301</v>
      </c>
      <c r="AZ44" s="10">
        <f ca="1">IFERROR(SUMIFS('RES balance'!T$5:T$25,'RES balance'!$D$5:$D$25,'RES Assumptions'!$A44)*T44,"")</f>
        <v>47.824451541610863</v>
      </c>
      <c r="BA44" s="10">
        <f ca="1">IFERROR(SUMIFS('RES balance'!U$5:U$25,'RES balance'!$D$5:$D$25,'RES Assumptions'!$A44)*U44,"")</f>
        <v>9.1109747441497717</v>
      </c>
      <c r="BB44" s="10">
        <f ca="1">IFERROR(SUMIFS('RES balance'!V$5:V$25,'RES balance'!$D$5:$D$25,'RES Assumptions'!$A44)*V44,"")</f>
        <v>88.610611032153912</v>
      </c>
      <c r="BC44" s="10">
        <f ca="1">IFERROR(SUMIFS('RES balance'!W$5:W$25,'RES balance'!$D$5:$D$25,'RES Assumptions'!$A44)*W44,"")</f>
        <v>70.201303822145391</v>
      </c>
      <c r="BD44" s="10">
        <f ca="1">IFERROR(SUMIFS('RES balance'!X$5:X$25,'RES balance'!$D$5:$D$25,'RES Assumptions'!$A44)*X44,"")</f>
        <v>0</v>
      </c>
      <c r="BE44" s="10">
        <f ca="1">IFERROR(SUMIFS('RES balance'!Y$5:Y$25,'RES balance'!$D$5:$D$25,'RES Assumptions'!$A44)*Y44,"")</f>
        <v>2.7485375413420372</v>
      </c>
      <c r="BF44" s="10">
        <f ca="1">IFERROR(SUMIFS('RES balance'!Z$5:Z$25,'RES balance'!$D$5:$D$25,'RES Assumptions'!$A44)*Z44,"")</f>
        <v>6.9645056817913797</v>
      </c>
      <c r="BG44" s="10">
        <f ca="1">IFERROR(SUMIFS('RES balance'!AA$5:AA$25,'RES balance'!$D$5:$D$25,'RES Assumptions'!$A44)*AA44,"")</f>
        <v>16.575989213388301</v>
      </c>
      <c r="BH44" s="10">
        <f ca="1">IFERROR(SUMIFS('RES balance'!AB$5:AB$25,'RES balance'!$D$5:$D$25,'RES Assumptions'!$A44)*AB44,"")</f>
        <v>22.715143808732204</v>
      </c>
      <c r="BI44" s="10">
        <f ca="1">IFERROR(SUMIFS('RES balance'!AC$5:AC$25,'RES balance'!$D$5:$D$25,'RES Assumptions'!$A44)*AC44,"")</f>
        <v>42.004131885923989</v>
      </c>
      <c r="BJ44" s="10">
        <f ca="1">IFERROR(SUMIFS('RES balance'!AD$5:AD$25,'RES balance'!$D$5:$D$25,'RES Assumptions'!$A44)*AD44,"")</f>
        <v>7.9584782085905443</v>
      </c>
      <c r="BK44" s="10">
        <f ca="1">IFERROR(SUMIFS('RES balance'!AE$5:AE$25,'RES balance'!$D$5:$D$25,'RES Assumptions'!$A44)*AE44,"")</f>
        <v>0</v>
      </c>
      <c r="BL44" s="10">
        <f ca="1">IFERROR(SUMIFS('RES balance'!AF$5:AF$25,'RES balance'!$D$5:$D$25,'RES Assumptions'!$A44)*AF44,"")</f>
        <v>57.599956817057709</v>
      </c>
      <c r="BM44" s="10">
        <f ca="1">IFERROR(SUMIFS('RES balance'!AG$5:AG$25,'RES balance'!$D$5:$D$25,'RES Assumptions'!$A44)*AG44,"")</f>
        <v>422.85186524916253</v>
      </c>
      <c r="BN44" s="10">
        <f ca="1">IFERROR(SUMIFS('RES balance'!AH$5:AH$25,'RES balance'!$D$5:$D$25,'RES Assumptions'!$A44)*AH44,"")</f>
        <v>0</v>
      </c>
    </row>
    <row r="45" spans="1:66" x14ac:dyDescent="0.45">
      <c r="A45" s="8" t="str">
        <f>VLOOKUP(C45,'RES balance'!$AL$5:$AM$25,2,FALSE)</f>
        <v>RESELC</v>
      </c>
      <c r="B45" s="36"/>
      <c r="C45" s="7" t="s">
        <v>34</v>
      </c>
      <c r="D45" s="33" t="s">
        <v>63</v>
      </c>
      <c r="E45" s="14">
        <f ca="1">OFFSET('RES Assumptions T15'!$D45,0,MATCH(VLOOKUP('RES Assumptions'!E$2,'RES Assumptions T15'!$V$3:$W$35,2,FALSE),'RES Assumptions T15'!$E$2:$S$2,0))</f>
        <v>0.2</v>
      </c>
      <c r="F45" s="14">
        <f ca="1">OFFSET('RES Assumptions T15'!$D45,0,MATCH(VLOOKUP('RES Assumptions'!F$2,'RES Assumptions T15'!$V$3:$W$35,2,FALSE),'RES Assumptions T15'!$E$2:$S$2,0))</f>
        <v>0.2</v>
      </c>
      <c r="G45" s="14">
        <f ca="1">OFFSET('RES Assumptions T15'!$D45,0,MATCH(VLOOKUP('RES Assumptions'!G$2,'RES Assumptions T15'!$V$3:$W$35,2,FALSE),'RES Assumptions T15'!$E$2:$S$2,0))</f>
        <v>9.7846354327954493E-2</v>
      </c>
      <c r="H45" s="14">
        <f ca="1">OFFSET('RES Assumptions T15'!$D45,0,MATCH(VLOOKUP('RES Assumptions'!H$2,'RES Assumptions T15'!$V$3:$W$35,2,FALSE),'RES Assumptions T15'!$E$2:$S$2,0))</f>
        <v>2.02029606883821E-2</v>
      </c>
      <c r="I45" s="14">
        <f ca="1">OFFSET('RES Assumptions T15'!$D45,0,MATCH(VLOOKUP('RES Assumptions'!I$2,'RES Assumptions T15'!$V$3:$W$35,2,FALSE),'RES Assumptions T15'!$E$2:$S$2,0))</f>
        <v>4.9244248763692502E-2</v>
      </c>
      <c r="J45" s="14">
        <f ca="1">OFFSET('RES Assumptions T15'!$D45,0,MATCH(VLOOKUP('RES Assumptions'!J$2,'RES Assumptions T15'!$V$3:$W$35,2,FALSE),'RES Assumptions T15'!$E$2:$S$2,0))</f>
        <v>8.97478680672988E-2</v>
      </c>
      <c r="K45" s="14">
        <f ca="1">OFFSET('RES Assumptions T15'!$D45,0,MATCH(VLOOKUP('RES Assumptions'!K$2,'RES Assumptions T15'!$V$3:$W$35,2,FALSE),'RES Assumptions T15'!$E$2:$S$2,0))</f>
        <v>8.0938225226833499E-2</v>
      </c>
      <c r="L45" s="14">
        <f ca="1">OFFSET('RES Assumptions T15'!$D45,0,MATCH(VLOOKUP('RES Assumptions'!L$2,'RES Assumptions T15'!$V$3:$W$35,2,FALSE),'RES Assumptions T15'!$E$2:$S$2,0))</f>
        <v>9.7846354327954493E-2</v>
      </c>
      <c r="M45" s="14">
        <f ca="1">OFFSET('RES Assumptions T15'!$D45,0,MATCH(VLOOKUP('RES Assumptions'!M$2,'RES Assumptions T15'!$V$3:$W$35,2,FALSE),'RES Assumptions T15'!$E$2:$S$2,0))</f>
        <v>4.9664465918355397E-2</v>
      </c>
      <c r="N45" s="14">
        <f ca="1">OFFSET('RES Assumptions T15'!$D45,0,MATCH(VLOOKUP('RES Assumptions'!N$2,'RES Assumptions T15'!$V$3:$W$35,2,FALSE),'RES Assumptions T15'!$E$2:$S$2,0))</f>
        <v>0.110741819564648</v>
      </c>
      <c r="O45" s="14">
        <f ca="1">OFFSET('RES Assumptions T15'!$D45,0,MATCH(VLOOKUP('RES Assumptions'!O$2,'RES Assumptions T15'!$V$3:$W$35,2,FALSE),'RES Assumptions T15'!$E$2:$S$2,0))</f>
        <v>0.02</v>
      </c>
      <c r="P45" s="14">
        <f ca="1">OFFSET('RES Assumptions T15'!$D45,0,MATCH(VLOOKUP('RES Assumptions'!P$2,'RES Assumptions T15'!$V$3:$W$35,2,FALSE),'RES Assumptions T15'!$E$2:$S$2,0))</f>
        <v>1.4999999999999999E-2</v>
      </c>
      <c r="Q45" s="14">
        <f ca="1">OFFSET('RES Assumptions T15'!$D45,0,MATCH(VLOOKUP('RES Assumptions'!Q$2,'RES Assumptions T15'!$V$3:$W$35,2,FALSE),'RES Assumptions T15'!$E$2:$S$2,0))</f>
        <v>0.02</v>
      </c>
      <c r="R45" s="14">
        <f ca="1">OFFSET('RES Assumptions T15'!$D45,0,MATCH(VLOOKUP('RES Assumptions'!R$2,'RES Assumptions T15'!$V$3:$W$35,2,FALSE),'RES Assumptions T15'!$E$2:$S$2,0))</f>
        <v>0.02</v>
      </c>
      <c r="S45" s="14">
        <f ca="1">OFFSET('RES Assumptions T15'!$D45,0,MATCH(VLOOKUP('RES Assumptions'!S$2,'RES Assumptions T15'!$V$3:$W$35,2,FALSE),'RES Assumptions T15'!$E$2:$S$2,0))</f>
        <v>1.4999999999999999E-2</v>
      </c>
      <c r="T45" s="14">
        <f ca="1">OFFSET('RES Assumptions T15'!$D45,0,MATCH(VLOOKUP('RES Assumptions'!T$2,'RES Assumptions T15'!$V$3:$W$35,2,FALSE),'RES Assumptions T15'!$E$2:$S$2,0))</f>
        <v>0.02</v>
      </c>
      <c r="U45" s="14">
        <f ca="1">OFFSET('RES Assumptions T15'!$D45,0,MATCH(VLOOKUP('RES Assumptions'!U$2,'RES Assumptions T15'!$V$3:$W$35,2,FALSE),'RES Assumptions T15'!$E$2:$S$2,0))</f>
        <v>0.39260430308733002</v>
      </c>
      <c r="V45" s="14">
        <f ca="1">OFFSET('RES Assumptions T15'!$D45,0,MATCH(VLOOKUP('RES Assumptions'!V$2,'RES Assumptions T15'!$V$3:$W$35,2,FALSE),'RES Assumptions T15'!$E$2:$S$2,0))</f>
        <v>0.02</v>
      </c>
      <c r="W45" s="14">
        <f ca="1">OFFSET('RES Assumptions T15'!$D45,0,MATCH(VLOOKUP('RES Assumptions'!W$2,'RES Assumptions T15'!$V$3:$W$35,2,FALSE),'RES Assumptions T15'!$E$2:$S$2,0))</f>
        <v>0.02</v>
      </c>
      <c r="X45" s="14">
        <f ca="1">OFFSET('RES Assumptions T15'!$D45,0,MATCH(VLOOKUP('RES Assumptions'!X$2,'RES Assumptions T15'!$V$3:$W$35,2,FALSE),'RES Assumptions T15'!$E$2:$S$2,0))</f>
        <v>0.211238594844674</v>
      </c>
      <c r="Y45" s="14">
        <f ca="1">OFFSET('RES Assumptions T15'!$D45,0,MATCH(VLOOKUP('RES Assumptions'!Y$2,'RES Assumptions T15'!$V$3:$W$35,2,FALSE),'RES Assumptions T15'!$E$2:$S$2,0))</f>
        <v>9.7846354327954493E-2</v>
      </c>
      <c r="Z45" s="14">
        <f ca="1">OFFSET('RES Assumptions T15'!$D45,0,MATCH(VLOOKUP('RES Assumptions'!Z$2,'RES Assumptions T15'!$V$3:$W$35,2,FALSE),'RES Assumptions T15'!$E$2:$S$2,0))</f>
        <v>0.166508437251219</v>
      </c>
      <c r="AA45" s="14">
        <f ca="1">OFFSET('RES Assumptions T15'!$D45,0,MATCH(VLOOKUP('RES Assumptions'!AA$2,'RES Assumptions T15'!$V$3:$W$35,2,FALSE),'RES Assumptions T15'!$E$2:$S$2,0))</f>
        <v>0.39260430308733002</v>
      </c>
      <c r="AB45" s="14">
        <f ca="1">OFFSET('RES Assumptions T15'!$D45,0,MATCH(VLOOKUP('RES Assumptions'!AB$2,'RES Assumptions T15'!$V$3:$W$35,2,FALSE),'RES Assumptions T15'!$E$2:$S$2,0))</f>
        <v>0.02</v>
      </c>
      <c r="AC45" s="14">
        <f ca="1">OFFSET('RES Assumptions T15'!$D45,0,MATCH(VLOOKUP('RES Assumptions'!AC$2,'RES Assumptions T15'!$V$3:$W$35,2,FALSE),'RES Assumptions T15'!$E$2:$S$2,0))</f>
        <v>2.02029606883821E-2</v>
      </c>
      <c r="AD45" s="14">
        <f ca="1">OFFSET('RES Assumptions T15'!$D45,0,MATCH(VLOOKUP('RES Assumptions'!AD$2,'RES Assumptions T15'!$V$3:$W$35,2,FALSE),'RES Assumptions T15'!$E$2:$S$2,0))</f>
        <v>0.39260430308733002</v>
      </c>
      <c r="AE45" s="14">
        <f ca="1">OFFSET('RES Assumptions T15'!$D45,0,MATCH(VLOOKUP('RES Assumptions'!AE$2,'RES Assumptions T15'!$V$3:$W$35,2,FALSE),'RES Assumptions T15'!$E$2:$S$2,0))</f>
        <v>0.2</v>
      </c>
      <c r="AF45" s="14">
        <f ca="1">OFFSET('RES Assumptions T15'!$D45,0,MATCH(VLOOKUP('RES Assumptions'!AF$2,'RES Assumptions T15'!$V$3:$W$35,2,FALSE),'RES Assumptions T15'!$E$2:$S$2,0))</f>
        <v>0.02</v>
      </c>
      <c r="AG45" s="14">
        <f ca="1">OFFSET('RES Assumptions T15'!$D45,0,MATCH(VLOOKUP('RES Assumptions'!AG$2,'RES Assumptions T15'!$V$3:$W$35,2,FALSE),'RES Assumptions T15'!$E$2:$S$2,0))</f>
        <v>0.233496302324777</v>
      </c>
      <c r="AH45" s="14">
        <f ca="1">OFFSET('RES Assumptions T15'!$D45,0,MATCH(VLOOKUP('RES Assumptions'!AH$2,'RES Assumptions T15'!$V$3:$W$35,2,FALSE),'RES Assumptions T15'!$E$2:$S$2,0))</f>
        <v>0.233496302324777</v>
      </c>
      <c r="AK45" s="10">
        <f ca="1">IFERROR(SUMIFS('RES balance'!E$5:E$25,'RES balance'!$D$5:$D$25,'RES Assumptions'!$A45)*E45,"")</f>
        <v>82.200754868399997</v>
      </c>
      <c r="AL45" s="10">
        <f ca="1">IFERROR(SUMIFS('RES balance'!F$5:F$25,'RES balance'!$D$5:$D$25,'RES Assumptions'!$A45)*F45,"")</f>
        <v>55.281411095759999</v>
      </c>
      <c r="AM45" s="10">
        <f ca="1">IFERROR(SUMIFS('RES balance'!G$5:G$25,'RES balance'!$D$5:$D$25,'RES Assumptions'!$A45)*G45,"")</f>
        <v>19.996291274783808</v>
      </c>
      <c r="AN45" s="10">
        <f ca="1">IFERROR(SUMIFS('RES balance'!H$5:H$25,'RES balance'!$D$5:$D$25,'RES Assumptions'!$A45)*H45,"")</f>
        <v>4.1582591012940133</v>
      </c>
      <c r="AO45" s="10">
        <f ca="1">IFERROR(SUMIFS('RES balance'!I$5:I$25,'RES balance'!$D$5:$D$25,'RES Assumptions'!$A45)*I45,"")</f>
        <v>56.637181219505365</v>
      </c>
      <c r="AP45" s="10">
        <f ca="1">IFERROR(SUMIFS('RES balance'!J$5:J$25,'RES balance'!$D$5:$D$25,'RES Assumptions'!$A45)*J45,"")</f>
        <v>148.34886183365322</v>
      </c>
      <c r="AQ45" s="10">
        <f ca="1">IFERROR(SUMIFS('RES balance'!K$5:K$25,'RES balance'!$D$5:$D$25,'RES Assumptions'!$A45)*K45,"")</f>
        <v>20.799934295187828</v>
      </c>
      <c r="AR45" s="10">
        <f ca="1">IFERROR(SUMIFS('RES balance'!L$5:L$25,'RES balance'!$D$5:$D$25,'RES Assumptions'!$A45)*L45,"")</f>
        <v>50.220466648086052</v>
      </c>
      <c r="AS45" s="10">
        <f ca="1">IFERROR(SUMIFS('RES balance'!M$5:M$25,'RES balance'!$D$5:$D$25,'RES Assumptions'!$A45)*M45,"")</f>
        <v>31.043310752192809</v>
      </c>
      <c r="AT45" s="10">
        <f ca="1">IFERROR(SUMIFS('RES balance'!N$5:N$25,'RES balance'!$D$5:$D$25,'RES Assumptions'!$A45)*N45,"")</f>
        <v>428.8294279824924</v>
      </c>
      <c r="AU45" s="10">
        <f ca="1">IFERROR(SUMIFS('RES balance'!O$5:O$25,'RES balance'!$D$5:$D$25,'RES Assumptions'!$A45)*O45,"")</f>
        <v>5.5185591153600004</v>
      </c>
      <c r="AV45" s="10">
        <f ca="1">IFERROR(SUMIFS('RES balance'!P$5:P$25,'RES balance'!$D$5:$D$25,'RES Assumptions'!$A45)*P45,"")</f>
        <v>4.0538738729519999</v>
      </c>
      <c r="AW45" s="10">
        <f ca="1">IFERROR(SUMIFS('RES balance'!Q$5:Q$25,'RES balance'!$D$5:$D$25,'RES Assumptions'!$A45)*Q45,"")</f>
        <v>3.6584543102399998</v>
      </c>
      <c r="AX45" s="10">
        <f ca="1">IFERROR(SUMIFS('RES balance'!R$5:R$25,'RES balance'!$D$5:$D$25,'RES Assumptions'!$A45)*R45,"")</f>
        <v>6.1628716288800005</v>
      </c>
      <c r="AY45" s="10">
        <f ca="1">IFERROR(SUMIFS('RES balance'!S$5:S$25,'RES balance'!$D$5:$D$25,'RES Assumptions'!$A45)*S45,"")</f>
        <v>2.4338305920599996</v>
      </c>
      <c r="AZ45" s="10">
        <f ca="1">IFERROR(SUMIFS('RES balance'!T$5:T$25,'RES balance'!$D$5:$D$25,'RES Assumptions'!$A45)*T45,"")</f>
        <v>6.2067137050800003</v>
      </c>
      <c r="BA45" s="10">
        <f ca="1">IFERROR(SUMIFS('RES balance'!U$5:U$25,'RES balance'!$D$5:$D$25,'RES Assumptions'!$A45)*U45,"")</f>
        <v>207.92610257758952</v>
      </c>
      <c r="BB45" s="10">
        <f ca="1">IFERROR(SUMIFS('RES balance'!V$5:V$25,'RES balance'!$D$5:$D$25,'RES Assumptions'!$A45)*V45,"")</f>
        <v>11.499989569776002</v>
      </c>
      <c r="BC45" s="10">
        <f ca="1">IFERROR(SUMIFS('RES balance'!W$5:W$25,'RES balance'!$D$5:$D$25,'RES Assumptions'!$A45)*W45,"")</f>
        <v>9.1108079758800002</v>
      </c>
      <c r="BD45" s="10">
        <f ca="1">IFERROR(SUMIFS('RES balance'!X$5:X$25,'RES balance'!$D$5:$D$25,'RES Assumptions'!$A45)*X45,"")</f>
        <v>240.57688278129112</v>
      </c>
      <c r="BE45" s="10">
        <f ca="1">IFERROR(SUMIFS('RES balance'!Y$5:Y$25,'RES balance'!$D$5:$D$25,'RES Assumptions'!$A45)*Y45,"")</f>
        <v>40.120079133611938</v>
      </c>
      <c r="BF45" s="10">
        <f ca="1">IFERROR(SUMIFS('RES balance'!Z$5:Z$25,'RES balance'!$D$5:$D$25,'RES Assumptions'!$A45)*Z45,"")</f>
        <v>38.654866850936543</v>
      </c>
      <c r="BG45" s="10">
        <f ca="1">IFERROR(SUMIFS('RES balance'!AA$5:AA$25,'RES balance'!$D$5:$D$25,'RES Assumptions'!$A45)*AA45,"")</f>
        <v>378.28892410453329</v>
      </c>
      <c r="BH45" s="10">
        <f ca="1">IFERROR(SUMIFS('RES balance'!AB$5:AB$25,'RES balance'!$D$5:$D$25,'RES Assumptions'!$A45)*AB45,"")</f>
        <v>2.9479981441680003</v>
      </c>
      <c r="BI45" s="10">
        <f ca="1">IFERROR(SUMIFS('RES balance'!AC$5:AC$25,'RES balance'!$D$5:$D$25,'RES Assumptions'!$A45)*AC45,"")</f>
        <v>11.70074836248545</v>
      </c>
      <c r="BJ45" s="10">
        <f ca="1">IFERROR(SUMIFS('RES balance'!AD$5:AD$25,'RES balance'!$D$5:$D$25,'RES Assumptions'!$A45)*AD45,"")</f>
        <v>181.6244038458621</v>
      </c>
      <c r="BK45" s="10">
        <f ca="1">IFERROR(SUMIFS('RES balance'!AE$5:AE$25,'RES balance'!$D$5:$D$25,'RES Assumptions'!$A45)*AE45,"")</f>
        <v>35.038163594880004</v>
      </c>
      <c r="BL45" s="10">
        <f ca="1">IFERROR(SUMIFS('RES balance'!AF$5:AF$25,'RES balance'!$D$5:$D$25,'RES Assumptions'!$A45)*AF45,"")</f>
        <v>7.4753903048400003</v>
      </c>
      <c r="BM45" s="10">
        <f ca="1">IFERROR(SUMIFS('RES balance'!AG$5:AG$25,'RES balance'!$D$5:$D$25,'RES Assumptions'!$A45)*AG45,"")</f>
        <v>1207.5438060329807</v>
      </c>
      <c r="BN45" s="10">
        <f ca="1">IFERROR(SUMIFS('RES balance'!AH$5:AH$25,'RES balance'!$D$5:$D$25,'RES Assumptions'!$A45)*AH45,"")</f>
        <v>0</v>
      </c>
    </row>
    <row r="46" spans="1:66" x14ac:dyDescent="0.45">
      <c r="A46" s="8" t="str">
        <f>VLOOKUP(C46,'RES balance'!$AL$5:$AM$25,2,FALSE)</f>
        <v>RESELC</v>
      </c>
      <c r="B46" s="36"/>
      <c r="C46" s="20" t="s">
        <v>34</v>
      </c>
      <c r="D46" s="21" t="s">
        <v>64</v>
      </c>
      <c r="E46" s="14">
        <f ca="1">OFFSET('RES Assumptions T15'!$D46,0,MATCH(VLOOKUP('RES Assumptions'!E$2,'RES Assumptions T15'!$V$3:$W$35,2,FALSE),'RES Assumptions T15'!$E$2:$S$2,0))</f>
        <v>0.05</v>
      </c>
      <c r="F46" s="14">
        <f ca="1">OFFSET('RES Assumptions T15'!$D46,0,MATCH(VLOOKUP('RES Assumptions'!F$2,'RES Assumptions T15'!$V$3:$W$35,2,FALSE),'RES Assumptions T15'!$E$2:$S$2,0))</f>
        <v>0.05</v>
      </c>
      <c r="G46" s="14">
        <f ca="1">OFFSET('RES Assumptions T15'!$D46,0,MATCH(VLOOKUP('RES Assumptions'!G$2,'RES Assumptions T15'!$V$3:$W$35,2,FALSE),'RES Assumptions T15'!$E$2:$S$2,0))</f>
        <v>0.123327806543018</v>
      </c>
      <c r="H46" s="14">
        <f ca="1">OFFSET('RES Assumptions T15'!$D46,0,MATCH(VLOOKUP('RES Assumptions'!H$2,'RES Assumptions T15'!$V$3:$W$35,2,FALSE),'RES Assumptions T15'!$E$2:$S$2,0))</f>
        <v>4.0129154843484303E-2</v>
      </c>
      <c r="I46" s="14">
        <f ca="1">OFFSET('RES Assumptions T15'!$D46,0,MATCH(VLOOKUP('RES Assumptions'!I$2,'RES Assumptions T15'!$V$3:$W$35,2,FALSE),'RES Assumptions T15'!$E$2:$S$2,0))</f>
        <v>7.4116262073291805E-2</v>
      </c>
      <c r="J46" s="14">
        <f ca="1">OFFSET('RES Assumptions T15'!$D46,0,MATCH(VLOOKUP('RES Assumptions'!J$2,'RES Assumptions T15'!$V$3:$W$35,2,FALSE),'RES Assumptions T15'!$E$2:$S$2,0))</f>
        <v>2.0843646697889101E-2</v>
      </c>
      <c r="K46" s="14">
        <f ca="1">OFFSET('RES Assumptions T15'!$D46,0,MATCH(VLOOKUP('RES Assumptions'!K$2,'RES Assumptions T15'!$V$3:$W$35,2,FALSE),'RES Assumptions T15'!$E$2:$S$2,0))</f>
        <v>0.20666878817749301</v>
      </c>
      <c r="L46" s="14">
        <f ca="1">OFFSET('RES Assumptions T15'!$D46,0,MATCH(VLOOKUP('RES Assumptions'!L$2,'RES Assumptions T15'!$V$3:$W$35,2,FALSE),'RES Assumptions T15'!$E$2:$S$2,0))</f>
        <v>0.123327806543018</v>
      </c>
      <c r="M46" s="14">
        <f ca="1">OFFSET('RES Assumptions T15'!$D46,0,MATCH(VLOOKUP('RES Assumptions'!M$2,'RES Assumptions T15'!$V$3:$W$35,2,FALSE),'RES Assumptions T15'!$E$2:$S$2,0))</f>
        <v>0.12567061280109601</v>
      </c>
      <c r="N46" s="14">
        <f ca="1">OFFSET('RES Assumptions T15'!$D46,0,MATCH(VLOOKUP('RES Assumptions'!N$2,'RES Assumptions T15'!$V$3:$W$35,2,FALSE),'RES Assumptions T15'!$E$2:$S$2,0))</f>
        <v>0.190398818541158</v>
      </c>
      <c r="O46" s="14">
        <f ca="1">OFFSET('RES Assumptions T15'!$D46,0,MATCH(VLOOKUP('RES Assumptions'!O$2,'RES Assumptions T15'!$V$3:$W$35,2,FALSE),'RES Assumptions T15'!$E$2:$S$2,0))</f>
        <v>0.106046165647737</v>
      </c>
      <c r="P46" s="14">
        <f ca="1">OFFSET('RES Assumptions T15'!$D46,0,MATCH(VLOOKUP('RES Assumptions'!P$2,'RES Assumptions T15'!$V$3:$W$35,2,FALSE),'RES Assumptions T15'!$E$2:$S$2,0))</f>
        <v>0.14936874754270199</v>
      </c>
      <c r="Q46" s="14">
        <f ca="1">OFFSET('RES Assumptions T15'!$D46,0,MATCH(VLOOKUP('RES Assumptions'!Q$2,'RES Assumptions T15'!$V$3:$W$35,2,FALSE),'RES Assumptions T15'!$E$2:$S$2,0))</f>
        <v>0.106046165647737</v>
      </c>
      <c r="R46" s="14">
        <f ca="1">OFFSET('RES Assumptions T15'!$D46,0,MATCH(VLOOKUP('RES Assumptions'!R$2,'RES Assumptions T15'!$V$3:$W$35,2,FALSE),'RES Assumptions T15'!$E$2:$S$2,0))</f>
        <v>0.106046165647737</v>
      </c>
      <c r="S46" s="14">
        <f ca="1">OFFSET('RES Assumptions T15'!$D46,0,MATCH(VLOOKUP('RES Assumptions'!S$2,'RES Assumptions T15'!$V$3:$W$35,2,FALSE),'RES Assumptions T15'!$E$2:$S$2,0))</f>
        <v>0.14936874754270199</v>
      </c>
      <c r="T46" s="14">
        <f ca="1">OFFSET('RES Assumptions T15'!$D46,0,MATCH(VLOOKUP('RES Assumptions'!T$2,'RES Assumptions T15'!$V$3:$W$35,2,FALSE),'RES Assumptions T15'!$E$2:$S$2,0))</f>
        <v>0.106046165647737</v>
      </c>
      <c r="U46" s="14">
        <f ca="1">OFFSET('RES Assumptions T15'!$D46,0,MATCH(VLOOKUP('RES Assumptions'!U$2,'RES Assumptions T15'!$V$3:$W$35,2,FALSE),'RES Assumptions T15'!$E$2:$S$2,0))</f>
        <v>4.7817977510911998E-2</v>
      </c>
      <c r="V46" s="14">
        <f ca="1">OFFSET('RES Assumptions T15'!$D46,0,MATCH(VLOOKUP('RES Assumptions'!V$2,'RES Assumptions T15'!$V$3:$W$35,2,FALSE),'RES Assumptions T15'!$E$2:$S$2,0))</f>
        <v>0.106046165647737</v>
      </c>
      <c r="W46" s="14">
        <f ca="1">OFFSET('RES Assumptions T15'!$D46,0,MATCH(VLOOKUP('RES Assumptions'!W$2,'RES Assumptions T15'!$V$3:$W$35,2,FALSE),'RES Assumptions T15'!$E$2:$S$2,0))</f>
        <v>0.106046165647737</v>
      </c>
      <c r="X46" s="14">
        <f ca="1">OFFSET('RES Assumptions T15'!$D46,0,MATCH(VLOOKUP('RES Assumptions'!X$2,'RES Assumptions T15'!$V$3:$W$35,2,FALSE),'RES Assumptions T15'!$E$2:$S$2,0))</f>
        <v>0</v>
      </c>
      <c r="Y46" s="14">
        <f ca="1">OFFSET('RES Assumptions T15'!$D46,0,MATCH(VLOOKUP('RES Assumptions'!Y$2,'RES Assumptions T15'!$V$3:$W$35,2,FALSE),'RES Assumptions T15'!$E$2:$S$2,0))</f>
        <v>0.123327806543018</v>
      </c>
      <c r="Z46" s="14">
        <f ca="1">OFFSET('RES Assumptions T15'!$D46,0,MATCH(VLOOKUP('RES Assumptions'!Z$2,'RES Assumptions T15'!$V$3:$W$35,2,FALSE),'RES Assumptions T15'!$E$2:$S$2,0))</f>
        <v>7.1186216440727798E-3</v>
      </c>
      <c r="AA46" s="14">
        <f ca="1">OFFSET('RES Assumptions T15'!$D46,0,MATCH(VLOOKUP('RES Assumptions'!AA$2,'RES Assumptions T15'!$V$3:$W$35,2,FALSE),'RES Assumptions T15'!$E$2:$S$2,0))</f>
        <v>4.7817977510911998E-2</v>
      </c>
      <c r="AB46" s="14">
        <f ca="1">OFFSET('RES Assumptions T15'!$D46,0,MATCH(VLOOKUP('RES Assumptions'!AB$2,'RES Assumptions T15'!$V$3:$W$35,2,FALSE),'RES Assumptions T15'!$E$2:$S$2,0))</f>
        <v>0.106046165647737</v>
      </c>
      <c r="AC46" s="14">
        <f ca="1">OFFSET('RES Assumptions T15'!$D46,0,MATCH(VLOOKUP('RES Assumptions'!AC$2,'RES Assumptions T15'!$V$3:$W$35,2,FALSE),'RES Assumptions T15'!$E$2:$S$2,0))</f>
        <v>4.0129154843484303E-2</v>
      </c>
      <c r="AD46" s="14">
        <f ca="1">OFFSET('RES Assumptions T15'!$D46,0,MATCH(VLOOKUP('RES Assumptions'!AD$2,'RES Assumptions T15'!$V$3:$W$35,2,FALSE),'RES Assumptions T15'!$E$2:$S$2,0))</f>
        <v>4.7817977510911998E-2</v>
      </c>
      <c r="AE46" s="14">
        <f ca="1">OFFSET('RES Assumptions T15'!$D46,0,MATCH(VLOOKUP('RES Assumptions'!AE$2,'RES Assumptions T15'!$V$3:$W$35,2,FALSE),'RES Assumptions T15'!$E$2:$S$2,0))</f>
        <v>0.05</v>
      </c>
      <c r="AF46" s="14">
        <f ca="1">OFFSET('RES Assumptions T15'!$D46,0,MATCH(VLOOKUP('RES Assumptions'!AF$2,'RES Assumptions T15'!$V$3:$W$35,2,FALSE),'RES Assumptions T15'!$E$2:$S$2,0))</f>
        <v>0.106046165647737</v>
      </c>
      <c r="AG46" s="14">
        <f ca="1">OFFSET('RES Assumptions T15'!$D46,0,MATCH(VLOOKUP('RES Assumptions'!AG$2,'RES Assumptions T15'!$V$3:$W$35,2,FALSE),'RES Assumptions T15'!$E$2:$S$2,0))</f>
        <v>9.0945639292600897E-2</v>
      </c>
      <c r="AH46" s="14">
        <f ca="1">OFFSET('RES Assumptions T15'!$D46,0,MATCH(VLOOKUP('RES Assumptions'!AH$2,'RES Assumptions T15'!$V$3:$W$35,2,FALSE),'RES Assumptions T15'!$E$2:$S$2,0))</f>
        <v>9.0945639292600897E-2</v>
      </c>
      <c r="AJ46" s="8"/>
      <c r="AK46" s="10">
        <f ca="1">IFERROR(SUMIFS('RES balance'!E$5:E$25,'RES balance'!$D$5:$D$25,'RES Assumptions'!$A46)*E46,"")</f>
        <v>20.550188717099999</v>
      </c>
      <c r="AL46" s="10">
        <f ca="1">IFERROR(SUMIFS('RES balance'!F$5:F$25,'RES balance'!$D$5:$D$25,'RES Assumptions'!$A46)*F46,"")</f>
        <v>13.82035277394</v>
      </c>
      <c r="AM46" s="10">
        <f ca="1">IFERROR(SUMIFS('RES balance'!G$5:G$25,'RES balance'!$D$5:$D$25,'RES Assumptions'!$A46)*G46,"")</f>
        <v>25.203787702183373</v>
      </c>
      <c r="AN46" s="10">
        <f ca="1">IFERROR(SUMIFS('RES balance'!H$5:H$25,'RES balance'!$D$5:$D$25,'RES Assumptions'!$A46)*H46,"")</f>
        <v>8.2595529402338546</v>
      </c>
      <c r="AO46" s="10">
        <f ca="1">IFERROR(SUMIFS('RES balance'!I$5:I$25,'RES balance'!$D$5:$D$25,'RES Assumptions'!$A46)*I46,"")</f>
        <v>85.243176040738931</v>
      </c>
      <c r="AP46" s="10">
        <f ca="1">IFERROR(SUMIFS('RES balance'!J$5:J$25,'RES balance'!$D$5:$D$25,'RES Assumptions'!$A46)*J46,"")</f>
        <v>34.453534448037814</v>
      </c>
      <c r="AQ46" s="10">
        <f ca="1">IFERROR(SUMIFS('RES balance'!K$5:K$25,'RES balance'!$D$5:$D$25,'RES Assumptions'!$A46)*K46,"")</f>
        <v>53.110841050821506</v>
      </c>
      <c r="AR46" s="10">
        <f ca="1">IFERROR(SUMIFS('RES balance'!L$5:L$25,'RES balance'!$D$5:$D$25,'RES Assumptions'!$A46)*L46,"")</f>
        <v>63.299036921866715</v>
      </c>
      <c r="AS46" s="10">
        <f ca="1">IFERROR(SUMIFS('RES balance'!M$5:M$25,'RES balance'!$D$5:$D$25,'RES Assumptions'!$A46)*M46,"")</f>
        <v>78.551773656768034</v>
      </c>
      <c r="AT46" s="10">
        <f ca="1">IFERROR(SUMIFS('RES balance'!N$5:N$25,'RES balance'!$D$5:$D$25,'RES Assumptions'!$A46)*N46,"")</f>
        <v>737.28801607673563</v>
      </c>
      <c r="AU46" s="10">
        <f ca="1">IFERROR(SUMIFS('RES balance'!O$5:O$25,'RES balance'!$D$5:$D$25,'RES Assumptions'!$A46)*O46,"")</f>
        <v>29.261101704214777</v>
      </c>
      <c r="AV46" s="10">
        <f ca="1">IFERROR(SUMIFS('RES balance'!P$5:P$25,'RES balance'!$D$5:$D$25,'RES Assumptions'!$A46)*P46,"")</f>
        <v>40.368137539928192</v>
      </c>
      <c r="AW46" s="10">
        <f ca="1">IFERROR(SUMIFS('RES balance'!Q$5:Q$25,'RES balance'!$D$5:$D$25,'RES Assumptions'!$A46)*Q46,"")</f>
        <v>19.398252589919423</v>
      </c>
      <c r="AX46" s="10">
        <f ca="1">IFERROR(SUMIFS('RES balance'!R$5:R$25,'RES balance'!$D$5:$D$25,'RES Assumptions'!$A46)*R46,"")</f>
        <v>32.677445281097363</v>
      </c>
      <c r="AY46" s="10">
        <f ca="1">IFERROR(SUMIFS('RES balance'!S$5:S$25,'RES balance'!$D$5:$D$25,'RES Assumptions'!$A46)*S46,"")</f>
        <v>24.23588181780767</v>
      </c>
      <c r="AZ46" s="10">
        <f ca="1">IFERROR(SUMIFS('RES balance'!T$5:T$25,'RES balance'!$D$5:$D$25,'RES Assumptions'!$A46)*T46,"")</f>
        <v>32.909909484849656</v>
      </c>
      <c r="BA46" s="10">
        <f ca="1">IFERROR(SUMIFS('RES balance'!U$5:U$25,'RES balance'!$D$5:$D$25,'RES Assumptions'!$A46)*U46,"")</f>
        <v>25.324749674929429</v>
      </c>
      <c r="BB46" s="10">
        <f ca="1">IFERROR(SUMIFS('RES balance'!V$5:V$25,'RES balance'!$D$5:$D$25,'RES Assumptions'!$A46)*V46,"")</f>
        <v>60.976489943185676</v>
      </c>
      <c r="BC46" s="10">
        <f ca="1">IFERROR(SUMIFS('RES balance'!W$5:W$25,'RES balance'!$D$5:$D$25,'RES Assumptions'!$A46)*W46,"")</f>
        <v>48.308312589744695</v>
      </c>
      <c r="BD46" s="10">
        <f ca="1">IFERROR(SUMIFS('RES balance'!X$5:X$25,'RES balance'!$D$5:$D$25,'RES Assumptions'!$A46)*X46,"")</f>
        <v>0</v>
      </c>
      <c r="BE46" s="10">
        <f ca="1">IFERROR(SUMIFS('RES balance'!Y$5:Y$25,'RES balance'!$D$5:$D$25,'RES Assumptions'!$A46)*Y46,"")</f>
        <v>50.568275045757694</v>
      </c>
      <c r="BF46" s="10">
        <f ca="1">IFERROR(SUMIFS('RES balance'!Z$5:Z$25,'RES balance'!$D$5:$D$25,'RES Assumptions'!$A46)*Z46,"")</f>
        <v>1.6525851563826011</v>
      </c>
      <c r="BG46" s="10">
        <f ca="1">IFERROR(SUMIFS('RES balance'!AA$5:AA$25,'RES balance'!$D$5:$D$25,'RES Assumptions'!$A46)*AA46,"")</f>
        <v>46.074409076036005</v>
      </c>
      <c r="BH46" s="10">
        <f ca="1">IFERROR(SUMIFS('RES balance'!AB$5:AB$25,'RES balance'!$D$5:$D$25,'RES Assumptions'!$A46)*AB46,"")</f>
        <v>15.63119497628305</v>
      </c>
      <c r="BI46" s="10">
        <f ca="1">IFERROR(SUMIFS('RES balance'!AC$5:AC$25,'RES balance'!$D$5:$D$25,'RES Assumptions'!$A46)*AC46,"")</f>
        <v>23.241204596949892</v>
      </c>
      <c r="BJ46" s="10">
        <f ca="1">IFERROR(SUMIFS('RES balance'!AD$5:AD$25,'RES balance'!$D$5:$D$25,'RES Assumptions'!$A46)*AD46,"")</f>
        <v>22.121284943232986</v>
      </c>
      <c r="BK46" s="10">
        <f ca="1">IFERROR(SUMIFS('RES balance'!AE$5:AE$25,'RES balance'!$D$5:$D$25,'RES Assumptions'!$A46)*AE46,"")</f>
        <v>8.759540898720001</v>
      </c>
      <c r="BL46" s="10">
        <f ca="1">IFERROR(SUMIFS('RES balance'!AF$5:AF$25,'RES balance'!$D$5:$D$25,'RES Assumptions'!$A46)*AF46,"")</f>
        <v>39.636823927427493</v>
      </c>
      <c r="BM46" s="10">
        <f ca="1">IFERROR(SUMIFS('RES balance'!AG$5:AG$25,'RES balance'!$D$5:$D$25,'RES Assumptions'!$A46)*AG46,"")</f>
        <v>470.33225931234148</v>
      </c>
      <c r="BN46" s="10">
        <f ca="1">IFERROR(SUMIFS('RES balance'!AH$5:AH$25,'RES balance'!$D$5:$D$25,'RES Assumptions'!$A46)*AH46,"")</f>
        <v>0</v>
      </c>
    </row>
    <row r="47" spans="1:66" x14ac:dyDescent="0.45">
      <c r="A47" s="8" t="str">
        <f>VLOOKUP(C47,'RES balance'!$AL$5:$AM$25,2,FALSE)</f>
        <v>RESELC</v>
      </c>
      <c r="B47" s="36"/>
      <c r="C47" s="7" t="s">
        <v>34</v>
      </c>
      <c r="D47" s="33" t="s">
        <v>120</v>
      </c>
      <c r="E47" s="14">
        <f ca="1">OFFSET('RES Assumptions T15'!$D47,0,MATCH(VLOOKUP('RES Assumptions'!E$2,'RES Assumptions T15'!$V$3:$W$35,2,FALSE),'RES Assumptions T15'!$E$2:$S$2,0))</f>
        <v>0.15</v>
      </c>
      <c r="F47" s="14">
        <f ca="1">OFFSET('RES Assumptions T15'!$D47,0,MATCH(VLOOKUP('RES Assumptions'!F$2,'RES Assumptions T15'!$V$3:$W$35,2,FALSE),'RES Assumptions T15'!$E$2:$S$2,0))</f>
        <v>0.15</v>
      </c>
      <c r="G47" s="14">
        <f ca="1">OFFSET('RES Assumptions T15'!$D47,0,MATCH(VLOOKUP('RES Assumptions'!G$2,'RES Assumptions T15'!$V$3:$W$35,2,FALSE),'RES Assumptions T15'!$E$2:$S$2,0))</f>
        <v>0.2</v>
      </c>
      <c r="H47" s="14">
        <f ca="1">OFFSET('RES Assumptions T15'!$D47,0,MATCH(VLOOKUP('RES Assumptions'!H$2,'RES Assumptions T15'!$V$3:$W$35,2,FALSE),'RES Assumptions T15'!$E$2:$S$2,0))</f>
        <v>0.2</v>
      </c>
      <c r="I47" s="14">
        <f ca="1">OFFSET('RES Assumptions T15'!$D47,0,MATCH(VLOOKUP('RES Assumptions'!I$2,'RES Assumptions T15'!$V$3:$W$35,2,FALSE),'RES Assumptions T15'!$E$2:$S$2,0))</f>
        <v>0.15</v>
      </c>
      <c r="J47" s="14">
        <f ca="1">OFFSET('RES Assumptions T15'!$D47,0,MATCH(VLOOKUP('RES Assumptions'!J$2,'RES Assumptions T15'!$V$3:$W$35,2,FALSE),'RES Assumptions T15'!$E$2:$S$2,0))</f>
        <v>0.2</v>
      </c>
      <c r="K47" s="14">
        <f ca="1">OFFSET('RES Assumptions T15'!$D47,0,MATCH(VLOOKUP('RES Assumptions'!K$2,'RES Assumptions T15'!$V$3:$W$35,2,FALSE),'RES Assumptions T15'!$E$2:$S$2,0))</f>
        <v>0.15</v>
      </c>
      <c r="L47" s="14">
        <f ca="1">OFFSET('RES Assumptions T15'!$D47,0,MATCH(VLOOKUP('RES Assumptions'!L$2,'RES Assumptions T15'!$V$3:$W$35,2,FALSE),'RES Assumptions T15'!$E$2:$S$2,0))</f>
        <v>0.2</v>
      </c>
      <c r="M47" s="14">
        <f ca="1">OFFSET('RES Assumptions T15'!$D47,0,MATCH(VLOOKUP('RES Assumptions'!M$2,'RES Assumptions T15'!$V$3:$W$35,2,FALSE),'RES Assumptions T15'!$E$2:$S$2,0))</f>
        <v>0.15</v>
      </c>
      <c r="N47" s="14">
        <f ca="1">OFFSET('RES Assumptions T15'!$D47,0,MATCH(VLOOKUP('RES Assumptions'!N$2,'RES Assumptions T15'!$V$3:$W$35,2,FALSE),'RES Assumptions T15'!$E$2:$S$2,0))</f>
        <v>0.15</v>
      </c>
      <c r="O47" s="14">
        <f ca="1">OFFSET('RES Assumptions T15'!$D47,0,MATCH(VLOOKUP('RES Assumptions'!O$2,'RES Assumptions T15'!$V$3:$W$35,2,FALSE),'RES Assumptions T15'!$E$2:$S$2,0))</f>
        <v>0.14000000000000001</v>
      </c>
      <c r="P47" s="14">
        <f ca="1">OFFSET('RES Assumptions T15'!$D47,0,MATCH(VLOOKUP('RES Assumptions'!P$2,'RES Assumptions T15'!$V$3:$W$35,2,FALSE),'RES Assumptions T15'!$E$2:$S$2,0))</f>
        <v>0.2</v>
      </c>
      <c r="Q47" s="14">
        <f ca="1">OFFSET('RES Assumptions T15'!$D47,0,MATCH(VLOOKUP('RES Assumptions'!Q$2,'RES Assumptions T15'!$V$3:$W$35,2,FALSE),'RES Assumptions T15'!$E$2:$S$2,0))</f>
        <v>0.14000000000000001</v>
      </c>
      <c r="R47" s="14">
        <f ca="1">OFFSET('RES Assumptions T15'!$D47,0,MATCH(VLOOKUP('RES Assumptions'!R$2,'RES Assumptions T15'!$V$3:$W$35,2,FALSE),'RES Assumptions T15'!$E$2:$S$2,0))</f>
        <v>0.14000000000000001</v>
      </c>
      <c r="S47" s="14">
        <f ca="1">OFFSET('RES Assumptions T15'!$D47,0,MATCH(VLOOKUP('RES Assumptions'!S$2,'RES Assumptions T15'!$V$3:$W$35,2,FALSE),'RES Assumptions T15'!$E$2:$S$2,0))</f>
        <v>0.2</v>
      </c>
      <c r="T47" s="14">
        <f ca="1">OFFSET('RES Assumptions T15'!$D47,0,MATCH(VLOOKUP('RES Assumptions'!T$2,'RES Assumptions T15'!$V$3:$W$35,2,FALSE),'RES Assumptions T15'!$E$2:$S$2,0))</f>
        <v>0.14000000000000001</v>
      </c>
      <c r="U47" s="14">
        <f ca="1">OFFSET('RES Assumptions T15'!$D47,0,MATCH(VLOOKUP('RES Assumptions'!U$2,'RES Assumptions T15'!$V$3:$W$35,2,FALSE),'RES Assumptions T15'!$E$2:$S$2,0))</f>
        <v>0.2</v>
      </c>
      <c r="V47" s="14">
        <f ca="1">OFFSET('RES Assumptions T15'!$D47,0,MATCH(VLOOKUP('RES Assumptions'!V$2,'RES Assumptions T15'!$V$3:$W$35,2,FALSE),'RES Assumptions T15'!$E$2:$S$2,0))</f>
        <v>0.14000000000000001</v>
      </c>
      <c r="W47" s="14">
        <f ca="1">OFFSET('RES Assumptions T15'!$D47,0,MATCH(VLOOKUP('RES Assumptions'!W$2,'RES Assumptions T15'!$V$3:$W$35,2,FALSE),'RES Assumptions T15'!$E$2:$S$2,0))</f>
        <v>0.14000000000000001</v>
      </c>
      <c r="X47" s="14">
        <f ca="1">OFFSET('RES Assumptions T15'!$D47,0,MATCH(VLOOKUP('RES Assumptions'!X$2,'RES Assumptions T15'!$V$3:$W$35,2,FALSE),'RES Assumptions T15'!$E$2:$S$2,0))</f>
        <v>0.17</v>
      </c>
      <c r="Y47" s="14">
        <f ca="1">OFFSET('RES Assumptions T15'!$D47,0,MATCH(VLOOKUP('RES Assumptions'!Y$2,'RES Assumptions T15'!$V$3:$W$35,2,FALSE),'RES Assumptions T15'!$E$2:$S$2,0))</f>
        <v>0.2</v>
      </c>
      <c r="Z47" s="14">
        <f ca="1">OFFSET('RES Assumptions T15'!$D47,0,MATCH(VLOOKUP('RES Assumptions'!Z$2,'RES Assumptions T15'!$V$3:$W$35,2,FALSE),'RES Assumptions T15'!$E$2:$S$2,0))</f>
        <v>0.2</v>
      </c>
      <c r="AA47" s="14">
        <f ca="1">OFFSET('RES Assumptions T15'!$D47,0,MATCH(VLOOKUP('RES Assumptions'!AA$2,'RES Assumptions T15'!$V$3:$W$35,2,FALSE),'RES Assumptions T15'!$E$2:$S$2,0))</f>
        <v>0.2</v>
      </c>
      <c r="AB47" s="14">
        <f ca="1">OFFSET('RES Assumptions T15'!$D47,0,MATCH(VLOOKUP('RES Assumptions'!AB$2,'RES Assumptions T15'!$V$3:$W$35,2,FALSE),'RES Assumptions T15'!$E$2:$S$2,0))</f>
        <v>0.14000000000000001</v>
      </c>
      <c r="AC47" s="14">
        <f ca="1">OFFSET('RES Assumptions T15'!$D47,0,MATCH(VLOOKUP('RES Assumptions'!AC$2,'RES Assumptions T15'!$V$3:$W$35,2,FALSE),'RES Assumptions T15'!$E$2:$S$2,0))</f>
        <v>0.2</v>
      </c>
      <c r="AD47" s="14">
        <f ca="1">OFFSET('RES Assumptions T15'!$D47,0,MATCH(VLOOKUP('RES Assumptions'!AD$2,'RES Assumptions T15'!$V$3:$W$35,2,FALSE),'RES Assumptions T15'!$E$2:$S$2,0))</f>
        <v>0.2</v>
      </c>
      <c r="AE47" s="14">
        <f ca="1">OFFSET('RES Assumptions T15'!$D47,0,MATCH(VLOOKUP('RES Assumptions'!AE$2,'RES Assumptions T15'!$V$3:$W$35,2,FALSE),'RES Assumptions T15'!$E$2:$S$2,0))</f>
        <v>0.15</v>
      </c>
      <c r="AF47" s="14">
        <f ca="1">OFFSET('RES Assumptions T15'!$D47,0,MATCH(VLOOKUP('RES Assumptions'!AF$2,'RES Assumptions T15'!$V$3:$W$35,2,FALSE),'RES Assumptions T15'!$E$2:$S$2,0))</f>
        <v>0.14000000000000001</v>
      </c>
      <c r="AG47" s="14">
        <f ca="1">OFFSET('RES Assumptions T15'!$D47,0,MATCH(VLOOKUP('RES Assumptions'!AG$2,'RES Assumptions T15'!$V$3:$W$35,2,FALSE),'RES Assumptions T15'!$E$2:$S$2,0))</f>
        <v>0.14141165470104977</v>
      </c>
      <c r="AH47" s="14">
        <f ca="1">OFFSET('RES Assumptions T15'!$D47,0,MATCH(VLOOKUP('RES Assumptions'!AH$2,'RES Assumptions T15'!$V$3:$W$35,2,FALSE),'RES Assumptions T15'!$E$2:$S$2,0))</f>
        <v>0.14141165470104977</v>
      </c>
      <c r="AJ47" s="8"/>
      <c r="AK47" s="10">
        <f ca="1">IFERROR(SUMIFS('RES balance'!E$5:E$25,'RES balance'!$D$5:$D$25,'RES Assumptions'!$A47)*E47,"")</f>
        <v>61.650566151299998</v>
      </c>
      <c r="AL47" s="10">
        <f ca="1">IFERROR(SUMIFS('RES balance'!F$5:F$25,'RES balance'!$D$5:$D$25,'RES Assumptions'!$A47)*F47,"")</f>
        <v>41.461058321819998</v>
      </c>
      <c r="AM47" s="10">
        <f ca="1">IFERROR(SUMIFS('RES balance'!G$5:G$25,'RES balance'!$D$5:$D$25,'RES Assumptions'!$A47)*G47,"")</f>
        <v>40.87283867064</v>
      </c>
      <c r="AN47" s="10">
        <f ca="1">IFERROR(SUMIFS('RES balance'!H$5:H$25,'RES balance'!$D$5:$D$25,'RES Assumptions'!$A47)*H47,"")</f>
        <v>41.164848711360008</v>
      </c>
      <c r="AO47" s="10">
        <f ca="1">IFERROR(SUMIFS('RES balance'!I$5:I$25,'RES balance'!$D$5:$D$25,'RES Assumptions'!$A47)*I47,"")</f>
        <v>172.51917525828</v>
      </c>
      <c r="AP47" s="10">
        <f ca="1">IFERROR(SUMIFS('RES balance'!J$5:J$25,'RES balance'!$D$5:$D$25,'RES Assumptions'!$A47)*J47,"")</f>
        <v>330.59027479608</v>
      </c>
      <c r="AQ47" s="10">
        <f ca="1">IFERROR(SUMIFS('RES balance'!K$5:K$25,'RES balance'!$D$5:$D$25,'RES Assumptions'!$A47)*K47,"")</f>
        <v>38.547795377700005</v>
      </c>
      <c r="AR47" s="10">
        <f ca="1">IFERROR(SUMIFS('RES balance'!L$5:L$25,'RES balance'!$D$5:$D$25,'RES Assumptions'!$A47)*L47,"")</f>
        <v>102.65168690856001</v>
      </c>
      <c r="AS47" s="10">
        <f ca="1">IFERROR(SUMIFS('RES balance'!M$5:M$25,'RES balance'!$D$5:$D$25,'RES Assumptions'!$A47)*M47,"")</f>
        <v>93.75911986013999</v>
      </c>
      <c r="AT47" s="10">
        <f ca="1">IFERROR(SUMIFS('RES balance'!N$5:N$25,'RES balance'!$D$5:$D$25,'RES Assumptions'!$A47)*N47,"")</f>
        <v>580.85025557868005</v>
      </c>
      <c r="AU47" s="10">
        <f ca="1">IFERROR(SUMIFS('RES balance'!O$5:O$25,'RES balance'!$D$5:$D$25,'RES Assumptions'!$A47)*O47,"")</f>
        <v>38.629913807520005</v>
      </c>
      <c r="AV47" s="10">
        <f ca="1">IFERROR(SUMIFS('RES balance'!P$5:P$25,'RES balance'!$D$5:$D$25,'RES Assumptions'!$A47)*P47,"")</f>
        <v>54.051651639360003</v>
      </c>
      <c r="AW47" s="10">
        <f ca="1">IFERROR(SUMIFS('RES balance'!Q$5:Q$25,'RES balance'!$D$5:$D$25,'RES Assumptions'!$A47)*Q47,"")</f>
        <v>25.609180171680002</v>
      </c>
      <c r="AX47" s="10">
        <f ca="1">IFERROR(SUMIFS('RES balance'!R$5:R$25,'RES balance'!$D$5:$D$25,'RES Assumptions'!$A47)*R47,"")</f>
        <v>43.140101402160006</v>
      </c>
      <c r="AY47" s="10">
        <f ca="1">IFERROR(SUMIFS('RES balance'!S$5:S$25,'RES balance'!$D$5:$D$25,'RES Assumptions'!$A47)*S47,"")</f>
        <v>32.451074560800002</v>
      </c>
      <c r="AZ47" s="10">
        <f ca="1">IFERROR(SUMIFS('RES balance'!T$5:T$25,'RES balance'!$D$5:$D$25,'RES Assumptions'!$A47)*T47,"")</f>
        <v>43.446995935560004</v>
      </c>
      <c r="BA47" s="10">
        <f ca="1">IFERROR(SUMIFS('RES balance'!U$5:U$25,'RES balance'!$D$5:$D$25,'RES Assumptions'!$A47)*U47,"")</f>
        <v>105.92145880344002</v>
      </c>
      <c r="BB47" s="10">
        <f ca="1">IFERROR(SUMIFS('RES balance'!V$5:V$25,'RES balance'!$D$5:$D$25,'RES Assumptions'!$A47)*V47,"")</f>
        <v>80.499926988432009</v>
      </c>
      <c r="BC47" s="10">
        <f ca="1">IFERROR(SUMIFS('RES balance'!W$5:W$25,'RES balance'!$D$5:$D$25,'RES Assumptions'!$A47)*W47,"")</f>
        <v>63.775655831160009</v>
      </c>
      <c r="BD47" s="10">
        <f ca="1">IFERROR(SUMIFS('RES balance'!X$5:X$25,'RES balance'!$D$5:$D$25,'RES Assumptions'!$A47)*X47,"")</f>
        <v>193.61078453912401</v>
      </c>
      <c r="BE47" s="10">
        <f ca="1">IFERROR(SUMIFS('RES balance'!Y$5:Y$25,'RES balance'!$D$5:$D$25,'RES Assumptions'!$A47)*Y47,"")</f>
        <v>82.006283032560006</v>
      </c>
      <c r="BF47" s="10">
        <f ca="1">IFERROR(SUMIFS('RES balance'!Z$5:Z$25,'RES balance'!$D$5:$D$25,'RES Assumptions'!$A47)*Z47,"")</f>
        <v>46.429919695439999</v>
      </c>
      <c r="BG47" s="10">
        <f ca="1">IFERROR(SUMIFS('RES balance'!AA$5:AA$25,'RES balance'!$D$5:$D$25,'RES Assumptions'!$A47)*AA47,"")</f>
        <v>192.70747728936001</v>
      </c>
      <c r="BH47" s="10">
        <f ca="1">IFERROR(SUMIFS('RES balance'!AB$5:AB$25,'RES balance'!$D$5:$D$25,'RES Assumptions'!$A47)*AB47,"")</f>
        <v>20.635987009176002</v>
      </c>
      <c r="BI47" s="10">
        <f ca="1">IFERROR(SUMIFS('RES balance'!AC$5:AC$25,'RES balance'!$D$5:$D$25,'RES Assumptions'!$A47)*AC47,"")</f>
        <v>115.83201633624002</v>
      </c>
      <c r="BJ47" s="10">
        <f ca="1">IFERROR(SUMIFS('RES balance'!AD$5:AD$25,'RES balance'!$D$5:$D$25,'RES Assumptions'!$A47)*AD47,"")</f>
        <v>92.522879865360011</v>
      </c>
      <c r="BK47" s="10">
        <f ca="1">IFERROR(SUMIFS('RES balance'!AE$5:AE$25,'RES balance'!$D$5:$D$25,'RES Assumptions'!$A47)*AE47,"")</f>
        <v>26.278622696159999</v>
      </c>
      <c r="BL47" s="10">
        <f ca="1">IFERROR(SUMIFS('RES balance'!AF$5:AF$25,'RES balance'!$D$5:$D$25,'RES Assumptions'!$A47)*AF47,"")</f>
        <v>52.327732133880005</v>
      </c>
      <c r="BM47" s="10">
        <f ca="1">IFERROR(SUMIFS('RES balance'!AG$5:AG$25,'RES balance'!$D$5:$D$25,'RES Assumptions'!$A47)*AG47,"")</f>
        <v>731.32107889918973</v>
      </c>
      <c r="BN47" s="10">
        <f ca="1">IFERROR(SUMIFS('RES balance'!AH$5:AH$25,'RES balance'!$D$5:$D$25,'RES Assumptions'!$A47)*AH47,"")</f>
        <v>0</v>
      </c>
    </row>
    <row r="48" spans="1:66" x14ac:dyDescent="0.45">
      <c r="A48" s="8" t="str">
        <f>VLOOKUP(C48,'RES balance'!$AL$5:$AM$25,2,FALSE)</f>
        <v>RESELC</v>
      </c>
      <c r="B48" s="36"/>
      <c r="C48" s="20" t="s">
        <v>34</v>
      </c>
      <c r="D48" s="21" t="s">
        <v>66</v>
      </c>
      <c r="E48" s="14">
        <f ca="1">OFFSET('RES Assumptions T15'!$D48,0,MATCH(VLOOKUP('RES Assumptions'!E$2,'RES Assumptions T15'!$V$3:$W$35,2,FALSE),'RES Assumptions T15'!$E$2:$S$2,0))</f>
        <v>0</v>
      </c>
      <c r="F48" s="14">
        <f ca="1">OFFSET('RES Assumptions T15'!$D48,0,MATCH(VLOOKUP('RES Assumptions'!F$2,'RES Assumptions T15'!$V$3:$W$35,2,FALSE),'RES Assumptions T15'!$E$2:$S$2,0))</f>
        <v>0</v>
      </c>
      <c r="G48" s="14">
        <f ca="1">OFFSET('RES Assumptions T15'!$D48,0,MATCH(VLOOKUP('RES Assumptions'!G$2,'RES Assumptions T15'!$V$3:$W$35,2,FALSE),'RES Assumptions T15'!$E$2:$S$2,0))</f>
        <v>0</v>
      </c>
      <c r="H48" s="14">
        <f ca="1">OFFSET('RES Assumptions T15'!$D48,0,MATCH(VLOOKUP('RES Assumptions'!H$2,'RES Assumptions T15'!$V$3:$W$35,2,FALSE),'RES Assumptions T15'!$E$2:$S$2,0))</f>
        <v>0</v>
      </c>
      <c r="I48" s="14">
        <f ca="1">OFFSET('RES Assumptions T15'!$D48,0,MATCH(VLOOKUP('RES Assumptions'!I$2,'RES Assumptions T15'!$V$3:$W$35,2,FALSE),'RES Assumptions T15'!$E$2:$S$2,0))</f>
        <v>0</v>
      </c>
      <c r="J48" s="14">
        <f ca="1">OFFSET('RES Assumptions T15'!$D48,0,MATCH(VLOOKUP('RES Assumptions'!J$2,'RES Assumptions T15'!$V$3:$W$35,2,FALSE),'RES Assumptions T15'!$E$2:$S$2,0))</f>
        <v>0</v>
      </c>
      <c r="K48" s="14">
        <f ca="1">OFFSET('RES Assumptions T15'!$D48,0,MATCH(VLOOKUP('RES Assumptions'!K$2,'RES Assumptions T15'!$V$3:$W$35,2,FALSE),'RES Assumptions T15'!$E$2:$S$2,0))</f>
        <v>0</v>
      </c>
      <c r="L48" s="14">
        <f ca="1">OFFSET('RES Assumptions T15'!$D48,0,MATCH(VLOOKUP('RES Assumptions'!L$2,'RES Assumptions T15'!$V$3:$W$35,2,FALSE),'RES Assumptions T15'!$E$2:$S$2,0))</f>
        <v>0</v>
      </c>
      <c r="M48" s="14">
        <f ca="1">OFFSET('RES Assumptions T15'!$D48,0,MATCH(VLOOKUP('RES Assumptions'!M$2,'RES Assumptions T15'!$V$3:$W$35,2,FALSE),'RES Assumptions T15'!$E$2:$S$2,0))</f>
        <v>0</v>
      </c>
      <c r="N48" s="14">
        <f ca="1">OFFSET('RES Assumptions T15'!$D48,0,MATCH(VLOOKUP('RES Assumptions'!N$2,'RES Assumptions T15'!$V$3:$W$35,2,FALSE),'RES Assumptions T15'!$E$2:$S$2,0))</f>
        <v>0</v>
      </c>
      <c r="O48" s="14">
        <f ca="1">OFFSET('RES Assumptions T15'!$D48,0,MATCH(VLOOKUP('RES Assumptions'!O$2,'RES Assumptions T15'!$V$3:$W$35,2,FALSE),'RES Assumptions T15'!$E$2:$S$2,0))</f>
        <v>0</v>
      </c>
      <c r="P48" s="14">
        <f ca="1">OFFSET('RES Assumptions T15'!$D48,0,MATCH(VLOOKUP('RES Assumptions'!P$2,'RES Assumptions T15'!$V$3:$W$35,2,FALSE),'RES Assumptions T15'!$E$2:$S$2,0))</f>
        <v>0</v>
      </c>
      <c r="Q48" s="14">
        <f ca="1">OFFSET('RES Assumptions T15'!$D48,0,MATCH(VLOOKUP('RES Assumptions'!Q$2,'RES Assumptions T15'!$V$3:$W$35,2,FALSE),'RES Assumptions T15'!$E$2:$S$2,0))</f>
        <v>0</v>
      </c>
      <c r="R48" s="14">
        <f ca="1">OFFSET('RES Assumptions T15'!$D48,0,MATCH(VLOOKUP('RES Assumptions'!R$2,'RES Assumptions T15'!$V$3:$W$35,2,FALSE),'RES Assumptions T15'!$E$2:$S$2,0))</f>
        <v>0</v>
      </c>
      <c r="S48" s="14">
        <f ca="1">OFFSET('RES Assumptions T15'!$D48,0,MATCH(VLOOKUP('RES Assumptions'!S$2,'RES Assumptions T15'!$V$3:$W$35,2,FALSE),'RES Assumptions T15'!$E$2:$S$2,0))</f>
        <v>0</v>
      </c>
      <c r="T48" s="14">
        <f ca="1">OFFSET('RES Assumptions T15'!$D48,0,MATCH(VLOOKUP('RES Assumptions'!T$2,'RES Assumptions T15'!$V$3:$W$35,2,FALSE),'RES Assumptions T15'!$E$2:$S$2,0))</f>
        <v>0</v>
      </c>
      <c r="U48" s="14">
        <f ca="1">OFFSET('RES Assumptions T15'!$D48,0,MATCH(VLOOKUP('RES Assumptions'!U$2,'RES Assumptions T15'!$V$3:$W$35,2,FALSE),'RES Assumptions T15'!$E$2:$S$2,0))</f>
        <v>0</v>
      </c>
      <c r="V48" s="14">
        <f ca="1">OFFSET('RES Assumptions T15'!$D48,0,MATCH(VLOOKUP('RES Assumptions'!V$2,'RES Assumptions T15'!$V$3:$W$35,2,FALSE),'RES Assumptions T15'!$E$2:$S$2,0))</f>
        <v>0</v>
      </c>
      <c r="W48" s="14">
        <f ca="1">OFFSET('RES Assumptions T15'!$D48,0,MATCH(VLOOKUP('RES Assumptions'!W$2,'RES Assumptions T15'!$V$3:$W$35,2,FALSE),'RES Assumptions T15'!$E$2:$S$2,0))</f>
        <v>0</v>
      </c>
      <c r="X48" s="14">
        <f ca="1">OFFSET('RES Assumptions T15'!$D48,0,MATCH(VLOOKUP('RES Assumptions'!X$2,'RES Assumptions T15'!$V$3:$W$35,2,FALSE),'RES Assumptions T15'!$E$2:$S$2,0))</f>
        <v>0</v>
      </c>
      <c r="Y48" s="14">
        <f ca="1">OFFSET('RES Assumptions T15'!$D48,0,MATCH(VLOOKUP('RES Assumptions'!Y$2,'RES Assumptions T15'!$V$3:$W$35,2,FALSE),'RES Assumptions T15'!$E$2:$S$2,0))</f>
        <v>0</v>
      </c>
      <c r="Z48" s="14">
        <f ca="1">OFFSET('RES Assumptions T15'!$D48,0,MATCH(VLOOKUP('RES Assumptions'!Z$2,'RES Assumptions T15'!$V$3:$W$35,2,FALSE),'RES Assumptions T15'!$E$2:$S$2,0))</f>
        <v>0</v>
      </c>
      <c r="AA48" s="14">
        <f ca="1">OFFSET('RES Assumptions T15'!$D48,0,MATCH(VLOOKUP('RES Assumptions'!AA$2,'RES Assumptions T15'!$V$3:$W$35,2,FALSE),'RES Assumptions T15'!$E$2:$S$2,0))</f>
        <v>0</v>
      </c>
      <c r="AB48" s="14">
        <f ca="1">OFFSET('RES Assumptions T15'!$D48,0,MATCH(VLOOKUP('RES Assumptions'!AB$2,'RES Assumptions T15'!$V$3:$W$35,2,FALSE),'RES Assumptions T15'!$E$2:$S$2,0))</f>
        <v>0</v>
      </c>
      <c r="AC48" s="14">
        <f ca="1">OFFSET('RES Assumptions T15'!$D48,0,MATCH(VLOOKUP('RES Assumptions'!AC$2,'RES Assumptions T15'!$V$3:$W$35,2,FALSE),'RES Assumptions T15'!$E$2:$S$2,0))</f>
        <v>0</v>
      </c>
      <c r="AD48" s="14">
        <f ca="1">OFFSET('RES Assumptions T15'!$D48,0,MATCH(VLOOKUP('RES Assumptions'!AD$2,'RES Assumptions T15'!$V$3:$W$35,2,FALSE),'RES Assumptions T15'!$E$2:$S$2,0))</f>
        <v>0</v>
      </c>
      <c r="AE48" s="14">
        <f ca="1">OFFSET('RES Assumptions T15'!$D48,0,MATCH(VLOOKUP('RES Assumptions'!AE$2,'RES Assumptions T15'!$V$3:$W$35,2,FALSE),'RES Assumptions T15'!$E$2:$S$2,0))</f>
        <v>0</v>
      </c>
      <c r="AF48" s="14">
        <f ca="1">OFFSET('RES Assumptions T15'!$D48,0,MATCH(VLOOKUP('RES Assumptions'!AF$2,'RES Assumptions T15'!$V$3:$W$35,2,FALSE),'RES Assumptions T15'!$E$2:$S$2,0))</f>
        <v>0</v>
      </c>
      <c r="AG48" s="14">
        <f ca="1">OFFSET('RES Assumptions T15'!$D48,0,MATCH(VLOOKUP('RES Assumptions'!AG$2,'RES Assumptions T15'!$V$3:$W$35,2,FALSE),'RES Assumptions T15'!$E$2:$S$2,0))</f>
        <v>0</v>
      </c>
      <c r="AH48" s="14">
        <f ca="1">OFFSET('RES Assumptions T15'!$D48,0,MATCH(VLOOKUP('RES Assumptions'!AH$2,'RES Assumptions T15'!$V$3:$W$35,2,FALSE),'RES Assumptions T15'!$E$2:$S$2,0))</f>
        <v>0</v>
      </c>
      <c r="AJ48" s="8"/>
      <c r="AK48" s="10">
        <f ca="1">IFERROR(SUMIFS('RES balance'!E$5:E$25,'RES balance'!$D$5:$D$25,'RES Assumptions'!$A48)*E48,"")</f>
        <v>0</v>
      </c>
      <c r="AL48" s="10">
        <f ca="1">IFERROR(SUMIFS('RES balance'!F$5:F$25,'RES balance'!$D$5:$D$25,'RES Assumptions'!$A48)*F48,"")</f>
        <v>0</v>
      </c>
      <c r="AM48" s="10">
        <f ca="1">IFERROR(SUMIFS('RES balance'!G$5:G$25,'RES balance'!$D$5:$D$25,'RES Assumptions'!$A48)*G48,"")</f>
        <v>0</v>
      </c>
      <c r="AN48" s="10">
        <f ca="1">IFERROR(SUMIFS('RES balance'!H$5:H$25,'RES balance'!$D$5:$D$25,'RES Assumptions'!$A48)*H48,"")</f>
        <v>0</v>
      </c>
      <c r="AO48" s="10">
        <f ca="1">IFERROR(SUMIFS('RES balance'!I$5:I$25,'RES balance'!$D$5:$D$25,'RES Assumptions'!$A48)*I48,"")</f>
        <v>0</v>
      </c>
      <c r="AP48" s="10">
        <f ca="1">IFERROR(SUMIFS('RES balance'!J$5:J$25,'RES balance'!$D$5:$D$25,'RES Assumptions'!$A48)*J48,"")</f>
        <v>0</v>
      </c>
      <c r="AQ48" s="10">
        <f ca="1">IFERROR(SUMIFS('RES balance'!K$5:K$25,'RES balance'!$D$5:$D$25,'RES Assumptions'!$A48)*K48,"")</f>
        <v>0</v>
      </c>
      <c r="AR48" s="10">
        <f ca="1">IFERROR(SUMIFS('RES balance'!L$5:L$25,'RES balance'!$D$5:$D$25,'RES Assumptions'!$A48)*L48,"")</f>
        <v>0</v>
      </c>
      <c r="AS48" s="10">
        <f ca="1">IFERROR(SUMIFS('RES balance'!M$5:M$25,'RES balance'!$D$5:$D$25,'RES Assumptions'!$A48)*M48,"")</f>
        <v>0</v>
      </c>
      <c r="AT48" s="10">
        <f ca="1">IFERROR(SUMIFS('RES balance'!N$5:N$25,'RES balance'!$D$5:$D$25,'RES Assumptions'!$A48)*N48,"")</f>
        <v>0</v>
      </c>
      <c r="AU48" s="10">
        <f ca="1">IFERROR(SUMIFS('RES balance'!O$5:O$25,'RES balance'!$D$5:$D$25,'RES Assumptions'!$A48)*O48,"")</f>
        <v>0</v>
      </c>
      <c r="AV48" s="10">
        <f ca="1">IFERROR(SUMIFS('RES balance'!P$5:P$25,'RES balance'!$D$5:$D$25,'RES Assumptions'!$A48)*P48,"")</f>
        <v>0</v>
      </c>
      <c r="AW48" s="10">
        <f ca="1">IFERROR(SUMIFS('RES balance'!Q$5:Q$25,'RES balance'!$D$5:$D$25,'RES Assumptions'!$A48)*Q48,"")</f>
        <v>0</v>
      </c>
      <c r="AX48" s="10">
        <f ca="1">IFERROR(SUMIFS('RES balance'!R$5:R$25,'RES balance'!$D$5:$D$25,'RES Assumptions'!$A48)*R48,"")</f>
        <v>0</v>
      </c>
      <c r="AY48" s="10">
        <f ca="1">IFERROR(SUMIFS('RES balance'!S$5:S$25,'RES balance'!$D$5:$D$25,'RES Assumptions'!$A48)*S48,"")</f>
        <v>0</v>
      </c>
      <c r="AZ48" s="10">
        <f ca="1">IFERROR(SUMIFS('RES balance'!T$5:T$25,'RES balance'!$D$5:$D$25,'RES Assumptions'!$A48)*T48,"")</f>
        <v>0</v>
      </c>
      <c r="BA48" s="10">
        <f ca="1">IFERROR(SUMIFS('RES balance'!U$5:U$25,'RES balance'!$D$5:$D$25,'RES Assumptions'!$A48)*U48,"")</f>
        <v>0</v>
      </c>
      <c r="BB48" s="10">
        <f ca="1">IFERROR(SUMIFS('RES balance'!V$5:V$25,'RES balance'!$D$5:$D$25,'RES Assumptions'!$A48)*V48,"")</f>
        <v>0</v>
      </c>
      <c r="BC48" s="10">
        <f ca="1">IFERROR(SUMIFS('RES balance'!W$5:W$25,'RES balance'!$D$5:$D$25,'RES Assumptions'!$A48)*W48,"")</f>
        <v>0</v>
      </c>
      <c r="BD48" s="10">
        <f ca="1">IFERROR(SUMIFS('RES balance'!X$5:X$25,'RES balance'!$D$5:$D$25,'RES Assumptions'!$A48)*X48,"")</f>
        <v>0</v>
      </c>
      <c r="BE48" s="10">
        <f ca="1">IFERROR(SUMIFS('RES balance'!Y$5:Y$25,'RES balance'!$D$5:$D$25,'RES Assumptions'!$A48)*Y48,"")</f>
        <v>0</v>
      </c>
      <c r="BF48" s="10">
        <f ca="1">IFERROR(SUMIFS('RES balance'!Z$5:Z$25,'RES balance'!$D$5:$D$25,'RES Assumptions'!$A48)*Z48,"")</f>
        <v>0</v>
      </c>
      <c r="BG48" s="10">
        <f ca="1">IFERROR(SUMIFS('RES balance'!AA$5:AA$25,'RES balance'!$D$5:$D$25,'RES Assumptions'!$A48)*AA48,"")</f>
        <v>0</v>
      </c>
      <c r="BH48" s="10">
        <f ca="1">IFERROR(SUMIFS('RES balance'!AB$5:AB$25,'RES balance'!$D$5:$D$25,'RES Assumptions'!$A48)*AB48,"")</f>
        <v>0</v>
      </c>
      <c r="BI48" s="10">
        <f ca="1">IFERROR(SUMIFS('RES balance'!AC$5:AC$25,'RES balance'!$D$5:$D$25,'RES Assumptions'!$A48)*AC48,"")</f>
        <v>0</v>
      </c>
      <c r="BJ48" s="10">
        <f ca="1">IFERROR(SUMIFS('RES balance'!AD$5:AD$25,'RES balance'!$D$5:$D$25,'RES Assumptions'!$A48)*AD48,"")</f>
        <v>0</v>
      </c>
      <c r="BK48" s="10">
        <f ca="1">IFERROR(SUMIFS('RES balance'!AE$5:AE$25,'RES balance'!$D$5:$D$25,'RES Assumptions'!$A48)*AE48,"")</f>
        <v>0</v>
      </c>
      <c r="BL48" s="10">
        <f ca="1">IFERROR(SUMIFS('RES balance'!AF$5:AF$25,'RES balance'!$D$5:$D$25,'RES Assumptions'!$A48)*AF48,"")</f>
        <v>0</v>
      </c>
      <c r="BM48" s="10">
        <f ca="1">IFERROR(SUMIFS('RES balance'!AG$5:AG$25,'RES balance'!$D$5:$D$25,'RES Assumptions'!$A48)*AG48,"")</f>
        <v>0</v>
      </c>
      <c r="BN48" s="10">
        <f ca="1">IFERROR(SUMIFS('RES balance'!AH$5:AH$25,'RES balance'!$D$5:$D$25,'RES Assumptions'!$A48)*AH48,"")</f>
        <v>0</v>
      </c>
    </row>
    <row r="49" spans="1:66" x14ac:dyDescent="0.45">
      <c r="A49" s="8" t="str">
        <f>VLOOKUP(C49,'RES balance'!$AL$5:$AM$25,2,FALSE)</f>
        <v>RESELC</v>
      </c>
      <c r="B49" s="36"/>
      <c r="C49" s="20" t="s">
        <v>34</v>
      </c>
      <c r="D49" s="21" t="s">
        <v>67</v>
      </c>
      <c r="E49" s="14">
        <f ca="1">OFFSET('RES Assumptions T15'!$D49,0,MATCH(VLOOKUP('RES Assumptions'!E$2,'RES Assumptions T15'!$V$3:$W$35,2,FALSE),'RES Assumptions T15'!$E$2:$S$2,0))</f>
        <v>0</v>
      </c>
      <c r="F49" s="14">
        <f ca="1">OFFSET('RES Assumptions T15'!$D49,0,MATCH(VLOOKUP('RES Assumptions'!F$2,'RES Assumptions T15'!$V$3:$W$35,2,FALSE),'RES Assumptions T15'!$E$2:$S$2,0))</f>
        <v>0</v>
      </c>
      <c r="G49" s="14">
        <f ca="1">OFFSET('RES Assumptions T15'!$D49,0,MATCH(VLOOKUP('RES Assumptions'!G$2,'RES Assumptions T15'!$V$3:$W$35,2,FALSE),'RES Assumptions T15'!$E$2:$S$2,0))</f>
        <v>1.37300871981223E-3</v>
      </c>
      <c r="H49" s="14">
        <f ca="1">OFFSET('RES Assumptions T15'!$D49,0,MATCH(VLOOKUP('RES Assumptions'!H$2,'RES Assumptions T15'!$V$3:$W$35,2,FALSE),'RES Assumptions T15'!$E$2:$S$2,0))</f>
        <v>5.9940888979813103E-2</v>
      </c>
      <c r="I49" s="14">
        <f ca="1">OFFSET('RES Assumptions T15'!$D49,0,MATCH(VLOOKUP('RES Assumptions'!I$2,'RES Assumptions T15'!$V$3:$W$35,2,FALSE),'RES Assumptions T15'!$E$2:$S$2,0))</f>
        <v>4.7957797544770898E-2</v>
      </c>
      <c r="J49" s="14">
        <f ca="1">OFFSET('RES Assumptions T15'!$D49,0,MATCH(VLOOKUP('RES Assumptions'!J$2,'RES Assumptions T15'!$V$3:$W$35,2,FALSE),'RES Assumptions T15'!$E$2:$S$2,0))</f>
        <v>1.4327408219108899E-2</v>
      </c>
      <c r="K49" s="14">
        <f ca="1">OFFSET('RES Assumptions T15'!$D49,0,MATCH(VLOOKUP('RES Assumptions'!K$2,'RES Assumptions T15'!$V$3:$W$35,2,FALSE),'RES Assumptions T15'!$E$2:$S$2,0))</f>
        <v>5.6954804057777503E-2</v>
      </c>
      <c r="L49" s="14">
        <f ca="1">OFFSET('RES Assumptions T15'!$D49,0,MATCH(VLOOKUP('RES Assumptions'!L$2,'RES Assumptions T15'!$V$3:$W$35,2,FALSE),'RES Assumptions T15'!$E$2:$S$2,0))</f>
        <v>1.37300871981223E-3</v>
      </c>
      <c r="M49" s="14">
        <f ca="1">OFFSET('RES Assumptions T15'!$D49,0,MATCH(VLOOKUP('RES Assumptions'!M$2,'RES Assumptions T15'!$V$3:$W$35,2,FALSE),'RES Assumptions T15'!$E$2:$S$2,0))</f>
        <v>5.4645196331085499E-2</v>
      </c>
      <c r="N49" s="14">
        <f ca="1">OFFSET('RES Assumptions T15'!$D49,0,MATCH(VLOOKUP('RES Assumptions'!N$2,'RES Assumptions T15'!$V$3:$W$35,2,FALSE),'RES Assumptions T15'!$E$2:$S$2,0))</f>
        <v>2.0586193594918301E-2</v>
      </c>
      <c r="O49" s="14">
        <f ca="1">OFFSET('RES Assumptions T15'!$D49,0,MATCH(VLOOKUP('RES Assumptions'!O$2,'RES Assumptions T15'!$V$3:$W$35,2,FALSE),'RES Assumptions T15'!$E$2:$S$2,0))</f>
        <v>0.11202181981605</v>
      </c>
      <c r="P49" s="14">
        <f ca="1">OFFSET('RES Assumptions T15'!$D49,0,MATCH(VLOOKUP('RES Assumptions'!P$2,'RES Assumptions T15'!$V$3:$W$35,2,FALSE),'RES Assumptions T15'!$E$2:$S$2,0))</f>
        <v>9.7348302826438304E-2</v>
      </c>
      <c r="Q49" s="14">
        <f ca="1">OFFSET('RES Assumptions T15'!$D49,0,MATCH(VLOOKUP('RES Assumptions'!Q$2,'RES Assumptions T15'!$V$3:$W$35,2,FALSE),'RES Assumptions T15'!$E$2:$S$2,0))</f>
        <v>0.11202181981605</v>
      </c>
      <c r="R49" s="14">
        <f ca="1">OFFSET('RES Assumptions T15'!$D49,0,MATCH(VLOOKUP('RES Assumptions'!R$2,'RES Assumptions T15'!$V$3:$W$35,2,FALSE),'RES Assumptions T15'!$E$2:$S$2,0))</f>
        <v>0.11202181981605</v>
      </c>
      <c r="S49" s="14">
        <f ca="1">OFFSET('RES Assumptions T15'!$D49,0,MATCH(VLOOKUP('RES Assumptions'!S$2,'RES Assumptions T15'!$V$3:$W$35,2,FALSE),'RES Assumptions T15'!$E$2:$S$2,0))</f>
        <v>9.7348302826438304E-2</v>
      </c>
      <c r="T49" s="14">
        <f ca="1">OFFSET('RES Assumptions T15'!$D49,0,MATCH(VLOOKUP('RES Assumptions'!T$2,'RES Assumptions T15'!$V$3:$W$35,2,FALSE),'RES Assumptions T15'!$E$2:$S$2,0))</f>
        <v>0.11202181981605</v>
      </c>
      <c r="U49" s="14">
        <f ca="1">OFFSET('RES Assumptions T15'!$D49,0,MATCH(VLOOKUP('RES Assumptions'!U$2,'RES Assumptions T15'!$V$3:$W$35,2,FALSE),'RES Assumptions T15'!$E$2:$S$2,0))</f>
        <v>1.38484613126925E-2</v>
      </c>
      <c r="V49" s="14">
        <f ca="1">OFFSET('RES Assumptions T15'!$D49,0,MATCH(VLOOKUP('RES Assumptions'!V$2,'RES Assumptions T15'!$V$3:$W$35,2,FALSE),'RES Assumptions T15'!$E$2:$S$2,0))</f>
        <v>0.11202181981605</v>
      </c>
      <c r="W49" s="14">
        <f ca="1">OFFSET('RES Assumptions T15'!$D49,0,MATCH(VLOOKUP('RES Assumptions'!W$2,'RES Assumptions T15'!$V$3:$W$35,2,FALSE),'RES Assumptions T15'!$E$2:$S$2,0))</f>
        <v>0.11202181981605</v>
      </c>
      <c r="X49" s="14">
        <f ca="1">OFFSET('RES Assumptions T15'!$D49,0,MATCH(VLOOKUP('RES Assumptions'!X$2,'RES Assumptions T15'!$V$3:$W$35,2,FALSE),'RES Assumptions T15'!$E$2:$S$2,0))</f>
        <v>3.5828959802795901E-3</v>
      </c>
      <c r="Y49" s="14">
        <f ca="1">OFFSET('RES Assumptions T15'!$D49,0,MATCH(VLOOKUP('RES Assumptions'!Y$2,'RES Assumptions T15'!$V$3:$W$35,2,FALSE),'RES Assumptions T15'!$E$2:$S$2,0))</f>
        <v>1.37300871981223E-3</v>
      </c>
      <c r="Z49" s="14">
        <f ca="1">OFFSET('RES Assumptions T15'!$D49,0,MATCH(VLOOKUP('RES Assumptions'!Z$2,'RES Assumptions T15'!$V$3:$W$35,2,FALSE),'RES Assumptions T15'!$E$2:$S$2,0))</f>
        <v>2.22619081243866E-3</v>
      </c>
      <c r="AA49" s="14">
        <f ca="1">OFFSET('RES Assumptions T15'!$D49,0,MATCH(VLOOKUP('RES Assumptions'!AA$2,'RES Assumptions T15'!$V$3:$W$35,2,FALSE),'RES Assumptions T15'!$E$2:$S$2,0))</f>
        <v>1.38484613126925E-2</v>
      </c>
      <c r="AB49" s="14">
        <f ca="1">OFFSET('RES Assumptions T15'!$D49,0,MATCH(VLOOKUP('RES Assumptions'!AB$2,'RES Assumptions T15'!$V$3:$W$35,2,FALSE),'RES Assumptions T15'!$E$2:$S$2,0))</f>
        <v>0.11202181981605</v>
      </c>
      <c r="AC49" s="14">
        <f ca="1">OFFSET('RES Assumptions T15'!$D49,0,MATCH(VLOOKUP('RES Assumptions'!AC$2,'RES Assumptions T15'!$V$3:$W$35,2,FALSE),'RES Assumptions T15'!$E$2:$S$2,0))</f>
        <v>5.9940888979813103E-2</v>
      </c>
      <c r="AD49" s="14">
        <f ca="1">OFFSET('RES Assumptions T15'!$D49,0,MATCH(VLOOKUP('RES Assumptions'!AD$2,'RES Assumptions T15'!$V$3:$W$35,2,FALSE),'RES Assumptions T15'!$E$2:$S$2,0))</f>
        <v>1.38484613126925E-2</v>
      </c>
      <c r="AE49" s="14">
        <f ca="1">OFFSET('RES Assumptions T15'!$D49,0,MATCH(VLOOKUP('RES Assumptions'!AE$2,'RES Assumptions T15'!$V$3:$W$35,2,FALSE),'RES Assumptions T15'!$E$2:$S$2,0))</f>
        <v>0</v>
      </c>
      <c r="AF49" s="14">
        <f ca="1">OFFSET('RES Assumptions T15'!$D49,0,MATCH(VLOOKUP('RES Assumptions'!AF$2,'RES Assumptions T15'!$V$3:$W$35,2,FALSE),'RES Assumptions T15'!$E$2:$S$2,0))</f>
        <v>0.11202181981605</v>
      </c>
      <c r="AG49" s="14">
        <f ca="1">OFFSET('RES Assumptions T15'!$D49,0,MATCH(VLOOKUP('RES Assumptions'!AG$2,'RES Assumptions T15'!$V$3:$W$35,2,FALSE),'RES Assumptions T15'!$E$2:$S$2,0))</f>
        <v>4.1111930676385799E-2</v>
      </c>
      <c r="AH49" s="14">
        <f ca="1">OFFSET('RES Assumptions T15'!$D49,0,MATCH(VLOOKUP('RES Assumptions'!AH$2,'RES Assumptions T15'!$V$3:$W$35,2,FALSE),'RES Assumptions T15'!$E$2:$S$2,0))</f>
        <v>4.1111930676385799E-2</v>
      </c>
      <c r="AJ49" s="8"/>
      <c r="AK49" s="10">
        <f ca="1">IFERROR(SUMIFS('RES balance'!E$5:E$25,'RES balance'!$D$5:$D$25,'RES Assumptions'!$A49)*E49,"")</f>
        <v>0</v>
      </c>
      <c r="AL49" s="10">
        <f ca="1">IFERROR(SUMIFS('RES balance'!F$5:F$25,'RES balance'!$D$5:$D$25,'RES Assumptions'!$A49)*F49,"")</f>
        <v>0</v>
      </c>
      <c r="AM49" s="10">
        <f ca="1">IFERROR(SUMIFS('RES balance'!G$5:G$25,'RES balance'!$D$5:$D$25,'RES Assumptions'!$A49)*G49,"")</f>
        <v>0.28059381949133616</v>
      </c>
      <c r="AN49" s="10">
        <f ca="1">IFERROR(SUMIFS('RES balance'!H$5:H$25,'RES balance'!$D$5:$D$25,'RES Assumptions'!$A49)*H49,"")</f>
        <v>12.337288132392162</v>
      </c>
      <c r="AO49" s="10">
        <f ca="1">IFERROR(SUMIFS('RES balance'!I$5:I$25,'RES balance'!$D$5:$D$25,'RES Assumptions'!$A49)*I49,"")</f>
        <v>55.157597864182939</v>
      </c>
      <c r="AP49" s="10">
        <f ca="1">IFERROR(SUMIFS('RES balance'!J$5:J$25,'RES balance'!$D$5:$D$25,'RES Assumptions'!$A49)*J49,"")</f>
        <v>23.682509101354128</v>
      </c>
      <c r="AQ49" s="10">
        <f ca="1">IFERROR(SUMIFS('RES balance'!K$5:K$25,'RES balance'!$D$5:$D$25,'RES Assumptions'!$A49)*K49,"")</f>
        <v>14.636547550641367</v>
      </c>
      <c r="AR49" s="10">
        <f ca="1">IFERROR(SUMIFS('RES balance'!L$5:L$25,'RES balance'!$D$5:$D$25,'RES Assumptions'!$A49)*L49,"")</f>
        <v>0.70470830614443913</v>
      </c>
      <c r="AS49" s="10">
        <f ca="1">IFERROR(SUMIFS('RES balance'!M$5:M$25,'RES balance'!$D$5:$D$25,'RES Assumptions'!$A49)*M49,"")</f>
        <v>34.156570083914183</v>
      </c>
      <c r="AT49" s="10">
        <f ca="1">IFERROR(SUMIFS('RES balance'!N$5:N$25,'RES balance'!$D$5:$D$25,'RES Assumptions'!$A49)*N49,"")</f>
        <v>79.716638740003205</v>
      </c>
      <c r="AU49" s="10">
        <f ca="1">IFERROR(SUMIFS('RES balance'!O$5:O$25,'RES balance'!$D$5:$D$25,'RES Assumptions'!$A49)*O49,"")</f>
        <v>30.909951743253909</v>
      </c>
      <c r="AV49" s="10">
        <f ca="1">IFERROR(SUMIFS('RES balance'!P$5:P$25,'RES balance'!$D$5:$D$25,'RES Assumptions'!$A49)*P49,"")</f>
        <v>26.30918276028784</v>
      </c>
      <c r="AW49" s="10">
        <f ca="1">IFERROR(SUMIFS('RES balance'!Q$5:Q$25,'RES balance'!$D$5:$D$25,'RES Assumptions'!$A49)*Q49,"")</f>
        <v>20.491335477347839</v>
      </c>
      <c r="AX49" s="10">
        <f ca="1">IFERROR(SUMIFS('RES balance'!R$5:R$25,'RES balance'!$D$5:$D$25,'RES Assumptions'!$A49)*R49,"")</f>
        <v>34.5188047579921</v>
      </c>
      <c r="AY49" s="10">
        <f ca="1">IFERROR(SUMIFS('RES balance'!S$5:S$25,'RES balance'!$D$5:$D$25,'RES Assumptions'!$A49)*S49,"")</f>
        <v>15.795285166940433</v>
      </c>
      <c r="AZ49" s="10">
        <f ca="1">IFERROR(SUMIFS('RES balance'!T$5:T$25,'RES balance'!$D$5:$D$25,'RES Assumptions'!$A49)*T49,"")</f>
        <v>34.764368216013992</v>
      </c>
      <c r="BA49" s="10">
        <f ca="1">IFERROR(SUMIFS('RES balance'!U$5:U$25,'RES balance'!$D$5:$D$25,'RES Assumptions'!$A49)*U49,"")</f>
        <v>7.3342461221169568</v>
      </c>
      <c r="BB49" s="10">
        <f ca="1">IFERROR(SUMIFS('RES balance'!V$5:V$25,'RES balance'!$D$5:$D$25,'RES Assumptions'!$A49)*V49,"")</f>
        <v>64.412487973595077</v>
      </c>
      <c r="BC49" s="10">
        <f ca="1">IFERROR(SUMIFS('RES balance'!W$5:W$25,'RES balance'!$D$5:$D$25,'RES Assumptions'!$A49)*W49,"")</f>
        <v>51.030464472633028</v>
      </c>
      <c r="BD49" s="10">
        <f ca="1">IFERROR(SUMIFS('RES balance'!X$5:X$25,'RES balance'!$D$5:$D$25,'RES Assumptions'!$A49)*X49,"")</f>
        <v>4.0805135392000311</v>
      </c>
      <c r="BE49" s="10">
        <f ca="1">IFERROR(SUMIFS('RES balance'!Y$5:Y$25,'RES balance'!$D$5:$D$25,'RES Assumptions'!$A49)*Y49,"")</f>
        <v>0.56297670841547298</v>
      </c>
      <c r="BF49" s="10">
        <f ca="1">IFERROR(SUMIFS('RES balance'!Z$5:Z$25,'RES balance'!$D$5:$D$25,'RES Assumptions'!$A49)*Z49,"")</f>
        <v>0.5168093032412665</v>
      </c>
      <c r="BG49" s="10">
        <f ca="1">IFERROR(SUMIFS('RES balance'!AA$5:AA$25,'RES balance'!$D$5:$D$25,'RES Assumptions'!$A49)*AA49,"")</f>
        <v>13.343510219541352</v>
      </c>
      <c r="BH49" s="10">
        <f ca="1">IFERROR(SUMIFS('RES balance'!AB$5:AB$25,'RES balance'!$D$5:$D$25,'RES Assumptions'!$A49)*AB49,"")</f>
        <v>16.512005846201877</v>
      </c>
      <c r="BI49" s="10">
        <f ca="1">IFERROR(SUMIFS('RES balance'!AC$5:AC$25,'RES balance'!$D$5:$D$25,'RES Assumptions'!$A49)*AC49,"")</f>
        <v>34.715370157592304</v>
      </c>
      <c r="BJ49" s="10">
        <f ca="1">IFERROR(SUMIFS('RES balance'!AD$5:AD$25,'RES balance'!$D$5:$D$25,'RES Assumptions'!$A49)*AD49,"")</f>
        <v>6.4064976117716697</v>
      </c>
      <c r="BK49" s="10">
        <f ca="1">IFERROR(SUMIFS('RES balance'!AE$5:AE$25,'RES balance'!$D$5:$D$25,'RES Assumptions'!$A49)*AE49,"")</f>
        <v>0</v>
      </c>
      <c r="BL49" s="10">
        <f ca="1">IFERROR(SUMIFS('RES balance'!AF$5:AF$25,'RES balance'!$D$5:$D$25,'RES Assumptions'!$A49)*AF49,"")</f>
        <v>41.870341289171677</v>
      </c>
      <c r="BM49" s="10">
        <f ca="1">IFERROR(SUMIFS('RES balance'!AG$5:AG$25,'RES balance'!$D$5:$D$25,'RES Assumptions'!$A49)*AG49,"")</f>
        <v>212.61346217498127</v>
      </c>
      <c r="BN49" s="10">
        <f ca="1">IFERROR(SUMIFS('RES balance'!AH$5:AH$25,'RES balance'!$D$5:$D$25,'RES Assumptions'!$A49)*AH49,"")</f>
        <v>0</v>
      </c>
    </row>
    <row r="50" spans="1:66" x14ac:dyDescent="0.45">
      <c r="A50" s="8" t="str">
        <f>VLOOKUP(C50,'RES balance'!$AL$5:$AM$25,2,FALSE)</f>
        <v>RESELC</v>
      </c>
      <c r="B50" s="36"/>
      <c r="C50" s="20" t="s">
        <v>34</v>
      </c>
      <c r="D50" s="21" t="s">
        <v>68</v>
      </c>
      <c r="E50" s="14">
        <f ca="1">OFFSET('RES Assumptions T15'!$D50,0,MATCH(VLOOKUP('RES Assumptions'!E$2,'RES Assumptions T15'!$V$3:$W$35,2,FALSE),'RES Assumptions T15'!$E$2:$S$2,0))</f>
        <v>0</v>
      </c>
      <c r="F50" s="14">
        <f ca="1">OFFSET('RES Assumptions T15'!$D50,0,MATCH(VLOOKUP('RES Assumptions'!F$2,'RES Assumptions T15'!$V$3:$W$35,2,FALSE),'RES Assumptions T15'!$E$2:$S$2,0))</f>
        <v>0</v>
      </c>
      <c r="G50" s="14">
        <f ca="1">OFFSET('RES Assumptions T15'!$D50,0,MATCH(VLOOKUP('RES Assumptions'!G$2,'RES Assumptions T15'!$V$3:$W$35,2,FALSE),'RES Assumptions T15'!$E$2:$S$2,0))</f>
        <v>0</v>
      </c>
      <c r="H50" s="14">
        <f ca="1">OFFSET('RES Assumptions T15'!$D50,0,MATCH(VLOOKUP('RES Assumptions'!H$2,'RES Assumptions T15'!$V$3:$W$35,2,FALSE),'RES Assumptions T15'!$E$2:$S$2,0))</f>
        <v>0</v>
      </c>
      <c r="I50" s="14">
        <f ca="1">OFFSET('RES Assumptions T15'!$D50,0,MATCH(VLOOKUP('RES Assumptions'!I$2,'RES Assumptions T15'!$V$3:$W$35,2,FALSE),'RES Assumptions T15'!$E$2:$S$2,0))</f>
        <v>0</v>
      </c>
      <c r="J50" s="14">
        <f ca="1">OFFSET('RES Assumptions T15'!$D50,0,MATCH(VLOOKUP('RES Assumptions'!J$2,'RES Assumptions T15'!$V$3:$W$35,2,FALSE),'RES Assumptions T15'!$E$2:$S$2,0))</f>
        <v>0</v>
      </c>
      <c r="K50" s="14">
        <f ca="1">OFFSET('RES Assumptions T15'!$D50,0,MATCH(VLOOKUP('RES Assumptions'!K$2,'RES Assumptions T15'!$V$3:$W$35,2,FALSE),'RES Assumptions T15'!$E$2:$S$2,0))</f>
        <v>0</v>
      </c>
      <c r="L50" s="14">
        <f ca="1">OFFSET('RES Assumptions T15'!$D50,0,MATCH(VLOOKUP('RES Assumptions'!L$2,'RES Assumptions T15'!$V$3:$W$35,2,FALSE),'RES Assumptions T15'!$E$2:$S$2,0))</f>
        <v>0</v>
      </c>
      <c r="M50" s="14">
        <f ca="1">OFFSET('RES Assumptions T15'!$D50,0,MATCH(VLOOKUP('RES Assumptions'!M$2,'RES Assumptions T15'!$V$3:$W$35,2,FALSE),'RES Assumptions T15'!$E$2:$S$2,0))</f>
        <v>0</v>
      </c>
      <c r="N50" s="14">
        <f ca="1">OFFSET('RES Assumptions T15'!$D50,0,MATCH(VLOOKUP('RES Assumptions'!N$2,'RES Assumptions T15'!$V$3:$W$35,2,FALSE),'RES Assumptions T15'!$E$2:$S$2,0))</f>
        <v>0</v>
      </c>
      <c r="O50" s="14">
        <f ca="1">OFFSET('RES Assumptions T15'!$D50,0,MATCH(VLOOKUP('RES Assumptions'!O$2,'RES Assumptions T15'!$V$3:$W$35,2,FALSE),'RES Assumptions T15'!$E$2:$S$2,0))</f>
        <v>0</v>
      </c>
      <c r="P50" s="14">
        <f ca="1">OFFSET('RES Assumptions T15'!$D50,0,MATCH(VLOOKUP('RES Assumptions'!P$2,'RES Assumptions T15'!$V$3:$W$35,2,FALSE),'RES Assumptions T15'!$E$2:$S$2,0))</f>
        <v>0</v>
      </c>
      <c r="Q50" s="14">
        <f ca="1">OFFSET('RES Assumptions T15'!$D50,0,MATCH(VLOOKUP('RES Assumptions'!Q$2,'RES Assumptions T15'!$V$3:$W$35,2,FALSE),'RES Assumptions T15'!$E$2:$S$2,0))</f>
        <v>0</v>
      </c>
      <c r="R50" s="14">
        <f ca="1">OFFSET('RES Assumptions T15'!$D50,0,MATCH(VLOOKUP('RES Assumptions'!R$2,'RES Assumptions T15'!$V$3:$W$35,2,FALSE),'RES Assumptions T15'!$E$2:$S$2,0))</f>
        <v>0</v>
      </c>
      <c r="S50" s="14">
        <f ca="1">OFFSET('RES Assumptions T15'!$D50,0,MATCH(VLOOKUP('RES Assumptions'!S$2,'RES Assumptions T15'!$V$3:$W$35,2,FALSE),'RES Assumptions T15'!$E$2:$S$2,0))</f>
        <v>0</v>
      </c>
      <c r="T50" s="14">
        <f ca="1">OFFSET('RES Assumptions T15'!$D50,0,MATCH(VLOOKUP('RES Assumptions'!T$2,'RES Assumptions T15'!$V$3:$W$35,2,FALSE),'RES Assumptions T15'!$E$2:$S$2,0))</f>
        <v>0</v>
      </c>
      <c r="U50" s="14">
        <f ca="1">OFFSET('RES Assumptions T15'!$D50,0,MATCH(VLOOKUP('RES Assumptions'!U$2,'RES Assumptions T15'!$V$3:$W$35,2,FALSE),'RES Assumptions T15'!$E$2:$S$2,0))</f>
        <v>0</v>
      </c>
      <c r="V50" s="14">
        <f ca="1">OFFSET('RES Assumptions T15'!$D50,0,MATCH(VLOOKUP('RES Assumptions'!V$2,'RES Assumptions T15'!$V$3:$W$35,2,FALSE),'RES Assumptions T15'!$E$2:$S$2,0))</f>
        <v>0</v>
      </c>
      <c r="W50" s="14">
        <f ca="1">OFFSET('RES Assumptions T15'!$D50,0,MATCH(VLOOKUP('RES Assumptions'!W$2,'RES Assumptions T15'!$V$3:$W$35,2,FALSE),'RES Assumptions T15'!$E$2:$S$2,0))</f>
        <v>0</v>
      </c>
      <c r="X50" s="14">
        <f ca="1">OFFSET('RES Assumptions T15'!$D50,0,MATCH(VLOOKUP('RES Assumptions'!X$2,'RES Assumptions T15'!$V$3:$W$35,2,FALSE),'RES Assumptions T15'!$E$2:$S$2,0))</f>
        <v>0</v>
      </c>
      <c r="Y50" s="14">
        <f ca="1">OFFSET('RES Assumptions T15'!$D50,0,MATCH(VLOOKUP('RES Assumptions'!Y$2,'RES Assumptions T15'!$V$3:$W$35,2,FALSE),'RES Assumptions T15'!$E$2:$S$2,0))</f>
        <v>0</v>
      </c>
      <c r="Z50" s="14">
        <f ca="1">OFFSET('RES Assumptions T15'!$D50,0,MATCH(VLOOKUP('RES Assumptions'!Z$2,'RES Assumptions T15'!$V$3:$W$35,2,FALSE),'RES Assumptions T15'!$E$2:$S$2,0))</f>
        <v>0</v>
      </c>
      <c r="AA50" s="14">
        <f ca="1">OFFSET('RES Assumptions T15'!$D50,0,MATCH(VLOOKUP('RES Assumptions'!AA$2,'RES Assumptions T15'!$V$3:$W$35,2,FALSE),'RES Assumptions T15'!$E$2:$S$2,0))</f>
        <v>0</v>
      </c>
      <c r="AB50" s="14">
        <f ca="1">OFFSET('RES Assumptions T15'!$D50,0,MATCH(VLOOKUP('RES Assumptions'!AB$2,'RES Assumptions T15'!$V$3:$W$35,2,FALSE),'RES Assumptions T15'!$E$2:$S$2,0))</f>
        <v>0</v>
      </c>
      <c r="AC50" s="14">
        <f ca="1">OFFSET('RES Assumptions T15'!$D50,0,MATCH(VLOOKUP('RES Assumptions'!AC$2,'RES Assumptions T15'!$V$3:$W$35,2,FALSE),'RES Assumptions T15'!$E$2:$S$2,0))</f>
        <v>0</v>
      </c>
      <c r="AD50" s="14">
        <f ca="1">OFFSET('RES Assumptions T15'!$D50,0,MATCH(VLOOKUP('RES Assumptions'!AD$2,'RES Assumptions T15'!$V$3:$W$35,2,FALSE),'RES Assumptions T15'!$E$2:$S$2,0))</f>
        <v>0</v>
      </c>
      <c r="AE50" s="14">
        <f ca="1">OFFSET('RES Assumptions T15'!$D50,0,MATCH(VLOOKUP('RES Assumptions'!AE$2,'RES Assumptions T15'!$V$3:$W$35,2,FALSE),'RES Assumptions T15'!$E$2:$S$2,0))</f>
        <v>0</v>
      </c>
      <c r="AF50" s="14">
        <f ca="1">OFFSET('RES Assumptions T15'!$D50,0,MATCH(VLOOKUP('RES Assumptions'!AF$2,'RES Assumptions T15'!$V$3:$W$35,2,FALSE),'RES Assumptions T15'!$E$2:$S$2,0))</f>
        <v>0</v>
      </c>
      <c r="AG50" s="14">
        <f ca="1">OFFSET('RES Assumptions T15'!$D50,0,MATCH(VLOOKUP('RES Assumptions'!AG$2,'RES Assumptions T15'!$V$3:$W$35,2,FALSE),'RES Assumptions T15'!$E$2:$S$2,0))</f>
        <v>0</v>
      </c>
      <c r="AH50" s="14">
        <f ca="1">OFFSET('RES Assumptions T15'!$D50,0,MATCH(VLOOKUP('RES Assumptions'!AH$2,'RES Assumptions T15'!$V$3:$W$35,2,FALSE),'RES Assumptions T15'!$E$2:$S$2,0))</f>
        <v>0</v>
      </c>
      <c r="AJ50" s="8"/>
      <c r="AK50" s="10">
        <f ca="1">IFERROR(SUMIFS('RES balance'!E$5:E$25,'RES balance'!$D$5:$D$25,'RES Assumptions'!$A50)*E50,"")</f>
        <v>0</v>
      </c>
      <c r="AL50" s="10">
        <f ca="1">IFERROR(SUMIFS('RES balance'!F$5:F$25,'RES balance'!$D$5:$D$25,'RES Assumptions'!$A50)*F50,"")</f>
        <v>0</v>
      </c>
      <c r="AM50" s="10">
        <f ca="1">IFERROR(SUMIFS('RES balance'!G$5:G$25,'RES balance'!$D$5:$D$25,'RES Assumptions'!$A50)*G50,"")</f>
        <v>0</v>
      </c>
      <c r="AN50" s="10">
        <f ca="1">IFERROR(SUMIFS('RES balance'!H$5:H$25,'RES balance'!$D$5:$D$25,'RES Assumptions'!$A50)*H50,"")</f>
        <v>0</v>
      </c>
      <c r="AO50" s="10">
        <f ca="1">IFERROR(SUMIFS('RES balance'!I$5:I$25,'RES balance'!$D$5:$D$25,'RES Assumptions'!$A50)*I50,"")</f>
        <v>0</v>
      </c>
      <c r="AP50" s="10">
        <f ca="1">IFERROR(SUMIFS('RES balance'!J$5:J$25,'RES balance'!$D$5:$D$25,'RES Assumptions'!$A50)*J50,"")</f>
        <v>0</v>
      </c>
      <c r="AQ50" s="10">
        <f ca="1">IFERROR(SUMIFS('RES balance'!K$5:K$25,'RES balance'!$D$5:$D$25,'RES Assumptions'!$A50)*K50,"")</f>
        <v>0</v>
      </c>
      <c r="AR50" s="10">
        <f ca="1">IFERROR(SUMIFS('RES balance'!L$5:L$25,'RES balance'!$D$5:$D$25,'RES Assumptions'!$A50)*L50,"")</f>
        <v>0</v>
      </c>
      <c r="AS50" s="10">
        <f ca="1">IFERROR(SUMIFS('RES balance'!M$5:M$25,'RES balance'!$D$5:$D$25,'RES Assumptions'!$A50)*M50,"")</f>
        <v>0</v>
      </c>
      <c r="AT50" s="10">
        <f ca="1">IFERROR(SUMIFS('RES balance'!N$5:N$25,'RES balance'!$D$5:$D$25,'RES Assumptions'!$A50)*N50,"")</f>
        <v>0</v>
      </c>
      <c r="AU50" s="10">
        <f ca="1">IFERROR(SUMIFS('RES balance'!O$5:O$25,'RES balance'!$D$5:$D$25,'RES Assumptions'!$A50)*O50,"")</f>
        <v>0</v>
      </c>
      <c r="AV50" s="10">
        <f ca="1">IFERROR(SUMIFS('RES balance'!P$5:P$25,'RES balance'!$D$5:$D$25,'RES Assumptions'!$A50)*P50,"")</f>
        <v>0</v>
      </c>
      <c r="AW50" s="10">
        <f ca="1">IFERROR(SUMIFS('RES balance'!Q$5:Q$25,'RES balance'!$D$5:$D$25,'RES Assumptions'!$A50)*Q50,"")</f>
        <v>0</v>
      </c>
      <c r="AX50" s="10">
        <f ca="1">IFERROR(SUMIFS('RES balance'!R$5:R$25,'RES balance'!$D$5:$D$25,'RES Assumptions'!$A50)*R50,"")</f>
        <v>0</v>
      </c>
      <c r="AY50" s="10">
        <f ca="1">IFERROR(SUMIFS('RES balance'!S$5:S$25,'RES balance'!$D$5:$D$25,'RES Assumptions'!$A50)*S50,"")</f>
        <v>0</v>
      </c>
      <c r="AZ50" s="10">
        <f ca="1">IFERROR(SUMIFS('RES balance'!T$5:T$25,'RES balance'!$D$5:$D$25,'RES Assumptions'!$A50)*T50,"")</f>
        <v>0</v>
      </c>
      <c r="BA50" s="10">
        <f ca="1">IFERROR(SUMIFS('RES balance'!U$5:U$25,'RES balance'!$D$5:$D$25,'RES Assumptions'!$A50)*U50,"")</f>
        <v>0</v>
      </c>
      <c r="BB50" s="10">
        <f ca="1">IFERROR(SUMIFS('RES balance'!V$5:V$25,'RES balance'!$D$5:$D$25,'RES Assumptions'!$A50)*V50,"")</f>
        <v>0</v>
      </c>
      <c r="BC50" s="10">
        <f ca="1">IFERROR(SUMIFS('RES balance'!W$5:W$25,'RES balance'!$D$5:$D$25,'RES Assumptions'!$A50)*W50,"")</f>
        <v>0</v>
      </c>
      <c r="BD50" s="10">
        <f ca="1">IFERROR(SUMIFS('RES balance'!X$5:X$25,'RES balance'!$D$5:$D$25,'RES Assumptions'!$A50)*X50,"")</f>
        <v>0</v>
      </c>
      <c r="BE50" s="10">
        <f ca="1">IFERROR(SUMIFS('RES balance'!Y$5:Y$25,'RES balance'!$D$5:$D$25,'RES Assumptions'!$A50)*Y50,"")</f>
        <v>0</v>
      </c>
      <c r="BF50" s="10">
        <f ca="1">IFERROR(SUMIFS('RES balance'!Z$5:Z$25,'RES balance'!$D$5:$D$25,'RES Assumptions'!$A50)*Z50,"")</f>
        <v>0</v>
      </c>
      <c r="BG50" s="10">
        <f ca="1">IFERROR(SUMIFS('RES balance'!AA$5:AA$25,'RES balance'!$D$5:$D$25,'RES Assumptions'!$A50)*AA50,"")</f>
        <v>0</v>
      </c>
      <c r="BH50" s="10">
        <f ca="1">IFERROR(SUMIFS('RES balance'!AB$5:AB$25,'RES balance'!$D$5:$D$25,'RES Assumptions'!$A50)*AB50,"")</f>
        <v>0</v>
      </c>
      <c r="BI50" s="10">
        <f ca="1">IFERROR(SUMIFS('RES balance'!AC$5:AC$25,'RES balance'!$D$5:$D$25,'RES Assumptions'!$A50)*AC50,"")</f>
        <v>0</v>
      </c>
      <c r="BJ50" s="10">
        <f ca="1">IFERROR(SUMIFS('RES balance'!AD$5:AD$25,'RES balance'!$D$5:$D$25,'RES Assumptions'!$A50)*AD50,"")</f>
        <v>0</v>
      </c>
      <c r="BK50" s="10">
        <f ca="1">IFERROR(SUMIFS('RES balance'!AE$5:AE$25,'RES balance'!$D$5:$D$25,'RES Assumptions'!$A50)*AE50,"")</f>
        <v>0</v>
      </c>
      <c r="BL50" s="10">
        <f ca="1">IFERROR(SUMIFS('RES balance'!AF$5:AF$25,'RES balance'!$D$5:$D$25,'RES Assumptions'!$A50)*AF50,"")</f>
        <v>0</v>
      </c>
      <c r="BM50" s="10">
        <f ca="1">IFERROR(SUMIFS('RES balance'!AG$5:AG$25,'RES balance'!$D$5:$D$25,'RES Assumptions'!$A50)*AG50,"")</f>
        <v>0</v>
      </c>
      <c r="BN50" s="10">
        <f ca="1">IFERROR(SUMIFS('RES balance'!AH$5:AH$25,'RES balance'!$D$5:$D$25,'RES Assumptions'!$A50)*AH50,"")</f>
        <v>0</v>
      </c>
    </row>
    <row r="51" spans="1:66" x14ac:dyDescent="0.45">
      <c r="A51" s="8" t="str">
        <f>VLOOKUP(C51,'RES balance'!$AL$5:$AM$25,2,FALSE)</f>
        <v>RESELC</v>
      </c>
      <c r="B51" s="36"/>
      <c r="C51" s="20" t="s">
        <v>34</v>
      </c>
      <c r="D51" s="21" t="s">
        <v>69</v>
      </c>
      <c r="E51" s="14">
        <f ca="1">OFFSET('RES Assumptions T15'!$D51,0,MATCH(VLOOKUP('RES Assumptions'!E$2,'RES Assumptions T15'!$V$3:$W$35,2,FALSE),'RES Assumptions T15'!$E$2:$S$2,0))</f>
        <v>0</v>
      </c>
      <c r="F51" s="14">
        <f ca="1">OFFSET('RES Assumptions T15'!$D51,0,MATCH(VLOOKUP('RES Assumptions'!F$2,'RES Assumptions T15'!$V$3:$W$35,2,FALSE),'RES Assumptions T15'!$E$2:$S$2,0))</f>
        <v>0</v>
      </c>
      <c r="G51" s="14">
        <f ca="1">OFFSET('RES Assumptions T15'!$D51,0,MATCH(VLOOKUP('RES Assumptions'!G$2,'RES Assumptions T15'!$V$3:$W$35,2,FALSE),'RES Assumptions T15'!$E$2:$S$2,0))</f>
        <v>0</v>
      </c>
      <c r="H51" s="14">
        <f ca="1">OFFSET('RES Assumptions T15'!$D51,0,MATCH(VLOOKUP('RES Assumptions'!H$2,'RES Assumptions T15'!$V$3:$W$35,2,FALSE),'RES Assumptions T15'!$E$2:$S$2,0))</f>
        <v>0</v>
      </c>
      <c r="I51" s="14">
        <f ca="1">OFFSET('RES Assumptions T15'!$D51,0,MATCH(VLOOKUP('RES Assumptions'!I$2,'RES Assumptions T15'!$V$3:$W$35,2,FALSE),'RES Assumptions T15'!$E$2:$S$2,0))</f>
        <v>0</v>
      </c>
      <c r="J51" s="14">
        <f ca="1">OFFSET('RES Assumptions T15'!$D51,0,MATCH(VLOOKUP('RES Assumptions'!J$2,'RES Assumptions T15'!$V$3:$W$35,2,FALSE),'RES Assumptions T15'!$E$2:$S$2,0))</f>
        <v>0</v>
      </c>
      <c r="K51" s="14">
        <f ca="1">OFFSET('RES Assumptions T15'!$D51,0,MATCH(VLOOKUP('RES Assumptions'!K$2,'RES Assumptions T15'!$V$3:$W$35,2,FALSE),'RES Assumptions T15'!$E$2:$S$2,0))</f>
        <v>0</v>
      </c>
      <c r="L51" s="14">
        <f ca="1">OFFSET('RES Assumptions T15'!$D51,0,MATCH(VLOOKUP('RES Assumptions'!L$2,'RES Assumptions T15'!$V$3:$W$35,2,FALSE),'RES Assumptions T15'!$E$2:$S$2,0))</f>
        <v>0</v>
      </c>
      <c r="M51" s="14">
        <f ca="1">OFFSET('RES Assumptions T15'!$D51,0,MATCH(VLOOKUP('RES Assumptions'!M$2,'RES Assumptions T15'!$V$3:$W$35,2,FALSE),'RES Assumptions T15'!$E$2:$S$2,0))</f>
        <v>0</v>
      </c>
      <c r="N51" s="14">
        <f ca="1">OFFSET('RES Assumptions T15'!$D51,0,MATCH(VLOOKUP('RES Assumptions'!N$2,'RES Assumptions T15'!$V$3:$W$35,2,FALSE),'RES Assumptions T15'!$E$2:$S$2,0))</f>
        <v>0</v>
      </c>
      <c r="O51" s="14">
        <f ca="1">OFFSET('RES Assumptions T15'!$D51,0,MATCH(VLOOKUP('RES Assumptions'!O$2,'RES Assumptions T15'!$V$3:$W$35,2,FALSE),'RES Assumptions T15'!$E$2:$S$2,0))</f>
        <v>0</v>
      </c>
      <c r="P51" s="14">
        <f ca="1">OFFSET('RES Assumptions T15'!$D51,0,MATCH(VLOOKUP('RES Assumptions'!P$2,'RES Assumptions T15'!$V$3:$W$35,2,FALSE),'RES Assumptions T15'!$E$2:$S$2,0))</f>
        <v>0</v>
      </c>
      <c r="Q51" s="14">
        <f ca="1">OFFSET('RES Assumptions T15'!$D51,0,MATCH(VLOOKUP('RES Assumptions'!Q$2,'RES Assumptions T15'!$V$3:$W$35,2,FALSE),'RES Assumptions T15'!$E$2:$S$2,0))</f>
        <v>0</v>
      </c>
      <c r="R51" s="14">
        <f ca="1">OFFSET('RES Assumptions T15'!$D51,0,MATCH(VLOOKUP('RES Assumptions'!R$2,'RES Assumptions T15'!$V$3:$W$35,2,FALSE),'RES Assumptions T15'!$E$2:$S$2,0))</f>
        <v>0</v>
      </c>
      <c r="S51" s="14">
        <f ca="1">OFFSET('RES Assumptions T15'!$D51,0,MATCH(VLOOKUP('RES Assumptions'!S$2,'RES Assumptions T15'!$V$3:$W$35,2,FALSE),'RES Assumptions T15'!$E$2:$S$2,0))</f>
        <v>0</v>
      </c>
      <c r="T51" s="14">
        <f ca="1">OFFSET('RES Assumptions T15'!$D51,0,MATCH(VLOOKUP('RES Assumptions'!T$2,'RES Assumptions T15'!$V$3:$W$35,2,FALSE),'RES Assumptions T15'!$E$2:$S$2,0))</f>
        <v>0</v>
      </c>
      <c r="U51" s="14">
        <f ca="1">OFFSET('RES Assumptions T15'!$D51,0,MATCH(VLOOKUP('RES Assumptions'!U$2,'RES Assumptions T15'!$V$3:$W$35,2,FALSE),'RES Assumptions T15'!$E$2:$S$2,0))</f>
        <v>0</v>
      </c>
      <c r="V51" s="14">
        <f ca="1">OFFSET('RES Assumptions T15'!$D51,0,MATCH(VLOOKUP('RES Assumptions'!V$2,'RES Assumptions T15'!$V$3:$W$35,2,FALSE),'RES Assumptions T15'!$E$2:$S$2,0))</f>
        <v>0</v>
      </c>
      <c r="W51" s="14">
        <f ca="1">OFFSET('RES Assumptions T15'!$D51,0,MATCH(VLOOKUP('RES Assumptions'!W$2,'RES Assumptions T15'!$V$3:$W$35,2,FALSE),'RES Assumptions T15'!$E$2:$S$2,0))</f>
        <v>0</v>
      </c>
      <c r="X51" s="14">
        <f ca="1">OFFSET('RES Assumptions T15'!$D51,0,MATCH(VLOOKUP('RES Assumptions'!X$2,'RES Assumptions T15'!$V$3:$W$35,2,FALSE),'RES Assumptions T15'!$E$2:$S$2,0))</f>
        <v>0</v>
      </c>
      <c r="Y51" s="14">
        <f ca="1">OFFSET('RES Assumptions T15'!$D51,0,MATCH(VLOOKUP('RES Assumptions'!Y$2,'RES Assumptions T15'!$V$3:$W$35,2,FALSE),'RES Assumptions T15'!$E$2:$S$2,0))</f>
        <v>0</v>
      </c>
      <c r="Z51" s="14">
        <f ca="1">OFFSET('RES Assumptions T15'!$D51,0,MATCH(VLOOKUP('RES Assumptions'!Z$2,'RES Assumptions T15'!$V$3:$W$35,2,FALSE),'RES Assumptions T15'!$E$2:$S$2,0))</f>
        <v>0</v>
      </c>
      <c r="AA51" s="14">
        <f ca="1">OFFSET('RES Assumptions T15'!$D51,0,MATCH(VLOOKUP('RES Assumptions'!AA$2,'RES Assumptions T15'!$V$3:$W$35,2,FALSE),'RES Assumptions T15'!$E$2:$S$2,0))</f>
        <v>0</v>
      </c>
      <c r="AB51" s="14">
        <f ca="1">OFFSET('RES Assumptions T15'!$D51,0,MATCH(VLOOKUP('RES Assumptions'!AB$2,'RES Assumptions T15'!$V$3:$W$35,2,FALSE),'RES Assumptions T15'!$E$2:$S$2,0))</f>
        <v>0</v>
      </c>
      <c r="AC51" s="14">
        <f ca="1">OFFSET('RES Assumptions T15'!$D51,0,MATCH(VLOOKUP('RES Assumptions'!AC$2,'RES Assumptions T15'!$V$3:$W$35,2,FALSE),'RES Assumptions T15'!$E$2:$S$2,0))</f>
        <v>0</v>
      </c>
      <c r="AD51" s="14">
        <f ca="1">OFFSET('RES Assumptions T15'!$D51,0,MATCH(VLOOKUP('RES Assumptions'!AD$2,'RES Assumptions T15'!$V$3:$W$35,2,FALSE),'RES Assumptions T15'!$E$2:$S$2,0))</f>
        <v>0</v>
      </c>
      <c r="AE51" s="14">
        <f ca="1">OFFSET('RES Assumptions T15'!$D51,0,MATCH(VLOOKUP('RES Assumptions'!AE$2,'RES Assumptions T15'!$V$3:$W$35,2,FALSE),'RES Assumptions T15'!$E$2:$S$2,0))</f>
        <v>0</v>
      </c>
      <c r="AF51" s="14">
        <f ca="1">OFFSET('RES Assumptions T15'!$D51,0,MATCH(VLOOKUP('RES Assumptions'!AF$2,'RES Assumptions T15'!$V$3:$W$35,2,FALSE),'RES Assumptions T15'!$E$2:$S$2,0))</f>
        <v>0</v>
      </c>
      <c r="AG51" s="14">
        <f ca="1">OFFSET('RES Assumptions T15'!$D51,0,MATCH(VLOOKUP('RES Assumptions'!AG$2,'RES Assumptions T15'!$V$3:$W$35,2,FALSE),'RES Assumptions T15'!$E$2:$S$2,0))</f>
        <v>0</v>
      </c>
      <c r="AH51" s="14">
        <f ca="1">OFFSET('RES Assumptions T15'!$D51,0,MATCH(VLOOKUP('RES Assumptions'!AH$2,'RES Assumptions T15'!$V$3:$W$35,2,FALSE),'RES Assumptions T15'!$E$2:$S$2,0))</f>
        <v>0</v>
      </c>
      <c r="AJ51" s="8"/>
      <c r="AK51" s="10">
        <f ca="1">IFERROR(SUMIFS('RES balance'!E$5:E$25,'RES balance'!$D$5:$D$25,'RES Assumptions'!$A51)*E51,"")</f>
        <v>0</v>
      </c>
      <c r="AL51" s="10">
        <f ca="1">IFERROR(SUMIFS('RES balance'!F$5:F$25,'RES balance'!$D$5:$D$25,'RES Assumptions'!$A51)*F51,"")</f>
        <v>0</v>
      </c>
      <c r="AM51" s="10">
        <f ca="1">IFERROR(SUMIFS('RES balance'!G$5:G$25,'RES balance'!$D$5:$D$25,'RES Assumptions'!$A51)*G51,"")</f>
        <v>0</v>
      </c>
      <c r="AN51" s="10">
        <f ca="1">IFERROR(SUMIFS('RES balance'!H$5:H$25,'RES balance'!$D$5:$D$25,'RES Assumptions'!$A51)*H51,"")</f>
        <v>0</v>
      </c>
      <c r="AO51" s="10">
        <f ca="1">IFERROR(SUMIFS('RES balance'!I$5:I$25,'RES balance'!$D$5:$D$25,'RES Assumptions'!$A51)*I51,"")</f>
        <v>0</v>
      </c>
      <c r="AP51" s="10">
        <f ca="1">IFERROR(SUMIFS('RES balance'!J$5:J$25,'RES balance'!$D$5:$D$25,'RES Assumptions'!$A51)*J51,"")</f>
        <v>0</v>
      </c>
      <c r="AQ51" s="10">
        <f ca="1">IFERROR(SUMIFS('RES balance'!K$5:K$25,'RES balance'!$D$5:$D$25,'RES Assumptions'!$A51)*K51,"")</f>
        <v>0</v>
      </c>
      <c r="AR51" s="10">
        <f ca="1">IFERROR(SUMIFS('RES balance'!L$5:L$25,'RES balance'!$D$5:$D$25,'RES Assumptions'!$A51)*L51,"")</f>
        <v>0</v>
      </c>
      <c r="AS51" s="10">
        <f ca="1">IFERROR(SUMIFS('RES balance'!M$5:M$25,'RES balance'!$D$5:$D$25,'RES Assumptions'!$A51)*M51,"")</f>
        <v>0</v>
      </c>
      <c r="AT51" s="10">
        <f ca="1">IFERROR(SUMIFS('RES balance'!N$5:N$25,'RES balance'!$D$5:$D$25,'RES Assumptions'!$A51)*N51,"")</f>
        <v>0</v>
      </c>
      <c r="AU51" s="10">
        <f ca="1">IFERROR(SUMIFS('RES balance'!O$5:O$25,'RES balance'!$D$5:$D$25,'RES Assumptions'!$A51)*O51,"")</f>
        <v>0</v>
      </c>
      <c r="AV51" s="10">
        <f ca="1">IFERROR(SUMIFS('RES balance'!P$5:P$25,'RES balance'!$D$5:$D$25,'RES Assumptions'!$A51)*P51,"")</f>
        <v>0</v>
      </c>
      <c r="AW51" s="10">
        <f ca="1">IFERROR(SUMIFS('RES balance'!Q$5:Q$25,'RES balance'!$D$5:$D$25,'RES Assumptions'!$A51)*Q51,"")</f>
        <v>0</v>
      </c>
      <c r="AX51" s="10">
        <f ca="1">IFERROR(SUMIFS('RES balance'!R$5:R$25,'RES balance'!$D$5:$D$25,'RES Assumptions'!$A51)*R51,"")</f>
        <v>0</v>
      </c>
      <c r="AY51" s="10">
        <f ca="1">IFERROR(SUMIFS('RES balance'!S$5:S$25,'RES balance'!$D$5:$D$25,'RES Assumptions'!$A51)*S51,"")</f>
        <v>0</v>
      </c>
      <c r="AZ51" s="10">
        <f ca="1">IFERROR(SUMIFS('RES balance'!T$5:T$25,'RES balance'!$D$5:$D$25,'RES Assumptions'!$A51)*T51,"")</f>
        <v>0</v>
      </c>
      <c r="BA51" s="10">
        <f ca="1">IFERROR(SUMIFS('RES balance'!U$5:U$25,'RES balance'!$D$5:$D$25,'RES Assumptions'!$A51)*U51,"")</f>
        <v>0</v>
      </c>
      <c r="BB51" s="10">
        <f ca="1">IFERROR(SUMIFS('RES balance'!V$5:V$25,'RES balance'!$D$5:$D$25,'RES Assumptions'!$A51)*V51,"")</f>
        <v>0</v>
      </c>
      <c r="BC51" s="10">
        <f ca="1">IFERROR(SUMIFS('RES balance'!W$5:W$25,'RES balance'!$D$5:$D$25,'RES Assumptions'!$A51)*W51,"")</f>
        <v>0</v>
      </c>
      <c r="BD51" s="10">
        <f ca="1">IFERROR(SUMIFS('RES balance'!X$5:X$25,'RES balance'!$D$5:$D$25,'RES Assumptions'!$A51)*X51,"")</f>
        <v>0</v>
      </c>
      <c r="BE51" s="10">
        <f ca="1">IFERROR(SUMIFS('RES balance'!Y$5:Y$25,'RES balance'!$D$5:$D$25,'RES Assumptions'!$A51)*Y51,"")</f>
        <v>0</v>
      </c>
      <c r="BF51" s="10">
        <f ca="1">IFERROR(SUMIFS('RES balance'!Z$5:Z$25,'RES balance'!$D$5:$D$25,'RES Assumptions'!$A51)*Z51,"")</f>
        <v>0</v>
      </c>
      <c r="BG51" s="10">
        <f ca="1">IFERROR(SUMIFS('RES balance'!AA$5:AA$25,'RES balance'!$D$5:$D$25,'RES Assumptions'!$A51)*AA51,"")</f>
        <v>0</v>
      </c>
      <c r="BH51" s="10">
        <f ca="1">IFERROR(SUMIFS('RES balance'!AB$5:AB$25,'RES balance'!$D$5:$D$25,'RES Assumptions'!$A51)*AB51,"")</f>
        <v>0</v>
      </c>
      <c r="BI51" s="10">
        <f ca="1">IFERROR(SUMIFS('RES balance'!AC$5:AC$25,'RES balance'!$D$5:$D$25,'RES Assumptions'!$A51)*AC51,"")</f>
        <v>0</v>
      </c>
      <c r="BJ51" s="10">
        <f ca="1">IFERROR(SUMIFS('RES balance'!AD$5:AD$25,'RES balance'!$D$5:$D$25,'RES Assumptions'!$A51)*AD51,"")</f>
        <v>0</v>
      </c>
      <c r="BK51" s="10">
        <f ca="1">IFERROR(SUMIFS('RES balance'!AE$5:AE$25,'RES balance'!$D$5:$D$25,'RES Assumptions'!$A51)*AE51,"")</f>
        <v>0</v>
      </c>
      <c r="BL51" s="10">
        <f ca="1">IFERROR(SUMIFS('RES balance'!AF$5:AF$25,'RES balance'!$D$5:$D$25,'RES Assumptions'!$A51)*AF51,"")</f>
        <v>0</v>
      </c>
      <c r="BM51" s="10">
        <f ca="1">IFERROR(SUMIFS('RES balance'!AG$5:AG$25,'RES balance'!$D$5:$D$25,'RES Assumptions'!$A51)*AG51,"")</f>
        <v>0</v>
      </c>
      <c r="BN51" s="10">
        <f ca="1">IFERROR(SUMIFS('RES balance'!AH$5:AH$25,'RES balance'!$D$5:$D$25,'RES Assumptions'!$A51)*AH51,"")</f>
        <v>0</v>
      </c>
    </row>
    <row r="52" spans="1:66" x14ac:dyDescent="0.45">
      <c r="A52" s="8" t="str">
        <f>VLOOKUP(C52,'RES balance'!$AL$5:$AM$25,2,FALSE)</f>
        <v>RESELC</v>
      </c>
      <c r="B52" s="36"/>
      <c r="C52" s="20" t="s">
        <v>34</v>
      </c>
      <c r="D52" s="21" t="s">
        <v>190</v>
      </c>
      <c r="E52" s="14">
        <f ca="1">OFFSET('RES Assumptions T15'!$D52,0,MATCH(VLOOKUP('RES Assumptions'!E$2,'RES Assumptions T15'!$V$3:$W$35,2,FALSE),'RES Assumptions T15'!$E$2:$S$2,0))</f>
        <v>0.35</v>
      </c>
      <c r="F52" s="14">
        <f ca="1">OFFSET('RES Assumptions T15'!$D52,0,MATCH(VLOOKUP('RES Assumptions'!F$2,'RES Assumptions T15'!$V$3:$W$35,2,FALSE),'RES Assumptions T15'!$E$2:$S$2,0))</f>
        <v>0.35</v>
      </c>
      <c r="G52" s="14">
        <f ca="1">OFFSET('RES Assumptions T15'!$D52,0,MATCH(VLOOKUP('RES Assumptions'!G$2,'RES Assumptions T15'!$V$3:$W$35,2,FALSE),'RES Assumptions T15'!$E$2:$S$2,0))</f>
        <v>0.42444450096192804</v>
      </c>
      <c r="H52" s="14">
        <f ca="1">OFFSET('RES Assumptions T15'!$D52,0,MATCH(VLOOKUP('RES Assumptions'!H$2,'RES Assumptions T15'!$V$3:$W$35,2,FALSE),'RES Assumptions T15'!$E$2:$S$2,0))</f>
        <v>0.43825292061525917</v>
      </c>
      <c r="I52" s="14">
        <f ca="1">OFFSET('RES Assumptions T15'!$D52,0,MATCH(VLOOKUP('RES Assumptions'!I$2,'RES Assumptions T15'!$V$3:$W$35,2,FALSE),'RES Assumptions T15'!$E$2:$S$2,0))</f>
        <v>0.53414388175166894</v>
      </c>
      <c r="J52" s="14">
        <f ca="1">OFFSET('RES Assumptions T15'!$D52,0,MATCH(VLOOKUP('RES Assumptions'!J$2,'RES Assumptions T15'!$V$3:$W$35,2,FALSE),'RES Assumptions T15'!$E$2:$S$2,0))</f>
        <v>0.49755728905545399</v>
      </c>
      <c r="K52" s="14">
        <f ca="1">OFFSET('RES Assumptions T15'!$D52,0,MATCH(VLOOKUP('RES Assumptions'!K$2,'RES Assumptions T15'!$V$3:$W$35,2,FALSE),'RES Assumptions T15'!$E$2:$S$2,0))</f>
        <v>0.29292489075512895</v>
      </c>
      <c r="L52" s="14">
        <f ca="1">OFFSET('RES Assumptions T15'!$D52,0,MATCH(VLOOKUP('RES Assumptions'!L$2,'RES Assumptions T15'!$V$3:$W$35,2,FALSE),'RES Assumptions T15'!$E$2:$S$2,0))</f>
        <v>0.42444450096192804</v>
      </c>
      <c r="M52" s="14">
        <f ca="1">OFFSET('RES Assumptions T15'!$D52,0,MATCH(VLOOKUP('RES Assumptions'!M$2,'RES Assumptions T15'!$V$3:$W$35,2,FALSE),'RES Assumptions T15'!$E$2:$S$2,0))</f>
        <v>0.12168102030431402</v>
      </c>
      <c r="N52" s="14">
        <f ca="1">OFFSET('RES Assumptions T15'!$D52,0,MATCH(VLOOKUP('RES Assumptions'!N$2,'RES Assumptions T15'!$V$3:$W$35,2,FALSE),'RES Assumptions T15'!$E$2:$S$2,0))</f>
        <v>0.41341760649046699</v>
      </c>
      <c r="O52" s="14">
        <f ca="1">OFFSET('RES Assumptions T15'!$D52,0,MATCH(VLOOKUP('RES Assumptions'!O$2,'RES Assumptions T15'!$V$3:$W$35,2,FALSE),'RES Assumptions T15'!$E$2:$S$2,0))</f>
        <v>0.40022067768505376</v>
      </c>
      <c r="P52" s="14">
        <f ca="1">OFFSET('RES Assumptions T15'!$D52,0,MATCH(VLOOKUP('RES Assumptions'!P$2,'RES Assumptions T15'!$V$3:$W$35,2,FALSE),'RES Assumptions T15'!$E$2:$S$2,0))</f>
        <v>0.44576624000699017</v>
      </c>
      <c r="Q52" s="14">
        <f ca="1">OFFSET('RES Assumptions T15'!$D52,0,MATCH(VLOOKUP('RES Assumptions'!Q$2,'RES Assumptions T15'!$V$3:$W$35,2,FALSE),'RES Assumptions T15'!$E$2:$S$2,0))</f>
        <v>0.40022067768505376</v>
      </c>
      <c r="R52" s="14">
        <f ca="1">OFFSET('RES Assumptions T15'!$D52,0,MATCH(VLOOKUP('RES Assumptions'!R$2,'RES Assumptions T15'!$V$3:$W$35,2,FALSE),'RES Assumptions T15'!$E$2:$S$2,0))</f>
        <v>0.40022067768505376</v>
      </c>
      <c r="S52" s="14">
        <f ca="1">OFFSET('RES Assumptions T15'!$D52,0,MATCH(VLOOKUP('RES Assumptions'!S$2,'RES Assumptions T15'!$V$3:$W$35,2,FALSE),'RES Assumptions T15'!$E$2:$S$2,0))</f>
        <v>0.44576624000699017</v>
      </c>
      <c r="T52" s="14">
        <f ca="1">OFFSET('RES Assumptions T15'!$D52,0,MATCH(VLOOKUP('RES Assumptions'!T$2,'RES Assumptions T15'!$V$3:$W$35,2,FALSE),'RES Assumptions T15'!$E$2:$S$2,0))</f>
        <v>0.40022067768505376</v>
      </c>
      <c r="U52" s="14">
        <f ca="1">OFFSET('RES Assumptions T15'!$D52,0,MATCH(VLOOKUP('RES Assumptions'!U$2,'RES Assumptions T15'!$V$3:$W$35,2,FALSE),'RES Assumptions T15'!$E$2:$S$2,0))</f>
        <v>0.23165230781319202</v>
      </c>
      <c r="V52" s="14">
        <f ca="1">OFFSET('RES Assumptions T15'!$D52,0,MATCH(VLOOKUP('RES Assumptions'!V$2,'RES Assumptions T15'!$V$3:$W$35,2,FALSE),'RES Assumptions T15'!$E$2:$S$2,0))</f>
        <v>0.40022067768505376</v>
      </c>
      <c r="W52" s="14">
        <f ca="1">OFFSET('RES Assumptions T15'!$D52,0,MATCH(VLOOKUP('RES Assumptions'!W$2,'RES Assumptions T15'!$V$3:$W$35,2,FALSE),'RES Assumptions T15'!$E$2:$S$2,0))</f>
        <v>0.40022067768505376</v>
      </c>
      <c r="X52" s="14">
        <f ca="1">OFFSET('RES Assumptions T15'!$D52,0,MATCH(VLOOKUP('RES Assumptions'!X$2,'RES Assumptions T15'!$V$3:$W$35,2,FALSE),'RES Assumptions T15'!$E$2:$S$2,0))</f>
        <v>0.441676685236565</v>
      </c>
      <c r="Y52" s="14">
        <f ca="1">OFFSET('RES Assumptions T15'!$D52,0,MATCH(VLOOKUP('RES Assumptions'!Y$2,'RES Assumptions T15'!$V$3:$W$35,2,FALSE),'RES Assumptions T15'!$E$2:$S$2,0))</f>
        <v>0.42444450096192804</v>
      </c>
      <c r="Z52" s="14">
        <f ca="1">OFFSET('RES Assumptions T15'!$D52,0,MATCH(VLOOKUP('RES Assumptions'!Z$2,'RES Assumptions T15'!$V$3:$W$35,2,FALSE),'RES Assumptions T15'!$E$2:$S$2,0))</f>
        <v>0.33274852084860801</v>
      </c>
      <c r="AA52" s="14">
        <f ca="1">OFFSET('RES Assumptions T15'!$D52,0,MATCH(VLOOKUP('RES Assumptions'!AA$2,'RES Assumptions T15'!$V$3:$W$35,2,FALSE),'RES Assumptions T15'!$E$2:$S$2,0))</f>
        <v>0.23165230781319202</v>
      </c>
      <c r="AB52" s="14">
        <f ca="1">OFFSET('RES Assumptions T15'!$D52,0,MATCH(VLOOKUP('RES Assumptions'!AB$2,'RES Assumptions T15'!$V$3:$W$35,2,FALSE),'RES Assumptions T15'!$E$2:$S$2,0))</f>
        <v>0.40022067768505376</v>
      </c>
      <c r="AC52" s="14">
        <f ca="1">OFFSET('RES Assumptions T15'!$D52,0,MATCH(VLOOKUP('RES Assumptions'!AC$2,'RES Assumptions T15'!$V$3:$W$35,2,FALSE),'RES Assumptions T15'!$E$2:$S$2,0))</f>
        <v>0.43825292061525917</v>
      </c>
      <c r="AD52" s="14">
        <f ca="1">OFFSET('RES Assumptions T15'!$D52,0,MATCH(VLOOKUP('RES Assumptions'!AD$2,'RES Assumptions T15'!$V$3:$W$35,2,FALSE),'RES Assumptions T15'!$E$2:$S$2,0))</f>
        <v>0.23165230781319202</v>
      </c>
      <c r="AE52" s="14">
        <f ca="1">OFFSET('RES Assumptions T15'!$D52,0,MATCH(VLOOKUP('RES Assumptions'!AE$2,'RES Assumptions T15'!$V$3:$W$35,2,FALSE),'RES Assumptions T15'!$E$2:$S$2,0))</f>
        <v>0.35</v>
      </c>
      <c r="AF52" s="14">
        <f ca="1">OFFSET('RES Assumptions T15'!$D52,0,MATCH(VLOOKUP('RES Assumptions'!AF$2,'RES Assumptions T15'!$V$3:$W$35,2,FALSE),'RES Assumptions T15'!$E$2:$S$2,0))</f>
        <v>0.40022067768505376</v>
      </c>
      <c r="AG52" s="14">
        <f ca="1">OFFSET('RES Assumptions T15'!$D52,0,MATCH(VLOOKUP('RES Assumptions'!AG$2,'RES Assumptions T15'!$V$3:$W$35,2,FALSE),'RES Assumptions T15'!$E$2:$S$2,0))</f>
        <v>0.24354495356868922</v>
      </c>
      <c r="AH52" s="14">
        <f ca="1">OFFSET('RES Assumptions T15'!$D52,0,MATCH(VLOOKUP('RES Assumptions'!AH$2,'RES Assumptions T15'!$V$3:$W$35,2,FALSE),'RES Assumptions T15'!$E$2:$S$2,0))</f>
        <v>0.24354495356868922</v>
      </c>
      <c r="AJ52" s="8"/>
      <c r="AK52" s="10">
        <f ca="1">IFERROR(SUMIFS('RES balance'!E$5:E$25,'RES balance'!$D$5:$D$25,'RES Assumptions'!$A52)*E52,"")</f>
        <v>143.85132101969998</v>
      </c>
      <c r="AL52" s="10">
        <f ca="1">IFERROR(SUMIFS('RES balance'!F$5:F$25,'RES balance'!$D$5:$D$25,'RES Assumptions'!$A52)*F52,"")</f>
        <v>96.742469417579983</v>
      </c>
      <c r="AM52" s="10">
        <f ca="1">IFERROR(SUMIFS('RES balance'!G$5:G$25,'RES balance'!$D$5:$D$25,'RES Assumptions'!$A52)*G52,"")</f>
        <v>86.741258062285937</v>
      </c>
      <c r="AN52" s="10">
        <f ca="1">IFERROR(SUMIFS('RES balance'!H$5:H$25,'RES balance'!$D$5:$D$25,'RES Assumptions'!$A52)*H52,"")</f>
        <v>90.203075872194049</v>
      </c>
      <c r="AO52" s="10">
        <f ca="1">IFERROR(SUMIFS('RES balance'!I$5:I$25,'RES balance'!$D$5:$D$25,'RES Assumptions'!$A52)*I52,"")</f>
        <v>614.33374632702771</v>
      </c>
      <c r="AP52" s="10">
        <f ca="1">IFERROR(SUMIFS('RES balance'!J$5:J$25,'RES balance'!$D$5:$D$25,'RES Assumptions'!$A52)*J52,"")</f>
        <v>822.43800457817565</v>
      </c>
      <c r="AQ52" s="10">
        <f ca="1">IFERROR(SUMIFS('RES balance'!K$5:K$25,'RES balance'!$D$5:$D$25,'RES Assumptions'!$A52)*K52,"")</f>
        <v>75.277391665758927</v>
      </c>
      <c r="AR52" s="10">
        <f ca="1">IFERROR(SUMIFS('RES balance'!L$5:L$25,'RES balance'!$D$5:$D$25,'RES Assumptions'!$A52)*L52,"")</f>
        <v>217.84972011401916</v>
      </c>
      <c r="AS52" s="10">
        <f ca="1">IFERROR(SUMIFS('RES balance'!M$5:M$25,'RES balance'!$D$5:$D$25,'RES Assumptions'!$A52)*M52,"")</f>
        <v>76.058035782775377</v>
      </c>
      <c r="AT52" s="10">
        <f ca="1">IFERROR(SUMIFS('RES balance'!N$5:N$25,'RES balance'!$D$5:$D$25,'RES Assumptions'!$A52)*N52,"")</f>
        <v>1600.8914826047594</v>
      </c>
      <c r="AU52" s="10">
        <f ca="1">IFERROR(SUMIFS('RES balance'!O$5:O$25,'RES balance'!$D$5:$D$25,'RES Assumptions'!$A52)*O52,"")</f>
        <v>110.43207344972051</v>
      </c>
      <c r="AV52" s="10">
        <f ca="1">IFERROR(SUMIFS('RES balance'!P$5:P$25,'RES balance'!$D$5:$D$25,'RES Assumptions'!$A52)*P52,"")</f>
        <v>120.47200758722586</v>
      </c>
      <c r="AW52" s="10">
        <f ca="1">IFERROR(SUMIFS('RES balance'!Q$5:Q$25,'RES balance'!$D$5:$D$25,'RES Assumptions'!$A52)*Q52,"")</f>
        <v>73.209453166202934</v>
      </c>
      <c r="AX52" s="10">
        <f ca="1">IFERROR(SUMIFS('RES balance'!R$5:R$25,'RES balance'!$D$5:$D$25,'RES Assumptions'!$A52)*R52,"")</f>
        <v>123.32543298981724</v>
      </c>
      <c r="AY52" s="10">
        <f ca="1">IFERROR(SUMIFS('RES balance'!S$5:S$25,'RES balance'!$D$5:$D$25,'RES Assumptions'!$A52)*S52,"")</f>
        <v>72.327967455771528</v>
      </c>
      <c r="AZ52" s="10">
        <f ca="1">IFERROR(SUMIFS('RES balance'!T$5:T$25,'RES balance'!$D$5:$D$25,'RES Assumptions'!$A52)*T52,"")</f>
        <v>124.20275826221142</v>
      </c>
      <c r="BA52" s="10">
        <f ca="1">IFERROR(SUMIFS('RES balance'!U$5:U$25,'RES balance'!$D$5:$D$25,'RES Assumptions'!$A52)*U52,"")</f>
        <v>122.68475189378411</v>
      </c>
      <c r="BB52" s="10">
        <f ca="1">IFERROR(SUMIFS('RES balance'!V$5:V$25,'RES balance'!$D$5:$D$25,'RES Assumptions'!$A52)*V52,"")</f>
        <v>230.12668094934006</v>
      </c>
      <c r="BC52" s="10">
        <f ca="1">IFERROR(SUMIFS('RES balance'!W$5:W$25,'RES balance'!$D$5:$D$25,'RES Assumptions'!$A52)*W52,"")</f>
        <v>182.31668711825432</v>
      </c>
      <c r="BD52" s="10">
        <f ca="1">IFERROR(SUMIFS('RES balance'!X$5:X$25,'RES balance'!$D$5:$D$25,'RES Assumptions'!$A52)*X52,"")</f>
        <v>503.01982083112398</v>
      </c>
      <c r="BE52" s="10">
        <f ca="1">IFERROR(SUMIFS('RES balance'!Y$5:Y$25,'RES balance'!$D$5:$D$25,'RES Assumptions'!$A52)*Y52,"")</f>
        <v>174.03557938748779</v>
      </c>
      <c r="BF52" s="10">
        <f ca="1">IFERROR(SUMIFS('RES balance'!Z$5:Z$25,'RES balance'!$D$5:$D$25,'RES Assumptions'!$A52)*Z52,"")</f>
        <v>77.247435508886554</v>
      </c>
      <c r="BG52" s="10">
        <f ca="1">IFERROR(SUMIFS('RES balance'!AA$5:AA$25,'RES balance'!$D$5:$D$25,'RES Assumptions'!$A52)*AA52,"")</f>
        <v>223.20565923469266</v>
      </c>
      <c r="BH52" s="10">
        <f ca="1">IFERROR(SUMIFS('RES balance'!AB$5:AB$25,'RES balance'!$D$5:$D$25,'RES Assumptions'!$A52)*AB52,"")</f>
        <v>58.992490753659894</v>
      </c>
      <c r="BI52" s="10">
        <f ca="1">IFERROR(SUMIFS('RES balance'!AC$5:AC$25,'RES balance'!$D$5:$D$25,'RES Assumptions'!$A52)*AC52,"")</f>
        <v>253.81859730055797</v>
      </c>
      <c r="BJ52" s="10">
        <f ca="1">IFERROR(SUMIFS('RES balance'!AD$5:AD$25,'RES balance'!$D$5:$D$25,'RES Assumptions'!$A52)*AD52,"")</f>
        <v>107.16569323166681</v>
      </c>
      <c r="BK52" s="10">
        <f ca="1">IFERROR(SUMIFS('RES balance'!AE$5:AE$25,'RES balance'!$D$5:$D$25,'RES Assumptions'!$A52)*AE52,"")</f>
        <v>61.316786291039996</v>
      </c>
      <c r="BL52" s="10">
        <f ca="1">IFERROR(SUMIFS('RES balance'!AF$5:AF$25,'RES balance'!$D$5:$D$25,'RES Assumptions'!$A52)*AF52,"")</f>
        <v>149.59028868816728</v>
      </c>
      <c r="BM52" s="10">
        <f ca="1">IFERROR(SUMIFS('RES balance'!AG$5:AG$25,'RES balance'!$D$5:$D$25,'RES Assumptions'!$A52)*AG52,"")</f>
        <v>1259.5111667481583</v>
      </c>
      <c r="BN52" s="10">
        <f ca="1">IFERROR(SUMIFS('RES balance'!AH$5:AH$25,'RES balance'!$D$5:$D$25,'RES Assumptions'!$A52)*AH52,"")</f>
        <v>0</v>
      </c>
    </row>
    <row r="53" spans="1:66" x14ac:dyDescent="0.45">
      <c r="A53" s="8" t="str">
        <f>VLOOKUP(C53,'RES balance'!$AL$5:$AM$25,2,FALSE)</f>
        <v>RESELC</v>
      </c>
      <c r="B53" s="36"/>
      <c r="C53" s="34" t="s">
        <v>34</v>
      </c>
      <c r="D53" s="35" t="s">
        <v>71</v>
      </c>
      <c r="E53" s="14">
        <f ca="1">OFFSET('RES Assumptions T15'!$D53,0,MATCH(VLOOKUP('RES Assumptions'!E$2,'RES Assumptions T15'!$V$3:$W$35,2,FALSE),'RES Assumptions T15'!$E$2:$S$2,0))</f>
        <v>0.25</v>
      </c>
      <c r="F53" s="14">
        <f ca="1">OFFSET('RES Assumptions T15'!$D53,0,MATCH(VLOOKUP('RES Assumptions'!F$2,'RES Assumptions T15'!$V$3:$W$35,2,FALSE),'RES Assumptions T15'!$E$2:$S$2,0))</f>
        <v>0.25</v>
      </c>
      <c r="G53" s="14">
        <f ca="1">OFFSET('RES Assumptions T15'!$D53,0,MATCH(VLOOKUP('RES Assumptions'!G$2,'RES Assumptions T15'!$V$3:$W$35,2,FALSE),'RES Assumptions T15'!$E$2:$S$2,0))</f>
        <v>0.14630509296417299</v>
      </c>
      <c r="H53" s="14">
        <f ca="1">OFFSET('RES Assumptions T15'!$D53,0,MATCH(VLOOKUP('RES Assumptions'!H$2,'RES Assumptions T15'!$V$3:$W$35,2,FALSE),'RES Assumptions T15'!$E$2:$S$2,0))</f>
        <v>0.168948130467512</v>
      </c>
      <c r="I53" s="14">
        <f ca="1">OFFSET('RES Assumptions T15'!$D53,0,MATCH(VLOOKUP('RES Assumptions'!I$2,'RES Assumptions T15'!$V$3:$W$35,2,FALSE),'RES Assumptions T15'!$E$2:$S$2,0))</f>
        <v>0</v>
      </c>
      <c r="J53" s="14">
        <f ca="1">OFFSET('RES Assumptions T15'!$D53,0,MATCH(VLOOKUP('RES Assumptions'!J$2,'RES Assumptions T15'!$V$3:$W$35,2,FALSE),'RES Assumptions T15'!$E$2:$S$2,0))</f>
        <v>0.17752378796024901</v>
      </c>
      <c r="K53" s="14">
        <f ca="1">OFFSET('RES Assumptions T15'!$D53,0,MATCH(VLOOKUP('RES Assumptions'!K$2,'RES Assumptions T15'!$V$3:$W$35,2,FALSE),'RES Assumptions T15'!$E$2:$S$2,0))</f>
        <v>0.11295492824377699</v>
      </c>
      <c r="L53" s="14">
        <f ca="1">OFFSET('RES Assumptions T15'!$D53,0,MATCH(VLOOKUP('RES Assumptions'!L$2,'RES Assumptions T15'!$V$3:$W$35,2,FALSE),'RES Assumptions T15'!$E$2:$S$2,0))</f>
        <v>0.14630509296417299</v>
      </c>
      <c r="M53" s="14">
        <f ca="1">OFFSET('RES Assumptions T15'!$D53,0,MATCH(VLOOKUP('RES Assumptions'!M$2,'RES Assumptions T15'!$V$3:$W$35,2,FALSE),'RES Assumptions T15'!$E$2:$S$2,0))</f>
        <v>8.9482447921198902E-2</v>
      </c>
      <c r="N53" s="14">
        <f ca="1">OFFSET('RES Assumptions T15'!$D53,0,MATCH(VLOOKUP('RES Assumptions'!N$2,'RES Assumptions T15'!$V$3:$W$35,2,FALSE),'RES Assumptions T15'!$E$2:$S$2,0))</f>
        <v>5.3856614460190001E-2</v>
      </c>
      <c r="O53" s="14">
        <f ca="1">OFFSET('RES Assumptions T15'!$D53,0,MATCH(VLOOKUP('RES Assumptions'!O$2,'RES Assumptions T15'!$V$3:$W$35,2,FALSE),'RES Assumptions T15'!$E$2:$S$2,0))</f>
        <v>6.7605786590421296E-2</v>
      </c>
      <c r="P53" s="14">
        <f ca="1">OFFSET('RES Assumptions T15'!$D53,0,MATCH(VLOOKUP('RES Assumptions'!P$2,'RES Assumptions T15'!$V$3:$W$35,2,FALSE),'RES Assumptions T15'!$E$2:$S$2,0))</f>
        <v>1.3044427941112199E-2</v>
      </c>
      <c r="Q53" s="14">
        <f ca="1">OFFSET('RES Assumptions T15'!$D53,0,MATCH(VLOOKUP('RES Assumptions'!Q$2,'RES Assumptions T15'!$V$3:$W$35,2,FALSE),'RES Assumptions T15'!$E$2:$S$2,0))</f>
        <v>6.7605786590421296E-2</v>
      </c>
      <c r="R53" s="14">
        <f ca="1">OFFSET('RES Assumptions T15'!$D53,0,MATCH(VLOOKUP('RES Assumptions'!R$2,'RES Assumptions T15'!$V$3:$W$35,2,FALSE),'RES Assumptions T15'!$E$2:$S$2,0))</f>
        <v>6.7605786590421296E-2</v>
      </c>
      <c r="S53" s="14">
        <f ca="1">OFFSET('RES Assumptions T15'!$D53,0,MATCH(VLOOKUP('RES Assumptions'!S$2,'RES Assumptions T15'!$V$3:$W$35,2,FALSE),'RES Assumptions T15'!$E$2:$S$2,0))</f>
        <v>1.3044427941112199E-2</v>
      </c>
      <c r="T53" s="14">
        <f ca="1">OFFSET('RES Assumptions T15'!$D53,0,MATCH(VLOOKUP('RES Assumptions'!T$2,'RES Assumptions T15'!$V$3:$W$35,2,FALSE),'RES Assumptions T15'!$E$2:$S$2,0))</f>
        <v>6.7605786590421296E-2</v>
      </c>
      <c r="U53" s="14">
        <f ca="1">OFFSET('RES Assumptions T15'!$D53,0,MATCH(VLOOKUP('RES Assumptions'!U$2,'RES Assumptions T15'!$V$3:$W$35,2,FALSE),'RES Assumptions T15'!$E$2:$S$2,0))</f>
        <v>9.6873685050727798E-2</v>
      </c>
      <c r="V53" s="14">
        <f ca="1">OFFSET('RES Assumptions T15'!$D53,0,MATCH(VLOOKUP('RES Assumptions'!V$2,'RES Assumptions T15'!$V$3:$W$35,2,FALSE),'RES Assumptions T15'!$E$2:$S$2,0))</f>
        <v>6.7605786590421296E-2</v>
      </c>
      <c r="W53" s="14">
        <f ca="1">OFFSET('RES Assumptions T15'!$D53,0,MATCH(VLOOKUP('RES Assumptions'!W$2,'RES Assumptions T15'!$V$3:$W$35,2,FALSE),'RES Assumptions T15'!$E$2:$S$2,0))</f>
        <v>6.7605786590421296E-2</v>
      </c>
      <c r="X53" s="14">
        <f ca="1">OFFSET('RES Assumptions T15'!$D53,0,MATCH(VLOOKUP('RES Assumptions'!X$2,'RES Assumptions T15'!$V$3:$W$35,2,FALSE),'RES Assumptions T15'!$E$2:$S$2,0))</f>
        <v>0.17350182393848099</v>
      </c>
      <c r="Y53" s="14">
        <f ca="1">OFFSET('RES Assumptions T15'!$D53,0,MATCH(VLOOKUP('RES Assumptions'!Y$2,'RES Assumptions T15'!$V$3:$W$35,2,FALSE),'RES Assumptions T15'!$E$2:$S$2,0))</f>
        <v>0.14630509296417299</v>
      </c>
      <c r="Z53" s="14">
        <f ca="1">OFFSET('RES Assumptions T15'!$D53,0,MATCH(VLOOKUP('RES Assumptions'!Z$2,'RES Assumptions T15'!$V$3:$W$35,2,FALSE),'RES Assumptions T15'!$E$2:$S$2,0))</f>
        <v>0.26139815308136999</v>
      </c>
      <c r="AA53" s="14">
        <f ca="1">OFFSET('RES Assumptions T15'!$D53,0,MATCH(VLOOKUP('RES Assumptions'!AA$2,'RES Assumptions T15'!$V$3:$W$35,2,FALSE),'RES Assumptions T15'!$E$2:$S$2,0))</f>
        <v>9.6873685050727798E-2</v>
      </c>
      <c r="AB53" s="14">
        <f ca="1">OFFSET('RES Assumptions T15'!$D53,0,MATCH(VLOOKUP('RES Assumptions'!AB$2,'RES Assumptions T15'!$V$3:$W$35,2,FALSE),'RES Assumptions T15'!$E$2:$S$2,0))</f>
        <v>6.7605786590421296E-2</v>
      </c>
      <c r="AC53" s="14">
        <f ca="1">OFFSET('RES Assumptions T15'!$D53,0,MATCH(VLOOKUP('RES Assumptions'!AC$2,'RES Assumptions T15'!$V$3:$W$35,2,FALSE),'RES Assumptions T15'!$E$2:$S$2,0))</f>
        <v>0.168948130467512</v>
      </c>
      <c r="AD53" s="14">
        <f ca="1">OFFSET('RES Assumptions T15'!$D53,0,MATCH(VLOOKUP('RES Assumptions'!AD$2,'RES Assumptions T15'!$V$3:$W$35,2,FALSE),'RES Assumptions T15'!$E$2:$S$2,0))</f>
        <v>9.6873685050727798E-2</v>
      </c>
      <c r="AE53" s="14">
        <f ca="1">OFFSET('RES Assumptions T15'!$D53,0,MATCH(VLOOKUP('RES Assumptions'!AE$2,'RES Assumptions T15'!$V$3:$W$35,2,FALSE),'RES Assumptions T15'!$E$2:$S$2,0))</f>
        <v>0.25</v>
      </c>
      <c r="AF53" s="14">
        <f ca="1">OFFSET('RES Assumptions T15'!$D53,0,MATCH(VLOOKUP('RES Assumptions'!AF$2,'RES Assumptions T15'!$V$3:$W$35,2,FALSE),'RES Assumptions T15'!$E$2:$S$2,0))</f>
        <v>6.7605786590421296E-2</v>
      </c>
      <c r="AG53" s="14">
        <f ca="1">OFFSET('RES Assumptions T15'!$D53,0,MATCH(VLOOKUP('RES Assumptions'!AG$2,'RES Assumptions T15'!$V$3:$W$35,2,FALSE),'RES Assumptions T15'!$E$2:$S$2,0))</f>
        <v>0.167724910588744</v>
      </c>
      <c r="AH53" s="14">
        <f ca="1">OFFSET('RES Assumptions T15'!$D53,0,MATCH(VLOOKUP('RES Assumptions'!AH$2,'RES Assumptions T15'!$V$3:$W$35,2,FALSE),'RES Assumptions T15'!$E$2:$S$2,0))</f>
        <v>0.167724910588744</v>
      </c>
      <c r="AJ53" s="8"/>
      <c r="AK53" s="10">
        <f ca="1">IFERROR(SUMIFS('RES balance'!E$5:E$25,'RES balance'!$D$5:$D$25,'RES Assumptions'!$A53)*E53,"")</f>
        <v>102.7509435855</v>
      </c>
      <c r="AL53" s="10">
        <f ca="1">IFERROR(SUMIFS('RES balance'!F$5:F$25,'RES balance'!$D$5:$D$25,'RES Assumptions'!$A53)*F53,"")</f>
        <v>69.101763869699994</v>
      </c>
      <c r="AM53" s="10">
        <f ca="1">IFERROR(SUMIFS('RES balance'!G$5:G$25,'RES balance'!$D$5:$D$25,'RES Assumptions'!$A53)*G53,"")</f>
        <v>29.899522307088148</v>
      </c>
      <c r="AN53" s="10">
        <f ca="1">IFERROR(SUMIFS('RES balance'!H$5:H$25,'RES balance'!$D$5:$D$25,'RES Assumptions'!$A53)*H53,"")</f>
        <v>34.773621153811213</v>
      </c>
      <c r="AO53" s="10">
        <f ca="1">IFERROR(SUMIFS('RES balance'!I$5:I$25,'RES balance'!$D$5:$D$25,'RES Assumptions'!$A53)*I53,"")</f>
        <v>0</v>
      </c>
      <c r="AP53" s="10">
        <f ca="1">IFERROR(SUMIFS('RES balance'!J$5:J$25,'RES balance'!$D$5:$D$25,'RES Assumptions'!$A53)*J53,"")</f>
        <v>293.43818922309879</v>
      </c>
      <c r="AQ53" s="10">
        <f ca="1">IFERROR(SUMIFS('RES balance'!K$5:K$25,'RES balance'!$D$5:$D$25,'RES Assumptions'!$A53)*K53,"")</f>
        <v>29.027756405626015</v>
      </c>
      <c r="AR53" s="10">
        <f ca="1">IFERROR(SUMIFS('RES balance'!L$5:L$25,'RES balance'!$D$5:$D$25,'RES Assumptions'!$A53)*L53,"")</f>
        <v>75.092322980430254</v>
      </c>
      <c r="AS53" s="10">
        <f ca="1">IFERROR(SUMIFS('RES balance'!M$5:M$25,'RES balance'!$D$5:$D$25,'RES Assumptions'!$A53)*M53,"")</f>
        <v>55.931970400149488</v>
      </c>
      <c r="AT53" s="10">
        <f ca="1">IFERROR(SUMIFS('RES balance'!N$5:N$25,'RES balance'!$D$5:$D$25,'RES Assumptions'!$A53)*N53,"")</f>
        <v>208.55085515869197</v>
      </c>
      <c r="AU53" s="10">
        <f ca="1">IFERROR(SUMIFS('RES balance'!O$5:O$25,'RES balance'!$D$5:$D$25,'RES Assumptions'!$A53)*O53,"")</f>
        <v>18.654326491982616</v>
      </c>
      <c r="AV53" s="10">
        <f ca="1">IFERROR(SUMIFS('RES balance'!P$5:P$25,'RES balance'!$D$5:$D$25,'RES Assumptions'!$A53)*P53,"")</f>
        <v>3.5253643745386531</v>
      </c>
      <c r="AW53" s="10">
        <f ca="1">IFERROR(SUMIFS('RES balance'!Q$5:Q$25,'RES balance'!$D$5:$D$25,'RES Assumptions'!$A53)*Q53,"")</f>
        <v>12.366634067444618</v>
      </c>
      <c r="AX53" s="10">
        <f ca="1">IFERROR(SUMIFS('RES balance'!R$5:R$25,'RES balance'!$D$5:$D$25,'RES Assumptions'!$A53)*R53,"")</f>
        <v>20.832289206311167</v>
      </c>
      <c r="AY53" s="10">
        <f ca="1">IFERROR(SUMIFS('RES balance'!S$5:S$25,'RES balance'!$D$5:$D$25,'RES Assumptions'!$A53)*S53,"")</f>
        <v>2.1165285186000737</v>
      </c>
      <c r="AZ53" s="10">
        <f ca="1">IFERROR(SUMIFS('RES balance'!T$5:T$25,'RES balance'!$D$5:$D$25,'RES Assumptions'!$A53)*T53,"")</f>
        <v>20.980488108674077</v>
      </c>
      <c r="BA53" s="10">
        <f ca="1">IFERROR(SUMIFS('RES balance'!U$5:U$25,'RES balance'!$D$5:$D$25,'RES Assumptions'!$A53)*U53,"")</f>
        <v>51.305010201190434</v>
      </c>
      <c r="BB53" s="10">
        <f ca="1">IFERROR(SUMIFS('RES balance'!V$5:V$25,'RES balance'!$D$5:$D$25,'RES Assumptions'!$A53)*V53,"")</f>
        <v>38.873292032317359</v>
      </c>
      <c r="BC53" s="10">
        <f ca="1">IFERROR(SUMIFS('RES balance'!W$5:W$25,'RES balance'!$D$5:$D$25,'RES Assumptions'!$A53)*W53,"")</f>
        <v>30.797166984182574</v>
      </c>
      <c r="BD53" s="10">
        <f ca="1">IFERROR(SUMIFS('RES balance'!X$5:X$25,'RES balance'!$D$5:$D$25,'RES Assumptions'!$A53)*X53,"")</f>
        <v>197.59896618646042</v>
      </c>
      <c r="BE53" s="10">
        <f ca="1">IFERROR(SUMIFS('RES balance'!Y$5:Y$25,'RES balance'!$D$5:$D$25,'RES Assumptions'!$A53)*Y53,"")</f>
        <v>59.989684313624863</v>
      </c>
      <c r="BF53" s="10">
        <f ca="1">IFERROR(SUMIFS('RES balance'!Z$5:Z$25,'RES balance'!$D$5:$D$25,'RES Assumptions'!$A53)*Z53,"")</f>
        <v>60.683476280521703</v>
      </c>
      <c r="BG53" s="10">
        <f ca="1">IFERROR(SUMIFS('RES balance'!AA$5:AA$25,'RES balance'!$D$5:$D$25,'RES Assumptions'!$A53)*AA53,"")</f>
        <v>93.341417309248712</v>
      </c>
      <c r="BH53" s="10">
        <f ca="1">IFERROR(SUMIFS('RES balance'!AB$5:AB$25,'RES balance'!$D$5:$D$25,'RES Assumptions'!$A53)*AB53,"")</f>
        <v>9.9650866701789926</v>
      </c>
      <c r="BI53" s="10">
        <f ca="1">IFERROR(SUMIFS('RES balance'!AC$5:AC$25,'RES balance'!$D$5:$D$25,'RES Assumptions'!$A53)*AC53,"")</f>
        <v>97.848013041450287</v>
      </c>
      <c r="BJ53" s="10">
        <f ca="1">IFERROR(SUMIFS('RES balance'!AD$5:AD$25,'RES balance'!$D$5:$D$25,'RES Assumptions'!$A53)*AD53,"")</f>
        <v>44.815161620316047</v>
      </c>
      <c r="BK53" s="10">
        <f ca="1">IFERROR(SUMIFS('RES balance'!AE$5:AE$25,'RES balance'!$D$5:$D$25,'RES Assumptions'!$A53)*AE53,"")</f>
        <v>43.797704493600001</v>
      </c>
      <c r="BL53" s="10">
        <f ca="1">IFERROR(SUMIFS('RES balance'!AF$5:AF$25,'RES balance'!$D$5:$D$25,'RES Assumptions'!$A53)*AF53,"")</f>
        <v>25.268982081455874</v>
      </c>
      <c r="BM53" s="10">
        <f ca="1">IFERROR(SUMIFS('RES balance'!AG$5:AG$25,'RES balance'!$D$5:$D$25,'RES Assumptions'!$A53)*AG53,"")</f>
        <v>867.40207396158712</v>
      </c>
      <c r="BN53" s="10">
        <f ca="1">IFERROR(SUMIFS('RES balance'!AH$5:AH$25,'RES balance'!$D$5:$D$25,'RES Assumptions'!$A53)*AH53,"")</f>
        <v>0</v>
      </c>
    </row>
    <row r="54" spans="1:66" x14ac:dyDescent="0.45">
      <c r="A54" s="8" t="str">
        <f>VLOOKUP(C54,'RES balance'!$AL$5:$AM$25,2,FALSE)</f>
        <v>RESHET</v>
      </c>
      <c r="B54" s="36"/>
      <c r="C54" s="20" t="s">
        <v>79</v>
      </c>
      <c r="D54" s="21" t="s">
        <v>62</v>
      </c>
      <c r="E54" s="14">
        <f ca="1">OFFSET('RES Assumptions T15'!$D54,0,MATCH(VLOOKUP('RES Assumptions'!E$2,'RES Assumptions T15'!$V$3:$W$35,2,FALSE),'RES Assumptions T15'!$E$2:$S$2,0))</f>
        <v>0</v>
      </c>
      <c r="F54" s="14">
        <f ca="1">OFFSET('RES Assumptions T15'!$D54,0,MATCH(VLOOKUP('RES Assumptions'!F$2,'RES Assumptions T15'!$V$3:$W$35,2,FALSE),'RES Assumptions T15'!$E$2:$S$2,0))</f>
        <v>0</v>
      </c>
      <c r="G54" s="14">
        <f ca="1">OFFSET('RES Assumptions T15'!$D54,0,MATCH(VLOOKUP('RES Assumptions'!G$2,'RES Assumptions T15'!$V$3:$W$35,2,FALSE),'RES Assumptions T15'!$E$2:$S$2,0))</f>
        <v>0</v>
      </c>
      <c r="H54" s="14">
        <f ca="1">OFFSET('RES Assumptions T15'!$D54,0,MATCH(VLOOKUP('RES Assumptions'!H$2,'RES Assumptions T15'!$V$3:$W$35,2,FALSE),'RES Assumptions T15'!$E$2:$S$2,0))</f>
        <v>0.69036168790422003</v>
      </c>
      <c r="I54" s="14">
        <f ca="1">OFFSET('RES Assumptions T15'!$D54,0,MATCH(VLOOKUP('RES Assumptions'!I$2,'RES Assumptions T15'!$V$3:$W$35,2,FALSE),'RES Assumptions T15'!$E$2:$S$2,0))</f>
        <v>0</v>
      </c>
      <c r="J54" s="14">
        <f ca="1">OFFSET('RES Assumptions T15'!$D54,0,MATCH(VLOOKUP('RES Assumptions'!J$2,'RES Assumptions T15'!$V$3:$W$35,2,FALSE),'RES Assumptions T15'!$E$2:$S$2,0))</f>
        <v>0</v>
      </c>
      <c r="K54" s="14">
        <f ca="1">OFFSET('RES Assumptions T15'!$D54,0,MATCH(VLOOKUP('RES Assumptions'!K$2,'RES Assumptions T15'!$V$3:$W$35,2,FALSE),'RES Assumptions T15'!$E$2:$S$2,0))</f>
        <v>0</v>
      </c>
      <c r="L54" s="14">
        <f ca="1">OFFSET('RES Assumptions T15'!$D54,0,MATCH(VLOOKUP('RES Assumptions'!L$2,'RES Assumptions T15'!$V$3:$W$35,2,FALSE),'RES Assumptions T15'!$E$2:$S$2,0))</f>
        <v>0</v>
      </c>
      <c r="M54" s="14">
        <f ca="1">OFFSET('RES Assumptions T15'!$D54,0,MATCH(VLOOKUP('RES Assumptions'!M$2,'RES Assumptions T15'!$V$3:$W$35,2,FALSE),'RES Assumptions T15'!$E$2:$S$2,0))</f>
        <v>0</v>
      </c>
      <c r="N54" s="14">
        <f ca="1">OFFSET('RES Assumptions T15'!$D54,0,MATCH(VLOOKUP('RES Assumptions'!N$2,'RES Assumptions T15'!$V$3:$W$35,2,FALSE),'RES Assumptions T15'!$E$2:$S$2,0))</f>
        <v>1</v>
      </c>
      <c r="O54" s="14">
        <f ca="1">OFFSET('RES Assumptions T15'!$D54,0,MATCH(VLOOKUP('RES Assumptions'!O$2,'RES Assumptions T15'!$V$3:$W$35,2,FALSE),'RES Assumptions T15'!$E$2:$S$2,0))</f>
        <v>0.85575417630244599</v>
      </c>
      <c r="P54" s="14">
        <f ca="1">OFFSET('RES Assumptions T15'!$D54,0,MATCH(VLOOKUP('RES Assumptions'!P$2,'RES Assumptions T15'!$V$3:$W$35,2,FALSE),'RES Assumptions T15'!$E$2:$S$2,0))</f>
        <v>0.67856469140865305</v>
      </c>
      <c r="Q54" s="14">
        <f ca="1">OFFSET('RES Assumptions T15'!$D54,0,MATCH(VLOOKUP('RES Assumptions'!Q$2,'RES Assumptions T15'!$V$3:$W$35,2,FALSE),'RES Assumptions T15'!$E$2:$S$2,0))</f>
        <v>0.85575417630244599</v>
      </c>
      <c r="R54" s="14">
        <f ca="1">OFFSET('RES Assumptions T15'!$D54,0,MATCH(VLOOKUP('RES Assumptions'!R$2,'RES Assumptions T15'!$V$3:$W$35,2,FALSE),'RES Assumptions T15'!$E$2:$S$2,0))</f>
        <v>0.85575417630244599</v>
      </c>
      <c r="S54" s="14">
        <f ca="1">OFFSET('RES Assumptions T15'!$D54,0,MATCH(VLOOKUP('RES Assumptions'!S$2,'RES Assumptions T15'!$V$3:$W$35,2,FALSE),'RES Assumptions T15'!$E$2:$S$2,0))</f>
        <v>0.67856469140865305</v>
      </c>
      <c r="T54" s="14">
        <f ca="1">OFFSET('RES Assumptions T15'!$D54,0,MATCH(VLOOKUP('RES Assumptions'!T$2,'RES Assumptions T15'!$V$3:$W$35,2,FALSE),'RES Assumptions T15'!$E$2:$S$2,0))</f>
        <v>0.85575417630244599</v>
      </c>
      <c r="U54" s="14">
        <f ca="1">OFFSET('RES Assumptions T15'!$D54,0,MATCH(VLOOKUP('RES Assumptions'!U$2,'RES Assumptions T15'!$V$3:$W$35,2,FALSE),'RES Assumptions T15'!$E$2:$S$2,0))</f>
        <v>0.82365017762108295</v>
      </c>
      <c r="V54" s="14">
        <f ca="1">OFFSET('RES Assumptions T15'!$D54,0,MATCH(VLOOKUP('RES Assumptions'!V$2,'RES Assumptions T15'!$V$3:$W$35,2,FALSE),'RES Assumptions T15'!$E$2:$S$2,0))</f>
        <v>0.85575417630244599</v>
      </c>
      <c r="W54" s="14">
        <f ca="1">OFFSET('RES Assumptions T15'!$D54,0,MATCH(VLOOKUP('RES Assumptions'!W$2,'RES Assumptions T15'!$V$3:$W$35,2,FALSE),'RES Assumptions T15'!$E$2:$S$2,0))</f>
        <v>0.85575417630244599</v>
      </c>
      <c r="X54" s="14">
        <f ca="1">OFFSET('RES Assumptions T15'!$D54,0,MATCH(VLOOKUP('RES Assumptions'!X$2,'RES Assumptions T15'!$V$3:$W$35,2,FALSE),'RES Assumptions T15'!$E$2:$S$2,0))</f>
        <v>0</v>
      </c>
      <c r="Y54" s="14">
        <f ca="1">OFFSET('RES Assumptions T15'!$D54,0,MATCH(VLOOKUP('RES Assumptions'!Y$2,'RES Assumptions T15'!$V$3:$W$35,2,FALSE),'RES Assumptions T15'!$E$2:$S$2,0))</f>
        <v>0</v>
      </c>
      <c r="Z54" s="14">
        <f ca="1">OFFSET('RES Assumptions T15'!$D54,0,MATCH(VLOOKUP('RES Assumptions'!Z$2,'RES Assumptions T15'!$V$3:$W$35,2,FALSE),'RES Assumptions T15'!$E$2:$S$2,0))</f>
        <v>3.1247979059203901E-2</v>
      </c>
      <c r="AA54" s="14">
        <f ca="1">OFFSET('RES Assumptions T15'!$D54,0,MATCH(VLOOKUP('RES Assumptions'!AA$2,'RES Assumptions T15'!$V$3:$W$35,2,FALSE),'RES Assumptions T15'!$E$2:$S$2,0))</f>
        <v>0.82365017762108295</v>
      </c>
      <c r="AB54" s="14">
        <f ca="1">OFFSET('RES Assumptions T15'!$D54,0,MATCH(VLOOKUP('RES Assumptions'!AB$2,'RES Assumptions T15'!$V$3:$W$35,2,FALSE),'RES Assumptions T15'!$E$2:$S$2,0))</f>
        <v>0.85575417630244599</v>
      </c>
      <c r="AC54" s="14">
        <f ca="1">OFFSET('RES Assumptions T15'!$D54,0,MATCH(VLOOKUP('RES Assumptions'!AC$2,'RES Assumptions T15'!$V$3:$W$35,2,FALSE),'RES Assumptions T15'!$E$2:$S$2,0))</f>
        <v>0.69036168790422003</v>
      </c>
      <c r="AD54" s="14">
        <f ca="1">OFFSET('RES Assumptions T15'!$D54,0,MATCH(VLOOKUP('RES Assumptions'!AD$2,'RES Assumptions T15'!$V$3:$W$35,2,FALSE),'RES Assumptions T15'!$E$2:$S$2,0))</f>
        <v>0.82365017762108295</v>
      </c>
      <c r="AE54" s="14">
        <f ca="1">OFFSET('RES Assumptions T15'!$D54,0,MATCH(VLOOKUP('RES Assumptions'!AE$2,'RES Assumptions T15'!$V$3:$W$35,2,FALSE),'RES Assumptions T15'!$E$2:$S$2,0))</f>
        <v>0</v>
      </c>
      <c r="AF54" s="14">
        <f ca="1">OFFSET('RES Assumptions T15'!$D54,0,MATCH(VLOOKUP('RES Assumptions'!AF$2,'RES Assumptions T15'!$V$3:$W$35,2,FALSE),'RES Assumptions T15'!$E$2:$S$2,0))</f>
        <v>0.85575417630244599</v>
      </c>
      <c r="AG54" s="14">
        <f ca="1">OFFSET('RES Assumptions T15'!$D54,0,MATCH(VLOOKUP('RES Assumptions'!AG$2,'RES Assumptions T15'!$V$3:$W$35,2,FALSE),'RES Assumptions T15'!$E$2:$S$2,0))</f>
        <v>5.5066558996380702E-2</v>
      </c>
      <c r="AH54" s="14">
        <f ca="1">OFFSET('RES Assumptions T15'!$D54,0,MATCH(VLOOKUP('RES Assumptions'!AH$2,'RES Assumptions T15'!$V$3:$W$35,2,FALSE),'RES Assumptions T15'!$E$2:$S$2,0))</f>
        <v>5.5066558996380702E-2</v>
      </c>
      <c r="AJ54" s="8"/>
      <c r="AK54" s="10">
        <f ca="1">IFERROR(SUMIFS('RES balance'!E$5:E$25,'RES balance'!$D$5:$D$25,'RES Assumptions'!$A54)*E54,"")</f>
        <v>0</v>
      </c>
      <c r="AL54" s="10">
        <f ca="1">IFERROR(SUMIFS('RES balance'!F$5:F$25,'RES balance'!$D$5:$D$25,'RES Assumptions'!$A54)*F54,"")</f>
        <v>0</v>
      </c>
      <c r="AM54" s="10">
        <f ca="1">IFERROR(SUMIFS('RES balance'!G$5:G$25,'RES balance'!$D$5:$D$25,'RES Assumptions'!$A54)*G54,"")</f>
        <v>0</v>
      </c>
      <c r="AN54" s="10">
        <f ca="1">IFERROR(SUMIFS('RES balance'!H$5:H$25,'RES balance'!$D$5:$D$25,'RES Assumptions'!$A54)*H54,"")</f>
        <v>76.924409433723227</v>
      </c>
      <c r="AO54" s="10">
        <f ca="1">IFERROR(SUMIFS('RES balance'!I$5:I$25,'RES balance'!$D$5:$D$25,'RES Assumptions'!$A54)*I54,"")</f>
        <v>0</v>
      </c>
      <c r="AP54" s="10">
        <f ca="1">IFERROR(SUMIFS('RES balance'!J$5:J$25,'RES balance'!$D$5:$D$25,'RES Assumptions'!$A54)*J54,"")</f>
        <v>0</v>
      </c>
      <c r="AQ54" s="10">
        <f ca="1">IFERROR(SUMIFS('RES balance'!K$5:K$25,'RES balance'!$D$5:$D$25,'RES Assumptions'!$A54)*K54,"")</f>
        <v>0</v>
      </c>
      <c r="AR54" s="10">
        <f ca="1">IFERROR(SUMIFS('RES balance'!L$5:L$25,'RES balance'!$D$5:$D$25,'RES Assumptions'!$A54)*L54,"")</f>
        <v>0</v>
      </c>
      <c r="AS54" s="10">
        <f ca="1">IFERROR(SUMIFS('RES balance'!M$5:M$25,'RES balance'!$D$5:$D$25,'RES Assumptions'!$A54)*M54,"")</f>
        <v>0</v>
      </c>
      <c r="AT54" s="10">
        <f ca="1">IFERROR(SUMIFS('RES balance'!N$5:N$25,'RES balance'!$D$5:$D$25,'RES Assumptions'!$A54)*N54,"")</f>
        <v>1288.3205001419999</v>
      </c>
      <c r="AU54" s="10">
        <f ca="1">IFERROR(SUMIFS('RES balance'!O$5:O$25,'RES balance'!$D$5:$D$25,'RES Assumptions'!$A54)*O54,"")</f>
        <v>207.74338234097752</v>
      </c>
      <c r="AV54" s="10">
        <f ca="1">IFERROR(SUMIFS('RES balance'!P$5:P$25,'RES balance'!$D$5:$D$25,'RES Assumptions'!$A54)*P54,"")</f>
        <v>196.36857456513192</v>
      </c>
      <c r="AW54" s="10">
        <f ca="1">IFERROR(SUMIFS('RES balance'!Q$5:Q$25,'RES balance'!$D$5:$D$25,'RES Assumptions'!$A54)*Q54,"")</f>
        <v>10.790921303708974</v>
      </c>
      <c r="AX54" s="10">
        <f ca="1">IFERROR(SUMIFS('RES balance'!R$5:R$25,'RES balance'!$D$5:$D$25,'RES Assumptions'!$A54)*R54,"")</f>
        <v>33.696824854105209</v>
      </c>
      <c r="AY54" s="10">
        <f ca="1">IFERROR(SUMIFS('RES balance'!S$5:S$25,'RES balance'!$D$5:$D$25,'RES Assumptions'!$A54)*S54,"")</f>
        <v>46.88613980129302</v>
      </c>
      <c r="AZ54" s="10">
        <f ca="1">IFERROR(SUMIFS('RES balance'!T$5:T$25,'RES balance'!$D$5:$D$25,'RES Assumptions'!$A54)*T54,"")</f>
        <v>3.0805529890779809E-2</v>
      </c>
      <c r="BA54" s="10">
        <f ca="1">IFERROR(SUMIFS('RES balance'!U$5:U$25,'RES balance'!$D$5:$D$25,'RES Assumptions'!$A54)*U54,"")</f>
        <v>173.06254138066876</v>
      </c>
      <c r="BB54" s="10">
        <f ca="1">IFERROR(SUMIFS('RES balance'!V$5:V$25,'RES balance'!$D$5:$D$25,'RES Assumptions'!$A54)*V54,"")</f>
        <v>46.151413166880808</v>
      </c>
      <c r="BC54" s="10">
        <f ca="1">IFERROR(SUMIFS('RES balance'!W$5:W$25,'RES balance'!$D$5:$D$25,'RES Assumptions'!$A54)*W54,"")</f>
        <v>142.13905811407486</v>
      </c>
      <c r="BD54" s="10">
        <f ca="1">IFERROR(SUMIFS('RES balance'!X$5:X$25,'RES balance'!$D$5:$D$25,'RES Assumptions'!$A54)*X54,"")</f>
        <v>0</v>
      </c>
      <c r="BE54" s="10">
        <f ca="1">IFERROR(SUMIFS('RES balance'!Y$5:Y$25,'RES balance'!$D$5:$D$25,'RES Assumptions'!$A54)*Y54,"")</f>
        <v>0</v>
      </c>
      <c r="BF54" s="10">
        <f ca="1">IFERROR(SUMIFS('RES balance'!Z$5:Z$25,'RES balance'!$D$5:$D$25,'RES Assumptions'!$A54)*Z54,"")</f>
        <v>0</v>
      </c>
      <c r="BG54" s="10">
        <f ca="1">IFERROR(SUMIFS('RES balance'!AA$5:AA$25,'RES balance'!$D$5:$D$25,'RES Assumptions'!$A54)*AA54,"")</f>
        <v>0</v>
      </c>
      <c r="BH54" s="10">
        <f ca="1">IFERROR(SUMIFS('RES balance'!AB$5:AB$25,'RES balance'!$D$5:$D$25,'RES Assumptions'!$A54)*AB54,"")</f>
        <v>18.15428133955632</v>
      </c>
      <c r="BI54" s="10">
        <f ca="1">IFERROR(SUMIFS('RES balance'!AC$5:AC$25,'RES balance'!$D$5:$D$25,'RES Assumptions'!$A54)*AC54,"")</f>
        <v>1378.0736037534284</v>
      </c>
      <c r="BJ54" s="10">
        <f ca="1">IFERROR(SUMIFS('RES balance'!AD$5:AD$25,'RES balance'!$D$5:$D$25,'RES Assumptions'!$A54)*AD54,"")</f>
        <v>0</v>
      </c>
      <c r="BK54" s="10">
        <f ca="1">IFERROR(SUMIFS('RES balance'!AE$5:AE$25,'RES balance'!$D$5:$D$25,'RES Assumptions'!$A54)*AE54,"")</f>
        <v>0</v>
      </c>
      <c r="BL54" s="10">
        <f ca="1">IFERROR(SUMIFS('RES balance'!AF$5:AF$25,'RES balance'!$D$5:$D$25,'RES Assumptions'!$A54)*AF54,"")</f>
        <v>9.655674110406677</v>
      </c>
      <c r="BM54" s="10">
        <f ca="1">IFERROR(SUMIFS('RES balance'!AG$5:AG$25,'RES balance'!$D$5:$D$25,'RES Assumptions'!$A54)*AG54,"")</f>
        <v>0</v>
      </c>
      <c r="BN54" s="10">
        <f ca="1">IFERROR(SUMIFS('RES balance'!AH$5:AH$25,'RES balance'!$D$5:$D$25,'RES Assumptions'!$A54)*AH54,"")</f>
        <v>0</v>
      </c>
    </row>
    <row r="55" spans="1:66" x14ac:dyDescent="0.45">
      <c r="A55" s="8" t="str">
        <f>VLOOKUP(C55,'RES balance'!$AL$5:$AM$25,2,FALSE)</f>
        <v>RESHET</v>
      </c>
      <c r="B55" s="36"/>
      <c r="C55" s="20" t="s">
        <v>79</v>
      </c>
      <c r="D55" s="21" t="s">
        <v>64</v>
      </c>
      <c r="E55" s="14">
        <f ca="1">OFFSET('RES Assumptions T15'!$D55,0,MATCH(VLOOKUP('RES Assumptions'!E$2,'RES Assumptions T15'!$V$3:$W$35,2,FALSE),'RES Assumptions T15'!$E$2:$S$2,0))</f>
        <v>0</v>
      </c>
      <c r="F55" s="14">
        <f ca="1">OFFSET('RES Assumptions T15'!$D55,0,MATCH(VLOOKUP('RES Assumptions'!F$2,'RES Assumptions T15'!$V$3:$W$35,2,FALSE),'RES Assumptions T15'!$E$2:$S$2,0))</f>
        <v>0</v>
      </c>
      <c r="G55" s="14">
        <f ca="1">OFFSET('RES Assumptions T15'!$D55,0,MATCH(VLOOKUP('RES Assumptions'!G$2,'RES Assumptions T15'!$V$3:$W$35,2,FALSE),'RES Assumptions T15'!$E$2:$S$2,0))</f>
        <v>0</v>
      </c>
      <c r="H55" s="14">
        <f ca="1">OFFSET('RES Assumptions T15'!$D55,0,MATCH(VLOOKUP('RES Assumptions'!H$2,'RES Assumptions T15'!$V$3:$W$35,2,FALSE),'RES Assumptions T15'!$E$2:$S$2,0))</f>
        <v>0.29663569964660103</v>
      </c>
      <c r="I55" s="14">
        <f ca="1">OFFSET('RES Assumptions T15'!$D55,0,MATCH(VLOOKUP('RES Assumptions'!I$2,'RES Assumptions T15'!$V$3:$W$35,2,FALSE),'RES Assumptions T15'!$E$2:$S$2,0))</f>
        <v>1</v>
      </c>
      <c r="J55" s="14">
        <f ca="1">OFFSET('RES Assumptions T15'!$D55,0,MATCH(VLOOKUP('RES Assumptions'!J$2,'RES Assumptions T15'!$V$3:$W$35,2,FALSE),'RES Assumptions T15'!$E$2:$S$2,0))</f>
        <v>0</v>
      </c>
      <c r="K55" s="14">
        <f ca="1">OFFSET('RES Assumptions T15'!$D55,0,MATCH(VLOOKUP('RES Assumptions'!K$2,'RES Assumptions T15'!$V$3:$W$35,2,FALSE),'RES Assumptions T15'!$E$2:$S$2,0))</f>
        <v>0</v>
      </c>
      <c r="L55" s="14">
        <f ca="1">OFFSET('RES Assumptions T15'!$D55,0,MATCH(VLOOKUP('RES Assumptions'!L$2,'RES Assumptions T15'!$V$3:$W$35,2,FALSE),'RES Assumptions T15'!$E$2:$S$2,0))</f>
        <v>0</v>
      </c>
      <c r="M55" s="14">
        <f ca="1">OFFSET('RES Assumptions T15'!$D55,0,MATCH(VLOOKUP('RES Assumptions'!M$2,'RES Assumptions T15'!$V$3:$W$35,2,FALSE),'RES Assumptions T15'!$E$2:$S$2,0))</f>
        <v>0</v>
      </c>
      <c r="N55" s="14">
        <f ca="1">OFFSET('RES Assumptions T15'!$D55,0,MATCH(VLOOKUP('RES Assumptions'!N$2,'RES Assumptions T15'!$V$3:$W$35,2,FALSE),'RES Assumptions T15'!$E$2:$S$2,0))</f>
        <v>0</v>
      </c>
      <c r="O55" s="14">
        <f ca="1">OFFSET('RES Assumptions T15'!$D55,0,MATCH(VLOOKUP('RES Assumptions'!O$2,'RES Assumptions T15'!$V$3:$W$35,2,FALSE),'RES Assumptions T15'!$E$2:$S$2,0))</f>
        <v>0.14424582369755401</v>
      </c>
      <c r="P55" s="14">
        <f ca="1">OFFSET('RES Assumptions T15'!$D55,0,MATCH(VLOOKUP('RES Assumptions'!P$2,'RES Assumptions T15'!$V$3:$W$35,2,FALSE),'RES Assumptions T15'!$E$2:$S$2,0))</f>
        <v>0.30756612671724398</v>
      </c>
      <c r="Q55" s="14">
        <f ca="1">OFFSET('RES Assumptions T15'!$D55,0,MATCH(VLOOKUP('RES Assumptions'!Q$2,'RES Assumptions T15'!$V$3:$W$35,2,FALSE),'RES Assumptions T15'!$E$2:$S$2,0))</f>
        <v>0.14424582369755401</v>
      </c>
      <c r="R55" s="14">
        <f ca="1">OFFSET('RES Assumptions T15'!$D55,0,MATCH(VLOOKUP('RES Assumptions'!R$2,'RES Assumptions T15'!$V$3:$W$35,2,FALSE),'RES Assumptions T15'!$E$2:$S$2,0))</f>
        <v>0.14424582369755401</v>
      </c>
      <c r="S55" s="14">
        <f ca="1">OFFSET('RES Assumptions T15'!$D55,0,MATCH(VLOOKUP('RES Assumptions'!S$2,'RES Assumptions T15'!$V$3:$W$35,2,FALSE),'RES Assumptions T15'!$E$2:$S$2,0))</f>
        <v>0.30756612671724398</v>
      </c>
      <c r="T55" s="14">
        <f ca="1">OFFSET('RES Assumptions T15'!$D55,0,MATCH(VLOOKUP('RES Assumptions'!T$2,'RES Assumptions T15'!$V$3:$W$35,2,FALSE),'RES Assumptions T15'!$E$2:$S$2,0))</f>
        <v>0.14424582369755401</v>
      </c>
      <c r="U55" s="14">
        <f ca="1">OFFSET('RES Assumptions T15'!$D55,0,MATCH(VLOOKUP('RES Assumptions'!U$2,'RES Assumptions T15'!$V$3:$W$35,2,FALSE),'RES Assumptions T15'!$E$2:$S$2,0))</f>
        <v>0.176349822378917</v>
      </c>
      <c r="V55" s="14">
        <f ca="1">OFFSET('RES Assumptions T15'!$D55,0,MATCH(VLOOKUP('RES Assumptions'!V$2,'RES Assumptions T15'!$V$3:$W$35,2,FALSE),'RES Assumptions T15'!$E$2:$S$2,0))</f>
        <v>0.14424582369755401</v>
      </c>
      <c r="W55" s="14">
        <f ca="1">OFFSET('RES Assumptions T15'!$D55,0,MATCH(VLOOKUP('RES Assumptions'!W$2,'RES Assumptions T15'!$V$3:$W$35,2,FALSE),'RES Assumptions T15'!$E$2:$S$2,0))</f>
        <v>0.14424582369755401</v>
      </c>
      <c r="X55" s="14">
        <f ca="1">OFFSET('RES Assumptions T15'!$D55,0,MATCH(VLOOKUP('RES Assumptions'!X$2,'RES Assumptions T15'!$V$3:$W$35,2,FALSE),'RES Assumptions T15'!$E$2:$S$2,0))</f>
        <v>1</v>
      </c>
      <c r="Y55" s="14">
        <f ca="1">OFFSET('RES Assumptions T15'!$D55,0,MATCH(VLOOKUP('RES Assumptions'!Y$2,'RES Assumptions T15'!$V$3:$W$35,2,FALSE),'RES Assumptions T15'!$E$2:$S$2,0))</f>
        <v>0</v>
      </c>
      <c r="Z55" s="14">
        <f ca="1">OFFSET('RES Assumptions T15'!$D55,0,MATCH(VLOOKUP('RES Assumptions'!Z$2,'RES Assumptions T15'!$V$3:$W$35,2,FALSE),'RES Assumptions T15'!$E$2:$S$2,0))</f>
        <v>0.96875202094079604</v>
      </c>
      <c r="AA55" s="14">
        <f ca="1">OFFSET('RES Assumptions T15'!$D55,0,MATCH(VLOOKUP('RES Assumptions'!AA$2,'RES Assumptions T15'!$V$3:$W$35,2,FALSE),'RES Assumptions T15'!$E$2:$S$2,0))</f>
        <v>0.176349822378917</v>
      </c>
      <c r="AB55" s="14">
        <f ca="1">OFFSET('RES Assumptions T15'!$D55,0,MATCH(VLOOKUP('RES Assumptions'!AB$2,'RES Assumptions T15'!$V$3:$W$35,2,FALSE),'RES Assumptions T15'!$E$2:$S$2,0))</f>
        <v>0.14424582369755401</v>
      </c>
      <c r="AC55" s="14">
        <f ca="1">OFFSET('RES Assumptions T15'!$D55,0,MATCH(VLOOKUP('RES Assumptions'!AC$2,'RES Assumptions T15'!$V$3:$W$35,2,FALSE),'RES Assumptions T15'!$E$2:$S$2,0))</f>
        <v>0.29663569964660103</v>
      </c>
      <c r="AD55" s="14">
        <f ca="1">OFFSET('RES Assumptions T15'!$D55,0,MATCH(VLOOKUP('RES Assumptions'!AD$2,'RES Assumptions T15'!$V$3:$W$35,2,FALSE),'RES Assumptions T15'!$E$2:$S$2,0))</f>
        <v>0.176349822378917</v>
      </c>
      <c r="AE55" s="14">
        <f ca="1">OFFSET('RES Assumptions T15'!$D55,0,MATCH(VLOOKUP('RES Assumptions'!AE$2,'RES Assumptions T15'!$V$3:$W$35,2,FALSE),'RES Assumptions T15'!$E$2:$S$2,0))</f>
        <v>0</v>
      </c>
      <c r="AF55" s="14">
        <f ca="1">OFFSET('RES Assumptions T15'!$D55,0,MATCH(VLOOKUP('RES Assumptions'!AF$2,'RES Assumptions T15'!$V$3:$W$35,2,FALSE),'RES Assumptions T15'!$E$2:$S$2,0))</f>
        <v>0.14424582369755401</v>
      </c>
      <c r="AG55" s="14">
        <f ca="1">OFFSET('RES Assumptions T15'!$D55,0,MATCH(VLOOKUP('RES Assumptions'!AG$2,'RES Assumptions T15'!$V$3:$W$35,2,FALSE),'RES Assumptions T15'!$E$2:$S$2,0))</f>
        <v>0.94493344100361898</v>
      </c>
      <c r="AH55" s="14">
        <f ca="1">OFFSET('RES Assumptions T15'!$D55,0,MATCH(VLOOKUP('RES Assumptions'!AH$2,'RES Assumptions T15'!$V$3:$W$35,2,FALSE),'RES Assumptions T15'!$E$2:$S$2,0))</f>
        <v>0.94493344100361898</v>
      </c>
      <c r="AJ55" s="8"/>
      <c r="AK55" s="10">
        <f ca="1">IFERROR(SUMIFS('RES balance'!E$5:E$25,'RES balance'!$D$5:$D$25,'RES Assumptions'!$A55)*E55,"")</f>
        <v>0</v>
      </c>
      <c r="AL55" s="10">
        <f ca="1">IFERROR(SUMIFS('RES balance'!F$5:F$25,'RES balance'!$D$5:$D$25,'RES Assumptions'!$A55)*F55,"")</f>
        <v>0</v>
      </c>
      <c r="AM55" s="10">
        <f ca="1">IFERROR(SUMIFS('RES balance'!G$5:G$25,'RES balance'!$D$5:$D$25,'RES Assumptions'!$A55)*G55,"")</f>
        <v>0</v>
      </c>
      <c r="AN55" s="10">
        <f ca="1">IFERROR(SUMIFS('RES balance'!H$5:H$25,'RES balance'!$D$5:$D$25,'RES Assumptions'!$A55)*H55,"")</f>
        <v>33.053001654170444</v>
      </c>
      <c r="AO55" s="10">
        <f ca="1">IFERROR(SUMIFS('RES balance'!I$5:I$25,'RES balance'!$D$5:$D$25,'RES Assumptions'!$A55)*I55,"")</f>
        <v>84.562001211600005</v>
      </c>
      <c r="AP55" s="10">
        <f ca="1">IFERROR(SUMIFS('RES balance'!J$5:J$25,'RES balance'!$D$5:$D$25,'RES Assumptions'!$A55)*J55,"")</f>
        <v>0</v>
      </c>
      <c r="AQ55" s="10">
        <f ca="1">IFERROR(SUMIFS('RES balance'!K$5:K$25,'RES balance'!$D$5:$D$25,'RES Assumptions'!$A55)*K55,"")</f>
        <v>0</v>
      </c>
      <c r="AR55" s="10">
        <f ca="1">IFERROR(SUMIFS('RES balance'!L$5:L$25,'RES balance'!$D$5:$D$25,'RES Assumptions'!$A55)*L55,"")</f>
        <v>0</v>
      </c>
      <c r="AS55" s="10">
        <f ca="1">IFERROR(SUMIFS('RES balance'!M$5:M$25,'RES balance'!$D$5:$D$25,'RES Assumptions'!$A55)*M55,"")</f>
        <v>0</v>
      </c>
      <c r="AT55" s="10">
        <f ca="1">IFERROR(SUMIFS('RES balance'!N$5:N$25,'RES balance'!$D$5:$D$25,'RES Assumptions'!$A55)*N55,"")</f>
        <v>0</v>
      </c>
      <c r="AU55" s="10">
        <f ca="1">IFERROR(SUMIFS('RES balance'!O$5:O$25,'RES balance'!$D$5:$D$25,'RES Assumptions'!$A55)*O55,"")</f>
        <v>35.017200188222496</v>
      </c>
      <c r="AV55" s="10">
        <f ca="1">IFERROR(SUMIFS('RES balance'!P$5:P$25,'RES balance'!$D$5:$D$25,'RES Assumptions'!$A55)*P55,"")</f>
        <v>89.005989631740746</v>
      </c>
      <c r="AW55" s="10">
        <f ca="1">IFERROR(SUMIFS('RES balance'!Q$5:Q$25,'RES balance'!$D$5:$D$25,'RES Assumptions'!$A55)*Q55,"")</f>
        <v>1.8189164306910262</v>
      </c>
      <c r="AX55" s="10">
        <f ca="1">IFERROR(SUMIFS('RES balance'!R$5:R$25,'RES balance'!$D$5:$D$25,'RES Assumptions'!$A55)*R55,"")</f>
        <v>5.6799328494947874</v>
      </c>
      <c r="AY55" s="10">
        <f ca="1">IFERROR(SUMIFS('RES balance'!S$5:S$25,'RES balance'!$D$5:$D$25,'RES Assumptions'!$A55)*S55,"")</f>
        <v>21.251604449784686</v>
      </c>
      <c r="AZ55" s="10">
        <f ca="1">IFERROR(SUMIFS('RES balance'!T$5:T$25,'RES balance'!$D$5:$D$25,'RES Assumptions'!$A55)*T55,"")</f>
        <v>5.1925765092201903E-3</v>
      </c>
      <c r="BA55" s="10">
        <f ca="1">IFERROR(SUMIFS('RES balance'!U$5:U$25,'RES balance'!$D$5:$D$25,'RES Assumptions'!$A55)*U55,"")</f>
        <v>37.054017909731222</v>
      </c>
      <c r="BB55" s="10">
        <f ca="1">IFERROR(SUMIFS('RES balance'!V$5:V$25,'RES balance'!$D$5:$D$25,'RES Assumptions'!$A55)*V55,"")</f>
        <v>7.7792767963191931</v>
      </c>
      <c r="BC55" s="10">
        <f ca="1">IFERROR(SUMIFS('RES balance'!W$5:W$25,'RES balance'!$D$5:$D$25,'RES Assumptions'!$A55)*W55,"")</f>
        <v>23.958942982725144</v>
      </c>
      <c r="BD55" s="10">
        <f ca="1">IFERROR(SUMIFS('RES balance'!X$5:X$25,'RES balance'!$D$5:$D$25,'RES Assumptions'!$A55)*X55,"")</f>
        <v>0</v>
      </c>
      <c r="BE55" s="10">
        <f ca="1">IFERROR(SUMIFS('RES balance'!Y$5:Y$25,'RES balance'!$D$5:$D$25,'RES Assumptions'!$A55)*Y55,"")</f>
        <v>0</v>
      </c>
      <c r="BF55" s="10">
        <f ca="1">IFERROR(SUMIFS('RES balance'!Z$5:Z$25,'RES balance'!$D$5:$D$25,'RES Assumptions'!$A55)*Z55,"")</f>
        <v>0</v>
      </c>
      <c r="BG55" s="10">
        <f ca="1">IFERROR(SUMIFS('RES balance'!AA$5:AA$25,'RES balance'!$D$5:$D$25,'RES Assumptions'!$A55)*AA55,"")</f>
        <v>0</v>
      </c>
      <c r="BH55" s="10">
        <f ca="1">IFERROR(SUMIFS('RES balance'!AB$5:AB$25,'RES balance'!$D$5:$D$25,'RES Assumptions'!$A55)*AB55,"")</f>
        <v>3.0600835356436815</v>
      </c>
      <c r="BI55" s="10">
        <f ca="1">IFERROR(SUMIFS('RES balance'!AC$5:AC$25,'RES balance'!$D$5:$D$25,'RES Assumptions'!$A55)*AC55,"")</f>
        <v>592.13284105450748</v>
      </c>
      <c r="BJ55" s="10">
        <f ca="1">IFERROR(SUMIFS('RES balance'!AD$5:AD$25,'RES balance'!$D$5:$D$25,'RES Assumptions'!$A55)*AD55,"")</f>
        <v>0</v>
      </c>
      <c r="BK55" s="10">
        <f ca="1">IFERROR(SUMIFS('RES balance'!AE$5:AE$25,'RES balance'!$D$5:$D$25,'RES Assumptions'!$A55)*AE55,"")</f>
        <v>0</v>
      </c>
      <c r="BL55" s="10">
        <f ca="1">IFERROR(SUMIFS('RES balance'!AF$5:AF$25,'RES balance'!$D$5:$D$25,'RES Assumptions'!$A55)*AF55,"")</f>
        <v>1.6275592967933228</v>
      </c>
      <c r="BM55" s="10">
        <f ca="1">IFERROR(SUMIFS('RES balance'!AG$5:AG$25,'RES balance'!$D$5:$D$25,'RES Assumptions'!$A55)*AG55,"")</f>
        <v>0</v>
      </c>
      <c r="BN55" s="10">
        <f ca="1">IFERROR(SUMIFS('RES balance'!AH$5:AH$25,'RES balance'!$D$5:$D$25,'RES Assumptions'!$A55)*AH55,"")</f>
        <v>0</v>
      </c>
    </row>
    <row r="56" spans="1:66" x14ac:dyDescent="0.45">
      <c r="A56" s="8" t="str">
        <f>VLOOKUP(C56,'RES balance'!$AL$5:$AM$25,2,FALSE)</f>
        <v>RESHET</v>
      </c>
      <c r="B56" s="36"/>
      <c r="C56" s="22" t="s">
        <v>79</v>
      </c>
      <c r="D56" s="23" t="s">
        <v>70</v>
      </c>
      <c r="E56" s="14">
        <f ca="1">OFFSET('RES Assumptions T15'!$D56,0,MATCH(VLOOKUP('RES Assumptions'!E$2,'RES Assumptions T15'!$V$3:$W$35,2,FALSE),'RES Assumptions T15'!$E$2:$S$2,0))</f>
        <v>0</v>
      </c>
      <c r="F56" s="14">
        <f ca="1">OFFSET('RES Assumptions T15'!$D56,0,MATCH(VLOOKUP('RES Assumptions'!F$2,'RES Assumptions T15'!$V$3:$W$35,2,FALSE),'RES Assumptions T15'!$E$2:$S$2,0))</f>
        <v>0</v>
      </c>
      <c r="G56" s="14">
        <f ca="1">OFFSET('RES Assumptions T15'!$D56,0,MATCH(VLOOKUP('RES Assumptions'!G$2,'RES Assumptions T15'!$V$3:$W$35,2,FALSE),'RES Assumptions T15'!$E$2:$S$2,0))</f>
        <v>0</v>
      </c>
      <c r="H56" s="14">
        <f ca="1">OFFSET('RES Assumptions T15'!$D56,0,MATCH(VLOOKUP('RES Assumptions'!H$2,'RES Assumptions T15'!$V$3:$W$35,2,FALSE),'RES Assumptions T15'!$E$2:$S$2,0))</f>
        <v>0</v>
      </c>
      <c r="I56" s="14">
        <f ca="1">OFFSET('RES Assumptions T15'!$D56,0,MATCH(VLOOKUP('RES Assumptions'!I$2,'RES Assumptions T15'!$V$3:$W$35,2,FALSE),'RES Assumptions T15'!$E$2:$S$2,0))</f>
        <v>0</v>
      </c>
      <c r="J56" s="14">
        <f ca="1">OFFSET('RES Assumptions T15'!$D56,0,MATCH(VLOOKUP('RES Assumptions'!J$2,'RES Assumptions T15'!$V$3:$W$35,2,FALSE),'RES Assumptions T15'!$E$2:$S$2,0))</f>
        <v>0</v>
      </c>
      <c r="K56" s="14">
        <f ca="1">OFFSET('RES Assumptions T15'!$D56,0,MATCH(VLOOKUP('RES Assumptions'!K$2,'RES Assumptions T15'!$V$3:$W$35,2,FALSE),'RES Assumptions T15'!$E$2:$S$2,0))</f>
        <v>0</v>
      </c>
      <c r="L56" s="14">
        <f ca="1">OFFSET('RES Assumptions T15'!$D56,0,MATCH(VLOOKUP('RES Assumptions'!L$2,'RES Assumptions T15'!$V$3:$W$35,2,FALSE),'RES Assumptions T15'!$E$2:$S$2,0))</f>
        <v>0</v>
      </c>
      <c r="M56" s="14">
        <f ca="1">OFFSET('RES Assumptions T15'!$D56,0,MATCH(VLOOKUP('RES Assumptions'!M$2,'RES Assumptions T15'!$V$3:$W$35,2,FALSE),'RES Assumptions T15'!$E$2:$S$2,0))</f>
        <v>0</v>
      </c>
      <c r="N56" s="14">
        <f ca="1">OFFSET('RES Assumptions T15'!$D56,0,MATCH(VLOOKUP('RES Assumptions'!N$2,'RES Assumptions T15'!$V$3:$W$35,2,FALSE),'RES Assumptions T15'!$E$2:$S$2,0))</f>
        <v>0</v>
      </c>
      <c r="O56" s="14">
        <f ca="1">OFFSET('RES Assumptions T15'!$D56,0,MATCH(VLOOKUP('RES Assumptions'!O$2,'RES Assumptions T15'!$V$3:$W$35,2,FALSE),'RES Assumptions T15'!$E$2:$S$2,0))</f>
        <v>0</v>
      </c>
      <c r="P56" s="14">
        <f ca="1">OFFSET('RES Assumptions T15'!$D56,0,MATCH(VLOOKUP('RES Assumptions'!P$2,'RES Assumptions T15'!$V$3:$W$35,2,FALSE),'RES Assumptions T15'!$E$2:$S$2,0))</f>
        <v>0</v>
      </c>
      <c r="Q56" s="14">
        <f ca="1">OFFSET('RES Assumptions T15'!$D56,0,MATCH(VLOOKUP('RES Assumptions'!Q$2,'RES Assumptions T15'!$V$3:$W$35,2,FALSE),'RES Assumptions T15'!$E$2:$S$2,0))</f>
        <v>0</v>
      </c>
      <c r="R56" s="14">
        <f ca="1">OFFSET('RES Assumptions T15'!$D56,0,MATCH(VLOOKUP('RES Assumptions'!R$2,'RES Assumptions T15'!$V$3:$W$35,2,FALSE),'RES Assumptions T15'!$E$2:$S$2,0))</f>
        <v>0</v>
      </c>
      <c r="S56" s="14">
        <f ca="1">OFFSET('RES Assumptions T15'!$D56,0,MATCH(VLOOKUP('RES Assumptions'!S$2,'RES Assumptions T15'!$V$3:$W$35,2,FALSE),'RES Assumptions T15'!$E$2:$S$2,0))</f>
        <v>0</v>
      </c>
      <c r="T56" s="14">
        <f ca="1">OFFSET('RES Assumptions T15'!$D56,0,MATCH(VLOOKUP('RES Assumptions'!T$2,'RES Assumptions T15'!$V$3:$W$35,2,FALSE),'RES Assumptions T15'!$E$2:$S$2,0))</f>
        <v>0</v>
      </c>
      <c r="U56" s="14">
        <f ca="1">OFFSET('RES Assumptions T15'!$D56,0,MATCH(VLOOKUP('RES Assumptions'!U$2,'RES Assumptions T15'!$V$3:$W$35,2,FALSE),'RES Assumptions T15'!$E$2:$S$2,0))</f>
        <v>0</v>
      </c>
      <c r="V56" s="14">
        <f ca="1">OFFSET('RES Assumptions T15'!$D56,0,MATCH(VLOOKUP('RES Assumptions'!V$2,'RES Assumptions T15'!$V$3:$W$35,2,FALSE),'RES Assumptions T15'!$E$2:$S$2,0))</f>
        <v>0</v>
      </c>
      <c r="W56" s="14">
        <f ca="1">OFFSET('RES Assumptions T15'!$D56,0,MATCH(VLOOKUP('RES Assumptions'!W$2,'RES Assumptions T15'!$V$3:$W$35,2,FALSE),'RES Assumptions T15'!$E$2:$S$2,0))</f>
        <v>0</v>
      </c>
      <c r="X56" s="14">
        <f ca="1">OFFSET('RES Assumptions T15'!$D56,0,MATCH(VLOOKUP('RES Assumptions'!X$2,'RES Assumptions T15'!$V$3:$W$35,2,FALSE),'RES Assumptions T15'!$E$2:$S$2,0))</f>
        <v>0</v>
      </c>
      <c r="Y56" s="14">
        <f ca="1">OFFSET('RES Assumptions T15'!$D56,0,MATCH(VLOOKUP('RES Assumptions'!Y$2,'RES Assumptions T15'!$V$3:$W$35,2,FALSE),'RES Assumptions T15'!$E$2:$S$2,0))</f>
        <v>0</v>
      </c>
      <c r="Z56" s="14">
        <f ca="1">OFFSET('RES Assumptions T15'!$D56,0,MATCH(VLOOKUP('RES Assumptions'!Z$2,'RES Assumptions T15'!$V$3:$W$35,2,FALSE),'RES Assumptions T15'!$E$2:$S$2,0))</f>
        <v>0</v>
      </c>
      <c r="AA56" s="14">
        <f ca="1">OFFSET('RES Assumptions T15'!$D56,0,MATCH(VLOOKUP('RES Assumptions'!AA$2,'RES Assumptions T15'!$V$3:$W$35,2,FALSE),'RES Assumptions T15'!$E$2:$S$2,0))</f>
        <v>0</v>
      </c>
      <c r="AB56" s="14">
        <f ca="1">OFFSET('RES Assumptions T15'!$D56,0,MATCH(VLOOKUP('RES Assumptions'!AB$2,'RES Assumptions T15'!$V$3:$W$35,2,FALSE),'RES Assumptions T15'!$E$2:$S$2,0))</f>
        <v>0</v>
      </c>
      <c r="AC56" s="14">
        <f ca="1">OFFSET('RES Assumptions T15'!$D56,0,MATCH(VLOOKUP('RES Assumptions'!AC$2,'RES Assumptions T15'!$V$3:$W$35,2,FALSE),'RES Assumptions T15'!$E$2:$S$2,0))</f>
        <v>0</v>
      </c>
      <c r="AD56" s="14">
        <f ca="1">OFFSET('RES Assumptions T15'!$D56,0,MATCH(VLOOKUP('RES Assumptions'!AD$2,'RES Assumptions T15'!$V$3:$W$35,2,FALSE),'RES Assumptions T15'!$E$2:$S$2,0))</f>
        <v>0</v>
      </c>
      <c r="AE56" s="14">
        <f ca="1">OFFSET('RES Assumptions T15'!$D56,0,MATCH(VLOOKUP('RES Assumptions'!AE$2,'RES Assumptions T15'!$V$3:$W$35,2,FALSE),'RES Assumptions T15'!$E$2:$S$2,0))</f>
        <v>0</v>
      </c>
      <c r="AF56" s="14">
        <f ca="1">OFFSET('RES Assumptions T15'!$D56,0,MATCH(VLOOKUP('RES Assumptions'!AF$2,'RES Assumptions T15'!$V$3:$W$35,2,FALSE),'RES Assumptions T15'!$E$2:$S$2,0))</f>
        <v>0</v>
      </c>
      <c r="AG56" s="14">
        <f ca="1">OFFSET('RES Assumptions T15'!$D56,0,MATCH(VLOOKUP('RES Assumptions'!AG$2,'RES Assumptions T15'!$V$3:$W$35,2,FALSE),'RES Assumptions T15'!$E$2:$S$2,0))</f>
        <v>0</v>
      </c>
      <c r="AH56" s="14">
        <f ca="1">OFFSET('RES Assumptions T15'!$D56,0,MATCH(VLOOKUP('RES Assumptions'!AH$2,'RES Assumptions T15'!$V$3:$W$35,2,FALSE),'RES Assumptions T15'!$E$2:$S$2,0))</f>
        <v>0</v>
      </c>
      <c r="AJ56" s="8"/>
      <c r="AK56" s="10">
        <f ca="1">IFERROR(SUMIFS('RES balance'!E$5:E$25,'RES balance'!$D$5:$D$25,'RES Assumptions'!$A56)*E56,"")</f>
        <v>0</v>
      </c>
      <c r="AL56" s="10">
        <f ca="1">IFERROR(SUMIFS('RES balance'!F$5:F$25,'RES balance'!$D$5:$D$25,'RES Assumptions'!$A56)*F56,"")</f>
        <v>0</v>
      </c>
      <c r="AM56" s="10">
        <f ca="1">IFERROR(SUMIFS('RES balance'!G$5:G$25,'RES balance'!$D$5:$D$25,'RES Assumptions'!$A56)*G56,"")</f>
        <v>0</v>
      </c>
      <c r="AN56" s="10">
        <f ca="1">IFERROR(SUMIFS('RES balance'!H$5:H$25,'RES balance'!$D$5:$D$25,'RES Assumptions'!$A56)*H56,"")</f>
        <v>0</v>
      </c>
      <c r="AO56" s="10">
        <f ca="1">IFERROR(SUMIFS('RES balance'!I$5:I$25,'RES balance'!$D$5:$D$25,'RES Assumptions'!$A56)*I56,"")</f>
        <v>0</v>
      </c>
      <c r="AP56" s="10">
        <f ca="1">IFERROR(SUMIFS('RES balance'!J$5:J$25,'RES balance'!$D$5:$D$25,'RES Assumptions'!$A56)*J56,"")</f>
        <v>0</v>
      </c>
      <c r="AQ56" s="10">
        <f ca="1">IFERROR(SUMIFS('RES balance'!K$5:K$25,'RES balance'!$D$5:$D$25,'RES Assumptions'!$A56)*K56,"")</f>
        <v>0</v>
      </c>
      <c r="AR56" s="10">
        <f ca="1">IFERROR(SUMIFS('RES balance'!L$5:L$25,'RES balance'!$D$5:$D$25,'RES Assumptions'!$A56)*L56,"")</f>
        <v>0</v>
      </c>
      <c r="AS56" s="10">
        <f ca="1">IFERROR(SUMIFS('RES balance'!M$5:M$25,'RES balance'!$D$5:$D$25,'RES Assumptions'!$A56)*M56,"")</f>
        <v>0</v>
      </c>
      <c r="AT56" s="10">
        <f ca="1">IFERROR(SUMIFS('RES balance'!N$5:N$25,'RES balance'!$D$5:$D$25,'RES Assumptions'!$A56)*N56,"")</f>
        <v>0</v>
      </c>
      <c r="AU56" s="10">
        <f ca="1">IFERROR(SUMIFS('RES balance'!O$5:O$25,'RES balance'!$D$5:$D$25,'RES Assumptions'!$A56)*O56,"")</f>
        <v>0</v>
      </c>
      <c r="AV56" s="10">
        <f ca="1">IFERROR(SUMIFS('RES balance'!P$5:P$25,'RES balance'!$D$5:$D$25,'RES Assumptions'!$A56)*P56,"")</f>
        <v>0</v>
      </c>
      <c r="AW56" s="10">
        <f ca="1">IFERROR(SUMIFS('RES balance'!Q$5:Q$25,'RES balance'!$D$5:$D$25,'RES Assumptions'!$A56)*Q56,"")</f>
        <v>0</v>
      </c>
      <c r="AX56" s="10">
        <f ca="1">IFERROR(SUMIFS('RES balance'!R$5:R$25,'RES balance'!$D$5:$D$25,'RES Assumptions'!$A56)*R56,"")</f>
        <v>0</v>
      </c>
      <c r="AY56" s="10">
        <f ca="1">IFERROR(SUMIFS('RES balance'!S$5:S$25,'RES balance'!$D$5:$D$25,'RES Assumptions'!$A56)*S56,"")</f>
        <v>0</v>
      </c>
      <c r="AZ56" s="10">
        <f ca="1">IFERROR(SUMIFS('RES balance'!T$5:T$25,'RES balance'!$D$5:$D$25,'RES Assumptions'!$A56)*T56,"")</f>
        <v>0</v>
      </c>
      <c r="BA56" s="10">
        <f ca="1">IFERROR(SUMIFS('RES balance'!U$5:U$25,'RES balance'!$D$5:$D$25,'RES Assumptions'!$A56)*U56,"")</f>
        <v>0</v>
      </c>
      <c r="BB56" s="10">
        <f ca="1">IFERROR(SUMIFS('RES balance'!V$5:V$25,'RES balance'!$D$5:$D$25,'RES Assumptions'!$A56)*V56,"")</f>
        <v>0</v>
      </c>
      <c r="BC56" s="10">
        <f ca="1">IFERROR(SUMIFS('RES balance'!W$5:W$25,'RES balance'!$D$5:$D$25,'RES Assumptions'!$A56)*W56,"")</f>
        <v>0</v>
      </c>
      <c r="BD56" s="10">
        <f ca="1">IFERROR(SUMIFS('RES balance'!X$5:X$25,'RES balance'!$D$5:$D$25,'RES Assumptions'!$A56)*X56,"")</f>
        <v>0</v>
      </c>
      <c r="BE56" s="10">
        <f ca="1">IFERROR(SUMIFS('RES balance'!Y$5:Y$25,'RES balance'!$D$5:$D$25,'RES Assumptions'!$A56)*Y56,"")</f>
        <v>0</v>
      </c>
      <c r="BF56" s="10">
        <f ca="1">IFERROR(SUMIFS('RES balance'!Z$5:Z$25,'RES balance'!$D$5:$D$25,'RES Assumptions'!$A56)*Z56,"")</f>
        <v>0</v>
      </c>
      <c r="BG56" s="10">
        <f ca="1">IFERROR(SUMIFS('RES balance'!AA$5:AA$25,'RES balance'!$D$5:$D$25,'RES Assumptions'!$A56)*AA56,"")</f>
        <v>0</v>
      </c>
      <c r="BH56" s="10">
        <f ca="1">IFERROR(SUMIFS('RES balance'!AB$5:AB$25,'RES balance'!$D$5:$D$25,'RES Assumptions'!$A56)*AB56,"")</f>
        <v>0</v>
      </c>
      <c r="BI56" s="10">
        <f ca="1">IFERROR(SUMIFS('RES balance'!AC$5:AC$25,'RES balance'!$D$5:$D$25,'RES Assumptions'!$A56)*AC56,"")</f>
        <v>0</v>
      </c>
      <c r="BJ56" s="10">
        <f ca="1">IFERROR(SUMIFS('RES balance'!AD$5:AD$25,'RES balance'!$D$5:$D$25,'RES Assumptions'!$A56)*AD56,"")</f>
        <v>0</v>
      </c>
      <c r="BK56" s="10">
        <f ca="1">IFERROR(SUMIFS('RES balance'!AE$5:AE$25,'RES balance'!$D$5:$D$25,'RES Assumptions'!$A56)*AE56,"")</f>
        <v>0</v>
      </c>
      <c r="BL56" s="10">
        <f ca="1">IFERROR(SUMIFS('RES balance'!AF$5:AF$25,'RES balance'!$D$5:$D$25,'RES Assumptions'!$A56)*AF56,"")</f>
        <v>0</v>
      </c>
      <c r="BM56" s="10">
        <f ca="1">IFERROR(SUMIFS('RES balance'!AG$5:AG$25,'RES balance'!$D$5:$D$25,'RES Assumptions'!$A56)*AG56,"")</f>
        <v>0</v>
      </c>
      <c r="BN56" s="10">
        <f ca="1">IFERROR(SUMIFS('RES balance'!AH$5:AH$25,'RES balance'!$D$5:$D$25,'RES Assumptions'!$A56)*AH56,"")</f>
        <v>0</v>
      </c>
    </row>
    <row r="57" spans="1:66" x14ac:dyDescent="0.45">
      <c r="A57" s="8" t="str">
        <f>VLOOKUP(C57,'RES balance'!$AL$5:$AM$25,2,FALSE)</f>
        <v>RESGEO</v>
      </c>
      <c r="B57" s="36"/>
      <c r="C57" s="20" t="s">
        <v>80</v>
      </c>
      <c r="D57" s="21" t="s">
        <v>62</v>
      </c>
      <c r="E57" s="14">
        <f ca="1">OFFSET('RES Assumptions T15'!$D57,0,MATCH(VLOOKUP('RES Assumptions'!E$2,'RES Assumptions T15'!$V$3:$W$35,2,FALSE),'RES Assumptions T15'!$E$2:$S$2,0))</f>
        <v>1</v>
      </c>
      <c r="F57" s="14">
        <f ca="1">OFFSET('RES Assumptions T15'!$D57,0,MATCH(VLOOKUP('RES Assumptions'!F$2,'RES Assumptions T15'!$V$3:$W$35,2,FALSE),'RES Assumptions T15'!$E$2:$S$2,0))</f>
        <v>1</v>
      </c>
      <c r="G57" s="14">
        <f ca="1">OFFSET('RES Assumptions T15'!$D57,0,MATCH(VLOOKUP('RES Assumptions'!G$2,'RES Assumptions T15'!$V$3:$W$35,2,FALSE),'RES Assumptions T15'!$E$2:$S$2,0))</f>
        <v>1</v>
      </c>
      <c r="H57" s="14">
        <f ca="1">OFFSET('RES Assumptions T15'!$D57,0,MATCH(VLOOKUP('RES Assumptions'!H$2,'RES Assumptions T15'!$V$3:$W$35,2,FALSE),'RES Assumptions T15'!$E$2:$S$2,0))</f>
        <v>1</v>
      </c>
      <c r="I57" s="14">
        <f ca="1">OFFSET('RES Assumptions T15'!$D57,0,MATCH(VLOOKUP('RES Assumptions'!I$2,'RES Assumptions T15'!$V$3:$W$35,2,FALSE),'RES Assumptions T15'!$E$2:$S$2,0))</f>
        <v>1</v>
      </c>
      <c r="J57" s="14">
        <f ca="1">OFFSET('RES Assumptions T15'!$D57,0,MATCH(VLOOKUP('RES Assumptions'!J$2,'RES Assumptions T15'!$V$3:$W$35,2,FALSE),'RES Assumptions T15'!$E$2:$S$2,0))</f>
        <v>1</v>
      </c>
      <c r="K57" s="14">
        <f ca="1">OFFSET('RES Assumptions T15'!$D57,0,MATCH(VLOOKUP('RES Assumptions'!K$2,'RES Assumptions T15'!$V$3:$W$35,2,FALSE),'RES Assumptions T15'!$E$2:$S$2,0))</f>
        <v>1</v>
      </c>
      <c r="L57" s="14">
        <f ca="1">OFFSET('RES Assumptions T15'!$D57,0,MATCH(VLOOKUP('RES Assumptions'!L$2,'RES Assumptions T15'!$V$3:$W$35,2,FALSE),'RES Assumptions T15'!$E$2:$S$2,0))</f>
        <v>1</v>
      </c>
      <c r="M57" s="14">
        <f ca="1">OFFSET('RES Assumptions T15'!$D57,0,MATCH(VLOOKUP('RES Assumptions'!M$2,'RES Assumptions T15'!$V$3:$W$35,2,FALSE),'RES Assumptions T15'!$E$2:$S$2,0))</f>
        <v>1</v>
      </c>
      <c r="N57" s="14">
        <f ca="1">OFFSET('RES Assumptions T15'!$D57,0,MATCH(VLOOKUP('RES Assumptions'!N$2,'RES Assumptions T15'!$V$3:$W$35,2,FALSE),'RES Assumptions T15'!$E$2:$S$2,0))</f>
        <v>1</v>
      </c>
      <c r="O57" s="14">
        <f ca="1">OFFSET('RES Assumptions T15'!$D57,0,MATCH(VLOOKUP('RES Assumptions'!O$2,'RES Assumptions T15'!$V$3:$W$35,2,FALSE),'RES Assumptions T15'!$E$2:$S$2,0))</f>
        <v>1</v>
      </c>
      <c r="P57" s="14">
        <f ca="1">OFFSET('RES Assumptions T15'!$D57,0,MATCH(VLOOKUP('RES Assumptions'!P$2,'RES Assumptions T15'!$V$3:$W$35,2,FALSE),'RES Assumptions T15'!$E$2:$S$2,0))</f>
        <v>1</v>
      </c>
      <c r="Q57" s="14">
        <f ca="1">OFFSET('RES Assumptions T15'!$D57,0,MATCH(VLOOKUP('RES Assumptions'!Q$2,'RES Assumptions T15'!$V$3:$W$35,2,FALSE),'RES Assumptions T15'!$E$2:$S$2,0))</f>
        <v>1</v>
      </c>
      <c r="R57" s="14">
        <f ca="1">OFFSET('RES Assumptions T15'!$D57,0,MATCH(VLOOKUP('RES Assumptions'!R$2,'RES Assumptions T15'!$V$3:$W$35,2,FALSE),'RES Assumptions T15'!$E$2:$S$2,0))</f>
        <v>1</v>
      </c>
      <c r="S57" s="14">
        <f ca="1">OFFSET('RES Assumptions T15'!$D57,0,MATCH(VLOOKUP('RES Assumptions'!S$2,'RES Assumptions T15'!$V$3:$W$35,2,FALSE),'RES Assumptions T15'!$E$2:$S$2,0))</f>
        <v>1</v>
      </c>
      <c r="T57" s="14">
        <f ca="1">OFFSET('RES Assumptions T15'!$D57,0,MATCH(VLOOKUP('RES Assumptions'!T$2,'RES Assumptions T15'!$V$3:$W$35,2,FALSE),'RES Assumptions T15'!$E$2:$S$2,0))</f>
        <v>1</v>
      </c>
      <c r="U57" s="14">
        <f ca="1">OFFSET('RES Assumptions T15'!$D57,0,MATCH(VLOOKUP('RES Assumptions'!U$2,'RES Assumptions T15'!$V$3:$W$35,2,FALSE),'RES Assumptions T15'!$E$2:$S$2,0))</f>
        <v>1</v>
      </c>
      <c r="V57" s="14">
        <f ca="1">OFFSET('RES Assumptions T15'!$D57,0,MATCH(VLOOKUP('RES Assumptions'!V$2,'RES Assumptions T15'!$V$3:$W$35,2,FALSE),'RES Assumptions T15'!$E$2:$S$2,0))</f>
        <v>1</v>
      </c>
      <c r="W57" s="14">
        <f ca="1">OFFSET('RES Assumptions T15'!$D57,0,MATCH(VLOOKUP('RES Assumptions'!W$2,'RES Assumptions T15'!$V$3:$W$35,2,FALSE),'RES Assumptions T15'!$E$2:$S$2,0))</f>
        <v>1</v>
      </c>
      <c r="X57" s="14">
        <f ca="1">OFFSET('RES Assumptions T15'!$D57,0,MATCH(VLOOKUP('RES Assumptions'!X$2,'RES Assumptions T15'!$V$3:$W$35,2,FALSE),'RES Assumptions T15'!$E$2:$S$2,0))</f>
        <v>1</v>
      </c>
      <c r="Y57" s="14">
        <f ca="1">OFFSET('RES Assumptions T15'!$D57,0,MATCH(VLOOKUP('RES Assumptions'!Y$2,'RES Assumptions T15'!$V$3:$W$35,2,FALSE),'RES Assumptions T15'!$E$2:$S$2,0))</f>
        <v>1</v>
      </c>
      <c r="Z57" s="14">
        <f ca="1">OFFSET('RES Assumptions T15'!$D57,0,MATCH(VLOOKUP('RES Assumptions'!Z$2,'RES Assumptions T15'!$V$3:$W$35,2,FALSE),'RES Assumptions T15'!$E$2:$S$2,0))</f>
        <v>1</v>
      </c>
      <c r="AA57" s="14">
        <f ca="1">OFFSET('RES Assumptions T15'!$D57,0,MATCH(VLOOKUP('RES Assumptions'!AA$2,'RES Assumptions T15'!$V$3:$W$35,2,FALSE),'RES Assumptions T15'!$E$2:$S$2,0))</f>
        <v>1</v>
      </c>
      <c r="AB57" s="14">
        <f ca="1">OFFSET('RES Assumptions T15'!$D57,0,MATCH(VLOOKUP('RES Assumptions'!AB$2,'RES Assumptions T15'!$V$3:$W$35,2,FALSE),'RES Assumptions T15'!$E$2:$S$2,0))</f>
        <v>1</v>
      </c>
      <c r="AC57" s="14">
        <f ca="1">OFFSET('RES Assumptions T15'!$D57,0,MATCH(VLOOKUP('RES Assumptions'!AC$2,'RES Assumptions T15'!$V$3:$W$35,2,FALSE),'RES Assumptions T15'!$E$2:$S$2,0))</f>
        <v>1</v>
      </c>
      <c r="AD57" s="14">
        <f ca="1">OFFSET('RES Assumptions T15'!$D57,0,MATCH(VLOOKUP('RES Assumptions'!AD$2,'RES Assumptions T15'!$V$3:$W$35,2,FALSE),'RES Assumptions T15'!$E$2:$S$2,0))</f>
        <v>1</v>
      </c>
      <c r="AE57" s="14">
        <f ca="1">OFFSET('RES Assumptions T15'!$D57,0,MATCH(VLOOKUP('RES Assumptions'!AE$2,'RES Assumptions T15'!$V$3:$W$35,2,FALSE),'RES Assumptions T15'!$E$2:$S$2,0))</f>
        <v>1</v>
      </c>
      <c r="AF57" s="14">
        <f ca="1">OFFSET('RES Assumptions T15'!$D57,0,MATCH(VLOOKUP('RES Assumptions'!AF$2,'RES Assumptions T15'!$V$3:$W$35,2,FALSE),'RES Assumptions T15'!$E$2:$S$2,0))</f>
        <v>1</v>
      </c>
      <c r="AG57" s="14">
        <f ca="1">OFFSET('RES Assumptions T15'!$D57,0,MATCH(VLOOKUP('RES Assumptions'!AG$2,'RES Assumptions T15'!$V$3:$W$35,2,FALSE),'RES Assumptions T15'!$E$2:$S$2,0))</f>
        <v>1</v>
      </c>
      <c r="AH57" s="14">
        <f ca="1">OFFSET('RES Assumptions T15'!$D57,0,MATCH(VLOOKUP('RES Assumptions'!AH$2,'RES Assumptions T15'!$V$3:$W$35,2,FALSE),'RES Assumptions T15'!$E$2:$S$2,0))</f>
        <v>1</v>
      </c>
      <c r="AJ57" s="8"/>
      <c r="AK57" s="10">
        <f ca="1">IFERROR(SUMIFS('RES balance'!E$5:E$25,'RES balance'!$D$5:$D$25,'RES Assumptions'!$A57)*E57,"")</f>
        <v>0</v>
      </c>
      <c r="AL57" s="10">
        <f ca="1">IFERROR(SUMIFS('RES balance'!F$5:F$25,'RES balance'!$D$5:$D$25,'RES Assumptions'!$A57)*F57,"")</f>
        <v>0</v>
      </c>
      <c r="AM57" s="10">
        <f ca="1">IFERROR(SUMIFS('RES balance'!G$5:G$25,'RES balance'!$D$5:$D$25,'RES Assumptions'!$A57)*G57,"")</f>
        <v>0</v>
      </c>
      <c r="AN57" s="10">
        <f ca="1">IFERROR(SUMIFS('RES balance'!H$5:H$25,'RES balance'!$D$5:$D$25,'RES Assumptions'!$A57)*H57,"")</f>
        <v>0.26520028559999997</v>
      </c>
      <c r="AO57" s="10">
        <f ca="1">IFERROR(SUMIFS('RES balance'!I$5:I$25,'RES balance'!$D$5:$D$25,'RES Assumptions'!$A57)*I57,"")</f>
        <v>3.9808889891999999</v>
      </c>
      <c r="AP57" s="10">
        <f ca="1">IFERROR(SUMIFS('RES balance'!J$5:J$25,'RES balance'!$D$5:$D$25,'RES Assumptions'!$A57)*J57,"")</f>
        <v>0</v>
      </c>
      <c r="AQ57" s="10">
        <f ca="1">IFERROR(SUMIFS('RES balance'!K$5:K$25,'RES balance'!$D$5:$D$25,'RES Assumptions'!$A57)*K57,"")</f>
        <v>0.20900086919999999</v>
      </c>
      <c r="AR57" s="10">
        <f ca="1">IFERROR(SUMIFS('RES balance'!L$5:L$25,'RES balance'!$D$5:$D$25,'RES Assumptions'!$A57)*L57,"")</f>
        <v>0</v>
      </c>
      <c r="AS57" s="10">
        <f ca="1">IFERROR(SUMIFS('RES balance'!M$5:M$25,'RES balance'!$D$5:$D$25,'RES Assumptions'!$A57)*M57,"")</f>
        <v>0</v>
      </c>
      <c r="AT57" s="10">
        <f ca="1">IFERROR(SUMIFS('RES balance'!N$5:N$25,'RES balance'!$D$5:$D$25,'RES Assumptions'!$A57)*N57,"")</f>
        <v>569.20048415999997</v>
      </c>
      <c r="AU57" s="10">
        <f ca="1">IFERROR(SUMIFS('RES balance'!O$5:O$25,'RES balance'!$D$5:$D$25,'RES Assumptions'!$A57)*O57,"")</f>
        <v>0</v>
      </c>
      <c r="AV57" s="10">
        <f ca="1">IFERROR(SUMIFS('RES balance'!P$5:P$25,'RES balance'!$D$5:$D$25,'RES Assumptions'!$A57)*P57,"")</f>
        <v>0.78779666159999995</v>
      </c>
      <c r="AW57" s="10">
        <f ca="1">IFERROR(SUMIFS('RES balance'!Q$5:Q$25,'RES balance'!$D$5:$D$25,'RES Assumptions'!$A57)*Q57,"")</f>
        <v>0</v>
      </c>
      <c r="AX57" s="10">
        <f ca="1">IFERROR(SUMIFS('RES balance'!R$5:R$25,'RES balance'!$D$5:$D$25,'RES Assumptions'!$A57)*R57,"")</f>
        <v>3.9875083200000001E-2</v>
      </c>
      <c r="AY57" s="10">
        <f ca="1">IFERROR(SUMIFS('RES balance'!S$5:S$25,'RES balance'!$D$5:$D$25,'RES Assumptions'!$A57)*S57,"")</f>
        <v>0.1491380028</v>
      </c>
      <c r="AZ57" s="10">
        <f ca="1">IFERROR(SUMIFS('RES balance'!T$5:T$25,'RES balance'!$D$5:$D$25,'RES Assumptions'!$A57)*T57,"")</f>
        <v>3.8686032E-3</v>
      </c>
      <c r="BA57" s="10">
        <f ca="1">IFERROR(SUMIFS('RES balance'!U$5:U$25,'RES balance'!$D$5:$D$25,'RES Assumptions'!$A57)*U57,"")</f>
        <v>55.558835999999999</v>
      </c>
      <c r="BB57" s="10">
        <f ca="1">IFERROR(SUMIFS('RES balance'!V$5:V$25,'RES balance'!$D$5:$D$25,'RES Assumptions'!$A57)*V57,"")</f>
        <v>0</v>
      </c>
      <c r="BC57" s="10">
        <f ca="1">IFERROR(SUMIFS('RES balance'!W$5:W$25,'RES balance'!$D$5:$D$25,'RES Assumptions'!$A57)*W57,"")</f>
        <v>1.0600014635999999</v>
      </c>
      <c r="BD57" s="10">
        <f ca="1">IFERROR(SUMIFS('RES balance'!X$5:X$25,'RES balance'!$D$5:$D$25,'RES Assumptions'!$A57)*X57,"")</f>
        <v>0</v>
      </c>
      <c r="BE57" s="10">
        <f ca="1">IFERROR(SUMIFS('RES balance'!Y$5:Y$25,'RES balance'!$D$5:$D$25,'RES Assumptions'!$A57)*Y57,"")</f>
        <v>0</v>
      </c>
      <c r="BF57" s="10">
        <f ca="1">IFERROR(SUMIFS('RES balance'!Z$5:Z$25,'RES balance'!$D$5:$D$25,'RES Assumptions'!$A57)*Z57,"")</f>
        <v>0</v>
      </c>
      <c r="BG57" s="10">
        <f ca="1">IFERROR(SUMIFS('RES balance'!AA$5:AA$25,'RES balance'!$D$5:$D$25,'RES Assumptions'!$A57)*AA57,"")</f>
        <v>0</v>
      </c>
      <c r="BH57" s="10">
        <f ca="1">IFERROR(SUMIFS('RES balance'!AB$5:AB$25,'RES balance'!$D$5:$D$25,'RES Assumptions'!$A57)*AB57,"")</f>
        <v>0.49400053199999999</v>
      </c>
      <c r="BI57" s="10">
        <f ca="1">IFERROR(SUMIFS('RES balance'!AC$5:AC$25,'RES balance'!$D$5:$D$25,'RES Assumptions'!$A57)*AC57,"")</f>
        <v>0</v>
      </c>
      <c r="BJ57" s="10">
        <f ca="1">IFERROR(SUMIFS('RES balance'!AD$5:AD$25,'RES balance'!$D$5:$D$25,'RES Assumptions'!$A57)*AD57,"")</f>
        <v>0</v>
      </c>
      <c r="BK57" s="10">
        <f ca="1">IFERROR(SUMIFS('RES balance'!AE$5:AE$25,'RES balance'!$D$5:$D$25,'RES Assumptions'!$A57)*AE57,"")</f>
        <v>0</v>
      </c>
      <c r="BL57" s="10">
        <f ca="1">IFERROR(SUMIFS('RES balance'!AF$5:AF$25,'RES balance'!$D$5:$D$25,'RES Assumptions'!$A57)*AF57,"")</f>
        <v>1.6998408E-2</v>
      </c>
      <c r="BM57" s="10">
        <f ca="1">IFERROR(SUMIFS('RES balance'!AG$5:AG$25,'RES balance'!$D$5:$D$25,'RES Assumptions'!$A57)*AG57,"")</f>
        <v>14.096390381999999</v>
      </c>
      <c r="BN57" s="10">
        <f ca="1">IFERROR(SUMIFS('RES balance'!AH$5:AH$25,'RES balance'!$D$5:$D$25,'RES Assumptions'!$A57)*AH57,"")</f>
        <v>0</v>
      </c>
    </row>
    <row r="58" spans="1:66" x14ac:dyDescent="0.45">
      <c r="A58" s="8" t="str">
        <f>VLOOKUP(C58,'RES balance'!$AL$5:$AM$25,2,FALSE)</f>
        <v>RESGEO</v>
      </c>
      <c r="B58" s="36"/>
      <c r="C58" s="20" t="s">
        <v>80</v>
      </c>
      <c r="D58" s="21" t="s">
        <v>63</v>
      </c>
      <c r="E58" s="14">
        <f ca="1">OFFSET('RES Assumptions T15'!$D58,0,MATCH(VLOOKUP('RES Assumptions'!E$2,'RES Assumptions T15'!$V$3:$W$35,2,FALSE),'RES Assumptions T15'!$E$2:$S$2,0))</f>
        <v>0</v>
      </c>
      <c r="F58" s="14">
        <f ca="1">OFFSET('RES Assumptions T15'!$D58,0,MATCH(VLOOKUP('RES Assumptions'!F$2,'RES Assumptions T15'!$V$3:$W$35,2,FALSE),'RES Assumptions T15'!$E$2:$S$2,0))</f>
        <v>0</v>
      </c>
      <c r="G58" s="14">
        <f ca="1">OFFSET('RES Assumptions T15'!$D58,0,MATCH(VLOOKUP('RES Assumptions'!G$2,'RES Assumptions T15'!$V$3:$W$35,2,FALSE),'RES Assumptions T15'!$E$2:$S$2,0))</f>
        <v>0</v>
      </c>
      <c r="H58" s="14">
        <f ca="1">OFFSET('RES Assumptions T15'!$D58,0,MATCH(VLOOKUP('RES Assumptions'!H$2,'RES Assumptions T15'!$V$3:$W$35,2,FALSE),'RES Assumptions T15'!$E$2:$S$2,0))</f>
        <v>0</v>
      </c>
      <c r="I58" s="14">
        <f ca="1">OFFSET('RES Assumptions T15'!$D58,0,MATCH(VLOOKUP('RES Assumptions'!I$2,'RES Assumptions T15'!$V$3:$W$35,2,FALSE),'RES Assumptions T15'!$E$2:$S$2,0))</f>
        <v>0</v>
      </c>
      <c r="J58" s="14">
        <f ca="1">OFFSET('RES Assumptions T15'!$D58,0,MATCH(VLOOKUP('RES Assumptions'!J$2,'RES Assumptions T15'!$V$3:$W$35,2,FALSE),'RES Assumptions T15'!$E$2:$S$2,0))</f>
        <v>0</v>
      </c>
      <c r="K58" s="14">
        <f ca="1">OFFSET('RES Assumptions T15'!$D58,0,MATCH(VLOOKUP('RES Assumptions'!K$2,'RES Assumptions T15'!$V$3:$W$35,2,FALSE),'RES Assumptions T15'!$E$2:$S$2,0))</f>
        <v>0</v>
      </c>
      <c r="L58" s="14">
        <f ca="1">OFFSET('RES Assumptions T15'!$D58,0,MATCH(VLOOKUP('RES Assumptions'!L$2,'RES Assumptions T15'!$V$3:$W$35,2,FALSE),'RES Assumptions T15'!$E$2:$S$2,0))</f>
        <v>0</v>
      </c>
      <c r="M58" s="14">
        <f ca="1">OFFSET('RES Assumptions T15'!$D58,0,MATCH(VLOOKUP('RES Assumptions'!M$2,'RES Assumptions T15'!$V$3:$W$35,2,FALSE),'RES Assumptions T15'!$E$2:$S$2,0))</f>
        <v>0</v>
      </c>
      <c r="N58" s="14">
        <f ca="1">OFFSET('RES Assumptions T15'!$D58,0,MATCH(VLOOKUP('RES Assumptions'!N$2,'RES Assumptions T15'!$V$3:$W$35,2,FALSE),'RES Assumptions T15'!$E$2:$S$2,0))</f>
        <v>0</v>
      </c>
      <c r="O58" s="14">
        <f ca="1">OFFSET('RES Assumptions T15'!$D58,0,MATCH(VLOOKUP('RES Assumptions'!O$2,'RES Assumptions T15'!$V$3:$W$35,2,FALSE),'RES Assumptions T15'!$E$2:$S$2,0))</f>
        <v>0</v>
      </c>
      <c r="P58" s="14">
        <f ca="1">OFFSET('RES Assumptions T15'!$D58,0,MATCH(VLOOKUP('RES Assumptions'!P$2,'RES Assumptions T15'!$V$3:$W$35,2,FALSE),'RES Assumptions T15'!$E$2:$S$2,0))</f>
        <v>0</v>
      </c>
      <c r="Q58" s="14">
        <f ca="1">OFFSET('RES Assumptions T15'!$D58,0,MATCH(VLOOKUP('RES Assumptions'!Q$2,'RES Assumptions T15'!$V$3:$W$35,2,FALSE),'RES Assumptions T15'!$E$2:$S$2,0))</f>
        <v>0</v>
      </c>
      <c r="R58" s="14">
        <f ca="1">OFFSET('RES Assumptions T15'!$D58,0,MATCH(VLOOKUP('RES Assumptions'!R$2,'RES Assumptions T15'!$V$3:$W$35,2,FALSE),'RES Assumptions T15'!$E$2:$S$2,0))</f>
        <v>0</v>
      </c>
      <c r="S58" s="14">
        <f ca="1">OFFSET('RES Assumptions T15'!$D58,0,MATCH(VLOOKUP('RES Assumptions'!S$2,'RES Assumptions T15'!$V$3:$W$35,2,FALSE),'RES Assumptions T15'!$E$2:$S$2,0))</f>
        <v>0</v>
      </c>
      <c r="T58" s="14">
        <f ca="1">OFFSET('RES Assumptions T15'!$D58,0,MATCH(VLOOKUP('RES Assumptions'!T$2,'RES Assumptions T15'!$V$3:$W$35,2,FALSE),'RES Assumptions T15'!$E$2:$S$2,0))</f>
        <v>0</v>
      </c>
      <c r="U58" s="14">
        <f ca="1">OFFSET('RES Assumptions T15'!$D58,0,MATCH(VLOOKUP('RES Assumptions'!U$2,'RES Assumptions T15'!$V$3:$W$35,2,FALSE),'RES Assumptions T15'!$E$2:$S$2,0))</f>
        <v>0</v>
      </c>
      <c r="V58" s="14">
        <f ca="1">OFFSET('RES Assumptions T15'!$D58,0,MATCH(VLOOKUP('RES Assumptions'!V$2,'RES Assumptions T15'!$V$3:$W$35,2,FALSE),'RES Assumptions T15'!$E$2:$S$2,0))</f>
        <v>0</v>
      </c>
      <c r="W58" s="14">
        <f ca="1">OFFSET('RES Assumptions T15'!$D58,0,MATCH(VLOOKUP('RES Assumptions'!W$2,'RES Assumptions T15'!$V$3:$W$35,2,FALSE),'RES Assumptions T15'!$E$2:$S$2,0))</f>
        <v>0</v>
      </c>
      <c r="X58" s="14">
        <f ca="1">OFFSET('RES Assumptions T15'!$D58,0,MATCH(VLOOKUP('RES Assumptions'!X$2,'RES Assumptions T15'!$V$3:$W$35,2,FALSE),'RES Assumptions T15'!$E$2:$S$2,0))</f>
        <v>0</v>
      </c>
      <c r="Y58" s="14">
        <f ca="1">OFFSET('RES Assumptions T15'!$D58,0,MATCH(VLOOKUP('RES Assumptions'!Y$2,'RES Assumptions T15'!$V$3:$W$35,2,FALSE),'RES Assumptions T15'!$E$2:$S$2,0))</f>
        <v>0</v>
      </c>
      <c r="Z58" s="14">
        <f ca="1">OFFSET('RES Assumptions T15'!$D58,0,MATCH(VLOOKUP('RES Assumptions'!Z$2,'RES Assumptions T15'!$V$3:$W$35,2,FALSE),'RES Assumptions T15'!$E$2:$S$2,0))</f>
        <v>0</v>
      </c>
      <c r="AA58" s="14">
        <f ca="1">OFFSET('RES Assumptions T15'!$D58,0,MATCH(VLOOKUP('RES Assumptions'!AA$2,'RES Assumptions T15'!$V$3:$W$35,2,FALSE),'RES Assumptions T15'!$E$2:$S$2,0))</f>
        <v>0</v>
      </c>
      <c r="AB58" s="14">
        <f ca="1">OFFSET('RES Assumptions T15'!$D58,0,MATCH(VLOOKUP('RES Assumptions'!AB$2,'RES Assumptions T15'!$V$3:$W$35,2,FALSE),'RES Assumptions T15'!$E$2:$S$2,0))</f>
        <v>0</v>
      </c>
      <c r="AC58" s="14">
        <f ca="1">OFFSET('RES Assumptions T15'!$D58,0,MATCH(VLOOKUP('RES Assumptions'!AC$2,'RES Assumptions T15'!$V$3:$W$35,2,FALSE),'RES Assumptions T15'!$E$2:$S$2,0))</f>
        <v>0</v>
      </c>
      <c r="AD58" s="14">
        <f ca="1">OFFSET('RES Assumptions T15'!$D58,0,MATCH(VLOOKUP('RES Assumptions'!AD$2,'RES Assumptions T15'!$V$3:$W$35,2,FALSE),'RES Assumptions T15'!$E$2:$S$2,0))</f>
        <v>0</v>
      </c>
      <c r="AE58" s="14">
        <f ca="1">OFFSET('RES Assumptions T15'!$D58,0,MATCH(VLOOKUP('RES Assumptions'!AE$2,'RES Assumptions T15'!$V$3:$W$35,2,FALSE),'RES Assumptions T15'!$E$2:$S$2,0))</f>
        <v>0</v>
      </c>
      <c r="AF58" s="14">
        <f ca="1">OFFSET('RES Assumptions T15'!$D58,0,MATCH(VLOOKUP('RES Assumptions'!AF$2,'RES Assumptions T15'!$V$3:$W$35,2,FALSE),'RES Assumptions T15'!$E$2:$S$2,0))</f>
        <v>0</v>
      </c>
      <c r="AG58" s="14">
        <f ca="1">OFFSET('RES Assumptions T15'!$D58,0,MATCH(VLOOKUP('RES Assumptions'!AG$2,'RES Assumptions T15'!$V$3:$W$35,2,FALSE),'RES Assumptions T15'!$E$2:$S$2,0))</f>
        <v>0</v>
      </c>
      <c r="AH58" s="14">
        <f ca="1">OFFSET('RES Assumptions T15'!$D58,0,MATCH(VLOOKUP('RES Assumptions'!AH$2,'RES Assumptions T15'!$V$3:$W$35,2,FALSE),'RES Assumptions T15'!$E$2:$S$2,0))</f>
        <v>0</v>
      </c>
      <c r="AJ58" s="8"/>
      <c r="AK58" s="10">
        <f ca="1">IFERROR(SUMIFS('RES balance'!E$5:E$25,'RES balance'!$D$5:$D$25,'RES Assumptions'!$A58)*E58,"")</f>
        <v>0</v>
      </c>
      <c r="AL58" s="10">
        <f ca="1">IFERROR(SUMIFS('RES balance'!F$5:F$25,'RES balance'!$D$5:$D$25,'RES Assumptions'!$A58)*F58,"")</f>
        <v>0</v>
      </c>
      <c r="AM58" s="10">
        <f ca="1">IFERROR(SUMIFS('RES balance'!G$5:G$25,'RES balance'!$D$5:$D$25,'RES Assumptions'!$A58)*G58,"")</f>
        <v>0</v>
      </c>
      <c r="AN58" s="10">
        <f ca="1">IFERROR(SUMIFS('RES balance'!H$5:H$25,'RES balance'!$D$5:$D$25,'RES Assumptions'!$A58)*H58,"")</f>
        <v>0</v>
      </c>
      <c r="AO58" s="10">
        <f ca="1">IFERROR(SUMIFS('RES balance'!I$5:I$25,'RES balance'!$D$5:$D$25,'RES Assumptions'!$A58)*I58,"")</f>
        <v>0</v>
      </c>
      <c r="AP58" s="10">
        <f ca="1">IFERROR(SUMIFS('RES balance'!J$5:J$25,'RES balance'!$D$5:$D$25,'RES Assumptions'!$A58)*J58,"")</f>
        <v>0</v>
      </c>
      <c r="AQ58" s="10">
        <f ca="1">IFERROR(SUMIFS('RES balance'!K$5:K$25,'RES balance'!$D$5:$D$25,'RES Assumptions'!$A58)*K58,"")</f>
        <v>0</v>
      </c>
      <c r="AR58" s="10">
        <f ca="1">IFERROR(SUMIFS('RES balance'!L$5:L$25,'RES balance'!$D$5:$D$25,'RES Assumptions'!$A58)*L58,"")</f>
        <v>0</v>
      </c>
      <c r="AS58" s="10">
        <f ca="1">IFERROR(SUMIFS('RES balance'!M$5:M$25,'RES balance'!$D$5:$D$25,'RES Assumptions'!$A58)*M58,"")</f>
        <v>0</v>
      </c>
      <c r="AT58" s="10">
        <f ca="1">IFERROR(SUMIFS('RES balance'!N$5:N$25,'RES balance'!$D$5:$D$25,'RES Assumptions'!$A58)*N58,"")</f>
        <v>0</v>
      </c>
      <c r="AU58" s="10">
        <f ca="1">IFERROR(SUMIFS('RES balance'!O$5:O$25,'RES balance'!$D$5:$D$25,'RES Assumptions'!$A58)*O58,"")</f>
        <v>0</v>
      </c>
      <c r="AV58" s="10">
        <f ca="1">IFERROR(SUMIFS('RES balance'!P$5:P$25,'RES balance'!$D$5:$D$25,'RES Assumptions'!$A58)*P58,"")</f>
        <v>0</v>
      </c>
      <c r="AW58" s="10">
        <f ca="1">IFERROR(SUMIFS('RES balance'!Q$5:Q$25,'RES balance'!$D$5:$D$25,'RES Assumptions'!$A58)*Q58,"")</f>
        <v>0</v>
      </c>
      <c r="AX58" s="10">
        <f ca="1">IFERROR(SUMIFS('RES balance'!R$5:R$25,'RES balance'!$D$5:$D$25,'RES Assumptions'!$A58)*R58,"")</f>
        <v>0</v>
      </c>
      <c r="AY58" s="10">
        <f ca="1">IFERROR(SUMIFS('RES balance'!S$5:S$25,'RES balance'!$D$5:$D$25,'RES Assumptions'!$A58)*S58,"")</f>
        <v>0</v>
      </c>
      <c r="AZ58" s="10">
        <f ca="1">IFERROR(SUMIFS('RES balance'!T$5:T$25,'RES balance'!$D$5:$D$25,'RES Assumptions'!$A58)*T58,"")</f>
        <v>0</v>
      </c>
      <c r="BA58" s="10">
        <f ca="1">IFERROR(SUMIFS('RES balance'!U$5:U$25,'RES balance'!$D$5:$D$25,'RES Assumptions'!$A58)*U58,"")</f>
        <v>0</v>
      </c>
      <c r="BB58" s="10">
        <f ca="1">IFERROR(SUMIFS('RES balance'!V$5:V$25,'RES balance'!$D$5:$D$25,'RES Assumptions'!$A58)*V58,"")</f>
        <v>0</v>
      </c>
      <c r="BC58" s="10">
        <f ca="1">IFERROR(SUMIFS('RES balance'!W$5:W$25,'RES balance'!$D$5:$D$25,'RES Assumptions'!$A58)*W58,"")</f>
        <v>0</v>
      </c>
      <c r="BD58" s="10">
        <f ca="1">IFERROR(SUMIFS('RES balance'!X$5:X$25,'RES balance'!$D$5:$D$25,'RES Assumptions'!$A58)*X58,"")</f>
        <v>0</v>
      </c>
      <c r="BE58" s="10">
        <f ca="1">IFERROR(SUMIFS('RES balance'!Y$5:Y$25,'RES balance'!$D$5:$D$25,'RES Assumptions'!$A58)*Y58,"")</f>
        <v>0</v>
      </c>
      <c r="BF58" s="10">
        <f ca="1">IFERROR(SUMIFS('RES balance'!Z$5:Z$25,'RES balance'!$D$5:$D$25,'RES Assumptions'!$A58)*Z58,"")</f>
        <v>0</v>
      </c>
      <c r="BG58" s="10">
        <f ca="1">IFERROR(SUMIFS('RES balance'!AA$5:AA$25,'RES balance'!$D$5:$D$25,'RES Assumptions'!$A58)*AA58,"")</f>
        <v>0</v>
      </c>
      <c r="BH58" s="10">
        <f ca="1">IFERROR(SUMIFS('RES balance'!AB$5:AB$25,'RES balance'!$D$5:$D$25,'RES Assumptions'!$A58)*AB58,"")</f>
        <v>0</v>
      </c>
      <c r="BI58" s="10">
        <f ca="1">IFERROR(SUMIFS('RES balance'!AC$5:AC$25,'RES balance'!$D$5:$D$25,'RES Assumptions'!$A58)*AC58,"")</f>
        <v>0</v>
      </c>
      <c r="BJ58" s="10">
        <f ca="1">IFERROR(SUMIFS('RES balance'!AD$5:AD$25,'RES balance'!$D$5:$D$25,'RES Assumptions'!$A58)*AD58,"")</f>
        <v>0</v>
      </c>
      <c r="BK58" s="10">
        <f ca="1">IFERROR(SUMIFS('RES balance'!AE$5:AE$25,'RES balance'!$D$5:$D$25,'RES Assumptions'!$A58)*AE58,"")</f>
        <v>0</v>
      </c>
      <c r="BL58" s="10">
        <f ca="1">IFERROR(SUMIFS('RES balance'!AF$5:AF$25,'RES balance'!$D$5:$D$25,'RES Assumptions'!$A58)*AF58,"")</f>
        <v>0</v>
      </c>
      <c r="BM58" s="10">
        <f ca="1">IFERROR(SUMIFS('RES balance'!AG$5:AG$25,'RES balance'!$D$5:$D$25,'RES Assumptions'!$A58)*AG58,"")</f>
        <v>0</v>
      </c>
      <c r="BN58" s="10">
        <f ca="1">IFERROR(SUMIFS('RES balance'!AH$5:AH$25,'RES balance'!$D$5:$D$25,'RES Assumptions'!$A58)*AH58,"")</f>
        <v>0</v>
      </c>
    </row>
    <row r="59" spans="1:66" x14ac:dyDescent="0.45">
      <c r="A59" s="8" t="str">
        <f>VLOOKUP(C59,'RES balance'!$AL$5:$AM$25,2,FALSE)</f>
        <v>RESGEO</v>
      </c>
      <c r="B59" s="36"/>
      <c r="C59" s="20" t="s">
        <v>80</v>
      </c>
      <c r="D59" s="21" t="s">
        <v>64</v>
      </c>
      <c r="E59" s="14">
        <f ca="1">OFFSET('RES Assumptions T15'!$D59,0,MATCH(VLOOKUP('RES Assumptions'!E$2,'RES Assumptions T15'!$V$3:$W$35,2,FALSE),'RES Assumptions T15'!$E$2:$S$2,0))</f>
        <v>0</v>
      </c>
      <c r="F59" s="14">
        <f ca="1">OFFSET('RES Assumptions T15'!$D59,0,MATCH(VLOOKUP('RES Assumptions'!F$2,'RES Assumptions T15'!$V$3:$W$35,2,FALSE),'RES Assumptions T15'!$E$2:$S$2,0))</f>
        <v>0</v>
      </c>
      <c r="G59" s="14">
        <f ca="1">OFFSET('RES Assumptions T15'!$D59,0,MATCH(VLOOKUP('RES Assumptions'!G$2,'RES Assumptions T15'!$V$3:$W$35,2,FALSE),'RES Assumptions T15'!$E$2:$S$2,0))</f>
        <v>0</v>
      </c>
      <c r="H59" s="14">
        <f ca="1">OFFSET('RES Assumptions T15'!$D59,0,MATCH(VLOOKUP('RES Assumptions'!H$2,'RES Assumptions T15'!$V$3:$W$35,2,FALSE),'RES Assumptions T15'!$E$2:$S$2,0))</f>
        <v>0</v>
      </c>
      <c r="I59" s="14">
        <f ca="1">OFFSET('RES Assumptions T15'!$D59,0,MATCH(VLOOKUP('RES Assumptions'!I$2,'RES Assumptions T15'!$V$3:$W$35,2,FALSE),'RES Assumptions T15'!$E$2:$S$2,0))</f>
        <v>0</v>
      </c>
      <c r="J59" s="14">
        <f ca="1">OFFSET('RES Assumptions T15'!$D59,0,MATCH(VLOOKUP('RES Assumptions'!J$2,'RES Assumptions T15'!$V$3:$W$35,2,FALSE),'RES Assumptions T15'!$E$2:$S$2,0))</f>
        <v>0</v>
      </c>
      <c r="K59" s="14">
        <f ca="1">OFFSET('RES Assumptions T15'!$D59,0,MATCH(VLOOKUP('RES Assumptions'!K$2,'RES Assumptions T15'!$V$3:$W$35,2,FALSE),'RES Assumptions T15'!$E$2:$S$2,0))</f>
        <v>0</v>
      </c>
      <c r="L59" s="14">
        <f ca="1">OFFSET('RES Assumptions T15'!$D59,0,MATCH(VLOOKUP('RES Assumptions'!L$2,'RES Assumptions T15'!$V$3:$W$35,2,FALSE),'RES Assumptions T15'!$E$2:$S$2,0))</f>
        <v>0</v>
      </c>
      <c r="M59" s="14">
        <f ca="1">OFFSET('RES Assumptions T15'!$D59,0,MATCH(VLOOKUP('RES Assumptions'!M$2,'RES Assumptions T15'!$V$3:$W$35,2,FALSE),'RES Assumptions T15'!$E$2:$S$2,0))</f>
        <v>0</v>
      </c>
      <c r="N59" s="14">
        <f ca="1">OFFSET('RES Assumptions T15'!$D59,0,MATCH(VLOOKUP('RES Assumptions'!N$2,'RES Assumptions T15'!$V$3:$W$35,2,FALSE),'RES Assumptions T15'!$E$2:$S$2,0))</f>
        <v>0</v>
      </c>
      <c r="O59" s="14">
        <f ca="1">OFFSET('RES Assumptions T15'!$D59,0,MATCH(VLOOKUP('RES Assumptions'!O$2,'RES Assumptions T15'!$V$3:$W$35,2,FALSE),'RES Assumptions T15'!$E$2:$S$2,0))</f>
        <v>0</v>
      </c>
      <c r="P59" s="14">
        <f ca="1">OFFSET('RES Assumptions T15'!$D59,0,MATCH(VLOOKUP('RES Assumptions'!P$2,'RES Assumptions T15'!$V$3:$W$35,2,FALSE),'RES Assumptions T15'!$E$2:$S$2,0))</f>
        <v>0</v>
      </c>
      <c r="Q59" s="14">
        <f ca="1">OFFSET('RES Assumptions T15'!$D59,0,MATCH(VLOOKUP('RES Assumptions'!Q$2,'RES Assumptions T15'!$V$3:$W$35,2,FALSE),'RES Assumptions T15'!$E$2:$S$2,0))</f>
        <v>0</v>
      </c>
      <c r="R59" s="14">
        <f ca="1">OFFSET('RES Assumptions T15'!$D59,0,MATCH(VLOOKUP('RES Assumptions'!R$2,'RES Assumptions T15'!$V$3:$W$35,2,FALSE),'RES Assumptions T15'!$E$2:$S$2,0))</f>
        <v>0</v>
      </c>
      <c r="S59" s="14">
        <f ca="1">OFFSET('RES Assumptions T15'!$D59,0,MATCH(VLOOKUP('RES Assumptions'!S$2,'RES Assumptions T15'!$V$3:$W$35,2,FALSE),'RES Assumptions T15'!$E$2:$S$2,0))</f>
        <v>0</v>
      </c>
      <c r="T59" s="14">
        <f ca="1">OFFSET('RES Assumptions T15'!$D59,0,MATCH(VLOOKUP('RES Assumptions'!T$2,'RES Assumptions T15'!$V$3:$W$35,2,FALSE),'RES Assumptions T15'!$E$2:$S$2,0))</f>
        <v>0</v>
      </c>
      <c r="U59" s="14">
        <f ca="1">OFFSET('RES Assumptions T15'!$D59,0,MATCH(VLOOKUP('RES Assumptions'!U$2,'RES Assumptions T15'!$V$3:$W$35,2,FALSE),'RES Assumptions T15'!$E$2:$S$2,0))</f>
        <v>0</v>
      </c>
      <c r="V59" s="14">
        <f ca="1">OFFSET('RES Assumptions T15'!$D59,0,MATCH(VLOOKUP('RES Assumptions'!V$2,'RES Assumptions T15'!$V$3:$W$35,2,FALSE),'RES Assumptions T15'!$E$2:$S$2,0))</f>
        <v>0</v>
      </c>
      <c r="W59" s="14">
        <f ca="1">OFFSET('RES Assumptions T15'!$D59,0,MATCH(VLOOKUP('RES Assumptions'!W$2,'RES Assumptions T15'!$V$3:$W$35,2,FALSE),'RES Assumptions T15'!$E$2:$S$2,0))</f>
        <v>0</v>
      </c>
      <c r="X59" s="14">
        <f ca="1">OFFSET('RES Assumptions T15'!$D59,0,MATCH(VLOOKUP('RES Assumptions'!X$2,'RES Assumptions T15'!$V$3:$W$35,2,FALSE),'RES Assumptions T15'!$E$2:$S$2,0))</f>
        <v>0</v>
      </c>
      <c r="Y59" s="14">
        <f ca="1">OFFSET('RES Assumptions T15'!$D59,0,MATCH(VLOOKUP('RES Assumptions'!Y$2,'RES Assumptions T15'!$V$3:$W$35,2,FALSE),'RES Assumptions T15'!$E$2:$S$2,0))</f>
        <v>0</v>
      </c>
      <c r="Z59" s="14">
        <f ca="1">OFFSET('RES Assumptions T15'!$D59,0,MATCH(VLOOKUP('RES Assumptions'!Z$2,'RES Assumptions T15'!$V$3:$W$35,2,FALSE),'RES Assumptions T15'!$E$2:$S$2,0))</f>
        <v>0</v>
      </c>
      <c r="AA59" s="14">
        <f ca="1">OFFSET('RES Assumptions T15'!$D59,0,MATCH(VLOOKUP('RES Assumptions'!AA$2,'RES Assumptions T15'!$V$3:$W$35,2,FALSE),'RES Assumptions T15'!$E$2:$S$2,0))</f>
        <v>0</v>
      </c>
      <c r="AB59" s="14">
        <f ca="1">OFFSET('RES Assumptions T15'!$D59,0,MATCH(VLOOKUP('RES Assumptions'!AB$2,'RES Assumptions T15'!$V$3:$W$35,2,FALSE),'RES Assumptions T15'!$E$2:$S$2,0))</f>
        <v>0</v>
      </c>
      <c r="AC59" s="14">
        <f ca="1">OFFSET('RES Assumptions T15'!$D59,0,MATCH(VLOOKUP('RES Assumptions'!AC$2,'RES Assumptions T15'!$V$3:$W$35,2,FALSE),'RES Assumptions T15'!$E$2:$S$2,0))</f>
        <v>0</v>
      </c>
      <c r="AD59" s="14">
        <f ca="1">OFFSET('RES Assumptions T15'!$D59,0,MATCH(VLOOKUP('RES Assumptions'!AD$2,'RES Assumptions T15'!$V$3:$W$35,2,FALSE),'RES Assumptions T15'!$E$2:$S$2,0))</f>
        <v>0</v>
      </c>
      <c r="AE59" s="14">
        <f ca="1">OFFSET('RES Assumptions T15'!$D59,0,MATCH(VLOOKUP('RES Assumptions'!AE$2,'RES Assumptions T15'!$V$3:$W$35,2,FALSE),'RES Assumptions T15'!$E$2:$S$2,0))</f>
        <v>0</v>
      </c>
      <c r="AF59" s="14">
        <f ca="1">OFFSET('RES Assumptions T15'!$D59,0,MATCH(VLOOKUP('RES Assumptions'!AF$2,'RES Assumptions T15'!$V$3:$W$35,2,FALSE),'RES Assumptions T15'!$E$2:$S$2,0))</f>
        <v>0</v>
      </c>
      <c r="AG59" s="14">
        <f ca="1">OFFSET('RES Assumptions T15'!$D59,0,MATCH(VLOOKUP('RES Assumptions'!AG$2,'RES Assumptions T15'!$V$3:$W$35,2,FALSE),'RES Assumptions T15'!$E$2:$S$2,0))</f>
        <v>0</v>
      </c>
      <c r="AH59" s="14">
        <f ca="1">OFFSET('RES Assumptions T15'!$D59,0,MATCH(VLOOKUP('RES Assumptions'!AH$2,'RES Assumptions T15'!$V$3:$W$35,2,FALSE),'RES Assumptions T15'!$E$2:$S$2,0))</f>
        <v>0</v>
      </c>
      <c r="AJ59" s="8"/>
      <c r="AK59" s="10">
        <f ca="1">IFERROR(SUMIFS('RES balance'!E$5:E$25,'RES balance'!$D$5:$D$25,'RES Assumptions'!$A59)*E59,"")</f>
        <v>0</v>
      </c>
      <c r="AL59" s="10">
        <f ca="1">IFERROR(SUMIFS('RES balance'!F$5:F$25,'RES balance'!$D$5:$D$25,'RES Assumptions'!$A59)*F59,"")</f>
        <v>0</v>
      </c>
      <c r="AM59" s="10">
        <f ca="1">IFERROR(SUMIFS('RES balance'!G$5:G$25,'RES balance'!$D$5:$D$25,'RES Assumptions'!$A59)*G59,"")</f>
        <v>0</v>
      </c>
      <c r="AN59" s="10">
        <f ca="1">IFERROR(SUMIFS('RES balance'!H$5:H$25,'RES balance'!$D$5:$D$25,'RES Assumptions'!$A59)*H59,"")</f>
        <v>0</v>
      </c>
      <c r="AO59" s="10">
        <f ca="1">IFERROR(SUMIFS('RES balance'!I$5:I$25,'RES balance'!$D$5:$D$25,'RES Assumptions'!$A59)*I59,"")</f>
        <v>0</v>
      </c>
      <c r="AP59" s="10">
        <f ca="1">IFERROR(SUMIFS('RES balance'!J$5:J$25,'RES balance'!$D$5:$D$25,'RES Assumptions'!$A59)*J59,"")</f>
        <v>0</v>
      </c>
      <c r="AQ59" s="10">
        <f ca="1">IFERROR(SUMIFS('RES balance'!K$5:K$25,'RES balance'!$D$5:$D$25,'RES Assumptions'!$A59)*K59,"")</f>
        <v>0</v>
      </c>
      <c r="AR59" s="10">
        <f ca="1">IFERROR(SUMIFS('RES balance'!L$5:L$25,'RES balance'!$D$5:$D$25,'RES Assumptions'!$A59)*L59,"")</f>
        <v>0</v>
      </c>
      <c r="AS59" s="10">
        <f ca="1">IFERROR(SUMIFS('RES balance'!M$5:M$25,'RES balance'!$D$5:$D$25,'RES Assumptions'!$A59)*M59,"")</f>
        <v>0</v>
      </c>
      <c r="AT59" s="10">
        <f ca="1">IFERROR(SUMIFS('RES balance'!N$5:N$25,'RES balance'!$D$5:$D$25,'RES Assumptions'!$A59)*N59,"")</f>
        <v>0</v>
      </c>
      <c r="AU59" s="10">
        <f ca="1">IFERROR(SUMIFS('RES balance'!O$5:O$25,'RES balance'!$D$5:$D$25,'RES Assumptions'!$A59)*O59,"")</f>
        <v>0</v>
      </c>
      <c r="AV59" s="10">
        <f ca="1">IFERROR(SUMIFS('RES balance'!P$5:P$25,'RES balance'!$D$5:$D$25,'RES Assumptions'!$A59)*P59,"")</f>
        <v>0</v>
      </c>
      <c r="AW59" s="10">
        <f ca="1">IFERROR(SUMIFS('RES balance'!Q$5:Q$25,'RES balance'!$D$5:$D$25,'RES Assumptions'!$A59)*Q59,"")</f>
        <v>0</v>
      </c>
      <c r="AX59" s="10">
        <f ca="1">IFERROR(SUMIFS('RES balance'!R$5:R$25,'RES balance'!$D$5:$D$25,'RES Assumptions'!$A59)*R59,"")</f>
        <v>0</v>
      </c>
      <c r="AY59" s="10">
        <f ca="1">IFERROR(SUMIFS('RES balance'!S$5:S$25,'RES balance'!$D$5:$D$25,'RES Assumptions'!$A59)*S59,"")</f>
        <v>0</v>
      </c>
      <c r="AZ59" s="10">
        <f ca="1">IFERROR(SUMIFS('RES balance'!T$5:T$25,'RES balance'!$D$5:$D$25,'RES Assumptions'!$A59)*T59,"")</f>
        <v>0</v>
      </c>
      <c r="BA59" s="10">
        <f ca="1">IFERROR(SUMIFS('RES balance'!U$5:U$25,'RES balance'!$D$5:$D$25,'RES Assumptions'!$A59)*U59,"")</f>
        <v>0</v>
      </c>
      <c r="BB59" s="10">
        <f ca="1">IFERROR(SUMIFS('RES balance'!V$5:V$25,'RES balance'!$D$5:$D$25,'RES Assumptions'!$A59)*V59,"")</f>
        <v>0</v>
      </c>
      <c r="BC59" s="10">
        <f ca="1">IFERROR(SUMIFS('RES balance'!W$5:W$25,'RES balance'!$D$5:$D$25,'RES Assumptions'!$A59)*W59,"")</f>
        <v>0</v>
      </c>
      <c r="BD59" s="10">
        <f ca="1">IFERROR(SUMIFS('RES balance'!X$5:X$25,'RES balance'!$D$5:$D$25,'RES Assumptions'!$A59)*X59,"")</f>
        <v>0</v>
      </c>
      <c r="BE59" s="10">
        <f ca="1">IFERROR(SUMIFS('RES balance'!Y$5:Y$25,'RES balance'!$D$5:$D$25,'RES Assumptions'!$A59)*Y59,"")</f>
        <v>0</v>
      </c>
      <c r="BF59" s="10">
        <f ca="1">IFERROR(SUMIFS('RES balance'!Z$5:Z$25,'RES balance'!$D$5:$D$25,'RES Assumptions'!$A59)*Z59,"")</f>
        <v>0</v>
      </c>
      <c r="BG59" s="10">
        <f ca="1">IFERROR(SUMIFS('RES balance'!AA$5:AA$25,'RES balance'!$D$5:$D$25,'RES Assumptions'!$A59)*AA59,"")</f>
        <v>0</v>
      </c>
      <c r="BH59" s="10">
        <f ca="1">IFERROR(SUMIFS('RES balance'!AB$5:AB$25,'RES balance'!$D$5:$D$25,'RES Assumptions'!$A59)*AB59,"")</f>
        <v>0</v>
      </c>
      <c r="BI59" s="10">
        <f ca="1">IFERROR(SUMIFS('RES balance'!AC$5:AC$25,'RES balance'!$D$5:$D$25,'RES Assumptions'!$A59)*AC59,"")</f>
        <v>0</v>
      </c>
      <c r="BJ59" s="10">
        <f ca="1">IFERROR(SUMIFS('RES balance'!AD$5:AD$25,'RES balance'!$D$5:$D$25,'RES Assumptions'!$A59)*AD59,"")</f>
        <v>0</v>
      </c>
      <c r="BK59" s="10">
        <f ca="1">IFERROR(SUMIFS('RES balance'!AE$5:AE$25,'RES balance'!$D$5:$D$25,'RES Assumptions'!$A59)*AE59,"")</f>
        <v>0</v>
      </c>
      <c r="BL59" s="10">
        <f ca="1">IFERROR(SUMIFS('RES balance'!AF$5:AF$25,'RES balance'!$D$5:$D$25,'RES Assumptions'!$A59)*AF59,"")</f>
        <v>0</v>
      </c>
      <c r="BM59" s="10">
        <f ca="1">IFERROR(SUMIFS('RES balance'!AG$5:AG$25,'RES balance'!$D$5:$D$25,'RES Assumptions'!$A59)*AG59,"")</f>
        <v>0</v>
      </c>
      <c r="BN59" s="10">
        <f ca="1">IFERROR(SUMIFS('RES balance'!AH$5:AH$25,'RES balance'!$D$5:$D$25,'RES Assumptions'!$A59)*AH59,"")</f>
        <v>0</v>
      </c>
    </row>
    <row r="60" spans="1:66" x14ac:dyDescent="0.45">
      <c r="A60" s="8" t="str">
        <f>VLOOKUP(C60,'RES balance'!$AL$5:$AM$25,2,FALSE)</f>
        <v>RESGEO</v>
      </c>
      <c r="B60" s="36"/>
      <c r="C60" s="22" t="s">
        <v>80</v>
      </c>
      <c r="D60" s="23" t="s">
        <v>70</v>
      </c>
      <c r="E60" s="14">
        <f ca="1">OFFSET('RES Assumptions T15'!$D60,0,MATCH(VLOOKUP('RES Assumptions'!E$2,'RES Assumptions T15'!$V$3:$W$35,2,FALSE),'RES Assumptions T15'!$E$2:$S$2,0))</f>
        <v>0</v>
      </c>
      <c r="F60" s="14">
        <f ca="1">OFFSET('RES Assumptions T15'!$D60,0,MATCH(VLOOKUP('RES Assumptions'!F$2,'RES Assumptions T15'!$V$3:$W$35,2,FALSE),'RES Assumptions T15'!$E$2:$S$2,0))</f>
        <v>0</v>
      </c>
      <c r="G60" s="14">
        <f ca="1">OFFSET('RES Assumptions T15'!$D60,0,MATCH(VLOOKUP('RES Assumptions'!G$2,'RES Assumptions T15'!$V$3:$W$35,2,FALSE),'RES Assumptions T15'!$E$2:$S$2,0))</f>
        <v>0</v>
      </c>
      <c r="H60" s="14">
        <f ca="1">OFFSET('RES Assumptions T15'!$D60,0,MATCH(VLOOKUP('RES Assumptions'!H$2,'RES Assumptions T15'!$V$3:$W$35,2,FALSE),'RES Assumptions T15'!$E$2:$S$2,0))</f>
        <v>0</v>
      </c>
      <c r="I60" s="14">
        <f ca="1">OFFSET('RES Assumptions T15'!$D60,0,MATCH(VLOOKUP('RES Assumptions'!I$2,'RES Assumptions T15'!$V$3:$W$35,2,FALSE),'RES Assumptions T15'!$E$2:$S$2,0))</f>
        <v>0</v>
      </c>
      <c r="J60" s="14">
        <f ca="1">OFFSET('RES Assumptions T15'!$D60,0,MATCH(VLOOKUP('RES Assumptions'!J$2,'RES Assumptions T15'!$V$3:$W$35,2,FALSE),'RES Assumptions T15'!$E$2:$S$2,0))</f>
        <v>0</v>
      </c>
      <c r="K60" s="14">
        <f ca="1">OFFSET('RES Assumptions T15'!$D60,0,MATCH(VLOOKUP('RES Assumptions'!K$2,'RES Assumptions T15'!$V$3:$W$35,2,FALSE),'RES Assumptions T15'!$E$2:$S$2,0))</f>
        <v>0</v>
      </c>
      <c r="L60" s="14">
        <f ca="1">OFFSET('RES Assumptions T15'!$D60,0,MATCH(VLOOKUP('RES Assumptions'!L$2,'RES Assumptions T15'!$V$3:$W$35,2,FALSE),'RES Assumptions T15'!$E$2:$S$2,0))</f>
        <v>0</v>
      </c>
      <c r="M60" s="14">
        <f ca="1">OFFSET('RES Assumptions T15'!$D60,0,MATCH(VLOOKUP('RES Assumptions'!M$2,'RES Assumptions T15'!$V$3:$W$35,2,FALSE),'RES Assumptions T15'!$E$2:$S$2,0))</f>
        <v>0</v>
      </c>
      <c r="N60" s="14">
        <f ca="1">OFFSET('RES Assumptions T15'!$D60,0,MATCH(VLOOKUP('RES Assumptions'!N$2,'RES Assumptions T15'!$V$3:$W$35,2,FALSE),'RES Assumptions T15'!$E$2:$S$2,0))</f>
        <v>0</v>
      </c>
      <c r="O60" s="14">
        <f ca="1">OFFSET('RES Assumptions T15'!$D60,0,MATCH(VLOOKUP('RES Assumptions'!O$2,'RES Assumptions T15'!$V$3:$W$35,2,FALSE),'RES Assumptions T15'!$E$2:$S$2,0))</f>
        <v>0</v>
      </c>
      <c r="P60" s="14">
        <f ca="1">OFFSET('RES Assumptions T15'!$D60,0,MATCH(VLOOKUP('RES Assumptions'!P$2,'RES Assumptions T15'!$V$3:$W$35,2,FALSE),'RES Assumptions T15'!$E$2:$S$2,0))</f>
        <v>0</v>
      </c>
      <c r="Q60" s="14">
        <f ca="1">OFFSET('RES Assumptions T15'!$D60,0,MATCH(VLOOKUP('RES Assumptions'!Q$2,'RES Assumptions T15'!$V$3:$W$35,2,FALSE),'RES Assumptions T15'!$E$2:$S$2,0))</f>
        <v>0</v>
      </c>
      <c r="R60" s="14">
        <f ca="1">OFFSET('RES Assumptions T15'!$D60,0,MATCH(VLOOKUP('RES Assumptions'!R$2,'RES Assumptions T15'!$V$3:$W$35,2,FALSE),'RES Assumptions T15'!$E$2:$S$2,0))</f>
        <v>0</v>
      </c>
      <c r="S60" s="14">
        <f ca="1">OFFSET('RES Assumptions T15'!$D60,0,MATCH(VLOOKUP('RES Assumptions'!S$2,'RES Assumptions T15'!$V$3:$W$35,2,FALSE),'RES Assumptions T15'!$E$2:$S$2,0))</f>
        <v>0</v>
      </c>
      <c r="T60" s="14">
        <f ca="1">OFFSET('RES Assumptions T15'!$D60,0,MATCH(VLOOKUP('RES Assumptions'!T$2,'RES Assumptions T15'!$V$3:$W$35,2,FALSE),'RES Assumptions T15'!$E$2:$S$2,0))</f>
        <v>0</v>
      </c>
      <c r="U60" s="14">
        <f ca="1">OFFSET('RES Assumptions T15'!$D60,0,MATCH(VLOOKUP('RES Assumptions'!U$2,'RES Assumptions T15'!$V$3:$W$35,2,FALSE),'RES Assumptions T15'!$E$2:$S$2,0))</f>
        <v>0</v>
      </c>
      <c r="V60" s="14">
        <f ca="1">OFFSET('RES Assumptions T15'!$D60,0,MATCH(VLOOKUP('RES Assumptions'!V$2,'RES Assumptions T15'!$V$3:$W$35,2,FALSE),'RES Assumptions T15'!$E$2:$S$2,0))</f>
        <v>0</v>
      </c>
      <c r="W60" s="14">
        <f ca="1">OFFSET('RES Assumptions T15'!$D60,0,MATCH(VLOOKUP('RES Assumptions'!W$2,'RES Assumptions T15'!$V$3:$W$35,2,FALSE),'RES Assumptions T15'!$E$2:$S$2,0))</f>
        <v>0</v>
      </c>
      <c r="X60" s="14">
        <f ca="1">OFFSET('RES Assumptions T15'!$D60,0,MATCH(VLOOKUP('RES Assumptions'!X$2,'RES Assumptions T15'!$V$3:$W$35,2,FALSE),'RES Assumptions T15'!$E$2:$S$2,0))</f>
        <v>0</v>
      </c>
      <c r="Y60" s="14">
        <f ca="1">OFFSET('RES Assumptions T15'!$D60,0,MATCH(VLOOKUP('RES Assumptions'!Y$2,'RES Assumptions T15'!$V$3:$W$35,2,FALSE),'RES Assumptions T15'!$E$2:$S$2,0))</f>
        <v>0</v>
      </c>
      <c r="Z60" s="14">
        <f ca="1">OFFSET('RES Assumptions T15'!$D60,0,MATCH(VLOOKUP('RES Assumptions'!Z$2,'RES Assumptions T15'!$V$3:$W$35,2,FALSE),'RES Assumptions T15'!$E$2:$S$2,0))</f>
        <v>0</v>
      </c>
      <c r="AA60" s="14">
        <f ca="1">OFFSET('RES Assumptions T15'!$D60,0,MATCH(VLOOKUP('RES Assumptions'!AA$2,'RES Assumptions T15'!$V$3:$W$35,2,FALSE),'RES Assumptions T15'!$E$2:$S$2,0))</f>
        <v>0</v>
      </c>
      <c r="AB60" s="14">
        <f ca="1">OFFSET('RES Assumptions T15'!$D60,0,MATCH(VLOOKUP('RES Assumptions'!AB$2,'RES Assumptions T15'!$V$3:$W$35,2,FALSE),'RES Assumptions T15'!$E$2:$S$2,0))</f>
        <v>0</v>
      </c>
      <c r="AC60" s="14">
        <f ca="1">OFFSET('RES Assumptions T15'!$D60,0,MATCH(VLOOKUP('RES Assumptions'!AC$2,'RES Assumptions T15'!$V$3:$W$35,2,FALSE),'RES Assumptions T15'!$E$2:$S$2,0))</f>
        <v>0</v>
      </c>
      <c r="AD60" s="14">
        <f ca="1">OFFSET('RES Assumptions T15'!$D60,0,MATCH(VLOOKUP('RES Assumptions'!AD$2,'RES Assumptions T15'!$V$3:$W$35,2,FALSE),'RES Assumptions T15'!$E$2:$S$2,0))</f>
        <v>0</v>
      </c>
      <c r="AE60" s="14">
        <f ca="1">OFFSET('RES Assumptions T15'!$D60,0,MATCH(VLOOKUP('RES Assumptions'!AE$2,'RES Assumptions T15'!$V$3:$W$35,2,FALSE),'RES Assumptions T15'!$E$2:$S$2,0))</f>
        <v>0</v>
      </c>
      <c r="AF60" s="14">
        <f ca="1">OFFSET('RES Assumptions T15'!$D60,0,MATCH(VLOOKUP('RES Assumptions'!AF$2,'RES Assumptions T15'!$V$3:$W$35,2,FALSE),'RES Assumptions T15'!$E$2:$S$2,0))</f>
        <v>0</v>
      </c>
      <c r="AG60" s="14">
        <f ca="1">OFFSET('RES Assumptions T15'!$D60,0,MATCH(VLOOKUP('RES Assumptions'!AG$2,'RES Assumptions T15'!$V$3:$W$35,2,FALSE),'RES Assumptions T15'!$E$2:$S$2,0))</f>
        <v>0</v>
      </c>
      <c r="AH60" s="14">
        <f ca="1">OFFSET('RES Assumptions T15'!$D60,0,MATCH(VLOOKUP('RES Assumptions'!AH$2,'RES Assumptions T15'!$V$3:$W$35,2,FALSE),'RES Assumptions T15'!$E$2:$S$2,0))</f>
        <v>0</v>
      </c>
      <c r="AK60" s="10">
        <f ca="1">IFERROR(SUMIFS('RES balance'!E$5:E$25,'RES balance'!$D$5:$D$25,'RES Assumptions'!$A60)*E60,"")</f>
        <v>0</v>
      </c>
      <c r="AL60" s="10">
        <f ca="1">IFERROR(SUMIFS('RES balance'!F$5:F$25,'RES balance'!$D$5:$D$25,'RES Assumptions'!$A60)*F60,"")</f>
        <v>0</v>
      </c>
      <c r="AM60" s="10">
        <f ca="1">IFERROR(SUMIFS('RES balance'!G$5:G$25,'RES balance'!$D$5:$D$25,'RES Assumptions'!$A60)*G60,"")</f>
        <v>0</v>
      </c>
      <c r="AN60" s="10">
        <f ca="1">IFERROR(SUMIFS('RES balance'!H$5:H$25,'RES balance'!$D$5:$D$25,'RES Assumptions'!$A60)*H60,"")</f>
        <v>0</v>
      </c>
      <c r="AO60" s="10">
        <f ca="1">IFERROR(SUMIFS('RES balance'!I$5:I$25,'RES balance'!$D$5:$D$25,'RES Assumptions'!$A60)*I60,"")</f>
        <v>0</v>
      </c>
      <c r="AP60" s="10">
        <f ca="1">IFERROR(SUMIFS('RES balance'!J$5:J$25,'RES balance'!$D$5:$D$25,'RES Assumptions'!$A60)*J60,"")</f>
        <v>0</v>
      </c>
      <c r="AQ60" s="10">
        <f ca="1">IFERROR(SUMIFS('RES balance'!K$5:K$25,'RES balance'!$D$5:$D$25,'RES Assumptions'!$A60)*K60,"")</f>
        <v>0</v>
      </c>
      <c r="AR60" s="10">
        <f ca="1">IFERROR(SUMIFS('RES balance'!L$5:L$25,'RES balance'!$D$5:$D$25,'RES Assumptions'!$A60)*L60,"")</f>
        <v>0</v>
      </c>
      <c r="AS60" s="10">
        <f ca="1">IFERROR(SUMIFS('RES balance'!M$5:M$25,'RES balance'!$D$5:$D$25,'RES Assumptions'!$A60)*M60,"")</f>
        <v>0</v>
      </c>
      <c r="AT60" s="10">
        <f ca="1">IFERROR(SUMIFS('RES balance'!N$5:N$25,'RES balance'!$D$5:$D$25,'RES Assumptions'!$A60)*N60,"")</f>
        <v>0</v>
      </c>
      <c r="AU60" s="10">
        <f ca="1">IFERROR(SUMIFS('RES balance'!O$5:O$25,'RES balance'!$D$5:$D$25,'RES Assumptions'!$A60)*O60,"")</f>
        <v>0</v>
      </c>
      <c r="AV60" s="10">
        <f ca="1">IFERROR(SUMIFS('RES balance'!P$5:P$25,'RES balance'!$D$5:$D$25,'RES Assumptions'!$A60)*P60,"")</f>
        <v>0</v>
      </c>
      <c r="AW60" s="10">
        <f ca="1">IFERROR(SUMIFS('RES balance'!Q$5:Q$25,'RES balance'!$D$5:$D$25,'RES Assumptions'!$A60)*Q60,"")</f>
        <v>0</v>
      </c>
      <c r="AX60" s="10">
        <f ca="1">IFERROR(SUMIFS('RES balance'!R$5:R$25,'RES balance'!$D$5:$D$25,'RES Assumptions'!$A60)*R60,"")</f>
        <v>0</v>
      </c>
      <c r="AY60" s="10">
        <f ca="1">IFERROR(SUMIFS('RES balance'!S$5:S$25,'RES balance'!$D$5:$D$25,'RES Assumptions'!$A60)*S60,"")</f>
        <v>0</v>
      </c>
      <c r="AZ60" s="10">
        <f ca="1">IFERROR(SUMIFS('RES balance'!T$5:T$25,'RES balance'!$D$5:$D$25,'RES Assumptions'!$A60)*T60,"")</f>
        <v>0</v>
      </c>
      <c r="BA60" s="10">
        <f ca="1">IFERROR(SUMIFS('RES balance'!U$5:U$25,'RES balance'!$D$5:$D$25,'RES Assumptions'!$A60)*U60,"")</f>
        <v>0</v>
      </c>
      <c r="BB60" s="10">
        <f ca="1">IFERROR(SUMIFS('RES balance'!V$5:V$25,'RES balance'!$D$5:$D$25,'RES Assumptions'!$A60)*V60,"")</f>
        <v>0</v>
      </c>
      <c r="BC60" s="10">
        <f ca="1">IFERROR(SUMIFS('RES balance'!W$5:W$25,'RES balance'!$D$5:$D$25,'RES Assumptions'!$A60)*W60,"")</f>
        <v>0</v>
      </c>
      <c r="BD60" s="10">
        <f ca="1">IFERROR(SUMIFS('RES balance'!X$5:X$25,'RES balance'!$D$5:$D$25,'RES Assumptions'!$A60)*X60,"")</f>
        <v>0</v>
      </c>
      <c r="BE60" s="10">
        <f ca="1">IFERROR(SUMIFS('RES balance'!Y$5:Y$25,'RES balance'!$D$5:$D$25,'RES Assumptions'!$A60)*Y60,"")</f>
        <v>0</v>
      </c>
      <c r="BF60" s="10">
        <f ca="1">IFERROR(SUMIFS('RES balance'!Z$5:Z$25,'RES balance'!$D$5:$D$25,'RES Assumptions'!$A60)*Z60,"")</f>
        <v>0</v>
      </c>
      <c r="BG60" s="10">
        <f ca="1">IFERROR(SUMIFS('RES balance'!AA$5:AA$25,'RES balance'!$D$5:$D$25,'RES Assumptions'!$A60)*AA60,"")</f>
        <v>0</v>
      </c>
      <c r="BH60" s="10">
        <f ca="1">IFERROR(SUMIFS('RES balance'!AB$5:AB$25,'RES balance'!$D$5:$D$25,'RES Assumptions'!$A60)*AB60,"")</f>
        <v>0</v>
      </c>
      <c r="BI60" s="10">
        <f ca="1">IFERROR(SUMIFS('RES balance'!AC$5:AC$25,'RES balance'!$D$5:$D$25,'RES Assumptions'!$A60)*AC60,"")</f>
        <v>0</v>
      </c>
      <c r="BJ60" s="10">
        <f ca="1">IFERROR(SUMIFS('RES balance'!AD$5:AD$25,'RES balance'!$D$5:$D$25,'RES Assumptions'!$A60)*AD60,"")</f>
        <v>0</v>
      </c>
      <c r="BK60" s="10">
        <f ca="1">IFERROR(SUMIFS('RES balance'!AE$5:AE$25,'RES balance'!$D$5:$D$25,'RES Assumptions'!$A60)*AE60,"")</f>
        <v>0</v>
      </c>
      <c r="BL60" s="10">
        <f ca="1">IFERROR(SUMIFS('RES balance'!AF$5:AF$25,'RES balance'!$D$5:$D$25,'RES Assumptions'!$A60)*AF60,"")</f>
        <v>0</v>
      </c>
      <c r="BM60" s="10">
        <f ca="1">IFERROR(SUMIFS('RES balance'!AG$5:AG$25,'RES balance'!$D$5:$D$25,'RES Assumptions'!$A60)*AG60,"")</f>
        <v>0</v>
      </c>
      <c r="BN60" s="10">
        <f ca="1">IFERROR(SUMIFS('RES balance'!AH$5:AH$25,'RES balance'!$D$5:$D$25,'RES Assumptions'!$A60)*AH60,"")</f>
        <v>0</v>
      </c>
    </row>
    <row r="61" spans="1:66" x14ac:dyDescent="0.45">
      <c r="A61" s="8" t="str">
        <f>VLOOKUP(C61,'RES balance'!$AL$5:$AM$25,2,FALSE)</f>
        <v>RESSTH</v>
      </c>
      <c r="B61" s="36"/>
      <c r="C61" s="20" t="s">
        <v>81</v>
      </c>
      <c r="D61" s="21" t="s">
        <v>62</v>
      </c>
      <c r="E61" s="14">
        <f ca="1">OFFSET('RES Assumptions T15'!$D61,0,MATCH(VLOOKUP('RES Assumptions'!E$2,'RES Assumptions T15'!$V$3:$W$35,2,FALSE),'RES Assumptions T15'!$E$2:$S$2,0))</f>
        <v>0</v>
      </c>
      <c r="F61" s="14">
        <f ca="1">OFFSET('RES Assumptions T15'!$D61,0,MATCH(VLOOKUP('RES Assumptions'!F$2,'RES Assumptions T15'!$V$3:$W$35,2,FALSE),'RES Assumptions T15'!$E$2:$S$2,0))</f>
        <v>0</v>
      </c>
      <c r="G61" s="14">
        <f ca="1">OFFSET('RES Assumptions T15'!$D61,0,MATCH(VLOOKUP('RES Assumptions'!G$2,'RES Assumptions T15'!$V$3:$W$35,2,FALSE),'RES Assumptions T15'!$E$2:$S$2,0))</f>
        <v>0</v>
      </c>
      <c r="H61" s="14">
        <f ca="1">OFFSET('RES Assumptions T15'!$D61,0,MATCH(VLOOKUP('RES Assumptions'!H$2,'RES Assumptions T15'!$V$3:$W$35,2,FALSE),'RES Assumptions T15'!$E$2:$S$2,0))</f>
        <v>0</v>
      </c>
      <c r="I61" s="14">
        <f ca="1">OFFSET('RES Assumptions T15'!$D61,0,MATCH(VLOOKUP('RES Assumptions'!I$2,'RES Assumptions T15'!$V$3:$W$35,2,FALSE),'RES Assumptions T15'!$E$2:$S$2,0))</f>
        <v>0</v>
      </c>
      <c r="J61" s="14">
        <f ca="1">OFFSET('RES Assumptions T15'!$D61,0,MATCH(VLOOKUP('RES Assumptions'!J$2,'RES Assumptions T15'!$V$3:$W$35,2,FALSE),'RES Assumptions T15'!$E$2:$S$2,0))</f>
        <v>0</v>
      </c>
      <c r="K61" s="14">
        <f ca="1">OFFSET('RES Assumptions T15'!$D61,0,MATCH(VLOOKUP('RES Assumptions'!K$2,'RES Assumptions T15'!$V$3:$W$35,2,FALSE),'RES Assumptions T15'!$E$2:$S$2,0))</f>
        <v>0</v>
      </c>
      <c r="L61" s="14">
        <f ca="1">OFFSET('RES Assumptions T15'!$D61,0,MATCH(VLOOKUP('RES Assumptions'!L$2,'RES Assumptions T15'!$V$3:$W$35,2,FALSE),'RES Assumptions T15'!$E$2:$S$2,0))</f>
        <v>0</v>
      </c>
      <c r="M61" s="14">
        <f ca="1">OFFSET('RES Assumptions T15'!$D61,0,MATCH(VLOOKUP('RES Assumptions'!M$2,'RES Assumptions T15'!$V$3:$W$35,2,FALSE),'RES Assumptions T15'!$E$2:$S$2,0))</f>
        <v>0</v>
      </c>
      <c r="N61" s="14">
        <f ca="1">OFFSET('RES Assumptions T15'!$D61,0,MATCH(VLOOKUP('RES Assumptions'!N$2,'RES Assumptions T15'!$V$3:$W$35,2,FALSE),'RES Assumptions T15'!$E$2:$S$2,0))</f>
        <v>0</v>
      </c>
      <c r="O61" s="14">
        <f ca="1">OFFSET('RES Assumptions T15'!$D61,0,MATCH(VLOOKUP('RES Assumptions'!O$2,'RES Assumptions T15'!$V$3:$W$35,2,FALSE),'RES Assumptions T15'!$E$2:$S$2,0))</f>
        <v>0</v>
      </c>
      <c r="P61" s="14">
        <f ca="1">OFFSET('RES Assumptions T15'!$D61,0,MATCH(VLOOKUP('RES Assumptions'!P$2,'RES Assumptions T15'!$V$3:$W$35,2,FALSE),'RES Assumptions T15'!$E$2:$S$2,0))</f>
        <v>0</v>
      </c>
      <c r="Q61" s="14">
        <f ca="1">OFFSET('RES Assumptions T15'!$D61,0,MATCH(VLOOKUP('RES Assumptions'!Q$2,'RES Assumptions T15'!$V$3:$W$35,2,FALSE),'RES Assumptions T15'!$E$2:$S$2,0))</f>
        <v>0</v>
      </c>
      <c r="R61" s="14">
        <f ca="1">OFFSET('RES Assumptions T15'!$D61,0,MATCH(VLOOKUP('RES Assumptions'!R$2,'RES Assumptions T15'!$V$3:$W$35,2,FALSE),'RES Assumptions T15'!$E$2:$S$2,0))</f>
        <v>0</v>
      </c>
      <c r="S61" s="14">
        <f ca="1">OFFSET('RES Assumptions T15'!$D61,0,MATCH(VLOOKUP('RES Assumptions'!S$2,'RES Assumptions T15'!$V$3:$W$35,2,FALSE),'RES Assumptions T15'!$E$2:$S$2,0))</f>
        <v>0</v>
      </c>
      <c r="T61" s="14">
        <f ca="1">OFFSET('RES Assumptions T15'!$D61,0,MATCH(VLOOKUP('RES Assumptions'!T$2,'RES Assumptions T15'!$V$3:$W$35,2,FALSE),'RES Assumptions T15'!$E$2:$S$2,0))</f>
        <v>0</v>
      </c>
      <c r="U61" s="14">
        <f ca="1">OFFSET('RES Assumptions T15'!$D61,0,MATCH(VLOOKUP('RES Assumptions'!U$2,'RES Assumptions T15'!$V$3:$W$35,2,FALSE),'RES Assumptions T15'!$E$2:$S$2,0))</f>
        <v>0</v>
      </c>
      <c r="V61" s="14">
        <f ca="1">OFFSET('RES Assumptions T15'!$D61,0,MATCH(VLOOKUP('RES Assumptions'!V$2,'RES Assumptions T15'!$V$3:$W$35,2,FALSE),'RES Assumptions T15'!$E$2:$S$2,0))</f>
        <v>0</v>
      </c>
      <c r="W61" s="14">
        <f ca="1">OFFSET('RES Assumptions T15'!$D61,0,MATCH(VLOOKUP('RES Assumptions'!W$2,'RES Assumptions T15'!$V$3:$W$35,2,FALSE),'RES Assumptions T15'!$E$2:$S$2,0))</f>
        <v>0</v>
      </c>
      <c r="X61" s="14">
        <f ca="1">OFFSET('RES Assumptions T15'!$D61,0,MATCH(VLOOKUP('RES Assumptions'!X$2,'RES Assumptions T15'!$V$3:$W$35,2,FALSE),'RES Assumptions T15'!$E$2:$S$2,0))</f>
        <v>0</v>
      </c>
      <c r="Y61" s="14">
        <f ca="1">OFFSET('RES Assumptions T15'!$D61,0,MATCH(VLOOKUP('RES Assumptions'!Y$2,'RES Assumptions T15'!$V$3:$W$35,2,FALSE),'RES Assumptions T15'!$E$2:$S$2,0))</f>
        <v>0</v>
      </c>
      <c r="Z61" s="14">
        <f ca="1">OFFSET('RES Assumptions T15'!$D61,0,MATCH(VLOOKUP('RES Assumptions'!Z$2,'RES Assumptions T15'!$V$3:$W$35,2,FALSE),'RES Assumptions T15'!$E$2:$S$2,0))</f>
        <v>0</v>
      </c>
      <c r="AA61" s="14">
        <f ca="1">OFFSET('RES Assumptions T15'!$D61,0,MATCH(VLOOKUP('RES Assumptions'!AA$2,'RES Assumptions T15'!$V$3:$W$35,2,FALSE),'RES Assumptions T15'!$E$2:$S$2,0))</f>
        <v>0</v>
      </c>
      <c r="AB61" s="14">
        <f ca="1">OFFSET('RES Assumptions T15'!$D61,0,MATCH(VLOOKUP('RES Assumptions'!AB$2,'RES Assumptions T15'!$V$3:$W$35,2,FALSE),'RES Assumptions T15'!$E$2:$S$2,0))</f>
        <v>0</v>
      </c>
      <c r="AC61" s="14">
        <f ca="1">OFFSET('RES Assumptions T15'!$D61,0,MATCH(VLOOKUP('RES Assumptions'!AC$2,'RES Assumptions T15'!$V$3:$W$35,2,FALSE),'RES Assumptions T15'!$E$2:$S$2,0))</f>
        <v>0</v>
      </c>
      <c r="AD61" s="14">
        <f ca="1">OFFSET('RES Assumptions T15'!$D61,0,MATCH(VLOOKUP('RES Assumptions'!AD$2,'RES Assumptions T15'!$V$3:$W$35,2,FALSE),'RES Assumptions T15'!$E$2:$S$2,0))</f>
        <v>0</v>
      </c>
      <c r="AE61" s="14">
        <f ca="1">OFFSET('RES Assumptions T15'!$D61,0,MATCH(VLOOKUP('RES Assumptions'!AE$2,'RES Assumptions T15'!$V$3:$W$35,2,FALSE),'RES Assumptions T15'!$E$2:$S$2,0))</f>
        <v>0</v>
      </c>
      <c r="AF61" s="14">
        <f ca="1">OFFSET('RES Assumptions T15'!$D61,0,MATCH(VLOOKUP('RES Assumptions'!AF$2,'RES Assumptions T15'!$V$3:$W$35,2,FALSE),'RES Assumptions T15'!$E$2:$S$2,0))</f>
        <v>0</v>
      </c>
      <c r="AG61" s="14">
        <f ca="1">OFFSET('RES Assumptions T15'!$D61,0,MATCH(VLOOKUP('RES Assumptions'!AG$2,'RES Assumptions T15'!$V$3:$W$35,2,FALSE),'RES Assumptions T15'!$E$2:$S$2,0))</f>
        <v>0</v>
      </c>
      <c r="AH61" s="14">
        <f ca="1">OFFSET('RES Assumptions T15'!$D61,0,MATCH(VLOOKUP('RES Assumptions'!AH$2,'RES Assumptions T15'!$V$3:$W$35,2,FALSE),'RES Assumptions T15'!$E$2:$S$2,0))</f>
        <v>0</v>
      </c>
      <c r="AK61" s="10">
        <f ca="1">IFERROR(SUMIFS('RES balance'!E$5:E$25,'RES balance'!$D$5:$D$25,'RES Assumptions'!$A61)*E61,"")</f>
        <v>0</v>
      </c>
      <c r="AL61" s="10">
        <f ca="1">IFERROR(SUMIFS('RES balance'!F$5:F$25,'RES balance'!$D$5:$D$25,'RES Assumptions'!$A61)*F61,"")</f>
        <v>0</v>
      </c>
      <c r="AM61" s="10">
        <f ca="1">IFERROR(SUMIFS('RES balance'!G$5:G$25,'RES balance'!$D$5:$D$25,'RES Assumptions'!$A61)*G61,"")</f>
        <v>0</v>
      </c>
      <c r="AN61" s="10">
        <f ca="1">IFERROR(SUMIFS('RES balance'!H$5:H$25,'RES balance'!$D$5:$D$25,'RES Assumptions'!$A61)*H61,"")</f>
        <v>0</v>
      </c>
      <c r="AO61" s="10">
        <f ca="1">IFERROR(SUMIFS('RES balance'!I$5:I$25,'RES balance'!$D$5:$D$25,'RES Assumptions'!$A61)*I61,"")</f>
        <v>0</v>
      </c>
      <c r="AP61" s="10">
        <f ca="1">IFERROR(SUMIFS('RES balance'!J$5:J$25,'RES balance'!$D$5:$D$25,'RES Assumptions'!$A61)*J61,"")</f>
        <v>0</v>
      </c>
      <c r="AQ61" s="10">
        <f ca="1">IFERROR(SUMIFS('RES balance'!K$5:K$25,'RES balance'!$D$5:$D$25,'RES Assumptions'!$A61)*K61,"")</f>
        <v>0</v>
      </c>
      <c r="AR61" s="10">
        <f ca="1">IFERROR(SUMIFS('RES balance'!L$5:L$25,'RES balance'!$D$5:$D$25,'RES Assumptions'!$A61)*L61,"")</f>
        <v>0</v>
      </c>
      <c r="AS61" s="10">
        <f ca="1">IFERROR(SUMIFS('RES balance'!M$5:M$25,'RES balance'!$D$5:$D$25,'RES Assumptions'!$A61)*M61,"")</f>
        <v>0</v>
      </c>
      <c r="AT61" s="10">
        <f ca="1">IFERROR(SUMIFS('RES balance'!N$5:N$25,'RES balance'!$D$5:$D$25,'RES Assumptions'!$A61)*N61,"")</f>
        <v>0</v>
      </c>
      <c r="AU61" s="10">
        <f ca="1">IFERROR(SUMIFS('RES balance'!O$5:O$25,'RES balance'!$D$5:$D$25,'RES Assumptions'!$A61)*O61,"")</f>
        <v>0</v>
      </c>
      <c r="AV61" s="10">
        <f ca="1">IFERROR(SUMIFS('RES balance'!P$5:P$25,'RES balance'!$D$5:$D$25,'RES Assumptions'!$A61)*P61,"")</f>
        <v>0</v>
      </c>
      <c r="AW61" s="10">
        <f ca="1">IFERROR(SUMIFS('RES balance'!Q$5:Q$25,'RES balance'!$D$5:$D$25,'RES Assumptions'!$A61)*Q61,"")</f>
        <v>0</v>
      </c>
      <c r="AX61" s="10">
        <f ca="1">IFERROR(SUMIFS('RES balance'!R$5:R$25,'RES balance'!$D$5:$D$25,'RES Assumptions'!$A61)*R61,"")</f>
        <v>0</v>
      </c>
      <c r="AY61" s="10">
        <f ca="1">IFERROR(SUMIFS('RES balance'!S$5:S$25,'RES balance'!$D$5:$D$25,'RES Assumptions'!$A61)*S61,"")</f>
        <v>0</v>
      </c>
      <c r="AZ61" s="10">
        <f ca="1">IFERROR(SUMIFS('RES balance'!T$5:T$25,'RES balance'!$D$5:$D$25,'RES Assumptions'!$A61)*T61,"")</f>
        <v>0</v>
      </c>
      <c r="BA61" s="10">
        <f ca="1">IFERROR(SUMIFS('RES balance'!U$5:U$25,'RES balance'!$D$5:$D$25,'RES Assumptions'!$A61)*U61,"")</f>
        <v>0</v>
      </c>
      <c r="BB61" s="10">
        <f ca="1">IFERROR(SUMIFS('RES balance'!V$5:V$25,'RES balance'!$D$5:$D$25,'RES Assumptions'!$A61)*V61,"")</f>
        <v>0</v>
      </c>
      <c r="BC61" s="10">
        <f ca="1">IFERROR(SUMIFS('RES balance'!W$5:W$25,'RES balance'!$D$5:$D$25,'RES Assumptions'!$A61)*W61,"")</f>
        <v>0</v>
      </c>
      <c r="BD61" s="10">
        <f ca="1">IFERROR(SUMIFS('RES balance'!X$5:X$25,'RES balance'!$D$5:$D$25,'RES Assumptions'!$A61)*X61,"")</f>
        <v>0</v>
      </c>
      <c r="BE61" s="10">
        <f ca="1">IFERROR(SUMIFS('RES balance'!Y$5:Y$25,'RES balance'!$D$5:$D$25,'RES Assumptions'!$A61)*Y61,"")</f>
        <v>0</v>
      </c>
      <c r="BF61" s="10">
        <f ca="1">IFERROR(SUMIFS('RES balance'!Z$5:Z$25,'RES balance'!$D$5:$D$25,'RES Assumptions'!$A61)*Z61,"")</f>
        <v>0</v>
      </c>
      <c r="BG61" s="10">
        <f ca="1">IFERROR(SUMIFS('RES balance'!AA$5:AA$25,'RES balance'!$D$5:$D$25,'RES Assumptions'!$A61)*AA61,"")</f>
        <v>0</v>
      </c>
      <c r="BH61" s="10">
        <f ca="1">IFERROR(SUMIFS('RES balance'!AB$5:AB$25,'RES balance'!$D$5:$D$25,'RES Assumptions'!$A61)*AB61,"")</f>
        <v>0</v>
      </c>
      <c r="BI61" s="10">
        <f ca="1">IFERROR(SUMIFS('RES balance'!AC$5:AC$25,'RES balance'!$D$5:$D$25,'RES Assumptions'!$A61)*AC61,"")</f>
        <v>0</v>
      </c>
      <c r="BJ61" s="10">
        <f ca="1">IFERROR(SUMIFS('RES balance'!AD$5:AD$25,'RES balance'!$D$5:$D$25,'RES Assumptions'!$A61)*AD61,"")</f>
        <v>0</v>
      </c>
      <c r="BK61" s="10">
        <f ca="1">IFERROR(SUMIFS('RES balance'!AE$5:AE$25,'RES balance'!$D$5:$D$25,'RES Assumptions'!$A61)*AE61,"")</f>
        <v>0</v>
      </c>
      <c r="BL61" s="10">
        <f ca="1">IFERROR(SUMIFS('RES balance'!AF$5:AF$25,'RES balance'!$D$5:$D$25,'RES Assumptions'!$A61)*AF61,"")</f>
        <v>0</v>
      </c>
      <c r="BM61" s="10">
        <f ca="1">IFERROR(SUMIFS('RES balance'!AG$5:AG$25,'RES balance'!$D$5:$D$25,'RES Assumptions'!$A61)*AG61,"")</f>
        <v>0</v>
      </c>
      <c r="BN61" s="10">
        <f ca="1">IFERROR(SUMIFS('RES balance'!AH$5:AH$25,'RES balance'!$D$5:$D$25,'RES Assumptions'!$A61)*AH61,"")</f>
        <v>0</v>
      </c>
    </row>
    <row r="62" spans="1:66" x14ac:dyDescent="0.45">
      <c r="A62" s="8" t="str">
        <f>VLOOKUP(C62,'RES balance'!$AL$5:$AM$25,2,FALSE)</f>
        <v>RESSTH</v>
      </c>
      <c r="B62" s="36"/>
      <c r="C62" s="20" t="s">
        <v>81</v>
      </c>
      <c r="D62" s="21" t="s">
        <v>64</v>
      </c>
      <c r="E62" s="14">
        <f ca="1">OFFSET('RES Assumptions T15'!$D62,0,MATCH(VLOOKUP('RES Assumptions'!E$2,'RES Assumptions T15'!$V$3:$W$35,2,FALSE),'RES Assumptions T15'!$E$2:$S$2,0))</f>
        <v>1</v>
      </c>
      <c r="F62" s="14">
        <f ca="1">OFFSET('RES Assumptions T15'!$D62,0,MATCH(VLOOKUP('RES Assumptions'!F$2,'RES Assumptions T15'!$V$3:$W$35,2,FALSE),'RES Assumptions T15'!$E$2:$S$2,0))</f>
        <v>1</v>
      </c>
      <c r="G62" s="14">
        <f ca="1">OFFSET('RES Assumptions T15'!$D62,0,MATCH(VLOOKUP('RES Assumptions'!G$2,'RES Assumptions T15'!$V$3:$W$35,2,FALSE),'RES Assumptions T15'!$E$2:$S$2,0))</f>
        <v>1</v>
      </c>
      <c r="H62" s="14">
        <f ca="1">OFFSET('RES Assumptions T15'!$D62,0,MATCH(VLOOKUP('RES Assumptions'!H$2,'RES Assumptions T15'!$V$3:$W$35,2,FALSE),'RES Assumptions T15'!$E$2:$S$2,0))</f>
        <v>1</v>
      </c>
      <c r="I62" s="14">
        <f ca="1">OFFSET('RES Assumptions T15'!$D62,0,MATCH(VLOOKUP('RES Assumptions'!I$2,'RES Assumptions T15'!$V$3:$W$35,2,FALSE),'RES Assumptions T15'!$E$2:$S$2,0))</f>
        <v>1</v>
      </c>
      <c r="J62" s="14">
        <f ca="1">OFFSET('RES Assumptions T15'!$D62,0,MATCH(VLOOKUP('RES Assumptions'!J$2,'RES Assumptions T15'!$V$3:$W$35,2,FALSE),'RES Assumptions T15'!$E$2:$S$2,0))</f>
        <v>1</v>
      </c>
      <c r="K62" s="14">
        <f ca="1">OFFSET('RES Assumptions T15'!$D62,0,MATCH(VLOOKUP('RES Assumptions'!K$2,'RES Assumptions T15'!$V$3:$W$35,2,FALSE),'RES Assumptions T15'!$E$2:$S$2,0))</f>
        <v>1</v>
      </c>
      <c r="L62" s="14">
        <f ca="1">OFFSET('RES Assumptions T15'!$D62,0,MATCH(VLOOKUP('RES Assumptions'!L$2,'RES Assumptions T15'!$V$3:$W$35,2,FALSE),'RES Assumptions T15'!$E$2:$S$2,0))</f>
        <v>1</v>
      </c>
      <c r="M62" s="14">
        <f ca="1">OFFSET('RES Assumptions T15'!$D62,0,MATCH(VLOOKUP('RES Assumptions'!M$2,'RES Assumptions T15'!$V$3:$W$35,2,FALSE),'RES Assumptions T15'!$E$2:$S$2,0))</f>
        <v>1</v>
      </c>
      <c r="N62" s="14">
        <f ca="1">OFFSET('RES Assumptions T15'!$D62,0,MATCH(VLOOKUP('RES Assumptions'!N$2,'RES Assumptions T15'!$V$3:$W$35,2,FALSE),'RES Assumptions T15'!$E$2:$S$2,0))</f>
        <v>1</v>
      </c>
      <c r="O62" s="14">
        <f ca="1">OFFSET('RES Assumptions T15'!$D62,0,MATCH(VLOOKUP('RES Assumptions'!O$2,'RES Assumptions T15'!$V$3:$W$35,2,FALSE),'RES Assumptions T15'!$E$2:$S$2,0))</f>
        <v>1</v>
      </c>
      <c r="P62" s="14">
        <f ca="1">OFFSET('RES Assumptions T15'!$D62,0,MATCH(VLOOKUP('RES Assumptions'!P$2,'RES Assumptions T15'!$V$3:$W$35,2,FALSE),'RES Assumptions T15'!$E$2:$S$2,0))</f>
        <v>1</v>
      </c>
      <c r="Q62" s="14">
        <f ca="1">OFFSET('RES Assumptions T15'!$D62,0,MATCH(VLOOKUP('RES Assumptions'!Q$2,'RES Assumptions T15'!$V$3:$W$35,2,FALSE),'RES Assumptions T15'!$E$2:$S$2,0))</f>
        <v>1</v>
      </c>
      <c r="R62" s="14">
        <f ca="1">OFFSET('RES Assumptions T15'!$D62,0,MATCH(VLOOKUP('RES Assumptions'!R$2,'RES Assumptions T15'!$V$3:$W$35,2,FALSE),'RES Assumptions T15'!$E$2:$S$2,0))</f>
        <v>1</v>
      </c>
      <c r="S62" s="14">
        <f ca="1">OFFSET('RES Assumptions T15'!$D62,0,MATCH(VLOOKUP('RES Assumptions'!S$2,'RES Assumptions T15'!$V$3:$W$35,2,FALSE),'RES Assumptions T15'!$E$2:$S$2,0))</f>
        <v>1</v>
      </c>
      <c r="T62" s="14">
        <f ca="1">OFFSET('RES Assumptions T15'!$D62,0,MATCH(VLOOKUP('RES Assumptions'!T$2,'RES Assumptions T15'!$V$3:$W$35,2,FALSE),'RES Assumptions T15'!$E$2:$S$2,0))</f>
        <v>1</v>
      </c>
      <c r="U62" s="14">
        <f ca="1">OFFSET('RES Assumptions T15'!$D62,0,MATCH(VLOOKUP('RES Assumptions'!U$2,'RES Assumptions T15'!$V$3:$W$35,2,FALSE),'RES Assumptions T15'!$E$2:$S$2,0))</f>
        <v>1</v>
      </c>
      <c r="V62" s="14">
        <f ca="1">OFFSET('RES Assumptions T15'!$D62,0,MATCH(VLOOKUP('RES Assumptions'!V$2,'RES Assumptions T15'!$V$3:$W$35,2,FALSE),'RES Assumptions T15'!$E$2:$S$2,0))</f>
        <v>1</v>
      </c>
      <c r="W62" s="14">
        <f ca="1">OFFSET('RES Assumptions T15'!$D62,0,MATCH(VLOOKUP('RES Assumptions'!W$2,'RES Assumptions T15'!$V$3:$W$35,2,FALSE),'RES Assumptions T15'!$E$2:$S$2,0))</f>
        <v>1</v>
      </c>
      <c r="X62" s="14">
        <f ca="1">OFFSET('RES Assumptions T15'!$D62,0,MATCH(VLOOKUP('RES Assumptions'!X$2,'RES Assumptions T15'!$V$3:$W$35,2,FALSE),'RES Assumptions T15'!$E$2:$S$2,0))</f>
        <v>1</v>
      </c>
      <c r="Y62" s="14">
        <f ca="1">OFFSET('RES Assumptions T15'!$D62,0,MATCH(VLOOKUP('RES Assumptions'!Y$2,'RES Assumptions T15'!$V$3:$W$35,2,FALSE),'RES Assumptions T15'!$E$2:$S$2,0))</f>
        <v>1</v>
      </c>
      <c r="Z62" s="14">
        <f ca="1">OFFSET('RES Assumptions T15'!$D62,0,MATCH(VLOOKUP('RES Assumptions'!Z$2,'RES Assumptions T15'!$V$3:$W$35,2,FALSE),'RES Assumptions T15'!$E$2:$S$2,0))</f>
        <v>1</v>
      </c>
      <c r="AA62" s="14">
        <f ca="1">OFFSET('RES Assumptions T15'!$D62,0,MATCH(VLOOKUP('RES Assumptions'!AA$2,'RES Assumptions T15'!$V$3:$W$35,2,FALSE),'RES Assumptions T15'!$E$2:$S$2,0))</f>
        <v>1</v>
      </c>
      <c r="AB62" s="14">
        <f ca="1">OFFSET('RES Assumptions T15'!$D62,0,MATCH(VLOOKUP('RES Assumptions'!AB$2,'RES Assumptions T15'!$V$3:$W$35,2,FALSE),'RES Assumptions T15'!$E$2:$S$2,0))</f>
        <v>1</v>
      </c>
      <c r="AC62" s="14">
        <f ca="1">OFFSET('RES Assumptions T15'!$D62,0,MATCH(VLOOKUP('RES Assumptions'!AC$2,'RES Assumptions T15'!$V$3:$W$35,2,FALSE),'RES Assumptions T15'!$E$2:$S$2,0))</f>
        <v>1</v>
      </c>
      <c r="AD62" s="14">
        <f ca="1">OFFSET('RES Assumptions T15'!$D62,0,MATCH(VLOOKUP('RES Assumptions'!AD$2,'RES Assumptions T15'!$V$3:$W$35,2,FALSE),'RES Assumptions T15'!$E$2:$S$2,0))</f>
        <v>1</v>
      </c>
      <c r="AE62" s="14">
        <f ca="1">OFFSET('RES Assumptions T15'!$D62,0,MATCH(VLOOKUP('RES Assumptions'!AE$2,'RES Assumptions T15'!$V$3:$W$35,2,FALSE),'RES Assumptions T15'!$E$2:$S$2,0))</f>
        <v>1</v>
      </c>
      <c r="AF62" s="14">
        <f ca="1">OFFSET('RES Assumptions T15'!$D62,0,MATCH(VLOOKUP('RES Assumptions'!AF$2,'RES Assumptions T15'!$V$3:$W$35,2,FALSE),'RES Assumptions T15'!$E$2:$S$2,0))</f>
        <v>1</v>
      </c>
      <c r="AG62" s="14">
        <f ca="1">OFFSET('RES Assumptions T15'!$D62,0,MATCH(VLOOKUP('RES Assumptions'!AG$2,'RES Assumptions T15'!$V$3:$W$35,2,FALSE),'RES Assumptions T15'!$E$2:$S$2,0))</f>
        <v>1</v>
      </c>
      <c r="AH62" s="14">
        <f ca="1">OFFSET('RES Assumptions T15'!$D62,0,MATCH(VLOOKUP('RES Assumptions'!AH$2,'RES Assumptions T15'!$V$3:$W$35,2,FALSE),'RES Assumptions T15'!$E$2:$S$2,0))</f>
        <v>1</v>
      </c>
      <c r="AK62" s="10">
        <f ca="1">IFERROR(SUMIFS('RES balance'!E$5:E$25,'RES balance'!$D$5:$D$25,'RES Assumptions'!$A62)*E62,"")</f>
        <v>2.4618384</v>
      </c>
      <c r="AL62" s="10">
        <f ca="1">IFERROR(SUMIFS('RES balance'!F$5:F$25,'RES balance'!$D$5:$D$25,'RES Assumptions'!$A62)*F62,"")</f>
        <v>0</v>
      </c>
      <c r="AM62" s="10">
        <f ca="1">IFERROR(SUMIFS('RES balance'!G$5:G$25,'RES balance'!$D$5:$D$25,'RES Assumptions'!$A62)*G62,"")</f>
        <v>0</v>
      </c>
      <c r="AN62" s="10">
        <f ca="1">IFERROR(SUMIFS('RES balance'!H$5:H$25,'RES balance'!$D$5:$D$25,'RES Assumptions'!$A62)*H62,"")</f>
        <v>0.18249423840000001</v>
      </c>
      <c r="AO62" s="10">
        <f ca="1">IFERROR(SUMIFS('RES balance'!I$5:I$25,'RES balance'!$D$5:$D$25,'RES Assumptions'!$A62)*I62,"")</f>
        <v>7.8229436903999998</v>
      </c>
      <c r="AP62" s="10">
        <f ca="1">IFERROR(SUMIFS('RES balance'!J$5:J$25,'RES balance'!$D$5:$D$25,'RES Assumptions'!$A62)*J62,"")</f>
        <v>3.6995067216000002</v>
      </c>
      <c r="AQ62" s="10">
        <f ca="1">IFERROR(SUMIFS('RES balance'!K$5:K$25,'RES balance'!$D$5:$D$25,'RES Assumptions'!$A62)*K62,"")</f>
        <v>17.385871219199998</v>
      </c>
      <c r="AR62" s="10">
        <f ca="1">IFERROR(SUMIFS('RES balance'!L$5:L$25,'RES balance'!$D$5:$D$25,'RES Assumptions'!$A62)*L62,"")</f>
        <v>0</v>
      </c>
      <c r="AS62" s="10">
        <f ca="1">IFERROR(SUMIFS('RES balance'!M$5:M$25,'RES balance'!$D$5:$D$25,'RES Assumptions'!$A62)*M62,"")</f>
        <v>0</v>
      </c>
      <c r="AT62" s="10">
        <f ca="1">IFERROR(SUMIFS('RES balance'!N$5:N$25,'RES balance'!$D$5:$D$25,'RES Assumptions'!$A62)*N62,"")</f>
        <v>878.68799909639995</v>
      </c>
      <c r="AU62" s="10">
        <f ca="1">IFERROR(SUMIFS('RES balance'!O$5:O$25,'RES balance'!$D$5:$D$25,'RES Assumptions'!$A62)*O62,"")</f>
        <v>1.0563380136</v>
      </c>
      <c r="AV62" s="10">
        <f ca="1">IFERROR(SUMIFS('RES balance'!P$5:P$25,'RES balance'!$D$5:$D$25,'RES Assumptions'!$A62)*P62,"")</f>
        <v>8.3708032176000007</v>
      </c>
      <c r="AW62" s="10">
        <f ca="1">IFERROR(SUMIFS('RES balance'!Q$5:Q$25,'RES balance'!$D$5:$D$25,'RES Assumptions'!$A62)*Q62,"")</f>
        <v>2.6307087912</v>
      </c>
      <c r="AX62" s="10">
        <f ca="1">IFERROR(SUMIFS('RES balance'!R$5:R$25,'RES balance'!$D$5:$D$25,'RES Assumptions'!$A62)*R62,"")</f>
        <v>21.3284761092</v>
      </c>
      <c r="AY62" s="10">
        <f ca="1">IFERROR(SUMIFS('RES balance'!S$5:S$25,'RES balance'!$D$5:$D$25,'RES Assumptions'!$A62)*S62,"")</f>
        <v>1.9036793448</v>
      </c>
      <c r="AZ62" s="10">
        <f ca="1">IFERROR(SUMIFS('RES balance'!T$5:T$25,'RES balance'!$D$5:$D$25,'RES Assumptions'!$A62)*T62,"")</f>
        <v>13.0607728416</v>
      </c>
      <c r="BA62" s="10">
        <f ca="1">IFERROR(SUMIFS('RES balance'!U$5:U$25,'RES balance'!$D$5:$D$25,'RES Assumptions'!$A62)*U62,"")</f>
        <v>24.963531231600001</v>
      </c>
      <c r="BB62" s="10">
        <f ca="1">IFERROR(SUMIFS('RES balance'!V$5:V$25,'RES balance'!$D$5:$D$25,'RES Assumptions'!$A62)*V62,"")</f>
        <v>7.1510125320000002</v>
      </c>
      <c r="BC62" s="10">
        <f ca="1">IFERROR(SUMIFS('RES balance'!W$5:W$25,'RES balance'!$D$5:$D$25,'RES Assumptions'!$A62)*W62,"")</f>
        <v>29.210997963600001</v>
      </c>
      <c r="BD62" s="10">
        <f ca="1">IFERROR(SUMIFS('RES balance'!X$5:X$25,'RES balance'!$D$5:$D$25,'RES Assumptions'!$A62)*X62,"")</f>
        <v>37.015636964400002</v>
      </c>
      <c r="BE62" s="10">
        <f ca="1">IFERROR(SUMIFS('RES balance'!Y$5:Y$25,'RES balance'!$D$5:$D$25,'RES Assumptions'!$A62)*Y62,"")</f>
        <v>1.207452186</v>
      </c>
      <c r="BF62" s="10">
        <f ca="1">IFERROR(SUMIFS('RES balance'!Z$5:Z$25,'RES balance'!$D$5:$D$25,'RES Assumptions'!$A62)*Z62,"")</f>
        <v>7.8850004399999998</v>
      </c>
      <c r="BG62" s="10">
        <f ca="1">IFERROR(SUMIFS('RES balance'!AA$5:AA$25,'RES balance'!$D$5:$D$25,'RES Assumptions'!$A62)*AA62,"")</f>
        <v>23.267131981199999</v>
      </c>
      <c r="BH62" s="10">
        <f ca="1">IFERROR(SUMIFS('RES balance'!AB$5:AB$25,'RES balance'!$D$5:$D$25,'RES Assumptions'!$A62)*AB62,"")</f>
        <v>0</v>
      </c>
      <c r="BI62" s="10">
        <f ca="1">IFERROR(SUMIFS('RES balance'!AC$5:AC$25,'RES balance'!$D$5:$D$25,'RES Assumptions'!$A62)*AC62,"")</f>
        <v>0</v>
      </c>
      <c r="BJ62" s="10">
        <f ca="1">IFERROR(SUMIFS('RES balance'!AD$5:AD$25,'RES balance'!$D$5:$D$25,'RES Assumptions'!$A62)*AD62,"")</f>
        <v>0</v>
      </c>
      <c r="BK62" s="10">
        <f ca="1">IFERROR(SUMIFS('RES balance'!AE$5:AE$25,'RES balance'!$D$5:$D$25,'RES Assumptions'!$A62)*AE62,"")</f>
        <v>0</v>
      </c>
      <c r="BL62" s="10">
        <f ca="1">IFERROR(SUMIFS('RES balance'!AF$5:AF$25,'RES balance'!$D$5:$D$25,'RES Assumptions'!$A62)*AF62,"")</f>
        <v>1.5130006631999999</v>
      </c>
      <c r="BM62" s="10">
        <f ca="1">IFERROR(SUMIFS('RES balance'!AG$5:AG$25,'RES balance'!$D$5:$D$25,'RES Assumptions'!$A62)*AG62,"")</f>
        <v>37.389911763599997</v>
      </c>
      <c r="BN62" s="10">
        <f ca="1">IFERROR(SUMIFS('RES balance'!AH$5:AH$25,'RES balance'!$D$5:$D$25,'RES Assumptions'!$A62)*AH62,"")</f>
        <v>0</v>
      </c>
    </row>
    <row r="63" spans="1:66" x14ac:dyDescent="0.45">
      <c r="A63" s="8" t="str">
        <f>VLOOKUP(C63,'RES balance'!$AL$5:$AM$25,2,FALSE)</f>
        <v>RESSTH</v>
      </c>
      <c r="B63" s="36"/>
      <c r="C63" s="20" t="s">
        <v>81</v>
      </c>
      <c r="D63" s="21" t="s">
        <v>67</v>
      </c>
      <c r="E63" s="14">
        <f ca="1">OFFSET('RES Assumptions T15'!$D63,0,MATCH(VLOOKUP('RES Assumptions'!E$2,'RES Assumptions T15'!$V$3:$W$35,2,FALSE),'RES Assumptions T15'!$E$2:$S$2,0))</f>
        <v>0</v>
      </c>
      <c r="F63" s="14">
        <f ca="1">OFFSET('RES Assumptions T15'!$D63,0,MATCH(VLOOKUP('RES Assumptions'!F$2,'RES Assumptions T15'!$V$3:$W$35,2,FALSE),'RES Assumptions T15'!$E$2:$S$2,0))</f>
        <v>0</v>
      </c>
      <c r="G63" s="14">
        <f ca="1">OFFSET('RES Assumptions T15'!$D63,0,MATCH(VLOOKUP('RES Assumptions'!G$2,'RES Assumptions T15'!$V$3:$W$35,2,FALSE),'RES Assumptions T15'!$E$2:$S$2,0))</f>
        <v>0</v>
      </c>
      <c r="H63" s="14">
        <f ca="1">OFFSET('RES Assumptions T15'!$D63,0,MATCH(VLOOKUP('RES Assumptions'!H$2,'RES Assumptions T15'!$V$3:$W$35,2,FALSE),'RES Assumptions T15'!$E$2:$S$2,0))</f>
        <v>0</v>
      </c>
      <c r="I63" s="14">
        <f ca="1">OFFSET('RES Assumptions T15'!$D63,0,MATCH(VLOOKUP('RES Assumptions'!I$2,'RES Assumptions T15'!$V$3:$W$35,2,FALSE),'RES Assumptions T15'!$E$2:$S$2,0))</f>
        <v>0</v>
      </c>
      <c r="J63" s="14">
        <f ca="1">OFFSET('RES Assumptions T15'!$D63,0,MATCH(VLOOKUP('RES Assumptions'!J$2,'RES Assumptions T15'!$V$3:$W$35,2,FALSE),'RES Assumptions T15'!$E$2:$S$2,0))</f>
        <v>0</v>
      </c>
      <c r="K63" s="14">
        <f ca="1">OFFSET('RES Assumptions T15'!$D63,0,MATCH(VLOOKUP('RES Assumptions'!K$2,'RES Assumptions T15'!$V$3:$W$35,2,FALSE),'RES Assumptions T15'!$E$2:$S$2,0))</f>
        <v>0</v>
      </c>
      <c r="L63" s="14">
        <f ca="1">OFFSET('RES Assumptions T15'!$D63,0,MATCH(VLOOKUP('RES Assumptions'!L$2,'RES Assumptions T15'!$V$3:$W$35,2,FALSE),'RES Assumptions T15'!$E$2:$S$2,0))</f>
        <v>0</v>
      </c>
      <c r="M63" s="14">
        <f ca="1">OFFSET('RES Assumptions T15'!$D63,0,MATCH(VLOOKUP('RES Assumptions'!M$2,'RES Assumptions T15'!$V$3:$W$35,2,FALSE),'RES Assumptions T15'!$E$2:$S$2,0))</f>
        <v>0</v>
      </c>
      <c r="N63" s="14">
        <f ca="1">OFFSET('RES Assumptions T15'!$D63,0,MATCH(VLOOKUP('RES Assumptions'!N$2,'RES Assumptions T15'!$V$3:$W$35,2,FALSE),'RES Assumptions T15'!$E$2:$S$2,0))</f>
        <v>0</v>
      </c>
      <c r="O63" s="14">
        <f ca="1">OFFSET('RES Assumptions T15'!$D63,0,MATCH(VLOOKUP('RES Assumptions'!O$2,'RES Assumptions T15'!$V$3:$W$35,2,FALSE),'RES Assumptions T15'!$E$2:$S$2,0))</f>
        <v>0</v>
      </c>
      <c r="P63" s="14">
        <f ca="1">OFFSET('RES Assumptions T15'!$D63,0,MATCH(VLOOKUP('RES Assumptions'!P$2,'RES Assumptions T15'!$V$3:$W$35,2,FALSE),'RES Assumptions T15'!$E$2:$S$2,0))</f>
        <v>0</v>
      </c>
      <c r="Q63" s="14">
        <f ca="1">OFFSET('RES Assumptions T15'!$D63,0,MATCH(VLOOKUP('RES Assumptions'!Q$2,'RES Assumptions T15'!$V$3:$W$35,2,FALSE),'RES Assumptions T15'!$E$2:$S$2,0))</f>
        <v>0</v>
      </c>
      <c r="R63" s="14">
        <f ca="1">OFFSET('RES Assumptions T15'!$D63,0,MATCH(VLOOKUP('RES Assumptions'!R$2,'RES Assumptions T15'!$V$3:$W$35,2,FALSE),'RES Assumptions T15'!$E$2:$S$2,0))</f>
        <v>0</v>
      </c>
      <c r="S63" s="14">
        <f ca="1">OFFSET('RES Assumptions T15'!$D63,0,MATCH(VLOOKUP('RES Assumptions'!S$2,'RES Assumptions T15'!$V$3:$W$35,2,FALSE),'RES Assumptions T15'!$E$2:$S$2,0))</f>
        <v>0</v>
      </c>
      <c r="T63" s="14">
        <f ca="1">OFFSET('RES Assumptions T15'!$D63,0,MATCH(VLOOKUP('RES Assumptions'!T$2,'RES Assumptions T15'!$V$3:$W$35,2,FALSE),'RES Assumptions T15'!$E$2:$S$2,0))</f>
        <v>0</v>
      </c>
      <c r="U63" s="14">
        <f ca="1">OFFSET('RES Assumptions T15'!$D63,0,MATCH(VLOOKUP('RES Assumptions'!U$2,'RES Assumptions T15'!$V$3:$W$35,2,FALSE),'RES Assumptions T15'!$E$2:$S$2,0))</f>
        <v>0</v>
      </c>
      <c r="V63" s="14">
        <f ca="1">OFFSET('RES Assumptions T15'!$D63,0,MATCH(VLOOKUP('RES Assumptions'!V$2,'RES Assumptions T15'!$V$3:$W$35,2,FALSE),'RES Assumptions T15'!$E$2:$S$2,0))</f>
        <v>0</v>
      </c>
      <c r="W63" s="14">
        <f ca="1">OFFSET('RES Assumptions T15'!$D63,0,MATCH(VLOOKUP('RES Assumptions'!W$2,'RES Assumptions T15'!$V$3:$W$35,2,FALSE),'RES Assumptions T15'!$E$2:$S$2,0))</f>
        <v>0</v>
      </c>
      <c r="X63" s="14">
        <f ca="1">OFFSET('RES Assumptions T15'!$D63,0,MATCH(VLOOKUP('RES Assumptions'!X$2,'RES Assumptions T15'!$V$3:$W$35,2,FALSE),'RES Assumptions T15'!$E$2:$S$2,0))</f>
        <v>0</v>
      </c>
      <c r="Y63" s="14">
        <f ca="1">OFFSET('RES Assumptions T15'!$D63,0,MATCH(VLOOKUP('RES Assumptions'!Y$2,'RES Assumptions T15'!$V$3:$W$35,2,FALSE),'RES Assumptions T15'!$E$2:$S$2,0))</f>
        <v>0</v>
      </c>
      <c r="Z63" s="14">
        <f ca="1">OFFSET('RES Assumptions T15'!$D63,0,MATCH(VLOOKUP('RES Assumptions'!Z$2,'RES Assumptions T15'!$V$3:$W$35,2,FALSE),'RES Assumptions T15'!$E$2:$S$2,0))</f>
        <v>0</v>
      </c>
      <c r="AA63" s="14">
        <f ca="1">OFFSET('RES Assumptions T15'!$D63,0,MATCH(VLOOKUP('RES Assumptions'!AA$2,'RES Assumptions T15'!$V$3:$W$35,2,FALSE),'RES Assumptions T15'!$E$2:$S$2,0))</f>
        <v>0</v>
      </c>
      <c r="AB63" s="14">
        <f ca="1">OFFSET('RES Assumptions T15'!$D63,0,MATCH(VLOOKUP('RES Assumptions'!AB$2,'RES Assumptions T15'!$V$3:$W$35,2,FALSE),'RES Assumptions T15'!$E$2:$S$2,0))</f>
        <v>0</v>
      </c>
      <c r="AC63" s="14">
        <f ca="1">OFFSET('RES Assumptions T15'!$D63,0,MATCH(VLOOKUP('RES Assumptions'!AC$2,'RES Assumptions T15'!$V$3:$W$35,2,FALSE),'RES Assumptions T15'!$E$2:$S$2,0))</f>
        <v>0</v>
      </c>
      <c r="AD63" s="14">
        <f ca="1">OFFSET('RES Assumptions T15'!$D63,0,MATCH(VLOOKUP('RES Assumptions'!AD$2,'RES Assumptions T15'!$V$3:$W$35,2,FALSE),'RES Assumptions T15'!$E$2:$S$2,0))</f>
        <v>0</v>
      </c>
      <c r="AE63" s="14">
        <f ca="1">OFFSET('RES Assumptions T15'!$D63,0,MATCH(VLOOKUP('RES Assumptions'!AE$2,'RES Assumptions T15'!$V$3:$W$35,2,FALSE),'RES Assumptions T15'!$E$2:$S$2,0))</f>
        <v>0</v>
      </c>
      <c r="AF63" s="14">
        <f ca="1">OFFSET('RES Assumptions T15'!$D63,0,MATCH(VLOOKUP('RES Assumptions'!AF$2,'RES Assumptions T15'!$V$3:$W$35,2,FALSE),'RES Assumptions T15'!$E$2:$S$2,0))</f>
        <v>0</v>
      </c>
      <c r="AG63" s="14">
        <f ca="1">OFFSET('RES Assumptions T15'!$D63,0,MATCH(VLOOKUP('RES Assumptions'!AG$2,'RES Assumptions T15'!$V$3:$W$35,2,FALSE),'RES Assumptions T15'!$E$2:$S$2,0))</f>
        <v>0</v>
      </c>
      <c r="AH63" s="14">
        <f ca="1">OFFSET('RES Assumptions T15'!$D63,0,MATCH(VLOOKUP('RES Assumptions'!AH$2,'RES Assumptions T15'!$V$3:$W$35,2,FALSE),'RES Assumptions T15'!$E$2:$S$2,0))</f>
        <v>0</v>
      </c>
      <c r="AK63" s="10">
        <f ca="1">IFERROR(SUMIFS('RES balance'!E$5:E$25,'RES balance'!$D$5:$D$25,'RES Assumptions'!$A63)*E63,"")</f>
        <v>0</v>
      </c>
      <c r="AL63" s="10">
        <f ca="1">IFERROR(SUMIFS('RES balance'!F$5:F$25,'RES balance'!$D$5:$D$25,'RES Assumptions'!$A63)*F63,"")</f>
        <v>0</v>
      </c>
      <c r="AM63" s="10">
        <f ca="1">IFERROR(SUMIFS('RES balance'!G$5:G$25,'RES balance'!$D$5:$D$25,'RES Assumptions'!$A63)*G63,"")</f>
        <v>0</v>
      </c>
      <c r="AN63" s="10">
        <f ca="1">IFERROR(SUMIFS('RES balance'!H$5:H$25,'RES balance'!$D$5:$D$25,'RES Assumptions'!$A63)*H63,"")</f>
        <v>0</v>
      </c>
      <c r="AO63" s="10">
        <f ca="1">IFERROR(SUMIFS('RES balance'!I$5:I$25,'RES balance'!$D$5:$D$25,'RES Assumptions'!$A63)*I63,"")</f>
        <v>0</v>
      </c>
      <c r="AP63" s="10">
        <f ca="1">IFERROR(SUMIFS('RES balance'!J$5:J$25,'RES balance'!$D$5:$D$25,'RES Assumptions'!$A63)*J63,"")</f>
        <v>0</v>
      </c>
      <c r="AQ63" s="10">
        <f ca="1">IFERROR(SUMIFS('RES balance'!K$5:K$25,'RES balance'!$D$5:$D$25,'RES Assumptions'!$A63)*K63,"")</f>
        <v>0</v>
      </c>
      <c r="AR63" s="10">
        <f ca="1">IFERROR(SUMIFS('RES balance'!L$5:L$25,'RES balance'!$D$5:$D$25,'RES Assumptions'!$A63)*L63,"")</f>
        <v>0</v>
      </c>
      <c r="AS63" s="10">
        <f ca="1">IFERROR(SUMIFS('RES balance'!M$5:M$25,'RES balance'!$D$5:$D$25,'RES Assumptions'!$A63)*M63,"")</f>
        <v>0</v>
      </c>
      <c r="AT63" s="10">
        <f ca="1">IFERROR(SUMIFS('RES balance'!N$5:N$25,'RES balance'!$D$5:$D$25,'RES Assumptions'!$A63)*N63,"")</f>
        <v>0</v>
      </c>
      <c r="AU63" s="10">
        <f ca="1">IFERROR(SUMIFS('RES balance'!O$5:O$25,'RES balance'!$D$5:$D$25,'RES Assumptions'!$A63)*O63,"")</f>
        <v>0</v>
      </c>
      <c r="AV63" s="10">
        <f ca="1">IFERROR(SUMIFS('RES balance'!P$5:P$25,'RES balance'!$D$5:$D$25,'RES Assumptions'!$A63)*P63,"")</f>
        <v>0</v>
      </c>
      <c r="AW63" s="10">
        <f ca="1">IFERROR(SUMIFS('RES balance'!Q$5:Q$25,'RES balance'!$D$5:$D$25,'RES Assumptions'!$A63)*Q63,"")</f>
        <v>0</v>
      </c>
      <c r="AX63" s="10">
        <f ca="1">IFERROR(SUMIFS('RES balance'!R$5:R$25,'RES balance'!$D$5:$D$25,'RES Assumptions'!$A63)*R63,"")</f>
        <v>0</v>
      </c>
      <c r="AY63" s="10">
        <f ca="1">IFERROR(SUMIFS('RES balance'!S$5:S$25,'RES balance'!$D$5:$D$25,'RES Assumptions'!$A63)*S63,"")</f>
        <v>0</v>
      </c>
      <c r="AZ63" s="10">
        <f ca="1">IFERROR(SUMIFS('RES balance'!T$5:T$25,'RES balance'!$D$5:$D$25,'RES Assumptions'!$A63)*T63,"")</f>
        <v>0</v>
      </c>
      <c r="BA63" s="10">
        <f ca="1">IFERROR(SUMIFS('RES balance'!U$5:U$25,'RES balance'!$D$5:$D$25,'RES Assumptions'!$A63)*U63,"")</f>
        <v>0</v>
      </c>
      <c r="BB63" s="10">
        <f ca="1">IFERROR(SUMIFS('RES balance'!V$5:V$25,'RES balance'!$D$5:$D$25,'RES Assumptions'!$A63)*V63,"")</f>
        <v>0</v>
      </c>
      <c r="BC63" s="10">
        <f ca="1">IFERROR(SUMIFS('RES balance'!W$5:W$25,'RES balance'!$D$5:$D$25,'RES Assumptions'!$A63)*W63,"")</f>
        <v>0</v>
      </c>
      <c r="BD63" s="10">
        <f ca="1">IFERROR(SUMIFS('RES balance'!X$5:X$25,'RES balance'!$D$5:$D$25,'RES Assumptions'!$A63)*X63,"")</f>
        <v>0</v>
      </c>
      <c r="BE63" s="10">
        <f ca="1">IFERROR(SUMIFS('RES balance'!Y$5:Y$25,'RES balance'!$D$5:$D$25,'RES Assumptions'!$A63)*Y63,"")</f>
        <v>0</v>
      </c>
      <c r="BF63" s="10">
        <f ca="1">IFERROR(SUMIFS('RES balance'!Z$5:Z$25,'RES balance'!$D$5:$D$25,'RES Assumptions'!$A63)*Z63,"")</f>
        <v>0</v>
      </c>
      <c r="BG63" s="10">
        <f ca="1">IFERROR(SUMIFS('RES balance'!AA$5:AA$25,'RES balance'!$D$5:$D$25,'RES Assumptions'!$A63)*AA63,"")</f>
        <v>0</v>
      </c>
      <c r="BH63" s="10">
        <f ca="1">IFERROR(SUMIFS('RES balance'!AB$5:AB$25,'RES balance'!$D$5:$D$25,'RES Assumptions'!$A63)*AB63,"")</f>
        <v>0</v>
      </c>
      <c r="BI63" s="10">
        <f ca="1">IFERROR(SUMIFS('RES balance'!AC$5:AC$25,'RES balance'!$D$5:$D$25,'RES Assumptions'!$A63)*AC63,"")</f>
        <v>0</v>
      </c>
      <c r="BJ63" s="10">
        <f ca="1">IFERROR(SUMIFS('RES balance'!AD$5:AD$25,'RES balance'!$D$5:$D$25,'RES Assumptions'!$A63)*AD63,"")</f>
        <v>0</v>
      </c>
      <c r="BK63" s="10">
        <f ca="1">IFERROR(SUMIFS('RES balance'!AE$5:AE$25,'RES balance'!$D$5:$D$25,'RES Assumptions'!$A63)*AE63,"")</f>
        <v>0</v>
      </c>
      <c r="BL63" s="10">
        <f ca="1">IFERROR(SUMIFS('RES balance'!AF$5:AF$25,'RES balance'!$D$5:$D$25,'RES Assumptions'!$A63)*AF63,"")</f>
        <v>0</v>
      </c>
      <c r="BM63" s="10">
        <f ca="1">IFERROR(SUMIFS('RES balance'!AG$5:AG$25,'RES balance'!$D$5:$D$25,'RES Assumptions'!$A63)*AG63,"")</f>
        <v>0</v>
      </c>
      <c r="BN63" s="10">
        <f ca="1">IFERROR(SUMIFS('RES balance'!AH$5:AH$25,'RES balance'!$D$5:$D$25,'RES Assumptions'!$A63)*AH63,"")</f>
        <v>0</v>
      </c>
    </row>
    <row r="64" spans="1:66" x14ac:dyDescent="0.45">
      <c r="A64" s="8" t="str">
        <f>VLOOKUP(C64,'RES balance'!$AL$5:$AM$25,2,FALSE)</f>
        <v>RESSTH</v>
      </c>
      <c r="B64" s="36"/>
      <c r="C64" s="22" t="s">
        <v>81</v>
      </c>
      <c r="D64" s="23" t="s">
        <v>70</v>
      </c>
      <c r="E64" s="14">
        <f ca="1">OFFSET('RES Assumptions T15'!$D64,0,MATCH(VLOOKUP('RES Assumptions'!E$2,'RES Assumptions T15'!$V$3:$W$35,2,FALSE),'RES Assumptions T15'!$E$2:$S$2,0))</f>
        <v>0</v>
      </c>
      <c r="F64" s="14">
        <f ca="1">OFFSET('RES Assumptions T15'!$D64,0,MATCH(VLOOKUP('RES Assumptions'!F$2,'RES Assumptions T15'!$V$3:$W$35,2,FALSE),'RES Assumptions T15'!$E$2:$S$2,0))</f>
        <v>0</v>
      </c>
      <c r="G64" s="14">
        <f ca="1">OFFSET('RES Assumptions T15'!$D64,0,MATCH(VLOOKUP('RES Assumptions'!G$2,'RES Assumptions T15'!$V$3:$W$35,2,FALSE),'RES Assumptions T15'!$E$2:$S$2,0))</f>
        <v>0</v>
      </c>
      <c r="H64" s="14">
        <f ca="1">OFFSET('RES Assumptions T15'!$D64,0,MATCH(VLOOKUP('RES Assumptions'!H$2,'RES Assumptions T15'!$V$3:$W$35,2,FALSE),'RES Assumptions T15'!$E$2:$S$2,0))</f>
        <v>0</v>
      </c>
      <c r="I64" s="14">
        <f ca="1">OFFSET('RES Assumptions T15'!$D64,0,MATCH(VLOOKUP('RES Assumptions'!I$2,'RES Assumptions T15'!$V$3:$W$35,2,FALSE),'RES Assumptions T15'!$E$2:$S$2,0))</f>
        <v>0</v>
      </c>
      <c r="J64" s="14">
        <f ca="1">OFFSET('RES Assumptions T15'!$D64,0,MATCH(VLOOKUP('RES Assumptions'!J$2,'RES Assumptions T15'!$V$3:$W$35,2,FALSE),'RES Assumptions T15'!$E$2:$S$2,0))</f>
        <v>0</v>
      </c>
      <c r="K64" s="14">
        <f ca="1">OFFSET('RES Assumptions T15'!$D64,0,MATCH(VLOOKUP('RES Assumptions'!K$2,'RES Assumptions T15'!$V$3:$W$35,2,FALSE),'RES Assumptions T15'!$E$2:$S$2,0))</f>
        <v>0</v>
      </c>
      <c r="L64" s="14">
        <f ca="1">OFFSET('RES Assumptions T15'!$D64,0,MATCH(VLOOKUP('RES Assumptions'!L$2,'RES Assumptions T15'!$V$3:$W$35,2,FALSE),'RES Assumptions T15'!$E$2:$S$2,0))</f>
        <v>0</v>
      </c>
      <c r="M64" s="14">
        <f ca="1">OFFSET('RES Assumptions T15'!$D64,0,MATCH(VLOOKUP('RES Assumptions'!M$2,'RES Assumptions T15'!$V$3:$W$35,2,FALSE),'RES Assumptions T15'!$E$2:$S$2,0))</f>
        <v>0</v>
      </c>
      <c r="N64" s="14">
        <f ca="1">OFFSET('RES Assumptions T15'!$D64,0,MATCH(VLOOKUP('RES Assumptions'!N$2,'RES Assumptions T15'!$V$3:$W$35,2,FALSE),'RES Assumptions T15'!$E$2:$S$2,0))</f>
        <v>0</v>
      </c>
      <c r="O64" s="14">
        <f ca="1">OFFSET('RES Assumptions T15'!$D64,0,MATCH(VLOOKUP('RES Assumptions'!O$2,'RES Assumptions T15'!$V$3:$W$35,2,FALSE),'RES Assumptions T15'!$E$2:$S$2,0))</f>
        <v>0</v>
      </c>
      <c r="P64" s="14">
        <f ca="1">OFFSET('RES Assumptions T15'!$D64,0,MATCH(VLOOKUP('RES Assumptions'!P$2,'RES Assumptions T15'!$V$3:$W$35,2,FALSE),'RES Assumptions T15'!$E$2:$S$2,0))</f>
        <v>0</v>
      </c>
      <c r="Q64" s="14">
        <f ca="1">OFFSET('RES Assumptions T15'!$D64,0,MATCH(VLOOKUP('RES Assumptions'!Q$2,'RES Assumptions T15'!$V$3:$W$35,2,FALSE),'RES Assumptions T15'!$E$2:$S$2,0))</f>
        <v>0</v>
      </c>
      <c r="R64" s="14">
        <f ca="1">OFFSET('RES Assumptions T15'!$D64,0,MATCH(VLOOKUP('RES Assumptions'!R$2,'RES Assumptions T15'!$V$3:$W$35,2,FALSE),'RES Assumptions T15'!$E$2:$S$2,0))</f>
        <v>0</v>
      </c>
      <c r="S64" s="14">
        <f ca="1">OFFSET('RES Assumptions T15'!$D64,0,MATCH(VLOOKUP('RES Assumptions'!S$2,'RES Assumptions T15'!$V$3:$W$35,2,FALSE),'RES Assumptions T15'!$E$2:$S$2,0))</f>
        <v>0</v>
      </c>
      <c r="T64" s="14">
        <f ca="1">OFFSET('RES Assumptions T15'!$D64,0,MATCH(VLOOKUP('RES Assumptions'!T$2,'RES Assumptions T15'!$V$3:$W$35,2,FALSE),'RES Assumptions T15'!$E$2:$S$2,0))</f>
        <v>0</v>
      </c>
      <c r="U64" s="14">
        <f ca="1">OFFSET('RES Assumptions T15'!$D64,0,MATCH(VLOOKUP('RES Assumptions'!U$2,'RES Assumptions T15'!$V$3:$W$35,2,FALSE),'RES Assumptions T15'!$E$2:$S$2,0))</f>
        <v>0</v>
      </c>
      <c r="V64" s="14">
        <f ca="1">OFFSET('RES Assumptions T15'!$D64,0,MATCH(VLOOKUP('RES Assumptions'!V$2,'RES Assumptions T15'!$V$3:$W$35,2,FALSE),'RES Assumptions T15'!$E$2:$S$2,0))</f>
        <v>0</v>
      </c>
      <c r="W64" s="14">
        <f ca="1">OFFSET('RES Assumptions T15'!$D64,0,MATCH(VLOOKUP('RES Assumptions'!W$2,'RES Assumptions T15'!$V$3:$W$35,2,FALSE),'RES Assumptions T15'!$E$2:$S$2,0))</f>
        <v>0</v>
      </c>
      <c r="X64" s="14">
        <f ca="1">OFFSET('RES Assumptions T15'!$D64,0,MATCH(VLOOKUP('RES Assumptions'!X$2,'RES Assumptions T15'!$V$3:$W$35,2,FALSE),'RES Assumptions T15'!$E$2:$S$2,0))</f>
        <v>0</v>
      </c>
      <c r="Y64" s="14">
        <f ca="1">OFFSET('RES Assumptions T15'!$D64,0,MATCH(VLOOKUP('RES Assumptions'!Y$2,'RES Assumptions T15'!$V$3:$W$35,2,FALSE),'RES Assumptions T15'!$E$2:$S$2,0))</f>
        <v>0</v>
      </c>
      <c r="Z64" s="14">
        <f ca="1">OFFSET('RES Assumptions T15'!$D64,0,MATCH(VLOOKUP('RES Assumptions'!Z$2,'RES Assumptions T15'!$V$3:$W$35,2,FALSE),'RES Assumptions T15'!$E$2:$S$2,0))</f>
        <v>0</v>
      </c>
      <c r="AA64" s="14">
        <f ca="1">OFFSET('RES Assumptions T15'!$D64,0,MATCH(VLOOKUP('RES Assumptions'!AA$2,'RES Assumptions T15'!$V$3:$W$35,2,FALSE),'RES Assumptions T15'!$E$2:$S$2,0))</f>
        <v>0</v>
      </c>
      <c r="AB64" s="14">
        <f ca="1">OFFSET('RES Assumptions T15'!$D64,0,MATCH(VLOOKUP('RES Assumptions'!AB$2,'RES Assumptions T15'!$V$3:$W$35,2,FALSE),'RES Assumptions T15'!$E$2:$S$2,0))</f>
        <v>0</v>
      </c>
      <c r="AC64" s="14">
        <f ca="1">OFFSET('RES Assumptions T15'!$D64,0,MATCH(VLOOKUP('RES Assumptions'!AC$2,'RES Assumptions T15'!$V$3:$W$35,2,FALSE),'RES Assumptions T15'!$E$2:$S$2,0))</f>
        <v>0</v>
      </c>
      <c r="AD64" s="14">
        <f ca="1">OFFSET('RES Assumptions T15'!$D64,0,MATCH(VLOOKUP('RES Assumptions'!AD$2,'RES Assumptions T15'!$V$3:$W$35,2,FALSE),'RES Assumptions T15'!$E$2:$S$2,0))</f>
        <v>0</v>
      </c>
      <c r="AE64" s="14">
        <f ca="1">OFFSET('RES Assumptions T15'!$D64,0,MATCH(VLOOKUP('RES Assumptions'!AE$2,'RES Assumptions T15'!$V$3:$W$35,2,FALSE),'RES Assumptions T15'!$E$2:$S$2,0))</f>
        <v>0</v>
      </c>
      <c r="AF64" s="14">
        <f ca="1">OFFSET('RES Assumptions T15'!$D64,0,MATCH(VLOOKUP('RES Assumptions'!AF$2,'RES Assumptions T15'!$V$3:$W$35,2,FALSE),'RES Assumptions T15'!$E$2:$S$2,0))</f>
        <v>0</v>
      </c>
      <c r="AG64" s="14">
        <f ca="1">OFFSET('RES Assumptions T15'!$D64,0,MATCH(VLOOKUP('RES Assumptions'!AG$2,'RES Assumptions T15'!$V$3:$W$35,2,FALSE),'RES Assumptions T15'!$E$2:$S$2,0))</f>
        <v>0</v>
      </c>
      <c r="AH64" s="14">
        <f ca="1">OFFSET('RES Assumptions T15'!$D64,0,MATCH(VLOOKUP('RES Assumptions'!AH$2,'RES Assumptions T15'!$V$3:$W$35,2,FALSE),'RES Assumptions T15'!$E$2:$S$2,0))</f>
        <v>0</v>
      </c>
      <c r="AK64" s="10">
        <f ca="1">IFERROR(SUMIFS('RES balance'!E$5:E$25,'RES balance'!$D$5:$D$25,'RES Assumptions'!$A64)*E64,"")</f>
        <v>0</v>
      </c>
      <c r="AL64" s="10">
        <f ca="1">IFERROR(SUMIFS('RES balance'!F$5:F$25,'RES balance'!$D$5:$D$25,'RES Assumptions'!$A64)*F64,"")</f>
        <v>0</v>
      </c>
      <c r="AM64" s="10">
        <f ca="1">IFERROR(SUMIFS('RES balance'!G$5:G$25,'RES balance'!$D$5:$D$25,'RES Assumptions'!$A64)*G64,"")</f>
        <v>0</v>
      </c>
      <c r="AN64" s="10">
        <f ca="1">IFERROR(SUMIFS('RES balance'!H$5:H$25,'RES balance'!$D$5:$D$25,'RES Assumptions'!$A64)*H64,"")</f>
        <v>0</v>
      </c>
      <c r="AO64" s="10">
        <f ca="1">IFERROR(SUMIFS('RES balance'!I$5:I$25,'RES balance'!$D$5:$D$25,'RES Assumptions'!$A64)*I64,"")</f>
        <v>0</v>
      </c>
      <c r="AP64" s="10">
        <f ca="1">IFERROR(SUMIFS('RES balance'!J$5:J$25,'RES balance'!$D$5:$D$25,'RES Assumptions'!$A64)*J64,"")</f>
        <v>0</v>
      </c>
      <c r="AQ64" s="10">
        <f ca="1">IFERROR(SUMIFS('RES balance'!K$5:K$25,'RES balance'!$D$5:$D$25,'RES Assumptions'!$A64)*K64,"")</f>
        <v>0</v>
      </c>
      <c r="AR64" s="10">
        <f ca="1">IFERROR(SUMIFS('RES balance'!L$5:L$25,'RES balance'!$D$5:$D$25,'RES Assumptions'!$A64)*L64,"")</f>
        <v>0</v>
      </c>
      <c r="AS64" s="10">
        <f ca="1">IFERROR(SUMIFS('RES balance'!M$5:M$25,'RES balance'!$D$5:$D$25,'RES Assumptions'!$A64)*M64,"")</f>
        <v>0</v>
      </c>
      <c r="AT64" s="10">
        <f ca="1">IFERROR(SUMIFS('RES balance'!N$5:N$25,'RES balance'!$D$5:$D$25,'RES Assumptions'!$A64)*N64,"")</f>
        <v>0</v>
      </c>
      <c r="AU64" s="10">
        <f ca="1">IFERROR(SUMIFS('RES balance'!O$5:O$25,'RES balance'!$D$5:$D$25,'RES Assumptions'!$A64)*O64,"")</f>
        <v>0</v>
      </c>
      <c r="AV64" s="10">
        <f ca="1">IFERROR(SUMIFS('RES balance'!P$5:P$25,'RES balance'!$D$5:$D$25,'RES Assumptions'!$A64)*P64,"")</f>
        <v>0</v>
      </c>
      <c r="AW64" s="10">
        <f ca="1">IFERROR(SUMIFS('RES balance'!Q$5:Q$25,'RES balance'!$D$5:$D$25,'RES Assumptions'!$A64)*Q64,"")</f>
        <v>0</v>
      </c>
      <c r="AX64" s="10">
        <f ca="1">IFERROR(SUMIFS('RES balance'!R$5:R$25,'RES balance'!$D$5:$D$25,'RES Assumptions'!$A64)*R64,"")</f>
        <v>0</v>
      </c>
      <c r="AY64" s="10">
        <f ca="1">IFERROR(SUMIFS('RES balance'!S$5:S$25,'RES balance'!$D$5:$D$25,'RES Assumptions'!$A64)*S64,"")</f>
        <v>0</v>
      </c>
      <c r="AZ64" s="10">
        <f ca="1">IFERROR(SUMIFS('RES balance'!T$5:T$25,'RES balance'!$D$5:$D$25,'RES Assumptions'!$A64)*T64,"")</f>
        <v>0</v>
      </c>
      <c r="BA64" s="10">
        <f ca="1">IFERROR(SUMIFS('RES balance'!U$5:U$25,'RES balance'!$D$5:$D$25,'RES Assumptions'!$A64)*U64,"")</f>
        <v>0</v>
      </c>
      <c r="BB64" s="10">
        <f ca="1">IFERROR(SUMIFS('RES balance'!V$5:V$25,'RES balance'!$D$5:$D$25,'RES Assumptions'!$A64)*V64,"")</f>
        <v>0</v>
      </c>
      <c r="BC64" s="10">
        <f ca="1">IFERROR(SUMIFS('RES balance'!W$5:W$25,'RES balance'!$D$5:$D$25,'RES Assumptions'!$A64)*W64,"")</f>
        <v>0</v>
      </c>
      <c r="BD64" s="10">
        <f ca="1">IFERROR(SUMIFS('RES balance'!X$5:X$25,'RES balance'!$D$5:$D$25,'RES Assumptions'!$A64)*X64,"")</f>
        <v>0</v>
      </c>
      <c r="BE64" s="10">
        <f ca="1">IFERROR(SUMIFS('RES balance'!Y$5:Y$25,'RES balance'!$D$5:$D$25,'RES Assumptions'!$A64)*Y64,"")</f>
        <v>0</v>
      </c>
      <c r="BF64" s="10">
        <f ca="1">IFERROR(SUMIFS('RES balance'!Z$5:Z$25,'RES balance'!$D$5:$D$25,'RES Assumptions'!$A64)*Z64,"")</f>
        <v>0</v>
      </c>
      <c r="BG64" s="10">
        <f ca="1">IFERROR(SUMIFS('RES balance'!AA$5:AA$25,'RES balance'!$D$5:$D$25,'RES Assumptions'!$A64)*AA64,"")</f>
        <v>0</v>
      </c>
      <c r="BH64" s="10">
        <f ca="1">IFERROR(SUMIFS('RES balance'!AB$5:AB$25,'RES balance'!$D$5:$D$25,'RES Assumptions'!$A64)*AB64,"")</f>
        <v>0</v>
      </c>
      <c r="BI64" s="10">
        <f ca="1">IFERROR(SUMIFS('RES balance'!AC$5:AC$25,'RES balance'!$D$5:$D$25,'RES Assumptions'!$A64)*AC64,"")</f>
        <v>0</v>
      </c>
      <c r="BJ64" s="10">
        <f ca="1">IFERROR(SUMIFS('RES balance'!AD$5:AD$25,'RES balance'!$D$5:$D$25,'RES Assumptions'!$A64)*AD64,"")</f>
        <v>0</v>
      </c>
      <c r="BK64" s="10">
        <f ca="1">IFERROR(SUMIFS('RES balance'!AE$5:AE$25,'RES balance'!$D$5:$D$25,'RES Assumptions'!$A64)*AE64,"")</f>
        <v>0</v>
      </c>
      <c r="BL64" s="10">
        <f ca="1">IFERROR(SUMIFS('RES balance'!AF$5:AF$25,'RES balance'!$D$5:$D$25,'RES Assumptions'!$A64)*AF64,"")</f>
        <v>0</v>
      </c>
      <c r="BM64" s="10">
        <f ca="1">IFERROR(SUMIFS('RES balance'!AG$5:AG$25,'RES balance'!$D$5:$D$25,'RES Assumptions'!$A64)*AG64,"")</f>
        <v>0</v>
      </c>
      <c r="BN64" s="10">
        <f ca="1">IFERROR(SUMIFS('RES balance'!AH$5:AH$25,'RES balance'!$D$5:$D$25,'RES Assumptions'!$A64)*AH64,"")</f>
        <v>0</v>
      </c>
    </row>
    <row r="65" spans="1:51" x14ac:dyDescent="0.45">
      <c r="A65" s="8"/>
      <c r="B65" s="36"/>
      <c r="C65" s="20"/>
      <c r="D65" s="21"/>
      <c r="E65" s="14"/>
      <c r="F65" s="14"/>
      <c r="G65" s="14"/>
      <c r="H65" s="49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</row>
    <row r="66" spans="1:51" ht="23.25" x14ac:dyDescent="0.7">
      <c r="A66" s="8"/>
      <c r="B66" s="8"/>
      <c r="C66" s="50" t="s">
        <v>284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51" x14ac:dyDescent="0.45">
      <c r="A67" s="8"/>
      <c r="B67" s="8"/>
      <c r="C67" s="5" t="s">
        <v>90</v>
      </c>
      <c r="D67" s="6"/>
      <c r="E67" s="36">
        <v>3</v>
      </c>
      <c r="F67" s="36">
        <f>E67+1</f>
        <v>4</v>
      </c>
      <c r="G67" s="36">
        <f t="shared" ref="G67:S67" si="2">F67+1</f>
        <v>5</v>
      </c>
      <c r="H67" s="36">
        <f t="shared" si="2"/>
        <v>6</v>
      </c>
      <c r="I67" s="36">
        <f t="shared" si="2"/>
        <v>7</v>
      </c>
      <c r="J67" s="36">
        <f t="shared" si="2"/>
        <v>8</v>
      </c>
      <c r="K67" s="36">
        <f t="shared" si="2"/>
        <v>9</v>
      </c>
      <c r="L67" s="36">
        <f t="shared" si="2"/>
        <v>10</v>
      </c>
      <c r="M67" s="36">
        <f t="shared" si="2"/>
        <v>11</v>
      </c>
      <c r="N67" s="36">
        <f t="shared" si="2"/>
        <v>12</v>
      </c>
      <c r="O67" s="36">
        <f t="shared" si="2"/>
        <v>13</v>
      </c>
      <c r="P67" s="36">
        <f t="shared" si="2"/>
        <v>14</v>
      </c>
      <c r="Q67" s="36">
        <f t="shared" si="2"/>
        <v>15</v>
      </c>
      <c r="R67" s="36">
        <f t="shared" si="2"/>
        <v>16</v>
      </c>
      <c r="S67" s="36">
        <f t="shared" si="2"/>
        <v>17</v>
      </c>
      <c r="T67" s="36">
        <f t="shared" ref="T67" si="3">S67+1</f>
        <v>18</v>
      </c>
      <c r="U67" s="36">
        <f t="shared" ref="U67" si="4">T67+1</f>
        <v>19</v>
      </c>
      <c r="V67" s="36">
        <f t="shared" ref="V67" si="5">U67+1</f>
        <v>20</v>
      </c>
      <c r="W67" s="36">
        <f t="shared" ref="W67" si="6">V67+1</f>
        <v>21</v>
      </c>
      <c r="X67" s="36">
        <f t="shared" ref="X67" si="7">W67+1</f>
        <v>22</v>
      </c>
      <c r="Y67" s="36">
        <f t="shared" ref="Y67" si="8">X67+1</f>
        <v>23</v>
      </c>
      <c r="Z67" s="36">
        <f t="shared" ref="Z67" si="9">Y67+1</f>
        <v>24</v>
      </c>
      <c r="AA67" s="36">
        <f t="shared" ref="AA67" si="10">Z67+1</f>
        <v>25</v>
      </c>
      <c r="AB67" s="36">
        <f t="shared" ref="AB67" si="11">AA67+1</f>
        <v>26</v>
      </c>
      <c r="AC67" s="36">
        <f t="shared" ref="AC67" si="12">AB67+1</f>
        <v>27</v>
      </c>
      <c r="AD67" s="36">
        <f t="shared" ref="AD67" si="13">AC67+1</f>
        <v>28</v>
      </c>
      <c r="AE67" s="36">
        <f t="shared" ref="AE67" si="14">AD67+1</f>
        <v>29</v>
      </c>
      <c r="AF67" s="36">
        <f t="shared" ref="AF67" si="15">AE67+1</f>
        <v>30</v>
      </c>
      <c r="AG67" s="36">
        <f t="shared" ref="AG67" si="16">AF67+1</f>
        <v>31</v>
      </c>
      <c r="AH67" s="36">
        <f t="shared" ref="AH67" si="17">AG67+1</f>
        <v>32</v>
      </c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</row>
    <row r="68" spans="1:51" x14ac:dyDescent="0.45">
      <c r="A68" s="37" t="str">
        <f>B68&amp;D68</f>
        <v>RHRESNGA</v>
      </c>
      <c r="B68" s="6" t="s">
        <v>62</v>
      </c>
      <c r="C68" s="6" t="s">
        <v>170</v>
      </c>
      <c r="D68" s="6" t="s">
        <v>46</v>
      </c>
      <c r="E68" s="14">
        <f ca="1">OFFSET('RES Assumptions T15'!$D68,0,MATCH(VLOOKUP('RES Assumptions'!E$2,'RES Assumptions T15'!$V$3:$W$35,2,FALSE),'RES Assumptions T15'!$E$2:$S$2,0))</f>
        <v>0.999</v>
      </c>
      <c r="F68" s="14">
        <f ca="1">OFFSET('RES Assumptions T15'!$D68,0,MATCH(VLOOKUP('RES Assumptions'!F$2,'RES Assumptions T15'!$V$3:$W$35,2,FALSE),'RES Assumptions T15'!$E$2:$S$2,0))</f>
        <v>0.999</v>
      </c>
      <c r="G68" s="14">
        <f ca="1">OFFSET('RES Assumptions T15'!$D68,0,MATCH(VLOOKUP('RES Assumptions'!G$2,'RES Assumptions T15'!$V$3:$W$35,2,FALSE),'RES Assumptions T15'!$E$2:$S$2,0))</f>
        <v>0.99990000000000001</v>
      </c>
      <c r="H68" s="14">
        <f ca="1">OFFSET('RES Assumptions T15'!$D68,0,MATCH(VLOOKUP('RES Assumptions'!H$2,'RES Assumptions T15'!$V$3:$W$35,2,FALSE),'RES Assumptions T15'!$E$2:$S$2,0))</f>
        <v>0.999</v>
      </c>
      <c r="I68" s="14">
        <f ca="1">OFFSET('RES Assumptions T15'!$D68,0,MATCH(VLOOKUP('RES Assumptions'!I$2,'RES Assumptions T15'!$V$3:$W$35,2,FALSE),'RES Assumptions T15'!$E$2:$S$2,0))</f>
        <v>0.95</v>
      </c>
      <c r="J68" s="14">
        <f ca="1">OFFSET('RES Assumptions T15'!$D68,0,MATCH(VLOOKUP('RES Assumptions'!J$2,'RES Assumptions T15'!$V$3:$W$35,2,FALSE),'RES Assumptions T15'!$E$2:$S$2,0))</f>
        <v>0.999</v>
      </c>
      <c r="K68" s="14">
        <f ca="1">OFFSET('RES Assumptions T15'!$D68,0,MATCH(VLOOKUP('RES Assumptions'!K$2,'RES Assumptions T15'!$V$3:$W$35,2,FALSE),'RES Assumptions T15'!$E$2:$S$2,0))</f>
        <v>0.999</v>
      </c>
      <c r="L68" s="14">
        <f ca="1">OFFSET('RES Assumptions T15'!$D68,0,MATCH(VLOOKUP('RES Assumptions'!L$2,'RES Assumptions T15'!$V$3:$W$35,2,FALSE),'RES Assumptions T15'!$E$2:$S$2,0))</f>
        <v>0.99990000000000001</v>
      </c>
      <c r="M68" s="14">
        <f ca="1">OFFSET('RES Assumptions T15'!$D68,0,MATCH(VLOOKUP('RES Assumptions'!M$2,'RES Assumptions T15'!$V$3:$W$35,2,FALSE),'RES Assumptions T15'!$E$2:$S$2,0))</f>
        <v>0.95</v>
      </c>
      <c r="N68" s="14">
        <f ca="1">OFFSET('RES Assumptions T15'!$D68,0,MATCH(VLOOKUP('RES Assumptions'!N$2,'RES Assumptions T15'!$V$3:$W$35,2,FALSE),'RES Assumptions T15'!$E$2:$S$2,0))</f>
        <v>0.99</v>
      </c>
      <c r="O68" s="14">
        <f ca="1">OFFSET('RES Assumptions T15'!$D68,0,MATCH(VLOOKUP('RES Assumptions'!O$2,'RES Assumptions T15'!$V$3:$W$35,2,FALSE),'RES Assumptions T15'!$E$2:$S$2,0))</f>
        <v>0.99</v>
      </c>
      <c r="P68" s="14">
        <f ca="1">OFFSET('RES Assumptions T15'!$D68,0,MATCH(VLOOKUP('RES Assumptions'!P$2,'RES Assumptions T15'!$V$3:$W$35,2,FALSE),'RES Assumptions T15'!$E$2:$S$2,0))</f>
        <v>0.999</v>
      </c>
      <c r="Q68" s="14">
        <f ca="1">OFFSET('RES Assumptions T15'!$D68,0,MATCH(VLOOKUP('RES Assumptions'!Q$2,'RES Assumptions T15'!$V$3:$W$35,2,FALSE),'RES Assumptions T15'!$E$2:$S$2,0))</f>
        <v>0.99</v>
      </c>
      <c r="R68" s="14">
        <f ca="1">OFFSET('RES Assumptions T15'!$D68,0,MATCH(VLOOKUP('RES Assumptions'!R$2,'RES Assumptions T15'!$V$3:$W$35,2,FALSE),'RES Assumptions T15'!$E$2:$S$2,0))</f>
        <v>0.99</v>
      </c>
      <c r="S68" s="14">
        <f ca="1">OFFSET('RES Assumptions T15'!$D68,0,MATCH(VLOOKUP('RES Assumptions'!S$2,'RES Assumptions T15'!$V$3:$W$35,2,FALSE),'RES Assumptions T15'!$E$2:$S$2,0))</f>
        <v>0.999</v>
      </c>
      <c r="T68" s="14">
        <f ca="1">OFFSET('RES Assumptions T15'!$D68,0,MATCH(VLOOKUP('RES Assumptions'!T$2,'RES Assumptions T15'!$V$3:$W$35,2,FALSE),'RES Assumptions T15'!$E$2:$S$2,0))</f>
        <v>0.99</v>
      </c>
      <c r="U68" s="14">
        <f ca="1">OFFSET('RES Assumptions T15'!$D68,0,MATCH(VLOOKUP('RES Assumptions'!U$2,'RES Assumptions T15'!$V$3:$W$35,2,FALSE),'RES Assumptions T15'!$E$2:$S$2,0))</f>
        <v>0.999</v>
      </c>
      <c r="V68" s="14">
        <f ca="1">OFFSET('RES Assumptions T15'!$D68,0,MATCH(VLOOKUP('RES Assumptions'!V$2,'RES Assumptions T15'!$V$3:$W$35,2,FALSE),'RES Assumptions T15'!$E$2:$S$2,0))</f>
        <v>0.99</v>
      </c>
      <c r="W68" s="14">
        <f ca="1">OFFSET('RES Assumptions T15'!$D68,0,MATCH(VLOOKUP('RES Assumptions'!W$2,'RES Assumptions T15'!$V$3:$W$35,2,FALSE),'RES Assumptions T15'!$E$2:$S$2,0))</f>
        <v>0.99</v>
      </c>
      <c r="X68" s="14">
        <f ca="1">OFFSET('RES Assumptions T15'!$D68,0,MATCH(VLOOKUP('RES Assumptions'!X$2,'RES Assumptions T15'!$V$3:$W$35,2,FALSE),'RES Assumptions T15'!$E$2:$S$2,0))</f>
        <v>0.99990000000000001</v>
      </c>
      <c r="Y68" s="14">
        <f ca="1">OFFSET('RES Assumptions T15'!$D68,0,MATCH(VLOOKUP('RES Assumptions'!Y$2,'RES Assumptions T15'!$V$3:$W$35,2,FALSE),'RES Assumptions T15'!$E$2:$S$2,0))</f>
        <v>0.99990000000000001</v>
      </c>
      <c r="Z68" s="14">
        <f ca="1">OFFSET('RES Assumptions T15'!$D68,0,MATCH(VLOOKUP('RES Assumptions'!Z$2,'RES Assumptions T15'!$V$3:$W$35,2,FALSE),'RES Assumptions T15'!$E$2:$S$2,0))</f>
        <v>0.99990000000000001</v>
      </c>
      <c r="AA68" s="14">
        <f ca="1">OFFSET('RES Assumptions T15'!$D68,0,MATCH(VLOOKUP('RES Assumptions'!AA$2,'RES Assumptions T15'!$V$3:$W$35,2,FALSE),'RES Assumptions T15'!$E$2:$S$2,0))</f>
        <v>0.999</v>
      </c>
      <c r="AB68" s="14">
        <f ca="1">OFFSET('RES Assumptions T15'!$D68,0,MATCH(VLOOKUP('RES Assumptions'!AB$2,'RES Assumptions T15'!$V$3:$W$35,2,FALSE),'RES Assumptions T15'!$E$2:$S$2,0))</f>
        <v>0.99</v>
      </c>
      <c r="AC68" s="14">
        <f ca="1">OFFSET('RES Assumptions T15'!$D68,0,MATCH(VLOOKUP('RES Assumptions'!AC$2,'RES Assumptions T15'!$V$3:$W$35,2,FALSE),'RES Assumptions T15'!$E$2:$S$2,0))</f>
        <v>0.999</v>
      </c>
      <c r="AD68" s="14">
        <f ca="1">OFFSET('RES Assumptions T15'!$D68,0,MATCH(VLOOKUP('RES Assumptions'!AD$2,'RES Assumptions T15'!$V$3:$W$35,2,FALSE),'RES Assumptions T15'!$E$2:$S$2,0))</f>
        <v>0.999</v>
      </c>
      <c r="AE68" s="14">
        <f ca="1">OFFSET('RES Assumptions T15'!$D68,0,MATCH(VLOOKUP('RES Assumptions'!AE$2,'RES Assumptions T15'!$V$3:$W$35,2,FALSE),'RES Assumptions T15'!$E$2:$S$2,0))</f>
        <v>0.999</v>
      </c>
      <c r="AF68" s="14">
        <f ca="1">OFFSET('RES Assumptions T15'!$D68,0,MATCH(VLOOKUP('RES Assumptions'!AF$2,'RES Assumptions T15'!$V$3:$W$35,2,FALSE),'RES Assumptions T15'!$E$2:$S$2,0))</f>
        <v>0.99</v>
      </c>
      <c r="AG68" s="14">
        <f ca="1">OFFSET('RES Assumptions T15'!$D68,0,MATCH(VLOOKUP('RES Assumptions'!AG$2,'RES Assumptions T15'!$V$3:$W$35,2,FALSE),'RES Assumptions T15'!$E$2:$S$2,0))</f>
        <v>0.99969833854404921</v>
      </c>
      <c r="AH68" s="14">
        <f ca="1">OFFSET('RES Assumptions T15'!$D68,0,MATCH(VLOOKUP('RES Assumptions'!AH$2,'RES Assumptions T15'!$V$3:$W$35,2,FALSE),'RES Assumptions T15'!$E$2:$S$2,0))</f>
        <v>0.99969833854404921</v>
      </c>
      <c r="AJ68" s="6" t="s">
        <v>92</v>
      </c>
    </row>
    <row r="69" spans="1:51" x14ac:dyDescent="0.45">
      <c r="A69" s="37" t="str">
        <f t="shared" ref="A69:A83" si="18">B69&amp;D69</f>
        <v>RHRESNGA</v>
      </c>
      <c r="B69" s="6" t="s">
        <v>62</v>
      </c>
      <c r="C69" s="6" t="s">
        <v>171</v>
      </c>
      <c r="D69" s="6" t="s">
        <v>46</v>
      </c>
      <c r="E69" s="14">
        <f ca="1">OFFSET('RES Assumptions T15'!$D69,0,MATCH(VLOOKUP('RES Assumptions'!E$2,'RES Assumptions T15'!$V$3:$W$35,2,FALSE),'RES Assumptions T15'!$E$2:$S$2,0))</f>
        <v>1E-3</v>
      </c>
      <c r="F69" s="14">
        <f ca="1">OFFSET('RES Assumptions T15'!$D69,0,MATCH(VLOOKUP('RES Assumptions'!F$2,'RES Assumptions T15'!$V$3:$W$35,2,FALSE),'RES Assumptions T15'!$E$2:$S$2,0))</f>
        <v>1E-3</v>
      </c>
      <c r="G69" s="14">
        <f ca="1">OFFSET('RES Assumptions T15'!$D69,0,MATCH(VLOOKUP('RES Assumptions'!G$2,'RES Assumptions T15'!$V$3:$W$35,2,FALSE),'RES Assumptions T15'!$E$2:$S$2,0))</f>
        <v>1E-4</v>
      </c>
      <c r="H69" s="14">
        <f ca="1">OFFSET('RES Assumptions T15'!$D69,0,MATCH(VLOOKUP('RES Assumptions'!H$2,'RES Assumptions T15'!$V$3:$W$35,2,FALSE),'RES Assumptions T15'!$E$2:$S$2,0))</f>
        <v>1E-3</v>
      </c>
      <c r="I69" s="14">
        <f ca="1">OFFSET('RES Assumptions T15'!$D69,0,MATCH(VLOOKUP('RES Assumptions'!I$2,'RES Assumptions T15'!$V$3:$W$35,2,FALSE),'RES Assumptions T15'!$E$2:$S$2,0))</f>
        <v>0.05</v>
      </c>
      <c r="J69" s="14">
        <f ca="1">OFFSET('RES Assumptions T15'!$D69,0,MATCH(VLOOKUP('RES Assumptions'!J$2,'RES Assumptions T15'!$V$3:$W$35,2,FALSE),'RES Assumptions T15'!$E$2:$S$2,0))</f>
        <v>1E-3</v>
      </c>
      <c r="K69" s="14">
        <f ca="1">OFFSET('RES Assumptions T15'!$D69,0,MATCH(VLOOKUP('RES Assumptions'!K$2,'RES Assumptions T15'!$V$3:$W$35,2,FALSE),'RES Assumptions T15'!$E$2:$S$2,0))</f>
        <v>1E-3</v>
      </c>
      <c r="L69" s="14">
        <f ca="1">OFFSET('RES Assumptions T15'!$D69,0,MATCH(VLOOKUP('RES Assumptions'!L$2,'RES Assumptions T15'!$V$3:$W$35,2,FALSE),'RES Assumptions T15'!$E$2:$S$2,0))</f>
        <v>1E-4</v>
      </c>
      <c r="M69" s="14">
        <f ca="1">OFFSET('RES Assumptions T15'!$D69,0,MATCH(VLOOKUP('RES Assumptions'!M$2,'RES Assumptions T15'!$V$3:$W$35,2,FALSE),'RES Assumptions T15'!$E$2:$S$2,0))</f>
        <v>0.05</v>
      </c>
      <c r="N69" s="14">
        <f ca="1">OFFSET('RES Assumptions T15'!$D69,0,MATCH(VLOOKUP('RES Assumptions'!N$2,'RES Assumptions T15'!$V$3:$W$35,2,FALSE),'RES Assumptions T15'!$E$2:$S$2,0))</f>
        <v>0.01</v>
      </c>
      <c r="O69" s="14">
        <f ca="1">OFFSET('RES Assumptions T15'!$D69,0,MATCH(VLOOKUP('RES Assumptions'!O$2,'RES Assumptions T15'!$V$3:$W$35,2,FALSE),'RES Assumptions T15'!$E$2:$S$2,0))</f>
        <v>0.01</v>
      </c>
      <c r="P69" s="14">
        <f ca="1">OFFSET('RES Assumptions T15'!$D69,0,MATCH(VLOOKUP('RES Assumptions'!P$2,'RES Assumptions T15'!$V$3:$W$35,2,FALSE),'RES Assumptions T15'!$E$2:$S$2,0))</f>
        <v>1E-3</v>
      </c>
      <c r="Q69" s="14">
        <f ca="1">OFFSET('RES Assumptions T15'!$D69,0,MATCH(VLOOKUP('RES Assumptions'!Q$2,'RES Assumptions T15'!$V$3:$W$35,2,FALSE),'RES Assumptions T15'!$E$2:$S$2,0))</f>
        <v>0.01</v>
      </c>
      <c r="R69" s="14">
        <f ca="1">OFFSET('RES Assumptions T15'!$D69,0,MATCH(VLOOKUP('RES Assumptions'!R$2,'RES Assumptions T15'!$V$3:$W$35,2,FALSE),'RES Assumptions T15'!$E$2:$S$2,0))</f>
        <v>0.01</v>
      </c>
      <c r="S69" s="14">
        <f ca="1">OFFSET('RES Assumptions T15'!$D69,0,MATCH(VLOOKUP('RES Assumptions'!S$2,'RES Assumptions T15'!$V$3:$W$35,2,FALSE),'RES Assumptions T15'!$E$2:$S$2,0))</f>
        <v>1E-3</v>
      </c>
      <c r="T69" s="14">
        <f ca="1">OFFSET('RES Assumptions T15'!$D69,0,MATCH(VLOOKUP('RES Assumptions'!T$2,'RES Assumptions T15'!$V$3:$W$35,2,FALSE),'RES Assumptions T15'!$E$2:$S$2,0))</f>
        <v>0.01</v>
      </c>
      <c r="U69" s="14">
        <f ca="1">OFFSET('RES Assumptions T15'!$D69,0,MATCH(VLOOKUP('RES Assumptions'!U$2,'RES Assumptions T15'!$V$3:$W$35,2,FALSE),'RES Assumptions T15'!$E$2:$S$2,0))</f>
        <v>1E-3</v>
      </c>
      <c r="V69" s="14">
        <f ca="1">OFFSET('RES Assumptions T15'!$D69,0,MATCH(VLOOKUP('RES Assumptions'!V$2,'RES Assumptions T15'!$V$3:$W$35,2,FALSE),'RES Assumptions T15'!$E$2:$S$2,0))</f>
        <v>0.01</v>
      </c>
      <c r="W69" s="14">
        <f ca="1">OFFSET('RES Assumptions T15'!$D69,0,MATCH(VLOOKUP('RES Assumptions'!W$2,'RES Assumptions T15'!$V$3:$W$35,2,FALSE),'RES Assumptions T15'!$E$2:$S$2,0))</f>
        <v>0.01</v>
      </c>
      <c r="X69" s="14">
        <f ca="1">OFFSET('RES Assumptions T15'!$D69,0,MATCH(VLOOKUP('RES Assumptions'!X$2,'RES Assumptions T15'!$V$3:$W$35,2,FALSE),'RES Assumptions T15'!$E$2:$S$2,0))</f>
        <v>1E-4</v>
      </c>
      <c r="Y69" s="14">
        <f ca="1">OFFSET('RES Assumptions T15'!$D69,0,MATCH(VLOOKUP('RES Assumptions'!Y$2,'RES Assumptions T15'!$V$3:$W$35,2,FALSE),'RES Assumptions T15'!$E$2:$S$2,0))</f>
        <v>1E-4</v>
      </c>
      <c r="Z69" s="14">
        <f ca="1">OFFSET('RES Assumptions T15'!$D69,0,MATCH(VLOOKUP('RES Assumptions'!Z$2,'RES Assumptions T15'!$V$3:$W$35,2,FALSE),'RES Assumptions T15'!$E$2:$S$2,0))</f>
        <v>1E-4</v>
      </c>
      <c r="AA69" s="14">
        <f ca="1">OFFSET('RES Assumptions T15'!$D69,0,MATCH(VLOOKUP('RES Assumptions'!AA$2,'RES Assumptions T15'!$V$3:$W$35,2,FALSE),'RES Assumptions T15'!$E$2:$S$2,0))</f>
        <v>1E-3</v>
      </c>
      <c r="AB69" s="14">
        <f ca="1">OFFSET('RES Assumptions T15'!$D69,0,MATCH(VLOOKUP('RES Assumptions'!AB$2,'RES Assumptions T15'!$V$3:$W$35,2,FALSE),'RES Assumptions T15'!$E$2:$S$2,0))</f>
        <v>0.01</v>
      </c>
      <c r="AC69" s="14">
        <f ca="1">OFFSET('RES Assumptions T15'!$D69,0,MATCH(VLOOKUP('RES Assumptions'!AC$2,'RES Assumptions T15'!$V$3:$W$35,2,FALSE),'RES Assumptions T15'!$E$2:$S$2,0))</f>
        <v>1E-3</v>
      </c>
      <c r="AD69" s="14">
        <f ca="1">OFFSET('RES Assumptions T15'!$D69,0,MATCH(VLOOKUP('RES Assumptions'!AD$2,'RES Assumptions T15'!$V$3:$W$35,2,FALSE),'RES Assumptions T15'!$E$2:$S$2,0))</f>
        <v>1E-3</v>
      </c>
      <c r="AE69" s="14">
        <f ca="1">OFFSET('RES Assumptions T15'!$D69,0,MATCH(VLOOKUP('RES Assumptions'!AE$2,'RES Assumptions T15'!$V$3:$W$35,2,FALSE),'RES Assumptions T15'!$E$2:$S$2,0))</f>
        <v>1E-3</v>
      </c>
      <c r="AF69" s="14">
        <f ca="1">OFFSET('RES Assumptions T15'!$D69,0,MATCH(VLOOKUP('RES Assumptions'!AF$2,'RES Assumptions T15'!$V$3:$W$35,2,FALSE),'RES Assumptions T15'!$E$2:$S$2,0))</f>
        <v>0.01</v>
      </c>
      <c r="AG69" s="14">
        <f ca="1">OFFSET('RES Assumptions T15'!$D69,0,MATCH(VLOOKUP('RES Assumptions'!AG$2,'RES Assumptions T15'!$V$3:$W$35,2,FALSE),'RES Assumptions T15'!$E$2:$S$2,0))</f>
        <v>3.0166145595074119E-4</v>
      </c>
      <c r="AH69" s="14">
        <f ca="1">OFFSET('RES Assumptions T15'!$D69,0,MATCH(VLOOKUP('RES Assumptions'!AH$2,'RES Assumptions T15'!$V$3:$W$35,2,FALSE),'RES Assumptions T15'!$E$2:$S$2,0))</f>
        <v>3.0166145595074119E-4</v>
      </c>
      <c r="AJ69" s="6" t="s">
        <v>94</v>
      </c>
    </row>
    <row r="70" spans="1:51" x14ac:dyDescent="0.45">
      <c r="A70" s="37" t="str">
        <f t="shared" si="18"/>
        <v>RHRESELC</v>
      </c>
      <c r="B70" s="6" t="s">
        <v>62</v>
      </c>
      <c r="C70" s="6" t="s">
        <v>169</v>
      </c>
      <c r="D70" s="6" t="s">
        <v>50</v>
      </c>
      <c r="E70" s="14">
        <f ca="1">OFFSET('RES Assumptions T15'!$D70,0,MATCH(VLOOKUP('RES Assumptions'!E$2,'RES Assumptions T15'!$V$3:$W$35,2,FALSE),'RES Assumptions T15'!$E$2:$S$2,0))</f>
        <v>0.99</v>
      </c>
      <c r="F70" s="14">
        <f ca="1">OFFSET('RES Assumptions T15'!$D70,0,MATCH(VLOOKUP('RES Assumptions'!F$2,'RES Assumptions T15'!$V$3:$W$35,2,FALSE),'RES Assumptions T15'!$E$2:$S$2,0))</f>
        <v>0.99</v>
      </c>
      <c r="G70" s="14">
        <f ca="1">OFFSET('RES Assumptions T15'!$D70,0,MATCH(VLOOKUP('RES Assumptions'!G$2,'RES Assumptions T15'!$V$3:$W$35,2,FALSE),'RES Assumptions T15'!$E$2:$S$2,0))</f>
        <v>0.999</v>
      </c>
      <c r="H70" s="14">
        <f ca="1">OFFSET('RES Assumptions T15'!$D70,0,MATCH(VLOOKUP('RES Assumptions'!H$2,'RES Assumptions T15'!$V$3:$W$35,2,FALSE),'RES Assumptions T15'!$E$2:$S$2,0))</f>
        <v>0.99</v>
      </c>
      <c r="I70" s="14">
        <f ca="1">OFFSET('RES Assumptions T15'!$D70,0,MATCH(VLOOKUP('RES Assumptions'!I$2,'RES Assumptions T15'!$V$3:$W$35,2,FALSE),'RES Assumptions T15'!$E$2:$S$2,0))</f>
        <v>0.55000000000000004</v>
      </c>
      <c r="J70" s="14">
        <f ca="1">OFFSET('RES Assumptions T15'!$D70,0,MATCH(VLOOKUP('RES Assumptions'!J$2,'RES Assumptions T15'!$V$3:$W$35,2,FALSE),'RES Assumptions T15'!$E$2:$S$2,0))</f>
        <v>0.999</v>
      </c>
      <c r="K70" s="14">
        <f ca="1">OFFSET('RES Assumptions T15'!$D70,0,MATCH(VLOOKUP('RES Assumptions'!K$2,'RES Assumptions T15'!$V$3:$W$35,2,FALSE),'RES Assumptions T15'!$E$2:$S$2,0))</f>
        <v>0.95</v>
      </c>
      <c r="L70" s="14">
        <f ca="1">OFFSET('RES Assumptions T15'!$D70,0,MATCH(VLOOKUP('RES Assumptions'!L$2,'RES Assumptions T15'!$V$3:$W$35,2,FALSE),'RES Assumptions T15'!$E$2:$S$2,0))</f>
        <v>0.999</v>
      </c>
      <c r="M70" s="14">
        <f ca="1">OFFSET('RES Assumptions T15'!$D70,0,MATCH(VLOOKUP('RES Assumptions'!M$2,'RES Assumptions T15'!$V$3:$W$35,2,FALSE),'RES Assumptions T15'!$E$2:$S$2,0))</f>
        <v>0.95</v>
      </c>
      <c r="N70" s="14">
        <f ca="1">OFFSET('RES Assumptions T15'!$D70,0,MATCH(VLOOKUP('RES Assumptions'!N$2,'RES Assumptions T15'!$V$3:$W$35,2,FALSE),'RES Assumptions T15'!$E$2:$S$2,0))</f>
        <v>0.90494999999999992</v>
      </c>
      <c r="O70" s="14">
        <f ca="1">OFFSET('RES Assumptions T15'!$D70,0,MATCH(VLOOKUP('RES Assumptions'!O$2,'RES Assumptions T15'!$V$3:$W$35,2,FALSE),'RES Assumptions T15'!$E$2:$S$2,0))</f>
        <v>0.84</v>
      </c>
      <c r="P70" s="14">
        <f ca="1">OFFSET('RES Assumptions T15'!$D70,0,MATCH(VLOOKUP('RES Assumptions'!P$2,'RES Assumptions T15'!$V$3:$W$35,2,FALSE),'RES Assumptions T15'!$E$2:$S$2,0))</f>
        <v>0.95</v>
      </c>
      <c r="Q70" s="14">
        <f ca="1">OFFSET('RES Assumptions T15'!$D70,0,MATCH(VLOOKUP('RES Assumptions'!Q$2,'RES Assumptions T15'!$V$3:$W$35,2,FALSE),'RES Assumptions T15'!$E$2:$S$2,0))</f>
        <v>0.84</v>
      </c>
      <c r="R70" s="14">
        <f ca="1">OFFSET('RES Assumptions T15'!$D70,0,MATCH(VLOOKUP('RES Assumptions'!R$2,'RES Assumptions T15'!$V$3:$W$35,2,FALSE),'RES Assumptions T15'!$E$2:$S$2,0))</f>
        <v>0.84</v>
      </c>
      <c r="S70" s="14">
        <f ca="1">OFFSET('RES Assumptions T15'!$D70,0,MATCH(VLOOKUP('RES Assumptions'!S$2,'RES Assumptions T15'!$V$3:$W$35,2,FALSE),'RES Assumptions T15'!$E$2:$S$2,0))</f>
        <v>0.95</v>
      </c>
      <c r="T70" s="14">
        <f ca="1">OFFSET('RES Assumptions T15'!$D70,0,MATCH(VLOOKUP('RES Assumptions'!T$2,'RES Assumptions T15'!$V$3:$W$35,2,FALSE),'RES Assumptions T15'!$E$2:$S$2,0))</f>
        <v>0.84</v>
      </c>
      <c r="U70" s="14">
        <f ca="1">OFFSET('RES Assumptions T15'!$D70,0,MATCH(VLOOKUP('RES Assumptions'!U$2,'RES Assumptions T15'!$V$3:$W$35,2,FALSE),'RES Assumptions T15'!$E$2:$S$2,0))</f>
        <v>0.9</v>
      </c>
      <c r="V70" s="14">
        <f ca="1">OFFSET('RES Assumptions T15'!$D70,0,MATCH(VLOOKUP('RES Assumptions'!V$2,'RES Assumptions T15'!$V$3:$W$35,2,FALSE),'RES Assumptions T15'!$E$2:$S$2,0))</f>
        <v>0.84</v>
      </c>
      <c r="W70" s="14">
        <f ca="1">OFFSET('RES Assumptions T15'!$D70,0,MATCH(VLOOKUP('RES Assumptions'!W$2,'RES Assumptions T15'!$V$3:$W$35,2,FALSE),'RES Assumptions T15'!$E$2:$S$2,0))</f>
        <v>0.84</v>
      </c>
      <c r="X70" s="14">
        <f ca="1">OFFSET('RES Assumptions T15'!$D70,0,MATCH(VLOOKUP('RES Assumptions'!X$2,'RES Assumptions T15'!$V$3:$W$35,2,FALSE),'RES Assumptions T15'!$E$2:$S$2,0))</f>
        <v>0.90089999999999992</v>
      </c>
      <c r="Y70" s="14">
        <f ca="1">OFFSET('RES Assumptions T15'!$D70,0,MATCH(VLOOKUP('RES Assumptions'!Y$2,'RES Assumptions T15'!$V$3:$W$35,2,FALSE),'RES Assumptions T15'!$E$2:$S$2,0))</f>
        <v>0.999</v>
      </c>
      <c r="Z70" s="14">
        <f ca="1">OFFSET('RES Assumptions T15'!$D70,0,MATCH(VLOOKUP('RES Assumptions'!Z$2,'RES Assumptions T15'!$V$3:$W$35,2,FALSE),'RES Assumptions T15'!$E$2:$S$2,0))</f>
        <v>0.84</v>
      </c>
      <c r="AA70" s="14">
        <f ca="1">OFFSET('RES Assumptions T15'!$D70,0,MATCH(VLOOKUP('RES Assumptions'!AA$2,'RES Assumptions T15'!$V$3:$W$35,2,FALSE),'RES Assumptions T15'!$E$2:$S$2,0))</f>
        <v>0.9</v>
      </c>
      <c r="AB70" s="14">
        <f ca="1">OFFSET('RES Assumptions T15'!$D70,0,MATCH(VLOOKUP('RES Assumptions'!AB$2,'RES Assumptions T15'!$V$3:$W$35,2,FALSE),'RES Assumptions T15'!$E$2:$S$2,0))</f>
        <v>0.84</v>
      </c>
      <c r="AC70" s="14">
        <f ca="1">OFFSET('RES Assumptions T15'!$D70,0,MATCH(VLOOKUP('RES Assumptions'!AC$2,'RES Assumptions T15'!$V$3:$W$35,2,FALSE),'RES Assumptions T15'!$E$2:$S$2,0))</f>
        <v>0.99</v>
      </c>
      <c r="AD70" s="14">
        <f ca="1">OFFSET('RES Assumptions T15'!$D70,0,MATCH(VLOOKUP('RES Assumptions'!AD$2,'RES Assumptions T15'!$V$3:$W$35,2,FALSE),'RES Assumptions T15'!$E$2:$S$2,0))</f>
        <v>0.9</v>
      </c>
      <c r="AE70" s="14">
        <f ca="1">OFFSET('RES Assumptions T15'!$D70,0,MATCH(VLOOKUP('RES Assumptions'!AE$2,'RES Assumptions T15'!$V$3:$W$35,2,FALSE),'RES Assumptions T15'!$E$2:$S$2,0))</f>
        <v>0.99</v>
      </c>
      <c r="AF70" s="14">
        <f ca="1">OFFSET('RES Assumptions T15'!$D70,0,MATCH(VLOOKUP('RES Assumptions'!AF$2,'RES Assumptions T15'!$V$3:$W$35,2,FALSE),'RES Assumptions T15'!$E$2:$S$2,0))</f>
        <v>0.84</v>
      </c>
      <c r="AG70" s="14">
        <f ca="1">OFFSET('RES Assumptions T15'!$D70,0,MATCH(VLOOKUP('RES Assumptions'!AG$2,'RES Assumptions T15'!$V$3:$W$35,2,FALSE),'RES Assumptions T15'!$E$2:$S$2,0))</f>
        <v>0.71316327817514102</v>
      </c>
      <c r="AH70" s="14">
        <f ca="1">OFFSET('RES Assumptions T15'!$D70,0,MATCH(VLOOKUP('RES Assumptions'!AH$2,'RES Assumptions T15'!$V$3:$W$35,2,FALSE),'RES Assumptions T15'!$E$2:$S$2,0))</f>
        <v>0.71316327817514102</v>
      </c>
      <c r="AJ70" s="6" t="s">
        <v>96</v>
      </c>
    </row>
    <row r="71" spans="1:51" x14ac:dyDescent="0.45">
      <c r="A71" s="37" t="str">
        <f t="shared" si="18"/>
        <v>RHRESELC</v>
      </c>
      <c r="B71" s="6" t="s">
        <v>62</v>
      </c>
      <c r="C71" s="6" t="s">
        <v>168</v>
      </c>
      <c r="D71" s="6" t="s">
        <v>50</v>
      </c>
      <c r="E71" s="14">
        <f ca="1">OFFSET('RES Assumptions T15'!$D71,0,MATCH(VLOOKUP('RES Assumptions'!E$2,'RES Assumptions T15'!$V$3:$W$35,2,FALSE),'RES Assumptions T15'!$E$2:$S$2,0))</f>
        <v>0.01</v>
      </c>
      <c r="F71" s="14">
        <f ca="1">OFFSET('RES Assumptions T15'!$D71,0,MATCH(VLOOKUP('RES Assumptions'!F$2,'RES Assumptions T15'!$V$3:$W$35,2,FALSE),'RES Assumptions T15'!$E$2:$S$2,0))</f>
        <v>0.01</v>
      </c>
      <c r="G71" s="14">
        <f ca="1">OFFSET('RES Assumptions T15'!$D71,0,MATCH(VLOOKUP('RES Assumptions'!G$2,'RES Assumptions T15'!$V$3:$W$35,2,FALSE),'RES Assumptions T15'!$E$2:$S$2,0))</f>
        <v>1E-3</v>
      </c>
      <c r="H71" s="14">
        <f ca="1">OFFSET('RES Assumptions T15'!$D71,0,MATCH(VLOOKUP('RES Assumptions'!H$2,'RES Assumptions T15'!$V$3:$W$35,2,FALSE),'RES Assumptions T15'!$E$2:$S$2,0))</f>
        <v>0.01</v>
      </c>
      <c r="I71" s="14">
        <f ca="1">OFFSET('RES Assumptions T15'!$D71,0,MATCH(VLOOKUP('RES Assumptions'!I$2,'RES Assumptions T15'!$V$3:$W$35,2,FALSE),'RES Assumptions T15'!$E$2:$S$2,0))</f>
        <v>0.45</v>
      </c>
      <c r="J71" s="14">
        <f ca="1">OFFSET('RES Assumptions T15'!$D71,0,MATCH(VLOOKUP('RES Assumptions'!J$2,'RES Assumptions T15'!$V$3:$W$35,2,FALSE),'RES Assumptions T15'!$E$2:$S$2,0))</f>
        <v>1E-3</v>
      </c>
      <c r="K71" s="14">
        <f ca="1">OFFSET('RES Assumptions T15'!$D71,0,MATCH(VLOOKUP('RES Assumptions'!K$2,'RES Assumptions T15'!$V$3:$W$35,2,FALSE),'RES Assumptions T15'!$E$2:$S$2,0))</f>
        <v>0.05</v>
      </c>
      <c r="L71" s="14">
        <f ca="1">OFFSET('RES Assumptions T15'!$D71,0,MATCH(VLOOKUP('RES Assumptions'!L$2,'RES Assumptions T15'!$V$3:$W$35,2,FALSE),'RES Assumptions T15'!$E$2:$S$2,0))</f>
        <v>1E-3</v>
      </c>
      <c r="M71" s="14">
        <f ca="1">OFFSET('RES Assumptions T15'!$D71,0,MATCH(VLOOKUP('RES Assumptions'!M$2,'RES Assumptions T15'!$V$3:$W$35,2,FALSE),'RES Assumptions T15'!$E$2:$S$2,0))</f>
        <v>0.05</v>
      </c>
      <c r="N71" s="14">
        <f ca="1">OFFSET('RES Assumptions T15'!$D71,0,MATCH(VLOOKUP('RES Assumptions'!N$2,'RES Assumptions T15'!$V$3:$W$35,2,FALSE),'RES Assumptions T15'!$E$2:$S$2,0))</f>
        <v>9.5050000000000009E-2</v>
      </c>
      <c r="O71" s="14">
        <f ca="1">OFFSET('RES Assumptions T15'!$D71,0,MATCH(VLOOKUP('RES Assumptions'!O$2,'RES Assumptions T15'!$V$3:$W$35,2,FALSE),'RES Assumptions T15'!$E$2:$S$2,0))</f>
        <v>0.16</v>
      </c>
      <c r="P71" s="14">
        <f ca="1">OFFSET('RES Assumptions T15'!$D71,0,MATCH(VLOOKUP('RES Assumptions'!P$2,'RES Assumptions T15'!$V$3:$W$35,2,FALSE),'RES Assumptions T15'!$E$2:$S$2,0))</f>
        <v>0.05</v>
      </c>
      <c r="Q71" s="14">
        <f ca="1">OFFSET('RES Assumptions T15'!$D71,0,MATCH(VLOOKUP('RES Assumptions'!Q$2,'RES Assumptions T15'!$V$3:$W$35,2,FALSE),'RES Assumptions T15'!$E$2:$S$2,0))</f>
        <v>0.16</v>
      </c>
      <c r="R71" s="14">
        <f ca="1">OFFSET('RES Assumptions T15'!$D71,0,MATCH(VLOOKUP('RES Assumptions'!R$2,'RES Assumptions T15'!$V$3:$W$35,2,FALSE),'RES Assumptions T15'!$E$2:$S$2,0))</f>
        <v>0.16</v>
      </c>
      <c r="S71" s="14">
        <f ca="1">OFFSET('RES Assumptions T15'!$D71,0,MATCH(VLOOKUP('RES Assumptions'!S$2,'RES Assumptions T15'!$V$3:$W$35,2,FALSE),'RES Assumptions T15'!$E$2:$S$2,0))</f>
        <v>0.05</v>
      </c>
      <c r="T71" s="14">
        <f ca="1">OFFSET('RES Assumptions T15'!$D71,0,MATCH(VLOOKUP('RES Assumptions'!T$2,'RES Assumptions T15'!$V$3:$W$35,2,FALSE),'RES Assumptions T15'!$E$2:$S$2,0))</f>
        <v>0.16</v>
      </c>
      <c r="U71" s="14">
        <f ca="1">OFFSET('RES Assumptions T15'!$D71,0,MATCH(VLOOKUP('RES Assumptions'!U$2,'RES Assumptions T15'!$V$3:$W$35,2,FALSE),'RES Assumptions T15'!$E$2:$S$2,0))</f>
        <v>0.1</v>
      </c>
      <c r="V71" s="14">
        <f ca="1">OFFSET('RES Assumptions T15'!$D71,0,MATCH(VLOOKUP('RES Assumptions'!V$2,'RES Assumptions T15'!$V$3:$W$35,2,FALSE),'RES Assumptions T15'!$E$2:$S$2,0))</f>
        <v>0.16</v>
      </c>
      <c r="W71" s="14">
        <f ca="1">OFFSET('RES Assumptions T15'!$D71,0,MATCH(VLOOKUP('RES Assumptions'!W$2,'RES Assumptions T15'!$V$3:$W$35,2,FALSE),'RES Assumptions T15'!$E$2:$S$2,0))</f>
        <v>0.16</v>
      </c>
      <c r="X71" s="14">
        <f ca="1">OFFSET('RES Assumptions T15'!$D71,0,MATCH(VLOOKUP('RES Assumptions'!X$2,'RES Assumptions T15'!$V$3:$W$35,2,FALSE),'RES Assumptions T15'!$E$2:$S$2,0))</f>
        <v>9.9099999999999994E-2</v>
      </c>
      <c r="Y71" s="14">
        <f ca="1">OFFSET('RES Assumptions T15'!$D71,0,MATCH(VLOOKUP('RES Assumptions'!Y$2,'RES Assumptions T15'!$V$3:$W$35,2,FALSE),'RES Assumptions T15'!$E$2:$S$2,0))</f>
        <v>1E-3</v>
      </c>
      <c r="Z71" s="14">
        <f ca="1">OFFSET('RES Assumptions T15'!$D71,0,MATCH(VLOOKUP('RES Assumptions'!Z$2,'RES Assumptions T15'!$V$3:$W$35,2,FALSE),'RES Assumptions T15'!$E$2:$S$2,0))</f>
        <v>0.16</v>
      </c>
      <c r="AA71" s="14">
        <f ca="1">OFFSET('RES Assumptions T15'!$D71,0,MATCH(VLOOKUP('RES Assumptions'!AA$2,'RES Assumptions T15'!$V$3:$W$35,2,FALSE),'RES Assumptions T15'!$E$2:$S$2,0))</f>
        <v>0.1</v>
      </c>
      <c r="AB71" s="14">
        <f ca="1">OFFSET('RES Assumptions T15'!$D71,0,MATCH(VLOOKUP('RES Assumptions'!AB$2,'RES Assumptions T15'!$V$3:$W$35,2,FALSE),'RES Assumptions T15'!$E$2:$S$2,0))</f>
        <v>0.16</v>
      </c>
      <c r="AC71" s="14">
        <f ca="1">OFFSET('RES Assumptions T15'!$D71,0,MATCH(VLOOKUP('RES Assumptions'!AC$2,'RES Assumptions T15'!$V$3:$W$35,2,FALSE),'RES Assumptions T15'!$E$2:$S$2,0))</f>
        <v>0.01</v>
      </c>
      <c r="AD71" s="14">
        <f ca="1">OFFSET('RES Assumptions T15'!$D71,0,MATCH(VLOOKUP('RES Assumptions'!AD$2,'RES Assumptions T15'!$V$3:$W$35,2,FALSE),'RES Assumptions T15'!$E$2:$S$2,0))</f>
        <v>0.1</v>
      </c>
      <c r="AE71" s="14">
        <f ca="1">OFFSET('RES Assumptions T15'!$D71,0,MATCH(VLOOKUP('RES Assumptions'!AE$2,'RES Assumptions T15'!$V$3:$W$35,2,FALSE),'RES Assumptions T15'!$E$2:$S$2,0))</f>
        <v>0.01</v>
      </c>
      <c r="AF71" s="14">
        <f ca="1">OFFSET('RES Assumptions T15'!$D71,0,MATCH(VLOOKUP('RES Assumptions'!AF$2,'RES Assumptions T15'!$V$3:$W$35,2,FALSE),'RES Assumptions T15'!$E$2:$S$2,0))</f>
        <v>0.16</v>
      </c>
      <c r="AG71" s="14">
        <f ca="1">OFFSET('RES Assumptions T15'!$D71,0,MATCH(VLOOKUP('RES Assumptions'!AG$2,'RES Assumptions T15'!$V$3:$W$35,2,FALSE),'RES Assumptions T15'!$E$2:$S$2,0))</f>
        <v>0.28683672182485898</v>
      </c>
      <c r="AH71" s="14">
        <f ca="1">OFFSET('RES Assumptions T15'!$D71,0,MATCH(VLOOKUP('RES Assumptions'!AH$2,'RES Assumptions T15'!$V$3:$W$35,2,FALSE),'RES Assumptions T15'!$E$2:$S$2,0))</f>
        <v>0.28683672182485898</v>
      </c>
      <c r="AJ71" s="6" t="s">
        <v>98</v>
      </c>
    </row>
    <row r="72" spans="1:51" x14ac:dyDescent="0.45">
      <c r="A72" s="37" t="str">
        <f t="shared" si="18"/>
        <v/>
      </c>
      <c r="B72" s="8"/>
      <c r="C72" s="5" t="s">
        <v>99</v>
      </c>
      <c r="D72" s="6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J72" s="6"/>
    </row>
    <row r="73" spans="1:51" x14ac:dyDescent="0.45">
      <c r="A73" s="37" t="str">
        <f t="shared" si="18"/>
        <v>RCRESELC</v>
      </c>
      <c r="B73" s="6" t="s">
        <v>63</v>
      </c>
      <c r="C73" s="6" t="s">
        <v>165</v>
      </c>
      <c r="D73" s="6" t="s">
        <v>50</v>
      </c>
      <c r="E73" s="14">
        <f ca="1">OFFSET('RES Assumptions T15'!$D73,0,MATCH(VLOOKUP('RES Assumptions'!E$2,'RES Assumptions T15'!$V$3:$W$35,2,FALSE),'RES Assumptions T15'!$E$2:$S$2,0))</f>
        <v>0.53745495674600396</v>
      </c>
      <c r="F73" s="14">
        <f ca="1">OFFSET('RES Assumptions T15'!$D73,0,MATCH(VLOOKUP('RES Assumptions'!F$2,'RES Assumptions T15'!$V$3:$W$35,2,FALSE),'RES Assumptions T15'!$E$2:$S$2,0))</f>
        <v>0.53745495674600396</v>
      </c>
      <c r="G73" s="14">
        <f ca="1">OFFSET('RES Assumptions T15'!$D73,0,MATCH(VLOOKUP('RES Assumptions'!G$2,'RES Assumptions T15'!$V$3:$W$35,2,FALSE),'RES Assumptions T15'!$E$2:$S$2,0))</f>
        <v>0.08</v>
      </c>
      <c r="H73" s="14">
        <f ca="1">OFFSET('RES Assumptions T15'!$D73,0,MATCH(VLOOKUP('RES Assumptions'!H$2,'RES Assumptions T15'!$V$3:$W$35,2,FALSE),'RES Assumptions T15'!$E$2:$S$2,0))</f>
        <v>0.53745495674600396</v>
      </c>
      <c r="I73" s="14">
        <f ca="1">OFFSET('RES Assumptions T15'!$D73,0,MATCH(VLOOKUP('RES Assumptions'!I$2,'RES Assumptions T15'!$V$3:$W$35,2,FALSE),'RES Assumptions T15'!$E$2:$S$2,0))</f>
        <v>0.05</v>
      </c>
      <c r="J73" s="14">
        <f ca="1">OFFSET('RES Assumptions T15'!$D73,0,MATCH(VLOOKUP('RES Assumptions'!J$2,'RES Assumptions T15'!$V$3:$W$35,2,FALSE),'RES Assumptions T15'!$E$2:$S$2,0))</f>
        <v>0.1</v>
      </c>
      <c r="K73" s="14">
        <f ca="1">OFFSET('RES Assumptions T15'!$D73,0,MATCH(VLOOKUP('RES Assumptions'!K$2,'RES Assumptions T15'!$V$3:$W$35,2,FALSE),'RES Assumptions T15'!$E$2:$S$2,0))</f>
        <v>0.50600000000000001</v>
      </c>
      <c r="L73" s="14">
        <f ca="1">OFFSET('RES Assumptions T15'!$D73,0,MATCH(VLOOKUP('RES Assumptions'!L$2,'RES Assumptions T15'!$V$3:$W$35,2,FALSE),'RES Assumptions T15'!$E$2:$S$2,0))</f>
        <v>0.08</v>
      </c>
      <c r="M73" s="14">
        <f ca="1">OFFSET('RES Assumptions T15'!$D73,0,MATCH(VLOOKUP('RES Assumptions'!M$2,'RES Assumptions T15'!$V$3:$W$35,2,FALSE),'RES Assumptions T15'!$E$2:$S$2,0))</f>
        <v>0.47395171574465839</v>
      </c>
      <c r="N73" s="14">
        <f ca="1">OFFSET('RES Assumptions T15'!$D73,0,MATCH(VLOOKUP('RES Assumptions'!N$2,'RES Assumptions T15'!$V$3:$W$35,2,FALSE),'RES Assumptions T15'!$E$2:$S$2,0))</f>
        <v>0.61099999999999999</v>
      </c>
      <c r="O73" s="14">
        <f ca="1">OFFSET('RES Assumptions T15'!$D73,0,MATCH(VLOOKUP('RES Assumptions'!O$2,'RES Assumptions T15'!$V$3:$W$35,2,FALSE),'RES Assumptions T15'!$E$2:$S$2,0))</f>
        <v>0.53745495674600396</v>
      </c>
      <c r="P73" s="14">
        <f ca="1">OFFSET('RES Assumptions T15'!$D73,0,MATCH(VLOOKUP('RES Assumptions'!P$2,'RES Assumptions T15'!$V$3:$W$35,2,FALSE),'RES Assumptions T15'!$E$2:$S$2,0))</f>
        <v>0.53745495674600396</v>
      </c>
      <c r="Q73" s="14">
        <f ca="1">OFFSET('RES Assumptions T15'!$D73,0,MATCH(VLOOKUP('RES Assumptions'!Q$2,'RES Assumptions T15'!$V$3:$W$35,2,FALSE),'RES Assumptions T15'!$E$2:$S$2,0))</f>
        <v>0.53745495674600396</v>
      </c>
      <c r="R73" s="14">
        <f ca="1">OFFSET('RES Assumptions T15'!$D73,0,MATCH(VLOOKUP('RES Assumptions'!R$2,'RES Assumptions T15'!$V$3:$W$35,2,FALSE),'RES Assumptions T15'!$E$2:$S$2,0))</f>
        <v>0.53745495674600396</v>
      </c>
      <c r="S73" s="14">
        <f ca="1">OFFSET('RES Assumptions T15'!$D73,0,MATCH(VLOOKUP('RES Assumptions'!S$2,'RES Assumptions T15'!$V$3:$W$35,2,FALSE),'RES Assumptions T15'!$E$2:$S$2,0))</f>
        <v>0.53745495674600396</v>
      </c>
      <c r="T73" s="14">
        <f ca="1">OFFSET('RES Assumptions T15'!$D73,0,MATCH(VLOOKUP('RES Assumptions'!T$2,'RES Assumptions T15'!$V$3:$W$35,2,FALSE),'RES Assumptions T15'!$E$2:$S$2,0))</f>
        <v>0.53745495674600396</v>
      </c>
      <c r="U73" s="14">
        <f ca="1">OFFSET('RES Assumptions T15'!$D73,0,MATCH(VLOOKUP('RES Assumptions'!U$2,'RES Assumptions T15'!$V$3:$W$35,2,FALSE),'RES Assumptions T15'!$E$2:$S$2,0))</f>
        <v>0.53745495674600396</v>
      </c>
      <c r="V73" s="14">
        <f ca="1">OFFSET('RES Assumptions T15'!$D73,0,MATCH(VLOOKUP('RES Assumptions'!V$2,'RES Assumptions T15'!$V$3:$W$35,2,FALSE),'RES Assumptions T15'!$E$2:$S$2,0))</f>
        <v>0.53745495674600396</v>
      </c>
      <c r="W73" s="14">
        <f ca="1">OFFSET('RES Assumptions T15'!$D73,0,MATCH(VLOOKUP('RES Assumptions'!W$2,'RES Assumptions T15'!$V$3:$W$35,2,FALSE),'RES Assumptions T15'!$E$2:$S$2,0))</f>
        <v>0.53745495674600396</v>
      </c>
      <c r="X73" s="14">
        <f ca="1">OFFSET('RES Assumptions T15'!$D73,0,MATCH(VLOOKUP('RES Assumptions'!X$2,'RES Assumptions T15'!$V$3:$W$35,2,FALSE),'RES Assumptions T15'!$E$2:$S$2,0))</f>
        <v>0.3</v>
      </c>
      <c r="Y73" s="14">
        <f ca="1">OFFSET('RES Assumptions T15'!$D73,0,MATCH(VLOOKUP('RES Assumptions'!Y$2,'RES Assumptions T15'!$V$3:$W$35,2,FALSE),'RES Assumptions T15'!$E$2:$S$2,0))</f>
        <v>0.08</v>
      </c>
      <c r="Z73" s="14">
        <f ca="1">OFFSET('RES Assumptions T15'!$D73,0,MATCH(VLOOKUP('RES Assumptions'!Z$2,'RES Assumptions T15'!$V$3:$W$35,2,FALSE),'RES Assumptions T15'!$E$2:$S$2,0))</f>
        <v>0.08</v>
      </c>
      <c r="AA73" s="14">
        <f ca="1">OFFSET('RES Assumptions T15'!$D73,0,MATCH(VLOOKUP('RES Assumptions'!AA$2,'RES Assumptions T15'!$V$3:$W$35,2,FALSE),'RES Assumptions T15'!$E$2:$S$2,0))</f>
        <v>0.53745495674600396</v>
      </c>
      <c r="AB73" s="14">
        <f ca="1">OFFSET('RES Assumptions T15'!$D73,0,MATCH(VLOOKUP('RES Assumptions'!AB$2,'RES Assumptions T15'!$V$3:$W$35,2,FALSE),'RES Assumptions T15'!$E$2:$S$2,0))</f>
        <v>0.53745495674600396</v>
      </c>
      <c r="AC73" s="14">
        <f ca="1">OFFSET('RES Assumptions T15'!$D73,0,MATCH(VLOOKUP('RES Assumptions'!AC$2,'RES Assumptions T15'!$V$3:$W$35,2,FALSE),'RES Assumptions T15'!$E$2:$S$2,0))</f>
        <v>0.53745495674600396</v>
      </c>
      <c r="AD73" s="14">
        <f ca="1">OFFSET('RES Assumptions T15'!$D73,0,MATCH(VLOOKUP('RES Assumptions'!AD$2,'RES Assumptions T15'!$V$3:$W$35,2,FALSE),'RES Assumptions T15'!$E$2:$S$2,0))</f>
        <v>0.53745495674600396</v>
      </c>
      <c r="AE73" s="14">
        <f ca="1">OFFSET('RES Assumptions T15'!$D73,0,MATCH(VLOOKUP('RES Assumptions'!AE$2,'RES Assumptions T15'!$V$3:$W$35,2,FALSE),'RES Assumptions T15'!$E$2:$S$2,0))</f>
        <v>0.53745495674600396</v>
      </c>
      <c r="AF73" s="14">
        <f ca="1">OFFSET('RES Assumptions T15'!$D73,0,MATCH(VLOOKUP('RES Assumptions'!AF$2,'RES Assumptions T15'!$V$3:$W$35,2,FALSE),'RES Assumptions T15'!$E$2:$S$2,0))</f>
        <v>0.53745495674600396</v>
      </c>
      <c r="AG73" s="14">
        <f ca="1">OFFSET('RES Assumptions T15'!$D73,0,MATCH(VLOOKUP('RES Assumptions'!AG$2,'RES Assumptions T15'!$V$3:$W$35,2,FALSE),'RES Assumptions T15'!$E$2:$S$2,0))</f>
        <v>0.72069967538079061</v>
      </c>
      <c r="AH73" s="14">
        <f ca="1">OFFSET('RES Assumptions T15'!$D73,0,MATCH(VLOOKUP('RES Assumptions'!AH$2,'RES Assumptions T15'!$V$3:$W$35,2,FALSE),'RES Assumptions T15'!$E$2:$S$2,0))</f>
        <v>0.72069967538079061</v>
      </c>
      <c r="AJ73" s="6" t="s">
        <v>101</v>
      </c>
    </row>
    <row r="74" spans="1:51" x14ac:dyDescent="0.45">
      <c r="A74" s="37" t="str">
        <f t="shared" si="18"/>
        <v>RCRESELC</v>
      </c>
      <c r="B74" s="6" t="s">
        <v>63</v>
      </c>
      <c r="C74" s="6" t="s">
        <v>166</v>
      </c>
      <c r="D74" s="6" t="s">
        <v>50</v>
      </c>
      <c r="E74" s="14">
        <f ca="1">OFFSET('RES Assumptions T15'!$D74,0,MATCH(VLOOKUP('RES Assumptions'!E$2,'RES Assumptions T15'!$V$3:$W$35,2,FALSE),'RES Assumptions T15'!$E$2:$S$2,0))</f>
        <v>4.1787023108979193E-2</v>
      </c>
      <c r="F74" s="14">
        <f ca="1">OFFSET('RES Assumptions T15'!$D74,0,MATCH(VLOOKUP('RES Assumptions'!F$2,'RES Assumptions T15'!$V$3:$W$35,2,FALSE),'RES Assumptions T15'!$E$2:$S$2,0))</f>
        <v>4.1787023108979193E-2</v>
      </c>
      <c r="G74" s="14">
        <f ca="1">OFFSET('RES Assumptions T15'!$D74,0,MATCH(VLOOKUP('RES Assumptions'!G$2,'RES Assumptions T15'!$V$3:$W$35,2,FALSE),'RES Assumptions T15'!$E$2:$S$2,0))</f>
        <v>0.02</v>
      </c>
      <c r="H74" s="14">
        <f ca="1">OFFSET('RES Assumptions T15'!$D74,0,MATCH(VLOOKUP('RES Assumptions'!H$2,'RES Assumptions T15'!$V$3:$W$35,2,FALSE),'RES Assumptions T15'!$E$2:$S$2,0))</f>
        <v>4.1787023108979193E-2</v>
      </c>
      <c r="I74" s="14">
        <f ca="1">OFFSET('RES Assumptions T15'!$D74,0,MATCH(VLOOKUP('RES Assumptions'!I$2,'RES Assumptions T15'!$V$3:$W$35,2,FALSE),'RES Assumptions T15'!$E$2:$S$2,0))</f>
        <v>0.67</v>
      </c>
      <c r="J74" s="14">
        <f ca="1">OFFSET('RES Assumptions T15'!$D74,0,MATCH(VLOOKUP('RES Assumptions'!J$2,'RES Assumptions T15'!$V$3:$W$35,2,FALSE),'RES Assumptions T15'!$E$2:$S$2,0))</f>
        <v>0.2</v>
      </c>
      <c r="K74" s="14">
        <f ca="1">OFFSET('RES Assumptions T15'!$D74,0,MATCH(VLOOKUP('RES Assumptions'!K$2,'RES Assumptions T15'!$V$3:$W$35,2,FALSE),'RES Assumptions T15'!$E$2:$S$2,0))</f>
        <v>7.5999999999999998E-2</v>
      </c>
      <c r="L74" s="14">
        <f ca="1">OFFSET('RES Assumptions T15'!$D74,0,MATCH(VLOOKUP('RES Assumptions'!L$2,'RES Assumptions T15'!$V$3:$W$35,2,FALSE),'RES Assumptions T15'!$E$2:$S$2,0))</f>
        <v>0.02</v>
      </c>
      <c r="M74" s="14">
        <f ca="1">OFFSET('RES Assumptions T15'!$D74,0,MATCH(VLOOKUP('RES Assumptions'!M$2,'RES Assumptions T15'!$V$3:$W$35,2,FALSE),'RES Assumptions T15'!$E$2:$S$2,0))</f>
        <v>5.2854016926697715E-2</v>
      </c>
      <c r="N74" s="14">
        <f ca="1">OFFSET('RES Assumptions T15'!$D74,0,MATCH(VLOOKUP('RES Assumptions'!N$2,'RES Assumptions T15'!$V$3:$W$35,2,FALSE),'RES Assumptions T15'!$E$2:$S$2,0))</f>
        <v>0.22</v>
      </c>
      <c r="O74" s="14">
        <f ca="1">OFFSET('RES Assumptions T15'!$D74,0,MATCH(VLOOKUP('RES Assumptions'!O$2,'RES Assumptions T15'!$V$3:$W$35,2,FALSE),'RES Assumptions T15'!$E$2:$S$2,0))</f>
        <v>4.1787023108979193E-2</v>
      </c>
      <c r="P74" s="14">
        <f ca="1">OFFSET('RES Assumptions T15'!$D74,0,MATCH(VLOOKUP('RES Assumptions'!P$2,'RES Assumptions T15'!$V$3:$W$35,2,FALSE),'RES Assumptions T15'!$E$2:$S$2,0))</f>
        <v>4.1787023108979193E-2</v>
      </c>
      <c r="Q74" s="14">
        <f ca="1">OFFSET('RES Assumptions T15'!$D74,0,MATCH(VLOOKUP('RES Assumptions'!Q$2,'RES Assumptions T15'!$V$3:$W$35,2,FALSE),'RES Assumptions T15'!$E$2:$S$2,0))</f>
        <v>4.1787023108979193E-2</v>
      </c>
      <c r="R74" s="14">
        <f ca="1">OFFSET('RES Assumptions T15'!$D74,0,MATCH(VLOOKUP('RES Assumptions'!R$2,'RES Assumptions T15'!$V$3:$W$35,2,FALSE),'RES Assumptions T15'!$E$2:$S$2,0))</f>
        <v>4.1787023108979193E-2</v>
      </c>
      <c r="S74" s="14">
        <f ca="1">OFFSET('RES Assumptions T15'!$D74,0,MATCH(VLOOKUP('RES Assumptions'!S$2,'RES Assumptions T15'!$V$3:$W$35,2,FALSE),'RES Assumptions T15'!$E$2:$S$2,0))</f>
        <v>4.1787023108979193E-2</v>
      </c>
      <c r="T74" s="14">
        <f ca="1">OFFSET('RES Assumptions T15'!$D74,0,MATCH(VLOOKUP('RES Assumptions'!T$2,'RES Assumptions T15'!$V$3:$W$35,2,FALSE),'RES Assumptions T15'!$E$2:$S$2,0))</f>
        <v>4.1787023108979193E-2</v>
      </c>
      <c r="U74" s="14">
        <f ca="1">OFFSET('RES Assumptions T15'!$D74,0,MATCH(VLOOKUP('RES Assumptions'!U$2,'RES Assumptions T15'!$V$3:$W$35,2,FALSE),'RES Assumptions T15'!$E$2:$S$2,0))</f>
        <v>4.1787023108979193E-2</v>
      </c>
      <c r="V74" s="14">
        <f ca="1">OFFSET('RES Assumptions T15'!$D74,0,MATCH(VLOOKUP('RES Assumptions'!V$2,'RES Assumptions T15'!$V$3:$W$35,2,FALSE),'RES Assumptions T15'!$E$2:$S$2,0))</f>
        <v>4.1787023108979193E-2</v>
      </c>
      <c r="W74" s="14">
        <f ca="1">OFFSET('RES Assumptions T15'!$D74,0,MATCH(VLOOKUP('RES Assumptions'!W$2,'RES Assumptions T15'!$V$3:$W$35,2,FALSE),'RES Assumptions T15'!$E$2:$S$2,0))</f>
        <v>4.1787023108979193E-2</v>
      </c>
      <c r="X74" s="14">
        <f ca="1">OFFSET('RES Assumptions T15'!$D74,0,MATCH(VLOOKUP('RES Assumptions'!X$2,'RES Assumptions T15'!$V$3:$W$35,2,FALSE),'RES Assumptions T15'!$E$2:$S$2,0))</f>
        <v>0.19999999999999998</v>
      </c>
      <c r="Y74" s="14">
        <f ca="1">OFFSET('RES Assumptions T15'!$D74,0,MATCH(VLOOKUP('RES Assumptions'!Y$2,'RES Assumptions T15'!$V$3:$W$35,2,FALSE),'RES Assumptions T15'!$E$2:$S$2,0))</f>
        <v>0.02</v>
      </c>
      <c r="Z74" s="14">
        <f ca="1">OFFSET('RES Assumptions T15'!$D74,0,MATCH(VLOOKUP('RES Assumptions'!Z$2,'RES Assumptions T15'!$V$3:$W$35,2,FALSE),'RES Assumptions T15'!$E$2:$S$2,0))</f>
        <v>0.02</v>
      </c>
      <c r="AA74" s="14">
        <f ca="1">OFFSET('RES Assumptions T15'!$D74,0,MATCH(VLOOKUP('RES Assumptions'!AA$2,'RES Assumptions T15'!$V$3:$W$35,2,FALSE),'RES Assumptions T15'!$E$2:$S$2,0))</f>
        <v>4.1787023108979193E-2</v>
      </c>
      <c r="AB74" s="14">
        <f ca="1">OFFSET('RES Assumptions T15'!$D74,0,MATCH(VLOOKUP('RES Assumptions'!AB$2,'RES Assumptions T15'!$V$3:$W$35,2,FALSE),'RES Assumptions T15'!$E$2:$S$2,0))</f>
        <v>4.1787023108979193E-2</v>
      </c>
      <c r="AC74" s="14">
        <f ca="1">OFFSET('RES Assumptions T15'!$D74,0,MATCH(VLOOKUP('RES Assumptions'!AC$2,'RES Assumptions T15'!$V$3:$W$35,2,FALSE),'RES Assumptions T15'!$E$2:$S$2,0))</f>
        <v>4.1787023108979193E-2</v>
      </c>
      <c r="AD74" s="14">
        <f ca="1">OFFSET('RES Assumptions T15'!$D74,0,MATCH(VLOOKUP('RES Assumptions'!AD$2,'RES Assumptions T15'!$V$3:$W$35,2,FALSE),'RES Assumptions T15'!$E$2:$S$2,0))</f>
        <v>4.1787023108979193E-2</v>
      </c>
      <c r="AE74" s="14">
        <f ca="1">OFFSET('RES Assumptions T15'!$D74,0,MATCH(VLOOKUP('RES Assumptions'!AE$2,'RES Assumptions T15'!$V$3:$W$35,2,FALSE),'RES Assumptions T15'!$E$2:$S$2,0))</f>
        <v>4.1787023108979193E-2</v>
      </c>
      <c r="AF74" s="14">
        <f ca="1">OFFSET('RES Assumptions T15'!$D74,0,MATCH(VLOOKUP('RES Assumptions'!AF$2,'RES Assumptions T15'!$V$3:$W$35,2,FALSE),'RES Assumptions T15'!$E$2:$S$2,0))</f>
        <v>4.1787023108979193E-2</v>
      </c>
      <c r="AG74" s="14">
        <f ca="1">OFFSET('RES Assumptions T15'!$D74,0,MATCH(VLOOKUP('RES Assumptions'!AG$2,'RES Assumptions T15'!$V$3:$W$35,2,FALSE),'RES Assumptions T15'!$E$2:$S$2,0))</f>
        <v>9.7530658542641299E-2</v>
      </c>
      <c r="AH74" s="14">
        <f ca="1">OFFSET('RES Assumptions T15'!$D74,0,MATCH(VLOOKUP('RES Assumptions'!AH$2,'RES Assumptions T15'!$V$3:$W$35,2,FALSE),'RES Assumptions T15'!$E$2:$S$2,0))</f>
        <v>9.7530658542641299E-2</v>
      </c>
      <c r="AJ74" s="6" t="s">
        <v>103</v>
      </c>
    </row>
    <row r="75" spans="1:51" x14ac:dyDescent="0.45">
      <c r="A75" s="37" t="str">
        <f t="shared" si="18"/>
        <v>RCRESELC</v>
      </c>
      <c r="B75" s="6" t="s">
        <v>63</v>
      </c>
      <c r="C75" s="6" t="s">
        <v>167</v>
      </c>
      <c r="D75" s="6" t="s">
        <v>50</v>
      </c>
      <c r="E75" s="14">
        <f ca="1">OFFSET('RES Assumptions T15'!$D75,0,MATCH(VLOOKUP('RES Assumptions'!E$2,'RES Assumptions T15'!$V$3:$W$35,2,FALSE),'RES Assumptions T15'!$E$2:$S$2,0))</f>
        <v>0.4207580201450169</v>
      </c>
      <c r="F75" s="14">
        <f ca="1">OFFSET('RES Assumptions T15'!$D75,0,MATCH(VLOOKUP('RES Assumptions'!F$2,'RES Assumptions T15'!$V$3:$W$35,2,FALSE),'RES Assumptions T15'!$E$2:$S$2,0))</f>
        <v>0.4207580201450169</v>
      </c>
      <c r="G75" s="14">
        <f ca="1">OFFSET('RES Assumptions T15'!$D75,0,MATCH(VLOOKUP('RES Assumptions'!G$2,'RES Assumptions T15'!$V$3:$W$35,2,FALSE),'RES Assumptions T15'!$E$2:$S$2,0))</f>
        <v>0.9</v>
      </c>
      <c r="H75" s="14">
        <f ca="1">OFFSET('RES Assumptions T15'!$D75,0,MATCH(VLOOKUP('RES Assumptions'!H$2,'RES Assumptions T15'!$V$3:$W$35,2,FALSE),'RES Assumptions T15'!$E$2:$S$2,0))</f>
        <v>0.4207580201450169</v>
      </c>
      <c r="I75" s="14">
        <f ca="1">OFFSET('RES Assumptions T15'!$D75,0,MATCH(VLOOKUP('RES Assumptions'!I$2,'RES Assumptions T15'!$V$3:$W$35,2,FALSE),'RES Assumptions T15'!$E$2:$S$2,0))</f>
        <v>0.28000000000000003</v>
      </c>
      <c r="J75" s="14">
        <f ca="1">OFFSET('RES Assumptions T15'!$D75,0,MATCH(VLOOKUP('RES Assumptions'!J$2,'RES Assumptions T15'!$V$3:$W$35,2,FALSE),'RES Assumptions T15'!$E$2:$S$2,0))</f>
        <v>0.7</v>
      </c>
      <c r="K75" s="14">
        <f ca="1">OFFSET('RES Assumptions T15'!$D75,0,MATCH(VLOOKUP('RES Assumptions'!K$2,'RES Assumptions T15'!$V$3:$W$35,2,FALSE),'RES Assumptions T15'!$E$2:$S$2,0))</f>
        <v>0.41799999999999998</v>
      </c>
      <c r="L75" s="14">
        <f ca="1">OFFSET('RES Assumptions T15'!$D75,0,MATCH(VLOOKUP('RES Assumptions'!L$2,'RES Assumptions T15'!$V$3:$W$35,2,FALSE),'RES Assumptions T15'!$E$2:$S$2,0))</f>
        <v>0.9</v>
      </c>
      <c r="M75" s="14">
        <f ca="1">OFFSET('RES Assumptions T15'!$D75,0,MATCH(VLOOKUP('RES Assumptions'!M$2,'RES Assumptions T15'!$V$3:$W$35,2,FALSE),'RES Assumptions T15'!$E$2:$S$2,0))</f>
        <v>0.47319426732864395</v>
      </c>
      <c r="N75" s="14">
        <f ca="1">OFFSET('RES Assumptions T15'!$D75,0,MATCH(VLOOKUP('RES Assumptions'!N$2,'RES Assumptions T15'!$V$3:$W$35,2,FALSE),'RES Assumptions T15'!$E$2:$S$2,0))</f>
        <v>0.16900000000000001</v>
      </c>
      <c r="O75" s="14">
        <f ca="1">OFFSET('RES Assumptions T15'!$D75,0,MATCH(VLOOKUP('RES Assumptions'!O$2,'RES Assumptions T15'!$V$3:$W$35,2,FALSE),'RES Assumptions T15'!$E$2:$S$2,0))</f>
        <v>0.4207580201450169</v>
      </c>
      <c r="P75" s="14">
        <f ca="1">OFFSET('RES Assumptions T15'!$D75,0,MATCH(VLOOKUP('RES Assumptions'!P$2,'RES Assumptions T15'!$V$3:$W$35,2,FALSE),'RES Assumptions T15'!$E$2:$S$2,0))</f>
        <v>0.4207580201450169</v>
      </c>
      <c r="Q75" s="14">
        <f ca="1">OFFSET('RES Assumptions T15'!$D75,0,MATCH(VLOOKUP('RES Assumptions'!Q$2,'RES Assumptions T15'!$V$3:$W$35,2,FALSE),'RES Assumptions T15'!$E$2:$S$2,0))</f>
        <v>0.4207580201450169</v>
      </c>
      <c r="R75" s="14">
        <f ca="1">OFFSET('RES Assumptions T15'!$D75,0,MATCH(VLOOKUP('RES Assumptions'!R$2,'RES Assumptions T15'!$V$3:$W$35,2,FALSE),'RES Assumptions T15'!$E$2:$S$2,0))</f>
        <v>0.4207580201450169</v>
      </c>
      <c r="S75" s="14">
        <f ca="1">OFFSET('RES Assumptions T15'!$D75,0,MATCH(VLOOKUP('RES Assumptions'!S$2,'RES Assumptions T15'!$V$3:$W$35,2,FALSE),'RES Assumptions T15'!$E$2:$S$2,0))</f>
        <v>0.4207580201450169</v>
      </c>
      <c r="T75" s="14">
        <f ca="1">OFFSET('RES Assumptions T15'!$D75,0,MATCH(VLOOKUP('RES Assumptions'!T$2,'RES Assumptions T15'!$V$3:$W$35,2,FALSE),'RES Assumptions T15'!$E$2:$S$2,0))</f>
        <v>0.4207580201450169</v>
      </c>
      <c r="U75" s="14">
        <f ca="1">OFFSET('RES Assumptions T15'!$D75,0,MATCH(VLOOKUP('RES Assumptions'!U$2,'RES Assumptions T15'!$V$3:$W$35,2,FALSE),'RES Assumptions T15'!$E$2:$S$2,0))</f>
        <v>0.4207580201450169</v>
      </c>
      <c r="V75" s="14">
        <f ca="1">OFFSET('RES Assumptions T15'!$D75,0,MATCH(VLOOKUP('RES Assumptions'!V$2,'RES Assumptions T15'!$V$3:$W$35,2,FALSE),'RES Assumptions T15'!$E$2:$S$2,0))</f>
        <v>0.4207580201450169</v>
      </c>
      <c r="W75" s="14">
        <f ca="1">OFFSET('RES Assumptions T15'!$D75,0,MATCH(VLOOKUP('RES Assumptions'!W$2,'RES Assumptions T15'!$V$3:$W$35,2,FALSE),'RES Assumptions T15'!$E$2:$S$2,0))</f>
        <v>0.4207580201450169</v>
      </c>
      <c r="X75" s="14">
        <f ca="1">OFFSET('RES Assumptions T15'!$D75,0,MATCH(VLOOKUP('RES Assumptions'!X$2,'RES Assumptions T15'!$V$3:$W$35,2,FALSE),'RES Assumptions T15'!$E$2:$S$2,0))</f>
        <v>0.5</v>
      </c>
      <c r="Y75" s="14">
        <f ca="1">OFFSET('RES Assumptions T15'!$D75,0,MATCH(VLOOKUP('RES Assumptions'!Y$2,'RES Assumptions T15'!$V$3:$W$35,2,FALSE),'RES Assumptions T15'!$E$2:$S$2,0))</f>
        <v>0.9</v>
      </c>
      <c r="Z75" s="14">
        <f ca="1">OFFSET('RES Assumptions T15'!$D75,0,MATCH(VLOOKUP('RES Assumptions'!Z$2,'RES Assumptions T15'!$V$3:$W$35,2,FALSE),'RES Assumptions T15'!$E$2:$S$2,0))</f>
        <v>0.9</v>
      </c>
      <c r="AA75" s="14">
        <f ca="1">OFFSET('RES Assumptions T15'!$D75,0,MATCH(VLOOKUP('RES Assumptions'!AA$2,'RES Assumptions T15'!$V$3:$W$35,2,FALSE),'RES Assumptions T15'!$E$2:$S$2,0))</f>
        <v>0.4207580201450169</v>
      </c>
      <c r="AB75" s="14">
        <f ca="1">OFFSET('RES Assumptions T15'!$D75,0,MATCH(VLOOKUP('RES Assumptions'!AB$2,'RES Assumptions T15'!$V$3:$W$35,2,FALSE),'RES Assumptions T15'!$E$2:$S$2,0))</f>
        <v>0.4207580201450169</v>
      </c>
      <c r="AC75" s="14">
        <f ca="1">OFFSET('RES Assumptions T15'!$D75,0,MATCH(VLOOKUP('RES Assumptions'!AC$2,'RES Assumptions T15'!$V$3:$W$35,2,FALSE),'RES Assumptions T15'!$E$2:$S$2,0))</f>
        <v>0.4207580201450169</v>
      </c>
      <c r="AD75" s="14">
        <f ca="1">OFFSET('RES Assumptions T15'!$D75,0,MATCH(VLOOKUP('RES Assumptions'!AD$2,'RES Assumptions T15'!$V$3:$W$35,2,FALSE),'RES Assumptions T15'!$E$2:$S$2,0))</f>
        <v>0.4207580201450169</v>
      </c>
      <c r="AE75" s="14">
        <f ca="1">OFFSET('RES Assumptions T15'!$D75,0,MATCH(VLOOKUP('RES Assumptions'!AE$2,'RES Assumptions T15'!$V$3:$W$35,2,FALSE),'RES Assumptions T15'!$E$2:$S$2,0))</f>
        <v>0.4207580201450169</v>
      </c>
      <c r="AF75" s="14">
        <f ca="1">OFFSET('RES Assumptions T15'!$D75,0,MATCH(VLOOKUP('RES Assumptions'!AF$2,'RES Assumptions T15'!$V$3:$W$35,2,FALSE),'RES Assumptions T15'!$E$2:$S$2,0))</f>
        <v>0.4207580201450169</v>
      </c>
      <c r="AG75" s="14">
        <f ca="1">OFFSET('RES Assumptions T15'!$D75,0,MATCH(VLOOKUP('RES Assumptions'!AG$2,'RES Assumptions T15'!$V$3:$W$35,2,FALSE),'RES Assumptions T15'!$E$2:$S$2,0))</f>
        <v>0.18176966607656808</v>
      </c>
      <c r="AH75" s="14">
        <f ca="1">OFFSET('RES Assumptions T15'!$D75,0,MATCH(VLOOKUP('RES Assumptions'!AH$2,'RES Assumptions T15'!$V$3:$W$35,2,FALSE),'RES Assumptions T15'!$E$2:$S$2,0))</f>
        <v>0.18176966607656808</v>
      </c>
      <c r="AJ75" s="6" t="s">
        <v>105</v>
      </c>
    </row>
    <row r="76" spans="1:51" x14ac:dyDescent="0.45">
      <c r="A76" s="37" t="str">
        <f t="shared" si="18"/>
        <v/>
      </c>
      <c r="B76" s="8"/>
      <c r="C76" s="5" t="s">
        <v>106</v>
      </c>
      <c r="D76" s="6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J76" s="6"/>
    </row>
    <row r="77" spans="1:51" x14ac:dyDescent="0.45">
      <c r="A77" s="37" t="str">
        <f t="shared" si="18"/>
        <v>RRRESELC</v>
      </c>
      <c r="B77" s="6" t="s">
        <v>120</v>
      </c>
      <c r="C77" s="6" t="s">
        <v>177</v>
      </c>
      <c r="D77" s="6" t="s">
        <v>50</v>
      </c>
      <c r="E77" s="14">
        <f ca="1">OFFSET('RES Assumptions T15'!$D77,0,MATCH(VLOOKUP('RES Assumptions'!E$2,'RES Assumptions T15'!$V$3:$W$35,2,FALSE),'RES Assumptions T15'!$E$2:$S$2,0))</f>
        <v>0.78</v>
      </c>
      <c r="F77" s="14">
        <f ca="1">OFFSET('RES Assumptions T15'!$D77,0,MATCH(VLOOKUP('RES Assumptions'!F$2,'RES Assumptions T15'!$V$3:$W$35,2,FALSE),'RES Assumptions T15'!$E$2:$S$2,0))</f>
        <v>0.78</v>
      </c>
      <c r="G77" s="14">
        <f ca="1">OFFSET('RES Assumptions T15'!$D77,0,MATCH(VLOOKUP('RES Assumptions'!G$2,'RES Assumptions T15'!$V$3:$W$35,2,FALSE),'RES Assumptions T15'!$E$2:$S$2,0))</f>
        <v>0.99</v>
      </c>
      <c r="H77" s="14">
        <f ca="1">OFFSET('RES Assumptions T15'!$D77,0,MATCH(VLOOKUP('RES Assumptions'!H$2,'RES Assumptions T15'!$V$3:$W$35,2,FALSE),'RES Assumptions T15'!$E$2:$S$2,0))</f>
        <v>0.78</v>
      </c>
      <c r="I77" s="14">
        <f ca="1">OFFSET('RES Assumptions T15'!$D77,0,MATCH(VLOOKUP('RES Assumptions'!I$2,'RES Assumptions T15'!$V$3:$W$35,2,FALSE),'RES Assumptions T15'!$E$2:$S$2,0))</f>
        <v>0.9</v>
      </c>
      <c r="J77" s="14">
        <f ca="1">OFFSET('RES Assumptions T15'!$D77,0,MATCH(VLOOKUP('RES Assumptions'!J$2,'RES Assumptions T15'!$V$3:$W$35,2,FALSE),'RES Assumptions T15'!$E$2:$S$2,0))</f>
        <v>0.95</v>
      </c>
      <c r="K77" s="14">
        <f ca="1">OFFSET('RES Assumptions T15'!$D77,0,MATCH(VLOOKUP('RES Assumptions'!K$2,'RES Assumptions T15'!$V$3:$W$35,2,FALSE),'RES Assumptions T15'!$E$2:$S$2,0))</f>
        <v>0.78</v>
      </c>
      <c r="L77" s="14">
        <f ca="1">OFFSET('RES Assumptions T15'!$D77,0,MATCH(VLOOKUP('RES Assumptions'!L$2,'RES Assumptions T15'!$V$3:$W$35,2,FALSE),'RES Assumptions T15'!$E$2:$S$2,0))</f>
        <v>0.99</v>
      </c>
      <c r="M77" s="14">
        <f ca="1">OFFSET('RES Assumptions T15'!$D77,0,MATCH(VLOOKUP('RES Assumptions'!M$2,'RES Assumptions T15'!$V$3:$W$35,2,FALSE),'RES Assumptions T15'!$E$2:$S$2,0))</f>
        <v>0.78</v>
      </c>
      <c r="N77" s="14">
        <f ca="1">OFFSET('RES Assumptions T15'!$D77,0,MATCH(VLOOKUP('RES Assumptions'!N$2,'RES Assumptions T15'!$V$3:$W$35,2,FALSE),'RES Assumptions T15'!$E$2:$S$2,0))</f>
        <v>0.78</v>
      </c>
      <c r="O77" s="14">
        <f ca="1">OFFSET('RES Assumptions T15'!$D77,0,MATCH(VLOOKUP('RES Assumptions'!O$2,'RES Assumptions T15'!$V$3:$W$35,2,FALSE),'RES Assumptions T15'!$E$2:$S$2,0))</f>
        <v>0.78</v>
      </c>
      <c r="P77" s="14">
        <f ca="1">OFFSET('RES Assumptions T15'!$D77,0,MATCH(VLOOKUP('RES Assumptions'!P$2,'RES Assumptions T15'!$V$3:$W$35,2,FALSE),'RES Assumptions T15'!$E$2:$S$2,0))</f>
        <v>0.78</v>
      </c>
      <c r="Q77" s="14">
        <f ca="1">OFFSET('RES Assumptions T15'!$D77,0,MATCH(VLOOKUP('RES Assumptions'!Q$2,'RES Assumptions T15'!$V$3:$W$35,2,FALSE),'RES Assumptions T15'!$E$2:$S$2,0))</f>
        <v>0.78</v>
      </c>
      <c r="R77" s="14">
        <f ca="1">OFFSET('RES Assumptions T15'!$D77,0,MATCH(VLOOKUP('RES Assumptions'!R$2,'RES Assumptions T15'!$V$3:$W$35,2,FALSE),'RES Assumptions T15'!$E$2:$S$2,0))</f>
        <v>0.78</v>
      </c>
      <c r="S77" s="14">
        <f ca="1">OFFSET('RES Assumptions T15'!$D77,0,MATCH(VLOOKUP('RES Assumptions'!S$2,'RES Assumptions T15'!$V$3:$W$35,2,FALSE),'RES Assumptions T15'!$E$2:$S$2,0))</f>
        <v>0.78</v>
      </c>
      <c r="T77" s="14">
        <f ca="1">OFFSET('RES Assumptions T15'!$D77,0,MATCH(VLOOKUP('RES Assumptions'!T$2,'RES Assumptions T15'!$V$3:$W$35,2,FALSE),'RES Assumptions T15'!$E$2:$S$2,0))</f>
        <v>0.78</v>
      </c>
      <c r="U77" s="14">
        <f ca="1">OFFSET('RES Assumptions T15'!$D77,0,MATCH(VLOOKUP('RES Assumptions'!U$2,'RES Assumptions T15'!$V$3:$W$35,2,FALSE),'RES Assumptions T15'!$E$2:$S$2,0))</f>
        <v>0.78</v>
      </c>
      <c r="V77" s="14">
        <f ca="1">OFFSET('RES Assumptions T15'!$D77,0,MATCH(VLOOKUP('RES Assumptions'!V$2,'RES Assumptions T15'!$V$3:$W$35,2,FALSE),'RES Assumptions T15'!$E$2:$S$2,0))</f>
        <v>0.78</v>
      </c>
      <c r="W77" s="14">
        <f ca="1">OFFSET('RES Assumptions T15'!$D77,0,MATCH(VLOOKUP('RES Assumptions'!W$2,'RES Assumptions T15'!$V$3:$W$35,2,FALSE),'RES Assumptions T15'!$E$2:$S$2,0))</f>
        <v>0.78</v>
      </c>
      <c r="X77" s="14">
        <f ca="1">OFFSET('RES Assumptions T15'!$D77,0,MATCH(VLOOKUP('RES Assumptions'!X$2,'RES Assumptions T15'!$V$3:$W$35,2,FALSE),'RES Assumptions T15'!$E$2:$S$2,0))</f>
        <v>0.98</v>
      </c>
      <c r="Y77" s="14">
        <f ca="1">OFFSET('RES Assumptions T15'!$D77,0,MATCH(VLOOKUP('RES Assumptions'!Y$2,'RES Assumptions T15'!$V$3:$W$35,2,FALSE),'RES Assumptions T15'!$E$2:$S$2,0))</f>
        <v>0.99</v>
      </c>
      <c r="Z77" s="14">
        <f ca="1">OFFSET('RES Assumptions T15'!$D77,0,MATCH(VLOOKUP('RES Assumptions'!Z$2,'RES Assumptions T15'!$V$3:$W$35,2,FALSE),'RES Assumptions T15'!$E$2:$S$2,0))</f>
        <v>0.98</v>
      </c>
      <c r="AA77" s="14">
        <f ca="1">OFFSET('RES Assumptions T15'!$D77,0,MATCH(VLOOKUP('RES Assumptions'!AA$2,'RES Assumptions T15'!$V$3:$W$35,2,FALSE),'RES Assumptions T15'!$E$2:$S$2,0))</f>
        <v>0.78</v>
      </c>
      <c r="AB77" s="14">
        <f ca="1">OFFSET('RES Assumptions T15'!$D77,0,MATCH(VLOOKUP('RES Assumptions'!AB$2,'RES Assumptions T15'!$V$3:$W$35,2,FALSE),'RES Assumptions T15'!$E$2:$S$2,0))</f>
        <v>0.78</v>
      </c>
      <c r="AC77" s="14">
        <f ca="1">OFFSET('RES Assumptions T15'!$D77,0,MATCH(VLOOKUP('RES Assumptions'!AC$2,'RES Assumptions T15'!$V$3:$W$35,2,FALSE),'RES Assumptions T15'!$E$2:$S$2,0))</f>
        <v>0.78</v>
      </c>
      <c r="AD77" s="14">
        <f ca="1">OFFSET('RES Assumptions T15'!$D77,0,MATCH(VLOOKUP('RES Assumptions'!AD$2,'RES Assumptions T15'!$V$3:$W$35,2,FALSE),'RES Assumptions T15'!$E$2:$S$2,0))</f>
        <v>0.78</v>
      </c>
      <c r="AE77" s="14">
        <f ca="1">OFFSET('RES Assumptions T15'!$D77,0,MATCH(VLOOKUP('RES Assumptions'!AE$2,'RES Assumptions T15'!$V$3:$W$35,2,FALSE),'RES Assumptions T15'!$E$2:$S$2,0))</f>
        <v>0.78</v>
      </c>
      <c r="AF77" s="14">
        <f ca="1">OFFSET('RES Assumptions T15'!$D77,0,MATCH(VLOOKUP('RES Assumptions'!AF$2,'RES Assumptions T15'!$V$3:$W$35,2,FALSE),'RES Assumptions T15'!$E$2:$S$2,0))</f>
        <v>0.78</v>
      </c>
      <c r="AG77" s="14">
        <f ca="1">OFFSET('RES Assumptions T15'!$D77,0,MATCH(VLOOKUP('RES Assumptions'!AG$2,'RES Assumptions T15'!$V$3:$W$35,2,FALSE),'RES Assumptions T15'!$E$2:$S$2,0))</f>
        <v>0.78</v>
      </c>
      <c r="AH77" s="14">
        <f ca="1">OFFSET('RES Assumptions T15'!$D77,0,MATCH(VLOOKUP('RES Assumptions'!AH$2,'RES Assumptions T15'!$V$3:$W$35,2,FALSE),'RES Assumptions T15'!$E$2:$S$2,0))</f>
        <v>0.78</v>
      </c>
      <c r="AJ77" s="6" t="s">
        <v>108</v>
      </c>
    </row>
    <row r="78" spans="1:51" x14ac:dyDescent="0.45">
      <c r="A78" s="37" t="str">
        <f t="shared" si="18"/>
        <v>RRRESELC</v>
      </c>
      <c r="B78" s="6" t="s">
        <v>120</v>
      </c>
      <c r="C78" s="6" t="s">
        <v>176</v>
      </c>
      <c r="D78" s="6" t="s">
        <v>50</v>
      </c>
      <c r="E78" s="14">
        <f ca="1">OFFSET('RES Assumptions T15'!$D78,0,MATCH(VLOOKUP('RES Assumptions'!E$2,'RES Assumptions T15'!$V$3:$W$35,2,FALSE),'RES Assumptions T15'!$E$2:$S$2,0))</f>
        <v>0.22</v>
      </c>
      <c r="F78" s="14">
        <f ca="1">OFFSET('RES Assumptions T15'!$D78,0,MATCH(VLOOKUP('RES Assumptions'!F$2,'RES Assumptions T15'!$V$3:$W$35,2,FALSE),'RES Assumptions T15'!$E$2:$S$2,0))</f>
        <v>0.22</v>
      </c>
      <c r="G78" s="14">
        <f ca="1">OFFSET('RES Assumptions T15'!$D78,0,MATCH(VLOOKUP('RES Assumptions'!G$2,'RES Assumptions T15'!$V$3:$W$35,2,FALSE),'RES Assumptions T15'!$E$2:$S$2,0))</f>
        <v>1.0000000000000009E-2</v>
      </c>
      <c r="H78" s="14">
        <f ca="1">OFFSET('RES Assumptions T15'!$D78,0,MATCH(VLOOKUP('RES Assumptions'!H$2,'RES Assumptions T15'!$V$3:$W$35,2,FALSE),'RES Assumptions T15'!$E$2:$S$2,0))</f>
        <v>0.22</v>
      </c>
      <c r="I78" s="14">
        <f ca="1">OFFSET('RES Assumptions T15'!$D78,0,MATCH(VLOOKUP('RES Assumptions'!I$2,'RES Assumptions T15'!$V$3:$W$35,2,FALSE),'RES Assumptions T15'!$E$2:$S$2,0))</f>
        <v>0.1</v>
      </c>
      <c r="J78" s="14">
        <f ca="1">OFFSET('RES Assumptions T15'!$D78,0,MATCH(VLOOKUP('RES Assumptions'!J$2,'RES Assumptions T15'!$V$3:$W$35,2,FALSE),'RES Assumptions T15'!$E$2:$S$2,0))</f>
        <v>0.05</v>
      </c>
      <c r="K78" s="14">
        <f ca="1">OFFSET('RES Assumptions T15'!$D78,0,MATCH(VLOOKUP('RES Assumptions'!K$2,'RES Assumptions T15'!$V$3:$W$35,2,FALSE),'RES Assumptions T15'!$E$2:$S$2,0))</f>
        <v>0.22</v>
      </c>
      <c r="L78" s="14">
        <f ca="1">OFFSET('RES Assumptions T15'!$D78,0,MATCH(VLOOKUP('RES Assumptions'!L$2,'RES Assumptions T15'!$V$3:$W$35,2,FALSE),'RES Assumptions T15'!$E$2:$S$2,0))</f>
        <v>1.0000000000000009E-2</v>
      </c>
      <c r="M78" s="14">
        <f ca="1">OFFSET('RES Assumptions T15'!$D78,0,MATCH(VLOOKUP('RES Assumptions'!M$2,'RES Assumptions T15'!$V$3:$W$35,2,FALSE),'RES Assumptions T15'!$E$2:$S$2,0))</f>
        <v>0.22</v>
      </c>
      <c r="N78" s="14">
        <f ca="1">OFFSET('RES Assumptions T15'!$D78,0,MATCH(VLOOKUP('RES Assumptions'!N$2,'RES Assumptions T15'!$V$3:$W$35,2,FALSE),'RES Assumptions T15'!$E$2:$S$2,0))</f>
        <v>0.22</v>
      </c>
      <c r="O78" s="14">
        <f ca="1">OFFSET('RES Assumptions T15'!$D78,0,MATCH(VLOOKUP('RES Assumptions'!O$2,'RES Assumptions T15'!$V$3:$W$35,2,FALSE),'RES Assumptions T15'!$E$2:$S$2,0))</f>
        <v>0.22</v>
      </c>
      <c r="P78" s="14">
        <f ca="1">OFFSET('RES Assumptions T15'!$D78,0,MATCH(VLOOKUP('RES Assumptions'!P$2,'RES Assumptions T15'!$V$3:$W$35,2,FALSE),'RES Assumptions T15'!$E$2:$S$2,0))</f>
        <v>0.22</v>
      </c>
      <c r="Q78" s="14">
        <f ca="1">OFFSET('RES Assumptions T15'!$D78,0,MATCH(VLOOKUP('RES Assumptions'!Q$2,'RES Assumptions T15'!$V$3:$W$35,2,FALSE),'RES Assumptions T15'!$E$2:$S$2,0))</f>
        <v>0.22</v>
      </c>
      <c r="R78" s="14">
        <f ca="1">OFFSET('RES Assumptions T15'!$D78,0,MATCH(VLOOKUP('RES Assumptions'!R$2,'RES Assumptions T15'!$V$3:$W$35,2,FALSE),'RES Assumptions T15'!$E$2:$S$2,0))</f>
        <v>0.22</v>
      </c>
      <c r="S78" s="14">
        <f ca="1">OFFSET('RES Assumptions T15'!$D78,0,MATCH(VLOOKUP('RES Assumptions'!S$2,'RES Assumptions T15'!$V$3:$W$35,2,FALSE),'RES Assumptions T15'!$E$2:$S$2,0))</f>
        <v>0.22</v>
      </c>
      <c r="T78" s="14">
        <f ca="1">OFFSET('RES Assumptions T15'!$D78,0,MATCH(VLOOKUP('RES Assumptions'!T$2,'RES Assumptions T15'!$V$3:$W$35,2,FALSE),'RES Assumptions T15'!$E$2:$S$2,0))</f>
        <v>0.22</v>
      </c>
      <c r="U78" s="14">
        <f ca="1">OFFSET('RES Assumptions T15'!$D78,0,MATCH(VLOOKUP('RES Assumptions'!U$2,'RES Assumptions T15'!$V$3:$W$35,2,FALSE),'RES Assumptions T15'!$E$2:$S$2,0))</f>
        <v>0.22</v>
      </c>
      <c r="V78" s="14">
        <f ca="1">OFFSET('RES Assumptions T15'!$D78,0,MATCH(VLOOKUP('RES Assumptions'!V$2,'RES Assumptions T15'!$V$3:$W$35,2,FALSE),'RES Assumptions T15'!$E$2:$S$2,0))</f>
        <v>0.22</v>
      </c>
      <c r="W78" s="14">
        <f ca="1">OFFSET('RES Assumptions T15'!$D78,0,MATCH(VLOOKUP('RES Assumptions'!W$2,'RES Assumptions T15'!$V$3:$W$35,2,FALSE),'RES Assumptions T15'!$E$2:$S$2,0))</f>
        <v>0.22</v>
      </c>
      <c r="X78" s="14">
        <f ca="1">OFFSET('RES Assumptions T15'!$D78,0,MATCH(VLOOKUP('RES Assumptions'!X$2,'RES Assumptions T15'!$V$3:$W$35,2,FALSE),'RES Assumptions T15'!$E$2:$S$2,0))</f>
        <v>0.02</v>
      </c>
      <c r="Y78" s="14">
        <f ca="1">OFFSET('RES Assumptions T15'!$D78,0,MATCH(VLOOKUP('RES Assumptions'!Y$2,'RES Assumptions T15'!$V$3:$W$35,2,FALSE),'RES Assumptions T15'!$E$2:$S$2,0))</f>
        <v>1.0000000000000009E-2</v>
      </c>
      <c r="Z78" s="14">
        <f ca="1">OFFSET('RES Assumptions T15'!$D78,0,MATCH(VLOOKUP('RES Assumptions'!Z$2,'RES Assumptions T15'!$V$3:$W$35,2,FALSE),'RES Assumptions T15'!$E$2:$S$2,0))</f>
        <v>0.02</v>
      </c>
      <c r="AA78" s="14">
        <f ca="1">OFFSET('RES Assumptions T15'!$D78,0,MATCH(VLOOKUP('RES Assumptions'!AA$2,'RES Assumptions T15'!$V$3:$W$35,2,FALSE),'RES Assumptions T15'!$E$2:$S$2,0))</f>
        <v>0.22</v>
      </c>
      <c r="AB78" s="14">
        <f ca="1">OFFSET('RES Assumptions T15'!$D78,0,MATCH(VLOOKUP('RES Assumptions'!AB$2,'RES Assumptions T15'!$V$3:$W$35,2,FALSE),'RES Assumptions T15'!$E$2:$S$2,0))</f>
        <v>0.22</v>
      </c>
      <c r="AC78" s="14">
        <f ca="1">OFFSET('RES Assumptions T15'!$D78,0,MATCH(VLOOKUP('RES Assumptions'!AC$2,'RES Assumptions T15'!$V$3:$W$35,2,FALSE),'RES Assumptions T15'!$E$2:$S$2,0))</f>
        <v>0.22</v>
      </c>
      <c r="AD78" s="14">
        <f ca="1">OFFSET('RES Assumptions T15'!$D78,0,MATCH(VLOOKUP('RES Assumptions'!AD$2,'RES Assumptions T15'!$V$3:$W$35,2,FALSE),'RES Assumptions T15'!$E$2:$S$2,0))</f>
        <v>0.22</v>
      </c>
      <c r="AE78" s="14">
        <f ca="1">OFFSET('RES Assumptions T15'!$D78,0,MATCH(VLOOKUP('RES Assumptions'!AE$2,'RES Assumptions T15'!$V$3:$W$35,2,FALSE),'RES Assumptions T15'!$E$2:$S$2,0))</f>
        <v>0.22</v>
      </c>
      <c r="AF78" s="14">
        <f ca="1">OFFSET('RES Assumptions T15'!$D78,0,MATCH(VLOOKUP('RES Assumptions'!AF$2,'RES Assumptions T15'!$V$3:$W$35,2,FALSE),'RES Assumptions T15'!$E$2:$S$2,0))</f>
        <v>0.22</v>
      </c>
      <c r="AG78" s="14">
        <f ca="1">OFFSET('RES Assumptions T15'!$D78,0,MATCH(VLOOKUP('RES Assumptions'!AG$2,'RES Assumptions T15'!$V$3:$W$35,2,FALSE),'RES Assumptions T15'!$E$2:$S$2,0))</f>
        <v>0.22</v>
      </c>
      <c r="AH78" s="14">
        <f ca="1">OFFSET('RES Assumptions T15'!$D78,0,MATCH(VLOOKUP('RES Assumptions'!AH$2,'RES Assumptions T15'!$V$3:$W$35,2,FALSE),'RES Assumptions T15'!$E$2:$S$2,0))</f>
        <v>0.22</v>
      </c>
      <c r="AJ78" s="6" t="s">
        <v>110</v>
      </c>
    </row>
    <row r="79" spans="1:51" x14ac:dyDescent="0.45">
      <c r="A79" s="37" t="str">
        <f t="shared" si="18"/>
        <v/>
      </c>
      <c r="B79" s="8"/>
      <c r="C79" s="5" t="s">
        <v>111</v>
      </c>
      <c r="D79" s="6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J79" s="6"/>
    </row>
    <row r="80" spans="1:51" x14ac:dyDescent="0.45">
      <c r="A80" s="37" t="str">
        <f t="shared" si="18"/>
        <v>RLRESELC</v>
      </c>
      <c r="B80" s="6" t="s">
        <v>71</v>
      </c>
      <c r="C80" s="6" t="s">
        <v>175</v>
      </c>
      <c r="D80" s="6" t="s">
        <v>50</v>
      </c>
      <c r="E80" s="30">
        <f ca="1">OFFSET('RES Assumptions T15'!$D80,0,MATCH(VLOOKUP('RES Assumptions'!E$2,'RES Assumptions T15'!$V$3:$W$35,2,FALSE),'RES Assumptions T15'!$E$2:$S$2,0))</f>
        <v>0.8</v>
      </c>
      <c r="F80" s="30">
        <f ca="1">OFFSET('RES Assumptions T15'!$D80,0,MATCH(VLOOKUP('RES Assumptions'!F$2,'RES Assumptions T15'!$V$3:$W$35,2,FALSE),'RES Assumptions T15'!$E$2:$S$2,0))</f>
        <v>0.8</v>
      </c>
      <c r="G80" s="30">
        <f ca="1">OFFSET('RES Assumptions T15'!$D80,0,MATCH(VLOOKUP('RES Assumptions'!G$2,'RES Assumptions T15'!$V$3:$W$35,2,FALSE),'RES Assumptions T15'!$E$2:$S$2,0))</f>
        <v>0.79</v>
      </c>
      <c r="H80" s="30">
        <f ca="1">OFFSET('RES Assumptions T15'!$D80,0,MATCH(VLOOKUP('RES Assumptions'!H$2,'RES Assumptions T15'!$V$3:$W$35,2,FALSE),'RES Assumptions T15'!$E$2:$S$2,0))</f>
        <v>0.75</v>
      </c>
      <c r="I80" s="30">
        <f ca="1">OFFSET('RES Assumptions T15'!$D80,0,MATCH(VLOOKUP('RES Assumptions'!I$2,'RES Assumptions T15'!$V$3:$W$35,2,FALSE),'RES Assumptions T15'!$E$2:$S$2,0))</f>
        <v>0.20999999999999996</v>
      </c>
      <c r="J80" s="30">
        <f ca="1">OFFSET('RES Assumptions T15'!$D80,0,MATCH(VLOOKUP('RES Assumptions'!J$2,'RES Assumptions T15'!$V$3:$W$35,2,FALSE),'RES Assumptions T15'!$E$2:$S$2,0))</f>
        <v>0.75</v>
      </c>
      <c r="K80" s="30">
        <f ca="1">OFFSET('RES Assumptions T15'!$D80,0,MATCH(VLOOKUP('RES Assumptions'!K$2,'RES Assumptions T15'!$V$3:$W$35,2,FALSE),'RES Assumptions T15'!$E$2:$S$2,0))</f>
        <v>0.5</v>
      </c>
      <c r="L80" s="30">
        <f ca="1">OFFSET('RES Assumptions T15'!$D80,0,MATCH(VLOOKUP('RES Assumptions'!L$2,'RES Assumptions T15'!$V$3:$W$35,2,FALSE),'RES Assumptions T15'!$E$2:$S$2,0))</f>
        <v>0.79</v>
      </c>
      <c r="M80" s="30">
        <f ca="1">OFFSET('RES Assumptions T15'!$D80,0,MATCH(VLOOKUP('RES Assumptions'!M$2,'RES Assumptions T15'!$V$3:$W$35,2,FALSE),'RES Assumptions T15'!$E$2:$S$2,0))</f>
        <v>0.55000000000000004</v>
      </c>
      <c r="N80" s="30">
        <f ca="1">OFFSET('RES Assumptions T15'!$D80,0,MATCH(VLOOKUP('RES Assumptions'!N$2,'RES Assumptions T15'!$V$3:$W$35,2,FALSE),'RES Assumptions T15'!$E$2:$S$2,0))</f>
        <v>0.42800000000000005</v>
      </c>
      <c r="O80" s="30">
        <f ca="1">OFFSET('RES Assumptions T15'!$D80,0,MATCH(VLOOKUP('RES Assumptions'!O$2,'RES Assumptions T15'!$V$3:$W$35,2,FALSE),'RES Assumptions T15'!$E$2:$S$2,0))</f>
        <v>0.59</v>
      </c>
      <c r="P80" s="30">
        <f ca="1">OFFSET('RES Assumptions T15'!$D80,0,MATCH(VLOOKUP('RES Assumptions'!P$2,'RES Assumptions T15'!$V$3:$W$35,2,FALSE),'RES Assumptions T15'!$E$2:$S$2,0))</f>
        <v>0.8</v>
      </c>
      <c r="Q80" s="30">
        <f ca="1">OFFSET('RES Assumptions T15'!$D80,0,MATCH(VLOOKUP('RES Assumptions'!Q$2,'RES Assumptions T15'!$V$3:$W$35,2,FALSE),'RES Assumptions T15'!$E$2:$S$2,0))</f>
        <v>0.59</v>
      </c>
      <c r="R80" s="30">
        <f ca="1">OFFSET('RES Assumptions T15'!$D80,0,MATCH(VLOOKUP('RES Assumptions'!R$2,'RES Assumptions T15'!$V$3:$W$35,2,FALSE),'RES Assumptions T15'!$E$2:$S$2,0))</f>
        <v>0.59</v>
      </c>
      <c r="S80" s="30">
        <f ca="1">OFFSET('RES Assumptions T15'!$D80,0,MATCH(VLOOKUP('RES Assumptions'!S$2,'RES Assumptions T15'!$V$3:$W$35,2,FALSE),'RES Assumptions T15'!$E$2:$S$2,0))</f>
        <v>0.8</v>
      </c>
      <c r="T80" s="30">
        <f ca="1">OFFSET('RES Assumptions T15'!$D80,0,MATCH(VLOOKUP('RES Assumptions'!T$2,'RES Assumptions T15'!$V$3:$W$35,2,FALSE),'RES Assumptions T15'!$E$2:$S$2,0))</f>
        <v>0.59</v>
      </c>
      <c r="U80" s="30">
        <f ca="1">OFFSET('RES Assumptions T15'!$D80,0,MATCH(VLOOKUP('RES Assumptions'!U$2,'RES Assumptions T15'!$V$3:$W$35,2,FALSE),'RES Assumptions T15'!$E$2:$S$2,0))</f>
        <v>0.8</v>
      </c>
      <c r="V80" s="30">
        <f ca="1">OFFSET('RES Assumptions T15'!$D80,0,MATCH(VLOOKUP('RES Assumptions'!V$2,'RES Assumptions T15'!$V$3:$W$35,2,FALSE),'RES Assumptions T15'!$E$2:$S$2,0))</f>
        <v>0.59</v>
      </c>
      <c r="W80" s="30">
        <f ca="1">OFFSET('RES Assumptions T15'!$D80,0,MATCH(VLOOKUP('RES Assumptions'!W$2,'RES Assumptions T15'!$V$3:$W$35,2,FALSE),'RES Assumptions T15'!$E$2:$S$2,0))</f>
        <v>0.59</v>
      </c>
      <c r="X80" s="30">
        <f ca="1">OFFSET('RES Assumptions T15'!$D80,0,MATCH(VLOOKUP('RES Assumptions'!X$2,'RES Assumptions T15'!$V$3:$W$35,2,FALSE),'RES Assumptions T15'!$E$2:$S$2,0))</f>
        <v>0.55000000000000004</v>
      </c>
      <c r="Y80" s="30">
        <f ca="1">OFFSET('RES Assumptions T15'!$D80,0,MATCH(VLOOKUP('RES Assumptions'!Y$2,'RES Assumptions T15'!$V$3:$W$35,2,FALSE),'RES Assumptions T15'!$E$2:$S$2,0))</f>
        <v>0.79</v>
      </c>
      <c r="Z80" s="30">
        <f ca="1">OFFSET('RES Assumptions T15'!$D80,0,MATCH(VLOOKUP('RES Assumptions'!Z$2,'RES Assumptions T15'!$V$3:$W$35,2,FALSE),'RES Assumptions T15'!$E$2:$S$2,0))</f>
        <v>0.79800000000000004</v>
      </c>
      <c r="AA80" s="30">
        <f ca="1">OFFSET('RES Assumptions T15'!$D80,0,MATCH(VLOOKUP('RES Assumptions'!AA$2,'RES Assumptions T15'!$V$3:$W$35,2,FALSE),'RES Assumptions T15'!$E$2:$S$2,0))</f>
        <v>0.8</v>
      </c>
      <c r="AB80" s="30">
        <f ca="1">OFFSET('RES Assumptions T15'!$D80,0,MATCH(VLOOKUP('RES Assumptions'!AB$2,'RES Assumptions T15'!$V$3:$W$35,2,FALSE),'RES Assumptions T15'!$E$2:$S$2,0))</f>
        <v>0.59</v>
      </c>
      <c r="AC80" s="30">
        <f ca="1">OFFSET('RES Assumptions T15'!$D80,0,MATCH(VLOOKUP('RES Assumptions'!AC$2,'RES Assumptions T15'!$V$3:$W$35,2,FALSE),'RES Assumptions T15'!$E$2:$S$2,0))</f>
        <v>0.75</v>
      </c>
      <c r="AD80" s="30">
        <f ca="1">OFFSET('RES Assumptions T15'!$D80,0,MATCH(VLOOKUP('RES Assumptions'!AD$2,'RES Assumptions T15'!$V$3:$W$35,2,FALSE),'RES Assumptions T15'!$E$2:$S$2,0))</f>
        <v>0.8</v>
      </c>
      <c r="AE80" s="30">
        <f ca="1">OFFSET('RES Assumptions T15'!$D80,0,MATCH(VLOOKUP('RES Assumptions'!AE$2,'RES Assumptions T15'!$V$3:$W$35,2,FALSE),'RES Assumptions T15'!$E$2:$S$2,0))</f>
        <v>0.8</v>
      </c>
      <c r="AF80" s="30">
        <f ca="1">OFFSET('RES Assumptions T15'!$D80,0,MATCH(VLOOKUP('RES Assumptions'!AF$2,'RES Assumptions T15'!$V$3:$W$35,2,FALSE),'RES Assumptions T15'!$E$2:$S$2,0))</f>
        <v>0.59</v>
      </c>
      <c r="AG80" s="30">
        <f ca="1">OFFSET('RES Assumptions T15'!$D80,0,MATCH(VLOOKUP('RES Assumptions'!AG$2,'RES Assumptions T15'!$V$3:$W$35,2,FALSE),'RES Assumptions T15'!$E$2:$S$2,0))</f>
        <v>0.59</v>
      </c>
      <c r="AH80" s="30">
        <f ca="1">OFFSET('RES Assumptions T15'!$D80,0,MATCH(VLOOKUP('RES Assumptions'!AH$2,'RES Assumptions T15'!$V$3:$W$35,2,FALSE),'RES Assumptions T15'!$E$2:$S$2,0))</f>
        <v>0.59</v>
      </c>
      <c r="AJ80" s="6" t="s">
        <v>113</v>
      </c>
    </row>
    <row r="81" spans="1:41" x14ac:dyDescent="0.45">
      <c r="A81" s="37" t="str">
        <f t="shared" si="18"/>
        <v>RLRESELC</v>
      </c>
      <c r="B81" s="6" t="s">
        <v>71</v>
      </c>
      <c r="C81" s="6" t="s">
        <v>174</v>
      </c>
      <c r="D81" s="6" t="s">
        <v>50</v>
      </c>
      <c r="E81" s="30">
        <f ca="1">OFFSET('RES Assumptions T15'!$D81,0,MATCH(VLOOKUP('RES Assumptions'!E$2,'RES Assumptions T15'!$V$3:$W$35,2,FALSE),'RES Assumptions T15'!$E$2:$S$2,0))</f>
        <v>0.05</v>
      </c>
      <c r="F81" s="30">
        <f ca="1">OFFSET('RES Assumptions T15'!$D81,0,MATCH(VLOOKUP('RES Assumptions'!F$2,'RES Assumptions T15'!$V$3:$W$35,2,FALSE),'RES Assumptions T15'!$E$2:$S$2,0))</f>
        <v>0.05</v>
      </c>
      <c r="G81" s="30">
        <f ca="1">OFFSET('RES Assumptions T15'!$D81,0,MATCH(VLOOKUP('RES Assumptions'!G$2,'RES Assumptions T15'!$V$3:$W$35,2,FALSE),'RES Assumptions T15'!$E$2:$S$2,0))</f>
        <v>0</v>
      </c>
      <c r="H81" s="30">
        <f ca="1">OFFSET('RES Assumptions T15'!$D81,0,MATCH(VLOOKUP('RES Assumptions'!H$2,'RES Assumptions T15'!$V$3:$W$35,2,FALSE),'RES Assumptions T15'!$E$2:$S$2,0))</f>
        <v>0.05</v>
      </c>
      <c r="I81" s="30">
        <f ca="1">OFFSET('RES Assumptions T15'!$D81,0,MATCH(VLOOKUP('RES Assumptions'!I$2,'RES Assumptions T15'!$V$3:$W$35,2,FALSE),'RES Assumptions T15'!$E$2:$S$2,0))</f>
        <v>0.04</v>
      </c>
      <c r="J81" s="30">
        <f ca="1">OFFSET('RES Assumptions T15'!$D81,0,MATCH(VLOOKUP('RES Assumptions'!J$2,'RES Assumptions T15'!$V$3:$W$35,2,FALSE),'RES Assumptions T15'!$E$2:$S$2,0))</f>
        <v>0.05</v>
      </c>
      <c r="K81" s="30">
        <f ca="1">OFFSET('RES Assumptions T15'!$D81,0,MATCH(VLOOKUP('RES Assumptions'!K$2,'RES Assumptions T15'!$V$3:$W$35,2,FALSE),'RES Assumptions T15'!$E$2:$S$2,0))</f>
        <v>0.05</v>
      </c>
      <c r="L81" s="30">
        <f ca="1">OFFSET('RES Assumptions T15'!$D81,0,MATCH(VLOOKUP('RES Assumptions'!L$2,'RES Assumptions T15'!$V$3:$W$35,2,FALSE),'RES Assumptions T15'!$E$2:$S$2,0))</f>
        <v>0</v>
      </c>
      <c r="M81" s="30">
        <f ca="1">OFFSET('RES Assumptions T15'!$D81,0,MATCH(VLOOKUP('RES Assumptions'!M$2,'RES Assumptions T15'!$V$3:$W$35,2,FALSE),'RES Assumptions T15'!$E$2:$S$2,0))</f>
        <v>0.1</v>
      </c>
      <c r="N81" s="30">
        <f ca="1">OFFSET('RES Assumptions T15'!$D81,0,MATCH(VLOOKUP('RES Assumptions'!N$2,'RES Assumptions T15'!$V$3:$W$35,2,FALSE),'RES Assumptions T15'!$E$2:$S$2,0))</f>
        <v>4.2000000000000003E-2</v>
      </c>
      <c r="O81" s="30">
        <f ca="1">OFFSET('RES Assumptions T15'!$D81,0,MATCH(VLOOKUP('RES Assumptions'!O$2,'RES Assumptions T15'!$V$3:$W$35,2,FALSE),'RES Assumptions T15'!$E$2:$S$2,0))</f>
        <v>0.04</v>
      </c>
      <c r="P81" s="30">
        <f ca="1">OFFSET('RES Assumptions T15'!$D81,0,MATCH(VLOOKUP('RES Assumptions'!P$2,'RES Assumptions T15'!$V$3:$W$35,2,FALSE),'RES Assumptions T15'!$E$2:$S$2,0))</f>
        <v>0.05</v>
      </c>
      <c r="Q81" s="30">
        <f ca="1">OFFSET('RES Assumptions T15'!$D81,0,MATCH(VLOOKUP('RES Assumptions'!Q$2,'RES Assumptions T15'!$V$3:$W$35,2,FALSE),'RES Assumptions T15'!$E$2:$S$2,0))</f>
        <v>0.04</v>
      </c>
      <c r="R81" s="30">
        <f ca="1">OFFSET('RES Assumptions T15'!$D81,0,MATCH(VLOOKUP('RES Assumptions'!R$2,'RES Assumptions T15'!$V$3:$W$35,2,FALSE),'RES Assumptions T15'!$E$2:$S$2,0))</f>
        <v>0.04</v>
      </c>
      <c r="S81" s="30">
        <f ca="1">OFFSET('RES Assumptions T15'!$D81,0,MATCH(VLOOKUP('RES Assumptions'!S$2,'RES Assumptions T15'!$V$3:$W$35,2,FALSE),'RES Assumptions T15'!$E$2:$S$2,0))</f>
        <v>0.05</v>
      </c>
      <c r="T81" s="30">
        <f ca="1">OFFSET('RES Assumptions T15'!$D81,0,MATCH(VLOOKUP('RES Assumptions'!T$2,'RES Assumptions T15'!$V$3:$W$35,2,FALSE),'RES Assumptions T15'!$E$2:$S$2,0))</f>
        <v>0.04</v>
      </c>
      <c r="U81" s="30">
        <f ca="1">OFFSET('RES Assumptions T15'!$D81,0,MATCH(VLOOKUP('RES Assumptions'!U$2,'RES Assumptions T15'!$V$3:$W$35,2,FALSE),'RES Assumptions T15'!$E$2:$S$2,0))</f>
        <v>0.05</v>
      </c>
      <c r="V81" s="30">
        <f ca="1">OFFSET('RES Assumptions T15'!$D81,0,MATCH(VLOOKUP('RES Assumptions'!V$2,'RES Assumptions T15'!$V$3:$W$35,2,FALSE),'RES Assumptions T15'!$E$2:$S$2,0))</f>
        <v>0.04</v>
      </c>
      <c r="W81" s="30">
        <f ca="1">OFFSET('RES Assumptions T15'!$D81,0,MATCH(VLOOKUP('RES Assumptions'!W$2,'RES Assumptions T15'!$V$3:$W$35,2,FALSE),'RES Assumptions T15'!$E$2:$S$2,0))</f>
        <v>0.04</v>
      </c>
      <c r="X81" s="30">
        <f ca="1">OFFSET('RES Assumptions T15'!$D81,0,MATCH(VLOOKUP('RES Assumptions'!X$2,'RES Assumptions T15'!$V$3:$W$35,2,FALSE),'RES Assumptions T15'!$E$2:$S$2,0))</f>
        <v>0</v>
      </c>
      <c r="Y81" s="30">
        <f ca="1">OFFSET('RES Assumptions T15'!$D81,0,MATCH(VLOOKUP('RES Assumptions'!Y$2,'RES Assumptions T15'!$V$3:$W$35,2,FALSE),'RES Assumptions T15'!$E$2:$S$2,0))</f>
        <v>0</v>
      </c>
      <c r="Z81" s="30">
        <f ca="1">OFFSET('RES Assumptions T15'!$D81,0,MATCH(VLOOKUP('RES Assumptions'!Z$2,'RES Assumptions T15'!$V$3:$W$35,2,FALSE),'RES Assumptions T15'!$E$2:$S$2,0))</f>
        <v>0</v>
      </c>
      <c r="AA81" s="30">
        <f ca="1">OFFSET('RES Assumptions T15'!$D81,0,MATCH(VLOOKUP('RES Assumptions'!AA$2,'RES Assumptions T15'!$V$3:$W$35,2,FALSE),'RES Assumptions T15'!$E$2:$S$2,0))</f>
        <v>0.05</v>
      </c>
      <c r="AB81" s="30">
        <f ca="1">OFFSET('RES Assumptions T15'!$D81,0,MATCH(VLOOKUP('RES Assumptions'!AB$2,'RES Assumptions T15'!$V$3:$W$35,2,FALSE),'RES Assumptions T15'!$E$2:$S$2,0))</f>
        <v>0.04</v>
      </c>
      <c r="AC81" s="30">
        <f ca="1">OFFSET('RES Assumptions T15'!$D81,0,MATCH(VLOOKUP('RES Assumptions'!AC$2,'RES Assumptions T15'!$V$3:$W$35,2,FALSE),'RES Assumptions T15'!$E$2:$S$2,0))</f>
        <v>0.05</v>
      </c>
      <c r="AD81" s="30">
        <f ca="1">OFFSET('RES Assumptions T15'!$D81,0,MATCH(VLOOKUP('RES Assumptions'!AD$2,'RES Assumptions T15'!$V$3:$W$35,2,FALSE),'RES Assumptions T15'!$E$2:$S$2,0))</f>
        <v>0.05</v>
      </c>
      <c r="AE81" s="30">
        <f ca="1">OFFSET('RES Assumptions T15'!$D81,0,MATCH(VLOOKUP('RES Assumptions'!AE$2,'RES Assumptions T15'!$V$3:$W$35,2,FALSE),'RES Assumptions T15'!$E$2:$S$2,0))</f>
        <v>0.05</v>
      </c>
      <c r="AF81" s="30">
        <f ca="1">OFFSET('RES Assumptions T15'!$D81,0,MATCH(VLOOKUP('RES Assumptions'!AF$2,'RES Assumptions T15'!$V$3:$W$35,2,FALSE),'RES Assumptions T15'!$E$2:$S$2,0))</f>
        <v>0.04</v>
      </c>
      <c r="AG81" s="30">
        <f ca="1">OFFSET('RES Assumptions T15'!$D81,0,MATCH(VLOOKUP('RES Assumptions'!AG$2,'RES Assumptions T15'!$V$3:$W$35,2,FALSE),'RES Assumptions T15'!$E$2:$S$2,0))</f>
        <v>0.04</v>
      </c>
      <c r="AH81" s="30">
        <f ca="1">OFFSET('RES Assumptions T15'!$D81,0,MATCH(VLOOKUP('RES Assumptions'!AH$2,'RES Assumptions T15'!$V$3:$W$35,2,FALSE),'RES Assumptions T15'!$E$2:$S$2,0))</f>
        <v>0.04</v>
      </c>
      <c r="AJ81" s="6" t="s">
        <v>115</v>
      </c>
    </row>
    <row r="82" spans="1:41" x14ac:dyDescent="0.45">
      <c r="A82" s="37" t="str">
        <f t="shared" si="18"/>
        <v>RLRESELC</v>
      </c>
      <c r="B82" s="6" t="s">
        <v>71</v>
      </c>
      <c r="C82" s="6" t="s">
        <v>173</v>
      </c>
      <c r="D82" s="6" t="s">
        <v>50</v>
      </c>
      <c r="E82" s="30">
        <f ca="1">OFFSET('RES Assumptions T15'!$D82,0,MATCH(VLOOKUP('RES Assumptions'!E$2,'RES Assumptions T15'!$V$3:$W$35,2,FALSE),'RES Assumptions T15'!$E$2:$S$2,0))</f>
        <v>0.05</v>
      </c>
      <c r="F82" s="30">
        <f ca="1">OFFSET('RES Assumptions T15'!$D82,0,MATCH(VLOOKUP('RES Assumptions'!F$2,'RES Assumptions T15'!$V$3:$W$35,2,FALSE),'RES Assumptions T15'!$E$2:$S$2,0))</f>
        <v>0.05</v>
      </c>
      <c r="G82" s="30">
        <f ca="1">OFFSET('RES Assumptions T15'!$D82,0,MATCH(VLOOKUP('RES Assumptions'!G$2,'RES Assumptions T15'!$V$3:$W$35,2,FALSE),'RES Assumptions T15'!$E$2:$S$2,0))</f>
        <v>0.01</v>
      </c>
      <c r="H82" s="30">
        <f ca="1">OFFSET('RES Assumptions T15'!$D82,0,MATCH(VLOOKUP('RES Assumptions'!H$2,'RES Assumptions T15'!$V$3:$W$35,2,FALSE),'RES Assumptions T15'!$E$2:$S$2,0))</f>
        <v>0.05</v>
      </c>
      <c r="I82" s="30">
        <f ca="1">OFFSET('RES Assumptions T15'!$D82,0,MATCH(VLOOKUP('RES Assumptions'!I$2,'RES Assumptions T15'!$V$3:$W$35,2,FALSE),'RES Assumptions T15'!$E$2:$S$2,0))</f>
        <v>0.35</v>
      </c>
      <c r="J82" s="30">
        <f ca="1">OFFSET('RES Assumptions T15'!$D82,0,MATCH(VLOOKUP('RES Assumptions'!J$2,'RES Assumptions T15'!$V$3:$W$35,2,FALSE),'RES Assumptions T15'!$E$2:$S$2,0))</f>
        <v>0.05</v>
      </c>
      <c r="K82" s="30">
        <f ca="1">OFFSET('RES Assumptions T15'!$D82,0,MATCH(VLOOKUP('RES Assumptions'!K$2,'RES Assumptions T15'!$V$3:$W$35,2,FALSE),'RES Assumptions T15'!$E$2:$S$2,0))</f>
        <v>0.15</v>
      </c>
      <c r="L82" s="30">
        <f ca="1">OFFSET('RES Assumptions T15'!$D82,0,MATCH(VLOOKUP('RES Assumptions'!L$2,'RES Assumptions T15'!$V$3:$W$35,2,FALSE),'RES Assumptions T15'!$E$2:$S$2,0))</f>
        <v>0.01</v>
      </c>
      <c r="M82" s="30">
        <f ca="1">OFFSET('RES Assumptions T15'!$D82,0,MATCH(VLOOKUP('RES Assumptions'!M$2,'RES Assumptions T15'!$V$3:$W$35,2,FALSE),'RES Assumptions T15'!$E$2:$S$2,0))</f>
        <v>0.05</v>
      </c>
      <c r="N82" s="30">
        <f ca="1">OFFSET('RES Assumptions T15'!$D82,0,MATCH(VLOOKUP('RES Assumptions'!N$2,'RES Assumptions T15'!$V$3:$W$35,2,FALSE),'RES Assumptions T15'!$E$2:$S$2,0))</f>
        <v>0.22999999999999998</v>
      </c>
      <c r="O82" s="30">
        <f ca="1">OFFSET('RES Assumptions T15'!$D82,0,MATCH(VLOOKUP('RES Assumptions'!O$2,'RES Assumptions T15'!$V$3:$W$35,2,FALSE),'RES Assumptions T15'!$E$2:$S$2,0))</f>
        <v>7.0000000000000007E-2</v>
      </c>
      <c r="P82" s="30">
        <f ca="1">OFFSET('RES Assumptions T15'!$D82,0,MATCH(VLOOKUP('RES Assumptions'!P$2,'RES Assumptions T15'!$V$3:$W$35,2,FALSE),'RES Assumptions T15'!$E$2:$S$2,0))</f>
        <v>0.05</v>
      </c>
      <c r="Q82" s="30">
        <f ca="1">OFFSET('RES Assumptions T15'!$D82,0,MATCH(VLOOKUP('RES Assumptions'!Q$2,'RES Assumptions T15'!$V$3:$W$35,2,FALSE),'RES Assumptions T15'!$E$2:$S$2,0))</f>
        <v>7.0000000000000007E-2</v>
      </c>
      <c r="R82" s="30">
        <f ca="1">OFFSET('RES Assumptions T15'!$D82,0,MATCH(VLOOKUP('RES Assumptions'!R$2,'RES Assumptions T15'!$V$3:$W$35,2,FALSE),'RES Assumptions T15'!$E$2:$S$2,0))</f>
        <v>7.0000000000000007E-2</v>
      </c>
      <c r="S82" s="30">
        <f ca="1">OFFSET('RES Assumptions T15'!$D82,0,MATCH(VLOOKUP('RES Assumptions'!S$2,'RES Assumptions T15'!$V$3:$W$35,2,FALSE),'RES Assumptions T15'!$E$2:$S$2,0))</f>
        <v>0.05</v>
      </c>
      <c r="T82" s="30">
        <f ca="1">OFFSET('RES Assumptions T15'!$D82,0,MATCH(VLOOKUP('RES Assumptions'!T$2,'RES Assumptions T15'!$V$3:$W$35,2,FALSE),'RES Assumptions T15'!$E$2:$S$2,0))</f>
        <v>7.0000000000000007E-2</v>
      </c>
      <c r="U82" s="30">
        <f ca="1">OFFSET('RES Assumptions T15'!$D82,0,MATCH(VLOOKUP('RES Assumptions'!U$2,'RES Assumptions T15'!$V$3:$W$35,2,FALSE),'RES Assumptions T15'!$E$2:$S$2,0))</f>
        <v>0.05</v>
      </c>
      <c r="V82" s="30">
        <f ca="1">OFFSET('RES Assumptions T15'!$D82,0,MATCH(VLOOKUP('RES Assumptions'!V$2,'RES Assumptions T15'!$V$3:$W$35,2,FALSE),'RES Assumptions T15'!$E$2:$S$2,0))</f>
        <v>7.0000000000000007E-2</v>
      </c>
      <c r="W82" s="30">
        <f ca="1">OFFSET('RES Assumptions T15'!$D82,0,MATCH(VLOOKUP('RES Assumptions'!W$2,'RES Assumptions T15'!$V$3:$W$35,2,FALSE),'RES Assumptions T15'!$E$2:$S$2,0))</f>
        <v>7.0000000000000007E-2</v>
      </c>
      <c r="X82" s="30">
        <f ca="1">OFFSET('RES Assumptions T15'!$D82,0,MATCH(VLOOKUP('RES Assumptions'!X$2,'RES Assumptions T15'!$V$3:$W$35,2,FALSE),'RES Assumptions T15'!$E$2:$S$2,0))</f>
        <v>0.3</v>
      </c>
      <c r="Y82" s="30">
        <f ca="1">OFFSET('RES Assumptions T15'!$D82,0,MATCH(VLOOKUP('RES Assumptions'!Y$2,'RES Assumptions T15'!$V$3:$W$35,2,FALSE),'RES Assumptions T15'!$E$2:$S$2,0))</f>
        <v>0.01</v>
      </c>
      <c r="Z82" s="30">
        <f ca="1">OFFSET('RES Assumptions T15'!$D82,0,MATCH(VLOOKUP('RES Assumptions'!Z$2,'RES Assumptions T15'!$V$3:$W$35,2,FALSE),'RES Assumptions T15'!$E$2:$S$2,0))</f>
        <v>2E-3</v>
      </c>
      <c r="AA82" s="30">
        <f ca="1">OFFSET('RES Assumptions T15'!$D82,0,MATCH(VLOOKUP('RES Assumptions'!AA$2,'RES Assumptions T15'!$V$3:$W$35,2,FALSE),'RES Assumptions T15'!$E$2:$S$2,0))</f>
        <v>0.05</v>
      </c>
      <c r="AB82" s="30">
        <f ca="1">OFFSET('RES Assumptions T15'!$D82,0,MATCH(VLOOKUP('RES Assumptions'!AB$2,'RES Assumptions T15'!$V$3:$W$35,2,FALSE),'RES Assumptions T15'!$E$2:$S$2,0))</f>
        <v>7.0000000000000007E-2</v>
      </c>
      <c r="AC82" s="30">
        <f ca="1">OFFSET('RES Assumptions T15'!$D82,0,MATCH(VLOOKUP('RES Assumptions'!AC$2,'RES Assumptions T15'!$V$3:$W$35,2,FALSE),'RES Assumptions T15'!$E$2:$S$2,0))</f>
        <v>0.05</v>
      </c>
      <c r="AD82" s="30">
        <f ca="1">OFFSET('RES Assumptions T15'!$D82,0,MATCH(VLOOKUP('RES Assumptions'!AD$2,'RES Assumptions T15'!$V$3:$W$35,2,FALSE),'RES Assumptions T15'!$E$2:$S$2,0))</f>
        <v>0.05</v>
      </c>
      <c r="AE82" s="30">
        <f ca="1">OFFSET('RES Assumptions T15'!$D82,0,MATCH(VLOOKUP('RES Assumptions'!AE$2,'RES Assumptions T15'!$V$3:$W$35,2,FALSE),'RES Assumptions T15'!$E$2:$S$2,0))</f>
        <v>0.05</v>
      </c>
      <c r="AF82" s="30">
        <f ca="1">OFFSET('RES Assumptions T15'!$D82,0,MATCH(VLOOKUP('RES Assumptions'!AF$2,'RES Assumptions T15'!$V$3:$W$35,2,FALSE),'RES Assumptions T15'!$E$2:$S$2,0))</f>
        <v>7.0000000000000007E-2</v>
      </c>
      <c r="AG82" s="30">
        <f ca="1">OFFSET('RES Assumptions T15'!$D82,0,MATCH(VLOOKUP('RES Assumptions'!AG$2,'RES Assumptions T15'!$V$3:$W$35,2,FALSE),'RES Assumptions T15'!$E$2:$S$2,0))</f>
        <v>7.0000000000000007E-2</v>
      </c>
      <c r="AH82" s="30">
        <f ca="1">OFFSET('RES Assumptions T15'!$D82,0,MATCH(VLOOKUP('RES Assumptions'!AH$2,'RES Assumptions T15'!$V$3:$W$35,2,FALSE),'RES Assumptions T15'!$E$2:$S$2,0))</f>
        <v>7.0000000000000007E-2</v>
      </c>
      <c r="AJ82" s="6" t="s">
        <v>117</v>
      </c>
    </row>
    <row r="83" spans="1:41" x14ac:dyDescent="0.45">
      <c r="A83" s="37" t="str">
        <f t="shared" si="18"/>
        <v>RLRESELC</v>
      </c>
      <c r="B83" s="6" t="s">
        <v>71</v>
      </c>
      <c r="C83" s="6" t="s">
        <v>172</v>
      </c>
      <c r="D83" s="6" t="s">
        <v>50</v>
      </c>
      <c r="E83" s="53">
        <f ca="1">OFFSET('RES Assumptions T15'!$D83,0,MATCH(VLOOKUP('RES Assumptions'!E$2,'RES Assumptions T15'!$V$3:$W$35,2,FALSE),'RES Assumptions T15'!$E$2:$S$2,0))</f>
        <v>0.1</v>
      </c>
      <c r="F83" s="53">
        <f ca="1">OFFSET('RES Assumptions T15'!$D83,0,MATCH(VLOOKUP('RES Assumptions'!F$2,'RES Assumptions T15'!$V$3:$W$35,2,FALSE),'RES Assumptions T15'!$E$2:$S$2,0))</f>
        <v>0.1</v>
      </c>
      <c r="G83" s="53">
        <f ca="1">OFFSET('RES Assumptions T15'!$D83,0,MATCH(VLOOKUP('RES Assumptions'!G$2,'RES Assumptions T15'!$V$3:$W$35,2,FALSE),'RES Assumptions T15'!$E$2:$S$2,0))</f>
        <v>0.2</v>
      </c>
      <c r="H83" s="53">
        <f ca="1">OFFSET('RES Assumptions T15'!$D83,0,MATCH(VLOOKUP('RES Assumptions'!H$2,'RES Assumptions T15'!$V$3:$W$35,2,FALSE),'RES Assumptions T15'!$E$2:$S$2,0))</f>
        <v>0.15</v>
      </c>
      <c r="I83" s="53">
        <f ca="1">OFFSET('RES Assumptions T15'!$D83,0,MATCH(VLOOKUP('RES Assumptions'!I$2,'RES Assumptions T15'!$V$3:$W$35,2,FALSE),'RES Assumptions T15'!$E$2:$S$2,0))</f>
        <v>0.4</v>
      </c>
      <c r="J83" s="53">
        <f ca="1">OFFSET('RES Assumptions T15'!$D83,0,MATCH(VLOOKUP('RES Assumptions'!J$2,'RES Assumptions T15'!$V$3:$W$35,2,FALSE),'RES Assumptions T15'!$E$2:$S$2,0))</f>
        <v>0.15</v>
      </c>
      <c r="K83" s="53">
        <f ca="1">OFFSET('RES Assumptions T15'!$D83,0,MATCH(VLOOKUP('RES Assumptions'!K$2,'RES Assumptions T15'!$V$3:$W$35,2,FALSE),'RES Assumptions T15'!$E$2:$S$2,0))</f>
        <v>0.3</v>
      </c>
      <c r="L83" s="53">
        <f ca="1">OFFSET('RES Assumptions T15'!$D83,0,MATCH(VLOOKUP('RES Assumptions'!L$2,'RES Assumptions T15'!$V$3:$W$35,2,FALSE),'RES Assumptions T15'!$E$2:$S$2,0))</f>
        <v>0.2</v>
      </c>
      <c r="M83" s="53">
        <f ca="1">OFFSET('RES Assumptions T15'!$D83,0,MATCH(VLOOKUP('RES Assumptions'!M$2,'RES Assumptions T15'!$V$3:$W$35,2,FALSE),'RES Assumptions T15'!$E$2:$S$2,0))</f>
        <v>0.3</v>
      </c>
      <c r="N83" s="53">
        <f ca="1">OFFSET('RES Assumptions T15'!$D83,0,MATCH(VLOOKUP('RES Assumptions'!N$2,'RES Assumptions T15'!$V$3:$W$35,2,FALSE),'RES Assumptions T15'!$E$2:$S$2,0))</f>
        <v>0.3</v>
      </c>
      <c r="O83" s="53">
        <f ca="1">OFFSET('RES Assumptions T15'!$D83,0,MATCH(VLOOKUP('RES Assumptions'!O$2,'RES Assumptions T15'!$V$3:$W$35,2,FALSE),'RES Assumptions T15'!$E$2:$S$2,0))</f>
        <v>0.3</v>
      </c>
      <c r="P83" s="53">
        <f ca="1">OFFSET('RES Assumptions T15'!$D83,0,MATCH(VLOOKUP('RES Assumptions'!P$2,'RES Assumptions T15'!$V$3:$W$35,2,FALSE),'RES Assumptions T15'!$E$2:$S$2,0))</f>
        <v>0.1</v>
      </c>
      <c r="Q83" s="53">
        <f ca="1">OFFSET('RES Assumptions T15'!$D83,0,MATCH(VLOOKUP('RES Assumptions'!Q$2,'RES Assumptions T15'!$V$3:$W$35,2,FALSE),'RES Assumptions T15'!$E$2:$S$2,0))</f>
        <v>0.3</v>
      </c>
      <c r="R83" s="53">
        <f ca="1">OFFSET('RES Assumptions T15'!$D83,0,MATCH(VLOOKUP('RES Assumptions'!R$2,'RES Assumptions T15'!$V$3:$W$35,2,FALSE),'RES Assumptions T15'!$E$2:$S$2,0))</f>
        <v>0.3</v>
      </c>
      <c r="S83" s="53">
        <f ca="1">OFFSET('RES Assumptions T15'!$D83,0,MATCH(VLOOKUP('RES Assumptions'!S$2,'RES Assumptions T15'!$V$3:$W$35,2,FALSE),'RES Assumptions T15'!$E$2:$S$2,0))</f>
        <v>0.1</v>
      </c>
      <c r="T83" s="53">
        <f ca="1">OFFSET('RES Assumptions T15'!$D83,0,MATCH(VLOOKUP('RES Assumptions'!T$2,'RES Assumptions T15'!$V$3:$W$35,2,FALSE),'RES Assumptions T15'!$E$2:$S$2,0))</f>
        <v>0.3</v>
      </c>
      <c r="U83" s="53">
        <f ca="1">OFFSET('RES Assumptions T15'!$D83,0,MATCH(VLOOKUP('RES Assumptions'!U$2,'RES Assumptions T15'!$V$3:$W$35,2,FALSE),'RES Assumptions T15'!$E$2:$S$2,0))</f>
        <v>0.1</v>
      </c>
      <c r="V83" s="53">
        <f ca="1">OFFSET('RES Assumptions T15'!$D83,0,MATCH(VLOOKUP('RES Assumptions'!V$2,'RES Assumptions T15'!$V$3:$W$35,2,FALSE),'RES Assumptions T15'!$E$2:$S$2,0))</f>
        <v>0.3</v>
      </c>
      <c r="W83" s="53">
        <f ca="1">OFFSET('RES Assumptions T15'!$D83,0,MATCH(VLOOKUP('RES Assumptions'!W$2,'RES Assumptions T15'!$V$3:$W$35,2,FALSE),'RES Assumptions T15'!$E$2:$S$2,0))</f>
        <v>0.3</v>
      </c>
      <c r="X83" s="53">
        <f ca="1">OFFSET('RES Assumptions T15'!$D83,0,MATCH(VLOOKUP('RES Assumptions'!X$2,'RES Assumptions T15'!$V$3:$W$35,2,FALSE),'RES Assumptions T15'!$E$2:$S$2,0))</f>
        <v>0.15</v>
      </c>
      <c r="Y83" s="53">
        <f ca="1">OFFSET('RES Assumptions T15'!$D83,0,MATCH(VLOOKUP('RES Assumptions'!Y$2,'RES Assumptions T15'!$V$3:$W$35,2,FALSE),'RES Assumptions T15'!$E$2:$S$2,0))</f>
        <v>0.2</v>
      </c>
      <c r="Z83" s="53">
        <f ca="1">OFFSET('RES Assumptions T15'!$D83,0,MATCH(VLOOKUP('RES Assumptions'!Z$2,'RES Assumptions T15'!$V$3:$W$35,2,FALSE),'RES Assumptions T15'!$E$2:$S$2,0))</f>
        <v>0.2</v>
      </c>
      <c r="AA83" s="53">
        <f ca="1">OFFSET('RES Assumptions T15'!$D83,0,MATCH(VLOOKUP('RES Assumptions'!AA$2,'RES Assumptions T15'!$V$3:$W$35,2,FALSE),'RES Assumptions T15'!$E$2:$S$2,0))</f>
        <v>0.1</v>
      </c>
      <c r="AB83" s="53">
        <f ca="1">OFFSET('RES Assumptions T15'!$D83,0,MATCH(VLOOKUP('RES Assumptions'!AB$2,'RES Assumptions T15'!$V$3:$W$35,2,FALSE),'RES Assumptions T15'!$E$2:$S$2,0))</f>
        <v>0.3</v>
      </c>
      <c r="AC83" s="53">
        <f ca="1">OFFSET('RES Assumptions T15'!$D83,0,MATCH(VLOOKUP('RES Assumptions'!AC$2,'RES Assumptions T15'!$V$3:$W$35,2,FALSE),'RES Assumptions T15'!$E$2:$S$2,0))</f>
        <v>0.15</v>
      </c>
      <c r="AD83" s="53">
        <f ca="1">OFFSET('RES Assumptions T15'!$D83,0,MATCH(VLOOKUP('RES Assumptions'!AD$2,'RES Assumptions T15'!$V$3:$W$35,2,FALSE),'RES Assumptions T15'!$E$2:$S$2,0))</f>
        <v>0.1</v>
      </c>
      <c r="AE83" s="53">
        <f ca="1">OFFSET('RES Assumptions T15'!$D83,0,MATCH(VLOOKUP('RES Assumptions'!AE$2,'RES Assumptions T15'!$V$3:$W$35,2,FALSE),'RES Assumptions T15'!$E$2:$S$2,0))</f>
        <v>0.1</v>
      </c>
      <c r="AF83" s="53">
        <f ca="1">OFFSET('RES Assumptions T15'!$D83,0,MATCH(VLOOKUP('RES Assumptions'!AF$2,'RES Assumptions T15'!$V$3:$W$35,2,FALSE),'RES Assumptions T15'!$E$2:$S$2,0))</f>
        <v>0.3</v>
      </c>
      <c r="AG83" s="53">
        <f ca="1">OFFSET('RES Assumptions T15'!$D83,0,MATCH(VLOOKUP('RES Assumptions'!AG$2,'RES Assumptions T15'!$V$3:$W$35,2,FALSE),'RES Assumptions T15'!$E$2:$S$2,0))</f>
        <v>0.3</v>
      </c>
      <c r="AH83" s="53">
        <f ca="1">OFFSET('RES Assumptions T15'!$D83,0,MATCH(VLOOKUP('RES Assumptions'!AH$2,'RES Assumptions T15'!$V$3:$W$35,2,FALSE),'RES Assumptions T15'!$E$2:$S$2,0))</f>
        <v>0.3</v>
      </c>
      <c r="AJ83" s="6" t="s">
        <v>119</v>
      </c>
    </row>
    <row r="84" spans="1:41" x14ac:dyDescent="0.45">
      <c r="A84" s="37"/>
      <c r="B84" s="6"/>
      <c r="C84" s="6"/>
      <c r="D84" s="6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J84" s="6"/>
    </row>
    <row r="85" spans="1:41" x14ac:dyDescent="0.45">
      <c r="A85" s="8"/>
      <c r="B85" s="8"/>
      <c r="C85" s="8"/>
      <c r="E85" s="52" t="str">
        <f>E2</f>
        <v>Africa_north</v>
      </c>
      <c r="F85" s="52" t="str">
        <f t="shared" ref="F85:S85" si="19">F2</f>
        <v>Africa_other</v>
      </c>
      <c r="G85" s="52" t="str">
        <f t="shared" si="19"/>
        <v>Arg-Chi</v>
      </c>
      <c r="H85" s="52" t="str">
        <f t="shared" si="19"/>
        <v>Asia_central</v>
      </c>
      <c r="I85" s="52" t="str">
        <f t="shared" si="19"/>
        <v>Asia_east</v>
      </c>
      <c r="J85" s="52" t="str">
        <f t="shared" si="19"/>
        <v>Asia_other</v>
      </c>
      <c r="K85" s="52" t="str">
        <f t="shared" si="19"/>
        <v>Australia_NZ</v>
      </c>
      <c r="L85" s="52" t="str">
        <f t="shared" si="19"/>
        <v>Brazil</v>
      </c>
      <c r="M85" s="52" t="str">
        <f t="shared" si="19"/>
        <v>Canada</v>
      </c>
      <c r="N85" s="52" t="str">
        <f t="shared" si="19"/>
        <v>China</v>
      </c>
      <c r="O85" s="52" t="str">
        <f t="shared" si="19"/>
        <v>EU_north</v>
      </c>
      <c r="P85" s="52" t="str">
        <f t="shared" si="19"/>
        <v>EU_northeast</v>
      </c>
      <c r="Q85" s="52" t="str">
        <f t="shared" si="19"/>
        <v>EU_northwest</v>
      </c>
      <c r="R85" s="52" t="str">
        <f t="shared" si="19"/>
        <v>EU_south</v>
      </c>
      <c r="S85" s="52" t="str">
        <f t="shared" si="19"/>
        <v>EU_southeast</v>
      </c>
      <c r="T85" s="52" t="str">
        <f t="shared" ref="T85:U85" si="20">T2</f>
        <v>EU_southwest</v>
      </c>
      <c r="U85" s="52" t="str">
        <f t="shared" si="20"/>
        <v>Europe_other</v>
      </c>
      <c r="V85" s="52" t="str">
        <f t="shared" ref="V85:AH85" si="21">V2</f>
        <v>France</v>
      </c>
      <c r="W85" s="52" t="str">
        <f t="shared" si="21"/>
        <v>Germany</v>
      </c>
      <c r="X85" s="52" t="str">
        <f t="shared" si="21"/>
        <v>India</v>
      </c>
      <c r="Y85" s="52" t="str">
        <f t="shared" si="21"/>
        <v>LatAm_other</v>
      </c>
      <c r="Z85" s="52" t="str">
        <f t="shared" si="21"/>
        <v>Mexico</v>
      </c>
      <c r="AA85" s="52" t="str">
        <f t="shared" si="21"/>
        <v>MidEast_other</v>
      </c>
      <c r="AB85" s="52" t="str">
        <f t="shared" si="21"/>
        <v>Nor-Ice</v>
      </c>
      <c r="AC85" s="52" t="str">
        <f t="shared" si="21"/>
        <v>Russia</v>
      </c>
      <c r="AD85" s="52" t="str">
        <f t="shared" si="21"/>
        <v>SaudiArabia</v>
      </c>
      <c r="AE85" s="52" t="str">
        <f t="shared" si="21"/>
        <v>SouthAfrica</v>
      </c>
      <c r="AF85" s="52" t="str">
        <f t="shared" si="21"/>
        <v>UK</v>
      </c>
      <c r="AG85" s="52" t="str">
        <f t="shared" si="21"/>
        <v>USA</v>
      </c>
      <c r="AH85" s="52" t="str">
        <f t="shared" si="21"/>
        <v>\I:</v>
      </c>
    </row>
    <row r="86" spans="1:41" x14ac:dyDescent="0.45">
      <c r="A86" s="8"/>
      <c r="B86" s="8"/>
      <c r="C86" s="8"/>
    </row>
    <row r="87" spans="1:41" x14ac:dyDescent="0.45">
      <c r="A87" s="8" t="str">
        <f t="shared" ref="A87:A118" si="22">"RES"&amp;VLOOKUP(RIGHT(C87,3),$AJ$87:$AK$108,2,FALSE)</f>
        <v>RESELC</v>
      </c>
      <c r="B87" s="8" t="str">
        <f t="shared" ref="B87:B144" si="23">LEFT(C87,IF(LEN(C87)=5,2,3))</f>
        <v>RC</v>
      </c>
      <c r="C87" s="48" t="str">
        <f>SUBSTITUTE(SUBSTITUTE(SUBSTITUTE('RES Veda input'!B4,"1",""),"000",""),"RRF","RR")</f>
        <v>RCCAE</v>
      </c>
      <c r="E87" s="10">
        <f ca="1">SUMIFS(E$3:E$64,$A$3:$A$64,$A87,$D$3:$D$64,$B87)*SUMIF('RES balance'!$D$5:$D$25,'RES Assumptions'!$A87,'RES balance'!E$5:E$25)*IFERROR(VLOOKUP($C87,$C$68:$AH$83,E$67,FALSE),1)</f>
        <v>44.179203152284792</v>
      </c>
      <c r="F87" s="10">
        <f ca="1">SUMIFS(F$3:F$64,$A$3:$A$64,$A87,$D$3:$D$64,$B87)*SUMIF('RES balance'!$D$5:$D$25,'RES Assumptions'!$A87,'RES balance'!F$5:F$25)*IFERROR(VLOOKUP($C87,$C$68:$AH$83,F$67,FALSE),1)</f>
        <v>29.711268409329755</v>
      </c>
      <c r="G87" s="10">
        <f ca="1">SUMIFS(G$3:G$64,$A$3:$A$64,$A87,$D$3:$D$64,$B87)*SUMIF('RES balance'!$D$5:$D$25,'RES Assumptions'!$A87,'RES balance'!G$5:G$25)*IFERROR(VLOOKUP($C87,$C$68:$AH$83,G$67,FALSE),1)</f>
        <v>1.5997033019827047</v>
      </c>
      <c r="H87" s="10">
        <f ca="1">SUMIFS(H$3:H$64,$A$3:$A$64,$A87,$D$3:$D$64,$B87)*SUMIF('RES balance'!$D$5:$D$25,'RES Assumptions'!$A87,'RES balance'!H$5:H$25)*IFERROR(VLOOKUP($C87,$C$68:$AH$83,H$67,FALSE),1)</f>
        <v>2.2348769654246512</v>
      </c>
      <c r="I87" s="10">
        <f ca="1">SUMIFS(I$3:I$64,$A$3:$A$64,$A87,$D$3:$D$64,$B87)*SUMIF('RES balance'!$D$5:$D$25,'RES Assumptions'!$A87,'RES balance'!I$5:I$25)*IFERROR(VLOOKUP($C87,$C$68:$AH$83,I$67,FALSE),1)</f>
        <v>2.8318590609752685</v>
      </c>
      <c r="J87" s="10">
        <f ca="1">SUMIFS(J$3:J$64,$A$3:$A$64,$A87,$D$3:$D$64,$B87)*SUMIF('RES balance'!$D$5:$D$25,'RES Assumptions'!$A87,'RES balance'!J$5:J$25)*IFERROR(VLOOKUP($C87,$C$68:$AH$83,J$67,FALSE),1)</f>
        <v>14.834886183365322</v>
      </c>
      <c r="K87" s="10">
        <f ca="1">SUMIFS(K$3:K$64,$A$3:$A$64,$A87,$D$3:$D$64,$B87)*SUMIF('RES balance'!$D$5:$D$25,'RES Assumptions'!$A87,'RES balance'!K$5:K$25)*IFERROR(VLOOKUP($C87,$C$68:$AH$83,K$67,FALSE),1)</f>
        <v>10.524766753365041</v>
      </c>
      <c r="L87" s="10">
        <f ca="1">SUMIFS(L$3:L$64,$A$3:$A$64,$A87,$D$3:$D$64,$B87)*SUMIF('RES balance'!$D$5:$D$25,'RES Assumptions'!$A87,'RES balance'!L$5:L$25)*IFERROR(VLOOKUP($C87,$C$68:$AH$83,L$67,FALSE),1)</f>
        <v>4.0176373318468839</v>
      </c>
      <c r="M87" s="10">
        <f ca="1">SUMIFS(M$3:M$64,$A$3:$A$64,$A87,$D$3:$D$64,$B87)*SUMIF('RES balance'!$D$5:$D$25,'RES Assumptions'!$A87,'RES balance'!M$5:M$25)*IFERROR(VLOOKUP($C87,$C$68:$AH$83,M$67,FALSE),1)</f>
        <v>14.713030393396384</v>
      </c>
      <c r="N87" s="10">
        <f ca="1">SUMIFS(N$3:N$64,$A$3:$A$64,$A87,$D$3:$D$64,$B87)*SUMIF('RES balance'!$D$5:$D$25,'RES Assumptions'!$A87,'RES balance'!N$5:N$25)*IFERROR(VLOOKUP($C87,$C$68:$AH$83,N$67,FALSE),1)</f>
        <v>262.01478049730287</v>
      </c>
      <c r="O87" s="10">
        <f ca="1">SUMIFS(O$3:O$64,$A$3:$A$64,$A87,$D$3:$D$64,$B87)*SUMIF('RES balance'!$D$5:$D$25,'RES Assumptions'!$A87,'RES balance'!O$5:O$25)*IFERROR(VLOOKUP($C87,$C$68:$AH$83,O$67,FALSE),1)</f>
        <v>2.9659769506460751</v>
      </c>
      <c r="P87" s="10">
        <f ca="1">SUMIFS(P$3:P$64,$A$3:$A$64,$A87,$D$3:$D$64,$B87)*SUMIF('RES balance'!$D$5:$D$25,'RES Assumptions'!$A87,'RES balance'!P$5:P$25)*IFERROR(VLOOKUP($C87,$C$68:$AH$83,P$67,FALSE),1)</f>
        <v>2.1787746070411727</v>
      </c>
      <c r="Q87" s="10">
        <f ca="1">SUMIFS(Q$3:Q$64,$A$3:$A$64,$A87,$D$3:$D$64,$B87)*SUMIF('RES balance'!$D$5:$D$25,'RES Assumptions'!$A87,'RES balance'!Q$5:Q$25)*IFERROR(VLOOKUP($C87,$C$68:$AH$83,Q$67,FALSE),1)</f>
        <v>1.9662544030672708</v>
      </c>
      <c r="R87" s="10">
        <f ca="1">SUMIFS(R$3:R$64,$A$3:$A$64,$A87,$D$3:$D$64,$B87)*SUMIF('RES balance'!$D$5:$D$25,'RES Assumptions'!$A87,'RES balance'!R$5:R$25)*IFERROR(VLOOKUP($C87,$C$68:$AH$83,R$67,FALSE),1)</f>
        <v>3.3122659047308756</v>
      </c>
      <c r="S87" s="10">
        <f ca="1">SUMIFS(S$3:S$64,$A$3:$A$64,$A87,$D$3:$D$64,$B87)*SUMIF('RES balance'!$D$5:$D$25,'RES Assumptions'!$A87,'RES balance'!S$5:S$25)*IFERROR(VLOOKUP($C87,$C$68:$AH$83,S$67,FALSE),1)</f>
        <v>1.3080743155827084</v>
      </c>
      <c r="T87" s="10">
        <f ca="1">SUMIFS(T$3:T$64,$A$3:$A$64,$A87,$D$3:$D$64,$B87)*SUMIF('RES balance'!$D$5:$D$25,'RES Assumptions'!$A87,'RES balance'!T$5:T$25)*IFERROR(VLOOKUP($C87,$C$68:$AH$83,T$67,FALSE),1)</f>
        <v>3.3358290458986017</v>
      </c>
      <c r="U87" s="10">
        <f ca="1">SUMIFS(U$3:U$64,$A$3:$A$64,$A87,$D$3:$D$64,$B87)*SUMIF('RES balance'!$D$5:$D$25,'RES Assumptions'!$A87,'RES balance'!U$5:U$25)*IFERROR(VLOOKUP($C87,$C$68:$AH$83,U$67,FALSE),1)</f>
        <v>111.75091446720356</v>
      </c>
      <c r="V87" s="10">
        <f ca="1">SUMIFS(V$3:V$64,$A$3:$A$64,$A87,$D$3:$D$64,$B87)*SUMIF('RES balance'!$D$5:$D$25,'RES Assumptions'!$A87,'RES balance'!V$5:V$25)*IFERROR(VLOOKUP($C87,$C$68:$AH$83,V$67,FALSE),1)</f>
        <v>6.1807263968034576</v>
      </c>
      <c r="W87" s="10">
        <f ca="1">SUMIFS(W$3:W$64,$A$3:$A$64,$A87,$D$3:$D$64,$B87)*SUMIF('RES balance'!$D$5:$D$25,'RES Assumptions'!$A87,'RES balance'!W$5:W$25)*IFERROR(VLOOKUP($C87,$C$68:$AH$83,W$67,FALSE),1)</f>
        <v>4.8966489065977337</v>
      </c>
      <c r="X87" s="10">
        <f ca="1">SUMIFS(X$3:X$64,$A$3:$A$64,$A87,$D$3:$D$64,$B87)*SUMIF('RES balance'!$D$5:$D$25,'RES Assumptions'!$A87,'RES balance'!X$5:X$25)*IFERROR(VLOOKUP($C87,$C$68:$AH$83,X$67,FALSE),1)</f>
        <v>72.173064834387333</v>
      </c>
      <c r="Y87" s="10">
        <f ca="1">SUMIFS(Y$3:Y$64,$A$3:$A$64,$A87,$D$3:$D$64,$B87)*SUMIF('RES balance'!$D$5:$D$25,'RES Assumptions'!$A87,'RES balance'!Y$5:Y$25)*IFERROR(VLOOKUP($C87,$C$68:$AH$83,Y$67,FALSE),1)</f>
        <v>3.2096063306889553</v>
      </c>
      <c r="Z87" s="10">
        <f ca="1">SUMIFS(Z$3:Z$64,$A$3:$A$64,$A87,$D$3:$D$64,$B87)*SUMIF('RES balance'!$D$5:$D$25,'RES Assumptions'!$A87,'RES balance'!Z$5:Z$25)*IFERROR(VLOOKUP($C87,$C$68:$AH$83,Z$67,FALSE),1)</f>
        <v>3.0923893480749234</v>
      </c>
      <c r="AA87" s="10">
        <f ca="1">SUMIFS(AA$3:AA$64,$A$3:$A$64,$A87,$D$3:$D$64,$B87)*SUMIF('RES balance'!$D$5:$D$25,'RES Assumptions'!$A87,'RES balance'!AA$5:AA$25)*IFERROR(VLOOKUP($C87,$C$68:$AH$83,AA$67,FALSE),1)</f>
        <v>203.31325734209432</v>
      </c>
      <c r="AB87" s="10">
        <f ca="1">SUMIFS(AB$3:AB$64,$A$3:$A$64,$A87,$D$3:$D$64,$B87)*SUMIF('RES balance'!$D$5:$D$25,'RES Assumptions'!$A87,'RES balance'!AB$5:AB$25)*IFERROR(VLOOKUP($C87,$C$68:$AH$83,AB$67,FALSE),1)</f>
        <v>1.5844162150611125</v>
      </c>
      <c r="AC87" s="10">
        <f ca="1">SUMIFS(AC$3:AC$64,$A$3:$A$64,$A87,$D$3:$D$64,$B87)*SUMIF('RES balance'!$D$5:$D$25,'RES Assumptions'!$A87,'RES balance'!AC$5:AC$25)*IFERROR(VLOOKUP($C87,$C$68:$AH$83,AC$67,FALSE),1)</f>
        <v>6.2886252050554949</v>
      </c>
      <c r="AD87" s="10">
        <f ca="1">SUMIFS(AD$3:AD$64,$A$3:$A$64,$A87,$D$3:$D$64,$B87)*SUMIF('RES balance'!$D$5:$D$25,'RES Assumptions'!$A87,'RES balance'!AD$5:AD$25)*IFERROR(VLOOKUP($C87,$C$68:$AH$83,AD$67,FALSE),1)</f>
        <v>97.614936112996574</v>
      </c>
      <c r="AE87" s="10">
        <f ca="1">SUMIFS(AE$3:AE$64,$A$3:$A$64,$A87,$D$3:$D$64,$B87)*SUMIF('RES balance'!$D$5:$D$25,'RES Assumptions'!$A87,'RES balance'!AE$5:AE$25)*IFERROR(VLOOKUP($C87,$C$68:$AH$83,AE$67,FALSE),1)</f>
        <v>18.831434699345643</v>
      </c>
      <c r="AF87" s="10">
        <f ca="1">SUMIFS(AF$3:AF$64,$A$3:$A$64,$A87,$D$3:$D$64,$B87)*SUMIF('RES balance'!$D$5:$D$25,'RES Assumptions'!$A87,'RES balance'!AF$5:AF$25)*IFERROR(VLOOKUP($C87,$C$68:$AH$83,AF$67,FALSE),1)</f>
        <v>4.01768557294728</v>
      </c>
      <c r="AG87" s="10">
        <f ca="1">SUMIFS(AG$3:AG$64,$A$3:$A$64,$A87,$D$3:$D$64,$B87)*SUMIF('RES balance'!$D$5:$D$25,'RES Assumptions'!$A87,'RES balance'!AG$5:AG$25)*IFERROR(VLOOKUP($C87,$C$68:$AH$83,AG$67,FALSE),1)</f>
        <v>870.2764290160535</v>
      </c>
      <c r="AH87" s="10">
        <f ca="1">SUMIFS(AH$3:AH$64,$A$3:$A$64,$A87,$D$3:$D$64,$B87)*SUMIF('RES balance'!$D$5:$D$25,'RES Assumptions'!$A87,'RES balance'!AH$5:AH$25)*IFERROR(VLOOKUP($C87,$C$68:$AH$83,AH$67,FALSE),1)</f>
        <v>0</v>
      </c>
      <c r="AJ87" s="37" t="s">
        <v>182</v>
      </c>
      <c r="AK87" s="37" t="s">
        <v>182</v>
      </c>
      <c r="AL87" s="8"/>
      <c r="AM87" s="8"/>
      <c r="AN87" s="37" t="s">
        <v>63</v>
      </c>
      <c r="AO87" s="37" t="s">
        <v>192</v>
      </c>
    </row>
    <row r="88" spans="1:41" x14ac:dyDescent="0.45">
      <c r="A88" s="8" t="str">
        <f t="shared" si="22"/>
        <v>RESELC</v>
      </c>
      <c r="B88" s="8" t="str">
        <f t="shared" si="23"/>
        <v>RC</v>
      </c>
      <c r="C88" s="48" t="str">
        <f>SUBSTITUTE(SUBSTITUTE(SUBSTITUTE('RES Veda input'!B5,"1",""),"000",""),"RRF","RR")</f>
        <v>RCEHP</v>
      </c>
      <c r="E88" s="10">
        <f ca="1">SUMIFS(E$3:E$64,$A$3:$A$64,$A88,$D$3:$D$64,$B88)*SUMIF('RES balance'!$D$5:$D$25,'RES Assumptions'!$A88,'RES balance'!E$5:E$25)*IFERROR(VLOOKUP($C88,$C$68:$AH$83,E$67,FALSE),1)</f>
        <v>3.4349248432613648</v>
      </c>
      <c r="F88" s="10">
        <f ca="1">SUMIFS(F$3:F$64,$A$3:$A$64,$A88,$D$3:$D$64,$B88)*SUMIF('RES balance'!$D$5:$D$25,'RES Assumptions'!$A88,'RES balance'!F$5:F$25)*IFERROR(VLOOKUP($C88,$C$68:$AH$83,F$67,FALSE),1)</f>
        <v>2.3100456029555021</v>
      </c>
      <c r="G88" s="10">
        <f ca="1">SUMIFS(G$3:G$64,$A$3:$A$64,$A88,$D$3:$D$64,$B88)*SUMIF('RES balance'!$D$5:$D$25,'RES Assumptions'!$A88,'RES balance'!G$5:G$25)*IFERROR(VLOOKUP($C88,$C$68:$AH$83,G$67,FALSE),1)</f>
        <v>0.39992582549567618</v>
      </c>
      <c r="H88" s="10">
        <f ca="1">SUMIFS(H$3:H$64,$A$3:$A$64,$A88,$D$3:$D$64,$B88)*SUMIF('RES balance'!$D$5:$D$25,'RES Assumptions'!$A88,'RES balance'!H$5:H$25)*IFERROR(VLOOKUP($C88,$C$68:$AH$83,H$67,FALSE),1)</f>
        <v>0.17376126915889598</v>
      </c>
      <c r="I88" s="10">
        <f ca="1">SUMIFS(I$3:I$64,$A$3:$A$64,$A88,$D$3:$D$64,$B88)*SUMIF('RES balance'!$D$5:$D$25,'RES Assumptions'!$A88,'RES balance'!I$5:I$25)*IFERROR(VLOOKUP($C88,$C$68:$AH$83,I$67,FALSE),1)</f>
        <v>37.946911417068598</v>
      </c>
      <c r="J88" s="10">
        <f ca="1">SUMIFS(J$3:J$64,$A$3:$A$64,$A88,$D$3:$D$64,$B88)*SUMIF('RES balance'!$D$5:$D$25,'RES Assumptions'!$A88,'RES balance'!J$5:J$25)*IFERROR(VLOOKUP($C88,$C$68:$AH$83,J$67,FALSE),1)</f>
        <v>29.669772366730644</v>
      </c>
      <c r="K88" s="10">
        <f ca="1">SUMIFS(K$3:K$64,$A$3:$A$64,$A88,$D$3:$D$64,$B88)*SUMIF('RES balance'!$D$5:$D$25,'RES Assumptions'!$A88,'RES balance'!K$5:K$25)*IFERROR(VLOOKUP($C88,$C$68:$AH$83,K$67,FALSE),1)</f>
        <v>1.5807950064342748</v>
      </c>
      <c r="L88" s="10">
        <f ca="1">SUMIFS(L$3:L$64,$A$3:$A$64,$A88,$D$3:$D$64,$B88)*SUMIF('RES balance'!$D$5:$D$25,'RES Assumptions'!$A88,'RES balance'!L$5:L$25)*IFERROR(VLOOKUP($C88,$C$68:$AH$83,L$67,FALSE),1)</f>
        <v>1.004409332961721</v>
      </c>
      <c r="M88" s="10">
        <f ca="1">SUMIFS(M$3:M$64,$A$3:$A$64,$A88,$D$3:$D$64,$B88)*SUMIF('RES balance'!$D$5:$D$25,'RES Assumptions'!$A88,'RES balance'!M$5:M$25)*IFERROR(VLOOKUP($C88,$C$68:$AH$83,M$67,FALSE),1)</f>
        <v>1.6407636719571359</v>
      </c>
      <c r="N88" s="10">
        <f ca="1">SUMIFS(N$3:N$64,$A$3:$A$64,$A88,$D$3:$D$64,$B88)*SUMIF('RES balance'!$D$5:$D$25,'RES Assumptions'!$A88,'RES balance'!N$5:N$25)*IFERROR(VLOOKUP($C88,$C$68:$AH$83,N$67,FALSE),1)</f>
        <v>94.342474156148327</v>
      </c>
      <c r="O88" s="10">
        <f ca="1">SUMIFS(O$3:O$64,$A$3:$A$64,$A88,$D$3:$D$64,$B88)*SUMIF('RES balance'!$D$5:$D$25,'RES Assumptions'!$A88,'RES balance'!O$5:O$25)*IFERROR(VLOOKUP($C88,$C$68:$AH$83,O$67,FALSE),1)</f>
        <v>0.2306041572818161</v>
      </c>
      <c r="P88" s="10">
        <f ca="1">SUMIFS(P$3:P$64,$A$3:$A$64,$A88,$D$3:$D$64,$B88)*SUMIF('RES balance'!$D$5:$D$25,'RES Assumptions'!$A88,'RES balance'!P$5:P$25)*IFERROR(VLOOKUP($C88,$C$68:$AH$83,P$67,FALSE),1)</f>
        <v>0.1693993212099322</v>
      </c>
      <c r="Q88" s="10">
        <f ca="1">SUMIFS(Q$3:Q$64,$A$3:$A$64,$A88,$D$3:$D$64,$B88)*SUMIF('RES balance'!$D$5:$D$25,'RES Assumptions'!$A88,'RES balance'!Q$5:Q$25)*IFERROR(VLOOKUP($C88,$C$68:$AH$83,Q$67,FALSE),1)</f>
        <v>0.1528759148051434</v>
      </c>
      <c r="R88" s="10">
        <f ca="1">SUMIFS(R$3:R$64,$A$3:$A$64,$A88,$D$3:$D$64,$B88)*SUMIF('RES balance'!$D$5:$D$25,'RES Assumptions'!$A88,'RES balance'!R$5:R$25)*IFERROR(VLOOKUP($C88,$C$68:$AH$83,R$67,FALSE),1)</f>
        <v>0.25752805917368082</v>
      </c>
      <c r="S88" s="10">
        <f ca="1">SUMIFS(S$3:S$64,$A$3:$A$64,$A88,$D$3:$D$64,$B88)*SUMIF('RES balance'!$D$5:$D$25,'RES Assumptions'!$A88,'RES balance'!S$5:S$25)*IFERROR(VLOOKUP($C88,$C$68:$AH$83,S$67,FALSE),1)</f>
        <v>0.10170253519375172</v>
      </c>
      <c r="T88" s="10">
        <f ca="1">SUMIFS(T$3:T$64,$A$3:$A$64,$A88,$D$3:$D$64,$B88)*SUMIF('RES balance'!$D$5:$D$25,'RES Assumptions'!$A88,'RES balance'!T$5:T$25)*IFERROR(VLOOKUP($C88,$C$68:$AH$83,T$67,FALSE),1)</f>
        <v>0.25936008902499585</v>
      </c>
      <c r="U88" s="10">
        <f ca="1">SUMIFS(U$3:U$64,$A$3:$A$64,$A88,$D$3:$D$64,$B88)*SUMIF('RES balance'!$D$5:$D$25,'RES Assumptions'!$A88,'RES balance'!U$5:U$25)*IFERROR(VLOOKUP($C88,$C$68:$AH$83,U$67,FALSE),1)</f>
        <v>8.6886128533697118</v>
      </c>
      <c r="V88" s="10">
        <f ca="1">SUMIFS(V$3:V$64,$A$3:$A$64,$A88,$D$3:$D$64,$B88)*SUMIF('RES balance'!$D$5:$D$25,'RES Assumptions'!$A88,'RES balance'!V$5:V$25)*IFERROR(VLOOKUP($C88,$C$68:$AH$83,V$67,FALSE),1)</f>
        <v>0.48055032990524948</v>
      </c>
      <c r="W88" s="10">
        <f ca="1">SUMIFS(W$3:W$64,$A$3:$A$64,$A88,$D$3:$D$64,$B88)*SUMIF('RES balance'!$D$5:$D$25,'RES Assumptions'!$A88,'RES balance'!W$5:W$25)*IFERROR(VLOOKUP($C88,$C$68:$AH$83,W$67,FALSE),1)</f>
        <v>0.38071354342956953</v>
      </c>
      <c r="X88" s="10">
        <f ca="1">SUMIFS(X$3:X$64,$A$3:$A$64,$A88,$D$3:$D$64,$B88)*SUMIF('RES balance'!$D$5:$D$25,'RES Assumptions'!$A88,'RES balance'!X$5:X$25)*IFERROR(VLOOKUP($C88,$C$68:$AH$83,X$67,FALSE),1)</f>
        <v>48.115376556258219</v>
      </c>
      <c r="Y88" s="10">
        <f ca="1">SUMIFS(Y$3:Y$64,$A$3:$A$64,$A88,$D$3:$D$64,$B88)*SUMIF('RES balance'!$D$5:$D$25,'RES Assumptions'!$A88,'RES balance'!Y$5:Y$25)*IFERROR(VLOOKUP($C88,$C$68:$AH$83,Y$67,FALSE),1)</f>
        <v>0.80240158267223882</v>
      </c>
      <c r="Z88" s="10">
        <f ca="1">SUMIFS(Z$3:Z$64,$A$3:$A$64,$A88,$D$3:$D$64,$B88)*SUMIF('RES balance'!$D$5:$D$25,'RES Assumptions'!$A88,'RES balance'!Z$5:Z$25)*IFERROR(VLOOKUP($C88,$C$68:$AH$83,Z$67,FALSE),1)</f>
        <v>0.77309733701873085</v>
      </c>
      <c r="AA88" s="10">
        <f ca="1">SUMIFS(AA$3:AA$64,$A$3:$A$64,$A88,$D$3:$D$64,$B88)*SUMIF('RES balance'!$D$5:$D$25,'RES Assumptions'!$A88,'RES balance'!AA$5:AA$25)*IFERROR(VLOOKUP($C88,$C$68:$AH$83,AA$67,FALSE),1)</f>
        <v>15.807568013427009</v>
      </c>
      <c r="AB88" s="10">
        <f ca="1">SUMIFS(AB$3:AB$64,$A$3:$A$64,$A88,$D$3:$D$64,$B88)*SUMIF('RES balance'!$D$5:$D$25,'RES Assumptions'!$A88,'RES balance'!AB$5:AB$25)*IFERROR(VLOOKUP($C88,$C$68:$AH$83,AB$67,FALSE),1)</f>
        <v>0.123188066575576</v>
      </c>
      <c r="AC88" s="10">
        <f ca="1">SUMIFS(AC$3:AC$64,$A$3:$A$64,$A88,$D$3:$D$64,$B88)*SUMIF('RES balance'!$D$5:$D$25,'RES Assumptions'!$A88,'RES balance'!AC$5:AC$25)*IFERROR(VLOOKUP($C88,$C$68:$AH$83,AC$67,FALSE),1)</f>
        <v>0.48893944221552998</v>
      </c>
      <c r="AD88" s="10">
        <f ca="1">SUMIFS(AD$3:AD$64,$A$3:$A$64,$A88,$D$3:$D$64,$B88)*SUMIF('RES balance'!$D$5:$D$25,'RES Assumptions'!$A88,'RES balance'!AD$5:AD$25)*IFERROR(VLOOKUP($C88,$C$68:$AH$83,AD$67,FALSE),1)</f>
        <v>7.5895431606616093</v>
      </c>
      <c r="AE88" s="10">
        <f ca="1">SUMIFS(AE$3:AE$64,$A$3:$A$64,$A88,$D$3:$D$64,$B88)*SUMIF('RES balance'!$D$5:$D$25,'RES Assumptions'!$A88,'RES balance'!AE$5:AE$25)*IFERROR(VLOOKUP($C88,$C$68:$AH$83,AE$67,FALSE),1)</f>
        <v>1.4641405518354442</v>
      </c>
      <c r="AF88" s="10">
        <f ca="1">SUMIFS(AF$3:AF$64,$A$3:$A$64,$A88,$D$3:$D$64,$B88)*SUMIF('RES balance'!$D$5:$D$25,'RES Assumptions'!$A88,'RES balance'!AF$5:AF$25)*IFERROR(VLOOKUP($C88,$C$68:$AH$83,AF$67,FALSE),1)</f>
        <v>0.31237430741698813</v>
      </c>
      <c r="AG88" s="10">
        <f ca="1">SUMIFS(AG$3:AG$64,$A$3:$A$64,$A88,$D$3:$D$64,$B88)*SUMIF('RES balance'!$D$5:$D$25,'RES Assumptions'!$A88,'RES balance'!AG$5:AG$25)*IFERROR(VLOOKUP($C88,$C$68:$AH$83,AG$67,FALSE),1)</f>
        <v>117.77254262148412</v>
      </c>
      <c r="AH88" s="10">
        <f ca="1">SUMIFS(AH$3:AH$64,$A$3:$A$64,$A88,$D$3:$D$64,$B88)*SUMIF('RES balance'!$D$5:$D$25,'RES Assumptions'!$A88,'RES balance'!AH$5:AH$25)*IFERROR(VLOOKUP($C88,$C$68:$AH$83,AH$67,FALSE),1)</f>
        <v>0</v>
      </c>
      <c r="AJ88" s="37" t="s">
        <v>178</v>
      </c>
      <c r="AK88" s="37" t="s">
        <v>18</v>
      </c>
      <c r="AL88" s="8"/>
      <c r="AM88" s="8"/>
      <c r="AN88" s="37" t="s">
        <v>66</v>
      </c>
      <c r="AO88" s="37" t="str">
        <f t="shared" ref="AO88:AO96" si="24">AN88</f>
        <v>RCD</v>
      </c>
    </row>
    <row r="89" spans="1:41" x14ac:dyDescent="0.45">
      <c r="A89" s="8" t="str">
        <f t="shared" si="22"/>
        <v>RESGEO</v>
      </c>
      <c r="B89" s="8" t="str">
        <f t="shared" si="23"/>
        <v>RC</v>
      </c>
      <c r="C89" s="48" t="str">
        <f>SUBSTITUTE(SUBSTITUTE(SUBSTITUTE('RES Veda input'!B6,"1",""),"000",""),"RRF","RR")</f>
        <v>RCGEO</v>
      </c>
      <c r="E89" s="10">
        <f ca="1">SUMIFS(E$3:E$64,$A$3:$A$64,$A89,$D$3:$D$64,$B89)*SUMIF('RES balance'!$D$5:$D$25,'RES Assumptions'!$A89,'RES balance'!E$5:E$25)*IFERROR(VLOOKUP($C89,$C$68:$AH$83,E$67,FALSE),1)</f>
        <v>0</v>
      </c>
      <c r="F89" s="10">
        <f ca="1">SUMIFS(F$3:F$64,$A$3:$A$64,$A89,$D$3:$D$64,$B89)*SUMIF('RES balance'!$D$5:$D$25,'RES Assumptions'!$A89,'RES balance'!F$5:F$25)*IFERROR(VLOOKUP($C89,$C$68:$AH$83,F$67,FALSE),1)</f>
        <v>0</v>
      </c>
      <c r="G89" s="10">
        <f ca="1">SUMIFS(G$3:G$64,$A$3:$A$64,$A89,$D$3:$D$64,$B89)*SUMIF('RES balance'!$D$5:$D$25,'RES Assumptions'!$A89,'RES balance'!G$5:G$25)*IFERROR(VLOOKUP($C89,$C$68:$AH$83,G$67,FALSE),1)</f>
        <v>0</v>
      </c>
      <c r="H89" s="10">
        <f ca="1">SUMIFS(H$3:H$64,$A$3:$A$64,$A89,$D$3:$D$64,$B89)*SUMIF('RES balance'!$D$5:$D$25,'RES Assumptions'!$A89,'RES balance'!H$5:H$25)*IFERROR(VLOOKUP($C89,$C$68:$AH$83,H$67,FALSE),1)</f>
        <v>0</v>
      </c>
      <c r="I89" s="10">
        <f ca="1">SUMIFS(I$3:I$64,$A$3:$A$64,$A89,$D$3:$D$64,$B89)*SUMIF('RES balance'!$D$5:$D$25,'RES Assumptions'!$A89,'RES balance'!I$5:I$25)*IFERROR(VLOOKUP($C89,$C$68:$AH$83,I$67,FALSE),1)</f>
        <v>0</v>
      </c>
      <c r="J89" s="10">
        <f ca="1">SUMIFS(J$3:J$64,$A$3:$A$64,$A89,$D$3:$D$64,$B89)*SUMIF('RES balance'!$D$5:$D$25,'RES Assumptions'!$A89,'RES balance'!J$5:J$25)*IFERROR(VLOOKUP($C89,$C$68:$AH$83,J$67,FALSE),1)</f>
        <v>0</v>
      </c>
      <c r="K89" s="10">
        <f ca="1">SUMIFS(K$3:K$64,$A$3:$A$64,$A89,$D$3:$D$64,$B89)*SUMIF('RES balance'!$D$5:$D$25,'RES Assumptions'!$A89,'RES balance'!K$5:K$25)*IFERROR(VLOOKUP($C89,$C$68:$AH$83,K$67,FALSE),1)</f>
        <v>0</v>
      </c>
      <c r="L89" s="10">
        <f ca="1">SUMIFS(L$3:L$64,$A$3:$A$64,$A89,$D$3:$D$64,$B89)*SUMIF('RES balance'!$D$5:$D$25,'RES Assumptions'!$A89,'RES balance'!L$5:L$25)*IFERROR(VLOOKUP($C89,$C$68:$AH$83,L$67,FALSE),1)</f>
        <v>0</v>
      </c>
      <c r="M89" s="10">
        <f ca="1">SUMIFS(M$3:M$64,$A$3:$A$64,$A89,$D$3:$D$64,$B89)*SUMIF('RES balance'!$D$5:$D$25,'RES Assumptions'!$A89,'RES balance'!M$5:M$25)*IFERROR(VLOOKUP($C89,$C$68:$AH$83,M$67,FALSE),1)</f>
        <v>0</v>
      </c>
      <c r="N89" s="10">
        <f ca="1">SUMIFS(N$3:N$64,$A$3:$A$64,$A89,$D$3:$D$64,$B89)*SUMIF('RES balance'!$D$5:$D$25,'RES Assumptions'!$A89,'RES balance'!N$5:N$25)*IFERROR(VLOOKUP($C89,$C$68:$AH$83,N$67,FALSE),1)</f>
        <v>0</v>
      </c>
      <c r="O89" s="10">
        <f ca="1">SUMIFS(O$3:O$64,$A$3:$A$64,$A89,$D$3:$D$64,$B89)*SUMIF('RES balance'!$D$5:$D$25,'RES Assumptions'!$A89,'RES balance'!O$5:O$25)*IFERROR(VLOOKUP($C89,$C$68:$AH$83,O$67,FALSE),1)</f>
        <v>0</v>
      </c>
      <c r="P89" s="10">
        <f ca="1">SUMIFS(P$3:P$64,$A$3:$A$64,$A89,$D$3:$D$64,$B89)*SUMIF('RES balance'!$D$5:$D$25,'RES Assumptions'!$A89,'RES balance'!P$5:P$25)*IFERROR(VLOOKUP($C89,$C$68:$AH$83,P$67,FALSE),1)</f>
        <v>0</v>
      </c>
      <c r="Q89" s="10">
        <f ca="1">SUMIFS(Q$3:Q$64,$A$3:$A$64,$A89,$D$3:$D$64,$B89)*SUMIF('RES balance'!$D$5:$D$25,'RES Assumptions'!$A89,'RES balance'!Q$5:Q$25)*IFERROR(VLOOKUP($C89,$C$68:$AH$83,Q$67,FALSE),1)</f>
        <v>0</v>
      </c>
      <c r="R89" s="10">
        <f ca="1">SUMIFS(R$3:R$64,$A$3:$A$64,$A89,$D$3:$D$64,$B89)*SUMIF('RES balance'!$D$5:$D$25,'RES Assumptions'!$A89,'RES balance'!R$5:R$25)*IFERROR(VLOOKUP($C89,$C$68:$AH$83,R$67,FALSE),1)</f>
        <v>0</v>
      </c>
      <c r="S89" s="10">
        <f ca="1">SUMIFS(S$3:S$64,$A$3:$A$64,$A89,$D$3:$D$64,$B89)*SUMIF('RES balance'!$D$5:$D$25,'RES Assumptions'!$A89,'RES balance'!S$5:S$25)*IFERROR(VLOOKUP($C89,$C$68:$AH$83,S$67,FALSE),1)</f>
        <v>0</v>
      </c>
      <c r="T89" s="10">
        <f ca="1">SUMIFS(T$3:T$64,$A$3:$A$64,$A89,$D$3:$D$64,$B89)*SUMIF('RES balance'!$D$5:$D$25,'RES Assumptions'!$A89,'RES balance'!T$5:T$25)*IFERROR(VLOOKUP($C89,$C$68:$AH$83,T$67,FALSE),1)</f>
        <v>0</v>
      </c>
      <c r="U89" s="10">
        <f ca="1">SUMIFS(U$3:U$64,$A$3:$A$64,$A89,$D$3:$D$64,$B89)*SUMIF('RES balance'!$D$5:$D$25,'RES Assumptions'!$A89,'RES balance'!U$5:U$25)*IFERROR(VLOOKUP($C89,$C$68:$AH$83,U$67,FALSE),1)</f>
        <v>0</v>
      </c>
      <c r="V89" s="10">
        <f ca="1">SUMIFS(V$3:V$64,$A$3:$A$64,$A89,$D$3:$D$64,$B89)*SUMIF('RES balance'!$D$5:$D$25,'RES Assumptions'!$A89,'RES balance'!V$5:V$25)*IFERROR(VLOOKUP($C89,$C$68:$AH$83,V$67,FALSE),1)</f>
        <v>0</v>
      </c>
      <c r="W89" s="10">
        <f ca="1">SUMIFS(W$3:W$64,$A$3:$A$64,$A89,$D$3:$D$64,$B89)*SUMIF('RES balance'!$D$5:$D$25,'RES Assumptions'!$A89,'RES balance'!W$5:W$25)*IFERROR(VLOOKUP($C89,$C$68:$AH$83,W$67,FALSE),1)</f>
        <v>0</v>
      </c>
      <c r="X89" s="10">
        <f ca="1">SUMIFS(X$3:X$64,$A$3:$A$64,$A89,$D$3:$D$64,$B89)*SUMIF('RES balance'!$D$5:$D$25,'RES Assumptions'!$A89,'RES balance'!X$5:X$25)*IFERROR(VLOOKUP($C89,$C$68:$AH$83,X$67,FALSE),1)</f>
        <v>0</v>
      </c>
      <c r="Y89" s="10">
        <f ca="1">SUMIFS(Y$3:Y$64,$A$3:$A$64,$A89,$D$3:$D$64,$B89)*SUMIF('RES balance'!$D$5:$D$25,'RES Assumptions'!$A89,'RES balance'!Y$5:Y$25)*IFERROR(VLOOKUP($C89,$C$68:$AH$83,Y$67,FALSE),1)</f>
        <v>0</v>
      </c>
      <c r="Z89" s="10">
        <f ca="1">SUMIFS(Z$3:Z$64,$A$3:$A$64,$A89,$D$3:$D$64,$B89)*SUMIF('RES balance'!$D$5:$D$25,'RES Assumptions'!$A89,'RES balance'!Z$5:Z$25)*IFERROR(VLOOKUP($C89,$C$68:$AH$83,Z$67,FALSE),1)</f>
        <v>0</v>
      </c>
      <c r="AA89" s="10">
        <f ca="1">SUMIFS(AA$3:AA$64,$A$3:$A$64,$A89,$D$3:$D$64,$B89)*SUMIF('RES balance'!$D$5:$D$25,'RES Assumptions'!$A89,'RES balance'!AA$5:AA$25)*IFERROR(VLOOKUP($C89,$C$68:$AH$83,AA$67,FALSE),1)</f>
        <v>0</v>
      </c>
      <c r="AB89" s="10">
        <f ca="1">SUMIFS(AB$3:AB$64,$A$3:$A$64,$A89,$D$3:$D$64,$B89)*SUMIF('RES balance'!$D$5:$D$25,'RES Assumptions'!$A89,'RES balance'!AB$5:AB$25)*IFERROR(VLOOKUP($C89,$C$68:$AH$83,AB$67,FALSE),1)</f>
        <v>0</v>
      </c>
      <c r="AC89" s="10">
        <f ca="1">SUMIFS(AC$3:AC$64,$A$3:$A$64,$A89,$D$3:$D$64,$B89)*SUMIF('RES balance'!$D$5:$D$25,'RES Assumptions'!$A89,'RES balance'!AC$5:AC$25)*IFERROR(VLOOKUP($C89,$C$68:$AH$83,AC$67,FALSE),1)</f>
        <v>0</v>
      </c>
      <c r="AD89" s="10">
        <f ca="1">SUMIFS(AD$3:AD$64,$A$3:$A$64,$A89,$D$3:$D$64,$B89)*SUMIF('RES balance'!$D$5:$D$25,'RES Assumptions'!$A89,'RES balance'!AD$5:AD$25)*IFERROR(VLOOKUP($C89,$C$68:$AH$83,AD$67,FALSE),1)</f>
        <v>0</v>
      </c>
      <c r="AE89" s="10">
        <f ca="1">SUMIFS(AE$3:AE$64,$A$3:$A$64,$A89,$D$3:$D$64,$B89)*SUMIF('RES balance'!$D$5:$D$25,'RES Assumptions'!$A89,'RES balance'!AE$5:AE$25)*IFERROR(VLOOKUP($C89,$C$68:$AH$83,AE$67,FALSE),1)</f>
        <v>0</v>
      </c>
      <c r="AF89" s="10">
        <f ca="1">SUMIFS(AF$3:AF$64,$A$3:$A$64,$A89,$D$3:$D$64,$B89)*SUMIF('RES balance'!$D$5:$D$25,'RES Assumptions'!$A89,'RES balance'!AF$5:AF$25)*IFERROR(VLOOKUP($C89,$C$68:$AH$83,AF$67,FALSE),1)</f>
        <v>0</v>
      </c>
      <c r="AG89" s="10">
        <f ca="1">SUMIFS(AG$3:AG$64,$A$3:$A$64,$A89,$D$3:$D$64,$B89)*SUMIF('RES balance'!$D$5:$D$25,'RES Assumptions'!$A89,'RES balance'!AG$5:AG$25)*IFERROR(VLOOKUP($C89,$C$68:$AH$83,AG$67,FALSE),1)</f>
        <v>0</v>
      </c>
      <c r="AH89" s="10">
        <f ca="1">SUMIFS(AH$3:AH$64,$A$3:$A$64,$A89,$D$3:$D$64,$B89)*SUMIF('RES balance'!$D$5:$D$25,'RES Assumptions'!$A89,'RES balance'!AH$5:AH$25)*IFERROR(VLOOKUP($C89,$C$68:$AH$83,AH$67,FALSE),1)</f>
        <v>0</v>
      </c>
      <c r="AJ89" s="37" t="s">
        <v>184</v>
      </c>
      <c r="AK89" s="37" t="s">
        <v>18</v>
      </c>
      <c r="AL89" s="8"/>
      <c r="AM89" s="8"/>
      <c r="AN89" s="37" t="s">
        <v>68</v>
      </c>
      <c r="AO89" s="37" t="str">
        <f t="shared" si="24"/>
        <v>RCW</v>
      </c>
    </row>
    <row r="90" spans="1:41" x14ac:dyDescent="0.45">
      <c r="A90" s="8" t="str">
        <f t="shared" si="22"/>
        <v>RESNGA</v>
      </c>
      <c r="B90" s="8" t="str">
        <f t="shared" si="23"/>
        <v>RC</v>
      </c>
      <c r="C90" s="48" t="str">
        <f>SUBSTITUTE(SUBSTITUTE(SUBSTITUTE('RES Veda input'!B7,"1",""),"000",""),"RRF","RR")</f>
        <v>RCNHP</v>
      </c>
      <c r="E90" s="10">
        <f ca="1">SUMIFS(E$3:E$64,$A$3:$A$64,$A90,$D$3:$D$64,$B90)*SUMIF('RES balance'!$D$5:$D$25,'RES Assumptions'!$A90,'RES balance'!E$5:E$25)*IFERROR(VLOOKUP($C90,$C$68:$AH$83,E$67,FALSE),1)</f>
        <v>0</v>
      </c>
      <c r="F90" s="10">
        <f ca="1">SUMIFS(F$3:F$64,$A$3:$A$64,$A90,$D$3:$D$64,$B90)*SUMIF('RES balance'!$D$5:$D$25,'RES Assumptions'!$A90,'RES balance'!F$5:F$25)*IFERROR(VLOOKUP($C90,$C$68:$AH$83,F$67,FALSE),1)</f>
        <v>0</v>
      </c>
      <c r="G90" s="10">
        <f ca="1">SUMIFS(G$3:G$64,$A$3:$A$64,$A90,$D$3:$D$64,$B90)*SUMIF('RES balance'!$D$5:$D$25,'RES Assumptions'!$A90,'RES balance'!G$5:G$25)*IFERROR(VLOOKUP($C90,$C$68:$AH$83,G$67,FALSE),1)</f>
        <v>0</v>
      </c>
      <c r="H90" s="10">
        <f ca="1">SUMIFS(H$3:H$64,$A$3:$A$64,$A90,$D$3:$D$64,$B90)*SUMIF('RES balance'!$D$5:$D$25,'RES Assumptions'!$A90,'RES balance'!H$5:H$25)*IFERROR(VLOOKUP($C90,$C$68:$AH$83,H$67,FALSE),1)</f>
        <v>0</v>
      </c>
      <c r="I90" s="10">
        <f ca="1">SUMIFS(I$3:I$64,$A$3:$A$64,$A90,$D$3:$D$64,$B90)*SUMIF('RES balance'!$D$5:$D$25,'RES Assumptions'!$A90,'RES balance'!I$5:I$25)*IFERROR(VLOOKUP($C90,$C$68:$AH$83,I$67,FALSE),1)</f>
        <v>0</v>
      </c>
      <c r="J90" s="10">
        <f ca="1">SUMIFS(J$3:J$64,$A$3:$A$64,$A90,$D$3:$D$64,$B90)*SUMIF('RES balance'!$D$5:$D$25,'RES Assumptions'!$A90,'RES balance'!J$5:J$25)*IFERROR(VLOOKUP($C90,$C$68:$AH$83,J$67,FALSE),1)</f>
        <v>0</v>
      </c>
      <c r="K90" s="10">
        <f ca="1">SUMIFS(K$3:K$64,$A$3:$A$64,$A90,$D$3:$D$64,$B90)*SUMIF('RES balance'!$D$5:$D$25,'RES Assumptions'!$A90,'RES balance'!K$5:K$25)*IFERROR(VLOOKUP($C90,$C$68:$AH$83,K$67,FALSE),1)</f>
        <v>0</v>
      </c>
      <c r="L90" s="10">
        <f ca="1">SUMIFS(L$3:L$64,$A$3:$A$64,$A90,$D$3:$D$64,$B90)*SUMIF('RES balance'!$D$5:$D$25,'RES Assumptions'!$A90,'RES balance'!L$5:L$25)*IFERROR(VLOOKUP($C90,$C$68:$AH$83,L$67,FALSE),1)</f>
        <v>0</v>
      </c>
      <c r="M90" s="10">
        <f ca="1">SUMIFS(M$3:M$64,$A$3:$A$64,$A90,$D$3:$D$64,$B90)*SUMIF('RES balance'!$D$5:$D$25,'RES Assumptions'!$A90,'RES balance'!M$5:M$25)*IFERROR(VLOOKUP($C90,$C$68:$AH$83,M$67,FALSE),1)</f>
        <v>0</v>
      </c>
      <c r="N90" s="10">
        <f ca="1">SUMIFS(N$3:N$64,$A$3:$A$64,$A90,$D$3:$D$64,$B90)*SUMIF('RES balance'!$D$5:$D$25,'RES Assumptions'!$A90,'RES balance'!N$5:N$25)*IFERROR(VLOOKUP($C90,$C$68:$AH$83,N$67,FALSE),1)</f>
        <v>0</v>
      </c>
      <c r="O90" s="10">
        <f ca="1">SUMIFS(O$3:O$64,$A$3:$A$64,$A90,$D$3:$D$64,$B90)*SUMIF('RES balance'!$D$5:$D$25,'RES Assumptions'!$A90,'RES balance'!O$5:O$25)*IFERROR(VLOOKUP($C90,$C$68:$AH$83,O$67,FALSE),1)</f>
        <v>0</v>
      </c>
      <c r="P90" s="10">
        <f ca="1">SUMIFS(P$3:P$64,$A$3:$A$64,$A90,$D$3:$D$64,$B90)*SUMIF('RES balance'!$D$5:$D$25,'RES Assumptions'!$A90,'RES balance'!P$5:P$25)*IFERROR(VLOOKUP($C90,$C$68:$AH$83,P$67,FALSE),1)</f>
        <v>0</v>
      </c>
      <c r="Q90" s="10">
        <f ca="1">SUMIFS(Q$3:Q$64,$A$3:$A$64,$A90,$D$3:$D$64,$B90)*SUMIF('RES balance'!$D$5:$D$25,'RES Assumptions'!$A90,'RES balance'!Q$5:Q$25)*IFERROR(VLOOKUP($C90,$C$68:$AH$83,Q$67,FALSE),1)</f>
        <v>0</v>
      </c>
      <c r="R90" s="10">
        <f ca="1">SUMIFS(R$3:R$64,$A$3:$A$64,$A90,$D$3:$D$64,$B90)*SUMIF('RES balance'!$D$5:$D$25,'RES Assumptions'!$A90,'RES balance'!R$5:R$25)*IFERROR(VLOOKUP($C90,$C$68:$AH$83,R$67,FALSE),1)</f>
        <v>0</v>
      </c>
      <c r="S90" s="10">
        <f ca="1">SUMIFS(S$3:S$64,$A$3:$A$64,$A90,$D$3:$D$64,$B90)*SUMIF('RES balance'!$D$5:$D$25,'RES Assumptions'!$A90,'RES balance'!S$5:S$25)*IFERROR(VLOOKUP($C90,$C$68:$AH$83,S$67,FALSE),1)</f>
        <v>0</v>
      </c>
      <c r="T90" s="10">
        <f ca="1">SUMIFS(T$3:T$64,$A$3:$A$64,$A90,$D$3:$D$64,$B90)*SUMIF('RES balance'!$D$5:$D$25,'RES Assumptions'!$A90,'RES balance'!T$5:T$25)*IFERROR(VLOOKUP($C90,$C$68:$AH$83,T$67,FALSE),1)</f>
        <v>0</v>
      </c>
      <c r="U90" s="10">
        <f ca="1">SUMIFS(U$3:U$64,$A$3:$A$64,$A90,$D$3:$D$64,$B90)*SUMIF('RES balance'!$D$5:$D$25,'RES Assumptions'!$A90,'RES balance'!U$5:U$25)*IFERROR(VLOOKUP($C90,$C$68:$AH$83,U$67,FALSE),1)</f>
        <v>0</v>
      </c>
      <c r="V90" s="10">
        <f ca="1">SUMIFS(V$3:V$64,$A$3:$A$64,$A90,$D$3:$D$64,$B90)*SUMIF('RES balance'!$D$5:$D$25,'RES Assumptions'!$A90,'RES balance'!V$5:V$25)*IFERROR(VLOOKUP($C90,$C$68:$AH$83,V$67,FALSE),1)</f>
        <v>0</v>
      </c>
      <c r="W90" s="10">
        <f ca="1">SUMIFS(W$3:W$64,$A$3:$A$64,$A90,$D$3:$D$64,$B90)*SUMIF('RES balance'!$D$5:$D$25,'RES Assumptions'!$A90,'RES balance'!W$5:W$25)*IFERROR(VLOOKUP($C90,$C$68:$AH$83,W$67,FALSE),1)</f>
        <v>0</v>
      </c>
      <c r="X90" s="10">
        <f ca="1">SUMIFS(X$3:X$64,$A$3:$A$64,$A90,$D$3:$D$64,$B90)*SUMIF('RES balance'!$D$5:$D$25,'RES Assumptions'!$A90,'RES balance'!X$5:X$25)*IFERROR(VLOOKUP($C90,$C$68:$AH$83,X$67,FALSE),1)</f>
        <v>0</v>
      </c>
      <c r="Y90" s="10">
        <f ca="1">SUMIFS(Y$3:Y$64,$A$3:$A$64,$A90,$D$3:$D$64,$B90)*SUMIF('RES balance'!$D$5:$D$25,'RES Assumptions'!$A90,'RES balance'!Y$5:Y$25)*IFERROR(VLOOKUP($C90,$C$68:$AH$83,Y$67,FALSE),1)</f>
        <v>0</v>
      </c>
      <c r="Z90" s="10">
        <f ca="1">SUMIFS(Z$3:Z$64,$A$3:$A$64,$A90,$D$3:$D$64,$B90)*SUMIF('RES balance'!$D$5:$D$25,'RES Assumptions'!$A90,'RES balance'!Z$5:Z$25)*IFERROR(VLOOKUP($C90,$C$68:$AH$83,Z$67,FALSE),1)</f>
        <v>0</v>
      </c>
      <c r="AA90" s="10">
        <f ca="1">SUMIFS(AA$3:AA$64,$A$3:$A$64,$A90,$D$3:$D$64,$B90)*SUMIF('RES balance'!$D$5:$D$25,'RES Assumptions'!$A90,'RES balance'!AA$5:AA$25)*IFERROR(VLOOKUP($C90,$C$68:$AH$83,AA$67,FALSE),1)</f>
        <v>0</v>
      </c>
      <c r="AB90" s="10">
        <f ca="1">SUMIFS(AB$3:AB$64,$A$3:$A$64,$A90,$D$3:$D$64,$B90)*SUMIF('RES balance'!$D$5:$D$25,'RES Assumptions'!$A90,'RES balance'!AB$5:AB$25)*IFERROR(VLOOKUP($C90,$C$68:$AH$83,AB$67,FALSE),1)</f>
        <v>0</v>
      </c>
      <c r="AC90" s="10">
        <f ca="1">SUMIFS(AC$3:AC$64,$A$3:$A$64,$A90,$D$3:$D$64,$B90)*SUMIF('RES balance'!$D$5:$D$25,'RES Assumptions'!$A90,'RES balance'!AC$5:AC$25)*IFERROR(VLOOKUP($C90,$C$68:$AH$83,AC$67,FALSE),1)</f>
        <v>0</v>
      </c>
      <c r="AD90" s="10">
        <f ca="1">SUMIFS(AD$3:AD$64,$A$3:$A$64,$A90,$D$3:$D$64,$B90)*SUMIF('RES balance'!$D$5:$D$25,'RES Assumptions'!$A90,'RES balance'!AD$5:AD$25)*IFERROR(VLOOKUP($C90,$C$68:$AH$83,AD$67,FALSE),1)</f>
        <v>0</v>
      </c>
      <c r="AE90" s="10">
        <f ca="1">SUMIFS(AE$3:AE$64,$A$3:$A$64,$A90,$D$3:$D$64,$B90)*SUMIF('RES balance'!$D$5:$D$25,'RES Assumptions'!$A90,'RES balance'!AE$5:AE$25)*IFERROR(VLOOKUP($C90,$C$68:$AH$83,AE$67,FALSE),1)</f>
        <v>0</v>
      </c>
      <c r="AF90" s="10">
        <f ca="1">SUMIFS(AF$3:AF$64,$A$3:$A$64,$A90,$D$3:$D$64,$B90)*SUMIF('RES balance'!$D$5:$D$25,'RES Assumptions'!$A90,'RES balance'!AF$5:AF$25)*IFERROR(VLOOKUP($C90,$C$68:$AH$83,AF$67,FALSE),1)</f>
        <v>0</v>
      </c>
      <c r="AG90" s="10">
        <f ca="1">SUMIFS(AG$3:AG$64,$A$3:$A$64,$A90,$D$3:$D$64,$B90)*SUMIF('RES balance'!$D$5:$D$25,'RES Assumptions'!$A90,'RES balance'!AG$5:AG$25)*IFERROR(VLOOKUP($C90,$C$68:$AH$83,AG$67,FALSE),1)</f>
        <v>0</v>
      </c>
      <c r="AH90" s="10">
        <f ca="1">SUMIFS(AH$3:AH$64,$A$3:$A$64,$A90,$D$3:$D$64,$B90)*SUMIF('RES balance'!$D$5:$D$25,'RES Assumptions'!$A90,'RES balance'!AH$5:AH$25)*IFERROR(VLOOKUP($C90,$C$68:$AH$83,AH$67,FALSE),1)</f>
        <v>0</v>
      </c>
      <c r="AJ90" s="37" t="s">
        <v>19</v>
      </c>
      <c r="AK90" s="37" t="str">
        <f t="shared" ref="AK90:AK104" si="25">AJ90</f>
        <v>COA</v>
      </c>
      <c r="AL90" s="8"/>
      <c r="AM90" s="8"/>
      <c r="AN90" s="37" t="s">
        <v>69</v>
      </c>
      <c r="AO90" s="37" t="str">
        <f t="shared" si="24"/>
        <v>RDW</v>
      </c>
    </row>
    <row r="91" spans="1:41" x14ac:dyDescent="0.45">
      <c r="A91" s="8" t="str">
        <f t="shared" si="22"/>
        <v>RESELC</v>
      </c>
      <c r="B91" s="8" t="str">
        <f t="shared" si="23"/>
        <v>RC</v>
      </c>
      <c r="C91" s="48" t="str">
        <f>SUBSTITUTE(SUBSTITUTE(SUBSTITUTE('RES Veda input'!B8,"1",""),"000",""),"RRF","RR")</f>
        <v>RCRAE</v>
      </c>
      <c r="E91" s="10">
        <f ca="1">SUMIFS(E$3:E$64,$A$3:$A$64,$A91,$D$3:$D$64,$B91)*SUMIF('RES balance'!$D$5:$D$25,'RES Assumptions'!$A91,'RES balance'!E$5:E$25)*IFERROR(VLOOKUP($C91,$C$68:$AH$83,E$67,FALSE),1)</f>
        <v>34.586626872853842</v>
      </c>
      <c r="F91" s="10">
        <f ca="1">SUMIFS(F$3:F$64,$A$3:$A$64,$A91,$D$3:$D$64,$B91)*SUMIF('RES balance'!$D$5:$D$25,'RES Assumptions'!$A91,'RES balance'!F$5:F$25)*IFERROR(VLOOKUP($C91,$C$68:$AH$83,F$67,FALSE),1)</f>
        <v>23.260097083474747</v>
      </c>
      <c r="G91" s="10">
        <f ca="1">SUMIFS(G$3:G$64,$A$3:$A$64,$A91,$D$3:$D$64,$B91)*SUMIF('RES balance'!$D$5:$D$25,'RES Assumptions'!$A91,'RES balance'!G$5:G$25)*IFERROR(VLOOKUP($C91,$C$68:$AH$83,G$67,FALSE),1)</f>
        <v>17.996662147305429</v>
      </c>
      <c r="H91" s="10">
        <f ca="1">SUMIFS(H$3:H$64,$A$3:$A$64,$A91,$D$3:$D$64,$B91)*SUMIF('RES balance'!$D$5:$D$25,'RES Assumptions'!$A91,'RES balance'!H$5:H$25)*IFERROR(VLOOKUP($C91,$C$68:$AH$83,H$67,FALSE),1)</f>
        <v>1.7496208667104662</v>
      </c>
      <c r="I91" s="10">
        <f ca="1">SUMIFS(I$3:I$64,$A$3:$A$64,$A91,$D$3:$D$64,$B91)*SUMIF('RES balance'!$D$5:$D$25,'RES Assumptions'!$A91,'RES balance'!I$5:I$25)*IFERROR(VLOOKUP($C91,$C$68:$AH$83,I$67,FALSE),1)</f>
        <v>15.858410741461503</v>
      </c>
      <c r="J91" s="10">
        <f ca="1">SUMIFS(J$3:J$64,$A$3:$A$64,$A91,$D$3:$D$64,$B91)*SUMIF('RES balance'!$D$5:$D$25,'RES Assumptions'!$A91,'RES balance'!J$5:J$25)*IFERROR(VLOOKUP($C91,$C$68:$AH$83,J$67,FALSE),1)</f>
        <v>103.84420328355725</v>
      </c>
      <c r="K91" s="10">
        <f ca="1">SUMIFS(K$3:K$64,$A$3:$A$64,$A91,$D$3:$D$64,$B91)*SUMIF('RES balance'!$D$5:$D$25,'RES Assumptions'!$A91,'RES balance'!K$5:K$25)*IFERROR(VLOOKUP($C91,$C$68:$AH$83,K$67,FALSE),1)</f>
        <v>8.6943725353885117</v>
      </c>
      <c r="L91" s="10">
        <f ca="1">SUMIFS(L$3:L$64,$A$3:$A$64,$A91,$D$3:$D$64,$B91)*SUMIF('RES balance'!$D$5:$D$25,'RES Assumptions'!$A91,'RES balance'!L$5:L$25)*IFERROR(VLOOKUP($C91,$C$68:$AH$83,L$67,FALSE),1)</f>
        <v>45.198419983277446</v>
      </c>
      <c r="M91" s="10">
        <f ca="1">SUMIFS(M$3:M$64,$A$3:$A$64,$A91,$D$3:$D$64,$B91)*SUMIF('RES balance'!$D$5:$D$25,'RES Assumptions'!$A91,'RES balance'!M$5:M$25)*IFERROR(VLOOKUP($C91,$C$68:$AH$83,M$67,FALSE),1)</f>
        <v>14.689516686839291</v>
      </c>
      <c r="N91" s="10">
        <f ca="1">SUMIFS(N$3:N$64,$A$3:$A$64,$A91,$D$3:$D$64,$B91)*SUMIF('RES balance'!$D$5:$D$25,'RES Assumptions'!$A91,'RES balance'!N$5:N$25)*IFERROR(VLOOKUP($C91,$C$68:$AH$83,N$67,FALSE),1)</f>
        <v>72.472173329041226</v>
      </c>
      <c r="O91" s="10">
        <f ca="1">SUMIFS(O$3:O$64,$A$3:$A$64,$A91,$D$3:$D$64,$B91)*SUMIF('RES balance'!$D$5:$D$25,'RES Assumptions'!$A91,'RES balance'!O$5:O$25)*IFERROR(VLOOKUP($C91,$C$68:$AH$83,O$67,FALSE),1)</f>
        <v>2.3219780074321097</v>
      </c>
      <c r="P91" s="10">
        <f ca="1">SUMIFS(P$3:P$64,$A$3:$A$64,$A91,$D$3:$D$64,$B91)*SUMIF('RES balance'!$D$5:$D$25,'RES Assumptions'!$A91,'RES balance'!P$5:P$25)*IFERROR(VLOOKUP($C91,$C$68:$AH$83,P$67,FALSE),1)</f>
        <v>1.7056999447008951</v>
      </c>
      <c r="Q91" s="10">
        <f ca="1">SUMIFS(Q$3:Q$64,$A$3:$A$64,$A91,$D$3:$D$64,$B91)*SUMIF('RES balance'!$D$5:$D$25,'RES Assumptions'!$A91,'RES balance'!Q$5:Q$25)*IFERROR(VLOOKUP($C91,$C$68:$AH$83,Q$67,FALSE),1)</f>
        <v>1.5393239923675857</v>
      </c>
      <c r="R91" s="10">
        <f ca="1">SUMIFS(R$3:R$64,$A$3:$A$64,$A91,$D$3:$D$64,$B91)*SUMIF('RES balance'!$D$5:$D$25,'RES Assumptions'!$A91,'RES balance'!R$5:R$25)*IFERROR(VLOOKUP($C91,$C$68:$AH$83,R$67,FALSE),1)</f>
        <v>2.5930776649754446</v>
      </c>
      <c r="S91" s="10">
        <f ca="1">SUMIFS(S$3:S$64,$A$3:$A$64,$A91,$D$3:$D$64,$B91)*SUMIF('RES balance'!$D$5:$D$25,'RES Assumptions'!$A91,'RES balance'!S$5:S$25)*IFERROR(VLOOKUP($C91,$C$68:$AH$83,S$67,FALSE),1)</f>
        <v>1.0240537412835398</v>
      </c>
      <c r="T91" s="10">
        <f ca="1">SUMIFS(T$3:T$64,$A$3:$A$64,$A91,$D$3:$D$64,$B91)*SUMIF('RES balance'!$D$5:$D$25,'RES Assumptions'!$A91,'RES balance'!T$5:T$25)*IFERROR(VLOOKUP($C91,$C$68:$AH$83,T$67,FALSE),1)</f>
        <v>2.6115245701564032</v>
      </c>
      <c r="U91" s="10">
        <f ca="1">SUMIFS(U$3:U$64,$A$3:$A$64,$A91,$D$3:$D$64,$B91)*SUMIF('RES balance'!$D$5:$D$25,'RES Assumptions'!$A91,'RES balance'!U$5:U$25)*IFERROR(VLOOKUP($C91,$C$68:$AH$83,U$67,FALSE),1)</f>
        <v>87.486575257016256</v>
      </c>
      <c r="V91" s="10">
        <f ca="1">SUMIFS(V$3:V$64,$A$3:$A$64,$A91,$D$3:$D$64,$B91)*SUMIF('RES balance'!$D$5:$D$25,'RES Assumptions'!$A91,'RES balance'!V$5:V$25)*IFERROR(VLOOKUP($C91,$C$68:$AH$83,V$67,FALSE),1)</f>
        <v>4.8387128430672952</v>
      </c>
      <c r="W91" s="10">
        <f ca="1">SUMIFS(W$3:W$64,$A$3:$A$64,$A91,$D$3:$D$64,$B91)*SUMIF('RES balance'!$D$5:$D$25,'RES Assumptions'!$A91,'RES balance'!W$5:W$25)*IFERROR(VLOOKUP($C91,$C$68:$AH$83,W$67,FALSE),1)</f>
        <v>3.8334455258526976</v>
      </c>
      <c r="X91" s="10">
        <f ca="1">SUMIFS(X$3:X$64,$A$3:$A$64,$A91,$D$3:$D$64,$B91)*SUMIF('RES balance'!$D$5:$D$25,'RES Assumptions'!$A91,'RES balance'!X$5:X$25)*IFERROR(VLOOKUP($C91,$C$68:$AH$83,X$67,FALSE),1)</f>
        <v>120.28844139064556</v>
      </c>
      <c r="Y91" s="10">
        <f ca="1">SUMIFS(Y$3:Y$64,$A$3:$A$64,$A91,$D$3:$D$64,$B91)*SUMIF('RES balance'!$D$5:$D$25,'RES Assumptions'!$A91,'RES balance'!Y$5:Y$25)*IFERROR(VLOOKUP($C91,$C$68:$AH$83,Y$67,FALSE),1)</f>
        <v>36.108071220250743</v>
      </c>
      <c r="Z91" s="10">
        <f ca="1">SUMIFS(Z$3:Z$64,$A$3:$A$64,$A91,$D$3:$D$64,$B91)*SUMIF('RES balance'!$D$5:$D$25,'RES Assumptions'!$A91,'RES balance'!Z$5:Z$25)*IFERROR(VLOOKUP($C91,$C$68:$AH$83,Z$67,FALSE),1)</f>
        <v>34.789380165842893</v>
      </c>
      <c r="AA91" s="10">
        <f ca="1">SUMIFS(AA$3:AA$64,$A$3:$A$64,$A91,$D$3:$D$64,$B91)*SUMIF('RES balance'!$D$5:$D$25,'RES Assumptions'!$A91,'RES balance'!AA$5:AA$25)*IFERROR(VLOOKUP($C91,$C$68:$AH$83,AA$67,FALSE),1)</f>
        <v>159.16809874901199</v>
      </c>
      <c r="AB91" s="10">
        <f ca="1">SUMIFS(AB$3:AB$64,$A$3:$A$64,$A91,$D$3:$D$64,$B91)*SUMIF('RES balance'!$D$5:$D$25,'RES Assumptions'!$A91,'RES balance'!AB$5:AB$25)*IFERROR(VLOOKUP($C91,$C$68:$AH$83,AB$67,FALSE),1)</f>
        <v>1.240393862531312</v>
      </c>
      <c r="AC91" s="10">
        <f ca="1">SUMIFS(AC$3:AC$64,$A$3:$A$64,$A91,$D$3:$D$64,$B91)*SUMIF('RES balance'!$D$5:$D$25,'RES Assumptions'!$A91,'RES balance'!AC$5:AC$25)*IFERROR(VLOOKUP($C91,$C$68:$AH$83,AC$67,FALSE),1)</f>
        <v>4.9231837152144262</v>
      </c>
      <c r="AD91" s="10">
        <f ca="1">SUMIFS(AD$3:AD$64,$A$3:$A$64,$A91,$D$3:$D$64,$B91)*SUMIF('RES balance'!$D$5:$D$25,'RES Assumptions'!$A91,'RES balance'!AD$5:AD$25)*IFERROR(VLOOKUP($C91,$C$68:$AH$83,AD$67,FALSE),1)</f>
        <v>76.419924572203925</v>
      </c>
      <c r="AE91" s="10">
        <f ca="1">SUMIFS(AE$3:AE$64,$A$3:$A$64,$A91,$D$3:$D$64,$B91)*SUMIF('RES balance'!$D$5:$D$25,'RES Assumptions'!$A91,'RES balance'!AE$5:AE$25)*IFERROR(VLOOKUP($C91,$C$68:$AH$83,AE$67,FALSE),1)</f>
        <v>14.742588343698918</v>
      </c>
      <c r="AF91" s="10">
        <f ca="1">SUMIFS(AF$3:AF$64,$A$3:$A$64,$A91,$D$3:$D$64,$B91)*SUMIF('RES balance'!$D$5:$D$25,'RES Assumptions'!$A91,'RES balance'!AF$5:AF$25)*IFERROR(VLOOKUP($C91,$C$68:$AH$83,AF$67,FALSE),1)</f>
        <v>3.1453304244757327</v>
      </c>
      <c r="AG91" s="10">
        <f ca="1">SUMIFS(AG$3:AG$64,$A$3:$A$64,$A91,$D$3:$D$64,$B91)*SUMIF('RES balance'!$D$5:$D$25,'RES Assumptions'!$A91,'RES balance'!AG$5:AG$25)*IFERROR(VLOOKUP($C91,$C$68:$AH$83,AG$67,FALSE),1)</f>
        <v>219.49483439544301</v>
      </c>
      <c r="AH91" s="10">
        <f ca="1">SUMIFS(AH$3:AH$64,$A$3:$A$64,$A91,$D$3:$D$64,$B91)*SUMIF('RES balance'!$D$5:$D$25,'RES Assumptions'!$A91,'RES balance'!AH$5:AH$25)*IFERROR(VLOOKUP($C91,$C$68:$AH$83,AH$67,FALSE),1)</f>
        <v>0</v>
      </c>
      <c r="AJ91" s="37" t="s">
        <v>20</v>
      </c>
      <c r="AK91" s="37" t="s">
        <v>22</v>
      </c>
      <c r="AL91" s="8"/>
      <c r="AM91" s="8"/>
      <c r="AN91" s="37" t="s">
        <v>190</v>
      </c>
      <c r="AO91" s="37" t="str">
        <f t="shared" si="24"/>
        <v>REA</v>
      </c>
    </row>
    <row r="92" spans="1:41" x14ac:dyDescent="0.45">
      <c r="A92" s="8" t="str">
        <f t="shared" si="22"/>
        <v>RESELC</v>
      </c>
      <c r="B92" s="8" t="str">
        <f t="shared" si="23"/>
        <v>RCD</v>
      </c>
      <c r="C92" s="48" t="str">
        <f>SUBSTITUTE(SUBSTITUTE(SUBSTITUTE('RES Veda input'!B9,"1",""),"000",""),"RRF","RR")</f>
        <v>RCDELC</v>
      </c>
      <c r="E92" s="10">
        <f ca="1">SUMIFS(E$3:E$64,$A$3:$A$64,$A92,$D$3:$D$64,$B92)*SUMIF('RES balance'!$D$5:$D$25,'RES Assumptions'!$A92,'RES balance'!E$5:E$25)*IFERROR(VLOOKUP($C92,$C$68:$AH$83,E$67,FALSE),1)</f>
        <v>0</v>
      </c>
      <c r="F92" s="10">
        <f ca="1">SUMIFS(F$3:F$64,$A$3:$A$64,$A92,$D$3:$D$64,$B92)*SUMIF('RES balance'!$D$5:$D$25,'RES Assumptions'!$A92,'RES balance'!F$5:F$25)*IFERROR(VLOOKUP($C92,$C$68:$AH$83,F$67,FALSE),1)</f>
        <v>0</v>
      </c>
      <c r="G92" s="10">
        <f ca="1">SUMIFS(G$3:G$64,$A$3:$A$64,$A92,$D$3:$D$64,$B92)*SUMIF('RES balance'!$D$5:$D$25,'RES Assumptions'!$A92,'RES balance'!G$5:G$25)*IFERROR(VLOOKUP($C92,$C$68:$AH$83,G$67,FALSE),1)</f>
        <v>0</v>
      </c>
      <c r="H92" s="10">
        <f ca="1">SUMIFS(H$3:H$64,$A$3:$A$64,$A92,$D$3:$D$64,$B92)*SUMIF('RES balance'!$D$5:$D$25,'RES Assumptions'!$A92,'RES balance'!H$5:H$25)*IFERROR(VLOOKUP($C92,$C$68:$AH$83,H$67,FALSE),1)</f>
        <v>0</v>
      </c>
      <c r="I92" s="10">
        <f ca="1">SUMIFS(I$3:I$64,$A$3:$A$64,$A92,$D$3:$D$64,$B92)*SUMIF('RES balance'!$D$5:$D$25,'RES Assumptions'!$A92,'RES balance'!I$5:I$25)*IFERROR(VLOOKUP($C92,$C$68:$AH$83,I$67,FALSE),1)</f>
        <v>0</v>
      </c>
      <c r="J92" s="10">
        <f ca="1">SUMIFS(J$3:J$64,$A$3:$A$64,$A92,$D$3:$D$64,$B92)*SUMIF('RES balance'!$D$5:$D$25,'RES Assumptions'!$A92,'RES balance'!J$5:J$25)*IFERROR(VLOOKUP($C92,$C$68:$AH$83,J$67,FALSE),1)</f>
        <v>0</v>
      </c>
      <c r="K92" s="10">
        <f ca="1">SUMIFS(K$3:K$64,$A$3:$A$64,$A92,$D$3:$D$64,$B92)*SUMIF('RES balance'!$D$5:$D$25,'RES Assumptions'!$A92,'RES balance'!K$5:K$25)*IFERROR(VLOOKUP($C92,$C$68:$AH$83,K$67,FALSE),1)</f>
        <v>0</v>
      </c>
      <c r="L92" s="10">
        <f ca="1">SUMIFS(L$3:L$64,$A$3:$A$64,$A92,$D$3:$D$64,$B92)*SUMIF('RES balance'!$D$5:$D$25,'RES Assumptions'!$A92,'RES balance'!L$5:L$25)*IFERROR(VLOOKUP($C92,$C$68:$AH$83,L$67,FALSE),1)</f>
        <v>0</v>
      </c>
      <c r="M92" s="10">
        <f ca="1">SUMIFS(M$3:M$64,$A$3:$A$64,$A92,$D$3:$D$64,$B92)*SUMIF('RES balance'!$D$5:$D$25,'RES Assumptions'!$A92,'RES balance'!M$5:M$25)*IFERROR(VLOOKUP($C92,$C$68:$AH$83,M$67,FALSE),1)</f>
        <v>0</v>
      </c>
      <c r="N92" s="10">
        <f ca="1">SUMIFS(N$3:N$64,$A$3:$A$64,$A92,$D$3:$D$64,$B92)*SUMIF('RES balance'!$D$5:$D$25,'RES Assumptions'!$A92,'RES balance'!N$5:N$25)*IFERROR(VLOOKUP($C92,$C$68:$AH$83,N$67,FALSE),1)</f>
        <v>0</v>
      </c>
      <c r="O92" s="10">
        <f ca="1">SUMIFS(O$3:O$64,$A$3:$A$64,$A92,$D$3:$D$64,$B92)*SUMIF('RES balance'!$D$5:$D$25,'RES Assumptions'!$A92,'RES balance'!O$5:O$25)*IFERROR(VLOOKUP($C92,$C$68:$AH$83,O$67,FALSE),1)</f>
        <v>0</v>
      </c>
      <c r="P92" s="10">
        <f ca="1">SUMIFS(P$3:P$64,$A$3:$A$64,$A92,$D$3:$D$64,$B92)*SUMIF('RES balance'!$D$5:$D$25,'RES Assumptions'!$A92,'RES balance'!P$5:P$25)*IFERROR(VLOOKUP($C92,$C$68:$AH$83,P$67,FALSE),1)</f>
        <v>0</v>
      </c>
      <c r="Q92" s="10">
        <f ca="1">SUMIFS(Q$3:Q$64,$A$3:$A$64,$A92,$D$3:$D$64,$B92)*SUMIF('RES balance'!$D$5:$D$25,'RES Assumptions'!$A92,'RES balance'!Q$5:Q$25)*IFERROR(VLOOKUP($C92,$C$68:$AH$83,Q$67,FALSE),1)</f>
        <v>0</v>
      </c>
      <c r="R92" s="10">
        <f ca="1">SUMIFS(R$3:R$64,$A$3:$A$64,$A92,$D$3:$D$64,$B92)*SUMIF('RES balance'!$D$5:$D$25,'RES Assumptions'!$A92,'RES balance'!R$5:R$25)*IFERROR(VLOOKUP($C92,$C$68:$AH$83,R$67,FALSE),1)</f>
        <v>0</v>
      </c>
      <c r="S92" s="10">
        <f ca="1">SUMIFS(S$3:S$64,$A$3:$A$64,$A92,$D$3:$D$64,$B92)*SUMIF('RES balance'!$D$5:$D$25,'RES Assumptions'!$A92,'RES balance'!S$5:S$25)*IFERROR(VLOOKUP($C92,$C$68:$AH$83,S$67,FALSE),1)</f>
        <v>0</v>
      </c>
      <c r="T92" s="10">
        <f ca="1">SUMIFS(T$3:T$64,$A$3:$A$64,$A92,$D$3:$D$64,$B92)*SUMIF('RES balance'!$D$5:$D$25,'RES Assumptions'!$A92,'RES balance'!T$5:T$25)*IFERROR(VLOOKUP($C92,$C$68:$AH$83,T$67,FALSE),1)</f>
        <v>0</v>
      </c>
      <c r="U92" s="10">
        <f ca="1">SUMIFS(U$3:U$64,$A$3:$A$64,$A92,$D$3:$D$64,$B92)*SUMIF('RES balance'!$D$5:$D$25,'RES Assumptions'!$A92,'RES balance'!U$5:U$25)*IFERROR(VLOOKUP($C92,$C$68:$AH$83,U$67,FALSE),1)</f>
        <v>0</v>
      </c>
      <c r="V92" s="10">
        <f ca="1">SUMIFS(V$3:V$64,$A$3:$A$64,$A92,$D$3:$D$64,$B92)*SUMIF('RES balance'!$D$5:$D$25,'RES Assumptions'!$A92,'RES balance'!V$5:V$25)*IFERROR(VLOOKUP($C92,$C$68:$AH$83,V$67,FALSE),1)</f>
        <v>0</v>
      </c>
      <c r="W92" s="10">
        <f ca="1">SUMIFS(W$3:W$64,$A$3:$A$64,$A92,$D$3:$D$64,$B92)*SUMIF('RES balance'!$D$5:$D$25,'RES Assumptions'!$A92,'RES balance'!W$5:W$25)*IFERROR(VLOOKUP($C92,$C$68:$AH$83,W$67,FALSE),1)</f>
        <v>0</v>
      </c>
      <c r="X92" s="10">
        <f ca="1">SUMIFS(X$3:X$64,$A$3:$A$64,$A92,$D$3:$D$64,$B92)*SUMIF('RES balance'!$D$5:$D$25,'RES Assumptions'!$A92,'RES balance'!X$5:X$25)*IFERROR(VLOOKUP($C92,$C$68:$AH$83,X$67,FALSE),1)</f>
        <v>0</v>
      </c>
      <c r="Y92" s="10">
        <f ca="1">SUMIFS(Y$3:Y$64,$A$3:$A$64,$A92,$D$3:$D$64,$B92)*SUMIF('RES balance'!$D$5:$D$25,'RES Assumptions'!$A92,'RES balance'!Y$5:Y$25)*IFERROR(VLOOKUP($C92,$C$68:$AH$83,Y$67,FALSE),1)</f>
        <v>0</v>
      </c>
      <c r="Z92" s="10">
        <f ca="1">SUMIFS(Z$3:Z$64,$A$3:$A$64,$A92,$D$3:$D$64,$B92)*SUMIF('RES balance'!$D$5:$D$25,'RES Assumptions'!$A92,'RES balance'!Z$5:Z$25)*IFERROR(VLOOKUP($C92,$C$68:$AH$83,Z$67,FALSE),1)</f>
        <v>0</v>
      </c>
      <c r="AA92" s="10">
        <f ca="1">SUMIFS(AA$3:AA$64,$A$3:$A$64,$A92,$D$3:$D$64,$B92)*SUMIF('RES balance'!$D$5:$D$25,'RES Assumptions'!$A92,'RES balance'!AA$5:AA$25)*IFERROR(VLOOKUP($C92,$C$68:$AH$83,AA$67,FALSE),1)</f>
        <v>0</v>
      </c>
      <c r="AB92" s="10">
        <f ca="1">SUMIFS(AB$3:AB$64,$A$3:$A$64,$A92,$D$3:$D$64,$B92)*SUMIF('RES balance'!$D$5:$D$25,'RES Assumptions'!$A92,'RES balance'!AB$5:AB$25)*IFERROR(VLOOKUP($C92,$C$68:$AH$83,AB$67,FALSE),1)</f>
        <v>0</v>
      </c>
      <c r="AC92" s="10">
        <f ca="1">SUMIFS(AC$3:AC$64,$A$3:$A$64,$A92,$D$3:$D$64,$B92)*SUMIF('RES balance'!$D$5:$D$25,'RES Assumptions'!$A92,'RES balance'!AC$5:AC$25)*IFERROR(VLOOKUP($C92,$C$68:$AH$83,AC$67,FALSE),1)</f>
        <v>0</v>
      </c>
      <c r="AD92" s="10">
        <f ca="1">SUMIFS(AD$3:AD$64,$A$3:$A$64,$A92,$D$3:$D$64,$B92)*SUMIF('RES balance'!$D$5:$D$25,'RES Assumptions'!$A92,'RES balance'!AD$5:AD$25)*IFERROR(VLOOKUP($C92,$C$68:$AH$83,AD$67,FALSE),1)</f>
        <v>0</v>
      </c>
      <c r="AE92" s="10">
        <f ca="1">SUMIFS(AE$3:AE$64,$A$3:$A$64,$A92,$D$3:$D$64,$B92)*SUMIF('RES balance'!$D$5:$D$25,'RES Assumptions'!$A92,'RES balance'!AE$5:AE$25)*IFERROR(VLOOKUP($C92,$C$68:$AH$83,AE$67,FALSE),1)</f>
        <v>0</v>
      </c>
      <c r="AF92" s="10">
        <f ca="1">SUMIFS(AF$3:AF$64,$A$3:$A$64,$A92,$D$3:$D$64,$B92)*SUMIF('RES balance'!$D$5:$D$25,'RES Assumptions'!$A92,'RES balance'!AF$5:AF$25)*IFERROR(VLOOKUP($C92,$C$68:$AH$83,AF$67,FALSE),1)</f>
        <v>0</v>
      </c>
      <c r="AG92" s="10">
        <f ca="1">SUMIFS(AG$3:AG$64,$A$3:$A$64,$A92,$D$3:$D$64,$B92)*SUMIF('RES balance'!$D$5:$D$25,'RES Assumptions'!$A92,'RES balance'!AG$5:AG$25)*IFERROR(VLOOKUP($C92,$C$68:$AH$83,AG$67,FALSE),1)</f>
        <v>0</v>
      </c>
      <c r="AH92" s="10">
        <f ca="1">SUMIFS(AH$3:AH$64,$A$3:$A$64,$A92,$D$3:$D$64,$B92)*SUMIF('RES balance'!$D$5:$D$25,'RES Assumptions'!$A92,'RES balance'!AH$5:AH$25)*IFERROR(VLOOKUP($C92,$C$68:$AH$83,AH$67,FALSE),1)</f>
        <v>0</v>
      </c>
      <c r="AJ92" s="37" t="s">
        <v>179</v>
      </c>
      <c r="AK92" s="37" t="s">
        <v>18</v>
      </c>
      <c r="AL92" s="8"/>
      <c r="AM92" s="8"/>
      <c r="AN92" s="37" t="s">
        <v>62</v>
      </c>
      <c r="AO92" s="37" t="s">
        <v>193</v>
      </c>
    </row>
    <row r="93" spans="1:41" x14ac:dyDescent="0.45">
      <c r="A93" s="8" t="str">
        <f t="shared" si="22"/>
        <v>RESNGA</v>
      </c>
      <c r="B93" s="8" t="str">
        <f t="shared" si="23"/>
        <v>RCD</v>
      </c>
      <c r="C93" s="48" t="str">
        <f>SUBSTITUTE(SUBSTITUTE(SUBSTITUTE('RES Veda input'!B10,"1",""),"000",""),"RRF","RR")</f>
        <v>RCDNGA</v>
      </c>
      <c r="E93" s="10">
        <f ca="1">SUMIFS(E$3:E$64,$A$3:$A$64,$A93,$D$3:$D$64,$B93)*SUMIF('RES balance'!$D$5:$D$25,'RES Assumptions'!$A93,'RES balance'!E$5:E$25)*IFERROR(VLOOKUP($C93,$C$68:$AH$83,E$67,FALSE),1)</f>
        <v>0</v>
      </c>
      <c r="F93" s="10">
        <f ca="1">SUMIFS(F$3:F$64,$A$3:$A$64,$A93,$D$3:$D$64,$B93)*SUMIF('RES balance'!$D$5:$D$25,'RES Assumptions'!$A93,'RES balance'!F$5:F$25)*IFERROR(VLOOKUP($C93,$C$68:$AH$83,F$67,FALSE),1)</f>
        <v>0</v>
      </c>
      <c r="G93" s="10">
        <f ca="1">SUMIFS(G$3:G$64,$A$3:$A$64,$A93,$D$3:$D$64,$B93)*SUMIF('RES balance'!$D$5:$D$25,'RES Assumptions'!$A93,'RES balance'!G$5:G$25)*IFERROR(VLOOKUP($C93,$C$68:$AH$83,G$67,FALSE),1)</f>
        <v>0</v>
      </c>
      <c r="H93" s="10">
        <f ca="1">SUMIFS(H$3:H$64,$A$3:$A$64,$A93,$D$3:$D$64,$B93)*SUMIF('RES balance'!$D$5:$D$25,'RES Assumptions'!$A93,'RES balance'!H$5:H$25)*IFERROR(VLOOKUP($C93,$C$68:$AH$83,H$67,FALSE),1)</f>
        <v>0</v>
      </c>
      <c r="I93" s="10">
        <f ca="1">SUMIFS(I$3:I$64,$A$3:$A$64,$A93,$D$3:$D$64,$B93)*SUMIF('RES balance'!$D$5:$D$25,'RES Assumptions'!$A93,'RES balance'!I$5:I$25)*IFERROR(VLOOKUP($C93,$C$68:$AH$83,I$67,FALSE),1)</f>
        <v>0</v>
      </c>
      <c r="J93" s="10">
        <f ca="1">SUMIFS(J$3:J$64,$A$3:$A$64,$A93,$D$3:$D$64,$B93)*SUMIF('RES balance'!$D$5:$D$25,'RES Assumptions'!$A93,'RES balance'!J$5:J$25)*IFERROR(VLOOKUP($C93,$C$68:$AH$83,J$67,FALSE),1)</f>
        <v>0</v>
      </c>
      <c r="K93" s="10">
        <f ca="1">SUMIFS(K$3:K$64,$A$3:$A$64,$A93,$D$3:$D$64,$B93)*SUMIF('RES balance'!$D$5:$D$25,'RES Assumptions'!$A93,'RES balance'!K$5:K$25)*IFERROR(VLOOKUP($C93,$C$68:$AH$83,K$67,FALSE),1)</f>
        <v>0</v>
      </c>
      <c r="L93" s="10">
        <f ca="1">SUMIFS(L$3:L$64,$A$3:$A$64,$A93,$D$3:$D$64,$B93)*SUMIF('RES balance'!$D$5:$D$25,'RES Assumptions'!$A93,'RES balance'!L$5:L$25)*IFERROR(VLOOKUP($C93,$C$68:$AH$83,L$67,FALSE),1)</f>
        <v>0</v>
      </c>
      <c r="M93" s="10">
        <f ca="1">SUMIFS(M$3:M$64,$A$3:$A$64,$A93,$D$3:$D$64,$B93)*SUMIF('RES balance'!$D$5:$D$25,'RES Assumptions'!$A93,'RES balance'!M$5:M$25)*IFERROR(VLOOKUP($C93,$C$68:$AH$83,M$67,FALSE),1)</f>
        <v>0</v>
      </c>
      <c r="N93" s="10">
        <f ca="1">SUMIFS(N$3:N$64,$A$3:$A$64,$A93,$D$3:$D$64,$B93)*SUMIF('RES balance'!$D$5:$D$25,'RES Assumptions'!$A93,'RES balance'!N$5:N$25)*IFERROR(VLOOKUP($C93,$C$68:$AH$83,N$67,FALSE),1)</f>
        <v>0</v>
      </c>
      <c r="O93" s="10">
        <f ca="1">SUMIFS(O$3:O$64,$A$3:$A$64,$A93,$D$3:$D$64,$B93)*SUMIF('RES balance'!$D$5:$D$25,'RES Assumptions'!$A93,'RES balance'!O$5:O$25)*IFERROR(VLOOKUP($C93,$C$68:$AH$83,O$67,FALSE),1)</f>
        <v>0</v>
      </c>
      <c r="P93" s="10">
        <f ca="1">SUMIFS(P$3:P$64,$A$3:$A$64,$A93,$D$3:$D$64,$B93)*SUMIF('RES balance'!$D$5:$D$25,'RES Assumptions'!$A93,'RES balance'!P$5:P$25)*IFERROR(VLOOKUP($C93,$C$68:$AH$83,P$67,FALSE),1)</f>
        <v>0</v>
      </c>
      <c r="Q93" s="10">
        <f ca="1">SUMIFS(Q$3:Q$64,$A$3:$A$64,$A93,$D$3:$D$64,$B93)*SUMIF('RES balance'!$D$5:$D$25,'RES Assumptions'!$A93,'RES balance'!Q$5:Q$25)*IFERROR(VLOOKUP($C93,$C$68:$AH$83,Q$67,FALSE),1)</f>
        <v>0</v>
      </c>
      <c r="R93" s="10">
        <f ca="1">SUMIFS(R$3:R$64,$A$3:$A$64,$A93,$D$3:$D$64,$B93)*SUMIF('RES balance'!$D$5:$D$25,'RES Assumptions'!$A93,'RES balance'!R$5:R$25)*IFERROR(VLOOKUP($C93,$C$68:$AH$83,R$67,FALSE),1)</f>
        <v>0</v>
      </c>
      <c r="S93" s="10">
        <f ca="1">SUMIFS(S$3:S$64,$A$3:$A$64,$A93,$D$3:$D$64,$B93)*SUMIF('RES balance'!$D$5:$D$25,'RES Assumptions'!$A93,'RES balance'!S$5:S$25)*IFERROR(VLOOKUP($C93,$C$68:$AH$83,S$67,FALSE),1)</f>
        <v>0</v>
      </c>
      <c r="T93" s="10">
        <f ca="1">SUMIFS(T$3:T$64,$A$3:$A$64,$A93,$D$3:$D$64,$B93)*SUMIF('RES balance'!$D$5:$D$25,'RES Assumptions'!$A93,'RES balance'!T$5:T$25)*IFERROR(VLOOKUP($C93,$C$68:$AH$83,T$67,FALSE),1)</f>
        <v>0</v>
      </c>
      <c r="U93" s="10">
        <f ca="1">SUMIFS(U$3:U$64,$A$3:$A$64,$A93,$D$3:$D$64,$B93)*SUMIF('RES balance'!$D$5:$D$25,'RES Assumptions'!$A93,'RES balance'!U$5:U$25)*IFERROR(VLOOKUP($C93,$C$68:$AH$83,U$67,FALSE),1)</f>
        <v>0</v>
      </c>
      <c r="V93" s="10">
        <f ca="1">SUMIFS(V$3:V$64,$A$3:$A$64,$A93,$D$3:$D$64,$B93)*SUMIF('RES balance'!$D$5:$D$25,'RES Assumptions'!$A93,'RES balance'!V$5:V$25)*IFERROR(VLOOKUP($C93,$C$68:$AH$83,V$67,FALSE),1)</f>
        <v>0</v>
      </c>
      <c r="W93" s="10">
        <f ca="1">SUMIFS(W$3:W$64,$A$3:$A$64,$A93,$D$3:$D$64,$B93)*SUMIF('RES balance'!$D$5:$D$25,'RES Assumptions'!$A93,'RES balance'!W$5:W$25)*IFERROR(VLOOKUP($C93,$C$68:$AH$83,W$67,FALSE),1)</f>
        <v>0</v>
      </c>
      <c r="X93" s="10">
        <f ca="1">SUMIFS(X$3:X$64,$A$3:$A$64,$A93,$D$3:$D$64,$B93)*SUMIF('RES balance'!$D$5:$D$25,'RES Assumptions'!$A93,'RES balance'!X$5:X$25)*IFERROR(VLOOKUP($C93,$C$68:$AH$83,X$67,FALSE),1)</f>
        <v>0</v>
      </c>
      <c r="Y93" s="10">
        <f ca="1">SUMIFS(Y$3:Y$64,$A$3:$A$64,$A93,$D$3:$D$64,$B93)*SUMIF('RES balance'!$D$5:$D$25,'RES Assumptions'!$A93,'RES balance'!Y$5:Y$25)*IFERROR(VLOOKUP($C93,$C$68:$AH$83,Y$67,FALSE),1)</f>
        <v>0</v>
      </c>
      <c r="Z93" s="10">
        <f ca="1">SUMIFS(Z$3:Z$64,$A$3:$A$64,$A93,$D$3:$D$64,$B93)*SUMIF('RES balance'!$D$5:$D$25,'RES Assumptions'!$A93,'RES balance'!Z$5:Z$25)*IFERROR(VLOOKUP($C93,$C$68:$AH$83,Z$67,FALSE),1)</f>
        <v>0</v>
      </c>
      <c r="AA93" s="10">
        <f ca="1">SUMIFS(AA$3:AA$64,$A$3:$A$64,$A93,$D$3:$D$64,$B93)*SUMIF('RES balance'!$D$5:$D$25,'RES Assumptions'!$A93,'RES balance'!AA$5:AA$25)*IFERROR(VLOOKUP($C93,$C$68:$AH$83,AA$67,FALSE),1)</f>
        <v>0</v>
      </c>
      <c r="AB93" s="10">
        <f ca="1">SUMIFS(AB$3:AB$64,$A$3:$A$64,$A93,$D$3:$D$64,$B93)*SUMIF('RES balance'!$D$5:$D$25,'RES Assumptions'!$A93,'RES balance'!AB$5:AB$25)*IFERROR(VLOOKUP($C93,$C$68:$AH$83,AB$67,FALSE),1)</f>
        <v>0</v>
      </c>
      <c r="AC93" s="10">
        <f ca="1">SUMIFS(AC$3:AC$64,$A$3:$A$64,$A93,$D$3:$D$64,$B93)*SUMIF('RES balance'!$D$5:$D$25,'RES Assumptions'!$A93,'RES balance'!AC$5:AC$25)*IFERROR(VLOOKUP($C93,$C$68:$AH$83,AC$67,FALSE),1)</f>
        <v>0</v>
      </c>
      <c r="AD93" s="10">
        <f ca="1">SUMIFS(AD$3:AD$64,$A$3:$A$64,$A93,$D$3:$D$64,$B93)*SUMIF('RES balance'!$D$5:$D$25,'RES Assumptions'!$A93,'RES balance'!AD$5:AD$25)*IFERROR(VLOOKUP($C93,$C$68:$AH$83,AD$67,FALSE),1)</f>
        <v>0</v>
      </c>
      <c r="AE93" s="10">
        <f ca="1">SUMIFS(AE$3:AE$64,$A$3:$A$64,$A93,$D$3:$D$64,$B93)*SUMIF('RES balance'!$D$5:$D$25,'RES Assumptions'!$A93,'RES balance'!AE$5:AE$25)*IFERROR(VLOOKUP($C93,$C$68:$AH$83,AE$67,FALSE),1)</f>
        <v>0</v>
      </c>
      <c r="AF93" s="10">
        <f ca="1">SUMIFS(AF$3:AF$64,$A$3:$A$64,$A93,$D$3:$D$64,$B93)*SUMIF('RES balance'!$D$5:$D$25,'RES Assumptions'!$A93,'RES balance'!AF$5:AF$25)*IFERROR(VLOOKUP($C93,$C$68:$AH$83,AF$67,FALSE),1)</f>
        <v>0</v>
      </c>
      <c r="AG93" s="10">
        <f ca="1">SUMIFS(AG$3:AG$64,$A$3:$A$64,$A93,$D$3:$D$64,$B93)*SUMIF('RES balance'!$D$5:$D$25,'RES Assumptions'!$A93,'RES balance'!AG$5:AG$25)*IFERROR(VLOOKUP($C93,$C$68:$AH$83,AG$67,FALSE),1)</f>
        <v>0</v>
      </c>
      <c r="AH93" s="10">
        <f ca="1">SUMIFS(AH$3:AH$64,$A$3:$A$64,$A93,$D$3:$D$64,$B93)*SUMIF('RES balance'!$D$5:$D$25,'RES Assumptions'!$A93,'RES balance'!AH$5:AH$25)*IFERROR(VLOOKUP($C93,$C$68:$AH$83,AH$67,FALSE),1)</f>
        <v>0</v>
      </c>
      <c r="AJ93" s="37" t="s">
        <v>18</v>
      </c>
      <c r="AK93" s="37" t="str">
        <f t="shared" si="25"/>
        <v>ELC</v>
      </c>
      <c r="AL93" s="8"/>
      <c r="AM93" s="8"/>
      <c r="AN93" s="37" t="s">
        <v>64</v>
      </c>
      <c r="AO93" s="37" t="str">
        <f t="shared" si="24"/>
        <v>RHW</v>
      </c>
    </row>
    <row r="94" spans="1:41" x14ac:dyDescent="0.45">
      <c r="A94" s="8" t="str">
        <f t="shared" si="22"/>
        <v>RESELC</v>
      </c>
      <c r="B94" s="8" t="str">
        <f t="shared" si="23"/>
        <v>RCW</v>
      </c>
      <c r="C94" s="48" t="str">
        <f>SUBSTITUTE(SUBSTITUTE(SUBSTITUTE('RES Veda input'!B11,"1",""),"000",""),"RRF","RR")</f>
        <v>RCWELC</v>
      </c>
      <c r="E94" s="10">
        <f ca="1">SUMIFS(E$3:E$64,$A$3:$A$64,$A94,$D$3:$D$64,$B94)*SUMIF('RES balance'!$D$5:$D$25,'RES Assumptions'!$A94,'RES balance'!E$5:E$25)*IFERROR(VLOOKUP($C94,$C$68:$AH$83,E$67,FALSE),1)</f>
        <v>0</v>
      </c>
      <c r="F94" s="10">
        <f ca="1">SUMIFS(F$3:F$64,$A$3:$A$64,$A94,$D$3:$D$64,$B94)*SUMIF('RES balance'!$D$5:$D$25,'RES Assumptions'!$A94,'RES balance'!F$5:F$25)*IFERROR(VLOOKUP($C94,$C$68:$AH$83,F$67,FALSE),1)</f>
        <v>0</v>
      </c>
      <c r="G94" s="10">
        <f ca="1">SUMIFS(G$3:G$64,$A$3:$A$64,$A94,$D$3:$D$64,$B94)*SUMIF('RES balance'!$D$5:$D$25,'RES Assumptions'!$A94,'RES balance'!G$5:G$25)*IFERROR(VLOOKUP($C94,$C$68:$AH$83,G$67,FALSE),1)</f>
        <v>0</v>
      </c>
      <c r="H94" s="10">
        <f ca="1">SUMIFS(H$3:H$64,$A$3:$A$64,$A94,$D$3:$D$64,$B94)*SUMIF('RES balance'!$D$5:$D$25,'RES Assumptions'!$A94,'RES balance'!H$5:H$25)*IFERROR(VLOOKUP($C94,$C$68:$AH$83,H$67,FALSE),1)</f>
        <v>0</v>
      </c>
      <c r="I94" s="10">
        <f ca="1">SUMIFS(I$3:I$64,$A$3:$A$64,$A94,$D$3:$D$64,$B94)*SUMIF('RES balance'!$D$5:$D$25,'RES Assumptions'!$A94,'RES balance'!I$5:I$25)*IFERROR(VLOOKUP($C94,$C$68:$AH$83,I$67,FALSE),1)</f>
        <v>0</v>
      </c>
      <c r="J94" s="10">
        <f ca="1">SUMIFS(J$3:J$64,$A$3:$A$64,$A94,$D$3:$D$64,$B94)*SUMIF('RES balance'!$D$5:$D$25,'RES Assumptions'!$A94,'RES balance'!J$5:J$25)*IFERROR(VLOOKUP($C94,$C$68:$AH$83,J$67,FALSE),1)</f>
        <v>0</v>
      </c>
      <c r="K94" s="10">
        <f ca="1">SUMIFS(K$3:K$64,$A$3:$A$64,$A94,$D$3:$D$64,$B94)*SUMIF('RES balance'!$D$5:$D$25,'RES Assumptions'!$A94,'RES balance'!K$5:K$25)*IFERROR(VLOOKUP($C94,$C$68:$AH$83,K$67,FALSE),1)</f>
        <v>0</v>
      </c>
      <c r="L94" s="10">
        <f ca="1">SUMIFS(L$3:L$64,$A$3:$A$64,$A94,$D$3:$D$64,$B94)*SUMIF('RES balance'!$D$5:$D$25,'RES Assumptions'!$A94,'RES balance'!L$5:L$25)*IFERROR(VLOOKUP($C94,$C$68:$AH$83,L$67,FALSE),1)</f>
        <v>0</v>
      </c>
      <c r="M94" s="10">
        <f ca="1">SUMIFS(M$3:M$64,$A$3:$A$64,$A94,$D$3:$D$64,$B94)*SUMIF('RES balance'!$D$5:$D$25,'RES Assumptions'!$A94,'RES balance'!M$5:M$25)*IFERROR(VLOOKUP($C94,$C$68:$AH$83,M$67,FALSE),1)</f>
        <v>0</v>
      </c>
      <c r="N94" s="10">
        <f ca="1">SUMIFS(N$3:N$64,$A$3:$A$64,$A94,$D$3:$D$64,$B94)*SUMIF('RES balance'!$D$5:$D$25,'RES Assumptions'!$A94,'RES balance'!N$5:N$25)*IFERROR(VLOOKUP($C94,$C$68:$AH$83,N$67,FALSE),1)</f>
        <v>0</v>
      </c>
      <c r="O94" s="10">
        <f ca="1">SUMIFS(O$3:O$64,$A$3:$A$64,$A94,$D$3:$D$64,$B94)*SUMIF('RES balance'!$D$5:$D$25,'RES Assumptions'!$A94,'RES balance'!O$5:O$25)*IFERROR(VLOOKUP($C94,$C$68:$AH$83,O$67,FALSE),1)</f>
        <v>0</v>
      </c>
      <c r="P94" s="10">
        <f ca="1">SUMIFS(P$3:P$64,$A$3:$A$64,$A94,$D$3:$D$64,$B94)*SUMIF('RES balance'!$D$5:$D$25,'RES Assumptions'!$A94,'RES balance'!P$5:P$25)*IFERROR(VLOOKUP($C94,$C$68:$AH$83,P$67,FALSE),1)</f>
        <v>0</v>
      </c>
      <c r="Q94" s="10">
        <f ca="1">SUMIFS(Q$3:Q$64,$A$3:$A$64,$A94,$D$3:$D$64,$B94)*SUMIF('RES balance'!$D$5:$D$25,'RES Assumptions'!$A94,'RES balance'!Q$5:Q$25)*IFERROR(VLOOKUP($C94,$C$68:$AH$83,Q$67,FALSE),1)</f>
        <v>0</v>
      </c>
      <c r="R94" s="10">
        <f ca="1">SUMIFS(R$3:R$64,$A$3:$A$64,$A94,$D$3:$D$64,$B94)*SUMIF('RES balance'!$D$5:$D$25,'RES Assumptions'!$A94,'RES balance'!R$5:R$25)*IFERROR(VLOOKUP($C94,$C$68:$AH$83,R$67,FALSE),1)</f>
        <v>0</v>
      </c>
      <c r="S94" s="10">
        <f ca="1">SUMIFS(S$3:S$64,$A$3:$A$64,$A94,$D$3:$D$64,$B94)*SUMIF('RES balance'!$D$5:$D$25,'RES Assumptions'!$A94,'RES balance'!S$5:S$25)*IFERROR(VLOOKUP($C94,$C$68:$AH$83,S$67,FALSE),1)</f>
        <v>0</v>
      </c>
      <c r="T94" s="10">
        <f ca="1">SUMIFS(T$3:T$64,$A$3:$A$64,$A94,$D$3:$D$64,$B94)*SUMIF('RES balance'!$D$5:$D$25,'RES Assumptions'!$A94,'RES balance'!T$5:T$25)*IFERROR(VLOOKUP($C94,$C$68:$AH$83,T$67,FALSE),1)</f>
        <v>0</v>
      </c>
      <c r="U94" s="10">
        <f ca="1">SUMIFS(U$3:U$64,$A$3:$A$64,$A94,$D$3:$D$64,$B94)*SUMIF('RES balance'!$D$5:$D$25,'RES Assumptions'!$A94,'RES balance'!U$5:U$25)*IFERROR(VLOOKUP($C94,$C$68:$AH$83,U$67,FALSE),1)</f>
        <v>0</v>
      </c>
      <c r="V94" s="10">
        <f ca="1">SUMIFS(V$3:V$64,$A$3:$A$64,$A94,$D$3:$D$64,$B94)*SUMIF('RES balance'!$D$5:$D$25,'RES Assumptions'!$A94,'RES balance'!V$5:V$25)*IFERROR(VLOOKUP($C94,$C$68:$AH$83,V$67,FALSE),1)</f>
        <v>0</v>
      </c>
      <c r="W94" s="10">
        <f ca="1">SUMIFS(W$3:W$64,$A$3:$A$64,$A94,$D$3:$D$64,$B94)*SUMIF('RES balance'!$D$5:$D$25,'RES Assumptions'!$A94,'RES balance'!W$5:W$25)*IFERROR(VLOOKUP($C94,$C$68:$AH$83,W$67,FALSE),1)</f>
        <v>0</v>
      </c>
      <c r="X94" s="10">
        <f ca="1">SUMIFS(X$3:X$64,$A$3:$A$64,$A94,$D$3:$D$64,$B94)*SUMIF('RES balance'!$D$5:$D$25,'RES Assumptions'!$A94,'RES balance'!X$5:X$25)*IFERROR(VLOOKUP($C94,$C$68:$AH$83,X$67,FALSE),1)</f>
        <v>0</v>
      </c>
      <c r="Y94" s="10">
        <f ca="1">SUMIFS(Y$3:Y$64,$A$3:$A$64,$A94,$D$3:$D$64,$B94)*SUMIF('RES balance'!$D$5:$D$25,'RES Assumptions'!$A94,'RES balance'!Y$5:Y$25)*IFERROR(VLOOKUP($C94,$C$68:$AH$83,Y$67,FALSE),1)</f>
        <v>0</v>
      </c>
      <c r="Z94" s="10">
        <f ca="1">SUMIFS(Z$3:Z$64,$A$3:$A$64,$A94,$D$3:$D$64,$B94)*SUMIF('RES balance'!$D$5:$D$25,'RES Assumptions'!$A94,'RES balance'!Z$5:Z$25)*IFERROR(VLOOKUP($C94,$C$68:$AH$83,Z$67,FALSE),1)</f>
        <v>0</v>
      </c>
      <c r="AA94" s="10">
        <f ca="1">SUMIFS(AA$3:AA$64,$A$3:$A$64,$A94,$D$3:$D$64,$B94)*SUMIF('RES balance'!$D$5:$D$25,'RES Assumptions'!$A94,'RES balance'!AA$5:AA$25)*IFERROR(VLOOKUP($C94,$C$68:$AH$83,AA$67,FALSE),1)</f>
        <v>0</v>
      </c>
      <c r="AB94" s="10">
        <f ca="1">SUMIFS(AB$3:AB$64,$A$3:$A$64,$A94,$D$3:$D$64,$B94)*SUMIF('RES balance'!$D$5:$D$25,'RES Assumptions'!$A94,'RES balance'!AB$5:AB$25)*IFERROR(VLOOKUP($C94,$C$68:$AH$83,AB$67,FALSE),1)</f>
        <v>0</v>
      </c>
      <c r="AC94" s="10">
        <f ca="1">SUMIFS(AC$3:AC$64,$A$3:$A$64,$A94,$D$3:$D$64,$B94)*SUMIF('RES balance'!$D$5:$D$25,'RES Assumptions'!$A94,'RES balance'!AC$5:AC$25)*IFERROR(VLOOKUP($C94,$C$68:$AH$83,AC$67,FALSE),1)</f>
        <v>0</v>
      </c>
      <c r="AD94" s="10">
        <f ca="1">SUMIFS(AD$3:AD$64,$A$3:$A$64,$A94,$D$3:$D$64,$B94)*SUMIF('RES balance'!$D$5:$D$25,'RES Assumptions'!$A94,'RES balance'!AD$5:AD$25)*IFERROR(VLOOKUP($C94,$C$68:$AH$83,AD$67,FALSE),1)</f>
        <v>0</v>
      </c>
      <c r="AE94" s="10">
        <f ca="1">SUMIFS(AE$3:AE$64,$A$3:$A$64,$A94,$D$3:$D$64,$B94)*SUMIF('RES balance'!$D$5:$D$25,'RES Assumptions'!$A94,'RES balance'!AE$5:AE$25)*IFERROR(VLOOKUP($C94,$C$68:$AH$83,AE$67,FALSE),1)</f>
        <v>0</v>
      </c>
      <c r="AF94" s="10">
        <f ca="1">SUMIFS(AF$3:AF$64,$A$3:$A$64,$A94,$D$3:$D$64,$B94)*SUMIF('RES balance'!$D$5:$D$25,'RES Assumptions'!$A94,'RES balance'!AF$5:AF$25)*IFERROR(VLOOKUP($C94,$C$68:$AH$83,AF$67,FALSE),1)</f>
        <v>0</v>
      </c>
      <c r="AG94" s="10">
        <f ca="1">SUMIFS(AG$3:AG$64,$A$3:$A$64,$A94,$D$3:$D$64,$B94)*SUMIF('RES balance'!$D$5:$D$25,'RES Assumptions'!$A94,'RES balance'!AG$5:AG$25)*IFERROR(VLOOKUP($C94,$C$68:$AH$83,AG$67,FALSE),1)</f>
        <v>0</v>
      </c>
      <c r="AH94" s="10">
        <f ca="1">SUMIFS(AH$3:AH$64,$A$3:$A$64,$A94,$D$3:$D$64,$B94)*SUMIF('RES balance'!$D$5:$D$25,'RES Assumptions'!$A94,'RES balance'!AH$5:AH$25)*IFERROR(VLOOKUP($C94,$C$68:$AH$83,AH$67,FALSE),1)</f>
        <v>0</v>
      </c>
      <c r="AJ94" s="37" t="s">
        <v>183</v>
      </c>
      <c r="AK94" s="37" t="s">
        <v>18</v>
      </c>
      <c r="AL94" s="8"/>
      <c r="AM94" s="8"/>
      <c r="AN94" s="37" t="s">
        <v>67</v>
      </c>
      <c r="AO94" s="37" t="s">
        <v>194</v>
      </c>
    </row>
    <row r="95" spans="1:41" x14ac:dyDescent="0.45">
      <c r="A95" s="8" t="str">
        <f t="shared" si="22"/>
        <v>RESELC</v>
      </c>
      <c r="B95" s="8" t="str">
        <f t="shared" si="23"/>
        <v>RDW</v>
      </c>
      <c r="C95" s="48" t="str">
        <f>SUBSTITUTE(SUBSTITUTE(SUBSTITUTE('RES Veda input'!B12,"1",""),"000",""),"RRF","RR")</f>
        <v>RDWELC</v>
      </c>
      <c r="E95" s="10">
        <f ca="1">SUMIFS(E$3:E$64,$A$3:$A$64,$A95,$D$3:$D$64,$B95)*SUMIF('RES balance'!$D$5:$D$25,'RES Assumptions'!$A95,'RES balance'!E$5:E$25)*IFERROR(VLOOKUP($C95,$C$68:$AH$83,E$67,FALSE),1)</f>
        <v>0</v>
      </c>
      <c r="F95" s="10">
        <f ca="1">SUMIFS(F$3:F$64,$A$3:$A$64,$A95,$D$3:$D$64,$B95)*SUMIF('RES balance'!$D$5:$D$25,'RES Assumptions'!$A95,'RES balance'!F$5:F$25)*IFERROR(VLOOKUP($C95,$C$68:$AH$83,F$67,FALSE),1)</f>
        <v>0</v>
      </c>
      <c r="G95" s="10">
        <f ca="1">SUMIFS(G$3:G$64,$A$3:$A$64,$A95,$D$3:$D$64,$B95)*SUMIF('RES balance'!$D$5:$D$25,'RES Assumptions'!$A95,'RES balance'!G$5:G$25)*IFERROR(VLOOKUP($C95,$C$68:$AH$83,G$67,FALSE),1)</f>
        <v>0</v>
      </c>
      <c r="H95" s="10">
        <f ca="1">SUMIFS(H$3:H$64,$A$3:$A$64,$A95,$D$3:$D$64,$B95)*SUMIF('RES balance'!$D$5:$D$25,'RES Assumptions'!$A95,'RES balance'!H$5:H$25)*IFERROR(VLOOKUP($C95,$C$68:$AH$83,H$67,FALSE),1)</f>
        <v>0</v>
      </c>
      <c r="I95" s="10">
        <f ca="1">SUMIFS(I$3:I$64,$A$3:$A$64,$A95,$D$3:$D$64,$B95)*SUMIF('RES balance'!$D$5:$D$25,'RES Assumptions'!$A95,'RES balance'!I$5:I$25)*IFERROR(VLOOKUP($C95,$C$68:$AH$83,I$67,FALSE),1)</f>
        <v>0</v>
      </c>
      <c r="J95" s="10">
        <f ca="1">SUMIFS(J$3:J$64,$A$3:$A$64,$A95,$D$3:$D$64,$B95)*SUMIF('RES balance'!$D$5:$D$25,'RES Assumptions'!$A95,'RES balance'!J$5:J$25)*IFERROR(VLOOKUP($C95,$C$68:$AH$83,J$67,FALSE),1)</f>
        <v>0</v>
      </c>
      <c r="K95" s="10">
        <f ca="1">SUMIFS(K$3:K$64,$A$3:$A$64,$A95,$D$3:$D$64,$B95)*SUMIF('RES balance'!$D$5:$D$25,'RES Assumptions'!$A95,'RES balance'!K$5:K$25)*IFERROR(VLOOKUP($C95,$C$68:$AH$83,K$67,FALSE),1)</f>
        <v>0</v>
      </c>
      <c r="L95" s="10">
        <f ca="1">SUMIFS(L$3:L$64,$A$3:$A$64,$A95,$D$3:$D$64,$B95)*SUMIF('RES balance'!$D$5:$D$25,'RES Assumptions'!$A95,'RES balance'!L$5:L$25)*IFERROR(VLOOKUP($C95,$C$68:$AH$83,L$67,FALSE),1)</f>
        <v>0</v>
      </c>
      <c r="M95" s="10">
        <f ca="1">SUMIFS(M$3:M$64,$A$3:$A$64,$A95,$D$3:$D$64,$B95)*SUMIF('RES balance'!$D$5:$D$25,'RES Assumptions'!$A95,'RES balance'!M$5:M$25)*IFERROR(VLOOKUP($C95,$C$68:$AH$83,M$67,FALSE),1)</f>
        <v>0</v>
      </c>
      <c r="N95" s="10">
        <f ca="1">SUMIFS(N$3:N$64,$A$3:$A$64,$A95,$D$3:$D$64,$B95)*SUMIF('RES balance'!$D$5:$D$25,'RES Assumptions'!$A95,'RES balance'!N$5:N$25)*IFERROR(VLOOKUP($C95,$C$68:$AH$83,N$67,FALSE),1)</f>
        <v>0</v>
      </c>
      <c r="O95" s="10">
        <f ca="1">SUMIFS(O$3:O$64,$A$3:$A$64,$A95,$D$3:$D$64,$B95)*SUMIF('RES balance'!$D$5:$D$25,'RES Assumptions'!$A95,'RES balance'!O$5:O$25)*IFERROR(VLOOKUP($C95,$C$68:$AH$83,O$67,FALSE),1)</f>
        <v>0</v>
      </c>
      <c r="P95" s="10">
        <f ca="1">SUMIFS(P$3:P$64,$A$3:$A$64,$A95,$D$3:$D$64,$B95)*SUMIF('RES balance'!$D$5:$D$25,'RES Assumptions'!$A95,'RES balance'!P$5:P$25)*IFERROR(VLOOKUP($C95,$C$68:$AH$83,P$67,FALSE),1)</f>
        <v>0</v>
      </c>
      <c r="Q95" s="10">
        <f ca="1">SUMIFS(Q$3:Q$64,$A$3:$A$64,$A95,$D$3:$D$64,$B95)*SUMIF('RES balance'!$D$5:$D$25,'RES Assumptions'!$A95,'RES balance'!Q$5:Q$25)*IFERROR(VLOOKUP($C95,$C$68:$AH$83,Q$67,FALSE),1)</f>
        <v>0</v>
      </c>
      <c r="R95" s="10">
        <f ca="1">SUMIFS(R$3:R$64,$A$3:$A$64,$A95,$D$3:$D$64,$B95)*SUMIF('RES balance'!$D$5:$D$25,'RES Assumptions'!$A95,'RES balance'!R$5:R$25)*IFERROR(VLOOKUP($C95,$C$68:$AH$83,R$67,FALSE),1)</f>
        <v>0</v>
      </c>
      <c r="S95" s="10">
        <f ca="1">SUMIFS(S$3:S$64,$A$3:$A$64,$A95,$D$3:$D$64,$B95)*SUMIF('RES balance'!$D$5:$D$25,'RES Assumptions'!$A95,'RES balance'!S$5:S$25)*IFERROR(VLOOKUP($C95,$C$68:$AH$83,S$67,FALSE),1)</f>
        <v>0</v>
      </c>
      <c r="T95" s="10">
        <f ca="1">SUMIFS(T$3:T$64,$A$3:$A$64,$A95,$D$3:$D$64,$B95)*SUMIF('RES balance'!$D$5:$D$25,'RES Assumptions'!$A95,'RES balance'!T$5:T$25)*IFERROR(VLOOKUP($C95,$C$68:$AH$83,T$67,FALSE),1)</f>
        <v>0</v>
      </c>
      <c r="U95" s="10">
        <f ca="1">SUMIFS(U$3:U$64,$A$3:$A$64,$A95,$D$3:$D$64,$B95)*SUMIF('RES balance'!$D$5:$D$25,'RES Assumptions'!$A95,'RES balance'!U$5:U$25)*IFERROR(VLOOKUP($C95,$C$68:$AH$83,U$67,FALSE),1)</f>
        <v>0</v>
      </c>
      <c r="V95" s="10">
        <f ca="1">SUMIFS(V$3:V$64,$A$3:$A$64,$A95,$D$3:$D$64,$B95)*SUMIF('RES balance'!$D$5:$D$25,'RES Assumptions'!$A95,'RES balance'!V$5:V$25)*IFERROR(VLOOKUP($C95,$C$68:$AH$83,V$67,FALSE),1)</f>
        <v>0</v>
      </c>
      <c r="W95" s="10">
        <f ca="1">SUMIFS(W$3:W$64,$A$3:$A$64,$A95,$D$3:$D$64,$B95)*SUMIF('RES balance'!$D$5:$D$25,'RES Assumptions'!$A95,'RES balance'!W$5:W$25)*IFERROR(VLOOKUP($C95,$C$68:$AH$83,W$67,FALSE),1)</f>
        <v>0</v>
      </c>
      <c r="X95" s="10">
        <f ca="1">SUMIFS(X$3:X$64,$A$3:$A$64,$A95,$D$3:$D$64,$B95)*SUMIF('RES balance'!$D$5:$D$25,'RES Assumptions'!$A95,'RES balance'!X$5:X$25)*IFERROR(VLOOKUP($C95,$C$68:$AH$83,X$67,FALSE),1)</f>
        <v>0</v>
      </c>
      <c r="Y95" s="10">
        <f ca="1">SUMIFS(Y$3:Y$64,$A$3:$A$64,$A95,$D$3:$D$64,$B95)*SUMIF('RES balance'!$D$5:$D$25,'RES Assumptions'!$A95,'RES balance'!Y$5:Y$25)*IFERROR(VLOOKUP($C95,$C$68:$AH$83,Y$67,FALSE),1)</f>
        <v>0</v>
      </c>
      <c r="Z95" s="10">
        <f ca="1">SUMIFS(Z$3:Z$64,$A$3:$A$64,$A95,$D$3:$D$64,$B95)*SUMIF('RES balance'!$D$5:$D$25,'RES Assumptions'!$A95,'RES balance'!Z$5:Z$25)*IFERROR(VLOOKUP($C95,$C$68:$AH$83,Z$67,FALSE),1)</f>
        <v>0</v>
      </c>
      <c r="AA95" s="10">
        <f ca="1">SUMIFS(AA$3:AA$64,$A$3:$A$64,$A95,$D$3:$D$64,$B95)*SUMIF('RES balance'!$D$5:$D$25,'RES Assumptions'!$A95,'RES balance'!AA$5:AA$25)*IFERROR(VLOOKUP($C95,$C$68:$AH$83,AA$67,FALSE),1)</f>
        <v>0</v>
      </c>
      <c r="AB95" s="10">
        <f ca="1">SUMIFS(AB$3:AB$64,$A$3:$A$64,$A95,$D$3:$D$64,$B95)*SUMIF('RES balance'!$D$5:$D$25,'RES Assumptions'!$A95,'RES balance'!AB$5:AB$25)*IFERROR(VLOOKUP($C95,$C$68:$AH$83,AB$67,FALSE),1)</f>
        <v>0</v>
      </c>
      <c r="AC95" s="10">
        <f ca="1">SUMIFS(AC$3:AC$64,$A$3:$A$64,$A95,$D$3:$D$64,$B95)*SUMIF('RES balance'!$D$5:$D$25,'RES Assumptions'!$A95,'RES balance'!AC$5:AC$25)*IFERROR(VLOOKUP($C95,$C$68:$AH$83,AC$67,FALSE),1)</f>
        <v>0</v>
      </c>
      <c r="AD95" s="10">
        <f ca="1">SUMIFS(AD$3:AD$64,$A$3:$A$64,$A95,$D$3:$D$64,$B95)*SUMIF('RES balance'!$D$5:$D$25,'RES Assumptions'!$A95,'RES balance'!AD$5:AD$25)*IFERROR(VLOOKUP($C95,$C$68:$AH$83,AD$67,FALSE),1)</f>
        <v>0</v>
      </c>
      <c r="AE95" s="10">
        <f ca="1">SUMIFS(AE$3:AE$64,$A$3:$A$64,$A95,$D$3:$D$64,$B95)*SUMIF('RES balance'!$D$5:$D$25,'RES Assumptions'!$A95,'RES balance'!AE$5:AE$25)*IFERROR(VLOOKUP($C95,$C$68:$AH$83,AE$67,FALSE),1)</f>
        <v>0</v>
      </c>
      <c r="AF95" s="10">
        <f ca="1">SUMIFS(AF$3:AF$64,$A$3:$A$64,$A95,$D$3:$D$64,$B95)*SUMIF('RES balance'!$D$5:$D$25,'RES Assumptions'!$A95,'RES balance'!AF$5:AF$25)*IFERROR(VLOOKUP($C95,$C$68:$AH$83,AF$67,FALSE),1)</f>
        <v>0</v>
      </c>
      <c r="AG95" s="10">
        <f ca="1">SUMIFS(AG$3:AG$64,$A$3:$A$64,$A95,$D$3:$D$64,$B95)*SUMIF('RES balance'!$D$5:$D$25,'RES Assumptions'!$A95,'RES balance'!AG$5:AG$25)*IFERROR(VLOOKUP($C95,$C$68:$AH$83,AG$67,FALSE),1)</f>
        <v>0</v>
      </c>
      <c r="AH95" s="10">
        <f ca="1">SUMIFS(AH$3:AH$64,$A$3:$A$64,$A95,$D$3:$D$64,$B95)*SUMIF('RES balance'!$D$5:$D$25,'RES Assumptions'!$A95,'RES balance'!AH$5:AH$25)*IFERROR(VLOOKUP($C95,$C$68:$AH$83,AH$67,FALSE),1)</f>
        <v>0</v>
      </c>
      <c r="AJ95" s="37" t="s">
        <v>185</v>
      </c>
      <c r="AK95" s="37" t="s">
        <v>18</v>
      </c>
      <c r="AL95" s="8"/>
      <c r="AM95" s="8"/>
      <c r="AN95" s="37" t="s">
        <v>71</v>
      </c>
      <c r="AO95" s="37" t="s">
        <v>195</v>
      </c>
    </row>
    <row r="96" spans="1:41" x14ac:dyDescent="0.45">
      <c r="A96" s="8" t="str">
        <f t="shared" si="22"/>
        <v>RESELC</v>
      </c>
      <c r="B96" s="8" t="str">
        <f t="shared" si="23"/>
        <v>REA</v>
      </c>
      <c r="C96" s="48" t="str">
        <f>SUBSTITUTE(SUBSTITUTE(SUBSTITUTE('RES Veda input'!B13,"1",""),"000",""),"RRF","RR")</f>
        <v>REAELC</v>
      </c>
      <c r="E96" s="10">
        <f ca="1">SUMIFS(E$3:E$64,$A$3:$A$64,$A96,$D$3:$D$64,$B96)*SUMIF('RES balance'!$D$5:$D$25,'RES Assumptions'!$A96,'RES balance'!E$5:E$25)*IFERROR(VLOOKUP($C96,$C$68:$AH$83,E$67,FALSE),1)</f>
        <v>143.85132101969998</v>
      </c>
      <c r="F96" s="10">
        <f ca="1">SUMIFS(F$3:F$64,$A$3:$A$64,$A96,$D$3:$D$64,$B96)*SUMIF('RES balance'!$D$5:$D$25,'RES Assumptions'!$A96,'RES balance'!F$5:F$25)*IFERROR(VLOOKUP($C96,$C$68:$AH$83,F$67,FALSE),1)</f>
        <v>96.742469417579983</v>
      </c>
      <c r="G96" s="10">
        <f ca="1">SUMIFS(G$3:G$64,$A$3:$A$64,$A96,$D$3:$D$64,$B96)*SUMIF('RES balance'!$D$5:$D$25,'RES Assumptions'!$A96,'RES balance'!G$5:G$25)*IFERROR(VLOOKUP($C96,$C$68:$AH$83,G$67,FALSE),1)</f>
        <v>86.741258062285937</v>
      </c>
      <c r="H96" s="10">
        <f ca="1">SUMIFS(H$3:H$64,$A$3:$A$64,$A96,$D$3:$D$64,$B96)*SUMIF('RES balance'!$D$5:$D$25,'RES Assumptions'!$A96,'RES balance'!H$5:H$25)*IFERROR(VLOOKUP($C96,$C$68:$AH$83,H$67,FALSE),1)</f>
        <v>90.203075872194049</v>
      </c>
      <c r="I96" s="10">
        <f ca="1">SUMIFS(I$3:I$64,$A$3:$A$64,$A96,$D$3:$D$64,$B96)*SUMIF('RES balance'!$D$5:$D$25,'RES Assumptions'!$A96,'RES balance'!I$5:I$25)*IFERROR(VLOOKUP($C96,$C$68:$AH$83,I$67,FALSE),1)</f>
        <v>614.33374632702771</v>
      </c>
      <c r="J96" s="10">
        <f ca="1">SUMIFS(J$3:J$64,$A$3:$A$64,$A96,$D$3:$D$64,$B96)*SUMIF('RES balance'!$D$5:$D$25,'RES Assumptions'!$A96,'RES balance'!J$5:J$25)*IFERROR(VLOOKUP($C96,$C$68:$AH$83,J$67,FALSE),1)</f>
        <v>822.43800457817565</v>
      </c>
      <c r="K96" s="10">
        <f ca="1">SUMIFS(K$3:K$64,$A$3:$A$64,$A96,$D$3:$D$64,$B96)*SUMIF('RES balance'!$D$5:$D$25,'RES Assumptions'!$A96,'RES balance'!K$5:K$25)*IFERROR(VLOOKUP($C96,$C$68:$AH$83,K$67,FALSE),1)</f>
        <v>75.277391665758927</v>
      </c>
      <c r="L96" s="10">
        <f ca="1">SUMIFS(L$3:L$64,$A$3:$A$64,$A96,$D$3:$D$64,$B96)*SUMIF('RES balance'!$D$5:$D$25,'RES Assumptions'!$A96,'RES balance'!L$5:L$25)*IFERROR(VLOOKUP($C96,$C$68:$AH$83,L$67,FALSE),1)</f>
        <v>217.84972011401916</v>
      </c>
      <c r="M96" s="10">
        <f ca="1">SUMIFS(M$3:M$64,$A$3:$A$64,$A96,$D$3:$D$64,$B96)*SUMIF('RES balance'!$D$5:$D$25,'RES Assumptions'!$A96,'RES balance'!M$5:M$25)*IFERROR(VLOOKUP($C96,$C$68:$AH$83,M$67,FALSE),1)</f>
        <v>76.058035782775377</v>
      </c>
      <c r="N96" s="10">
        <f ca="1">SUMIFS(N$3:N$64,$A$3:$A$64,$A96,$D$3:$D$64,$B96)*SUMIF('RES balance'!$D$5:$D$25,'RES Assumptions'!$A96,'RES balance'!N$5:N$25)*IFERROR(VLOOKUP($C96,$C$68:$AH$83,N$67,FALSE),1)</f>
        <v>1600.8914826047594</v>
      </c>
      <c r="O96" s="10">
        <f ca="1">SUMIFS(O$3:O$64,$A$3:$A$64,$A96,$D$3:$D$64,$B96)*SUMIF('RES balance'!$D$5:$D$25,'RES Assumptions'!$A96,'RES balance'!O$5:O$25)*IFERROR(VLOOKUP($C96,$C$68:$AH$83,O$67,FALSE),1)</f>
        <v>110.43207344972051</v>
      </c>
      <c r="P96" s="10">
        <f ca="1">SUMIFS(P$3:P$64,$A$3:$A$64,$A96,$D$3:$D$64,$B96)*SUMIF('RES balance'!$D$5:$D$25,'RES Assumptions'!$A96,'RES balance'!P$5:P$25)*IFERROR(VLOOKUP($C96,$C$68:$AH$83,P$67,FALSE),1)</f>
        <v>120.47200758722586</v>
      </c>
      <c r="Q96" s="10">
        <f ca="1">SUMIFS(Q$3:Q$64,$A$3:$A$64,$A96,$D$3:$D$64,$B96)*SUMIF('RES balance'!$D$5:$D$25,'RES Assumptions'!$A96,'RES balance'!Q$5:Q$25)*IFERROR(VLOOKUP($C96,$C$68:$AH$83,Q$67,FALSE),1)</f>
        <v>73.209453166202934</v>
      </c>
      <c r="R96" s="10">
        <f ca="1">SUMIFS(R$3:R$64,$A$3:$A$64,$A96,$D$3:$D$64,$B96)*SUMIF('RES balance'!$D$5:$D$25,'RES Assumptions'!$A96,'RES balance'!R$5:R$25)*IFERROR(VLOOKUP($C96,$C$68:$AH$83,R$67,FALSE),1)</f>
        <v>123.32543298981724</v>
      </c>
      <c r="S96" s="10">
        <f ca="1">SUMIFS(S$3:S$64,$A$3:$A$64,$A96,$D$3:$D$64,$B96)*SUMIF('RES balance'!$D$5:$D$25,'RES Assumptions'!$A96,'RES balance'!S$5:S$25)*IFERROR(VLOOKUP($C96,$C$68:$AH$83,S$67,FALSE),1)</f>
        <v>72.327967455771528</v>
      </c>
      <c r="T96" s="10">
        <f ca="1">SUMIFS(T$3:T$64,$A$3:$A$64,$A96,$D$3:$D$64,$B96)*SUMIF('RES balance'!$D$5:$D$25,'RES Assumptions'!$A96,'RES balance'!T$5:T$25)*IFERROR(VLOOKUP($C96,$C$68:$AH$83,T$67,FALSE),1)</f>
        <v>124.20275826221142</v>
      </c>
      <c r="U96" s="10">
        <f ca="1">SUMIFS(U$3:U$64,$A$3:$A$64,$A96,$D$3:$D$64,$B96)*SUMIF('RES balance'!$D$5:$D$25,'RES Assumptions'!$A96,'RES balance'!U$5:U$25)*IFERROR(VLOOKUP($C96,$C$68:$AH$83,U$67,FALSE),1)</f>
        <v>122.68475189378411</v>
      </c>
      <c r="V96" s="10">
        <f ca="1">SUMIFS(V$3:V$64,$A$3:$A$64,$A96,$D$3:$D$64,$B96)*SUMIF('RES balance'!$D$5:$D$25,'RES Assumptions'!$A96,'RES balance'!V$5:V$25)*IFERROR(VLOOKUP($C96,$C$68:$AH$83,V$67,FALSE),1)</f>
        <v>230.12668094934006</v>
      </c>
      <c r="W96" s="10">
        <f ca="1">SUMIFS(W$3:W$64,$A$3:$A$64,$A96,$D$3:$D$64,$B96)*SUMIF('RES balance'!$D$5:$D$25,'RES Assumptions'!$A96,'RES balance'!W$5:W$25)*IFERROR(VLOOKUP($C96,$C$68:$AH$83,W$67,FALSE),1)</f>
        <v>182.31668711825432</v>
      </c>
      <c r="X96" s="10">
        <f ca="1">SUMIFS(X$3:X$64,$A$3:$A$64,$A96,$D$3:$D$64,$B96)*SUMIF('RES balance'!$D$5:$D$25,'RES Assumptions'!$A96,'RES balance'!X$5:X$25)*IFERROR(VLOOKUP($C96,$C$68:$AH$83,X$67,FALSE),1)</f>
        <v>503.01982083112398</v>
      </c>
      <c r="Y96" s="10">
        <f ca="1">SUMIFS(Y$3:Y$64,$A$3:$A$64,$A96,$D$3:$D$64,$B96)*SUMIF('RES balance'!$D$5:$D$25,'RES Assumptions'!$A96,'RES balance'!Y$5:Y$25)*IFERROR(VLOOKUP($C96,$C$68:$AH$83,Y$67,FALSE),1)</f>
        <v>174.03557938748779</v>
      </c>
      <c r="Z96" s="10">
        <f ca="1">SUMIFS(Z$3:Z$64,$A$3:$A$64,$A96,$D$3:$D$64,$B96)*SUMIF('RES balance'!$D$5:$D$25,'RES Assumptions'!$A96,'RES balance'!Z$5:Z$25)*IFERROR(VLOOKUP($C96,$C$68:$AH$83,Z$67,FALSE),1)</f>
        <v>77.247435508886554</v>
      </c>
      <c r="AA96" s="10">
        <f ca="1">SUMIFS(AA$3:AA$64,$A$3:$A$64,$A96,$D$3:$D$64,$B96)*SUMIF('RES balance'!$D$5:$D$25,'RES Assumptions'!$A96,'RES balance'!AA$5:AA$25)*IFERROR(VLOOKUP($C96,$C$68:$AH$83,AA$67,FALSE),1)</f>
        <v>223.20565923469266</v>
      </c>
      <c r="AB96" s="10">
        <f ca="1">SUMIFS(AB$3:AB$64,$A$3:$A$64,$A96,$D$3:$D$64,$B96)*SUMIF('RES balance'!$D$5:$D$25,'RES Assumptions'!$A96,'RES balance'!AB$5:AB$25)*IFERROR(VLOOKUP($C96,$C$68:$AH$83,AB$67,FALSE),1)</f>
        <v>58.992490753659894</v>
      </c>
      <c r="AC96" s="10">
        <f ca="1">SUMIFS(AC$3:AC$64,$A$3:$A$64,$A96,$D$3:$D$64,$B96)*SUMIF('RES balance'!$D$5:$D$25,'RES Assumptions'!$A96,'RES balance'!AC$5:AC$25)*IFERROR(VLOOKUP($C96,$C$68:$AH$83,AC$67,FALSE),1)</f>
        <v>253.81859730055797</v>
      </c>
      <c r="AD96" s="10">
        <f ca="1">SUMIFS(AD$3:AD$64,$A$3:$A$64,$A96,$D$3:$D$64,$B96)*SUMIF('RES balance'!$D$5:$D$25,'RES Assumptions'!$A96,'RES balance'!AD$5:AD$25)*IFERROR(VLOOKUP($C96,$C$68:$AH$83,AD$67,FALSE),1)</f>
        <v>107.16569323166681</v>
      </c>
      <c r="AE96" s="10">
        <f ca="1">SUMIFS(AE$3:AE$64,$A$3:$A$64,$A96,$D$3:$D$64,$B96)*SUMIF('RES balance'!$D$5:$D$25,'RES Assumptions'!$A96,'RES balance'!AE$5:AE$25)*IFERROR(VLOOKUP($C96,$C$68:$AH$83,AE$67,FALSE),1)</f>
        <v>61.316786291039996</v>
      </c>
      <c r="AF96" s="10">
        <f ca="1">SUMIFS(AF$3:AF$64,$A$3:$A$64,$A96,$D$3:$D$64,$B96)*SUMIF('RES balance'!$D$5:$D$25,'RES Assumptions'!$A96,'RES balance'!AF$5:AF$25)*IFERROR(VLOOKUP($C96,$C$68:$AH$83,AF$67,FALSE),1)</f>
        <v>149.59028868816728</v>
      </c>
      <c r="AG96" s="10">
        <f ca="1">SUMIFS(AG$3:AG$64,$A$3:$A$64,$A96,$D$3:$D$64,$B96)*SUMIF('RES balance'!$D$5:$D$25,'RES Assumptions'!$A96,'RES balance'!AG$5:AG$25)*IFERROR(VLOOKUP($C96,$C$68:$AH$83,AG$67,FALSE),1)</f>
        <v>1259.5111667481583</v>
      </c>
      <c r="AH96" s="10">
        <f ca="1">SUMIFS(AH$3:AH$64,$A$3:$A$64,$A96,$D$3:$D$64,$B96)*SUMIF('RES balance'!$D$5:$D$25,'RES Assumptions'!$A96,'RES balance'!AH$5:AH$25)*IFERROR(VLOOKUP($C96,$C$68:$AH$83,AH$67,FALSE),1)</f>
        <v>0</v>
      </c>
      <c r="AJ96" s="37" t="s">
        <v>188</v>
      </c>
      <c r="AK96" s="37" t="s">
        <v>18</v>
      </c>
      <c r="AL96" s="8"/>
      <c r="AM96" s="8"/>
      <c r="AN96" s="37" t="s">
        <v>70</v>
      </c>
      <c r="AO96" s="37" t="str">
        <f t="shared" si="24"/>
        <v>ROT</v>
      </c>
    </row>
    <row r="97" spans="1:41" x14ac:dyDescent="0.45">
      <c r="A97" s="8" t="str">
        <f t="shared" si="22"/>
        <v>RESBIO</v>
      </c>
      <c r="B97" s="8" t="str">
        <f t="shared" si="23"/>
        <v>RH</v>
      </c>
      <c r="C97" s="48" t="str">
        <f>SUBSTITUTE(SUBSTITUTE(SUBSTITUTE('RES Veda input'!B14,"1",""),"000",""),"RRF","RR")</f>
        <v>RHBIO</v>
      </c>
      <c r="E97" s="10">
        <f ca="1">SUMIFS(E$3:E$64,$A$3:$A$64,$A97,$D$3:$D$64,$B97)*SUMIF('RES balance'!$D$5:$D$25,'RES Assumptions'!$A97,'RES balance'!E$5:E$25)*IFERROR(VLOOKUP($C97,$C$68:$AH$83,E$67,FALSE),1)</f>
        <v>0</v>
      </c>
      <c r="F97" s="10">
        <f ca="1">SUMIFS(F$3:F$64,$A$3:$A$64,$A97,$D$3:$D$64,$B97)*SUMIF('RES balance'!$D$5:$D$25,'RES Assumptions'!$A97,'RES balance'!F$5:F$25)*IFERROR(VLOOKUP($C97,$C$68:$AH$83,F$67,FALSE),1)</f>
        <v>0</v>
      </c>
      <c r="G97" s="10">
        <f ca="1">SUMIFS(G$3:G$64,$A$3:$A$64,$A97,$D$3:$D$64,$B97)*SUMIF('RES balance'!$D$5:$D$25,'RES Assumptions'!$A97,'RES balance'!G$5:G$25)*IFERROR(VLOOKUP($C97,$C$68:$AH$83,G$67,FALSE),1)</f>
        <v>18.869417331682765</v>
      </c>
      <c r="H97" s="10">
        <f ca="1">SUMIFS(H$3:H$64,$A$3:$A$64,$A97,$D$3:$D$64,$B97)*SUMIF('RES balance'!$D$5:$D$25,'RES Assumptions'!$A97,'RES balance'!H$5:H$25)*IFERROR(VLOOKUP($C97,$C$68:$AH$83,H$67,FALSE),1)</f>
        <v>14.507588449550916</v>
      </c>
      <c r="I97" s="10">
        <f ca="1">SUMIFS(I$3:I$64,$A$3:$A$64,$A97,$D$3:$D$64,$B97)*SUMIF('RES balance'!$D$5:$D$25,'RES Assumptions'!$A97,'RES balance'!I$5:I$25)*IFERROR(VLOOKUP($C97,$C$68:$AH$83,I$67,FALSE),1)</f>
        <v>5.8054545612000004</v>
      </c>
      <c r="J97" s="10">
        <f ca="1">SUMIFS(J$3:J$64,$A$3:$A$64,$A97,$D$3:$D$64,$B97)*SUMIF('RES balance'!$D$5:$D$25,'RES Assumptions'!$A97,'RES balance'!J$5:J$25)*IFERROR(VLOOKUP($C97,$C$68:$AH$83,J$67,FALSE),1)</f>
        <v>0</v>
      </c>
      <c r="K97" s="10">
        <f ca="1">SUMIFS(K$3:K$64,$A$3:$A$64,$A97,$D$3:$D$64,$B97)*SUMIF('RES balance'!$D$5:$D$25,'RES Assumptions'!$A97,'RES balance'!K$5:K$25)*IFERROR(VLOOKUP($C97,$C$68:$AH$83,K$67,FALSE),1)</f>
        <v>56.185958796169622</v>
      </c>
      <c r="L97" s="10">
        <f ca="1">SUMIFS(L$3:L$64,$A$3:$A$64,$A97,$D$3:$D$64,$B97)*SUMIF('RES balance'!$D$5:$D$25,'RES Assumptions'!$A97,'RES balance'!L$5:L$25)*IFERROR(VLOOKUP($C97,$C$68:$AH$83,L$67,FALSE),1)</f>
        <v>66.574894759817738</v>
      </c>
      <c r="M97" s="10">
        <f ca="1">SUMIFS(M$3:M$64,$A$3:$A$64,$A97,$D$3:$D$64,$B97)*SUMIF('RES balance'!$D$5:$D$25,'RES Assumptions'!$A97,'RES balance'!M$5:M$25)*IFERROR(VLOOKUP($C97,$C$68:$AH$83,M$67,FALSE),1)</f>
        <v>109.41217963405843</v>
      </c>
      <c r="N97" s="10">
        <f ca="1">SUMIFS(N$3:N$64,$A$3:$A$64,$A97,$D$3:$D$64,$B97)*SUMIF('RES balance'!$D$5:$D$25,'RES Assumptions'!$A97,'RES balance'!N$5:N$25)*IFERROR(VLOOKUP($C97,$C$68:$AH$83,N$67,FALSE),1)</f>
        <v>557.16205122486463</v>
      </c>
      <c r="O97" s="10">
        <f ca="1">SUMIFS(O$3:O$64,$A$3:$A$64,$A97,$D$3:$D$64,$B97)*SUMIF('RES balance'!$D$5:$D$25,'RES Assumptions'!$A97,'RES balance'!O$5:O$25)*IFERROR(VLOOKUP($C97,$C$68:$AH$83,O$67,FALSE),1)</f>
        <v>109.97577206680963</v>
      </c>
      <c r="P97" s="10">
        <f ca="1">SUMIFS(P$3:P$64,$A$3:$A$64,$A97,$D$3:$D$64,$B97)*SUMIF('RES balance'!$D$5:$D$25,'RES Assumptions'!$A97,'RES balance'!P$5:P$25)*IFERROR(VLOOKUP($C97,$C$68:$AH$83,P$67,FALSE),1)</f>
        <v>415.4089086324575</v>
      </c>
      <c r="Q97" s="10">
        <f ca="1">SUMIFS(Q$3:Q$64,$A$3:$A$64,$A97,$D$3:$D$64,$B97)*SUMIF('RES balance'!$D$5:$D$25,'RES Assumptions'!$A97,'RES balance'!Q$5:Q$25)*IFERROR(VLOOKUP($C97,$C$68:$AH$83,Q$67,FALSE),1)</f>
        <v>38.454854744174547</v>
      </c>
      <c r="R97" s="10">
        <f ca="1">SUMIFS(R$3:R$64,$A$3:$A$64,$A97,$D$3:$D$64,$B97)*SUMIF('RES balance'!$D$5:$D$25,'RES Assumptions'!$A97,'RES balance'!R$5:R$25)*IFERROR(VLOOKUP($C97,$C$68:$AH$83,R$67,FALSE),1)</f>
        <v>267.65040223490013</v>
      </c>
      <c r="S97" s="10">
        <f ca="1">SUMIFS(S$3:S$64,$A$3:$A$64,$A97,$D$3:$D$64,$B97)*SUMIF('RES balance'!$D$5:$D$25,'RES Assumptions'!$A97,'RES balance'!S$5:S$25)*IFERROR(VLOOKUP($C97,$C$68:$AH$83,S$67,FALSE),1)</f>
        <v>245.63630513142203</v>
      </c>
      <c r="T97" s="10">
        <f ca="1">SUMIFS(T$3:T$64,$A$3:$A$64,$A97,$D$3:$D$64,$B97)*SUMIF('RES balance'!$D$5:$D$25,'RES Assumptions'!$A97,'RES balance'!T$5:T$25)*IFERROR(VLOOKUP($C97,$C$68:$AH$83,T$67,FALSE),1)</f>
        <v>100.06875669564491</v>
      </c>
      <c r="U97" s="10">
        <f ca="1">SUMIFS(U$3:U$64,$A$3:$A$64,$A97,$D$3:$D$64,$B97)*SUMIF('RES balance'!$D$5:$D$25,'RES Assumptions'!$A97,'RES balance'!U$5:U$25)*IFERROR(VLOOKUP($C97,$C$68:$AH$83,U$67,FALSE),1)</f>
        <v>285.90574335748573</v>
      </c>
      <c r="V97" s="10">
        <f ca="1">SUMIFS(V$3:V$64,$A$3:$A$64,$A97,$D$3:$D$64,$B97)*SUMIF('RES balance'!$D$5:$D$25,'RES Assumptions'!$A97,'RES balance'!V$5:V$25)*IFERROR(VLOOKUP($C97,$C$68:$AH$83,V$67,FALSE),1)</f>
        <v>248.25094996787112</v>
      </c>
      <c r="W97" s="10">
        <f ca="1">SUMIFS(W$3:W$64,$A$3:$A$64,$A97,$D$3:$D$64,$B97)*SUMIF('RES balance'!$D$5:$D$25,'RES Assumptions'!$A97,'RES balance'!W$5:W$25)*IFERROR(VLOOKUP($C97,$C$68:$AH$83,W$67,FALSE),1)</f>
        <v>236.51220333088628</v>
      </c>
      <c r="X97" s="10">
        <f ca="1">SUMIFS(X$3:X$64,$A$3:$A$64,$A97,$D$3:$D$64,$B97)*SUMIF('RES balance'!$D$5:$D$25,'RES Assumptions'!$A97,'RES balance'!X$5:X$25)*IFERROR(VLOOKUP($C97,$C$68:$AH$83,X$67,FALSE),1)</f>
        <v>0</v>
      </c>
      <c r="Y97" s="10">
        <f ca="1">SUMIFS(Y$3:Y$64,$A$3:$A$64,$A97,$D$3:$D$64,$B97)*SUMIF('RES balance'!$D$5:$D$25,'RES Assumptions'!$A97,'RES balance'!Y$5:Y$25)*IFERROR(VLOOKUP($C97,$C$68:$AH$83,Y$67,FALSE),1)</f>
        <v>168.4884429669238</v>
      </c>
      <c r="Z97" s="10">
        <f ca="1">SUMIFS(Z$3:Z$64,$A$3:$A$64,$A97,$D$3:$D$64,$B97)*SUMIF('RES balance'!$D$5:$D$25,'RES Assumptions'!$A97,'RES balance'!Z$5:Z$25)*IFERROR(VLOOKUP($C97,$C$68:$AH$83,Z$67,FALSE),1)</f>
        <v>80.980238555289901</v>
      </c>
      <c r="AA97" s="10">
        <f ca="1">SUMIFS(AA$3:AA$64,$A$3:$A$64,$A97,$D$3:$D$64,$B97)*SUMIF('RES balance'!$D$5:$D$25,'RES Assumptions'!$A97,'RES balance'!AA$5:AA$25)*IFERROR(VLOOKUP($C97,$C$68:$AH$83,AA$67,FALSE),1)</f>
        <v>16.196620574403379</v>
      </c>
      <c r="AB97" s="10">
        <f ca="1">SUMIFS(AB$3:AB$64,$A$3:$A$64,$A97,$D$3:$D$64,$B97)*SUMIF('RES balance'!$D$5:$D$25,'RES Assumptions'!$A97,'RES balance'!AB$5:AB$25)*IFERROR(VLOOKUP($C97,$C$68:$AH$83,AB$67,FALSE),1)</f>
        <v>17.958013110504162</v>
      </c>
      <c r="AC97" s="10">
        <f ca="1">SUMIFS(AC$3:AC$64,$A$3:$A$64,$A97,$D$3:$D$64,$B97)*SUMIF('RES balance'!$D$5:$D$25,'RES Assumptions'!$A97,'RES balance'!AC$5:AC$25)*IFERROR(VLOOKUP($C97,$C$68:$AH$83,AC$67,FALSE),1)</f>
        <v>39.867888413979863</v>
      </c>
      <c r="AD97" s="10">
        <f ca="1">SUMIFS(AD$3:AD$64,$A$3:$A$64,$A97,$D$3:$D$64,$B97)*SUMIF('RES balance'!$D$5:$D$25,'RES Assumptions'!$A97,'RES balance'!AD$5:AD$25)*IFERROR(VLOOKUP($C97,$C$68:$AH$83,AD$67,FALSE),1)</f>
        <v>0.29033136763599676</v>
      </c>
      <c r="AE97" s="10">
        <f ca="1">SUMIFS(AE$3:AE$64,$A$3:$A$64,$A97,$D$3:$D$64,$B97)*SUMIF('RES balance'!$D$5:$D$25,'RES Assumptions'!$A97,'RES balance'!AE$5:AE$25)*IFERROR(VLOOKUP($C97,$C$68:$AH$83,AE$67,FALSE),1)</f>
        <v>0</v>
      </c>
      <c r="AF97" s="10">
        <f ca="1">SUMIFS(AF$3:AF$64,$A$3:$A$64,$A97,$D$3:$D$64,$B97)*SUMIF('RES balance'!$D$5:$D$25,'RES Assumptions'!$A97,'RES balance'!AF$5:AF$25)*IFERROR(VLOOKUP($C97,$C$68:$AH$83,AF$67,FALSE),1)</f>
        <v>25.505595505522212</v>
      </c>
      <c r="AG97" s="10">
        <f ca="1">SUMIFS(AG$3:AG$64,$A$3:$A$64,$A97,$D$3:$D$64,$B97)*SUMIF('RES balance'!$D$5:$D$25,'RES Assumptions'!$A97,'RES balance'!AG$5:AG$25)*IFERROR(VLOOKUP($C97,$C$68:$AH$83,AG$67,FALSE),1)</f>
        <v>545.53772051279998</v>
      </c>
      <c r="AH97" s="10">
        <f ca="1">SUMIFS(AH$3:AH$64,$A$3:$A$64,$A97,$D$3:$D$64,$B97)*SUMIF('RES balance'!$D$5:$D$25,'RES Assumptions'!$A97,'RES balance'!AH$5:AH$25)*IFERROR(VLOOKUP($C97,$C$68:$AH$83,AH$67,FALSE),1)</f>
        <v>0</v>
      </c>
      <c r="AJ97" s="37" t="s">
        <v>24</v>
      </c>
      <c r="AK97" s="37" t="str">
        <f t="shared" si="25"/>
        <v>GEO</v>
      </c>
      <c r="AL97" s="8"/>
      <c r="AM97" s="8"/>
      <c r="AN97" s="37" t="s">
        <v>120</v>
      </c>
      <c r="AO97" s="37" t="s">
        <v>65</v>
      </c>
    </row>
    <row r="98" spans="1:41" x14ac:dyDescent="0.45">
      <c r="A98" s="8" t="str">
        <f t="shared" si="22"/>
        <v>RESCOA</v>
      </c>
      <c r="B98" s="8" t="str">
        <f t="shared" si="23"/>
        <v>RH</v>
      </c>
      <c r="C98" s="48" t="str">
        <f>SUBSTITUTE(SUBSTITUTE(SUBSTITUTE('RES Veda input'!B15,"1",""),"000",""),"RRF","RR")</f>
        <v>RHCOA</v>
      </c>
      <c r="E98" s="10">
        <f ca="1">SUMIFS(E$3:E$64,$A$3:$A$64,$A98,$D$3:$D$64,$B98)*SUMIF('RES balance'!$D$5:$D$25,'RES Assumptions'!$A98,'RES balance'!E$5:E$25)*IFERROR(VLOOKUP($C98,$C$68:$AH$83,E$67,FALSE),1)</f>
        <v>0</v>
      </c>
      <c r="F98" s="10">
        <f ca="1">SUMIFS(F$3:F$64,$A$3:$A$64,$A98,$D$3:$D$64,$B98)*SUMIF('RES balance'!$D$5:$D$25,'RES Assumptions'!$A98,'RES balance'!F$5:F$25)*IFERROR(VLOOKUP($C98,$C$68:$AH$83,F$67,FALSE),1)</f>
        <v>6.053465993306352E-2</v>
      </c>
      <c r="G98" s="10">
        <f ca="1">SUMIFS(G$3:G$64,$A$3:$A$64,$A98,$D$3:$D$64,$B98)*SUMIF('RES balance'!$D$5:$D$25,'RES Assumptions'!$A98,'RES balance'!G$5:G$25)*IFERROR(VLOOKUP($C98,$C$68:$AH$83,G$67,FALSE),1)</f>
        <v>0</v>
      </c>
      <c r="H98" s="10">
        <f ca="1">SUMIFS(H$3:H$64,$A$3:$A$64,$A98,$D$3:$D$64,$B98)*SUMIF('RES balance'!$D$5:$D$25,'RES Assumptions'!$A98,'RES balance'!H$5:H$25)*IFERROR(VLOOKUP($C98,$C$68:$AH$83,H$67,FALSE),1)</f>
        <v>161.20673062641524</v>
      </c>
      <c r="I98" s="10">
        <f ca="1">SUMIFS(I$3:I$64,$A$3:$A$64,$A98,$D$3:$D$64,$B98)*SUMIF('RES balance'!$D$5:$D$25,'RES Assumptions'!$A98,'RES balance'!I$5:I$25)*IFERROR(VLOOKUP($C98,$C$68:$AH$83,I$67,FALSE),1)</f>
        <v>9.3387230547076534</v>
      </c>
      <c r="J98" s="10">
        <f ca="1">SUMIFS(J$3:J$64,$A$3:$A$64,$A98,$D$3:$D$64,$B98)*SUMIF('RES balance'!$D$5:$D$25,'RES Assumptions'!$A98,'RES balance'!J$5:J$25)*IFERROR(VLOOKUP($C98,$C$68:$AH$83,J$67,FALSE),1)</f>
        <v>0</v>
      </c>
      <c r="K98" s="10">
        <f ca="1">SUMIFS(K$3:K$64,$A$3:$A$64,$A98,$D$3:$D$64,$B98)*SUMIF('RES balance'!$D$5:$D$25,'RES Assumptions'!$A98,'RES balance'!K$5:K$25)*IFERROR(VLOOKUP($C98,$C$68:$AH$83,K$67,FALSE),1)</f>
        <v>0.25830538265060232</v>
      </c>
      <c r="L98" s="10">
        <f ca="1">SUMIFS(L$3:L$64,$A$3:$A$64,$A98,$D$3:$D$64,$B98)*SUMIF('RES balance'!$D$5:$D$25,'RES Assumptions'!$A98,'RES balance'!L$5:L$25)*IFERROR(VLOOKUP($C98,$C$68:$AH$83,L$67,FALSE),1)</f>
        <v>0</v>
      </c>
      <c r="M98" s="10">
        <f ca="1">SUMIFS(M$3:M$64,$A$3:$A$64,$A98,$D$3:$D$64,$B98)*SUMIF('RES balance'!$D$5:$D$25,'RES Assumptions'!$A98,'RES balance'!M$5:M$25)*IFERROR(VLOOKUP($C98,$C$68:$AH$83,M$67,FALSE),1)</f>
        <v>0</v>
      </c>
      <c r="N98" s="10">
        <f ca="1">SUMIFS(N$3:N$64,$A$3:$A$64,$A98,$D$3:$D$64,$B98)*SUMIF('RES balance'!$D$5:$D$25,'RES Assumptions'!$A98,'RES balance'!N$5:N$25)*IFERROR(VLOOKUP($C98,$C$68:$AH$83,N$67,FALSE),1)</f>
        <v>988.02681687781967</v>
      </c>
      <c r="O98" s="10">
        <f ca="1">SUMIFS(O$3:O$64,$A$3:$A$64,$A98,$D$3:$D$64,$B98)*SUMIF('RES balance'!$D$5:$D$25,'RES Assumptions'!$A98,'RES balance'!O$5:O$25)*IFERROR(VLOOKUP($C98,$C$68:$AH$83,O$67,FALSE),1)</f>
        <v>0.14906567235910217</v>
      </c>
      <c r="P98" s="10">
        <f ca="1">SUMIFS(P$3:P$64,$A$3:$A$64,$A98,$D$3:$D$64,$B98)*SUMIF('RES balance'!$D$5:$D$25,'RES Assumptions'!$A98,'RES balance'!P$5:P$25)*IFERROR(VLOOKUP($C98,$C$68:$AH$83,P$67,FALSE),1)</f>
        <v>217.30827353178537</v>
      </c>
      <c r="Q98" s="10">
        <f ca="1">SUMIFS(Q$3:Q$64,$A$3:$A$64,$A98,$D$3:$D$64,$B98)*SUMIF('RES balance'!$D$5:$D$25,'RES Assumptions'!$A98,'RES balance'!Q$5:Q$25)*IFERROR(VLOOKUP($C98,$C$68:$AH$83,Q$67,FALSE),1)</f>
        <v>15.6264648019053</v>
      </c>
      <c r="R98" s="10">
        <f ca="1">SUMIFS(R$3:R$64,$A$3:$A$64,$A98,$D$3:$D$64,$B98)*SUMIF('RES balance'!$D$5:$D$25,'RES Assumptions'!$A98,'RES balance'!R$5:R$25)*IFERROR(VLOOKUP($C98,$C$68:$AH$83,R$67,FALSE),1)</f>
        <v>0.13583416600313555</v>
      </c>
      <c r="S98" s="10">
        <f ca="1">SUMIFS(S$3:S$64,$A$3:$A$64,$A98,$D$3:$D$64,$B98)*SUMIF('RES balance'!$D$5:$D$25,'RES Assumptions'!$A98,'RES balance'!S$5:S$25)*IFERROR(VLOOKUP($C98,$C$68:$AH$83,S$67,FALSE),1)</f>
        <v>8.2135533609496694</v>
      </c>
      <c r="T98" s="10">
        <f ca="1">SUMIFS(T$3:T$64,$A$3:$A$64,$A98,$D$3:$D$64,$B98)*SUMIF('RES balance'!$D$5:$D$25,'RES Assumptions'!$A98,'RES balance'!T$5:T$25)*IFERROR(VLOOKUP($C98,$C$68:$AH$83,T$67,FALSE),1)</f>
        <v>2.5877279432072857</v>
      </c>
      <c r="U98" s="10">
        <f ca="1">SUMIFS(U$3:U$64,$A$3:$A$64,$A98,$D$3:$D$64,$B98)*SUMIF('RES balance'!$D$5:$D$25,'RES Assumptions'!$A98,'RES balance'!U$5:U$25)*IFERROR(VLOOKUP($C98,$C$68:$AH$83,U$67,FALSE),1)</f>
        <v>69.035048201007427</v>
      </c>
      <c r="V98" s="10">
        <f ca="1">SUMIFS(V$3:V$64,$A$3:$A$64,$A98,$D$3:$D$64,$B98)*SUMIF('RES balance'!$D$5:$D$25,'RES Assumptions'!$A98,'RES balance'!V$5:V$25)*IFERROR(VLOOKUP($C98,$C$68:$AH$83,V$67,FALSE),1)</f>
        <v>0.97450442851042163</v>
      </c>
      <c r="W98" s="10">
        <f ca="1">SUMIFS(W$3:W$64,$A$3:$A$64,$A98,$D$3:$D$64,$B98)*SUMIF('RES balance'!$D$5:$D$25,'RES Assumptions'!$A98,'RES balance'!W$5:W$25)*IFERROR(VLOOKUP($C98,$C$68:$AH$83,W$67,FALSE),1)</f>
        <v>13.765078805951408</v>
      </c>
      <c r="X98" s="10">
        <f ca="1">SUMIFS(X$3:X$64,$A$3:$A$64,$A98,$D$3:$D$64,$B98)*SUMIF('RES balance'!$D$5:$D$25,'RES Assumptions'!$A98,'RES balance'!X$5:X$25)*IFERROR(VLOOKUP($C98,$C$68:$AH$83,X$67,FALSE),1)</f>
        <v>0</v>
      </c>
      <c r="Y98" s="10">
        <f ca="1">SUMIFS(Y$3:Y$64,$A$3:$A$64,$A98,$D$3:$D$64,$B98)*SUMIF('RES balance'!$D$5:$D$25,'RES Assumptions'!$A98,'RES balance'!Y$5:Y$25)*IFERROR(VLOOKUP($C98,$C$68:$AH$83,Y$67,FALSE),1)</f>
        <v>1.1111527023800842</v>
      </c>
      <c r="Z98" s="10">
        <f ca="1">SUMIFS(Z$3:Z$64,$A$3:$A$64,$A98,$D$3:$D$64,$B98)*SUMIF('RES balance'!$D$5:$D$25,'RES Assumptions'!$A98,'RES balance'!Z$5:Z$25)*IFERROR(VLOOKUP($C98,$C$68:$AH$83,Z$67,FALSE),1)</f>
        <v>0</v>
      </c>
      <c r="AA98" s="10">
        <f ca="1">SUMIFS(AA$3:AA$64,$A$3:$A$64,$A98,$D$3:$D$64,$B98)*SUMIF('RES balance'!$D$5:$D$25,'RES Assumptions'!$A98,'RES balance'!AA$5:AA$25)*IFERROR(VLOOKUP($C98,$C$68:$AH$83,AA$67,FALSE),1)</f>
        <v>0.29317086057772468</v>
      </c>
      <c r="AB98" s="10">
        <f ca="1">SUMIFS(AB$3:AB$64,$A$3:$A$64,$A98,$D$3:$D$64,$B98)*SUMIF('RES balance'!$D$5:$D$25,'RES Assumptions'!$A98,'RES balance'!AB$5:AB$25)*IFERROR(VLOOKUP($C98,$C$68:$AH$83,AB$67,FALSE),1)</f>
        <v>0</v>
      </c>
      <c r="AC98" s="10">
        <f ca="1">SUMIFS(AC$3:AC$64,$A$3:$A$64,$A98,$D$3:$D$64,$B98)*SUMIF('RES balance'!$D$5:$D$25,'RES Assumptions'!$A98,'RES balance'!AC$5:AC$25)*IFERROR(VLOOKUP($C98,$C$68:$AH$83,AC$67,FALSE),1)</f>
        <v>57.718477740969725</v>
      </c>
      <c r="AD98" s="10">
        <f ca="1">SUMIFS(AD$3:AD$64,$A$3:$A$64,$A98,$D$3:$D$64,$B98)*SUMIF('RES balance'!$D$5:$D$25,'RES Assumptions'!$A98,'RES balance'!AD$5:AD$25)*IFERROR(VLOOKUP($C98,$C$68:$AH$83,AD$67,FALSE),1)</f>
        <v>0</v>
      </c>
      <c r="AE98" s="10">
        <f ca="1">SUMIFS(AE$3:AE$64,$A$3:$A$64,$A98,$D$3:$D$64,$B98)*SUMIF('RES balance'!$D$5:$D$25,'RES Assumptions'!$A98,'RES balance'!AE$5:AE$25)*IFERROR(VLOOKUP($C98,$C$68:$AH$83,AE$67,FALSE),1)</f>
        <v>43.177089702859313</v>
      </c>
      <c r="AF98" s="10">
        <f ca="1">SUMIFS(AF$3:AF$64,$A$3:$A$64,$A98,$D$3:$D$64,$B98)*SUMIF('RES balance'!$D$5:$D$25,'RES Assumptions'!$A98,'RES balance'!AF$5:AF$25)*IFERROR(VLOOKUP($C98,$C$68:$AH$83,AF$67,FALSE),1)</f>
        <v>18.186035940171347</v>
      </c>
      <c r="AG98" s="10">
        <f ca="1">SUMIFS(AG$3:AG$64,$A$3:$A$64,$A98,$D$3:$D$64,$B98)*SUMIF('RES balance'!$D$5:$D$25,'RES Assumptions'!$A98,'RES balance'!AG$5:AG$25)*IFERROR(VLOOKUP($C98,$C$68:$AH$83,AG$67,FALSE),1)</f>
        <v>0</v>
      </c>
      <c r="AH98" s="10">
        <f ca="1">SUMIFS(AH$3:AH$64,$A$3:$A$64,$A98,$D$3:$D$64,$B98)*SUMIF('RES balance'!$D$5:$D$25,'RES Assumptions'!$A98,'RES balance'!AH$5:AH$25)*IFERROR(VLOOKUP($C98,$C$68:$AH$83,AH$67,FALSE),1)</f>
        <v>0</v>
      </c>
      <c r="AJ98" s="37" t="s">
        <v>186</v>
      </c>
      <c r="AK98" s="37" t="s">
        <v>18</v>
      </c>
      <c r="AL98" s="8"/>
      <c r="AM98" s="8"/>
      <c r="AN98" s="8"/>
      <c r="AO98" s="8"/>
    </row>
    <row r="99" spans="1:41" x14ac:dyDescent="0.45">
      <c r="A99" s="8" t="str">
        <f t="shared" si="22"/>
        <v>RESOIL</v>
      </c>
      <c r="B99" s="8" t="str">
        <f t="shared" si="23"/>
        <v>RH</v>
      </c>
      <c r="C99" s="48" t="str">
        <f>SUBSTITUTE(SUBSTITUTE(SUBSTITUTE('RES Veda input'!B16,"1",""),"000",""),"RRF","RR")</f>
        <v>RHDST</v>
      </c>
      <c r="E99" s="10">
        <f ca="1">SUMIFS(E$3:E$64,$A$3:$A$64,$A99,$D$3:$D$64,$B99)*SUMIF('RES balance'!$D$5:$D$25,'RES Assumptions'!$A99,'RES balance'!E$5:E$25)*IFERROR(VLOOKUP($C99,$C$68:$AH$83,E$67,FALSE),1)</f>
        <v>4.0239636361631024E-3</v>
      </c>
      <c r="F99" s="10">
        <f ca="1">SUMIFS(F$3:F$64,$A$3:$A$64,$A99,$D$3:$D$64,$B99)*SUMIF('RES balance'!$D$5:$D$25,'RES Assumptions'!$A99,'RES balance'!F$5:F$25)*IFERROR(VLOOKUP($C99,$C$68:$AH$83,F$67,FALSE),1)</f>
        <v>0.17029055680680874</v>
      </c>
      <c r="G99" s="10">
        <f ca="1">SUMIFS(G$3:G$64,$A$3:$A$64,$A99,$D$3:$D$64,$B99)*SUMIF('RES balance'!$D$5:$D$25,'RES Assumptions'!$A99,'RES balance'!G$5:G$25)*IFERROR(VLOOKUP($C99,$C$68:$AH$83,G$67,FALSE),1)</f>
        <v>0</v>
      </c>
      <c r="H99" s="10">
        <f ca="1">SUMIFS(H$3:H$64,$A$3:$A$64,$A99,$D$3:$D$64,$B99)*SUMIF('RES balance'!$D$5:$D$25,'RES Assumptions'!$A99,'RES balance'!H$5:H$25)*IFERROR(VLOOKUP($C99,$C$68:$AH$83,H$67,FALSE),1)</f>
        <v>78.22072894728197</v>
      </c>
      <c r="I99" s="10">
        <f ca="1">SUMIFS(I$3:I$64,$A$3:$A$64,$A99,$D$3:$D$64,$B99)*SUMIF('RES balance'!$D$5:$D$25,'RES Assumptions'!$A99,'RES balance'!I$5:I$25)*IFERROR(VLOOKUP($C99,$C$68:$AH$83,I$67,FALSE),1)</f>
        <v>16.990966174447298</v>
      </c>
      <c r="J99" s="10">
        <f ca="1">SUMIFS(J$3:J$64,$A$3:$A$64,$A99,$D$3:$D$64,$B99)*SUMIF('RES balance'!$D$5:$D$25,'RES Assumptions'!$A99,'RES balance'!J$5:J$25)*IFERROR(VLOOKUP($C99,$C$68:$AH$83,J$67,FALSE),1)</f>
        <v>0</v>
      </c>
      <c r="K99" s="10">
        <f ca="1">SUMIFS(K$3:K$64,$A$3:$A$64,$A99,$D$3:$D$64,$B99)*SUMIF('RES balance'!$D$5:$D$25,'RES Assumptions'!$A99,'RES balance'!K$5:K$25)*IFERROR(VLOOKUP($C99,$C$68:$AH$83,K$67,FALSE),1)</f>
        <v>3.5198217434509238E-2</v>
      </c>
      <c r="L99" s="10">
        <f ca="1">SUMIFS(L$3:L$64,$A$3:$A$64,$A99,$D$3:$D$64,$B99)*SUMIF('RES balance'!$D$5:$D$25,'RES Assumptions'!$A99,'RES balance'!L$5:L$25)*IFERROR(VLOOKUP($C99,$C$68:$AH$83,L$67,FALSE),1)</f>
        <v>0</v>
      </c>
      <c r="M99" s="10">
        <f ca="1">SUMIFS(M$3:M$64,$A$3:$A$64,$A99,$D$3:$D$64,$B99)*SUMIF('RES balance'!$D$5:$D$25,'RES Assumptions'!$A99,'RES balance'!M$5:M$25)*IFERROR(VLOOKUP($C99,$C$68:$AH$83,M$67,FALSE),1)</f>
        <v>42.897875071269709</v>
      </c>
      <c r="N99" s="10">
        <f ca="1">SUMIFS(N$3:N$64,$A$3:$A$64,$A99,$D$3:$D$64,$B99)*SUMIF('RES balance'!$D$5:$D$25,'RES Assumptions'!$A99,'RES balance'!N$5:N$25)*IFERROR(VLOOKUP($C99,$C$68:$AH$83,N$67,FALSE),1)</f>
        <v>0</v>
      </c>
      <c r="O99" s="10">
        <f ca="1">SUMIFS(O$3:O$64,$A$3:$A$64,$A99,$D$3:$D$64,$B99)*SUMIF('RES balance'!$D$5:$D$25,'RES Assumptions'!$A99,'RES balance'!O$5:O$25)*IFERROR(VLOOKUP($C99,$C$68:$AH$83,O$67,FALSE),1)</f>
        <v>22.725962230237965</v>
      </c>
      <c r="P99" s="10">
        <f ca="1">SUMIFS(P$3:P$64,$A$3:$A$64,$A99,$D$3:$D$64,$B99)*SUMIF('RES balance'!$D$5:$D$25,'RES Assumptions'!$A99,'RES balance'!P$5:P$25)*IFERROR(VLOOKUP($C99,$C$68:$AH$83,P$67,FALSE),1)</f>
        <v>11.886384491329189</v>
      </c>
      <c r="Q99" s="10">
        <f ca="1">SUMIFS(Q$3:Q$64,$A$3:$A$64,$A99,$D$3:$D$64,$B99)*SUMIF('RES balance'!$D$5:$D$25,'RES Assumptions'!$A99,'RES balance'!Q$5:Q$25)*IFERROR(VLOOKUP($C99,$C$68:$AH$83,Q$67,FALSE),1)</f>
        <v>88.481406180889323</v>
      </c>
      <c r="R99" s="10">
        <f ca="1">SUMIFS(R$3:R$64,$A$3:$A$64,$A99,$D$3:$D$64,$B99)*SUMIF('RES balance'!$D$5:$D$25,'RES Assumptions'!$A99,'RES balance'!R$5:R$25)*IFERROR(VLOOKUP($C99,$C$68:$AH$83,R$67,FALSE),1)</f>
        <v>68.622195906531218</v>
      </c>
      <c r="S99" s="10">
        <f ca="1">SUMIFS(S$3:S$64,$A$3:$A$64,$A99,$D$3:$D$64,$B99)*SUMIF('RES balance'!$D$5:$D$25,'RES Assumptions'!$A99,'RES balance'!S$5:S$25)*IFERROR(VLOOKUP($C99,$C$68:$AH$83,S$67,FALSE),1)</f>
        <v>2.0865277398535462</v>
      </c>
      <c r="T99" s="10">
        <f ca="1">SUMIFS(T$3:T$64,$A$3:$A$64,$A99,$D$3:$D$64,$B99)*SUMIF('RES balance'!$D$5:$D$25,'RES Assumptions'!$A99,'RES balance'!T$5:T$25)*IFERROR(VLOOKUP($C99,$C$68:$AH$83,T$67,FALSE),1)</f>
        <v>52.852786765829457</v>
      </c>
      <c r="U99" s="10">
        <f ca="1">SUMIFS(U$3:U$64,$A$3:$A$64,$A99,$D$3:$D$64,$B99)*SUMIF('RES balance'!$D$5:$D$25,'RES Assumptions'!$A99,'RES balance'!U$5:U$25)*IFERROR(VLOOKUP($C99,$C$68:$AH$83,U$67,FALSE),1)</f>
        <v>24.443052890942479</v>
      </c>
      <c r="V99" s="10">
        <f ca="1">SUMIFS(V$3:V$64,$A$3:$A$64,$A99,$D$3:$D$64,$B99)*SUMIF('RES balance'!$D$5:$D$25,'RES Assumptions'!$A99,'RES balance'!V$5:V$25)*IFERROR(VLOOKUP($C99,$C$68:$AH$83,V$67,FALSE),1)</f>
        <v>116.13462390438544</v>
      </c>
      <c r="W99" s="10">
        <f ca="1">SUMIFS(W$3:W$64,$A$3:$A$64,$A99,$D$3:$D$64,$B99)*SUMIF('RES balance'!$D$5:$D$25,'RES Assumptions'!$A99,'RES balance'!W$5:W$25)*IFERROR(VLOOKUP($C99,$C$68:$AH$83,W$67,FALSE),1)</f>
        <v>379.63036475133464</v>
      </c>
      <c r="X99" s="10">
        <f ca="1">SUMIFS(X$3:X$64,$A$3:$A$64,$A99,$D$3:$D$64,$B99)*SUMIF('RES balance'!$D$5:$D$25,'RES Assumptions'!$A99,'RES balance'!X$5:X$25)*IFERROR(VLOOKUP($C99,$C$68:$AH$83,X$67,FALSE),1)</f>
        <v>0</v>
      </c>
      <c r="Y99" s="10">
        <f ca="1">SUMIFS(Y$3:Y$64,$A$3:$A$64,$A99,$D$3:$D$64,$B99)*SUMIF('RES balance'!$D$5:$D$25,'RES Assumptions'!$A99,'RES balance'!Y$5:Y$25)*IFERROR(VLOOKUP($C99,$C$68:$AH$83,Y$67,FALSE),1)</f>
        <v>3.407152638492332E-2</v>
      </c>
      <c r="Z99" s="10">
        <f ca="1">SUMIFS(Z$3:Z$64,$A$3:$A$64,$A99,$D$3:$D$64,$B99)*SUMIF('RES balance'!$D$5:$D$25,'RES Assumptions'!$A99,'RES balance'!Z$5:Z$25)*IFERROR(VLOOKUP($C99,$C$68:$AH$83,Z$67,FALSE),1)</f>
        <v>0</v>
      </c>
      <c r="AA99" s="10">
        <f ca="1">SUMIFS(AA$3:AA$64,$A$3:$A$64,$A99,$D$3:$D$64,$B99)*SUMIF('RES balance'!$D$5:$D$25,'RES Assumptions'!$A99,'RES balance'!AA$5:AA$25)*IFERROR(VLOOKUP($C99,$C$68:$AH$83,AA$67,FALSE),1)</f>
        <v>9.0564918770027099</v>
      </c>
      <c r="AB99" s="10">
        <f ca="1">SUMIFS(AB$3:AB$64,$A$3:$A$64,$A99,$D$3:$D$64,$B99)*SUMIF('RES balance'!$D$5:$D$25,'RES Assumptions'!$A99,'RES balance'!AB$5:AB$25)*IFERROR(VLOOKUP($C99,$C$68:$AH$83,AB$67,FALSE),1)</f>
        <v>0.31828748022923037</v>
      </c>
      <c r="AC99" s="10">
        <f ca="1">SUMIFS(AC$3:AC$64,$A$3:$A$64,$A99,$D$3:$D$64,$B99)*SUMIF('RES balance'!$D$5:$D$25,'RES Assumptions'!$A99,'RES balance'!AC$5:AC$25)*IFERROR(VLOOKUP($C99,$C$68:$AH$83,AC$67,FALSE),1)</f>
        <v>75.287873309706185</v>
      </c>
      <c r="AD99" s="10">
        <f ca="1">SUMIFS(AD$3:AD$64,$A$3:$A$64,$A99,$D$3:$D$64,$B99)*SUMIF('RES balance'!$D$5:$D$25,'RES Assumptions'!$A99,'RES balance'!AD$5:AD$25)*IFERROR(VLOOKUP($C99,$C$68:$AH$83,AD$67,FALSE),1)</f>
        <v>0</v>
      </c>
      <c r="AE99" s="10">
        <f ca="1">SUMIFS(AE$3:AE$64,$A$3:$A$64,$A99,$D$3:$D$64,$B99)*SUMIF('RES balance'!$D$5:$D$25,'RES Assumptions'!$A99,'RES balance'!AE$5:AE$25)*IFERROR(VLOOKUP($C99,$C$68:$AH$83,AE$67,FALSE),1)</f>
        <v>2.9028224806734006E-3</v>
      </c>
      <c r="AF99" s="10">
        <f ca="1">SUMIFS(AF$3:AF$64,$A$3:$A$64,$A99,$D$3:$D$64,$B99)*SUMIF('RES balance'!$D$5:$D$25,'RES Assumptions'!$A99,'RES balance'!AF$5:AF$25)*IFERROR(VLOOKUP($C99,$C$68:$AH$83,AF$67,FALSE),1)</f>
        <v>5.7296061899428876</v>
      </c>
      <c r="AG99" s="10">
        <f ca="1">SUMIFS(AG$3:AG$64,$A$3:$A$64,$A99,$D$3:$D$64,$B99)*SUMIF('RES balance'!$D$5:$D$25,'RES Assumptions'!$A99,'RES balance'!AG$5:AG$25)*IFERROR(VLOOKUP($C99,$C$68:$AH$83,AG$67,FALSE),1)</f>
        <v>344.59701329938872</v>
      </c>
      <c r="AH99" s="10">
        <f ca="1">SUMIFS(AH$3:AH$64,$A$3:$A$64,$A99,$D$3:$D$64,$B99)*SUMIF('RES balance'!$D$5:$D$25,'RES Assumptions'!$A99,'RES balance'!AH$5:AH$25)*IFERROR(VLOOKUP($C99,$C$68:$AH$83,AH$67,FALSE),1)</f>
        <v>0</v>
      </c>
      <c r="AJ99" s="37" t="s">
        <v>25</v>
      </c>
      <c r="AK99" s="37" t="str">
        <f t="shared" si="25"/>
        <v>HET</v>
      </c>
      <c r="AL99" s="8"/>
      <c r="AM99" s="8"/>
      <c r="AN99" s="8"/>
      <c r="AO99" s="8"/>
    </row>
    <row r="100" spans="1:41" x14ac:dyDescent="0.45">
      <c r="A100" s="8" t="str">
        <f t="shared" si="22"/>
        <v>RESELC</v>
      </c>
      <c r="B100" s="8" t="str">
        <f t="shared" si="23"/>
        <v>RH</v>
      </c>
      <c r="C100" s="48" t="str">
        <f>SUBSTITUTE(SUBSTITUTE(SUBSTITUTE('RES Veda input'!B17,"1",""),"000",""),"RRF","RR")</f>
        <v>RHEHP</v>
      </c>
      <c r="E100" s="10">
        <f ca="1">SUMIFS(E$3:E$64,$A$3:$A$64,$A100,$D$3:$D$64,$B100)*SUMIF('RES balance'!$D$5:$D$25,'RES Assumptions'!$A100,'RES balance'!E$5:E$25)*IFERROR(VLOOKUP($C100,$C$68:$AH$83,E$67,FALSE),1)</f>
        <v>0</v>
      </c>
      <c r="F100" s="10">
        <f ca="1">SUMIFS(F$3:F$64,$A$3:$A$64,$A100,$D$3:$D$64,$B100)*SUMIF('RES balance'!$D$5:$D$25,'RES Assumptions'!$A100,'RES balance'!F$5:F$25)*IFERROR(VLOOKUP($C100,$C$68:$AH$83,F$67,FALSE),1)</f>
        <v>0</v>
      </c>
      <c r="G100" s="10">
        <f ca="1">SUMIFS(G$3:G$64,$A$3:$A$64,$A100,$D$3:$D$64,$B100)*SUMIF('RES balance'!$D$5:$D$25,'RES Assumptions'!$A100,'RES balance'!G$5:G$25)*IFERROR(VLOOKUP($C100,$C$68:$AH$83,G$67,FALSE),1)</f>
        <v>1.3699015167272807E-3</v>
      </c>
      <c r="H100" s="10">
        <f ca="1">SUMIFS(H$3:H$64,$A$3:$A$64,$A100,$D$3:$D$64,$B100)*SUMIF('RES balance'!$D$5:$D$25,'RES Assumptions'!$A100,'RES balance'!H$5:H$25)*IFERROR(VLOOKUP($C100,$C$68:$AH$83,H$67,FALSE),1)</f>
        <v>0.14927597645514676</v>
      </c>
      <c r="I100" s="10">
        <f ca="1">SUMIFS(I$3:I$64,$A$3:$A$64,$A100,$D$3:$D$64,$B100)*SUMIF('RES balance'!$D$5:$D$25,'RES Assumptions'!$A100,'RES balance'!I$5:I$25)*IFERROR(VLOOKUP($C100,$C$68:$AH$83,I$67,FALSE),1)</f>
        <v>74.806631255459337</v>
      </c>
      <c r="J100" s="10">
        <f ca="1">SUMIFS(J$3:J$64,$A$3:$A$64,$A100,$D$3:$D$64,$B100)*SUMIF('RES balance'!$D$5:$D$25,'RES Assumptions'!$A100,'RES balance'!J$5:J$25)*IFERROR(VLOOKUP($C100,$C$68:$AH$83,J$67,FALSE),1)</f>
        <v>0</v>
      </c>
      <c r="K100" s="10">
        <f ca="1">SUMIFS(K$3:K$64,$A$3:$A$64,$A100,$D$3:$D$64,$B100)*SUMIF('RES balance'!$D$5:$D$25,'RES Assumptions'!$A100,'RES balance'!K$5:K$25)*IFERROR(VLOOKUP($C100,$C$68:$AH$83,K$67,FALSE),1)</f>
        <v>1.279251808613225</v>
      </c>
      <c r="L100" s="10">
        <f ca="1">SUMIFS(L$3:L$64,$A$3:$A$64,$A100,$D$3:$D$64,$B100)*SUMIF('RES balance'!$D$5:$D$25,'RES Assumptions'!$A100,'RES balance'!L$5:L$25)*IFERROR(VLOOKUP($C100,$C$68:$AH$83,L$67,FALSE),1)</f>
        <v>3.4404926636931433E-3</v>
      </c>
      <c r="M100" s="10">
        <f ca="1">SUMIFS(M$3:M$64,$A$3:$A$64,$A100,$D$3:$D$64,$B100)*SUMIF('RES balance'!$D$5:$D$25,'RES Assumptions'!$A100,'RES balance'!M$5:M$25)*IFERROR(VLOOKUP($C100,$C$68:$AH$83,M$67,FALSE),1)</f>
        <v>12.778000926582999</v>
      </c>
      <c r="N100" s="10">
        <f ca="1">SUMIFS(N$3:N$64,$A$3:$A$64,$A100,$D$3:$D$64,$B100)*SUMIF('RES balance'!$D$5:$D$25,'RES Assumptions'!$A100,'RES balance'!N$5:N$25)*IFERROR(VLOOKUP($C100,$C$68:$AH$83,N$67,FALSE),1)</f>
        <v>22.451604717787237</v>
      </c>
      <c r="O100" s="10">
        <f ca="1">SUMIFS(O$3:O$64,$A$3:$A$64,$A100,$D$3:$D$64,$B100)*SUMIF('RES balance'!$D$5:$D$25,'RES Assumptions'!$A100,'RES balance'!O$5:O$25)*IFERROR(VLOOKUP($C100,$C$68:$AH$83,O$67,FALSE),1)</f>
        <v>6.803524712951714</v>
      </c>
      <c r="P100" s="10">
        <f ca="1">SUMIFS(P$3:P$64,$A$3:$A$64,$A100,$D$3:$D$64,$B100)*SUMIF('RES balance'!$D$5:$D$25,'RES Assumptions'!$A100,'RES balance'!P$5:P$25)*IFERROR(VLOOKUP($C100,$C$68:$AH$83,P$67,FALSE),1)</f>
        <v>1.0739020211253736</v>
      </c>
      <c r="Q100" s="10">
        <f ca="1">SUMIFS(Q$3:Q$64,$A$3:$A$64,$A100,$D$3:$D$64,$B100)*SUMIF('RES balance'!$D$5:$D$25,'RES Assumptions'!$A100,'RES balance'!Q$5:Q$25)*IFERROR(VLOOKUP($C100,$C$68:$AH$83,Q$67,FALSE),1)</f>
        <v>4.5103049166664313</v>
      </c>
      <c r="R100" s="10">
        <f ca="1">SUMIFS(R$3:R$64,$A$3:$A$64,$A100,$D$3:$D$64,$B100)*SUMIF('RES balance'!$D$5:$D$25,'RES Assumptions'!$A100,'RES balance'!R$5:R$25)*IFERROR(VLOOKUP($C100,$C$68:$AH$83,R$67,FALSE),1)</f>
        <v>7.5978617884387454</v>
      </c>
      <c r="S100" s="10">
        <f ca="1">SUMIFS(S$3:S$64,$A$3:$A$64,$A100,$D$3:$D$64,$B100)*SUMIF('RES balance'!$D$5:$D$25,'RES Assumptions'!$A100,'RES balance'!S$5:S$25)*IFERROR(VLOOKUP($C100,$C$68:$AH$83,S$67,FALSE),1)</f>
        <v>0.64474023460101515</v>
      </c>
      <c r="T100" s="10">
        <f ca="1">SUMIFS(T$3:T$64,$A$3:$A$64,$A100,$D$3:$D$64,$B100)*SUMIF('RES balance'!$D$5:$D$25,'RES Assumptions'!$A100,'RES balance'!T$5:T$25)*IFERROR(VLOOKUP($C100,$C$68:$AH$83,T$67,FALSE),1)</f>
        <v>7.6519122466577381</v>
      </c>
      <c r="U100" s="10">
        <f ca="1">SUMIFS(U$3:U$64,$A$3:$A$64,$A100,$D$3:$D$64,$B100)*SUMIF('RES balance'!$D$5:$D$25,'RES Assumptions'!$A100,'RES balance'!U$5:U$25)*IFERROR(VLOOKUP($C100,$C$68:$AH$83,U$67,FALSE),1)</f>
        <v>0.91109747441497724</v>
      </c>
      <c r="V100" s="10">
        <f ca="1">SUMIFS(V$3:V$64,$A$3:$A$64,$A100,$D$3:$D$64,$B100)*SUMIF('RES balance'!$D$5:$D$25,'RES Assumptions'!$A100,'RES balance'!V$5:V$25)*IFERROR(VLOOKUP($C100,$C$68:$AH$83,V$67,FALSE),1)</f>
        <v>14.177697765144627</v>
      </c>
      <c r="W100" s="10">
        <f ca="1">SUMIFS(W$3:W$64,$A$3:$A$64,$A100,$D$3:$D$64,$B100)*SUMIF('RES balance'!$D$5:$D$25,'RES Assumptions'!$A100,'RES balance'!W$5:W$25)*IFERROR(VLOOKUP($C100,$C$68:$AH$83,W$67,FALSE),1)</f>
        <v>11.232208611543262</v>
      </c>
      <c r="X100" s="10">
        <f ca="1">SUMIFS(X$3:X$64,$A$3:$A$64,$A100,$D$3:$D$64,$B100)*SUMIF('RES balance'!$D$5:$D$25,'RES Assumptions'!$A100,'RES balance'!X$5:X$25)*IFERROR(VLOOKUP($C100,$C$68:$AH$83,X$67,FALSE),1)</f>
        <v>0</v>
      </c>
      <c r="Y100" s="10">
        <f ca="1">SUMIFS(Y$3:Y$64,$A$3:$A$64,$A100,$D$3:$D$64,$B100)*SUMIF('RES balance'!$D$5:$D$25,'RES Assumptions'!$A100,'RES balance'!Y$5:Y$25)*IFERROR(VLOOKUP($C100,$C$68:$AH$83,Y$67,FALSE),1)</f>
        <v>2.7485375413420373E-3</v>
      </c>
      <c r="Z100" s="10">
        <f ca="1">SUMIFS(Z$3:Z$64,$A$3:$A$64,$A100,$D$3:$D$64,$B100)*SUMIF('RES balance'!$D$5:$D$25,'RES Assumptions'!$A100,'RES balance'!Z$5:Z$25)*IFERROR(VLOOKUP($C100,$C$68:$AH$83,Z$67,FALSE),1)</f>
        <v>1.1143209090866208</v>
      </c>
      <c r="AA100" s="10">
        <f ca="1">SUMIFS(AA$3:AA$64,$A$3:$A$64,$A100,$D$3:$D$64,$B100)*SUMIF('RES balance'!$D$5:$D$25,'RES Assumptions'!$A100,'RES balance'!AA$5:AA$25)*IFERROR(VLOOKUP($C100,$C$68:$AH$83,AA$67,FALSE),1)</f>
        <v>1.6575989213388302</v>
      </c>
      <c r="AB100" s="10">
        <f ca="1">SUMIFS(AB$3:AB$64,$A$3:$A$64,$A100,$D$3:$D$64,$B100)*SUMIF('RES balance'!$D$5:$D$25,'RES Assumptions'!$A100,'RES balance'!AB$5:AB$25)*IFERROR(VLOOKUP($C100,$C$68:$AH$83,AB$67,FALSE),1)</f>
        <v>3.6344230093971528</v>
      </c>
      <c r="AC100" s="10">
        <f ca="1">SUMIFS(AC$3:AC$64,$A$3:$A$64,$A100,$D$3:$D$64,$B100)*SUMIF('RES balance'!$D$5:$D$25,'RES Assumptions'!$A100,'RES balance'!AC$5:AC$25)*IFERROR(VLOOKUP($C100,$C$68:$AH$83,AC$67,FALSE),1)</f>
        <v>0.4200413188592399</v>
      </c>
      <c r="AD100" s="10">
        <f ca="1">SUMIFS(AD$3:AD$64,$A$3:$A$64,$A100,$D$3:$D$64,$B100)*SUMIF('RES balance'!$D$5:$D$25,'RES Assumptions'!$A100,'RES balance'!AD$5:AD$25)*IFERROR(VLOOKUP($C100,$C$68:$AH$83,AD$67,FALSE),1)</f>
        <v>0.79584782085905448</v>
      </c>
      <c r="AE100" s="10">
        <f ca="1">SUMIFS(AE$3:AE$64,$A$3:$A$64,$A100,$D$3:$D$64,$B100)*SUMIF('RES balance'!$D$5:$D$25,'RES Assumptions'!$A100,'RES balance'!AE$5:AE$25)*IFERROR(VLOOKUP($C100,$C$68:$AH$83,AE$67,FALSE),1)</f>
        <v>0</v>
      </c>
      <c r="AF100" s="10">
        <f ca="1">SUMIFS(AF$3:AF$64,$A$3:$A$64,$A100,$D$3:$D$64,$B100)*SUMIF('RES balance'!$D$5:$D$25,'RES Assumptions'!$A100,'RES balance'!AF$5:AF$25)*IFERROR(VLOOKUP($C100,$C$68:$AH$83,AF$67,FALSE),1)</f>
        <v>9.2159930907292331</v>
      </c>
      <c r="AG100" s="10">
        <f ca="1">SUMIFS(AG$3:AG$64,$A$3:$A$64,$A100,$D$3:$D$64,$B100)*SUMIF('RES balance'!$D$5:$D$25,'RES Assumptions'!$A100,'RES balance'!AG$5:AG$25)*IFERROR(VLOOKUP($C100,$C$68:$AH$83,AG$67,FALSE),1)</f>
        <v>121.28944284559678</v>
      </c>
      <c r="AH100" s="10">
        <f ca="1">SUMIFS(AH$3:AH$64,$A$3:$A$64,$A100,$D$3:$D$64,$B100)*SUMIF('RES balance'!$D$5:$D$25,'RES Assumptions'!$A100,'RES balance'!AH$5:AH$25)*IFERROR(VLOOKUP($C100,$C$68:$AH$83,AH$67,FALSE),1)</f>
        <v>0</v>
      </c>
      <c r="AJ100" s="37" t="s">
        <v>23</v>
      </c>
      <c r="AK100" s="37" t="str">
        <f t="shared" si="25"/>
        <v>HFO</v>
      </c>
      <c r="AL100" s="8"/>
      <c r="AM100" s="8"/>
      <c r="AN100" s="8"/>
      <c r="AO100" s="8"/>
    </row>
    <row r="101" spans="1:41" x14ac:dyDescent="0.45">
      <c r="A101" s="8" t="str">
        <f t="shared" si="22"/>
        <v>RESELC</v>
      </c>
      <c r="B101" s="8" t="str">
        <f t="shared" si="23"/>
        <v>RH</v>
      </c>
      <c r="C101" s="48" t="str">
        <f>SUBSTITUTE(SUBSTITUTE(SUBSTITUTE('RES Veda input'!B18,"1",""),"000",""),"RRF","RR")</f>
        <v>RHERS</v>
      </c>
      <c r="E101" s="10">
        <f ca="1">SUMIFS(E$3:E$64,$A$3:$A$64,$A101,$D$3:$D$64,$B101)*SUMIF('RES balance'!$D$5:$D$25,'RES Assumptions'!$A101,'RES balance'!E$5:E$25)*IFERROR(VLOOKUP($C101,$C$68:$AH$83,E$67,FALSE),1)</f>
        <v>0</v>
      </c>
      <c r="F101" s="10">
        <f ca="1">SUMIFS(F$3:F$64,$A$3:$A$64,$A101,$D$3:$D$64,$B101)*SUMIF('RES balance'!$D$5:$D$25,'RES Assumptions'!$A101,'RES balance'!F$5:F$25)*IFERROR(VLOOKUP($C101,$C$68:$AH$83,F$67,FALSE),1)</f>
        <v>0</v>
      </c>
      <c r="G101" s="10">
        <f ca="1">SUMIFS(G$3:G$64,$A$3:$A$64,$A101,$D$3:$D$64,$B101)*SUMIF('RES balance'!$D$5:$D$25,'RES Assumptions'!$A101,'RES balance'!G$5:G$25)*IFERROR(VLOOKUP($C101,$C$68:$AH$83,G$67,FALSE),1)</f>
        <v>1.3685316152105536</v>
      </c>
      <c r="H101" s="10">
        <f ca="1">SUMIFS(H$3:H$64,$A$3:$A$64,$A101,$D$3:$D$64,$B101)*SUMIF('RES balance'!$D$5:$D$25,'RES Assumptions'!$A101,'RES balance'!H$5:H$25)*IFERROR(VLOOKUP($C101,$C$68:$AH$83,H$67,FALSE),1)</f>
        <v>14.77832166905953</v>
      </c>
      <c r="I101" s="10">
        <f ca="1">SUMIFS(I$3:I$64,$A$3:$A$64,$A101,$D$3:$D$64,$B101)*SUMIF('RES balance'!$D$5:$D$25,'RES Assumptions'!$A101,'RES balance'!I$5:I$25)*IFERROR(VLOOKUP($C101,$C$68:$AH$83,I$67,FALSE),1)</f>
        <v>91.430327090005861</v>
      </c>
      <c r="J101" s="10">
        <f ca="1">SUMIFS(J$3:J$64,$A$3:$A$64,$A101,$D$3:$D$64,$B101)*SUMIF('RES balance'!$D$5:$D$25,'RES Assumptions'!$A101,'RES balance'!J$5:J$25)*IFERROR(VLOOKUP($C101,$C$68:$AH$83,J$67,FALSE),1)</f>
        <v>0</v>
      </c>
      <c r="K101" s="10">
        <f ca="1">SUMIFS(K$3:K$64,$A$3:$A$64,$A101,$D$3:$D$64,$B101)*SUMIF('RES balance'!$D$5:$D$25,'RES Assumptions'!$A101,'RES balance'!K$5:K$25)*IFERROR(VLOOKUP($C101,$C$68:$AH$83,K$67,FALSE),1)</f>
        <v>24.305784363651274</v>
      </c>
      <c r="L101" s="10">
        <f ca="1">SUMIFS(L$3:L$64,$A$3:$A$64,$A101,$D$3:$D$64,$B101)*SUMIF('RES balance'!$D$5:$D$25,'RES Assumptions'!$A101,'RES balance'!L$5:L$25)*IFERROR(VLOOKUP($C101,$C$68:$AH$83,L$67,FALSE),1)</f>
        <v>3.4370521710294497</v>
      </c>
      <c r="M101" s="10">
        <f ca="1">SUMIFS(M$3:M$64,$A$3:$A$64,$A101,$D$3:$D$64,$B101)*SUMIF('RES balance'!$D$5:$D$25,'RES Assumptions'!$A101,'RES balance'!M$5:M$25)*IFERROR(VLOOKUP($C101,$C$68:$AH$83,M$67,FALSE),1)</f>
        <v>242.78201760507696</v>
      </c>
      <c r="N101" s="10">
        <f ca="1">SUMIFS(N$3:N$64,$A$3:$A$64,$A101,$D$3:$D$64,$B101)*SUMIF('RES balance'!$D$5:$D$25,'RES Assumptions'!$A101,'RES balance'!N$5:N$25)*IFERROR(VLOOKUP($C101,$C$68:$AH$83,N$67,FALSE),1)</f>
        <v>213.75675633205213</v>
      </c>
      <c r="O101" s="10">
        <f ca="1">SUMIFS(O$3:O$64,$A$3:$A$64,$A101,$D$3:$D$64,$B101)*SUMIF('RES balance'!$D$5:$D$25,'RES Assumptions'!$A101,'RES balance'!O$5:O$25)*IFERROR(VLOOKUP($C101,$C$68:$AH$83,O$67,FALSE),1)</f>
        <v>35.718504742996501</v>
      </c>
      <c r="P101" s="10">
        <f ca="1">SUMIFS(P$3:P$64,$A$3:$A$64,$A101,$D$3:$D$64,$B101)*SUMIF('RES balance'!$D$5:$D$25,'RES Assumptions'!$A101,'RES balance'!P$5:P$25)*IFERROR(VLOOKUP($C101,$C$68:$AH$83,P$67,FALSE),1)</f>
        <v>20.404138401382095</v>
      </c>
      <c r="Q101" s="10">
        <f ca="1">SUMIFS(Q$3:Q$64,$A$3:$A$64,$A101,$D$3:$D$64,$B101)*SUMIF('RES balance'!$D$5:$D$25,'RES Assumptions'!$A101,'RES balance'!Q$5:Q$25)*IFERROR(VLOOKUP($C101,$C$68:$AH$83,Q$67,FALSE),1)</f>
        <v>23.679100812498763</v>
      </c>
      <c r="R101" s="10">
        <f ca="1">SUMIFS(R$3:R$64,$A$3:$A$64,$A101,$D$3:$D$64,$B101)*SUMIF('RES balance'!$D$5:$D$25,'RES Assumptions'!$A101,'RES balance'!R$5:R$25)*IFERROR(VLOOKUP($C101,$C$68:$AH$83,R$67,FALSE),1)</f>
        <v>39.888774389303407</v>
      </c>
      <c r="S101" s="10">
        <f ca="1">SUMIFS(S$3:S$64,$A$3:$A$64,$A101,$D$3:$D$64,$B101)*SUMIF('RES balance'!$D$5:$D$25,'RES Assumptions'!$A101,'RES balance'!S$5:S$25)*IFERROR(VLOOKUP($C101,$C$68:$AH$83,S$67,FALSE),1)</f>
        <v>12.250064457419285</v>
      </c>
      <c r="T101" s="10">
        <f ca="1">SUMIFS(T$3:T$64,$A$3:$A$64,$A101,$D$3:$D$64,$B101)*SUMIF('RES balance'!$D$5:$D$25,'RES Assumptions'!$A101,'RES balance'!T$5:T$25)*IFERROR(VLOOKUP($C101,$C$68:$AH$83,T$67,FALSE),1)</f>
        <v>40.172539294953125</v>
      </c>
      <c r="U101" s="10">
        <f ca="1">SUMIFS(U$3:U$64,$A$3:$A$64,$A101,$D$3:$D$64,$B101)*SUMIF('RES balance'!$D$5:$D$25,'RES Assumptions'!$A101,'RES balance'!U$5:U$25)*IFERROR(VLOOKUP($C101,$C$68:$AH$83,U$67,FALSE),1)</f>
        <v>8.1998772697347952</v>
      </c>
      <c r="V101" s="10">
        <f ca="1">SUMIFS(V$3:V$64,$A$3:$A$64,$A101,$D$3:$D$64,$B101)*SUMIF('RES balance'!$D$5:$D$25,'RES Assumptions'!$A101,'RES balance'!V$5:V$25)*IFERROR(VLOOKUP($C101,$C$68:$AH$83,V$67,FALSE),1)</f>
        <v>74.432913267009283</v>
      </c>
      <c r="W101" s="10">
        <f ca="1">SUMIFS(W$3:W$64,$A$3:$A$64,$A101,$D$3:$D$64,$B101)*SUMIF('RES balance'!$D$5:$D$25,'RES Assumptions'!$A101,'RES balance'!W$5:W$25)*IFERROR(VLOOKUP($C101,$C$68:$AH$83,W$67,FALSE),1)</f>
        <v>58.969095210602127</v>
      </c>
      <c r="X101" s="10">
        <f ca="1">SUMIFS(X$3:X$64,$A$3:$A$64,$A101,$D$3:$D$64,$B101)*SUMIF('RES balance'!$D$5:$D$25,'RES Assumptions'!$A101,'RES balance'!X$5:X$25)*IFERROR(VLOOKUP($C101,$C$68:$AH$83,X$67,FALSE),1)</f>
        <v>0</v>
      </c>
      <c r="Y101" s="10">
        <f ca="1">SUMIFS(Y$3:Y$64,$A$3:$A$64,$A101,$D$3:$D$64,$B101)*SUMIF('RES balance'!$D$5:$D$25,'RES Assumptions'!$A101,'RES balance'!Y$5:Y$25)*IFERROR(VLOOKUP($C101,$C$68:$AH$83,Y$67,FALSE),1)</f>
        <v>2.7457890038006951</v>
      </c>
      <c r="Z101" s="10">
        <f ca="1">SUMIFS(Z$3:Z$64,$A$3:$A$64,$A101,$D$3:$D$64,$B101)*SUMIF('RES balance'!$D$5:$D$25,'RES Assumptions'!$A101,'RES balance'!Z$5:Z$25)*IFERROR(VLOOKUP($C101,$C$68:$AH$83,Z$67,FALSE),1)</f>
        <v>5.8501847727047585</v>
      </c>
      <c r="AA101" s="10">
        <f ca="1">SUMIFS(AA$3:AA$64,$A$3:$A$64,$A101,$D$3:$D$64,$B101)*SUMIF('RES balance'!$D$5:$D$25,'RES Assumptions'!$A101,'RES balance'!AA$5:AA$25)*IFERROR(VLOOKUP($C101,$C$68:$AH$83,AA$67,FALSE),1)</f>
        <v>14.918390292049471</v>
      </c>
      <c r="AB101" s="10">
        <f ca="1">SUMIFS(AB$3:AB$64,$A$3:$A$64,$A101,$D$3:$D$64,$B101)*SUMIF('RES balance'!$D$5:$D$25,'RES Assumptions'!$A101,'RES balance'!AB$5:AB$25)*IFERROR(VLOOKUP($C101,$C$68:$AH$83,AB$67,FALSE),1)</f>
        <v>19.080720799335051</v>
      </c>
      <c r="AC101" s="10">
        <f ca="1">SUMIFS(AC$3:AC$64,$A$3:$A$64,$A101,$D$3:$D$64,$B101)*SUMIF('RES balance'!$D$5:$D$25,'RES Assumptions'!$A101,'RES balance'!AC$5:AC$25)*IFERROR(VLOOKUP($C101,$C$68:$AH$83,AC$67,FALSE),1)</f>
        <v>41.584090567064749</v>
      </c>
      <c r="AD101" s="10">
        <f ca="1">SUMIFS(AD$3:AD$64,$A$3:$A$64,$A101,$D$3:$D$64,$B101)*SUMIF('RES balance'!$D$5:$D$25,'RES Assumptions'!$A101,'RES balance'!AD$5:AD$25)*IFERROR(VLOOKUP($C101,$C$68:$AH$83,AD$67,FALSE),1)</f>
        <v>7.1626303877314896</v>
      </c>
      <c r="AE101" s="10">
        <f ca="1">SUMIFS(AE$3:AE$64,$A$3:$A$64,$A101,$D$3:$D$64,$B101)*SUMIF('RES balance'!$D$5:$D$25,'RES Assumptions'!$A101,'RES balance'!AE$5:AE$25)*IFERROR(VLOOKUP($C101,$C$68:$AH$83,AE$67,FALSE),1)</f>
        <v>0</v>
      </c>
      <c r="AF101" s="10">
        <f ca="1">SUMIFS(AF$3:AF$64,$A$3:$A$64,$A101,$D$3:$D$64,$B101)*SUMIF('RES balance'!$D$5:$D$25,'RES Assumptions'!$A101,'RES balance'!AF$5:AF$25)*IFERROR(VLOOKUP($C101,$C$68:$AH$83,AF$67,FALSE),1)</f>
        <v>48.383963726328474</v>
      </c>
      <c r="AG101" s="10">
        <f ca="1">SUMIFS(AG$3:AG$64,$A$3:$A$64,$A101,$D$3:$D$64,$B101)*SUMIF('RES balance'!$D$5:$D$25,'RES Assumptions'!$A101,'RES balance'!AG$5:AG$25)*IFERROR(VLOOKUP($C101,$C$68:$AH$83,AG$67,FALSE),1)</f>
        <v>301.56242240356573</v>
      </c>
      <c r="AH101" s="10">
        <f ca="1">SUMIFS(AH$3:AH$64,$A$3:$A$64,$A101,$D$3:$D$64,$B101)*SUMIF('RES balance'!$D$5:$D$25,'RES Assumptions'!$A101,'RES balance'!AH$5:AH$25)*IFERROR(VLOOKUP($C101,$C$68:$AH$83,AH$67,FALSE),1)</f>
        <v>0</v>
      </c>
      <c r="AJ101" s="37" t="s">
        <v>187</v>
      </c>
      <c r="AK101" s="37" t="s">
        <v>18</v>
      </c>
      <c r="AL101" s="8"/>
      <c r="AM101" s="8"/>
      <c r="AN101" s="8"/>
      <c r="AO101" s="8"/>
    </row>
    <row r="102" spans="1:41" x14ac:dyDescent="0.45">
      <c r="A102" s="8" t="str">
        <f t="shared" si="22"/>
        <v>RESGEO</v>
      </c>
      <c r="B102" s="8" t="str">
        <f t="shared" si="23"/>
        <v>RH</v>
      </c>
      <c r="C102" s="48" t="str">
        <f>SUBSTITUTE(SUBSTITUTE(SUBSTITUTE('RES Veda input'!B19,"1",""),"000",""),"RRF","RR")</f>
        <v>RHGEO</v>
      </c>
      <c r="E102" s="10">
        <f ca="1">SUMIFS(E$3:E$64,$A$3:$A$64,$A102,$D$3:$D$64,$B102)*SUMIF('RES balance'!$D$5:$D$25,'RES Assumptions'!$A102,'RES balance'!E$5:E$25)*IFERROR(VLOOKUP($C102,$C$68:$AH$83,E$67,FALSE),1)</f>
        <v>0</v>
      </c>
      <c r="F102" s="10">
        <f ca="1">SUMIFS(F$3:F$64,$A$3:$A$64,$A102,$D$3:$D$64,$B102)*SUMIF('RES balance'!$D$5:$D$25,'RES Assumptions'!$A102,'RES balance'!F$5:F$25)*IFERROR(VLOOKUP($C102,$C$68:$AH$83,F$67,FALSE),1)</f>
        <v>0</v>
      </c>
      <c r="G102" s="10">
        <f ca="1">SUMIFS(G$3:G$64,$A$3:$A$64,$A102,$D$3:$D$64,$B102)*SUMIF('RES balance'!$D$5:$D$25,'RES Assumptions'!$A102,'RES balance'!G$5:G$25)*IFERROR(VLOOKUP($C102,$C$68:$AH$83,G$67,FALSE),1)</f>
        <v>0</v>
      </c>
      <c r="H102" s="10">
        <f ca="1">SUMIFS(H$3:H$64,$A$3:$A$64,$A102,$D$3:$D$64,$B102)*SUMIF('RES balance'!$D$5:$D$25,'RES Assumptions'!$A102,'RES balance'!H$5:H$25)*IFERROR(VLOOKUP($C102,$C$68:$AH$83,H$67,FALSE),1)</f>
        <v>0.26520028559999997</v>
      </c>
      <c r="I102" s="10">
        <f ca="1">SUMIFS(I$3:I$64,$A$3:$A$64,$A102,$D$3:$D$64,$B102)*SUMIF('RES balance'!$D$5:$D$25,'RES Assumptions'!$A102,'RES balance'!I$5:I$25)*IFERROR(VLOOKUP($C102,$C$68:$AH$83,I$67,FALSE),1)</f>
        <v>3.9808889891999999</v>
      </c>
      <c r="J102" s="10">
        <f ca="1">SUMIFS(J$3:J$64,$A$3:$A$64,$A102,$D$3:$D$64,$B102)*SUMIF('RES balance'!$D$5:$D$25,'RES Assumptions'!$A102,'RES balance'!J$5:J$25)*IFERROR(VLOOKUP($C102,$C$68:$AH$83,J$67,FALSE),1)</f>
        <v>0</v>
      </c>
      <c r="K102" s="10">
        <f ca="1">SUMIFS(K$3:K$64,$A$3:$A$64,$A102,$D$3:$D$64,$B102)*SUMIF('RES balance'!$D$5:$D$25,'RES Assumptions'!$A102,'RES balance'!K$5:K$25)*IFERROR(VLOOKUP($C102,$C$68:$AH$83,K$67,FALSE),1)</f>
        <v>0.20900086919999999</v>
      </c>
      <c r="L102" s="10">
        <f ca="1">SUMIFS(L$3:L$64,$A$3:$A$64,$A102,$D$3:$D$64,$B102)*SUMIF('RES balance'!$D$5:$D$25,'RES Assumptions'!$A102,'RES balance'!L$5:L$25)*IFERROR(VLOOKUP($C102,$C$68:$AH$83,L$67,FALSE),1)</f>
        <v>0</v>
      </c>
      <c r="M102" s="10">
        <f ca="1">SUMIFS(M$3:M$64,$A$3:$A$64,$A102,$D$3:$D$64,$B102)*SUMIF('RES balance'!$D$5:$D$25,'RES Assumptions'!$A102,'RES balance'!M$5:M$25)*IFERROR(VLOOKUP($C102,$C$68:$AH$83,M$67,FALSE),1)</f>
        <v>0</v>
      </c>
      <c r="N102" s="10">
        <f ca="1">SUMIFS(N$3:N$64,$A$3:$A$64,$A102,$D$3:$D$64,$B102)*SUMIF('RES balance'!$D$5:$D$25,'RES Assumptions'!$A102,'RES balance'!N$5:N$25)*IFERROR(VLOOKUP($C102,$C$68:$AH$83,N$67,FALSE),1)</f>
        <v>569.20048415999997</v>
      </c>
      <c r="O102" s="10">
        <f ca="1">SUMIFS(O$3:O$64,$A$3:$A$64,$A102,$D$3:$D$64,$B102)*SUMIF('RES balance'!$D$5:$D$25,'RES Assumptions'!$A102,'RES balance'!O$5:O$25)*IFERROR(VLOOKUP($C102,$C$68:$AH$83,O$67,FALSE),1)</f>
        <v>0</v>
      </c>
      <c r="P102" s="10">
        <f ca="1">SUMIFS(P$3:P$64,$A$3:$A$64,$A102,$D$3:$D$64,$B102)*SUMIF('RES balance'!$D$5:$D$25,'RES Assumptions'!$A102,'RES balance'!P$5:P$25)*IFERROR(VLOOKUP($C102,$C$68:$AH$83,P$67,FALSE),1)</f>
        <v>0.78779666159999995</v>
      </c>
      <c r="Q102" s="10">
        <f ca="1">SUMIFS(Q$3:Q$64,$A$3:$A$64,$A102,$D$3:$D$64,$B102)*SUMIF('RES balance'!$D$5:$D$25,'RES Assumptions'!$A102,'RES balance'!Q$5:Q$25)*IFERROR(VLOOKUP($C102,$C$68:$AH$83,Q$67,FALSE),1)</f>
        <v>0</v>
      </c>
      <c r="R102" s="10">
        <f ca="1">SUMIFS(R$3:R$64,$A$3:$A$64,$A102,$D$3:$D$64,$B102)*SUMIF('RES balance'!$D$5:$D$25,'RES Assumptions'!$A102,'RES balance'!R$5:R$25)*IFERROR(VLOOKUP($C102,$C$68:$AH$83,R$67,FALSE),1)</f>
        <v>3.9875083200000001E-2</v>
      </c>
      <c r="S102" s="10">
        <f ca="1">SUMIFS(S$3:S$64,$A$3:$A$64,$A102,$D$3:$D$64,$B102)*SUMIF('RES balance'!$D$5:$D$25,'RES Assumptions'!$A102,'RES balance'!S$5:S$25)*IFERROR(VLOOKUP($C102,$C$68:$AH$83,S$67,FALSE),1)</f>
        <v>0.1491380028</v>
      </c>
      <c r="T102" s="10">
        <f ca="1">SUMIFS(T$3:T$64,$A$3:$A$64,$A102,$D$3:$D$64,$B102)*SUMIF('RES balance'!$D$5:$D$25,'RES Assumptions'!$A102,'RES balance'!T$5:T$25)*IFERROR(VLOOKUP($C102,$C$68:$AH$83,T$67,FALSE),1)</f>
        <v>3.8686032E-3</v>
      </c>
      <c r="U102" s="10">
        <f ca="1">SUMIFS(U$3:U$64,$A$3:$A$64,$A102,$D$3:$D$64,$B102)*SUMIF('RES balance'!$D$5:$D$25,'RES Assumptions'!$A102,'RES balance'!U$5:U$25)*IFERROR(VLOOKUP($C102,$C$68:$AH$83,U$67,FALSE),1)</f>
        <v>55.558835999999999</v>
      </c>
      <c r="V102" s="10">
        <f ca="1">SUMIFS(V$3:V$64,$A$3:$A$64,$A102,$D$3:$D$64,$B102)*SUMIF('RES balance'!$D$5:$D$25,'RES Assumptions'!$A102,'RES balance'!V$5:V$25)*IFERROR(VLOOKUP($C102,$C$68:$AH$83,V$67,FALSE),1)</f>
        <v>0</v>
      </c>
      <c r="W102" s="10">
        <f ca="1">SUMIFS(W$3:W$64,$A$3:$A$64,$A102,$D$3:$D$64,$B102)*SUMIF('RES balance'!$D$5:$D$25,'RES Assumptions'!$A102,'RES balance'!W$5:W$25)*IFERROR(VLOOKUP($C102,$C$68:$AH$83,W$67,FALSE),1)</f>
        <v>1.0600014635999999</v>
      </c>
      <c r="X102" s="10">
        <f ca="1">SUMIFS(X$3:X$64,$A$3:$A$64,$A102,$D$3:$D$64,$B102)*SUMIF('RES balance'!$D$5:$D$25,'RES Assumptions'!$A102,'RES balance'!X$5:X$25)*IFERROR(VLOOKUP($C102,$C$68:$AH$83,X$67,FALSE),1)</f>
        <v>0</v>
      </c>
      <c r="Y102" s="10">
        <f ca="1">SUMIFS(Y$3:Y$64,$A$3:$A$64,$A102,$D$3:$D$64,$B102)*SUMIF('RES balance'!$D$5:$D$25,'RES Assumptions'!$A102,'RES balance'!Y$5:Y$25)*IFERROR(VLOOKUP($C102,$C$68:$AH$83,Y$67,FALSE),1)</f>
        <v>0</v>
      </c>
      <c r="Z102" s="10">
        <f ca="1">SUMIFS(Z$3:Z$64,$A$3:$A$64,$A102,$D$3:$D$64,$B102)*SUMIF('RES balance'!$D$5:$D$25,'RES Assumptions'!$A102,'RES balance'!Z$5:Z$25)*IFERROR(VLOOKUP($C102,$C$68:$AH$83,Z$67,FALSE),1)</f>
        <v>0</v>
      </c>
      <c r="AA102" s="10">
        <f ca="1">SUMIFS(AA$3:AA$64,$A$3:$A$64,$A102,$D$3:$D$64,$B102)*SUMIF('RES balance'!$D$5:$D$25,'RES Assumptions'!$A102,'RES balance'!AA$5:AA$25)*IFERROR(VLOOKUP($C102,$C$68:$AH$83,AA$67,FALSE),1)</f>
        <v>0</v>
      </c>
      <c r="AB102" s="10">
        <f ca="1">SUMIFS(AB$3:AB$64,$A$3:$A$64,$A102,$D$3:$D$64,$B102)*SUMIF('RES balance'!$D$5:$D$25,'RES Assumptions'!$A102,'RES balance'!AB$5:AB$25)*IFERROR(VLOOKUP($C102,$C$68:$AH$83,AB$67,FALSE),1)</f>
        <v>0.49400053199999999</v>
      </c>
      <c r="AC102" s="10">
        <f ca="1">SUMIFS(AC$3:AC$64,$A$3:$A$64,$A102,$D$3:$D$64,$B102)*SUMIF('RES balance'!$D$5:$D$25,'RES Assumptions'!$A102,'RES balance'!AC$5:AC$25)*IFERROR(VLOOKUP($C102,$C$68:$AH$83,AC$67,FALSE),1)</f>
        <v>0</v>
      </c>
      <c r="AD102" s="10">
        <f ca="1">SUMIFS(AD$3:AD$64,$A$3:$A$64,$A102,$D$3:$D$64,$B102)*SUMIF('RES balance'!$D$5:$D$25,'RES Assumptions'!$A102,'RES balance'!AD$5:AD$25)*IFERROR(VLOOKUP($C102,$C$68:$AH$83,AD$67,FALSE),1)</f>
        <v>0</v>
      </c>
      <c r="AE102" s="10">
        <f ca="1">SUMIFS(AE$3:AE$64,$A$3:$A$64,$A102,$D$3:$D$64,$B102)*SUMIF('RES balance'!$D$5:$D$25,'RES Assumptions'!$A102,'RES balance'!AE$5:AE$25)*IFERROR(VLOOKUP($C102,$C$68:$AH$83,AE$67,FALSE),1)</f>
        <v>0</v>
      </c>
      <c r="AF102" s="10">
        <f ca="1">SUMIFS(AF$3:AF$64,$A$3:$A$64,$A102,$D$3:$D$64,$B102)*SUMIF('RES balance'!$D$5:$D$25,'RES Assumptions'!$A102,'RES balance'!AF$5:AF$25)*IFERROR(VLOOKUP($C102,$C$68:$AH$83,AF$67,FALSE),1)</f>
        <v>1.6998408E-2</v>
      </c>
      <c r="AG102" s="10">
        <f ca="1">SUMIFS(AG$3:AG$64,$A$3:$A$64,$A102,$D$3:$D$64,$B102)*SUMIF('RES balance'!$D$5:$D$25,'RES Assumptions'!$A102,'RES balance'!AG$5:AG$25)*IFERROR(VLOOKUP($C102,$C$68:$AH$83,AG$67,FALSE),1)</f>
        <v>14.096390381999999</v>
      </c>
      <c r="AH102" s="10">
        <f ca="1">SUMIFS(AH$3:AH$64,$A$3:$A$64,$A102,$D$3:$D$64,$B102)*SUMIF('RES balance'!$D$5:$D$25,'RES Assumptions'!$A102,'RES balance'!AH$5:AH$25)*IFERROR(VLOOKUP($C102,$C$68:$AH$83,AH$67,FALSE),1)</f>
        <v>0</v>
      </c>
      <c r="AJ102" s="37" t="s">
        <v>26</v>
      </c>
      <c r="AK102" s="37" t="str">
        <f t="shared" si="25"/>
        <v>KER</v>
      </c>
      <c r="AL102" s="8"/>
      <c r="AM102" s="8"/>
      <c r="AN102" s="8"/>
      <c r="AO102" s="8"/>
    </row>
    <row r="103" spans="1:41" x14ac:dyDescent="0.45">
      <c r="A103" s="8" t="str">
        <f t="shared" si="22"/>
        <v>RESHET</v>
      </c>
      <c r="B103" s="8" t="str">
        <f t="shared" si="23"/>
        <v>RH</v>
      </c>
      <c r="C103" s="48" t="str">
        <f>SUBSTITUTE(SUBSTITUTE(SUBSTITUTE('RES Veda input'!B20,"1",""),"000",""),"RRF","RR")</f>
        <v>RHHET</v>
      </c>
      <c r="E103" s="10">
        <f ca="1">SUMIFS(E$3:E$64,$A$3:$A$64,$A103,$D$3:$D$64,$B103)*SUMIF('RES balance'!$D$5:$D$25,'RES Assumptions'!$A103,'RES balance'!E$5:E$25)*IFERROR(VLOOKUP($C103,$C$68:$AH$83,E$67,FALSE),1)</f>
        <v>0</v>
      </c>
      <c r="F103" s="10">
        <f ca="1">SUMIFS(F$3:F$64,$A$3:$A$64,$A103,$D$3:$D$64,$B103)*SUMIF('RES balance'!$D$5:$D$25,'RES Assumptions'!$A103,'RES balance'!F$5:F$25)*IFERROR(VLOOKUP($C103,$C$68:$AH$83,F$67,FALSE),1)</f>
        <v>0</v>
      </c>
      <c r="G103" s="10">
        <f ca="1">SUMIFS(G$3:G$64,$A$3:$A$64,$A103,$D$3:$D$64,$B103)*SUMIF('RES balance'!$D$5:$D$25,'RES Assumptions'!$A103,'RES balance'!G$5:G$25)*IFERROR(VLOOKUP($C103,$C$68:$AH$83,G$67,FALSE),1)</f>
        <v>0</v>
      </c>
      <c r="H103" s="10">
        <f ca="1">SUMIFS(H$3:H$64,$A$3:$A$64,$A103,$D$3:$D$64,$B103)*SUMIF('RES balance'!$D$5:$D$25,'RES Assumptions'!$A103,'RES balance'!H$5:H$25)*IFERROR(VLOOKUP($C103,$C$68:$AH$83,H$67,FALSE),1)</f>
        <v>76.924409433723227</v>
      </c>
      <c r="I103" s="10">
        <f ca="1">SUMIFS(I$3:I$64,$A$3:$A$64,$A103,$D$3:$D$64,$B103)*SUMIF('RES balance'!$D$5:$D$25,'RES Assumptions'!$A103,'RES balance'!I$5:I$25)*IFERROR(VLOOKUP($C103,$C$68:$AH$83,I$67,FALSE),1)</f>
        <v>0</v>
      </c>
      <c r="J103" s="10">
        <f ca="1">SUMIFS(J$3:J$64,$A$3:$A$64,$A103,$D$3:$D$64,$B103)*SUMIF('RES balance'!$D$5:$D$25,'RES Assumptions'!$A103,'RES balance'!J$5:J$25)*IFERROR(VLOOKUP($C103,$C$68:$AH$83,J$67,FALSE),1)</f>
        <v>0</v>
      </c>
      <c r="K103" s="10">
        <f ca="1">SUMIFS(K$3:K$64,$A$3:$A$64,$A103,$D$3:$D$64,$B103)*SUMIF('RES balance'!$D$5:$D$25,'RES Assumptions'!$A103,'RES balance'!K$5:K$25)*IFERROR(VLOOKUP($C103,$C$68:$AH$83,K$67,FALSE),1)</f>
        <v>0</v>
      </c>
      <c r="L103" s="10">
        <f ca="1">SUMIFS(L$3:L$64,$A$3:$A$64,$A103,$D$3:$D$64,$B103)*SUMIF('RES balance'!$D$5:$D$25,'RES Assumptions'!$A103,'RES balance'!L$5:L$25)*IFERROR(VLOOKUP($C103,$C$68:$AH$83,L$67,FALSE),1)</f>
        <v>0</v>
      </c>
      <c r="M103" s="10">
        <f ca="1">SUMIFS(M$3:M$64,$A$3:$A$64,$A103,$D$3:$D$64,$B103)*SUMIF('RES balance'!$D$5:$D$25,'RES Assumptions'!$A103,'RES balance'!M$5:M$25)*IFERROR(VLOOKUP($C103,$C$68:$AH$83,M$67,FALSE),1)</f>
        <v>0</v>
      </c>
      <c r="N103" s="10">
        <f ca="1">SUMIFS(N$3:N$64,$A$3:$A$64,$A103,$D$3:$D$64,$B103)*SUMIF('RES balance'!$D$5:$D$25,'RES Assumptions'!$A103,'RES balance'!N$5:N$25)*IFERROR(VLOOKUP($C103,$C$68:$AH$83,N$67,FALSE),1)</f>
        <v>1288.3205001419999</v>
      </c>
      <c r="O103" s="10">
        <f ca="1">SUMIFS(O$3:O$64,$A$3:$A$64,$A103,$D$3:$D$64,$B103)*SUMIF('RES balance'!$D$5:$D$25,'RES Assumptions'!$A103,'RES balance'!O$5:O$25)*IFERROR(VLOOKUP($C103,$C$68:$AH$83,O$67,FALSE),1)</f>
        <v>207.74338234097752</v>
      </c>
      <c r="P103" s="10">
        <f ca="1">SUMIFS(P$3:P$64,$A$3:$A$64,$A103,$D$3:$D$64,$B103)*SUMIF('RES balance'!$D$5:$D$25,'RES Assumptions'!$A103,'RES balance'!P$5:P$25)*IFERROR(VLOOKUP($C103,$C$68:$AH$83,P$67,FALSE),1)</f>
        <v>196.36857456513192</v>
      </c>
      <c r="Q103" s="10">
        <f ca="1">SUMIFS(Q$3:Q$64,$A$3:$A$64,$A103,$D$3:$D$64,$B103)*SUMIF('RES balance'!$D$5:$D$25,'RES Assumptions'!$A103,'RES balance'!Q$5:Q$25)*IFERROR(VLOOKUP($C103,$C$68:$AH$83,Q$67,FALSE),1)</f>
        <v>10.790921303708974</v>
      </c>
      <c r="R103" s="10">
        <f ca="1">SUMIFS(R$3:R$64,$A$3:$A$64,$A103,$D$3:$D$64,$B103)*SUMIF('RES balance'!$D$5:$D$25,'RES Assumptions'!$A103,'RES balance'!R$5:R$25)*IFERROR(VLOOKUP($C103,$C$68:$AH$83,R$67,FALSE),1)</f>
        <v>33.696824854105209</v>
      </c>
      <c r="S103" s="10">
        <f ca="1">SUMIFS(S$3:S$64,$A$3:$A$64,$A103,$D$3:$D$64,$B103)*SUMIF('RES balance'!$D$5:$D$25,'RES Assumptions'!$A103,'RES balance'!S$5:S$25)*IFERROR(VLOOKUP($C103,$C$68:$AH$83,S$67,FALSE),1)</f>
        <v>46.88613980129302</v>
      </c>
      <c r="T103" s="10">
        <f ca="1">SUMIFS(T$3:T$64,$A$3:$A$64,$A103,$D$3:$D$64,$B103)*SUMIF('RES balance'!$D$5:$D$25,'RES Assumptions'!$A103,'RES balance'!T$5:T$25)*IFERROR(VLOOKUP($C103,$C$68:$AH$83,T$67,FALSE),1)</f>
        <v>3.0805529890779809E-2</v>
      </c>
      <c r="U103" s="10">
        <f ca="1">SUMIFS(U$3:U$64,$A$3:$A$64,$A103,$D$3:$D$64,$B103)*SUMIF('RES balance'!$D$5:$D$25,'RES Assumptions'!$A103,'RES balance'!U$5:U$25)*IFERROR(VLOOKUP($C103,$C$68:$AH$83,U$67,FALSE),1)</f>
        <v>173.06254138066876</v>
      </c>
      <c r="V103" s="10">
        <f ca="1">SUMIFS(V$3:V$64,$A$3:$A$64,$A103,$D$3:$D$64,$B103)*SUMIF('RES balance'!$D$5:$D$25,'RES Assumptions'!$A103,'RES balance'!V$5:V$25)*IFERROR(VLOOKUP($C103,$C$68:$AH$83,V$67,FALSE),1)</f>
        <v>46.151413166880808</v>
      </c>
      <c r="W103" s="10">
        <f ca="1">SUMIFS(W$3:W$64,$A$3:$A$64,$A103,$D$3:$D$64,$B103)*SUMIF('RES balance'!$D$5:$D$25,'RES Assumptions'!$A103,'RES balance'!W$5:W$25)*IFERROR(VLOOKUP($C103,$C$68:$AH$83,W$67,FALSE),1)</f>
        <v>142.13905811407486</v>
      </c>
      <c r="X103" s="10">
        <f ca="1">SUMIFS(X$3:X$64,$A$3:$A$64,$A103,$D$3:$D$64,$B103)*SUMIF('RES balance'!$D$5:$D$25,'RES Assumptions'!$A103,'RES balance'!X$5:X$25)*IFERROR(VLOOKUP($C103,$C$68:$AH$83,X$67,FALSE),1)</f>
        <v>0</v>
      </c>
      <c r="Y103" s="10">
        <f ca="1">SUMIFS(Y$3:Y$64,$A$3:$A$64,$A103,$D$3:$D$64,$B103)*SUMIF('RES balance'!$D$5:$D$25,'RES Assumptions'!$A103,'RES balance'!Y$5:Y$25)*IFERROR(VLOOKUP($C103,$C$68:$AH$83,Y$67,FALSE),1)</f>
        <v>0</v>
      </c>
      <c r="Z103" s="10">
        <f ca="1">SUMIFS(Z$3:Z$64,$A$3:$A$64,$A103,$D$3:$D$64,$B103)*SUMIF('RES balance'!$D$5:$D$25,'RES Assumptions'!$A103,'RES balance'!Z$5:Z$25)*IFERROR(VLOOKUP($C103,$C$68:$AH$83,Z$67,FALSE),1)</f>
        <v>0</v>
      </c>
      <c r="AA103" s="10">
        <f ca="1">SUMIFS(AA$3:AA$64,$A$3:$A$64,$A103,$D$3:$D$64,$B103)*SUMIF('RES balance'!$D$5:$D$25,'RES Assumptions'!$A103,'RES balance'!AA$5:AA$25)*IFERROR(VLOOKUP($C103,$C$68:$AH$83,AA$67,FALSE),1)</f>
        <v>0</v>
      </c>
      <c r="AB103" s="10">
        <f ca="1">SUMIFS(AB$3:AB$64,$A$3:$A$64,$A103,$D$3:$D$64,$B103)*SUMIF('RES balance'!$D$5:$D$25,'RES Assumptions'!$A103,'RES balance'!AB$5:AB$25)*IFERROR(VLOOKUP($C103,$C$68:$AH$83,AB$67,FALSE),1)</f>
        <v>18.15428133955632</v>
      </c>
      <c r="AC103" s="10">
        <f ca="1">SUMIFS(AC$3:AC$64,$A$3:$A$64,$A103,$D$3:$D$64,$B103)*SUMIF('RES balance'!$D$5:$D$25,'RES Assumptions'!$A103,'RES balance'!AC$5:AC$25)*IFERROR(VLOOKUP($C103,$C$68:$AH$83,AC$67,FALSE),1)</f>
        <v>1378.0736037534284</v>
      </c>
      <c r="AD103" s="10">
        <f ca="1">SUMIFS(AD$3:AD$64,$A$3:$A$64,$A103,$D$3:$D$64,$B103)*SUMIF('RES balance'!$D$5:$D$25,'RES Assumptions'!$A103,'RES balance'!AD$5:AD$25)*IFERROR(VLOOKUP($C103,$C$68:$AH$83,AD$67,FALSE),1)</f>
        <v>0</v>
      </c>
      <c r="AE103" s="10">
        <f ca="1">SUMIFS(AE$3:AE$64,$A$3:$A$64,$A103,$D$3:$D$64,$B103)*SUMIF('RES balance'!$D$5:$D$25,'RES Assumptions'!$A103,'RES balance'!AE$5:AE$25)*IFERROR(VLOOKUP($C103,$C$68:$AH$83,AE$67,FALSE),1)</f>
        <v>0</v>
      </c>
      <c r="AF103" s="10">
        <f ca="1">SUMIFS(AF$3:AF$64,$A$3:$A$64,$A103,$D$3:$D$64,$B103)*SUMIF('RES balance'!$D$5:$D$25,'RES Assumptions'!$A103,'RES balance'!AF$5:AF$25)*IFERROR(VLOOKUP($C103,$C$68:$AH$83,AF$67,FALSE),1)</f>
        <v>9.655674110406677</v>
      </c>
      <c r="AG103" s="10">
        <f ca="1">SUMIFS(AG$3:AG$64,$A$3:$A$64,$A103,$D$3:$D$64,$B103)*SUMIF('RES balance'!$D$5:$D$25,'RES Assumptions'!$A103,'RES balance'!AG$5:AG$25)*IFERROR(VLOOKUP($C103,$C$68:$AH$83,AG$67,FALSE),1)</f>
        <v>0</v>
      </c>
      <c r="AH103" s="10">
        <f ca="1">SUMIFS(AH$3:AH$64,$A$3:$A$64,$A103,$D$3:$D$64,$B103)*SUMIF('RES balance'!$D$5:$D$25,'RES Assumptions'!$A103,'RES balance'!AH$5:AH$25)*IFERROR(VLOOKUP($C103,$C$68:$AH$83,AH$67,FALSE),1)</f>
        <v>0</v>
      </c>
      <c r="AJ103" s="37" t="s">
        <v>10</v>
      </c>
      <c r="AK103" s="37" t="str">
        <f t="shared" si="25"/>
        <v>LPG</v>
      </c>
      <c r="AL103" s="8"/>
      <c r="AM103" s="8"/>
      <c r="AN103" s="8"/>
      <c r="AO103" s="8"/>
    </row>
    <row r="104" spans="1:41" x14ac:dyDescent="0.45">
      <c r="A104" s="8" t="str">
        <f t="shared" si="22"/>
        <v>RESHFO</v>
      </c>
      <c r="B104" s="8" t="str">
        <f t="shared" si="23"/>
        <v>RH</v>
      </c>
      <c r="C104" s="48" t="str">
        <f>SUBSTITUTE(SUBSTITUTE(SUBSTITUTE('RES Veda input'!B21,"1",""),"000",""),"RRF","RR")</f>
        <v>RHHFO</v>
      </c>
      <c r="E104" s="10">
        <f>SUMIFS(E$3:E$64,$A$3:$A$64,$A104,$D$3:$D$64,$B104)*SUMIF('RES balance'!$D$5:$D$25,'RES Assumptions'!$A104,'RES balance'!E$5:E$25)*IFERROR(VLOOKUP($C104,$C$68:$AH$83,E$67,FALSE),1)</f>
        <v>0</v>
      </c>
      <c r="F104" s="10">
        <f>SUMIFS(F$3:F$64,$A$3:$A$64,$A104,$D$3:$D$64,$B104)*SUMIF('RES balance'!$D$5:$D$25,'RES Assumptions'!$A104,'RES balance'!F$5:F$25)*IFERROR(VLOOKUP($C104,$C$68:$AH$83,F$67,FALSE),1)</f>
        <v>0</v>
      </c>
      <c r="G104" s="10">
        <f>SUMIFS(G$3:G$64,$A$3:$A$64,$A104,$D$3:$D$64,$B104)*SUMIF('RES balance'!$D$5:$D$25,'RES Assumptions'!$A104,'RES balance'!G$5:G$25)*IFERROR(VLOOKUP($C104,$C$68:$AH$83,G$67,FALSE),1)</f>
        <v>0</v>
      </c>
      <c r="H104" s="10">
        <f>SUMIFS(H$3:H$64,$A$3:$A$64,$A104,$D$3:$D$64,$B104)*SUMIF('RES balance'!$D$5:$D$25,'RES Assumptions'!$A104,'RES balance'!H$5:H$25)*IFERROR(VLOOKUP($C104,$C$68:$AH$83,H$67,FALSE),1)</f>
        <v>0</v>
      </c>
      <c r="I104" s="10">
        <f>SUMIFS(I$3:I$64,$A$3:$A$64,$A104,$D$3:$D$64,$B104)*SUMIF('RES balance'!$D$5:$D$25,'RES Assumptions'!$A104,'RES balance'!I$5:I$25)*IFERROR(VLOOKUP($C104,$C$68:$AH$83,I$67,FALSE),1)</f>
        <v>0</v>
      </c>
      <c r="J104" s="10">
        <f>SUMIFS(J$3:J$64,$A$3:$A$64,$A104,$D$3:$D$64,$B104)*SUMIF('RES balance'!$D$5:$D$25,'RES Assumptions'!$A104,'RES balance'!J$5:J$25)*IFERROR(VLOOKUP($C104,$C$68:$AH$83,J$67,FALSE),1)</f>
        <v>0</v>
      </c>
      <c r="K104" s="10">
        <f>SUMIFS(K$3:K$64,$A$3:$A$64,$A104,$D$3:$D$64,$B104)*SUMIF('RES balance'!$D$5:$D$25,'RES Assumptions'!$A104,'RES balance'!K$5:K$25)*IFERROR(VLOOKUP($C104,$C$68:$AH$83,K$67,FALSE),1)</f>
        <v>0</v>
      </c>
      <c r="L104" s="10">
        <f>SUMIFS(L$3:L$64,$A$3:$A$64,$A104,$D$3:$D$64,$B104)*SUMIF('RES balance'!$D$5:$D$25,'RES Assumptions'!$A104,'RES balance'!L$5:L$25)*IFERROR(VLOOKUP($C104,$C$68:$AH$83,L$67,FALSE),1)</f>
        <v>0</v>
      </c>
      <c r="M104" s="10">
        <f>SUMIFS(M$3:M$64,$A$3:$A$64,$A104,$D$3:$D$64,$B104)*SUMIF('RES balance'!$D$5:$D$25,'RES Assumptions'!$A104,'RES balance'!M$5:M$25)*IFERROR(VLOOKUP($C104,$C$68:$AH$83,M$67,FALSE),1)</f>
        <v>0</v>
      </c>
      <c r="N104" s="10">
        <f>SUMIFS(N$3:N$64,$A$3:$A$64,$A104,$D$3:$D$64,$B104)*SUMIF('RES balance'!$D$5:$D$25,'RES Assumptions'!$A104,'RES balance'!N$5:N$25)*IFERROR(VLOOKUP($C104,$C$68:$AH$83,N$67,FALSE),1)</f>
        <v>0</v>
      </c>
      <c r="O104" s="10">
        <f>SUMIFS(O$3:O$64,$A$3:$A$64,$A104,$D$3:$D$64,$B104)*SUMIF('RES balance'!$D$5:$D$25,'RES Assumptions'!$A104,'RES balance'!O$5:O$25)*IFERROR(VLOOKUP($C104,$C$68:$AH$83,O$67,FALSE),1)</f>
        <v>0</v>
      </c>
      <c r="P104" s="10">
        <f>SUMIFS(P$3:P$64,$A$3:$A$64,$A104,$D$3:$D$64,$B104)*SUMIF('RES balance'!$D$5:$D$25,'RES Assumptions'!$A104,'RES balance'!P$5:P$25)*IFERROR(VLOOKUP($C104,$C$68:$AH$83,P$67,FALSE),1)</f>
        <v>0</v>
      </c>
      <c r="Q104" s="10">
        <f>SUMIFS(Q$3:Q$64,$A$3:$A$64,$A104,$D$3:$D$64,$B104)*SUMIF('RES balance'!$D$5:$D$25,'RES Assumptions'!$A104,'RES balance'!Q$5:Q$25)*IFERROR(VLOOKUP($C104,$C$68:$AH$83,Q$67,FALSE),1)</f>
        <v>0</v>
      </c>
      <c r="R104" s="10">
        <f>SUMIFS(R$3:R$64,$A$3:$A$64,$A104,$D$3:$D$64,$B104)*SUMIF('RES balance'!$D$5:$D$25,'RES Assumptions'!$A104,'RES balance'!R$5:R$25)*IFERROR(VLOOKUP($C104,$C$68:$AH$83,R$67,FALSE),1)</f>
        <v>0</v>
      </c>
      <c r="S104" s="10">
        <f>SUMIFS(S$3:S$64,$A$3:$A$64,$A104,$D$3:$D$64,$B104)*SUMIF('RES balance'!$D$5:$D$25,'RES Assumptions'!$A104,'RES balance'!S$5:S$25)*IFERROR(VLOOKUP($C104,$C$68:$AH$83,S$67,FALSE),1)</f>
        <v>0</v>
      </c>
      <c r="T104" s="10">
        <f>SUMIFS(T$3:T$64,$A$3:$A$64,$A104,$D$3:$D$64,$B104)*SUMIF('RES balance'!$D$5:$D$25,'RES Assumptions'!$A104,'RES balance'!T$5:T$25)*IFERROR(VLOOKUP($C104,$C$68:$AH$83,T$67,FALSE),1)</f>
        <v>0</v>
      </c>
      <c r="U104" s="10">
        <f>SUMIFS(U$3:U$64,$A$3:$A$64,$A104,$D$3:$D$64,$B104)*SUMIF('RES balance'!$D$5:$D$25,'RES Assumptions'!$A104,'RES balance'!U$5:U$25)*IFERROR(VLOOKUP($C104,$C$68:$AH$83,U$67,FALSE),1)</f>
        <v>0</v>
      </c>
      <c r="V104" s="10">
        <f>SUMIFS(V$3:V$64,$A$3:$A$64,$A104,$D$3:$D$64,$B104)*SUMIF('RES balance'!$D$5:$D$25,'RES Assumptions'!$A104,'RES balance'!V$5:V$25)*IFERROR(VLOOKUP($C104,$C$68:$AH$83,V$67,FALSE),1)</f>
        <v>0</v>
      </c>
      <c r="W104" s="10">
        <f>SUMIFS(W$3:W$64,$A$3:$A$64,$A104,$D$3:$D$64,$B104)*SUMIF('RES balance'!$D$5:$D$25,'RES Assumptions'!$A104,'RES balance'!W$5:W$25)*IFERROR(VLOOKUP($C104,$C$68:$AH$83,W$67,FALSE),1)</f>
        <v>0</v>
      </c>
      <c r="X104" s="10">
        <f>SUMIFS(X$3:X$64,$A$3:$A$64,$A104,$D$3:$D$64,$B104)*SUMIF('RES balance'!$D$5:$D$25,'RES Assumptions'!$A104,'RES balance'!X$5:X$25)*IFERROR(VLOOKUP($C104,$C$68:$AH$83,X$67,FALSE),1)</f>
        <v>0</v>
      </c>
      <c r="Y104" s="10">
        <f>SUMIFS(Y$3:Y$64,$A$3:$A$64,$A104,$D$3:$D$64,$B104)*SUMIF('RES balance'!$D$5:$D$25,'RES Assumptions'!$A104,'RES balance'!Y$5:Y$25)*IFERROR(VLOOKUP($C104,$C$68:$AH$83,Y$67,FALSE),1)</f>
        <v>0</v>
      </c>
      <c r="Z104" s="10">
        <f>SUMIFS(Z$3:Z$64,$A$3:$A$64,$A104,$D$3:$D$64,$B104)*SUMIF('RES balance'!$D$5:$D$25,'RES Assumptions'!$A104,'RES balance'!Z$5:Z$25)*IFERROR(VLOOKUP($C104,$C$68:$AH$83,Z$67,FALSE),1)</f>
        <v>0</v>
      </c>
      <c r="AA104" s="10">
        <f>SUMIFS(AA$3:AA$64,$A$3:$A$64,$A104,$D$3:$D$64,$B104)*SUMIF('RES balance'!$D$5:$D$25,'RES Assumptions'!$A104,'RES balance'!AA$5:AA$25)*IFERROR(VLOOKUP($C104,$C$68:$AH$83,AA$67,FALSE),1)</f>
        <v>0</v>
      </c>
      <c r="AB104" s="10">
        <f>SUMIFS(AB$3:AB$64,$A$3:$A$64,$A104,$D$3:$D$64,$B104)*SUMIF('RES balance'!$D$5:$D$25,'RES Assumptions'!$A104,'RES balance'!AB$5:AB$25)*IFERROR(VLOOKUP($C104,$C$68:$AH$83,AB$67,FALSE),1)</f>
        <v>0</v>
      </c>
      <c r="AC104" s="10">
        <f>SUMIFS(AC$3:AC$64,$A$3:$A$64,$A104,$D$3:$D$64,$B104)*SUMIF('RES balance'!$D$5:$D$25,'RES Assumptions'!$A104,'RES balance'!AC$5:AC$25)*IFERROR(VLOOKUP($C104,$C$68:$AH$83,AC$67,FALSE),1)</f>
        <v>0</v>
      </c>
      <c r="AD104" s="10">
        <f>SUMIFS(AD$3:AD$64,$A$3:$A$64,$A104,$D$3:$D$64,$B104)*SUMIF('RES balance'!$D$5:$D$25,'RES Assumptions'!$A104,'RES balance'!AD$5:AD$25)*IFERROR(VLOOKUP($C104,$C$68:$AH$83,AD$67,FALSE),1)</f>
        <v>0</v>
      </c>
      <c r="AE104" s="10">
        <f>SUMIFS(AE$3:AE$64,$A$3:$A$64,$A104,$D$3:$D$64,$B104)*SUMIF('RES balance'!$D$5:$D$25,'RES Assumptions'!$A104,'RES balance'!AE$5:AE$25)*IFERROR(VLOOKUP($C104,$C$68:$AH$83,AE$67,FALSE),1)</f>
        <v>0</v>
      </c>
      <c r="AF104" s="10">
        <f>SUMIFS(AF$3:AF$64,$A$3:$A$64,$A104,$D$3:$D$64,$B104)*SUMIF('RES balance'!$D$5:$D$25,'RES Assumptions'!$A104,'RES balance'!AF$5:AF$25)*IFERROR(VLOOKUP($C104,$C$68:$AH$83,AF$67,FALSE),1)</f>
        <v>0</v>
      </c>
      <c r="AG104" s="10">
        <f>SUMIFS(AG$3:AG$64,$A$3:$A$64,$A104,$D$3:$D$64,$B104)*SUMIF('RES balance'!$D$5:$D$25,'RES Assumptions'!$A104,'RES balance'!AG$5:AG$25)*IFERROR(VLOOKUP($C104,$C$68:$AH$83,AG$67,FALSE),1)</f>
        <v>0</v>
      </c>
      <c r="AH104" s="10">
        <f>SUMIFS(AH$3:AH$64,$A$3:$A$64,$A104,$D$3:$D$64,$B104)*SUMIF('RES balance'!$D$5:$D$25,'RES Assumptions'!$A104,'RES balance'!AH$5:AH$25)*IFERROR(VLOOKUP($C104,$C$68:$AH$83,AH$67,FALSE),1)</f>
        <v>0</v>
      </c>
      <c r="AJ104" s="37" t="s">
        <v>21</v>
      </c>
      <c r="AK104" s="37" t="str">
        <f t="shared" si="25"/>
        <v>NGA</v>
      </c>
      <c r="AL104" s="8"/>
      <c r="AM104" s="8"/>
      <c r="AN104" s="8"/>
      <c r="AO104" s="8"/>
    </row>
    <row r="105" spans="1:41" x14ac:dyDescent="0.45">
      <c r="A105" s="8" t="str">
        <f t="shared" si="22"/>
        <v>RESKER</v>
      </c>
      <c r="B105" s="8" t="str">
        <f t="shared" si="23"/>
        <v>RH</v>
      </c>
      <c r="C105" s="48" t="str">
        <f>SUBSTITUTE(SUBSTITUTE(SUBSTITUTE('RES Veda input'!B22,"1",""),"000",""),"RRF","RR")</f>
        <v>RHKER</v>
      </c>
      <c r="E105" s="10">
        <f ca="1">SUMIFS(E$3:E$64,$A$3:$A$64,$A105,$D$3:$D$64,$B105)*SUMIF('RES balance'!$D$5:$D$25,'RES Assumptions'!$A105,'RES balance'!E$5:E$25)*IFERROR(VLOOKUP($C105,$C$68:$AH$83,E$67,FALSE),1)</f>
        <v>5.1506471958593661E-2</v>
      </c>
      <c r="F105" s="10">
        <f ca="1">SUMIFS(F$3:F$64,$A$3:$A$64,$A105,$D$3:$D$64,$B105)*SUMIF('RES balance'!$D$5:$D$25,'RES Assumptions'!$A105,'RES balance'!F$5:F$25)*IFERROR(VLOOKUP($C105,$C$68:$AH$83,F$67,FALSE),1)</f>
        <v>0.56868776162473322</v>
      </c>
      <c r="G105" s="10">
        <f ca="1">SUMIFS(G$3:G$64,$A$3:$A$64,$A105,$D$3:$D$64,$B105)*SUMIF('RES balance'!$D$5:$D$25,'RES Assumptions'!$A105,'RES balance'!G$5:G$25)*IFERROR(VLOOKUP($C105,$C$68:$AH$83,G$67,FALSE),1)</f>
        <v>0.12880587120598277</v>
      </c>
      <c r="H105" s="10">
        <f ca="1">SUMIFS(H$3:H$64,$A$3:$A$64,$A105,$D$3:$D$64,$B105)*SUMIF('RES balance'!$D$5:$D$25,'RES Assumptions'!$A105,'RES balance'!H$5:H$25)*IFERROR(VLOOKUP($C105,$C$68:$AH$83,H$67,FALSE),1)</f>
        <v>4.8036257761794561</v>
      </c>
      <c r="I105" s="10">
        <f ca="1">SUMIFS(I$3:I$64,$A$3:$A$64,$A105,$D$3:$D$64,$B105)*SUMIF('RES balance'!$D$5:$D$25,'RES Assumptions'!$A105,'RES balance'!I$5:I$25)*IFERROR(VLOOKUP($C105,$C$68:$AH$83,I$67,FALSE),1)</f>
        <v>189.8079869263226</v>
      </c>
      <c r="J105" s="10">
        <f ca="1">SUMIFS(J$3:J$64,$A$3:$A$64,$A105,$D$3:$D$64,$B105)*SUMIF('RES balance'!$D$5:$D$25,'RES Assumptions'!$A105,'RES balance'!J$5:J$25)*IFERROR(VLOOKUP($C105,$C$68:$AH$83,J$67,FALSE),1)</f>
        <v>0</v>
      </c>
      <c r="K105" s="10">
        <f ca="1">SUMIFS(K$3:K$64,$A$3:$A$64,$A105,$D$3:$D$64,$B105)*SUMIF('RES balance'!$D$5:$D$25,'RES Assumptions'!$A105,'RES balance'!K$5:K$25)*IFERROR(VLOOKUP($C105,$C$68:$AH$83,K$67,FALSE),1)</f>
        <v>0</v>
      </c>
      <c r="L105" s="10">
        <f ca="1">SUMIFS(L$3:L$64,$A$3:$A$64,$A105,$D$3:$D$64,$B105)*SUMIF('RES balance'!$D$5:$D$25,'RES Assumptions'!$A105,'RES balance'!L$5:L$25)*IFERROR(VLOOKUP($C105,$C$68:$AH$83,L$67,FALSE),1)</f>
        <v>2.271967622561509E-3</v>
      </c>
      <c r="M105" s="10">
        <f ca="1">SUMIFS(M$3:M$64,$A$3:$A$64,$A105,$D$3:$D$64,$B105)*SUMIF('RES balance'!$D$5:$D$25,'RES Assumptions'!$A105,'RES balance'!M$5:M$25)*IFERROR(VLOOKUP($C105,$C$68:$AH$83,M$67,FALSE),1)</f>
        <v>1.9840174537912689</v>
      </c>
      <c r="N105" s="10">
        <f ca="1">SUMIFS(N$3:N$64,$A$3:$A$64,$A105,$D$3:$D$64,$B105)*SUMIF('RES balance'!$D$5:$D$25,'RES Assumptions'!$A105,'RES balance'!N$5:N$25)*IFERROR(VLOOKUP($C105,$C$68:$AH$83,N$67,FALSE),1)</f>
        <v>0</v>
      </c>
      <c r="O105" s="10">
        <f ca="1">SUMIFS(O$3:O$64,$A$3:$A$64,$A105,$D$3:$D$64,$B105)*SUMIF('RES balance'!$D$5:$D$25,'RES Assumptions'!$A105,'RES balance'!O$5:O$25)*IFERROR(VLOOKUP($C105,$C$68:$AH$83,O$67,FALSE),1)</f>
        <v>0.12839005903035822</v>
      </c>
      <c r="P105" s="10">
        <f ca="1">SUMIFS(P$3:P$64,$A$3:$A$64,$A105,$D$3:$D$64,$B105)*SUMIF('RES balance'!$D$5:$D$25,'RES Assumptions'!$A105,'RES balance'!P$5:P$25)*IFERROR(VLOOKUP($C105,$C$68:$AH$83,P$67,FALSE),1)</f>
        <v>0</v>
      </c>
      <c r="Q105" s="10">
        <f ca="1">SUMIFS(Q$3:Q$64,$A$3:$A$64,$A105,$D$3:$D$64,$B105)*SUMIF('RES balance'!$D$5:$D$25,'RES Assumptions'!$A105,'RES balance'!Q$5:Q$25)*IFERROR(VLOOKUP($C105,$C$68:$AH$83,Q$67,FALSE),1)</f>
        <v>28.6747867903524</v>
      </c>
      <c r="R105" s="10">
        <f ca="1">SUMIFS(R$3:R$64,$A$3:$A$64,$A105,$D$3:$D$64,$B105)*SUMIF('RES balance'!$D$5:$D$25,'RES Assumptions'!$A105,'RES balance'!R$5:R$25)*IFERROR(VLOOKUP($C105,$C$68:$AH$83,R$67,FALSE),1)</f>
        <v>0.62034538538245132</v>
      </c>
      <c r="S105" s="10">
        <f ca="1">SUMIFS(S$3:S$64,$A$3:$A$64,$A105,$D$3:$D$64,$B105)*SUMIF('RES balance'!$D$5:$D$25,'RES Assumptions'!$A105,'RES balance'!S$5:S$25)*IFERROR(VLOOKUP($C105,$C$68:$AH$83,S$67,FALSE),1)</f>
        <v>0</v>
      </c>
      <c r="T105" s="10">
        <f ca="1">SUMIFS(T$3:T$64,$A$3:$A$64,$A105,$D$3:$D$64,$B105)*SUMIF('RES balance'!$D$5:$D$25,'RES Assumptions'!$A105,'RES balance'!T$5:T$25)*IFERROR(VLOOKUP($C105,$C$68:$AH$83,T$67,FALSE),1)</f>
        <v>3.5110567650077796E-3</v>
      </c>
      <c r="U105" s="10">
        <f ca="1">SUMIFS(U$3:U$64,$A$3:$A$64,$A105,$D$3:$D$64,$B105)*SUMIF('RES balance'!$D$5:$D$25,'RES Assumptions'!$A105,'RES balance'!U$5:U$25)*IFERROR(VLOOKUP($C105,$C$68:$AH$83,U$67,FALSE),1)</f>
        <v>0.14103820290362568</v>
      </c>
      <c r="V105" s="10">
        <f ca="1">SUMIFS(V$3:V$64,$A$3:$A$64,$A105,$D$3:$D$64,$B105)*SUMIF('RES balance'!$D$5:$D$25,'RES Assumptions'!$A105,'RES balance'!V$5:V$25)*IFERROR(VLOOKUP($C105,$C$68:$AH$83,V$67,FALSE),1)</f>
        <v>6.0605742124512458</v>
      </c>
      <c r="W105" s="10">
        <f ca="1">SUMIFS(W$3:W$64,$A$3:$A$64,$A105,$D$3:$D$64,$B105)*SUMIF('RES balance'!$D$5:$D$25,'RES Assumptions'!$A105,'RES balance'!W$5:W$25)*IFERROR(VLOOKUP($C105,$C$68:$AH$83,W$67,FALSE),1)</f>
        <v>0.21274173055389323</v>
      </c>
      <c r="X105" s="10">
        <f ca="1">SUMIFS(X$3:X$64,$A$3:$A$64,$A105,$D$3:$D$64,$B105)*SUMIF('RES balance'!$D$5:$D$25,'RES Assumptions'!$A105,'RES balance'!X$5:X$25)*IFERROR(VLOOKUP($C105,$C$68:$AH$83,X$67,FALSE),1)</f>
        <v>0</v>
      </c>
      <c r="Y105" s="10">
        <f ca="1">SUMIFS(Y$3:Y$64,$A$3:$A$64,$A105,$D$3:$D$64,$B105)*SUMIF('RES balance'!$D$5:$D$25,'RES Assumptions'!$A105,'RES balance'!Y$5:Y$25)*IFERROR(VLOOKUP($C105,$C$68:$AH$83,Y$67,FALSE),1)</f>
        <v>0.30883328393031034</v>
      </c>
      <c r="Z105" s="10">
        <f ca="1">SUMIFS(Z$3:Z$64,$A$3:$A$64,$A105,$D$3:$D$64,$B105)*SUMIF('RES balance'!$D$5:$D$25,'RES Assumptions'!$A105,'RES balance'!Z$5:Z$25)*IFERROR(VLOOKUP($C105,$C$68:$AH$83,Z$67,FALSE),1)</f>
        <v>0</v>
      </c>
      <c r="AA105" s="10">
        <f ca="1">SUMIFS(AA$3:AA$64,$A$3:$A$64,$A105,$D$3:$D$64,$B105)*SUMIF('RES balance'!$D$5:$D$25,'RES Assumptions'!$A105,'RES balance'!AA$5:AA$25)*IFERROR(VLOOKUP($C105,$C$68:$AH$83,AA$67,FALSE),1)</f>
        <v>57.918377960352629</v>
      </c>
      <c r="AB105" s="10">
        <f ca="1">SUMIFS(AB$3:AB$64,$A$3:$A$64,$A105,$D$3:$D$64,$B105)*SUMIF('RES balance'!$D$5:$D$25,'RES Assumptions'!$A105,'RES balance'!AB$5:AB$25)*IFERROR(VLOOKUP($C105,$C$68:$AH$83,AB$67,FALSE),1)</f>
        <v>1.9961583299188772E-2</v>
      </c>
      <c r="AC105" s="10">
        <f ca="1">SUMIFS(AC$3:AC$64,$A$3:$A$64,$A105,$D$3:$D$64,$B105)*SUMIF('RES balance'!$D$5:$D$25,'RES Assumptions'!$A105,'RES balance'!AC$5:AC$25)*IFERROR(VLOOKUP($C105,$C$68:$AH$83,AC$67,FALSE),1)</f>
        <v>0</v>
      </c>
      <c r="AD105" s="10">
        <f ca="1">SUMIFS(AD$3:AD$64,$A$3:$A$64,$A105,$D$3:$D$64,$B105)*SUMIF('RES balance'!$D$5:$D$25,'RES Assumptions'!$A105,'RES balance'!AD$5:AD$25)*IFERROR(VLOOKUP($C105,$C$68:$AH$83,AD$67,FALSE),1)</f>
        <v>8.2114909628204646</v>
      </c>
      <c r="AE105" s="10">
        <f ca="1">SUMIFS(AE$3:AE$64,$A$3:$A$64,$A105,$D$3:$D$64,$B105)*SUMIF('RES balance'!$D$5:$D$25,'RES Assumptions'!$A105,'RES balance'!AE$5:AE$25)*IFERROR(VLOOKUP($C105,$C$68:$AH$83,AE$67,FALSE),1)</f>
        <v>0.12606381239028666</v>
      </c>
      <c r="AF105" s="10">
        <f ca="1">SUMIFS(AF$3:AF$64,$A$3:$A$64,$A105,$D$3:$D$64,$B105)*SUMIF('RES balance'!$D$5:$D$25,'RES Assumptions'!$A105,'RES balance'!AF$5:AF$25)*IFERROR(VLOOKUP($C105,$C$68:$AH$83,AF$67,FALSE),1)</f>
        <v>63.60612483182117</v>
      </c>
      <c r="AG105" s="10">
        <f ca="1">SUMIFS(AG$3:AG$64,$A$3:$A$64,$A105,$D$3:$D$64,$B105)*SUMIF('RES balance'!$D$5:$D$25,'RES Assumptions'!$A105,'RES balance'!AG$5:AG$25)*IFERROR(VLOOKUP($C105,$C$68:$AH$83,AG$67,FALSE),1)</f>
        <v>9.5659158705849876</v>
      </c>
      <c r="AH105" s="10">
        <f ca="1">SUMIFS(AH$3:AH$64,$A$3:$A$64,$A105,$D$3:$D$64,$B105)*SUMIF('RES balance'!$D$5:$D$25,'RES Assumptions'!$A105,'RES balance'!AH$5:AH$25)*IFERROR(VLOOKUP($C105,$C$68:$AH$83,AH$67,FALSE),1)</f>
        <v>0</v>
      </c>
      <c r="AJ105" s="37" t="s">
        <v>180</v>
      </c>
      <c r="AK105" s="37" t="s">
        <v>21</v>
      </c>
      <c r="AL105" s="8"/>
      <c r="AM105" s="8"/>
      <c r="AN105" s="8"/>
      <c r="AO105" s="8"/>
    </row>
    <row r="106" spans="1:41" x14ac:dyDescent="0.45">
      <c r="A106" s="8" t="str">
        <f t="shared" si="22"/>
        <v>RESLPG</v>
      </c>
      <c r="B106" s="8" t="str">
        <f t="shared" si="23"/>
        <v>RH</v>
      </c>
      <c r="C106" s="48" t="str">
        <f>SUBSTITUTE(SUBSTITUTE(SUBSTITUTE('RES Veda input'!B23,"1",""),"000",""),"RRF","RR")</f>
        <v>RHLPG</v>
      </c>
      <c r="E106" s="10">
        <f ca="1">SUMIFS(E$3:E$64,$A$3:$A$64,$A106,$D$3:$D$64,$B106)*SUMIF('RES balance'!$D$5:$D$25,'RES Assumptions'!$A106,'RES balance'!E$5:E$25)*IFERROR(VLOOKUP($C106,$C$68:$AH$83,E$67,FALSE),1)</f>
        <v>4.398411137091383</v>
      </c>
      <c r="F106" s="10">
        <f ca="1">SUMIFS(F$3:F$64,$A$3:$A$64,$A106,$D$3:$D$64,$B106)*SUMIF('RES balance'!$D$5:$D$25,'RES Assumptions'!$A106,'RES balance'!F$5:F$25)*IFERROR(VLOOKUP($C106,$C$68:$AH$83,F$67,FALSE),1)</f>
        <v>1.3674155419056322</v>
      </c>
      <c r="G106" s="10">
        <f ca="1">SUMIFS(G$3:G$64,$A$3:$A$64,$A106,$D$3:$D$64,$B106)*SUMIF('RES balance'!$D$5:$D$25,'RES Assumptions'!$A106,'RES balance'!G$5:G$25)*IFERROR(VLOOKUP($C106,$C$68:$AH$83,G$67,FALSE),1)</f>
        <v>1.0236833229833062</v>
      </c>
      <c r="H106" s="10">
        <f ca="1">SUMIFS(H$3:H$64,$A$3:$A$64,$A106,$D$3:$D$64,$B106)*SUMIF('RES balance'!$D$5:$D$25,'RES Assumptions'!$A106,'RES balance'!H$5:H$25)*IFERROR(VLOOKUP($C106,$C$68:$AH$83,H$67,FALSE),1)</f>
        <v>48.28180556470199</v>
      </c>
      <c r="I106" s="10">
        <f ca="1">SUMIFS(I$3:I$64,$A$3:$A$64,$A106,$D$3:$D$64,$B106)*SUMIF('RES balance'!$D$5:$D$25,'RES Assumptions'!$A106,'RES balance'!I$5:I$25)*IFERROR(VLOOKUP($C106,$C$68:$AH$83,I$67,FALSE),1)</f>
        <v>122.72614654244991</v>
      </c>
      <c r="J106" s="10">
        <f ca="1">SUMIFS(J$3:J$64,$A$3:$A$64,$A106,$D$3:$D$64,$B106)*SUMIF('RES balance'!$D$5:$D$25,'RES Assumptions'!$A106,'RES balance'!J$5:J$25)*IFERROR(VLOOKUP($C106,$C$68:$AH$83,J$67,FALSE),1)</f>
        <v>0</v>
      </c>
      <c r="K106" s="10">
        <f ca="1">SUMIFS(K$3:K$64,$A$3:$A$64,$A106,$D$3:$D$64,$B106)*SUMIF('RES balance'!$D$5:$D$25,'RES Assumptions'!$A106,'RES balance'!K$5:K$25)*IFERROR(VLOOKUP($C106,$C$68:$AH$83,K$67,FALSE),1)</f>
        <v>5.4988734592871396</v>
      </c>
      <c r="L106" s="10">
        <f ca="1">SUMIFS(L$3:L$64,$A$3:$A$64,$A106,$D$3:$D$64,$B106)*SUMIF('RES balance'!$D$5:$D$25,'RES Assumptions'!$A106,'RES balance'!L$5:L$25)*IFERROR(VLOOKUP($C106,$C$68:$AH$83,L$67,FALSE),1)</f>
        <v>3.0472598787990162</v>
      </c>
      <c r="M106" s="10">
        <f ca="1">SUMIFS(M$3:M$64,$A$3:$A$64,$A106,$D$3:$D$64,$B106)*SUMIF('RES balance'!$D$5:$D$25,'RES Assumptions'!$A106,'RES balance'!M$5:M$25)*IFERROR(VLOOKUP($C106,$C$68:$AH$83,M$67,FALSE),1)</f>
        <v>13.308590457635425</v>
      </c>
      <c r="N106" s="10">
        <f ca="1">SUMIFS(N$3:N$64,$A$3:$A$64,$A106,$D$3:$D$64,$B106)*SUMIF('RES balance'!$D$5:$D$25,'RES Assumptions'!$A106,'RES balance'!N$5:N$25)*IFERROR(VLOOKUP($C106,$C$68:$AH$83,N$67,FALSE),1)</f>
        <v>0</v>
      </c>
      <c r="O106" s="10">
        <f ca="1">SUMIFS(O$3:O$64,$A$3:$A$64,$A106,$D$3:$D$64,$B106)*SUMIF('RES balance'!$D$5:$D$25,'RES Assumptions'!$A106,'RES balance'!O$5:O$25)*IFERROR(VLOOKUP($C106,$C$68:$AH$83,O$67,FALSE),1)</f>
        <v>0.98935158236166121</v>
      </c>
      <c r="P106" s="10">
        <f ca="1">SUMIFS(P$3:P$64,$A$3:$A$64,$A106,$D$3:$D$64,$B106)*SUMIF('RES balance'!$D$5:$D$25,'RES Assumptions'!$A106,'RES balance'!P$5:P$25)*IFERROR(VLOOKUP($C106,$C$68:$AH$83,P$67,FALSE),1)</f>
        <v>8.4638975760451096</v>
      </c>
      <c r="Q106" s="10">
        <f ca="1">SUMIFS(Q$3:Q$64,$A$3:$A$64,$A106,$D$3:$D$64,$B106)*SUMIF('RES balance'!$D$5:$D$25,'RES Assumptions'!$A106,'RES balance'!Q$5:Q$25)*IFERROR(VLOOKUP($C106,$C$68:$AH$83,Q$67,FALSE),1)</f>
        <v>6.5214133592330192</v>
      </c>
      <c r="R106" s="10">
        <f ca="1">SUMIFS(R$3:R$64,$A$3:$A$64,$A106,$D$3:$D$64,$B106)*SUMIF('RES balance'!$D$5:$D$25,'RES Assumptions'!$A106,'RES balance'!R$5:R$25)*IFERROR(VLOOKUP($C106,$C$68:$AH$83,R$67,FALSE),1)</f>
        <v>43.17411861635243</v>
      </c>
      <c r="S106" s="10">
        <f ca="1">SUMIFS(S$3:S$64,$A$3:$A$64,$A106,$D$3:$D$64,$B106)*SUMIF('RES balance'!$D$5:$D$25,'RES Assumptions'!$A106,'RES balance'!S$5:S$25)*IFERROR(VLOOKUP($C106,$C$68:$AH$83,S$67,FALSE),1)</f>
        <v>5.2997351360800904</v>
      </c>
      <c r="T106" s="10">
        <f ca="1">SUMIFS(T$3:T$64,$A$3:$A$64,$A106,$D$3:$D$64,$B106)*SUMIF('RES balance'!$D$5:$D$25,'RES Assumptions'!$A106,'RES balance'!T$5:T$25)*IFERROR(VLOOKUP($C106,$C$68:$AH$83,T$67,FALSE),1)</f>
        <v>42.636505742589101</v>
      </c>
      <c r="U106" s="10">
        <f ca="1">SUMIFS(U$3:U$64,$A$3:$A$64,$A106,$D$3:$D$64,$B106)*SUMIF('RES balance'!$D$5:$D$25,'RES Assumptions'!$A106,'RES balance'!U$5:U$25)*IFERROR(VLOOKUP($C106,$C$68:$AH$83,U$67,FALSE),1)</f>
        <v>7.7820746244460253</v>
      </c>
      <c r="V106" s="10">
        <f ca="1">SUMIFS(V$3:V$64,$A$3:$A$64,$A106,$D$3:$D$64,$B106)*SUMIF('RES balance'!$D$5:$D$25,'RES Assumptions'!$A106,'RES balance'!V$5:V$25)*IFERROR(VLOOKUP($C106,$C$68:$AH$83,V$67,FALSE),1)</f>
        <v>28.141575683919836</v>
      </c>
      <c r="W106" s="10">
        <f ca="1">SUMIFS(W$3:W$64,$A$3:$A$64,$A106,$D$3:$D$64,$B106)*SUMIF('RES balance'!$D$5:$D$25,'RES Assumptions'!$A106,'RES balance'!W$5:W$25)*IFERROR(VLOOKUP($C106,$C$68:$AH$83,W$67,FALSE),1)</f>
        <v>29.017095836924721</v>
      </c>
      <c r="X106" s="10">
        <f ca="1">SUMIFS(X$3:X$64,$A$3:$A$64,$A106,$D$3:$D$64,$B106)*SUMIF('RES balance'!$D$5:$D$25,'RES Assumptions'!$A106,'RES balance'!X$5:X$25)*IFERROR(VLOOKUP($C106,$C$68:$AH$83,X$67,FALSE),1)</f>
        <v>0</v>
      </c>
      <c r="Y106" s="10">
        <f ca="1">SUMIFS(Y$3:Y$64,$A$3:$A$64,$A106,$D$3:$D$64,$B106)*SUMIF('RES balance'!$D$5:$D$25,'RES Assumptions'!$A106,'RES balance'!Y$5:Y$25)*IFERROR(VLOOKUP($C106,$C$68:$AH$83,Y$67,FALSE),1)</f>
        <v>2.5407423248744685</v>
      </c>
      <c r="Z106" s="10">
        <f ca="1">SUMIFS(Z$3:Z$64,$A$3:$A$64,$A106,$D$3:$D$64,$B106)*SUMIF('RES balance'!$D$5:$D$25,'RES Assumptions'!$A106,'RES balance'!Z$5:Z$25)*IFERROR(VLOOKUP($C106,$C$68:$AH$83,Z$67,FALSE),1)</f>
        <v>4.1320513926319249</v>
      </c>
      <c r="AA106" s="10">
        <f ca="1">SUMIFS(AA$3:AA$64,$A$3:$A$64,$A106,$D$3:$D$64,$B106)*SUMIF('RES balance'!$D$5:$D$25,'RES Assumptions'!$A106,'RES balance'!AA$5:AA$25)*IFERROR(VLOOKUP($C106,$C$68:$AH$83,AA$67,FALSE),1)</f>
        <v>108.87771770717102</v>
      </c>
      <c r="AB106" s="10">
        <f ca="1">SUMIFS(AB$3:AB$64,$A$3:$A$64,$A106,$D$3:$D$64,$B106)*SUMIF('RES balance'!$D$5:$D$25,'RES Assumptions'!$A106,'RES balance'!AB$5:AB$25)*IFERROR(VLOOKUP($C106,$C$68:$AH$83,AB$67,FALSE),1)</f>
        <v>0.19894607388430513</v>
      </c>
      <c r="AC106" s="10">
        <f ca="1">SUMIFS(AC$3:AC$64,$A$3:$A$64,$A106,$D$3:$D$64,$B106)*SUMIF('RES balance'!$D$5:$D$25,'RES Assumptions'!$A106,'RES balance'!AC$5:AC$25)*IFERROR(VLOOKUP($C106,$C$68:$AH$83,AC$67,FALSE),1)</f>
        <v>375.73119046937848</v>
      </c>
      <c r="AD106" s="10">
        <f ca="1">SUMIFS(AD$3:AD$64,$A$3:$A$64,$A106,$D$3:$D$64,$B106)*SUMIF('RES balance'!$D$5:$D$25,'RES Assumptions'!$A106,'RES balance'!AD$5:AD$25)*IFERROR(VLOOKUP($C106,$C$68:$AH$83,AD$67,FALSE),1)</f>
        <v>18.709252499266082</v>
      </c>
      <c r="AE106" s="10">
        <f ca="1">SUMIFS(AE$3:AE$64,$A$3:$A$64,$A106,$D$3:$D$64,$B106)*SUMIF('RES balance'!$D$5:$D$25,'RES Assumptions'!$A106,'RES balance'!AE$5:AE$25)*IFERROR(VLOOKUP($C106,$C$68:$AH$83,AE$67,FALSE),1)</f>
        <v>0.11293670774013527</v>
      </c>
      <c r="AF106" s="10">
        <f ca="1">SUMIFS(AF$3:AF$64,$A$3:$A$64,$A106,$D$3:$D$64,$B106)*SUMIF('RES balance'!$D$5:$D$25,'RES Assumptions'!$A106,'RES balance'!AF$5:AF$25)*IFERROR(VLOOKUP($C106,$C$68:$AH$83,AF$67,FALSE),1)</f>
        <v>8.0826839816056815</v>
      </c>
      <c r="AG106" s="10">
        <f ca="1">SUMIFS(AG$3:AG$64,$A$3:$A$64,$A106,$D$3:$D$64,$B106)*SUMIF('RES balance'!$D$5:$D$25,'RES Assumptions'!$A106,'RES balance'!AG$5:AG$25)*IFERROR(VLOOKUP($C106,$C$68:$AH$83,AG$67,FALSE),1)</f>
        <v>162.91068974017196</v>
      </c>
      <c r="AH106" s="10">
        <f ca="1">SUMIFS(AH$3:AH$64,$A$3:$A$64,$A106,$D$3:$D$64,$B106)*SUMIF('RES balance'!$D$5:$D$25,'RES Assumptions'!$A106,'RES balance'!AH$5:AH$25)*IFERROR(VLOOKUP($C106,$C$68:$AH$83,AH$67,FALSE),1)</f>
        <v>0</v>
      </c>
      <c r="AJ106" s="37" t="s">
        <v>181</v>
      </c>
      <c r="AK106" s="37" t="s">
        <v>18</v>
      </c>
      <c r="AL106" s="8"/>
      <c r="AM106" s="8"/>
      <c r="AN106" s="8"/>
      <c r="AO106" s="8"/>
    </row>
    <row r="107" spans="1:41" x14ac:dyDescent="0.45">
      <c r="A107" s="8" t="str">
        <f t="shared" si="22"/>
        <v>RESNGA</v>
      </c>
      <c r="B107" s="8" t="str">
        <f t="shared" si="23"/>
        <v>RH</v>
      </c>
      <c r="C107" s="48" t="str">
        <f>SUBSTITUTE(SUBSTITUTE(SUBSTITUTE('RES Veda input'!B24,"1",""),"000",""),"RRF","RR")</f>
        <v>RHNGA</v>
      </c>
      <c r="E107" s="10">
        <f ca="1">SUMIFS(E$3:E$64,$A$3:$A$64,$A107,$D$3:$D$64,$B107)*SUMIF('RES balance'!$D$5:$D$25,'RES Assumptions'!$A107,'RES balance'!E$5:E$25)*IFERROR(VLOOKUP($C107,$C$68:$AH$83,E$67,FALSE),1)</f>
        <v>0.74556930603756166</v>
      </c>
      <c r="F107" s="10">
        <f ca="1">SUMIFS(F$3:F$64,$A$3:$A$64,$A107,$D$3:$D$64,$B107)*SUMIF('RES balance'!$D$5:$D$25,'RES Assumptions'!$A107,'RES balance'!F$5:F$25)*IFERROR(VLOOKUP($C107,$C$68:$AH$83,F$67,FALSE),1)</f>
        <v>5.8894723471821429E-7</v>
      </c>
      <c r="G107" s="10">
        <f ca="1">SUMIFS(G$3:G$64,$A$3:$A$64,$A107,$D$3:$D$64,$B107)*SUMIF('RES balance'!$D$5:$D$25,'RES Assumptions'!$A107,'RES balance'!G$5:G$25)*IFERROR(VLOOKUP($C107,$C$68:$AH$83,G$67,FALSE),1)</f>
        <v>0.56286056778225002</v>
      </c>
      <c r="H107" s="10">
        <f ca="1">SUMIFS(H$3:H$64,$A$3:$A$64,$A107,$D$3:$D$64,$B107)*SUMIF('RES balance'!$D$5:$D$25,'RES Assumptions'!$A107,'RES balance'!H$5:H$25)*IFERROR(VLOOKUP($C107,$C$68:$AH$83,H$67,FALSE),1)</f>
        <v>407.03453903813261</v>
      </c>
      <c r="I107" s="10">
        <f ca="1">SUMIFS(I$3:I$64,$A$3:$A$64,$A107,$D$3:$D$64,$B107)*SUMIF('RES balance'!$D$5:$D$25,'RES Assumptions'!$A107,'RES balance'!I$5:I$25)*IFERROR(VLOOKUP($C107,$C$68:$AH$83,I$67,FALSE),1)</f>
        <v>130.6179562038426</v>
      </c>
      <c r="J107" s="10">
        <f ca="1">SUMIFS(J$3:J$64,$A$3:$A$64,$A107,$D$3:$D$64,$B107)*SUMIF('RES balance'!$D$5:$D$25,'RES Assumptions'!$A107,'RES balance'!J$5:J$25)*IFERROR(VLOOKUP($C107,$C$68:$AH$83,J$67,FALSE),1)</f>
        <v>0</v>
      </c>
      <c r="K107" s="10">
        <f ca="1">SUMIFS(K$3:K$64,$A$3:$A$64,$A107,$D$3:$D$64,$B107)*SUMIF('RES balance'!$D$5:$D$25,'RES Assumptions'!$A107,'RES balance'!K$5:K$25)*IFERROR(VLOOKUP($C107,$C$68:$AH$83,K$67,FALSE),1)</f>
        <v>97.44566590439112</v>
      </c>
      <c r="L107" s="10">
        <f ca="1">SUMIFS(L$3:L$64,$A$3:$A$64,$A107,$D$3:$D$64,$B107)*SUMIF('RES balance'!$D$5:$D$25,'RES Assumptions'!$A107,'RES balance'!L$5:L$25)*IFERROR(VLOOKUP($C107,$C$68:$AH$83,L$67,FALSE),1)</f>
        <v>2.5583287124739965E-2</v>
      </c>
      <c r="M107" s="10">
        <f ca="1">SUMIFS(M$3:M$64,$A$3:$A$64,$A107,$D$3:$D$64,$B107)*SUMIF('RES balance'!$D$5:$D$25,'RES Assumptions'!$A107,'RES balance'!M$5:M$25)*IFERROR(VLOOKUP($C107,$C$68:$AH$83,M$67,FALSE),1)</f>
        <v>404.10567079520865</v>
      </c>
      <c r="N107" s="10">
        <f ca="1">SUMIFS(N$3:N$64,$A$3:$A$64,$A107,$D$3:$D$64,$B107)*SUMIF('RES balance'!$D$5:$D$25,'RES Assumptions'!$A107,'RES balance'!N$5:N$25)*IFERROR(VLOOKUP($C107,$C$68:$AH$83,N$67,FALSE),1)</f>
        <v>0</v>
      </c>
      <c r="O107" s="10">
        <f ca="1">SUMIFS(O$3:O$64,$A$3:$A$64,$A107,$D$3:$D$64,$B107)*SUMIF('RES balance'!$D$5:$D$25,'RES Assumptions'!$A107,'RES balance'!O$5:O$25)*IFERROR(VLOOKUP($C107,$C$68:$AH$83,O$67,FALSE),1)</f>
        <v>22.142859616815237</v>
      </c>
      <c r="P107" s="10">
        <f ca="1">SUMIFS(P$3:P$64,$A$3:$A$64,$A107,$D$3:$D$64,$B107)*SUMIF('RES balance'!$D$5:$D$25,'RES Assumptions'!$A107,'RES balance'!P$5:P$25)*IFERROR(VLOOKUP($C107,$C$68:$AH$83,P$67,FALSE),1)</f>
        <v>229.69087682109091</v>
      </c>
      <c r="Q107" s="10">
        <f ca="1">SUMIFS(Q$3:Q$64,$A$3:$A$64,$A107,$D$3:$D$64,$B107)*SUMIF('RES balance'!$D$5:$D$25,'RES Assumptions'!$A107,'RES balance'!Q$5:Q$25)*IFERROR(VLOOKUP($C107,$C$68:$AH$83,Q$67,FALSE),1)</f>
        <v>343.64482369534812</v>
      </c>
      <c r="R107" s="10">
        <f ca="1">SUMIFS(R$3:R$64,$A$3:$A$64,$A107,$D$3:$D$64,$B107)*SUMIF('RES balance'!$D$5:$D$25,'RES Assumptions'!$A107,'RES balance'!R$5:R$25)*IFERROR(VLOOKUP($C107,$C$68:$AH$83,R$67,FALSE),1)</f>
        <v>531.34900739844113</v>
      </c>
      <c r="S107" s="10">
        <f ca="1">SUMIFS(S$3:S$64,$A$3:$A$64,$A107,$D$3:$D$64,$B107)*SUMIF('RES balance'!$D$5:$D$25,'RES Assumptions'!$A107,'RES balance'!S$5:S$25)*IFERROR(VLOOKUP($C107,$C$68:$AH$83,S$67,FALSE),1)</f>
        <v>164.22301386669483</v>
      </c>
      <c r="T107" s="10">
        <f ca="1">SUMIFS(T$3:T$64,$A$3:$A$64,$A107,$D$3:$D$64,$B107)*SUMIF('RES balance'!$D$5:$D$25,'RES Assumptions'!$A107,'RES balance'!T$5:T$25)*IFERROR(VLOOKUP($C107,$C$68:$AH$83,T$67,FALSE),1)</f>
        <v>120.40141439667393</v>
      </c>
      <c r="U107" s="10">
        <f ca="1">SUMIFS(U$3:U$64,$A$3:$A$64,$A107,$D$3:$D$64,$B107)*SUMIF('RES balance'!$D$5:$D$25,'RES Assumptions'!$A107,'RES balance'!U$5:U$25)*IFERROR(VLOOKUP($C107,$C$68:$AH$83,U$67,FALSE),1)</f>
        <v>590.94422473262841</v>
      </c>
      <c r="V107" s="10">
        <f ca="1">SUMIFS(V$3:V$64,$A$3:$A$64,$A107,$D$3:$D$64,$B107)*SUMIF('RES balance'!$D$5:$D$25,'RES Assumptions'!$A107,'RES balance'!V$5:V$25)*IFERROR(VLOOKUP($C107,$C$68:$AH$83,V$67,FALSE),1)</f>
        <v>365.67679238605444</v>
      </c>
      <c r="W107" s="10">
        <f ca="1">SUMIFS(W$3:W$64,$A$3:$A$64,$A107,$D$3:$D$64,$B107)*SUMIF('RES balance'!$D$5:$D$25,'RES Assumptions'!$A107,'RES balance'!W$5:W$25)*IFERROR(VLOOKUP($C107,$C$68:$AH$83,W$67,FALSE),1)</f>
        <v>729.55731138926012</v>
      </c>
      <c r="X107" s="10">
        <f ca="1">SUMIFS(X$3:X$64,$A$3:$A$64,$A107,$D$3:$D$64,$B107)*SUMIF('RES balance'!$D$5:$D$25,'RES Assumptions'!$A107,'RES balance'!X$5:X$25)*IFERROR(VLOOKUP($C107,$C$68:$AH$83,X$67,FALSE),1)</f>
        <v>0</v>
      </c>
      <c r="Y107" s="10">
        <f ca="1">SUMIFS(Y$3:Y$64,$A$3:$A$64,$A107,$D$3:$D$64,$B107)*SUMIF('RES balance'!$D$5:$D$25,'RES Assumptions'!$A107,'RES balance'!Y$5:Y$25)*IFERROR(VLOOKUP($C107,$C$68:$AH$83,Y$67,FALSE),1)</f>
        <v>0.1228650559689299</v>
      </c>
      <c r="Z107" s="10">
        <f ca="1">SUMIFS(Z$3:Z$64,$A$3:$A$64,$A107,$D$3:$D$64,$B107)*SUMIF('RES balance'!$D$5:$D$25,'RES Assumptions'!$A107,'RES balance'!Z$5:Z$25)*IFERROR(VLOOKUP($C107,$C$68:$AH$83,Z$67,FALSE),1)</f>
        <v>0.56375657804805601</v>
      </c>
      <c r="AA107" s="10">
        <f ca="1">SUMIFS(AA$3:AA$64,$A$3:$A$64,$A107,$D$3:$D$64,$B107)*SUMIF('RES balance'!$D$5:$D$25,'RES Assumptions'!$A107,'RES balance'!AA$5:AA$25)*IFERROR(VLOOKUP($C107,$C$68:$AH$83,AA$67,FALSE),1)</f>
        <v>1115.8894728513478</v>
      </c>
      <c r="AB107" s="10">
        <f ca="1">SUMIFS(AB$3:AB$64,$A$3:$A$64,$A107,$D$3:$D$64,$B107)*SUMIF('RES balance'!$D$5:$D$25,'RES Assumptions'!$A107,'RES balance'!AB$5:AB$25)*IFERROR(VLOOKUP($C107,$C$68:$AH$83,AB$67,FALSE),1)</f>
        <v>4.9813704952107261E-2</v>
      </c>
      <c r="AC107" s="10">
        <f ca="1">SUMIFS(AC$3:AC$64,$A$3:$A$64,$A107,$D$3:$D$64,$B107)*SUMIF('RES balance'!$D$5:$D$25,'RES Assumptions'!$A107,'RES balance'!AC$5:AC$25)*IFERROR(VLOOKUP($C107,$C$68:$AH$83,AC$67,FALSE),1)</f>
        <v>1796.5399130893579</v>
      </c>
      <c r="AD107" s="10">
        <f ca="1">SUMIFS(AD$3:AD$64,$A$3:$A$64,$A107,$D$3:$D$64,$B107)*SUMIF('RES balance'!$D$5:$D$25,'RES Assumptions'!$A107,'RES balance'!AD$5:AD$25)*IFERROR(VLOOKUP($C107,$C$68:$AH$83,AD$67,FALSE),1)</f>
        <v>0</v>
      </c>
      <c r="AE107" s="10">
        <f ca="1">SUMIFS(AE$3:AE$64,$A$3:$A$64,$A107,$D$3:$D$64,$B107)*SUMIF('RES balance'!$D$5:$D$25,'RES Assumptions'!$A107,'RES balance'!AE$5:AE$25)*IFERROR(VLOOKUP($C107,$C$68:$AH$83,AE$67,FALSE),1)</f>
        <v>3.1236758866075835E-4</v>
      </c>
      <c r="AF107" s="10">
        <f ca="1">SUMIFS(AF$3:AF$64,$A$3:$A$64,$A107,$D$3:$D$64,$B107)*SUMIF('RES balance'!$D$5:$D$25,'RES Assumptions'!$A107,'RES balance'!AF$5:AF$25)*IFERROR(VLOOKUP($C107,$C$68:$AH$83,AF$67,FALSE),1)</f>
        <v>734.3616097552906</v>
      </c>
      <c r="AG107" s="10">
        <f ca="1">SUMIFS(AG$3:AG$64,$A$3:$A$64,$A107,$D$3:$D$64,$B107)*SUMIF('RES balance'!$D$5:$D$25,'RES Assumptions'!$A107,'RES balance'!AG$5:AG$25)*IFERROR(VLOOKUP($C107,$C$68:$AH$83,AG$67,FALSE),1)</f>
        <v>3388.3063959326905</v>
      </c>
      <c r="AH107" s="10">
        <f ca="1">SUMIFS(AH$3:AH$64,$A$3:$A$64,$A107,$D$3:$D$64,$B107)*SUMIF('RES balance'!$D$5:$D$25,'RES Assumptions'!$A107,'RES balance'!AH$5:AH$25)*IFERROR(VLOOKUP($C107,$C$68:$AH$83,AH$67,FALSE),1)</f>
        <v>0</v>
      </c>
      <c r="AJ107" s="37" t="s">
        <v>189</v>
      </c>
      <c r="AK107" s="37" t="s">
        <v>18</v>
      </c>
      <c r="AL107" s="8"/>
      <c r="AM107" s="8"/>
      <c r="AN107" s="8"/>
      <c r="AO107" s="8"/>
    </row>
    <row r="108" spans="1:41" x14ac:dyDescent="0.45">
      <c r="A108" s="8" t="str">
        <f t="shared" si="22"/>
        <v>RESNGA</v>
      </c>
      <c r="B108" s="8" t="str">
        <f t="shared" si="23"/>
        <v>RH</v>
      </c>
      <c r="C108" s="48" t="str">
        <f>SUBSTITUTE(SUBSTITUTE(SUBSTITUTE('RES Veda input'!B25,"1",""),"000",""),"RRF","RR")</f>
        <v>RHNHP</v>
      </c>
      <c r="E108" s="10">
        <f ca="1">SUMIFS(E$3:E$64,$A$3:$A$64,$A108,$D$3:$D$64,$B108)*SUMIF('RES balance'!$D$5:$D$25,'RES Assumptions'!$A108,'RES balance'!E$5:E$25)*IFERROR(VLOOKUP($C108,$C$68:$AH$83,E$67,FALSE),1)</f>
        <v>7.4631562165922084E-4</v>
      </c>
      <c r="F108" s="10">
        <f ca="1">SUMIFS(F$3:F$64,$A$3:$A$64,$A108,$D$3:$D$64,$B108)*SUMIF('RES balance'!$D$5:$D$25,'RES Assumptions'!$A108,'RES balance'!F$5:F$25)*IFERROR(VLOOKUP($C108,$C$68:$AH$83,F$67,FALSE),1)</f>
        <v>5.8953677148970399E-10</v>
      </c>
      <c r="G108" s="10">
        <f ca="1">SUMIFS(G$3:G$64,$A$3:$A$64,$A108,$D$3:$D$64,$B108)*SUMIF('RES balance'!$D$5:$D$25,'RES Assumptions'!$A108,'RES balance'!G$5:G$25)*IFERROR(VLOOKUP($C108,$C$68:$AH$83,G$67,FALSE),1)</f>
        <v>5.6291685946819684E-5</v>
      </c>
      <c r="H108" s="10">
        <f ca="1">SUMIFS(H$3:H$64,$A$3:$A$64,$A108,$D$3:$D$64,$B108)*SUMIF('RES balance'!$D$5:$D$25,'RES Assumptions'!$A108,'RES balance'!H$5:H$25)*IFERROR(VLOOKUP($C108,$C$68:$AH$83,H$67,FALSE),1)</f>
        <v>0.40744198101915174</v>
      </c>
      <c r="I108" s="10">
        <f ca="1">SUMIFS(I$3:I$64,$A$3:$A$64,$A108,$D$3:$D$64,$B108)*SUMIF('RES balance'!$D$5:$D$25,'RES Assumptions'!$A108,'RES balance'!I$5:I$25)*IFERROR(VLOOKUP($C108,$C$68:$AH$83,I$67,FALSE),1)</f>
        <v>6.8746292738864527</v>
      </c>
      <c r="J108" s="10">
        <f ca="1">SUMIFS(J$3:J$64,$A$3:$A$64,$A108,$D$3:$D$64,$B108)*SUMIF('RES balance'!$D$5:$D$25,'RES Assumptions'!$A108,'RES balance'!J$5:J$25)*IFERROR(VLOOKUP($C108,$C$68:$AH$83,J$67,FALSE),1)</f>
        <v>0</v>
      </c>
      <c r="K108" s="10">
        <f ca="1">SUMIFS(K$3:K$64,$A$3:$A$64,$A108,$D$3:$D$64,$B108)*SUMIF('RES balance'!$D$5:$D$25,'RES Assumptions'!$A108,'RES balance'!K$5:K$25)*IFERROR(VLOOKUP($C108,$C$68:$AH$83,K$67,FALSE),1)</f>
        <v>9.7543209113504628E-2</v>
      </c>
      <c r="L108" s="10">
        <f ca="1">SUMIFS(L$3:L$64,$A$3:$A$64,$A108,$D$3:$D$64,$B108)*SUMIF('RES balance'!$D$5:$D$25,'RES Assumptions'!$A108,'RES balance'!L$5:L$25)*IFERROR(VLOOKUP($C108,$C$68:$AH$83,L$67,FALSE),1)</f>
        <v>2.5585845709310896E-6</v>
      </c>
      <c r="M108" s="10">
        <f ca="1">SUMIFS(M$3:M$64,$A$3:$A$64,$A108,$D$3:$D$64,$B108)*SUMIF('RES balance'!$D$5:$D$25,'RES Assumptions'!$A108,'RES balance'!M$5:M$25)*IFERROR(VLOOKUP($C108,$C$68:$AH$83,M$67,FALSE),1)</f>
        <v>21.268719515537299</v>
      </c>
      <c r="N108" s="10">
        <f ca="1">SUMIFS(N$3:N$64,$A$3:$A$64,$A108,$D$3:$D$64,$B108)*SUMIF('RES balance'!$D$5:$D$25,'RES Assumptions'!$A108,'RES balance'!N$5:N$25)*IFERROR(VLOOKUP($C108,$C$68:$AH$83,N$67,FALSE),1)</f>
        <v>0</v>
      </c>
      <c r="O108" s="10">
        <f ca="1">SUMIFS(O$3:O$64,$A$3:$A$64,$A108,$D$3:$D$64,$B108)*SUMIF('RES balance'!$D$5:$D$25,'RES Assumptions'!$A108,'RES balance'!O$5:O$25)*IFERROR(VLOOKUP($C108,$C$68:$AH$83,O$67,FALSE),1)</f>
        <v>0.22366524865469939</v>
      </c>
      <c r="P108" s="10">
        <f ca="1">SUMIFS(P$3:P$64,$A$3:$A$64,$A108,$D$3:$D$64,$B108)*SUMIF('RES balance'!$D$5:$D$25,'RES Assumptions'!$A108,'RES balance'!P$5:P$25)*IFERROR(VLOOKUP($C108,$C$68:$AH$83,P$67,FALSE),1)</f>
        <v>0.22992079761870962</v>
      </c>
      <c r="Q108" s="10">
        <f ca="1">SUMIFS(Q$3:Q$64,$A$3:$A$64,$A108,$D$3:$D$64,$B108)*SUMIF('RES balance'!$D$5:$D$25,'RES Assumptions'!$A108,'RES balance'!Q$5:Q$25)*IFERROR(VLOOKUP($C108,$C$68:$AH$83,Q$67,FALSE),1)</f>
        <v>3.4711598353065467</v>
      </c>
      <c r="R108" s="10">
        <f ca="1">SUMIFS(R$3:R$64,$A$3:$A$64,$A108,$D$3:$D$64,$B108)*SUMIF('RES balance'!$D$5:$D$25,'RES Assumptions'!$A108,'RES balance'!R$5:R$25)*IFERROR(VLOOKUP($C108,$C$68:$AH$83,R$67,FALSE),1)</f>
        <v>5.3671616908933446</v>
      </c>
      <c r="S108" s="10">
        <f ca="1">SUMIFS(S$3:S$64,$A$3:$A$64,$A108,$D$3:$D$64,$B108)*SUMIF('RES balance'!$D$5:$D$25,'RES Assumptions'!$A108,'RES balance'!S$5:S$25)*IFERROR(VLOOKUP($C108,$C$68:$AH$83,S$67,FALSE),1)</f>
        <v>0.16438740126796278</v>
      </c>
      <c r="T108" s="10">
        <f ca="1">SUMIFS(T$3:T$64,$A$3:$A$64,$A108,$D$3:$D$64,$B108)*SUMIF('RES balance'!$D$5:$D$25,'RES Assumptions'!$A108,'RES balance'!T$5:T$25)*IFERROR(VLOOKUP($C108,$C$68:$AH$83,T$67,FALSE),1)</f>
        <v>1.2161759029967063</v>
      </c>
      <c r="U108" s="10">
        <f ca="1">SUMIFS(U$3:U$64,$A$3:$A$64,$A108,$D$3:$D$64,$B108)*SUMIF('RES balance'!$D$5:$D$25,'RES Assumptions'!$A108,'RES balance'!U$5:U$25)*IFERROR(VLOOKUP($C108,$C$68:$AH$83,U$67,FALSE),1)</f>
        <v>0.59153576049312151</v>
      </c>
      <c r="V108" s="10">
        <f ca="1">SUMIFS(V$3:V$64,$A$3:$A$64,$A108,$D$3:$D$64,$B108)*SUMIF('RES balance'!$D$5:$D$25,'RES Assumptions'!$A108,'RES balance'!V$5:V$25)*IFERROR(VLOOKUP($C108,$C$68:$AH$83,V$67,FALSE),1)</f>
        <v>3.69370497359651</v>
      </c>
      <c r="W108" s="10">
        <f ca="1">SUMIFS(W$3:W$64,$A$3:$A$64,$A108,$D$3:$D$64,$B108)*SUMIF('RES balance'!$D$5:$D$25,'RES Assumptions'!$A108,'RES balance'!W$5:W$25)*IFERROR(VLOOKUP($C108,$C$68:$AH$83,W$67,FALSE),1)</f>
        <v>7.3692657716086876</v>
      </c>
      <c r="X108" s="10">
        <f ca="1">SUMIFS(X$3:X$64,$A$3:$A$64,$A108,$D$3:$D$64,$B108)*SUMIF('RES balance'!$D$5:$D$25,'RES Assumptions'!$A108,'RES balance'!X$5:X$25)*IFERROR(VLOOKUP($C108,$C$68:$AH$83,X$67,FALSE),1)</f>
        <v>0</v>
      </c>
      <c r="Y108" s="10">
        <f ca="1">SUMIFS(Y$3:Y$64,$A$3:$A$64,$A108,$D$3:$D$64,$B108)*SUMIF('RES balance'!$D$5:$D$25,'RES Assumptions'!$A108,'RES balance'!Y$5:Y$25)*IFERROR(VLOOKUP($C108,$C$68:$AH$83,Y$67,FALSE),1)</f>
        <v>1.2287734370330024E-5</v>
      </c>
      <c r="Z108" s="10">
        <f ca="1">SUMIFS(Z$3:Z$64,$A$3:$A$64,$A108,$D$3:$D$64,$B108)*SUMIF('RES balance'!$D$5:$D$25,'RES Assumptions'!$A108,'RES balance'!Z$5:Z$25)*IFERROR(VLOOKUP($C108,$C$68:$AH$83,Z$67,FALSE),1)</f>
        <v>5.6381295934399051E-5</v>
      </c>
      <c r="AA108" s="10">
        <f ca="1">SUMIFS(AA$3:AA$64,$A$3:$A$64,$A108,$D$3:$D$64,$B108)*SUMIF('RES balance'!$D$5:$D$25,'RES Assumptions'!$A108,'RES balance'!AA$5:AA$25)*IFERROR(VLOOKUP($C108,$C$68:$AH$83,AA$67,FALSE),1)</f>
        <v>1.1170064793306786</v>
      </c>
      <c r="AB108" s="10">
        <f ca="1">SUMIFS(AB$3:AB$64,$A$3:$A$64,$A108,$D$3:$D$64,$B108)*SUMIF('RES balance'!$D$5:$D$25,'RES Assumptions'!$A108,'RES balance'!AB$5:AB$25)*IFERROR(VLOOKUP($C108,$C$68:$AH$83,AB$67,FALSE),1)</f>
        <v>5.0316873688997235E-4</v>
      </c>
      <c r="AC108" s="10">
        <f ca="1">SUMIFS(AC$3:AC$64,$A$3:$A$64,$A108,$D$3:$D$64,$B108)*SUMIF('RES balance'!$D$5:$D$25,'RES Assumptions'!$A108,'RES balance'!AC$5:AC$25)*IFERROR(VLOOKUP($C108,$C$68:$AH$83,AC$67,FALSE),1)</f>
        <v>1.7983382513406987</v>
      </c>
      <c r="AD108" s="10">
        <f ca="1">SUMIFS(AD$3:AD$64,$A$3:$A$64,$A108,$D$3:$D$64,$B108)*SUMIF('RES balance'!$D$5:$D$25,'RES Assumptions'!$A108,'RES balance'!AD$5:AD$25)*IFERROR(VLOOKUP($C108,$C$68:$AH$83,AD$67,FALSE),1)</f>
        <v>0</v>
      </c>
      <c r="AE108" s="10">
        <f ca="1">SUMIFS(AE$3:AE$64,$A$3:$A$64,$A108,$D$3:$D$64,$B108)*SUMIF('RES balance'!$D$5:$D$25,'RES Assumptions'!$A108,'RES balance'!AE$5:AE$25)*IFERROR(VLOOKUP($C108,$C$68:$AH$83,AE$67,FALSE),1)</f>
        <v>3.1268026892968805E-7</v>
      </c>
      <c r="AF108" s="10">
        <f ca="1">SUMIFS(AF$3:AF$64,$A$3:$A$64,$A108,$D$3:$D$64,$B108)*SUMIF('RES balance'!$D$5:$D$25,'RES Assumptions'!$A108,'RES balance'!AF$5:AF$25)*IFERROR(VLOOKUP($C108,$C$68:$AH$83,AF$67,FALSE),1)</f>
        <v>7.4177940379322287</v>
      </c>
      <c r="AG108" s="10">
        <f ca="1">SUMIFS(AG$3:AG$64,$A$3:$A$64,$A108,$D$3:$D$64,$B108)*SUMIF('RES balance'!$D$5:$D$25,'RES Assumptions'!$A108,'RES balance'!AG$5:AG$25)*IFERROR(VLOOKUP($C108,$C$68:$AH$83,AG$67,FALSE),1)</f>
        <v>1.0224298682869388</v>
      </c>
      <c r="AH108" s="10">
        <f ca="1">SUMIFS(AH$3:AH$64,$A$3:$A$64,$A108,$D$3:$D$64,$B108)*SUMIF('RES balance'!$D$5:$D$25,'RES Assumptions'!$A108,'RES balance'!AH$5:AH$25)*IFERROR(VLOOKUP($C108,$C$68:$AH$83,AH$67,FALSE),1)</f>
        <v>0</v>
      </c>
      <c r="AJ108" s="37" t="s">
        <v>372</v>
      </c>
      <c r="AK108" s="37" t="s">
        <v>372</v>
      </c>
      <c r="AL108" s="8"/>
      <c r="AM108" s="8"/>
      <c r="AN108" s="8"/>
      <c r="AO108" s="8"/>
    </row>
    <row r="109" spans="1:41" x14ac:dyDescent="0.45">
      <c r="A109" s="8" t="str">
        <f t="shared" si="22"/>
        <v>RESBIO</v>
      </c>
      <c r="B109" s="8" t="str">
        <f t="shared" si="23"/>
        <v>RHW</v>
      </c>
      <c r="C109" s="48" t="str">
        <f>SUBSTITUTE(SUBSTITUTE(SUBSTITUTE('RES Veda input'!B26,"1",""),"000",""),"RRF","RR")</f>
        <v>RHWBIO</v>
      </c>
      <c r="E109" s="10">
        <f ca="1">SUMIFS(E$3:E$64,$A$3:$A$64,$A109,$D$3:$D$64,$B109)*SUMIF('RES balance'!$D$5:$D$25,'RES Assumptions'!$A109,'RES balance'!E$5:E$25)*IFERROR(VLOOKUP($C109,$C$68:$AH$83,E$67,FALSE),1)</f>
        <v>26.624531925359992</v>
      </c>
      <c r="F109" s="10">
        <f ca="1">SUMIFS(F$3:F$64,$A$3:$A$64,$A109,$D$3:$D$64,$B109)*SUMIF('RES balance'!$D$5:$D$25,'RES Assumptions'!$A109,'RES balance'!F$5:F$25)*IFERROR(VLOOKUP($C109,$C$68:$AH$83,F$67,FALSE),1)</f>
        <v>2249.5983166835995</v>
      </c>
      <c r="G109" s="10">
        <f ca="1">SUMIFS(G$3:G$64,$A$3:$A$64,$A109,$D$3:$D$64,$B109)*SUMIF('RES balance'!$D$5:$D$25,'RES Assumptions'!$A109,'RES balance'!G$5:G$25)*IFERROR(VLOOKUP($C109,$C$68:$AH$83,G$67,FALSE),1)</f>
        <v>8.765743012032047</v>
      </c>
      <c r="H109" s="10">
        <f ca="1">SUMIFS(H$3:H$64,$A$3:$A$64,$A109,$D$3:$D$64,$B109)*SUMIF('RES balance'!$D$5:$D$25,'RES Assumptions'!$A109,'RES balance'!H$5:H$25)*IFERROR(VLOOKUP($C109,$C$68:$AH$83,H$67,FALSE),1)</f>
        <v>0.89159206887429787</v>
      </c>
      <c r="I109" s="10">
        <f ca="1">SUMIFS(I$3:I$64,$A$3:$A$64,$A109,$D$3:$D$64,$B109)*SUMIF('RES balance'!$D$5:$D$25,'RES Assumptions'!$A109,'RES balance'!I$5:I$25)*IFERROR(VLOOKUP($C109,$C$68:$AH$83,I$67,FALSE),1)</f>
        <v>0</v>
      </c>
      <c r="J109" s="10">
        <f ca="1">SUMIFS(J$3:J$64,$A$3:$A$64,$A109,$D$3:$D$64,$B109)*SUMIF('RES balance'!$D$5:$D$25,'RES Assumptions'!$A109,'RES balance'!J$5:J$25)*IFERROR(VLOOKUP($C109,$C$68:$AH$83,J$67,FALSE),1)</f>
        <v>0</v>
      </c>
      <c r="K109" s="10">
        <f ca="1">SUMIFS(K$3:K$64,$A$3:$A$64,$A109,$D$3:$D$64,$B109)*SUMIF('RES balance'!$D$5:$D$25,'RES Assumptions'!$A109,'RES balance'!K$5:K$25)*IFERROR(VLOOKUP($C109,$C$68:$AH$83,K$67,FALSE),1)</f>
        <v>0.19721361180006328</v>
      </c>
      <c r="L109" s="10">
        <f ca="1">SUMIFS(L$3:L$64,$A$3:$A$64,$A109,$D$3:$D$64,$B109)*SUMIF('RES balance'!$D$5:$D$25,'RES Assumptions'!$A109,'RES balance'!L$5:L$25)*IFERROR(VLOOKUP($C109,$C$68:$AH$83,L$67,FALSE),1)</f>
        <v>30.927209264579766</v>
      </c>
      <c r="M109" s="10">
        <f ca="1">SUMIFS(M$3:M$64,$A$3:$A$64,$A109,$D$3:$D$64,$B109)*SUMIF('RES balance'!$D$5:$D$25,'RES Assumptions'!$A109,'RES balance'!M$5:M$25)*IFERROR(VLOOKUP($C109,$C$68:$AH$83,M$67,FALSE),1)</f>
        <v>3.9208203555415997</v>
      </c>
      <c r="N109" s="10">
        <f ca="1">SUMIFS(N$3:N$64,$A$3:$A$64,$A109,$D$3:$D$64,$B109)*SUMIF('RES balance'!$D$5:$D$25,'RES Assumptions'!$A109,'RES balance'!N$5:N$25)*IFERROR(VLOOKUP($C109,$C$68:$AH$83,N$67,FALSE),1)</f>
        <v>734.88913751830739</v>
      </c>
      <c r="O109" s="10">
        <f ca="1">SUMIFS(O$3:O$64,$A$3:$A$64,$A109,$D$3:$D$64,$B109)*SUMIF('RES balance'!$D$5:$D$25,'RES Assumptions'!$A109,'RES balance'!O$5:O$25)*IFERROR(VLOOKUP($C109,$C$68:$AH$83,O$67,FALSE),1)</f>
        <v>7.5508264749276082</v>
      </c>
      <c r="P109" s="10">
        <f ca="1">SUMIFS(P$3:P$64,$A$3:$A$64,$A109,$D$3:$D$64,$B109)*SUMIF('RES balance'!$D$5:$D$25,'RES Assumptions'!$A109,'RES balance'!P$5:P$25)*IFERROR(VLOOKUP($C109,$C$68:$AH$83,P$67,FALSE),1)</f>
        <v>25.529762549053558</v>
      </c>
      <c r="Q109" s="10">
        <f ca="1">SUMIFS(Q$3:Q$64,$A$3:$A$64,$A109,$D$3:$D$64,$B109)*SUMIF('RES balance'!$D$5:$D$25,'RES Assumptions'!$A109,'RES balance'!Q$5:Q$25)*IFERROR(VLOOKUP($C109,$C$68:$AH$83,Q$67,FALSE),1)</f>
        <v>2.6402718511074705</v>
      </c>
      <c r="R109" s="10">
        <f ca="1">SUMIFS(R$3:R$64,$A$3:$A$64,$A109,$D$3:$D$64,$B109)*SUMIF('RES balance'!$D$5:$D$25,'RES Assumptions'!$A109,'RES balance'!R$5:R$25)*IFERROR(VLOOKUP($C109,$C$68:$AH$83,R$67,FALSE),1)</f>
        <v>18.37660882246476</v>
      </c>
      <c r="S109" s="10">
        <f ca="1">SUMIFS(S$3:S$64,$A$3:$A$64,$A109,$D$3:$D$64,$B109)*SUMIF('RES balance'!$D$5:$D$25,'RES Assumptions'!$A109,'RES balance'!S$5:S$25)*IFERROR(VLOOKUP($C109,$C$68:$AH$83,S$67,FALSE),1)</f>
        <v>15.096056952838518</v>
      </c>
      <c r="T109" s="10">
        <f ca="1">SUMIFS(T$3:T$64,$A$3:$A$64,$A109,$D$3:$D$64,$B109)*SUMIF('RES balance'!$D$5:$D$25,'RES Assumptions'!$A109,'RES balance'!T$5:T$25)*IFERROR(VLOOKUP($C109,$C$68:$AH$83,T$67,FALSE),1)</f>
        <v>6.8706207119104503</v>
      </c>
      <c r="U109" s="10">
        <f ca="1">SUMIFS(U$3:U$64,$A$3:$A$64,$A109,$D$3:$D$64,$B109)*SUMIF('RES balance'!$D$5:$D$25,'RES Assumptions'!$A109,'RES balance'!U$5:U$25)*IFERROR(VLOOKUP($C109,$C$68:$AH$83,U$67,FALSE),1)</f>
        <v>21.842389385693519</v>
      </c>
      <c r="V109" s="10">
        <f ca="1">SUMIFS(V$3:V$64,$A$3:$A$64,$A109,$D$3:$D$64,$B109)*SUMIF('RES balance'!$D$5:$D$25,'RES Assumptions'!$A109,'RES balance'!V$5:V$25)*IFERROR(VLOOKUP($C109,$C$68:$AH$83,V$67,FALSE),1)</f>
        <v>17.044661839742147</v>
      </c>
      <c r="W109" s="10">
        <f ca="1">SUMIFS(W$3:W$64,$A$3:$A$64,$A109,$D$3:$D$64,$B109)*SUMIF('RES balance'!$D$5:$D$25,'RES Assumptions'!$A109,'RES balance'!W$5:W$25)*IFERROR(VLOOKUP($C109,$C$68:$AH$83,W$67,FALSE),1)</f>
        <v>16.238691240734521</v>
      </c>
      <c r="X109" s="10">
        <f ca="1">SUMIFS(X$3:X$64,$A$3:$A$64,$A109,$D$3:$D$64,$B109)*SUMIF('RES balance'!$D$5:$D$25,'RES Assumptions'!$A109,'RES balance'!X$5:X$25)*IFERROR(VLOOKUP($C109,$C$68:$AH$83,X$67,FALSE),1)</f>
        <v>0</v>
      </c>
      <c r="Y109" s="10">
        <f ca="1">SUMIFS(Y$3:Y$64,$A$3:$A$64,$A109,$D$3:$D$64,$B109)*SUMIF('RES balance'!$D$5:$D$25,'RES Assumptions'!$A109,'RES balance'!Y$5:Y$25)*IFERROR(VLOOKUP($C109,$C$68:$AH$83,Y$67,FALSE),1)</f>
        <v>78.270906069030204</v>
      </c>
      <c r="Z109" s="10">
        <f ca="1">SUMIFS(Z$3:Z$64,$A$3:$A$64,$A109,$D$3:$D$64,$B109)*SUMIF('RES balance'!$D$5:$D$25,'RES Assumptions'!$A109,'RES balance'!Z$5:Z$25)*IFERROR(VLOOKUP($C109,$C$68:$AH$83,Z$67,FALSE),1)</f>
        <v>0</v>
      </c>
      <c r="AA109" s="10">
        <f ca="1">SUMIFS(AA$3:AA$64,$A$3:$A$64,$A109,$D$3:$D$64,$B109)*SUMIF('RES balance'!$D$5:$D$25,'RES Assumptions'!$A109,'RES balance'!AA$5:AA$25)*IFERROR(VLOOKUP($C109,$C$68:$AH$83,AA$67,FALSE),1)</f>
        <v>1.2373759588176914</v>
      </c>
      <c r="AB109" s="10">
        <f ca="1">SUMIFS(AB$3:AB$64,$A$3:$A$64,$A109,$D$3:$D$64,$B109)*SUMIF('RES balance'!$D$5:$D$25,'RES Assumptions'!$A109,'RES balance'!AB$5:AB$25)*IFERROR(VLOOKUP($C109,$C$68:$AH$83,AB$67,FALSE),1)</f>
        <v>1.2329792124534213</v>
      </c>
      <c r="AC109" s="10">
        <f ca="1">SUMIFS(AC$3:AC$64,$A$3:$A$64,$A109,$D$3:$D$64,$B109)*SUMIF('RES balance'!$D$5:$D$25,'RES Assumptions'!$A109,'RES balance'!AC$5:AC$25)*IFERROR(VLOOKUP($C109,$C$68:$AH$83,AC$67,FALSE),1)</f>
        <v>2.4501586349983815</v>
      </c>
      <c r="AD109" s="10">
        <f ca="1">SUMIFS(AD$3:AD$64,$A$3:$A$64,$A109,$D$3:$D$64,$B109)*SUMIF('RES balance'!$D$5:$D$25,'RES Assumptions'!$A109,'RES balance'!AD$5:AD$25)*IFERROR(VLOOKUP($C109,$C$68:$AH$83,AD$67,FALSE),1)</f>
        <v>2.2180494551510874E-2</v>
      </c>
      <c r="AE109" s="10">
        <f ca="1">SUMIFS(AE$3:AE$64,$A$3:$A$64,$A109,$D$3:$D$64,$B109)*SUMIF('RES balance'!$D$5:$D$25,'RES Assumptions'!$A109,'RES balance'!AE$5:AE$25)*IFERROR(VLOOKUP($C109,$C$68:$AH$83,AE$67,FALSE),1)</f>
        <v>25.593599414159993</v>
      </c>
      <c r="AF109" s="10">
        <f ca="1">SUMIFS(AF$3:AF$64,$A$3:$A$64,$A109,$D$3:$D$64,$B109)*SUMIF('RES balance'!$D$5:$D$25,'RES Assumptions'!$A109,'RES balance'!AF$5:AF$25)*IFERROR(VLOOKUP($C109,$C$68:$AH$83,AF$67,FALSE),1)</f>
        <v>1.7511886680358606</v>
      </c>
      <c r="AG109" s="10">
        <f ca="1">SUMIFS(AG$3:AG$64,$A$3:$A$64,$A109,$D$3:$D$64,$B109)*SUMIF('RES balance'!$D$5:$D$25,'RES Assumptions'!$A109,'RES balance'!AG$5:AG$25)*IFERROR(VLOOKUP($C109,$C$68:$AH$83,AG$67,FALSE),1)</f>
        <v>0</v>
      </c>
      <c r="AH109" s="10">
        <f ca="1">SUMIFS(AH$3:AH$64,$A$3:$A$64,$A109,$D$3:$D$64,$B109)*SUMIF('RES balance'!$D$5:$D$25,'RES Assumptions'!$A109,'RES balance'!AH$5:AH$25)*IFERROR(VLOOKUP($C109,$C$68:$AH$83,AH$67,FALSE),1)</f>
        <v>0</v>
      </c>
    </row>
    <row r="110" spans="1:41" x14ac:dyDescent="0.45">
      <c r="A110" s="8" t="str">
        <f t="shared" si="22"/>
        <v>RESCOA</v>
      </c>
      <c r="B110" s="8" t="str">
        <f t="shared" si="23"/>
        <v>RHW</v>
      </c>
      <c r="C110" s="48" t="str">
        <f>SUBSTITUTE(SUBSTITUTE(SUBSTITUTE('RES Veda input'!B27,"1",""),"000",""),"RRF","RR")</f>
        <v>RHWCOA</v>
      </c>
      <c r="E110" s="10">
        <f ca="1">SUMIFS(E$3:E$64,$A$3:$A$64,$A110,$D$3:$D$64,$B110)*SUMIF('RES balance'!$D$5:$D$25,'RES Assumptions'!$A110,'RES balance'!E$5:E$25)*IFERROR(VLOOKUP($C110,$C$68:$AH$83,E$67,FALSE),1)</f>
        <v>0</v>
      </c>
      <c r="F110" s="10">
        <f ca="1">SUMIFS(F$3:F$64,$A$3:$A$64,$A110,$D$3:$D$64,$B110)*SUMIF('RES balance'!$D$5:$D$25,'RES Assumptions'!$A110,'RES balance'!F$5:F$25)*IFERROR(VLOOKUP($C110,$C$68:$AH$83,F$67,FALSE),1)</f>
        <v>8.0211762559781685E-2</v>
      </c>
      <c r="G110" s="10">
        <f ca="1">SUMIFS(G$3:G$64,$A$3:$A$64,$A110,$D$3:$D$64,$B110)*SUMIF('RES balance'!$D$5:$D$25,'RES Assumptions'!$A110,'RES balance'!G$5:G$25)*IFERROR(VLOOKUP($C110,$C$68:$AH$83,G$67,FALSE),1)</f>
        <v>0</v>
      </c>
      <c r="H110" s="10">
        <f ca="1">SUMIFS(H$3:H$64,$A$3:$A$64,$A110,$D$3:$D$64,$B110)*SUMIF('RES balance'!$D$5:$D$25,'RES Assumptions'!$A110,'RES balance'!H$5:H$25)*IFERROR(VLOOKUP($C110,$C$68:$AH$83,H$67,FALSE),1)</f>
        <v>24.777865900074353</v>
      </c>
      <c r="I110" s="10">
        <f ca="1">SUMIFS(I$3:I$64,$A$3:$A$64,$A110,$D$3:$D$64,$B110)*SUMIF('RES balance'!$D$5:$D$25,'RES Assumptions'!$A110,'RES balance'!I$5:I$25)*IFERROR(VLOOKUP($C110,$C$68:$AH$83,I$67,FALSE),1)</f>
        <v>3.1377944072923469</v>
      </c>
      <c r="J110" s="10">
        <f ca="1">SUMIFS(J$3:J$64,$A$3:$A$64,$A110,$D$3:$D$64,$B110)*SUMIF('RES balance'!$D$5:$D$25,'RES Assumptions'!$A110,'RES balance'!J$5:J$25)*IFERROR(VLOOKUP($C110,$C$68:$AH$83,J$67,FALSE),1)</f>
        <v>0</v>
      </c>
      <c r="K110" s="10">
        <f ca="1">SUMIFS(K$3:K$64,$A$3:$A$64,$A110,$D$3:$D$64,$B110)*SUMIF('RES balance'!$D$5:$D$25,'RES Assumptions'!$A110,'RES balance'!K$5:K$25)*IFERROR(VLOOKUP($C110,$C$68:$AH$83,K$67,FALSE),1)</f>
        <v>1.6558037349397595E-2</v>
      </c>
      <c r="L110" s="10">
        <f ca="1">SUMIFS(L$3:L$64,$A$3:$A$64,$A110,$D$3:$D$64,$B110)*SUMIF('RES balance'!$D$5:$D$25,'RES Assumptions'!$A110,'RES balance'!L$5:L$25)*IFERROR(VLOOKUP($C110,$C$68:$AH$83,L$67,FALSE),1)</f>
        <v>0</v>
      </c>
      <c r="M110" s="10">
        <f ca="1">SUMIFS(M$3:M$64,$A$3:$A$64,$A110,$D$3:$D$64,$B110)*SUMIF('RES balance'!$D$5:$D$25,'RES Assumptions'!$A110,'RES balance'!M$5:M$25)*IFERROR(VLOOKUP($C110,$C$68:$AH$83,M$67,FALSE),1)</f>
        <v>0</v>
      </c>
      <c r="N110" s="10">
        <f ca="1">SUMIFS(N$3:N$64,$A$3:$A$64,$A110,$D$3:$D$64,$B110)*SUMIF('RES balance'!$D$5:$D$25,'RES Assumptions'!$A110,'RES balance'!N$5:N$25)*IFERROR(VLOOKUP($C110,$C$68:$AH$83,N$67,FALSE),1)</f>
        <v>314.00161642767074</v>
      </c>
      <c r="O110" s="10">
        <f ca="1">SUMIFS(O$3:O$64,$A$3:$A$64,$A110,$D$3:$D$64,$B110)*SUMIF('RES balance'!$D$5:$D$25,'RES Assumptions'!$A110,'RES balance'!O$5:O$25)*IFERROR(VLOOKUP($C110,$C$68:$AH$83,O$67,FALSE),1)</f>
        <v>6.645649531976096E-3</v>
      </c>
      <c r="P110" s="10">
        <f ca="1">SUMIFS(P$3:P$64,$A$3:$A$64,$A110,$D$3:$D$64,$B110)*SUMIF('RES balance'!$D$5:$D$25,'RES Assumptions'!$A110,'RES balance'!P$5:P$25)*IFERROR(VLOOKUP($C110,$C$68:$AH$83,P$67,FALSE),1)</f>
        <v>19.568869777063369</v>
      </c>
      <c r="Q110" s="10">
        <f ca="1">SUMIFS(Q$3:Q$64,$A$3:$A$64,$A110,$D$3:$D$64,$B110)*SUMIF('RES balance'!$D$5:$D$25,'RES Assumptions'!$A110,'RES balance'!Q$5:Q$25)*IFERROR(VLOOKUP($C110,$C$68:$AH$83,Q$67,FALSE),1)</f>
        <v>0.69665944448330785</v>
      </c>
      <c r="R110" s="10">
        <f ca="1">SUMIFS(R$3:R$64,$A$3:$A$64,$A110,$D$3:$D$64,$B110)*SUMIF('RES balance'!$D$5:$D$25,'RES Assumptions'!$A110,'RES balance'!R$5:R$25)*IFERROR(VLOOKUP($C110,$C$68:$AH$83,R$67,FALSE),1)</f>
        <v>6.055762184807135E-3</v>
      </c>
      <c r="S110" s="10">
        <f ca="1">SUMIFS(S$3:S$64,$A$3:$A$64,$A110,$D$3:$D$64,$B110)*SUMIF('RES balance'!$D$5:$D$25,'RES Assumptions'!$A110,'RES balance'!S$5:S$25)*IFERROR(VLOOKUP($C110,$C$68:$AH$83,S$67,FALSE),1)</f>
        <v>0.73964029769844675</v>
      </c>
      <c r="T110" s="10">
        <f ca="1">SUMIFS(T$3:T$64,$A$3:$A$64,$A110,$D$3:$D$64,$B110)*SUMIF('RES balance'!$D$5:$D$25,'RES Assumptions'!$A110,'RES balance'!T$5:T$25)*IFERROR(VLOOKUP($C110,$C$68:$AH$83,T$67,FALSE),1)</f>
        <v>0.11536615186109871</v>
      </c>
      <c r="U110" s="10">
        <f ca="1">SUMIFS(U$3:U$64,$A$3:$A$64,$A110,$D$3:$D$64,$B110)*SUMIF('RES balance'!$D$5:$D$25,'RES Assumptions'!$A110,'RES balance'!U$5:U$25)*IFERROR(VLOOKUP($C110,$C$68:$AH$83,U$67,FALSE),1)</f>
        <v>16.019174152592576</v>
      </c>
      <c r="V110" s="10">
        <f ca="1">SUMIFS(V$3:V$64,$A$3:$A$64,$A110,$D$3:$D$64,$B110)*SUMIF('RES balance'!$D$5:$D$25,'RES Assumptions'!$A110,'RES balance'!V$5:V$25)*IFERROR(VLOOKUP($C110,$C$68:$AH$83,V$67,FALSE),1)</f>
        <v>4.3445380795905757E-2</v>
      </c>
      <c r="W110" s="10">
        <f ca="1">SUMIFS(W$3:W$64,$A$3:$A$64,$A110,$D$3:$D$64,$B110)*SUMIF('RES balance'!$D$5:$D$25,'RES Assumptions'!$A110,'RES balance'!W$5:W$25)*IFERROR(VLOOKUP($C110,$C$68:$AH$83,W$67,FALSE),1)</f>
        <v>0.61367508747428456</v>
      </c>
      <c r="X110" s="10">
        <f ca="1">SUMIFS(X$3:X$64,$A$3:$A$64,$A110,$D$3:$D$64,$B110)*SUMIF('RES balance'!$D$5:$D$25,'RES Assumptions'!$A110,'RES balance'!X$5:X$25)*IFERROR(VLOOKUP($C110,$C$68:$AH$83,X$67,FALSE),1)</f>
        <v>0</v>
      </c>
      <c r="Y110" s="10">
        <f ca="1">SUMIFS(Y$3:Y$64,$A$3:$A$64,$A110,$D$3:$D$64,$B110)*SUMIF('RES balance'!$D$5:$D$25,'RES Assumptions'!$A110,'RES balance'!Y$5:Y$25)*IFERROR(VLOOKUP($C110,$C$68:$AH$83,Y$67,FALSE),1)</f>
        <v>1.4723386045205218</v>
      </c>
      <c r="Z110" s="10">
        <f ca="1">SUMIFS(Z$3:Z$64,$A$3:$A$64,$A110,$D$3:$D$64,$B110)*SUMIF('RES balance'!$D$5:$D$25,'RES Assumptions'!$A110,'RES balance'!Z$5:Z$25)*IFERROR(VLOOKUP($C110,$C$68:$AH$83,Z$67,FALSE),1)</f>
        <v>0</v>
      </c>
      <c r="AA110" s="10">
        <f ca="1">SUMIFS(AA$3:AA$64,$A$3:$A$64,$A110,$D$3:$D$64,$B110)*SUMIF('RES balance'!$D$5:$D$25,'RES Assumptions'!$A110,'RES balance'!AA$5:AA$25)*IFERROR(VLOOKUP($C110,$C$68:$AH$83,AA$67,FALSE),1)</f>
        <v>6.8028562222275324E-2</v>
      </c>
      <c r="AB110" s="10">
        <f ca="1">SUMIFS(AB$3:AB$64,$A$3:$A$64,$A110,$D$3:$D$64,$B110)*SUMIF('RES balance'!$D$5:$D$25,'RES Assumptions'!$A110,'RES balance'!AB$5:AB$25)*IFERROR(VLOOKUP($C110,$C$68:$AH$83,AB$67,FALSE),1)</f>
        <v>0</v>
      </c>
      <c r="AC110" s="10">
        <f ca="1">SUMIFS(AC$3:AC$64,$A$3:$A$64,$A110,$D$3:$D$64,$B110)*SUMIF('RES balance'!$D$5:$D$25,'RES Assumptions'!$A110,'RES balance'!AC$5:AC$25)*IFERROR(VLOOKUP($C110,$C$68:$AH$83,AC$67,FALSE),1)</f>
        <v>8.8714701666918643</v>
      </c>
      <c r="AD110" s="10">
        <f ca="1">SUMIFS(AD$3:AD$64,$A$3:$A$64,$A110,$D$3:$D$64,$B110)*SUMIF('RES balance'!$D$5:$D$25,'RES Assumptions'!$A110,'RES balance'!AD$5:AD$25)*IFERROR(VLOOKUP($C110,$C$68:$AH$83,AD$67,FALSE),1)</f>
        <v>0</v>
      </c>
      <c r="AE110" s="10">
        <f ca="1">SUMIFS(AE$3:AE$64,$A$3:$A$64,$A110,$D$3:$D$64,$B110)*SUMIF('RES balance'!$D$5:$D$25,'RES Assumptions'!$A110,'RES balance'!AE$5:AE$25)*IFERROR(VLOOKUP($C110,$C$68:$AH$83,AE$67,FALSE),1)</f>
        <v>57.212024831686797</v>
      </c>
      <c r="AF110" s="10">
        <f ca="1">SUMIFS(AF$3:AF$64,$A$3:$A$64,$A110,$D$3:$D$64,$B110)*SUMIF('RES balance'!$D$5:$D$25,'RES Assumptions'!$A110,'RES balance'!AF$5:AF$25)*IFERROR(VLOOKUP($C110,$C$68:$AH$83,AF$67,FALSE),1)</f>
        <v>0.81077030896255453</v>
      </c>
      <c r="AG110" s="10">
        <f ca="1">SUMIFS(AG$3:AG$64,$A$3:$A$64,$A110,$D$3:$D$64,$B110)*SUMIF('RES balance'!$D$5:$D$25,'RES Assumptions'!$A110,'RES balance'!AG$5:AG$25)*IFERROR(VLOOKUP($C110,$C$68:$AH$83,AG$67,FALSE),1)</f>
        <v>0</v>
      </c>
      <c r="AH110" s="10">
        <f ca="1">SUMIFS(AH$3:AH$64,$A$3:$A$64,$A110,$D$3:$D$64,$B110)*SUMIF('RES balance'!$D$5:$D$25,'RES Assumptions'!$A110,'RES balance'!AH$5:AH$25)*IFERROR(VLOOKUP($C110,$C$68:$AH$83,AH$67,FALSE),1)</f>
        <v>0</v>
      </c>
    </row>
    <row r="111" spans="1:41" x14ac:dyDescent="0.45">
      <c r="A111" s="8" t="str">
        <f t="shared" si="22"/>
        <v>RESOIL</v>
      </c>
      <c r="B111" s="8" t="str">
        <f t="shared" si="23"/>
        <v>RHW</v>
      </c>
      <c r="C111" s="48" t="str">
        <f>SUBSTITUTE(SUBSTITUTE(SUBSTITUTE('RES Veda input'!B28,"1",""),"000",""),"RRF","RR")</f>
        <v>RHWDST</v>
      </c>
      <c r="E111" s="10">
        <f ca="1">SUMIFS(E$3:E$64,$A$3:$A$64,$A111,$D$3:$D$64,$B111)*SUMIF('RES balance'!$D$5:$D$25,'RES Assumptions'!$A111,'RES balance'!E$5:E$25)*IFERROR(VLOOKUP($C111,$C$68:$AH$83,E$67,FALSE),1)</f>
        <v>3.9866193021295342E-2</v>
      </c>
      <c r="F111" s="10">
        <f ca="1">SUMIFS(F$3:F$64,$A$3:$A$64,$A111,$D$3:$D$64,$B111)*SUMIF('RES balance'!$D$5:$D$25,'RES Assumptions'!$A111,'RES balance'!F$5:F$25)*IFERROR(VLOOKUP($C111,$C$68:$AH$83,F$67,FALSE),1)</f>
        <v>1.6871017785432407</v>
      </c>
      <c r="G111" s="10">
        <f ca="1">SUMIFS(G$3:G$64,$A$3:$A$64,$A111,$D$3:$D$64,$B111)*SUMIF('RES balance'!$D$5:$D$25,'RES Assumptions'!$A111,'RES balance'!G$5:G$25)*IFERROR(VLOOKUP($C111,$C$68:$AH$83,G$67,FALSE),1)</f>
        <v>0</v>
      </c>
      <c r="H111" s="10">
        <f ca="1">SUMIFS(H$3:H$64,$A$3:$A$64,$A111,$D$3:$D$64,$B111)*SUMIF('RES balance'!$D$5:$D$25,'RES Assumptions'!$A111,'RES balance'!H$5:H$25)*IFERROR(VLOOKUP($C111,$C$68:$AH$83,H$67,FALSE),1)</f>
        <v>10.20746759873006</v>
      </c>
      <c r="I111" s="10">
        <f ca="1">SUMIFS(I$3:I$64,$A$3:$A$64,$A111,$D$3:$D$64,$B111)*SUMIF('RES balance'!$D$5:$D$25,'RES Assumptions'!$A111,'RES balance'!I$5:I$25)*IFERROR(VLOOKUP($C111,$C$68:$AH$83,I$67,FALSE),1)</f>
        <v>10.89519359691189</v>
      </c>
      <c r="J111" s="10">
        <f ca="1">SUMIFS(J$3:J$64,$A$3:$A$64,$A111,$D$3:$D$64,$B111)*SUMIF('RES balance'!$D$5:$D$25,'RES Assumptions'!$A111,'RES balance'!J$5:J$25)*IFERROR(VLOOKUP($C111,$C$68:$AH$83,J$67,FALSE),1)</f>
        <v>0.30636737906304695</v>
      </c>
      <c r="K111" s="10">
        <f ca="1">SUMIFS(K$3:K$64,$A$3:$A$64,$A111,$D$3:$D$64,$B111)*SUMIF('RES balance'!$D$5:$D$25,'RES Assumptions'!$A111,'RES balance'!K$5:K$25)*IFERROR(VLOOKUP($C111,$C$68:$AH$83,K$67,FALSE),1)</f>
        <v>5.6765879775551482E-2</v>
      </c>
      <c r="L111" s="10">
        <f ca="1">SUMIFS(L$3:L$64,$A$3:$A$64,$A111,$D$3:$D$64,$B111)*SUMIF('RES balance'!$D$5:$D$25,'RES Assumptions'!$A111,'RES balance'!L$5:L$25)*IFERROR(VLOOKUP($C111,$C$68:$AH$83,L$67,FALSE),1)</f>
        <v>0</v>
      </c>
      <c r="M111" s="10">
        <f ca="1">SUMIFS(M$3:M$64,$A$3:$A$64,$A111,$D$3:$D$64,$B111)*SUMIF('RES balance'!$D$5:$D$25,'RES Assumptions'!$A111,'RES balance'!M$5:M$25)*IFERROR(VLOOKUP($C111,$C$68:$AH$83,M$67,FALSE),1)</f>
        <v>6.3477228899302389</v>
      </c>
      <c r="N111" s="10">
        <f ca="1">SUMIFS(N$3:N$64,$A$3:$A$64,$A111,$D$3:$D$64,$B111)*SUMIF('RES balance'!$D$5:$D$25,'RES Assumptions'!$A111,'RES balance'!N$5:N$25)*IFERROR(VLOOKUP($C111,$C$68:$AH$83,N$67,FALSE),1)</f>
        <v>88.006400773012672</v>
      </c>
      <c r="O111" s="10">
        <f ca="1">SUMIFS(O$3:O$64,$A$3:$A$64,$A111,$D$3:$D$64,$B111)*SUMIF('RES balance'!$D$5:$D$25,'RES Assumptions'!$A111,'RES balance'!O$5:O$25)*IFERROR(VLOOKUP($C111,$C$68:$AH$83,O$67,FALSE),1)</f>
        <v>3.8885250291580893</v>
      </c>
      <c r="P111" s="10">
        <f ca="1">SUMIFS(P$3:P$64,$A$3:$A$64,$A111,$D$3:$D$64,$B111)*SUMIF('RES balance'!$D$5:$D$25,'RES Assumptions'!$A111,'RES balance'!P$5:P$25)*IFERROR(VLOOKUP($C111,$C$68:$AH$83,P$67,FALSE),1)</f>
        <v>3.0175816455950297</v>
      </c>
      <c r="Q111" s="10">
        <f ca="1">SUMIFS(Q$3:Q$64,$A$3:$A$64,$A111,$D$3:$D$64,$B111)*SUMIF('RES balance'!$D$5:$D$25,'RES Assumptions'!$A111,'RES balance'!Q$5:Q$25)*IFERROR(VLOOKUP($C111,$C$68:$AH$83,Q$67,FALSE),1)</f>
        <v>15.139608130286357</v>
      </c>
      <c r="R111" s="10">
        <f ca="1">SUMIFS(R$3:R$64,$A$3:$A$64,$A111,$D$3:$D$64,$B111)*SUMIF('RES balance'!$D$5:$D$25,'RES Assumptions'!$A111,'RES balance'!R$5:R$25)*IFERROR(VLOOKUP($C111,$C$68:$AH$83,R$67,FALSE),1)</f>
        <v>11.741598601413424</v>
      </c>
      <c r="S111" s="10">
        <f ca="1">SUMIFS(S$3:S$64,$A$3:$A$64,$A111,$D$3:$D$64,$B111)*SUMIF('RES balance'!$D$5:$D$25,'RES Assumptions'!$A111,'RES balance'!S$5:S$25)*IFERROR(VLOOKUP($C111,$C$68:$AH$83,S$67,FALSE),1)</f>
        <v>0.52970420192951917</v>
      </c>
      <c r="T111" s="10">
        <f ca="1">SUMIFS(T$3:T$64,$A$3:$A$64,$A111,$D$3:$D$64,$B111)*SUMIF('RES balance'!$D$5:$D$25,'RES Assumptions'!$A111,'RES balance'!T$5:T$25)*IFERROR(VLOOKUP($C111,$C$68:$AH$83,T$67,FALSE),1)</f>
        <v>9.0433743626586693</v>
      </c>
      <c r="U111" s="10">
        <f ca="1">SUMIFS(U$3:U$64,$A$3:$A$64,$A111,$D$3:$D$64,$B111)*SUMIF('RES balance'!$D$5:$D$25,'RES Assumptions'!$A111,'RES balance'!U$5:U$25)*IFERROR(VLOOKUP($C111,$C$68:$AH$83,U$67,FALSE),1)</f>
        <v>10.993505639389912</v>
      </c>
      <c r="V111" s="10">
        <f ca="1">SUMIFS(V$3:V$64,$A$3:$A$64,$A111,$D$3:$D$64,$B111)*SUMIF('RES balance'!$D$5:$D$25,'RES Assumptions'!$A111,'RES balance'!V$5:V$25)*IFERROR(VLOOKUP($C111,$C$68:$AH$83,V$67,FALSE),1)</f>
        <v>19.871211050557811</v>
      </c>
      <c r="W111" s="10">
        <f ca="1">SUMIFS(W$3:W$64,$A$3:$A$64,$A111,$D$3:$D$64,$B111)*SUMIF('RES balance'!$D$5:$D$25,'RES Assumptions'!$A111,'RES balance'!W$5:W$25)*IFERROR(VLOOKUP($C111,$C$68:$AH$83,W$67,FALSE),1)</f>
        <v>64.956641228586705</v>
      </c>
      <c r="X111" s="10">
        <f ca="1">SUMIFS(X$3:X$64,$A$3:$A$64,$A111,$D$3:$D$64,$B111)*SUMIF('RES balance'!$D$5:$D$25,'RES Assumptions'!$A111,'RES balance'!X$5:X$25)*IFERROR(VLOOKUP($C111,$C$68:$AH$83,X$67,FALSE),1)</f>
        <v>0</v>
      </c>
      <c r="Y111" s="10">
        <f ca="1">SUMIFS(Y$3:Y$64,$A$3:$A$64,$A111,$D$3:$D$64,$B111)*SUMIF('RES balance'!$D$5:$D$25,'RES Assumptions'!$A111,'RES balance'!Y$5:Y$25)*IFERROR(VLOOKUP($C111,$C$68:$AH$83,Y$67,FALSE),1)</f>
        <v>0.16796063601809338</v>
      </c>
      <c r="Z111" s="10">
        <f ca="1">SUMIFS(Z$3:Z$64,$A$3:$A$64,$A111,$D$3:$D$64,$B111)*SUMIF('RES balance'!$D$5:$D$25,'RES Assumptions'!$A111,'RES balance'!Z$5:Z$25)*IFERROR(VLOOKUP($C111,$C$68:$AH$83,Z$67,FALSE),1)</f>
        <v>0</v>
      </c>
      <c r="AA111" s="10">
        <f ca="1">SUMIFS(AA$3:AA$64,$A$3:$A$64,$A111,$D$3:$D$64,$B111)*SUMIF('RES balance'!$D$5:$D$25,'RES Assumptions'!$A111,'RES balance'!AA$5:AA$25)*IFERROR(VLOOKUP($C111,$C$68:$AH$83,AA$67,FALSE),1)</f>
        <v>4.0732471089898823</v>
      </c>
      <c r="AB111" s="10">
        <f ca="1">SUMIFS(AB$3:AB$64,$A$3:$A$64,$A111,$D$3:$D$64,$B111)*SUMIF('RES balance'!$D$5:$D$25,'RES Assumptions'!$A111,'RES balance'!AB$5:AB$25)*IFERROR(VLOOKUP($C111,$C$68:$AH$83,AB$67,FALSE),1)</f>
        <v>5.4460568965139171E-2</v>
      </c>
      <c r="AC111" s="10">
        <f ca="1">SUMIFS(AC$3:AC$64,$A$3:$A$64,$A111,$D$3:$D$64,$B111)*SUMIF('RES balance'!$D$5:$D$25,'RES Assumptions'!$A111,'RES balance'!AC$5:AC$25)*IFERROR(VLOOKUP($C111,$C$68:$AH$83,AC$67,FALSE),1)</f>
        <v>9.8247425935401438</v>
      </c>
      <c r="AD111" s="10">
        <f ca="1">SUMIFS(AD$3:AD$64,$A$3:$A$64,$A111,$D$3:$D$64,$B111)*SUMIF('RES balance'!$D$5:$D$25,'RES Assumptions'!$A111,'RES balance'!AD$5:AD$25)*IFERROR(VLOOKUP($C111,$C$68:$AH$83,AD$67,FALSE),1)</f>
        <v>0</v>
      </c>
      <c r="AE111" s="10">
        <f ca="1">SUMIFS(AE$3:AE$64,$A$3:$A$64,$A111,$D$3:$D$64,$B111)*SUMIF('RES balance'!$D$5:$D$25,'RES Assumptions'!$A111,'RES balance'!AE$5:AE$25)*IFERROR(VLOOKUP($C111,$C$68:$AH$83,AE$67,FALSE),1)</f>
        <v>2.8758828802793509E-2</v>
      </c>
      <c r="AF111" s="10">
        <f ca="1">SUMIFS(AF$3:AF$64,$A$3:$A$64,$A111,$D$3:$D$64,$B111)*SUMIF('RES balance'!$D$5:$D$25,'RES Assumptions'!$A111,'RES balance'!AF$5:AF$25)*IFERROR(VLOOKUP($C111,$C$68:$AH$83,AF$67,FALSE),1)</f>
        <v>0.9803640810054598</v>
      </c>
      <c r="AG111" s="10">
        <f ca="1">SUMIFS(AG$3:AG$64,$A$3:$A$64,$A111,$D$3:$D$64,$B111)*SUMIF('RES balance'!$D$5:$D$25,'RES Assumptions'!$A111,'RES balance'!AG$5:AG$25)*IFERROR(VLOOKUP($C111,$C$68:$AH$83,AG$67,FALSE),1)</f>
        <v>60.261056219249319</v>
      </c>
      <c r="AH111" s="10">
        <f ca="1">SUMIFS(AH$3:AH$64,$A$3:$A$64,$A111,$D$3:$D$64,$B111)*SUMIF('RES balance'!$D$5:$D$25,'RES Assumptions'!$A111,'RES balance'!AH$5:AH$25)*IFERROR(VLOOKUP($C111,$C$68:$AH$83,AH$67,FALSE),1)</f>
        <v>0</v>
      </c>
    </row>
    <row r="112" spans="1:41" x14ac:dyDescent="0.45">
      <c r="A112" s="8" t="str">
        <f t="shared" si="22"/>
        <v>RESELC</v>
      </c>
      <c r="B112" s="8" t="str">
        <f t="shared" si="23"/>
        <v>RHW</v>
      </c>
      <c r="C112" s="48" t="str">
        <f>SUBSTITUTE(SUBSTITUTE(SUBSTITUTE('RES Veda input'!B29,"1",""),"000",""),"RRF","RR")</f>
        <v>RHWELC</v>
      </c>
      <c r="E112" s="10">
        <f ca="1">SUMIFS(E$3:E$64,$A$3:$A$64,$A112,$D$3:$D$64,$B112)*SUMIF('RES balance'!$D$5:$D$25,'RES Assumptions'!$A112,'RES balance'!E$5:E$25)*IFERROR(VLOOKUP($C112,$C$68:$AH$83,E$67,FALSE),1)</f>
        <v>20.550188717099999</v>
      </c>
      <c r="F112" s="10">
        <f ca="1">SUMIFS(F$3:F$64,$A$3:$A$64,$A112,$D$3:$D$64,$B112)*SUMIF('RES balance'!$D$5:$D$25,'RES Assumptions'!$A112,'RES balance'!F$5:F$25)*IFERROR(VLOOKUP($C112,$C$68:$AH$83,F$67,FALSE),1)</f>
        <v>13.82035277394</v>
      </c>
      <c r="G112" s="10">
        <f ca="1">SUMIFS(G$3:G$64,$A$3:$A$64,$A112,$D$3:$D$64,$B112)*SUMIF('RES balance'!$D$5:$D$25,'RES Assumptions'!$A112,'RES balance'!G$5:G$25)*IFERROR(VLOOKUP($C112,$C$68:$AH$83,G$67,FALSE),1)</f>
        <v>25.203787702183373</v>
      </c>
      <c r="H112" s="10">
        <f ca="1">SUMIFS(H$3:H$64,$A$3:$A$64,$A112,$D$3:$D$64,$B112)*SUMIF('RES balance'!$D$5:$D$25,'RES Assumptions'!$A112,'RES balance'!H$5:H$25)*IFERROR(VLOOKUP($C112,$C$68:$AH$83,H$67,FALSE),1)</f>
        <v>8.2595529402338546</v>
      </c>
      <c r="I112" s="10">
        <f ca="1">SUMIFS(I$3:I$64,$A$3:$A$64,$A112,$D$3:$D$64,$B112)*SUMIF('RES balance'!$D$5:$D$25,'RES Assumptions'!$A112,'RES balance'!I$5:I$25)*IFERROR(VLOOKUP($C112,$C$68:$AH$83,I$67,FALSE),1)</f>
        <v>85.243176040738931</v>
      </c>
      <c r="J112" s="10">
        <f ca="1">SUMIFS(J$3:J$64,$A$3:$A$64,$A112,$D$3:$D$64,$B112)*SUMIF('RES balance'!$D$5:$D$25,'RES Assumptions'!$A112,'RES balance'!J$5:J$25)*IFERROR(VLOOKUP($C112,$C$68:$AH$83,J$67,FALSE),1)</f>
        <v>34.453534448037814</v>
      </c>
      <c r="K112" s="10">
        <f ca="1">SUMIFS(K$3:K$64,$A$3:$A$64,$A112,$D$3:$D$64,$B112)*SUMIF('RES balance'!$D$5:$D$25,'RES Assumptions'!$A112,'RES balance'!K$5:K$25)*IFERROR(VLOOKUP($C112,$C$68:$AH$83,K$67,FALSE),1)</f>
        <v>53.110841050821506</v>
      </c>
      <c r="L112" s="10">
        <f ca="1">SUMIFS(L$3:L$64,$A$3:$A$64,$A112,$D$3:$D$64,$B112)*SUMIF('RES balance'!$D$5:$D$25,'RES Assumptions'!$A112,'RES balance'!L$5:L$25)*IFERROR(VLOOKUP($C112,$C$68:$AH$83,L$67,FALSE),1)</f>
        <v>63.299036921866715</v>
      </c>
      <c r="M112" s="10">
        <f ca="1">SUMIFS(M$3:M$64,$A$3:$A$64,$A112,$D$3:$D$64,$B112)*SUMIF('RES balance'!$D$5:$D$25,'RES Assumptions'!$A112,'RES balance'!M$5:M$25)*IFERROR(VLOOKUP($C112,$C$68:$AH$83,M$67,FALSE),1)</f>
        <v>78.551773656768034</v>
      </c>
      <c r="N112" s="10">
        <f ca="1">SUMIFS(N$3:N$64,$A$3:$A$64,$A112,$D$3:$D$64,$B112)*SUMIF('RES balance'!$D$5:$D$25,'RES Assumptions'!$A112,'RES balance'!N$5:N$25)*IFERROR(VLOOKUP($C112,$C$68:$AH$83,N$67,FALSE),1)</f>
        <v>737.28801607673563</v>
      </c>
      <c r="O112" s="10">
        <f ca="1">SUMIFS(O$3:O$64,$A$3:$A$64,$A112,$D$3:$D$64,$B112)*SUMIF('RES balance'!$D$5:$D$25,'RES Assumptions'!$A112,'RES balance'!O$5:O$25)*IFERROR(VLOOKUP($C112,$C$68:$AH$83,O$67,FALSE),1)</f>
        <v>29.261101704214777</v>
      </c>
      <c r="P112" s="10">
        <f ca="1">SUMIFS(P$3:P$64,$A$3:$A$64,$A112,$D$3:$D$64,$B112)*SUMIF('RES balance'!$D$5:$D$25,'RES Assumptions'!$A112,'RES balance'!P$5:P$25)*IFERROR(VLOOKUP($C112,$C$68:$AH$83,P$67,FALSE),1)</f>
        <v>40.368137539928192</v>
      </c>
      <c r="Q112" s="10">
        <f ca="1">SUMIFS(Q$3:Q$64,$A$3:$A$64,$A112,$D$3:$D$64,$B112)*SUMIF('RES balance'!$D$5:$D$25,'RES Assumptions'!$A112,'RES balance'!Q$5:Q$25)*IFERROR(VLOOKUP($C112,$C$68:$AH$83,Q$67,FALSE),1)</f>
        <v>19.398252589919423</v>
      </c>
      <c r="R112" s="10">
        <f ca="1">SUMIFS(R$3:R$64,$A$3:$A$64,$A112,$D$3:$D$64,$B112)*SUMIF('RES balance'!$D$5:$D$25,'RES Assumptions'!$A112,'RES balance'!R$5:R$25)*IFERROR(VLOOKUP($C112,$C$68:$AH$83,R$67,FALSE),1)</f>
        <v>32.677445281097363</v>
      </c>
      <c r="S112" s="10">
        <f ca="1">SUMIFS(S$3:S$64,$A$3:$A$64,$A112,$D$3:$D$64,$B112)*SUMIF('RES balance'!$D$5:$D$25,'RES Assumptions'!$A112,'RES balance'!S$5:S$25)*IFERROR(VLOOKUP($C112,$C$68:$AH$83,S$67,FALSE),1)</f>
        <v>24.23588181780767</v>
      </c>
      <c r="T112" s="10">
        <f ca="1">SUMIFS(T$3:T$64,$A$3:$A$64,$A112,$D$3:$D$64,$B112)*SUMIF('RES balance'!$D$5:$D$25,'RES Assumptions'!$A112,'RES balance'!T$5:T$25)*IFERROR(VLOOKUP($C112,$C$68:$AH$83,T$67,FALSE),1)</f>
        <v>32.909909484849656</v>
      </c>
      <c r="U112" s="10">
        <f ca="1">SUMIFS(U$3:U$64,$A$3:$A$64,$A112,$D$3:$D$64,$B112)*SUMIF('RES balance'!$D$5:$D$25,'RES Assumptions'!$A112,'RES balance'!U$5:U$25)*IFERROR(VLOOKUP($C112,$C$68:$AH$83,U$67,FALSE),1)</f>
        <v>25.324749674929429</v>
      </c>
      <c r="V112" s="10">
        <f ca="1">SUMIFS(V$3:V$64,$A$3:$A$64,$A112,$D$3:$D$64,$B112)*SUMIF('RES balance'!$D$5:$D$25,'RES Assumptions'!$A112,'RES balance'!V$5:V$25)*IFERROR(VLOOKUP($C112,$C$68:$AH$83,V$67,FALSE),1)</f>
        <v>60.976489943185676</v>
      </c>
      <c r="W112" s="10">
        <f ca="1">SUMIFS(W$3:W$64,$A$3:$A$64,$A112,$D$3:$D$64,$B112)*SUMIF('RES balance'!$D$5:$D$25,'RES Assumptions'!$A112,'RES balance'!W$5:W$25)*IFERROR(VLOOKUP($C112,$C$68:$AH$83,W$67,FALSE),1)</f>
        <v>48.308312589744695</v>
      </c>
      <c r="X112" s="10">
        <f ca="1">SUMIFS(X$3:X$64,$A$3:$A$64,$A112,$D$3:$D$64,$B112)*SUMIF('RES balance'!$D$5:$D$25,'RES Assumptions'!$A112,'RES balance'!X$5:X$25)*IFERROR(VLOOKUP($C112,$C$68:$AH$83,X$67,FALSE),1)</f>
        <v>0</v>
      </c>
      <c r="Y112" s="10">
        <f ca="1">SUMIFS(Y$3:Y$64,$A$3:$A$64,$A112,$D$3:$D$64,$B112)*SUMIF('RES balance'!$D$5:$D$25,'RES Assumptions'!$A112,'RES balance'!Y$5:Y$25)*IFERROR(VLOOKUP($C112,$C$68:$AH$83,Y$67,FALSE),1)</f>
        <v>50.568275045757694</v>
      </c>
      <c r="Z112" s="10">
        <f ca="1">SUMIFS(Z$3:Z$64,$A$3:$A$64,$A112,$D$3:$D$64,$B112)*SUMIF('RES balance'!$D$5:$D$25,'RES Assumptions'!$A112,'RES balance'!Z$5:Z$25)*IFERROR(VLOOKUP($C112,$C$68:$AH$83,Z$67,FALSE),1)</f>
        <v>1.6525851563826011</v>
      </c>
      <c r="AA112" s="10">
        <f ca="1">SUMIFS(AA$3:AA$64,$A$3:$A$64,$A112,$D$3:$D$64,$B112)*SUMIF('RES balance'!$D$5:$D$25,'RES Assumptions'!$A112,'RES balance'!AA$5:AA$25)*IFERROR(VLOOKUP($C112,$C$68:$AH$83,AA$67,FALSE),1)</f>
        <v>46.074409076036005</v>
      </c>
      <c r="AB112" s="10">
        <f ca="1">SUMIFS(AB$3:AB$64,$A$3:$A$64,$A112,$D$3:$D$64,$B112)*SUMIF('RES balance'!$D$5:$D$25,'RES Assumptions'!$A112,'RES balance'!AB$5:AB$25)*IFERROR(VLOOKUP($C112,$C$68:$AH$83,AB$67,FALSE),1)</f>
        <v>15.63119497628305</v>
      </c>
      <c r="AC112" s="10">
        <f ca="1">SUMIFS(AC$3:AC$64,$A$3:$A$64,$A112,$D$3:$D$64,$B112)*SUMIF('RES balance'!$D$5:$D$25,'RES Assumptions'!$A112,'RES balance'!AC$5:AC$25)*IFERROR(VLOOKUP($C112,$C$68:$AH$83,AC$67,FALSE),1)</f>
        <v>23.241204596949892</v>
      </c>
      <c r="AD112" s="10">
        <f ca="1">SUMIFS(AD$3:AD$64,$A$3:$A$64,$A112,$D$3:$D$64,$B112)*SUMIF('RES balance'!$D$5:$D$25,'RES Assumptions'!$A112,'RES balance'!AD$5:AD$25)*IFERROR(VLOOKUP($C112,$C$68:$AH$83,AD$67,FALSE),1)</f>
        <v>22.121284943232986</v>
      </c>
      <c r="AE112" s="10">
        <f ca="1">SUMIFS(AE$3:AE$64,$A$3:$A$64,$A112,$D$3:$D$64,$B112)*SUMIF('RES balance'!$D$5:$D$25,'RES Assumptions'!$A112,'RES balance'!AE$5:AE$25)*IFERROR(VLOOKUP($C112,$C$68:$AH$83,AE$67,FALSE),1)</f>
        <v>8.759540898720001</v>
      </c>
      <c r="AF112" s="10">
        <f ca="1">SUMIFS(AF$3:AF$64,$A$3:$A$64,$A112,$D$3:$D$64,$B112)*SUMIF('RES balance'!$D$5:$D$25,'RES Assumptions'!$A112,'RES balance'!AF$5:AF$25)*IFERROR(VLOOKUP($C112,$C$68:$AH$83,AF$67,FALSE),1)</f>
        <v>39.636823927427493</v>
      </c>
      <c r="AG112" s="10">
        <f ca="1">SUMIFS(AG$3:AG$64,$A$3:$A$64,$A112,$D$3:$D$64,$B112)*SUMIF('RES balance'!$D$5:$D$25,'RES Assumptions'!$A112,'RES balance'!AG$5:AG$25)*IFERROR(VLOOKUP($C112,$C$68:$AH$83,AG$67,FALSE),1)</f>
        <v>470.33225931234148</v>
      </c>
      <c r="AH112" s="10">
        <f ca="1">SUMIFS(AH$3:AH$64,$A$3:$A$64,$A112,$D$3:$D$64,$B112)*SUMIF('RES balance'!$D$5:$D$25,'RES Assumptions'!$A112,'RES balance'!AH$5:AH$25)*IFERROR(VLOOKUP($C112,$C$68:$AH$83,AH$67,FALSE),1)</f>
        <v>0</v>
      </c>
    </row>
    <row r="113" spans="1:34" x14ac:dyDescent="0.45">
      <c r="A113" s="8" t="str">
        <f t="shared" si="22"/>
        <v>RESGEO</v>
      </c>
      <c r="B113" s="8" t="str">
        <f t="shared" si="23"/>
        <v>RHW</v>
      </c>
      <c r="C113" s="48" t="str">
        <f>SUBSTITUTE(SUBSTITUTE(SUBSTITUTE('RES Veda input'!B30,"1",""),"000",""),"RRF","RR")</f>
        <v>RHWGEO</v>
      </c>
      <c r="E113" s="10">
        <f ca="1">SUMIFS(E$3:E$64,$A$3:$A$64,$A113,$D$3:$D$64,$B113)*SUMIF('RES balance'!$D$5:$D$25,'RES Assumptions'!$A113,'RES balance'!E$5:E$25)*IFERROR(VLOOKUP($C113,$C$68:$AH$83,E$67,FALSE),1)</f>
        <v>0</v>
      </c>
      <c r="F113" s="10">
        <f ca="1">SUMIFS(F$3:F$64,$A$3:$A$64,$A113,$D$3:$D$64,$B113)*SUMIF('RES balance'!$D$5:$D$25,'RES Assumptions'!$A113,'RES balance'!F$5:F$25)*IFERROR(VLOOKUP($C113,$C$68:$AH$83,F$67,FALSE),1)</f>
        <v>0</v>
      </c>
      <c r="G113" s="10">
        <f ca="1">SUMIFS(G$3:G$64,$A$3:$A$64,$A113,$D$3:$D$64,$B113)*SUMIF('RES balance'!$D$5:$D$25,'RES Assumptions'!$A113,'RES balance'!G$5:G$25)*IFERROR(VLOOKUP($C113,$C$68:$AH$83,G$67,FALSE),1)</f>
        <v>0</v>
      </c>
      <c r="H113" s="10">
        <f ca="1">SUMIFS(H$3:H$64,$A$3:$A$64,$A113,$D$3:$D$64,$B113)*SUMIF('RES balance'!$D$5:$D$25,'RES Assumptions'!$A113,'RES balance'!H$5:H$25)*IFERROR(VLOOKUP($C113,$C$68:$AH$83,H$67,FALSE),1)</f>
        <v>0</v>
      </c>
      <c r="I113" s="10">
        <f ca="1">SUMIFS(I$3:I$64,$A$3:$A$64,$A113,$D$3:$D$64,$B113)*SUMIF('RES balance'!$D$5:$D$25,'RES Assumptions'!$A113,'RES balance'!I$5:I$25)*IFERROR(VLOOKUP($C113,$C$68:$AH$83,I$67,FALSE),1)</f>
        <v>0</v>
      </c>
      <c r="J113" s="10">
        <f ca="1">SUMIFS(J$3:J$64,$A$3:$A$64,$A113,$D$3:$D$64,$B113)*SUMIF('RES balance'!$D$5:$D$25,'RES Assumptions'!$A113,'RES balance'!J$5:J$25)*IFERROR(VLOOKUP($C113,$C$68:$AH$83,J$67,FALSE),1)</f>
        <v>0</v>
      </c>
      <c r="K113" s="10">
        <f ca="1">SUMIFS(K$3:K$64,$A$3:$A$64,$A113,$D$3:$D$64,$B113)*SUMIF('RES balance'!$D$5:$D$25,'RES Assumptions'!$A113,'RES balance'!K$5:K$25)*IFERROR(VLOOKUP($C113,$C$68:$AH$83,K$67,FALSE),1)</f>
        <v>0</v>
      </c>
      <c r="L113" s="10">
        <f ca="1">SUMIFS(L$3:L$64,$A$3:$A$64,$A113,$D$3:$D$64,$B113)*SUMIF('RES balance'!$D$5:$D$25,'RES Assumptions'!$A113,'RES balance'!L$5:L$25)*IFERROR(VLOOKUP($C113,$C$68:$AH$83,L$67,FALSE),1)</f>
        <v>0</v>
      </c>
      <c r="M113" s="10">
        <f ca="1">SUMIFS(M$3:M$64,$A$3:$A$64,$A113,$D$3:$D$64,$B113)*SUMIF('RES balance'!$D$5:$D$25,'RES Assumptions'!$A113,'RES balance'!M$5:M$25)*IFERROR(VLOOKUP($C113,$C$68:$AH$83,M$67,FALSE),1)</f>
        <v>0</v>
      </c>
      <c r="N113" s="10">
        <f ca="1">SUMIFS(N$3:N$64,$A$3:$A$64,$A113,$D$3:$D$64,$B113)*SUMIF('RES balance'!$D$5:$D$25,'RES Assumptions'!$A113,'RES balance'!N$5:N$25)*IFERROR(VLOOKUP($C113,$C$68:$AH$83,N$67,FALSE),1)</f>
        <v>0</v>
      </c>
      <c r="O113" s="10">
        <f ca="1">SUMIFS(O$3:O$64,$A$3:$A$64,$A113,$D$3:$D$64,$B113)*SUMIF('RES balance'!$D$5:$D$25,'RES Assumptions'!$A113,'RES balance'!O$5:O$25)*IFERROR(VLOOKUP($C113,$C$68:$AH$83,O$67,FALSE),1)</f>
        <v>0</v>
      </c>
      <c r="P113" s="10">
        <f ca="1">SUMIFS(P$3:P$64,$A$3:$A$64,$A113,$D$3:$D$64,$B113)*SUMIF('RES balance'!$D$5:$D$25,'RES Assumptions'!$A113,'RES balance'!P$5:P$25)*IFERROR(VLOOKUP($C113,$C$68:$AH$83,P$67,FALSE),1)</f>
        <v>0</v>
      </c>
      <c r="Q113" s="10">
        <f ca="1">SUMIFS(Q$3:Q$64,$A$3:$A$64,$A113,$D$3:$D$64,$B113)*SUMIF('RES balance'!$D$5:$D$25,'RES Assumptions'!$A113,'RES balance'!Q$5:Q$25)*IFERROR(VLOOKUP($C113,$C$68:$AH$83,Q$67,FALSE),1)</f>
        <v>0</v>
      </c>
      <c r="R113" s="10">
        <f ca="1">SUMIFS(R$3:R$64,$A$3:$A$64,$A113,$D$3:$D$64,$B113)*SUMIF('RES balance'!$D$5:$D$25,'RES Assumptions'!$A113,'RES balance'!R$5:R$25)*IFERROR(VLOOKUP($C113,$C$68:$AH$83,R$67,FALSE),1)</f>
        <v>0</v>
      </c>
      <c r="S113" s="10">
        <f ca="1">SUMIFS(S$3:S$64,$A$3:$A$64,$A113,$D$3:$D$64,$B113)*SUMIF('RES balance'!$D$5:$D$25,'RES Assumptions'!$A113,'RES balance'!S$5:S$25)*IFERROR(VLOOKUP($C113,$C$68:$AH$83,S$67,FALSE),1)</f>
        <v>0</v>
      </c>
      <c r="T113" s="10">
        <f ca="1">SUMIFS(T$3:T$64,$A$3:$A$64,$A113,$D$3:$D$64,$B113)*SUMIF('RES balance'!$D$5:$D$25,'RES Assumptions'!$A113,'RES balance'!T$5:T$25)*IFERROR(VLOOKUP($C113,$C$68:$AH$83,T$67,FALSE),1)</f>
        <v>0</v>
      </c>
      <c r="U113" s="10">
        <f ca="1">SUMIFS(U$3:U$64,$A$3:$A$64,$A113,$D$3:$D$64,$B113)*SUMIF('RES balance'!$D$5:$D$25,'RES Assumptions'!$A113,'RES balance'!U$5:U$25)*IFERROR(VLOOKUP($C113,$C$68:$AH$83,U$67,FALSE),1)</f>
        <v>0</v>
      </c>
      <c r="V113" s="10">
        <f ca="1">SUMIFS(V$3:V$64,$A$3:$A$64,$A113,$D$3:$D$64,$B113)*SUMIF('RES balance'!$D$5:$D$25,'RES Assumptions'!$A113,'RES balance'!V$5:V$25)*IFERROR(VLOOKUP($C113,$C$68:$AH$83,V$67,FALSE),1)</f>
        <v>0</v>
      </c>
      <c r="W113" s="10">
        <f ca="1">SUMIFS(W$3:W$64,$A$3:$A$64,$A113,$D$3:$D$64,$B113)*SUMIF('RES balance'!$D$5:$D$25,'RES Assumptions'!$A113,'RES balance'!W$5:W$25)*IFERROR(VLOOKUP($C113,$C$68:$AH$83,W$67,FALSE),1)</f>
        <v>0</v>
      </c>
      <c r="X113" s="10">
        <f ca="1">SUMIFS(X$3:X$64,$A$3:$A$64,$A113,$D$3:$D$64,$B113)*SUMIF('RES balance'!$D$5:$D$25,'RES Assumptions'!$A113,'RES balance'!X$5:X$25)*IFERROR(VLOOKUP($C113,$C$68:$AH$83,X$67,FALSE),1)</f>
        <v>0</v>
      </c>
      <c r="Y113" s="10">
        <f ca="1">SUMIFS(Y$3:Y$64,$A$3:$A$64,$A113,$D$3:$D$64,$B113)*SUMIF('RES balance'!$D$5:$D$25,'RES Assumptions'!$A113,'RES balance'!Y$5:Y$25)*IFERROR(VLOOKUP($C113,$C$68:$AH$83,Y$67,FALSE),1)</f>
        <v>0</v>
      </c>
      <c r="Z113" s="10">
        <f ca="1">SUMIFS(Z$3:Z$64,$A$3:$A$64,$A113,$D$3:$D$64,$B113)*SUMIF('RES balance'!$D$5:$D$25,'RES Assumptions'!$A113,'RES balance'!Z$5:Z$25)*IFERROR(VLOOKUP($C113,$C$68:$AH$83,Z$67,FALSE),1)</f>
        <v>0</v>
      </c>
      <c r="AA113" s="10">
        <f ca="1">SUMIFS(AA$3:AA$64,$A$3:$A$64,$A113,$D$3:$D$64,$B113)*SUMIF('RES balance'!$D$5:$D$25,'RES Assumptions'!$A113,'RES balance'!AA$5:AA$25)*IFERROR(VLOOKUP($C113,$C$68:$AH$83,AA$67,FALSE),1)</f>
        <v>0</v>
      </c>
      <c r="AB113" s="10">
        <f ca="1">SUMIFS(AB$3:AB$64,$A$3:$A$64,$A113,$D$3:$D$64,$B113)*SUMIF('RES balance'!$D$5:$D$25,'RES Assumptions'!$A113,'RES balance'!AB$5:AB$25)*IFERROR(VLOOKUP($C113,$C$68:$AH$83,AB$67,FALSE),1)</f>
        <v>0</v>
      </c>
      <c r="AC113" s="10">
        <f ca="1">SUMIFS(AC$3:AC$64,$A$3:$A$64,$A113,$D$3:$D$64,$B113)*SUMIF('RES balance'!$D$5:$D$25,'RES Assumptions'!$A113,'RES balance'!AC$5:AC$25)*IFERROR(VLOOKUP($C113,$C$68:$AH$83,AC$67,FALSE),1)</f>
        <v>0</v>
      </c>
      <c r="AD113" s="10">
        <f ca="1">SUMIFS(AD$3:AD$64,$A$3:$A$64,$A113,$D$3:$D$64,$B113)*SUMIF('RES balance'!$D$5:$D$25,'RES Assumptions'!$A113,'RES balance'!AD$5:AD$25)*IFERROR(VLOOKUP($C113,$C$68:$AH$83,AD$67,FALSE),1)</f>
        <v>0</v>
      </c>
      <c r="AE113" s="10">
        <f ca="1">SUMIFS(AE$3:AE$64,$A$3:$A$64,$A113,$D$3:$D$64,$B113)*SUMIF('RES balance'!$D$5:$D$25,'RES Assumptions'!$A113,'RES balance'!AE$5:AE$25)*IFERROR(VLOOKUP($C113,$C$68:$AH$83,AE$67,FALSE),1)</f>
        <v>0</v>
      </c>
      <c r="AF113" s="10">
        <f ca="1">SUMIFS(AF$3:AF$64,$A$3:$A$64,$A113,$D$3:$D$64,$B113)*SUMIF('RES balance'!$D$5:$D$25,'RES Assumptions'!$A113,'RES balance'!AF$5:AF$25)*IFERROR(VLOOKUP($C113,$C$68:$AH$83,AF$67,FALSE),1)</f>
        <v>0</v>
      </c>
      <c r="AG113" s="10">
        <f ca="1">SUMIFS(AG$3:AG$64,$A$3:$A$64,$A113,$D$3:$D$64,$B113)*SUMIF('RES balance'!$D$5:$D$25,'RES Assumptions'!$A113,'RES balance'!AG$5:AG$25)*IFERROR(VLOOKUP($C113,$C$68:$AH$83,AG$67,FALSE),1)</f>
        <v>0</v>
      </c>
      <c r="AH113" s="10">
        <f ca="1">SUMIFS(AH$3:AH$64,$A$3:$A$64,$A113,$D$3:$D$64,$B113)*SUMIF('RES balance'!$D$5:$D$25,'RES Assumptions'!$A113,'RES balance'!AH$5:AH$25)*IFERROR(VLOOKUP($C113,$C$68:$AH$83,AH$67,FALSE),1)</f>
        <v>0</v>
      </c>
    </row>
    <row r="114" spans="1:34" x14ac:dyDescent="0.45">
      <c r="A114" s="8" t="str">
        <f t="shared" si="22"/>
        <v>RESHET</v>
      </c>
      <c r="B114" s="8" t="str">
        <f t="shared" si="23"/>
        <v>RHW</v>
      </c>
      <c r="C114" s="48" t="str">
        <f>SUBSTITUTE(SUBSTITUTE(SUBSTITUTE('RES Veda input'!B31,"1",""),"000",""),"RRF","RR")</f>
        <v>RHWHET</v>
      </c>
      <c r="E114" s="10">
        <f ca="1">SUMIFS(E$3:E$64,$A$3:$A$64,$A114,$D$3:$D$64,$B114)*SUMIF('RES balance'!$D$5:$D$25,'RES Assumptions'!$A114,'RES balance'!E$5:E$25)*IFERROR(VLOOKUP($C114,$C$68:$AH$83,E$67,FALSE),1)</f>
        <v>0</v>
      </c>
      <c r="F114" s="10">
        <f ca="1">SUMIFS(F$3:F$64,$A$3:$A$64,$A114,$D$3:$D$64,$B114)*SUMIF('RES balance'!$D$5:$D$25,'RES Assumptions'!$A114,'RES balance'!F$5:F$25)*IFERROR(VLOOKUP($C114,$C$68:$AH$83,F$67,FALSE),1)</f>
        <v>0</v>
      </c>
      <c r="G114" s="10">
        <f ca="1">SUMIFS(G$3:G$64,$A$3:$A$64,$A114,$D$3:$D$64,$B114)*SUMIF('RES balance'!$D$5:$D$25,'RES Assumptions'!$A114,'RES balance'!G$5:G$25)*IFERROR(VLOOKUP($C114,$C$68:$AH$83,G$67,FALSE),1)</f>
        <v>0</v>
      </c>
      <c r="H114" s="10">
        <f ca="1">SUMIFS(H$3:H$64,$A$3:$A$64,$A114,$D$3:$D$64,$B114)*SUMIF('RES balance'!$D$5:$D$25,'RES Assumptions'!$A114,'RES balance'!H$5:H$25)*IFERROR(VLOOKUP($C114,$C$68:$AH$83,H$67,FALSE),1)</f>
        <v>33.053001654170444</v>
      </c>
      <c r="I114" s="10">
        <f ca="1">SUMIFS(I$3:I$64,$A$3:$A$64,$A114,$D$3:$D$64,$B114)*SUMIF('RES balance'!$D$5:$D$25,'RES Assumptions'!$A114,'RES balance'!I$5:I$25)*IFERROR(VLOOKUP($C114,$C$68:$AH$83,I$67,FALSE),1)</f>
        <v>84.562001211600005</v>
      </c>
      <c r="J114" s="10">
        <f ca="1">SUMIFS(J$3:J$64,$A$3:$A$64,$A114,$D$3:$D$64,$B114)*SUMIF('RES balance'!$D$5:$D$25,'RES Assumptions'!$A114,'RES balance'!J$5:J$25)*IFERROR(VLOOKUP($C114,$C$68:$AH$83,J$67,FALSE),1)</f>
        <v>0</v>
      </c>
      <c r="K114" s="10">
        <f ca="1">SUMIFS(K$3:K$64,$A$3:$A$64,$A114,$D$3:$D$64,$B114)*SUMIF('RES balance'!$D$5:$D$25,'RES Assumptions'!$A114,'RES balance'!K$5:K$25)*IFERROR(VLOOKUP($C114,$C$68:$AH$83,K$67,FALSE),1)</f>
        <v>0</v>
      </c>
      <c r="L114" s="10">
        <f ca="1">SUMIFS(L$3:L$64,$A$3:$A$64,$A114,$D$3:$D$64,$B114)*SUMIF('RES balance'!$D$5:$D$25,'RES Assumptions'!$A114,'RES balance'!L$5:L$25)*IFERROR(VLOOKUP($C114,$C$68:$AH$83,L$67,FALSE),1)</f>
        <v>0</v>
      </c>
      <c r="M114" s="10">
        <f ca="1">SUMIFS(M$3:M$64,$A$3:$A$64,$A114,$D$3:$D$64,$B114)*SUMIF('RES balance'!$D$5:$D$25,'RES Assumptions'!$A114,'RES balance'!M$5:M$25)*IFERROR(VLOOKUP($C114,$C$68:$AH$83,M$67,FALSE),1)</f>
        <v>0</v>
      </c>
      <c r="N114" s="10">
        <f ca="1">SUMIFS(N$3:N$64,$A$3:$A$64,$A114,$D$3:$D$64,$B114)*SUMIF('RES balance'!$D$5:$D$25,'RES Assumptions'!$A114,'RES balance'!N$5:N$25)*IFERROR(VLOOKUP($C114,$C$68:$AH$83,N$67,FALSE),1)</f>
        <v>0</v>
      </c>
      <c r="O114" s="10">
        <f ca="1">SUMIFS(O$3:O$64,$A$3:$A$64,$A114,$D$3:$D$64,$B114)*SUMIF('RES balance'!$D$5:$D$25,'RES Assumptions'!$A114,'RES balance'!O$5:O$25)*IFERROR(VLOOKUP($C114,$C$68:$AH$83,O$67,FALSE),1)</f>
        <v>35.017200188222496</v>
      </c>
      <c r="P114" s="10">
        <f ca="1">SUMIFS(P$3:P$64,$A$3:$A$64,$A114,$D$3:$D$64,$B114)*SUMIF('RES balance'!$D$5:$D$25,'RES Assumptions'!$A114,'RES balance'!P$5:P$25)*IFERROR(VLOOKUP($C114,$C$68:$AH$83,P$67,FALSE),1)</f>
        <v>89.005989631740746</v>
      </c>
      <c r="Q114" s="10">
        <f ca="1">SUMIFS(Q$3:Q$64,$A$3:$A$64,$A114,$D$3:$D$64,$B114)*SUMIF('RES balance'!$D$5:$D$25,'RES Assumptions'!$A114,'RES balance'!Q$5:Q$25)*IFERROR(VLOOKUP($C114,$C$68:$AH$83,Q$67,FALSE),1)</f>
        <v>1.8189164306910262</v>
      </c>
      <c r="R114" s="10">
        <f ca="1">SUMIFS(R$3:R$64,$A$3:$A$64,$A114,$D$3:$D$64,$B114)*SUMIF('RES balance'!$D$5:$D$25,'RES Assumptions'!$A114,'RES balance'!R$5:R$25)*IFERROR(VLOOKUP($C114,$C$68:$AH$83,R$67,FALSE),1)</f>
        <v>5.6799328494947874</v>
      </c>
      <c r="S114" s="10">
        <f ca="1">SUMIFS(S$3:S$64,$A$3:$A$64,$A114,$D$3:$D$64,$B114)*SUMIF('RES balance'!$D$5:$D$25,'RES Assumptions'!$A114,'RES balance'!S$5:S$25)*IFERROR(VLOOKUP($C114,$C$68:$AH$83,S$67,FALSE),1)</f>
        <v>21.251604449784686</v>
      </c>
      <c r="T114" s="10">
        <f ca="1">SUMIFS(T$3:T$64,$A$3:$A$64,$A114,$D$3:$D$64,$B114)*SUMIF('RES balance'!$D$5:$D$25,'RES Assumptions'!$A114,'RES balance'!T$5:T$25)*IFERROR(VLOOKUP($C114,$C$68:$AH$83,T$67,FALSE),1)</f>
        <v>5.1925765092201903E-3</v>
      </c>
      <c r="U114" s="10">
        <f ca="1">SUMIFS(U$3:U$64,$A$3:$A$64,$A114,$D$3:$D$64,$B114)*SUMIF('RES balance'!$D$5:$D$25,'RES Assumptions'!$A114,'RES balance'!U$5:U$25)*IFERROR(VLOOKUP($C114,$C$68:$AH$83,U$67,FALSE),1)</f>
        <v>37.054017909731222</v>
      </c>
      <c r="V114" s="10">
        <f ca="1">SUMIFS(V$3:V$64,$A$3:$A$64,$A114,$D$3:$D$64,$B114)*SUMIF('RES balance'!$D$5:$D$25,'RES Assumptions'!$A114,'RES balance'!V$5:V$25)*IFERROR(VLOOKUP($C114,$C$68:$AH$83,V$67,FALSE),1)</f>
        <v>7.7792767963191931</v>
      </c>
      <c r="W114" s="10">
        <f ca="1">SUMIFS(W$3:W$64,$A$3:$A$64,$A114,$D$3:$D$64,$B114)*SUMIF('RES balance'!$D$5:$D$25,'RES Assumptions'!$A114,'RES balance'!W$5:W$25)*IFERROR(VLOOKUP($C114,$C$68:$AH$83,W$67,FALSE),1)</f>
        <v>23.958942982725144</v>
      </c>
      <c r="X114" s="10">
        <f ca="1">SUMIFS(X$3:X$64,$A$3:$A$64,$A114,$D$3:$D$64,$B114)*SUMIF('RES balance'!$D$5:$D$25,'RES Assumptions'!$A114,'RES balance'!X$5:X$25)*IFERROR(VLOOKUP($C114,$C$68:$AH$83,X$67,FALSE),1)</f>
        <v>0</v>
      </c>
      <c r="Y114" s="10">
        <f ca="1">SUMIFS(Y$3:Y$64,$A$3:$A$64,$A114,$D$3:$D$64,$B114)*SUMIF('RES balance'!$D$5:$D$25,'RES Assumptions'!$A114,'RES balance'!Y$5:Y$25)*IFERROR(VLOOKUP($C114,$C$68:$AH$83,Y$67,FALSE),1)</f>
        <v>0</v>
      </c>
      <c r="Z114" s="10">
        <f ca="1">SUMIFS(Z$3:Z$64,$A$3:$A$64,$A114,$D$3:$D$64,$B114)*SUMIF('RES balance'!$D$5:$D$25,'RES Assumptions'!$A114,'RES balance'!Z$5:Z$25)*IFERROR(VLOOKUP($C114,$C$68:$AH$83,Z$67,FALSE),1)</f>
        <v>0</v>
      </c>
      <c r="AA114" s="10">
        <f ca="1">SUMIFS(AA$3:AA$64,$A$3:$A$64,$A114,$D$3:$D$64,$B114)*SUMIF('RES balance'!$D$5:$D$25,'RES Assumptions'!$A114,'RES balance'!AA$5:AA$25)*IFERROR(VLOOKUP($C114,$C$68:$AH$83,AA$67,FALSE),1)</f>
        <v>0</v>
      </c>
      <c r="AB114" s="10">
        <f ca="1">SUMIFS(AB$3:AB$64,$A$3:$A$64,$A114,$D$3:$D$64,$B114)*SUMIF('RES balance'!$D$5:$D$25,'RES Assumptions'!$A114,'RES balance'!AB$5:AB$25)*IFERROR(VLOOKUP($C114,$C$68:$AH$83,AB$67,FALSE),1)</f>
        <v>3.0600835356436815</v>
      </c>
      <c r="AC114" s="10">
        <f ca="1">SUMIFS(AC$3:AC$64,$A$3:$A$64,$A114,$D$3:$D$64,$B114)*SUMIF('RES balance'!$D$5:$D$25,'RES Assumptions'!$A114,'RES balance'!AC$5:AC$25)*IFERROR(VLOOKUP($C114,$C$68:$AH$83,AC$67,FALSE),1)</f>
        <v>592.13284105450748</v>
      </c>
      <c r="AD114" s="10">
        <f ca="1">SUMIFS(AD$3:AD$64,$A$3:$A$64,$A114,$D$3:$D$64,$B114)*SUMIF('RES balance'!$D$5:$D$25,'RES Assumptions'!$A114,'RES balance'!AD$5:AD$25)*IFERROR(VLOOKUP($C114,$C$68:$AH$83,AD$67,FALSE),1)</f>
        <v>0</v>
      </c>
      <c r="AE114" s="10">
        <f ca="1">SUMIFS(AE$3:AE$64,$A$3:$A$64,$A114,$D$3:$D$64,$B114)*SUMIF('RES balance'!$D$5:$D$25,'RES Assumptions'!$A114,'RES balance'!AE$5:AE$25)*IFERROR(VLOOKUP($C114,$C$68:$AH$83,AE$67,FALSE),1)</f>
        <v>0</v>
      </c>
      <c r="AF114" s="10">
        <f ca="1">SUMIFS(AF$3:AF$64,$A$3:$A$64,$A114,$D$3:$D$64,$B114)*SUMIF('RES balance'!$D$5:$D$25,'RES Assumptions'!$A114,'RES balance'!AF$5:AF$25)*IFERROR(VLOOKUP($C114,$C$68:$AH$83,AF$67,FALSE),1)</f>
        <v>1.6275592967933228</v>
      </c>
      <c r="AG114" s="10">
        <f ca="1">SUMIFS(AG$3:AG$64,$A$3:$A$64,$A114,$D$3:$D$64,$B114)*SUMIF('RES balance'!$D$5:$D$25,'RES Assumptions'!$A114,'RES balance'!AG$5:AG$25)*IFERROR(VLOOKUP($C114,$C$68:$AH$83,AG$67,FALSE),1)</f>
        <v>0</v>
      </c>
      <c r="AH114" s="10">
        <f ca="1">SUMIFS(AH$3:AH$64,$A$3:$A$64,$A114,$D$3:$D$64,$B114)*SUMIF('RES balance'!$D$5:$D$25,'RES Assumptions'!$A114,'RES balance'!AH$5:AH$25)*IFERROR(VLOOKUP($C114,$C$68:$AH$83,AH$67,FALSE),1)</f>
        <v>0</v>
      </c>
    </row>
    <row r="115" spans="1:34" x14ac:dyDescent="0.45">
      <c r="A115" s="8" t="str">
        <f t="shared" si="22"/>
        <v>RESHFO</v>
      </c>
      <c r="B115" s="8" t="str">
        <f t="shared" si="23"/>
        <v>RHW</v>
      </c>
      <c r="C115" s="48" t="str">
        <f>SUBSTITUTE(SUBSTITUTE(SUBSTITUTE('RES Veda input'!B32,"1",""),"000",""),"RRF","RR")</f>
        <v>RHWHFO</v>
      </c>
      <c r="E115" s="10">
        <f>SUMIFS(E$3:E$64,$A$3:$A$64,$A115,$D$3:$D$64,$B115)*SUMIF('RES balance'!$D$5:$D$25,'RES Assumptions'!$A115,'RES balance'!E$5:E$25)*IFERROR(VLOOKUP($C115,$C$68:$AH$83,E$67,FALSE),1)</f>
        <v>0</v>
      </c>
      <c r="F115" s="10">
        <f>SUMIFS(F$3:F$64,$A$3:$A$64,$A115,$D$3:$D$64,$B115)*SUMIF('RES balance'!$D$5:$D$25,'RES Assumptions'!$A115,'RES balance'!F$5:F$25)*IFERROR(VLOOKUP($C115,$C$68:$AH$83,F$67,FALSE),1)</f>
        <v>0</v>
      </c>
      <c r="G115" s="10">
        <f>SUMIFS(G$3:G$64,$A$3:$A$64,$A115,$D$3:$D$64,$B115)*SUMIF('RES balance'!$D$5:$D$25,'RES Assumptions'!$A115,'RES balance'!G$5:G$25)*IFERROR(VLOOKUP($C115,$C$68:$AH$83,G$67,FALSE),1)</f>
        <v>0</v>
      </c>
      <c r="H115" s="10">
        <f>SUMIFS(H$3:H$64,$A$3:$A$64,$A115,$D$3:$D$64,$B115)*SUMIF('RES balance'!$D$5:$D$25,'RES Assumptions'!$A115,'RES balance'!H$5:H$25)*IFERROR(VLOOKUP($C115,$C$68:$AH$83,H$67,FALSE),1)</f>
        <v>0</v>
      </c>
      <c r="I115" s="10">
        <f>SUMIFS(I$3:I$64,$A$3:$A$64,$A115,$D$3:$D$64,$B115)*SUMIF('RES balance'!$D$5:$D$25,'RES Assumptions'!$A115,'RES balance'!I$5:I$25)*IFERROR(VLOOKUP($C115,$C$68:$AH$83,I$67,FALSE),1)</f>
        <v>0</v>
      </c>
      <c r="J115" s="10">
        <f>SUMIFS(J$3:J$64,$A$3:$A$64,$A115,$D$3:$D$64,$B115)*SUMIF('RES balance'!$D$5:$D$25,'RES Assumptions'!$A115,'RES balance'!J$5:J$25)*IFERROR(VLOOKUP($C115,$C$68:$AH$83,J$67,FALSE),1)</f>
        <v>0</v>
      </c>
      <c r="K115" s="10">
        <f>SUMIFS(K$3:K$64,$A$3:$A$64,$A115,$D$3:$D$64,$B115)*SUMIF('RES balance'!$D$5:$D$25,'RES Assumptions'!$A115,'RES balance'!K$5:K$25)*IFERROR(VLOOKUP($C115,$C$68:$AH$83,K$67,FALSE),1)</f>
        <v>0</v>
      </c>
      <c r="L115" s="10">
        <f>SUMIFS(L$3:L$64,$A$3:$A$64,$A115,$D$3:$D$64,$B115)*SUMIF('RES balance'!$D$5:$D$25,'RES Assumptions'!$A115,'RES balance'!L$5:L$25)*IFERROR(VLOOKUP($C115,$C$68:$AH$83,L$67,FALSE),1)</f>
        <v>0</v>
      </c>
      <c r="M115" s="10">
        <f>SUMIFS(M$3:M$64,$A$3:$A$64,$A115,$D$3:$D$64,$B115)*SUMIF('RES balance'!$D$5:$D$25,'RES Assumptions'!$A115,'RES balance'!M$5:M$25)*IFERROR(VLOOKUP($C115,$C$68:$AH$83,M$67,FALSE),1)</f>
        <v>0</v>
      </c>
      <c r="N115" s="10">
        <f>SUMIFS(N$3:N$64,$A$3:$A$64,$A115,$D$3:$D$64,$B115)*SUMIF('RES balance'!$D$5:$D$25,'RES Assumptions'!$A115,'RES balance'!N$5:N$25)*IFERROR(VLOOKUP($C115,$C$68:$AH$83,N$67,FALSE),1)</f>
        <v>0</v>
      </c>
      <c r="O115" s="10">
        <f>SUMIFS(O$3:O$64,$A$3:$A$64,$A115,$D$3:$D$64,$B115)*SUMIF('RES balance'!$D$5:$D$25,'RES Assumptions'!$A115,'RES balance'!O$5:O$25)*IFERROR(VLOOKUP($C115,$C$68:$AH$83,O$67,FALSE),1)</f>
        <v>0</v>
      </c>
      <c r="P115" s="10">
        <f>SUMIFS(P$3:P$64,$A$3:$A$64,$A115,$D$3:$D$64,$B115)*SUMIF('RES balance'!$D$5:$D$25,'RES Assumptions'!$A115,'RES balance'!P$5:P$25)*IFERROR(VLOOKUP($C115,$C$68:$AH$83,P$67,FALSE),1)</f>
        <v>0</v>
      </c>
      <c r="Q115" s="10">
        <f>SUMIFS(Q$3:Q$64,$A$3:$A$64,$A115,$D$3:$D$64,$B115)*SUMIF('RES balance'!$D$5:$D$25,'RES Assumptions'!$A115,'RES balance'!Q$5:Q$25)*IFERROR(VLOOKUP($C115,$C$68:$AH$83,Q$67,FALSE),1)</f>
        <v>0</v>
      </c>
      <c r="R115" s="10">
        <f>SUMIFS(R$3:R$64,$A$3:$A$64,$A115,$D$3:$D$64,$B115)*SUMIF('RES balance'!$D$5:$D$25,'RES Assumptions'!$A115,'RES balance'!R$5:R$25)*IFERROR(VLOOKUP($C115,$C$68:$AH$83,R$67,FALSE),1)</f>
        <v>0</v>
      </c>
      <c r="S115" s="10">
        <f>SUMIFS(S$3:S$64,$A$3:$A$64,$A115,$D$3:$D$64,$B115)*SUMIF('RES balance'!$D$5:$D$25,'RES Assumptions'!$A115,'RES balance'!S$5:S$25)*IFERROR(VLOOKUP($C115,$C$68:$AH$83,S$67,FALSE),1)</f>
        <v>0</v>
      </c>
      <c r="T115" s="10">
        <f>SUMIFS(T$3:T$64,$A$3:$A$64,$A115,$D$3:$D$64,$B115)*SUMIF('RES balance'!$D$5:$D$25,'RES Assumptions'!$A115,'RES balance'!T$5:T$25)*IFERROR(VLOOKUP($C115,$C$68:$AH$83,T$67,FALSE),1)</f>
        <v>0</v>
      </c>
      <c r="U115" s="10">
        <f>SUMIFS(U$3:U$64,$A$3:$A$64,$A115,$D$3:$D$64,$B115)*SUMIF('RES balance'!$D$5:$D$25,'RES Assumptions'!$A115,'RES balance'!U$5:U$25)*IFERROR(VLOOKUP($C115,$C$68:$AH$83,U$67,FALSE),1)</f>
        <v>0</v>
      </c>
      <c r="V115" s="10">
        <f>SUMIFS(V$3:V$64,$A$3:$A$64,$A115,$D$3:$D$64,$B115)*SUMIF('RES balance'!$D$5:$D$25,'RES Assumptions'!$A115,'RES balance'!V$5:V$25)*IFERROR(VLOOKUP($C115,$C$68:$AH$83,V$67,FALSE),1)</f>
        <v>0</v>
      </c>
      <c r="W115" s="10">
        <f>SUMIFS(W$3:W$64,$A$3:$A$64,$A115,$D$3:$D$64,$B115)*SUMIF('RES balance'!$D$5:$D$25,'RES Assumptions'!$A115,'RES balance'!W$5:W$25)*IFERROR(VLOOKUP($C115,$C$68:$AH$83,W$67,FALSE),1)</f>
        <v>0</v>
      </c>
      <c r="X115" s="10">
        <f>SUMIFS(X$3:X$64,$A$3:$A$64,$A115,$D$3:$D$64,$B115)*SUMIF('RES balance'!$D$5:$D$25,'RES Assumptions'!$A115,'RES balance'!X$5:X$25)*IFERROR(VLOOKUP($C115,$C$68:$AH$83,X$67,FALSE),1)</f>
        <v>0</v>
      </c>
      <c r="Y115" s="10">
        <f>SUMIFS(Y$3:Y$64,$A$3:$A$64,$A115,$D$3:$D$64,$B115)*SUMIF('RES balance'!$D$5:$D$25,'RES Assumptions'!$A115,'RES balance'!Y$5:Y$25)*IFERROR(VLOOKUP($C115,$C$68:$AH$83,Y$67,FALSE),1)</f>
        <v>0</v>
      </c>
      <c r="Z115" s="10">
        <f>SUMIFS(Z$3:Z$64,$A$3:$A$64,$A115,$D$3:$D$64,$B115)*SUMIF('RES balance'!$D$5:$D$25,'RES Assumptions'!$A115,'RES balance'!Z$5:Z$25)*IFERROR(VLOOKUP($C115,$C$68:$AH$83,Z$67,FALSE),1)</f>
        <v>0</v>
      </c>
      <c r="AA115" s="10">
        <f>SUMIFS(AA$3:AA$64,$A$3:$A$64,$A115,$D$3:$D$64,$B115)*SUMIF('RES balance'!$D$5:$D$25,'RES Assumptions'!$A115,'RES balance'!AA$5:AA$25)*IFERROR(VLOOKUP($C115,$C$68:$AH$83,AA$67,FALSE),1)</f>
        <v>0</v>
      </c>
      <c r="AB115" s="10">
        <f>SUMIFS(AB$3:AB$64,$A$3:$A$64,$A115,$D$3:$D$64,$B115)*SUMIF('RES balance'!$D$5:$D$25,'RES Assumptions'!$A115,'RES balance'!AB$5:AB$25)*IFERROR(VLOOKUP($C115,$C$68:$AH$83,AB$67,FALSE),1)</f>
        <v>0</v>
      </c>
      <c r="AC115" s="10">
        <f>SUMIFS(AC$3:AC$64,$A$3:$A$64,$A115,$D$3:$D$64,$B115)*SUMIF('RES balance'!$D$5:$D$25,'RES Assumptions'!$A115,'RES balance'!AC$5:AC$25)*IFERROR(VLOOKUP($C115,$C$68:$AH$83,AC$67,FALSE),1)</f>
        <v>0</v>
      </c>
      <c r="AD115" s="10">
        <f>SUMIFS(AD$3:AD$64,$A$3:$A$64,$A115,$D$3:$D$64,$B115)*SUMIF('RES balance'!$D$5:$D$25,'RES Assumptions'!$A115,'RES balance'!AD$5:AD$25)*IFERROR(VLOOKUP($C115,$C$68:$AH$83,AD$67,FALSE),1)</f>
        <v>0</v>
      </c>
      <c r="AE115" s="10">
        <f>SUMIFS(AE$3:AE$64,$A$3:$A$64,$A115,$D$3:$D$64,$B115)*SUMIF('RES balance'!$D$5:$D$25,'RES Assumptions'!$A115,'RES balance'!AE$5:AE$25)*IFERROR(VLOOKUP($C115,$C$68:$AH$83,AE$67,FALSE),1)</f>
        <v>0</v>
      </c>
      <c r="AF115" s="10">
        <f>SUMIFS(AF$3:AF$64,$A$3:$A$64,$A115,$D$3:$D$64,$B115)*SUMIF('RES balance'!$D$5:$D$25,'RES Assumptions'!$A115,'RES balance'!AF$5:AF$25)*IFERROR(VLOOKUP($C115,$C$68:$AH$83,AF$67,FALSE),1)</f>
        <v>0</v>
      </c>
      <c r="AG115" s="10">
        <f>SUMIFS(AG$3:AG$64,$A$3:$A$64,$A115,$D$3:$D$64,$B115)*SUMIF('RES balance'!$D$5:$D$25,'RES Assumptions'!$A115,'RES balance'!AG$5:AG$25)*IFERROR(VLOOKUP($C115,$C$68:$AH$83,AG$67,FALSE),1)</f>
        <v>0</v>
      </c>
      <c r="AH115" s="10">
        <f>SUMIFS(AH$3:AH$64,$A$3:$A$64,$A115,$D$3:$D$64,$B115)*SUMIF('RES balance'!$D$5:$D$25,'RES Assumptions'!$A115,'RES balance'!AH$5:AH$25)*IFERROR(VLOOKUP($C115,$C$68:$AH$83,AH$67,FALSE),1)</f>
        <v>0</v>
      </c>
    </row>
    <row r="116" spans="1:34" x14ac:dyDescent="0.45">
      <c r="A116" s="8" t="str">
        <f t="shared" si="22"/>
        <v>RESKER</v>
      </c>
      <c r="B116" s="8" t="str">
        <f t="shared" si="23"/>
        <v>RHW</v>
      </c>
      <c r="C116" s="48" t="str">
        <f>SUBSTITUTE(SUBSTITUTE(SUBSTITUTE('RES Veda input'!B33,"1",""),"000",""),"RRF","RR")</f>
        <v>RHWKER</v>
      </c>
      <c r="E116" s="10">
        <f ca="1">SUMIFS(E$3:E$64,$A$3:$A$64,$A116,$D$3:$D$64,$B116)*SUMIF('RES balance'!$D$5:$D$25,'RES Assumptions'!$A116,'RES balance'!E$5:E$25)*IFERROR(VLOOKUP($C116,$C$68:$AH$83,E$67,FALSE),1)</f>
        <v>0.51028466919873572</v>
      </c>
      <c r="F116" s="10">
        <f ca="1">SUMIFS(F$3:F$64,$A$3:$A$64,$A116,$D$3:$D$64,$B116)*SUMIF('RES balance'!$D$5:$D$25,'RES Assumptions'!$A116,'RES balance'!F$5:F$25)*IFERROR(VLOOKUP($C116,$C$68:$AH$83,F$67,FALSE),1)</f>
        <v>5.6341006340200108</v>
      </c>
      <c r="G116" s="10">
        <f ca="1">SUMIFS(G$3:G$64,$A$3:$A$64,$A116,$D$3:$D$64,$B116)*SUMIF('RES balance'!$D$5:$D$25,'RES Assumptions'!$A116,'RES balance'!G$5:G$25)*IFERROR(VLOOKUP($C116,$C$68:$AH$83,G$67,FALSE),1)</f>
        <v>0.63496762094564363</v>
      </c>
      <c r="H116" s="10">
        <f ca="1">SUMIFS(H$3:H$64,$A$3:$A$64,$A116,$D$3:$D$64,$B116)*SUMIF('RES balance'!$D$5:$D$25,'RES Assumptions'!$A116,'RES balance'!H$5:H$25)*IFERROR(VLOOKUP($C116,$C$68:$AH$83,H$67,FALSE),1)</f>
        <v>0.62685243575041039</v>
      </c>
      <c r="I116" s="10">
        <f ca="1">SUMIFS(I$3:I$64,$A$3:$A$64,$A116,$D$3:$D$64,$B116)*SUMIF('RES balance'!$D$5:$D$25,'RES Assumptions'!$A116,'RES balance'!I$5:I$25)*IFERROR(VLOOKUP($C116,$C$68:$AH$83,I$67,FALSE),1)</f>
        <v>121.7114284479279</v>
      </c>
      <c r="J116" s="10">
        <f ca="1">SUMIFS(J$3:J$64,$A$3:$A$64,$A116,$D$3:$D$64,$B116)*SUMIF('RES balance'!$D$5:$D$25,'RES Assumptions'!$A116,'RES balance'!J$5:J$25)*IFERROR(VLOOKUP($C116,$C$68:$AH$83,J$67,FALSE),1)</f>
        <v>3.2891259838762128</v>
      </c>
      <c r="K116" s="10">
        <f ca="1">SUMIFS(K$3:K$64,$A$3:$A$64,$A116,$D$3:$D$64,$B116)*SUMIF('RES balance'!$D$5:$D$25,'RES Assumptions'!$A116,'RES balance'!K$5:K$25)*IFERROR(VLOOKUP($C116,$C$68:$AH$83,K$67,FALSE),1)</f>
        <v>0</v>
      </c>
      <c r="L116" s="10">
        <f ca="1">SUMIFS(L$3:L$64,$A$3:$A$64,$A116,$D$3:$D$64,$B116)*SUMIF('RES balance'!$D$5:$D$25,'RES Assumptions'!$A116,'RES balance'!L$5:L$25)*IFERROR(VLOOKUP($C116,$C$68:$AH$83,L$67,FALSE),1)</f>
        <v>1.1200000921203384E-2</v>
      </c>
      <c r="M116" s="10">
        <f ca="1">SUMIFS(M$3:M$64,$A$3:$A$64,$A116,$D$3:$D$64,$B116)*SUMIF('RES balance'!$D$5:$D$25,'RES Assumptions'!$A116,'RES balance'!M$5:M$25)*IFERROR(VLOOKUP($C116,$C$68:$AH$83,M$67,FALSE),1)</f>
        <v>0.29358081220872895</v>
      </c>
      <c r="N116" s="10">
        <f ca="1">SUMIFS(N$3:N$64,$A$3:$A$64,$A116,$D$3:$D$64,$B116)*SUMIF('RES balance'!$D$5:$D$25,'RES Assumptions'!$A116,'RES balance'!N$5:N$25)*IFERROR(VLOOKUP($C116,$C$68:$AH$83,N$67,FALSE),1)</f>
        <v>13.150676726223592</v>
      </c>
      <c r="O116" s="10">
        <f ca="1">SUMIFS(O$3:O$64,$A$3:$A$64,$A116,$D$3:$D$64,$B116)*SUMIF('RES balance'!$D$5:$D$25,'RES Assumptions'!$A116,'RES balance'!O$5:O$25)*IFERROR(VLOOKUP($C116,$C$68:$AH$83,O$67,FALSE),1)</f>
        <v>2.1968176879672865E-2</v>
      </c>
      <c r="P116" s="10">
        <f ca="1">SUMIFS(P$3:P$64,$A$3:$A$64,$A116,$D$3:$D$64,$B116)*SUMIF('RES balance'!$D$5:$D$25,'RES Assumptions'!$A116,'RES balance'!P$5:P$25)*IFERROR(VLOOKUP($C116,$C$68:$AH$83,P$67,FALSE),1)</f>
        <v>0</v>
      </c>
      <c r="Q116" s="10">
        <f ca="1">SUMIFS(Q$3:Q$64,$A$3:$A$64,$A116,$D$3:$D$64,$B116)*SUMIF('RES balance'!$D$5:$D$25,'RES Assumptions'!$A116,'RES balance'!Q$5:Q$25)*IFERROR(VLOOKUP($C116,$C$68:$AH$83,Q$67,FALSE),1)</f>
        <v>4.9063984622705012</v>
      </c>
      <c r="R116" s="10">
        <f ca="1">SUMIFS(R$3:R$64,$A$3:$A$64,$A116,$D$3:$D$64,$B116)*SUMIF('RES balance'!$D$5:$D$25,'RES Assumptions'!$A116,'RES balance'!R$5:R$25)*IFERROR(VLOOKUP($C116,$C$68:$AH$83,R$67,FALSE),1)</f>
        <v>0.10614417701411112</v>
      </c>
      <c r="S116" s="10">
        <f ca="1">SUMIFS(S$3:S$64,$A$3:$A$64,$A116,$D$3:$D$64,$B116)*SUMIF('RES balance'!$D$5:$D$25,'RES Assumptions'!$A116,'RES balance'!S$5:S$25)*IFERROR(VLOOKUP($C116,$C$68:$AH$83,S$67,FALSE),1)</f>
        <v>0</v>
      </c>
      <c r="T116" s="10">
        <f ca="1">SUMIFS(T$3:T$64,$A$3:$A$64,$A116,$D$3:$D$64,$B116)*SUMIF('RES balance'!$D$5:$D$25,'RES Assumptions'!$A116,'RES balance'!T$5:T$25)*IFERROR(VLOOKUP($C116,$C$68:$AH$83,T$67,FALSE),1)</f>
        <v>6.0075925372092033E-4</v>
      </c>
      <c r="U116" s="10">
        <f ca="1">SUMIFS(U$3:U$64,$A$3:$A$64,$A116,$D$3:$D$64,$B116)*SUMIF('RES balance'!$D$5:$D$25,'RES Assumptions'!$A116,'RES balance'!U$5:U$25)*IFERROR(VLOOKUP($C116,$C$68:$AH$83,U$67,FALSE),1)</f>
        <v>6.3433331585391967E-2</v>
      </c>
      <c r="V116" s="10">
        <f ca="1">SUMIFS(V$3:V$64,$A$3:$A$64,$A116,$D$3:$D$64,$B116)*SUMIF('RES balance'!$D$5:$D$25,'RES Assumptions'!$A116,'RES balance'!V$5:V$25)*IFERROR(VLOOKUP($C116,$C$68:$AH$83,V$67,FALSE),1)</f>
        <v>1.0369943537453452</v>
      </c>
      <c r="W116" s="10">
        <f ca="1">SUMIFS(W$3:W$64,$A$3:$A$64,$A116,$D$3:$D$64,$B116)*SUMIF('RES balance'!$D$5:$D$25,'RES Assumptions'!$A116,'RES balance'!W$5:W$25)*IFERROR(VLOOKUP($C116,$C$68:$AH$83,W$67,FALSE),1)</f>
        <v>3.6401166895565933E-2</v>
      </c>
      <c r="X116" s="10">
        <f ca="1">SUMIFS(X$3:X$64,$A$3:$A$64,$A116,$D$3:$D$64,$B116)*SUMIF('RES balance'!$D$5:$D$25,'RES Assumptions'!$A116,'RES balance'!X$5:X$25)*IFERROR(VLOOKUP($C116,$C$68:$AH$83,X$67,FALSE),1)</f>
        <v>9.0074372742879465</v>
      </c>
      <c r="Y116" s="10">
        <f ca="1">SUMIFS(Y$3:Y$64,$A$3:$A$64,$A116,$D$3:$D$64,$B116)*SUMIF('RES balance'!$D$5:$D$25,'RES Assumptions'!$A116,'RES balance'!Y$5:Y$25)*IFERROR(VLOOKUP($C116,$C$68:$AH$83,Y$67,FALSE),1)</f>
        <v>1.5224394177844838</v>
      </c>
      <c r="Z116" s="10">
        <f ca="1">SUMIFS(Z$3:Z$64,$A$3:$A$64,$A116,$D$3:$D$64,$B116)*SUMIF('RES balance'!$D$5:$D$25,'RES Assumptions'!$A116,'RES balance'!Z$5:Z$25)*IFERROR(VLOOKUP($C116,$C$68:$AH$83,Z$67,FALSE),1)</f>
        <v>0</v>
      </c>
      <c r="AA116" s="10">
        <f ca="1">SUMIFS(AA$3:AA$64,$A$3:$A$64,$A116,$D$3:$D$64,$B116)*SUMIF('RES balance'!$D$5:$D$25,'RES Assumptions'!$A116,'RES balance'!AA$5:AA$25)*IFERROR(VLOOKUP($C116,$C$68:$AH$83,AA$67,FALSE),1)</f>
        <v>26.049365337968716</v>
      </c>
      <c r="AB116" s="10">
        <f ca="1">SUMIFS(AB$3:AB$64,$A$3:$A$64,$A116,$D$3:$D$64,$B116)*SUMIF('RES balance'!$D$5:$D$25,'RES Assumptions'!$A116,'RES balance'!AB$5:AB$25)*IFERROR(VLOOKUP($C116,$C$68:$AH$83,AB$67,FALSE),1)</f>
        <v>3.4155260619610239E-3</v>
      </c>
      <c r="AC116" s="10">
        <f ca="1">SUMIFS(AC$3:AC$64,$A$3:$A$64,$A116,$D$3:$D$64,$B116)*SUMIF('RES balance'!$D$5:$D$25,'RES Assumptions'!$A116,'RES balance'!AC$5:AC$25)*IFERROR(VLOOKUP($C116,$C$68:$AH$83,AC$67,FALSE),1)</f>
        <v>0</v>
      </c>
      <c r="AD116" s="10">
        <f ca="1">SUMIFS(AD$3:AD$64,$A$3:$A$64,$A116,$D$3:$D$64,$B116)*SUMIF('RES balance'!$D$5:$D$25,'RES Assumptions'!$A116,'RES balance'!AD$5:AD$25)*IFERROR(VLOOKUP($C116,$C$68:$AH$83,AD$67,FALSE),1)</f>
        <v>3.6931995610506294</v>
      </c>
      <c r="AE116" s="10">
        <f ca="1">SUMIFS(AE$3:AE$64,$A$3:$A$64,$A116,$D$3:$D$64,$B116)*SUMIF('RES balance'!$D$5:$D$25,'RES Assumptions'!$A116,'RES balance'!AE$5:AE$25)*IFERROR(VLOOKUP($C116,$C$68:$AH$83,AE$67,FALSE),1)</f>
        <v>1.2489387907450329</v>
      </c>
      <c r="AF116" s="10">
        <f ca="1">SUMIFS(AF$3:AF$64,$A$3:$A$64,$A116,$D$3:$D$64,$B116)*SUMIF('RES balance'!$D$5:$D$25,'RES Assumptions'!$A116,'RES balance'!AF$5:AF$25)*IFERROR(VLOOKUP($C116,$C$68:$AH$83,AF$67,FALSE),1)</f>
        <v>10.883323923120884</v>
      </c>
      <c r="AG116" s="10">
        <f ca="1">SUMIFS(AG$3:AG$64,$A$3:$A$64,$A116,$D$3:$D$64,$B116)*SUMIF('RES balance'!$D$5:$D$25,'RES Assumptions'!$A116,'RES balance'!AG$5:AG$25)*IFERROR(VLOOKUP($C116,$C$68:$AH$83,AG$67,FALSE),1)</f>
        <v>1.6728299196403797</v>
      </c>
      <c r="AH116" s="10">
        <f ca="1">SUMIFS(AH$3:AH$64,$A$3:$A$64,$A116,$D$3:$D$64,$B116)*SUMIF('RES balance'!$D$5:$D$25,'RES Assumptions'!$A116,'RES balance'!AH$5:AH$25)*IFERROR(VLOOKUP($C116,$C$68:$AH$83,AH$67,FALSE),1)</f>
        <v>0</v>
      </c>
    </row>
    <row r="117" spans="1:34" x14ac:dyDescent="0.45">
      <c r="A117" s="8" t="str">
        <f t="shared" si="22"/>
        <v>RESLPG</v>
      </c>
      <c r="B117" s="8" t="str">
        <f t="shared" si="23"/>
        <v>RHW</v>
      </c>
      <c r="C117" s="48" t="str">
        <f>SUBSTITUTE(SUBSTITUTE(SUBSTITUTE('RES Veda input'!B34,"1",""),"000",""),"RRF","RR")</f>
        <v>RHWLPG</v>
      </c>
      <c r="E117" s="10">
        <f ca="1">SUMIFS(E$3:E$64,$A$3:$A$64,$A117,$D$3:$D$64,$B117)*SUMIF('RES balance'!$D$5:$D$25,'RES Assumptions'!$A117,'RES balance'!E$5:E$25)*IFERROR(VLOOKUP($C117,$C$68:$AH$83,E$67,FALSE),1)</f>
        <v>43.575917486544817</v>
      </c>
      <c r="F117" s="10">
        <f ca="1">SUMIFS(F$3:F$64,$A$3:$A$64,$A117,$D$3:$D$64,$B117)*SUMIF('RES balance'!$D$5:$D$25,'RES Assumptions'!$A117,'RES balance'!F$5:F$25)*IFERROR(VLOOKUP($C117,$C$68:$AH$83,F$67,FALSE),1)</f>
        <v>13.547252625251982</v>
      </c>
      <c r="G117" s="10">
        <f ca="1">SUMIFS(G$3:G$64,$A$3:$A$64,$A117,$D$3:$D$64,$B117)*SUMIF('RES balance'!$D$5:$D$25,'RES Assumptions'!$A117,'RES balance'!G$5:G$25)*IFERROR(VLOOKUP($C117,$C$68:$AH$83,G$67,FALSE),1)</f>
        <v>10.141830452932888</v>
      </c>
      <c r="H117" s="10">
        <f ca="1">SUMIFS(H$3:H$64,$A$3:$A$64,$A117,$D$3:$D$64,$B117)*SUMIF('RES balance'!$D$5:$D$25,'RES Assumptions'!$A117,'RES balance'!H$5:H$25)*IFERROR(VLOOKUP($C117,$C$68:$AH$83,H$67,FALSE),1)</f>
        <v>6.3005672862245232</v>
      </c>
      <c r="I117" s="10">
        <f ca="1">SUMIFS(I$3:I$64,$A$3:$A$64,$A117,$D$3:$D$64,$B117)*SUMIF('RES balance'!$D$5:$D$25,'RES Assumptions'!$A117,'RES balance'!I$5:I$25)*IFERROR(VLOOKUP($C117,$C$68:$AH$83,I$67,FALSE),1)</f>
        <v>78.696238474882733</v>
      </c>
      <c r="J117" s="10">
        <f ca="1">SUMIFS(J$3:J$64,$A$3:$A$64,$A117,$D$3:$D$64,$B117)*SUMIF('RES balance'!$D$5:$D$25,'RES Assumptions'!$A117,'RES balance'!J$5:J$25)*IFERROR(VLOOKUP($C117,$C$68:$AH$83,J$67,FALSE),1)</f>
        <v>69.473231175303226</v>
      </c>
      <c r="K117" s="10">
        <f ca="1">SUMIFS(K$3:K$64,$A$3:$A$64,$A117,$D$3:$D$64,$B117)*SUMIF('RES balance'!$D$5:$D$25,'RES Assumptions'!$A117,'RES balance'!K$5:K$25)*IFERROR(VLOOKUP($C117,$C$68:$AH$83,K$67,FALSE),1)</f>
        <v>8.8683010800662387</v>
      </c>
      <c r="L117" s="10">
        <f ca="1">SUMIFS(L$3:L$64,$A$3:$A$64,$A117,$D$3:$D$64,$B117)*SUMIF('RES balance'!$D$5:$D$25,'RES Assumptions'!$A117,'RES balance'!L$5:L$25)*IFERROR(VLOOKUP($C117,$C$68:$AH$83,L$67,FALSE),1)</f>
        <v>30.189798293029746</v>
      </c>
      <c r="M117" s="10">
        <f ca="1">SUMIFS(M$3:M$64,$A$3:$A$64,$A117,$D$3:$D$64,$B117)*SUMIF('RES balance'!$D$5:$D$25,'RES Assumptions'!$A117,'RES balance'!M$5:M$25)*IFERROR(VLOOKUP($C117,$C$68:$AH$83,M$67,FALSE),1)</f>
        <v>1.9693106975645609</v>
      </c>
      <c r="N117" s="10">
        <f ca="1">SUMIFS(N$3:N$64,$A$3:$A$64,$A117,$D$3:$D$64,$B117)*SUMIF('RES balance'!$D$5:$D$25,'RES Assumptions'!$A117,'RES balance'!N$5:N$25)*IFERROR(VLOOKUP($C117,$C$68:$AH$83,N$67,FALSE),1)</f>
        <v>990.52816261627913</v>
      </c>
      <c r="O117" s="10">
        <f ca="1">SUMIFS(O$3:O$64,$A$3:$A$64,$A117,$D$3:$D$64,$B117)*SUMIF('RES balance'!$D$5:$D$25,'RES Assumptions'!$A117,'RES balance'!O$5:O$25)*IFERROR(VLOOKUP($C117,$C$68:$AH$83,O$67,FALSE),1)</f>
        <v>0.16928297036117165</v>
      </c>
      <c r="P117" s="10">
        <f ca="1">SUMIFS(P$3:P$64,$A$3:$A$64,$A117,$D$3:$D$64,$B117)*SUMIF('RES balance'!$D$5:$D$25,'RES Assumptions'!$A117,'RES balance'!P$5:P$25)*IFERROR(VLOOKUP($C117,$C$68:$AH$83,P$67,FALSE),1)</f>
        <v>2.1487191495699238</v>
      </c>
      <c r="Q117" s="10">
        <f ca="1">SUMIFS(Q$3:Q$64,$A$3:$A$64,$A117,$D$3:$D$64,$B117)*SUMIF('RES balance'!$D$5:$D$25,'RES Assumptions'!$A117,'RES balance'!Q$5:Q$25)*IFERROR(VLOOKUP($C117,$C$68:$AH$83,Q$67,FALSE),1)</f>
        <v>1.1158462209852047</v>
      </c>
      <c r="R117" s="10">
        <f ca="1">SUMIFS(R$3:R$64,$A$3:$A$64,$A117,$D$3:$D$64,$B117)*SUMIF('RES balance'!$D$5:$D$25,'RES Assumptions'!$A117,'RES balance'!R$5:R$25)*IFERROR(VLOOKUP($C117,$C$68:$AH$83,R$67,FALSE),1)</f>
        <v>7.3873061633513375</v>
      </c>
      <c r="S117" s="10">
        <f ca="1">SUMIFS(S$3:S$64,$A$3:$A$64,$A117,$D$3:$D$64,$B117)*SUMIF('RES balance'!$D$5:$D$25,'RES Assumptions'!$A117,'RES balance'!S$5:S$25)*IFERROR(VLOOKUP($C117,$C$68:$AH$83,S$67,FALSE),1)</f>
        <v>1.3454371667697935</v>
      </c>
      <c r="T117" s="10">
        <f ca="1">SUMIFS(T$3:T$64,$A$3:$A$64,$A117,$D$3:$D$64,$B117)*SUMIF('RES balance'!$D$5:$D$25,'RES Assumptions'!$A117,'RES balance'!T$5:T$25)*IFERROR(VLOOKUP($C117,$C$68:$AH$83,T$67,FALSE),1)</f>
        <v>7.2953179300502731</v>
      </c>
      <c r="U117" s="10">
        <f ca="1">SUMIFS(U$3:U$64,$A$3:$A$64,$A117,$D$3:$D$64,$B117)*SUMIF('RES balance'!$D$5:$D$25,'RES Assumptions'!$A117,'RES balance'!U$5:U$25)*IFERROR(VLOOKUP($C117,$C$68:$AH$83,U$67,FALSE),1)</f>
        <v>3.5000653008324685</v>
      </c>
      <c r="V117" s="10">
        <f ca="1">SUMIFS(V$3:V$64,$A$3:$A$64,$A117,$D$3:$D$64,$B117)*SUMIF('RES balance'!$D$5:$D$25,'RES Assumptions'!$A117,'RES balance'!V$5:V$25)*IFERROR(VLOOKUP($C117,$C$68:$AH$83,V$67,FALSE),1)</f>
        <v>4.8151633932255775</v>
      </c>
      <c r="W117" s="10">
        <f ca="1">SUMIFS(W$3:W$64,$A$3:$A$64,$A117,$D$3:$D$64,$B117)*SUMIF('RES balance'!$D$5:$D$25,'RES Assumptions'!$A117,'RES balance'!W$5:W$25)*IFERROR(VLOOKUP($C117,$C$68:$AH$83,W$67,FALSE),1)</f>
        <v>4.9649692405644412</v>
      </c>
      <c r="X117" s="10">
        <f ca="1">SUMIFS(X$3:X$64,$A$3:$A$64,$A117,$D$3:$D$64,$B117)*SUMIF('RES balance'!$D$5:$D$25,'RES Assumptions'!$A117,'RES balance'!X$5:X$25)*IFERROR(VLOOKUP($C117,$C$68:$AH$83,X$67,FALSE),1)</f>
        <v>103.26406332945412</v>
      </c>
      <c r="Y117" s="10">
        <f ca="1">SUMIFS(Y$3:Y$64,$A$3:$A$64,$A117,$D$3:$D$64,$B117)*SUMIF('RES balance'!$D$5:$D$25,'RES Assumptions'!$A117,'RES balance'!Y$5:Y$25)*IFERROR(VLOOKUP($C117,$C$68:$AH$83,Y$67,FALSE),1)</f>
        <v>25.171630039231964</v>
      </c>
      <c r="Z117" s="10">
        <f ca="1">SUMIFS(Z$3:Z$64,$A$3:$A$64,$A117,$D$3:$D$64,$B117)*SUMIF('RES balance'!$D$5:$D$25,'RES Assumptions'!$A117,'RES balance'!Z$5:Z$25)*IFERROR(VLOOKUP($C117,$C$68:$AH$83,Z$67,FALSE),1)</f>
        <v>128.09389358746606</v>
      </c>
      <c r="AA117" s="10">
        <f ca="1">SUMIFS(AA$3:AA$64,$A$3:$A$64,$A117,$D$3:$D$64,$B117)*SUMIF('RES balance'!$D$5:$D$25,'RES Assumptions'!$A117,'RES balance'!AA$5:AA$25)*IFERROR(VLOOKUP($C117,$C$68:$AH$83,AA$67,FALSE),1)</f>
        <v>48.968834169696692</v>
      </c>
      <c r="AB117" s="10">
        <f ca="1">SUMIFS(AB$3:AB$64,$A$3:$A$64,$A117,$D$3:$D$64,$B117)*SUMIF('RES balance'!$D$5:$D$25,'RES Assumptions'!$A117,'RES balance'!AB$5:AB$25)*IFERROR(VLOOKUP($C117,$C$68:$AH$83,AB$67,FALSE),1)</f>
        <v>3.4040661509264263E-2</v>
      </c>
      <c r="AC117" s="10">
        <f ca="1">SUMIFS(AC$3:AC$64,$A$3:$A$64,$A117,$D$3:$D$64,$B117)*SUMIF('RES balance'!$D$5:$D$25,'RES Assumptions'!$A117,'RES balance'!AC$5:AC$25)*IFERROR(VLOOKUP($C117,$C$68:$AH$83,AC$67,FALSE),1)</f>
        <v>49.031299045209451</v>
      </c>
      <c r="AD117" s="10">
        <f ca="1">SUMIFS(AD$3:AD$64,$A$3:$A$64,$A117,$D$3:$D$64,$B117)*SUMIF('RES balance'!$D$5:$D$25,'RES Assumptions'!$A117,'RES balance'!AD$5:AD$25)*IFERROR(VLOOKUP($C117,$C$68:$AH$83,AD$67,FALSE),1)</f>
        <v>8.4146720042351006</v>
      </c>
      <c r="AE117" s="10">
        <f ca="1">SUMIFS(AE$3:AE$64,$A$3:$A$64,$A117,$D$3:$D$64,$B117)*SUMIF('RES balance'!$D$5:$D$25,'RES Assumptions'!$A117,'RES balance'!AE$5:AE$25)*IFERROR(VLOOKUP($C117,$C$68:$AH$83,AE$67,FALSE),1)</f>
        <v>1.1188860032171917</v>
      </c>
      <c r="AF117" s="10">
        <f ca="1">SUMIFS(AF$3:AF$64,$A$3:$A$64,$A117,$D$3:$D$64,$B117)*SUMIF('RES balance'!$D$5:$D$25,'RES Assumptions'!$A117,'RES balance'!AF$5:AF$25)*IFERROR(VLOOKUP($C117,$C$68:$AH$83,AF$67,FALSE),1)</f>
        <v>1.3829873801088224</v>
      </c>
      <c r="AG117" s="10">
        <f ca="1">SUMIFS(AG$3:AG$64,$A$3:$A$64,$A117,$D$3:$D$64,$B117)*SUMIF('RES balance'!$D$5:$D$25,'RES Assumptions'!$A117,'RES balance'!AG$5:AG$25)*IFERROR(VLOOKUP($C117,$C$68:$AH$83,AG$67,FALSE),1)</f>
        <v>28.488843066727188</v>
      </c>
      <c r="AH117" s="10">
        <f ca="1">SUMIFS(AH$3:AH$64,$A$3:$A$64,$A117,$D$3:$D$64,$B117)*SUMIF('RES balance'!$D$5:$D$25,'RES Assumptions'!$A117,'RES balance'!AH$5:AH$25)*IFERROR(VLOOKUP($C117,$C$68:$AH$83,AH$67,FALSE),1)</f>
        <v>0</v>
      </c>
    </row>
    <row r="118" spans="1:34" x14ac:dyDescent="0.45">
      <c r="A118" s="8" t="str">
        <f t="shared" si="22"/>
        <v>RESNGA</v>
      </c>
      <c r="B118" s="8" t="str">
        <f t="shared" si="23"/>
        <v>RHW</v>
      </c>
      <c r="C118" s="48" t="str">
        <f>SUBSTITUTE(SUBSTITUTE(SUBSTITUTE('RES Veda input'!B35,"1",""),"000",""),"RRF","RR")</f>
        <v>RHWNGA</v>
      </c>
      <c r="E118" s="10">
        <f ca="1">SUMIFS(E$3:E$64,$A$3:$A$64,$A118,$D$3:$D$64,$B118)*SUMIF('RES balance'!$D$5:$D$25,'RES Assumptions'!$A118,'RES balance'!E$5:E$25)*IFERROR(VLOOKUP($C118,$C$68:$AH$83,E$67,FALSE),1)</f>
        <v>326.04456139994215</v>
      </c>
      <c r="F118" s="10">
        <f ca="1">SUMIFS(F$3:F$64,$A$3:$A$64,$A118,$D$3:$D$64,$B118)*SUMIF('RES balance'!$D$5:$D$25,'RES Assumptions'!$A118,'RES balance'!F$5:F$25)*IFERROR(VLOOKUP($C118,$C$68:$AH$83,F$67,FALSE),1)</f>
        <v>2.5755223729896263E-4</v>
      </c>
      <c r="G118" s="10">
        <f ca="1">SUMIFS(G$3:G$64,$A$3:$A$64,$A118,$D$3:$D$64,$B118)*SUMIF('RES balance'!$D$5:$D$25,'RES Assumptions'!$A118,'RES balance'!G$5:G$25)*IFERROR(VLOOKUP($C118,$C$68:$AH$83,G$67,FALSE),1)</f>
        <v>245.92273727555235</v>
      </c>
      <c r="H118" s="10">
        <f ca="1">SUMIFS(H$3:H$64,$A$3:$A$64,$A118,$D$3:$D$64,$B118)*SUMIF('RES balance'!$D$5:$D$25,'RES Assumptions'!$A118,'RES balance'!H$5:H$25)*IFERROR(VLOOKUP($C118,$C$68:$AH$83,H$67,FALSE),1)</f>
        <v>120.26231863457325</v>
      </c>
      <c r="I118" s="10">
        <f ca="1">SUMIFS(I$3:I$64,$A$3:$A$64,$A118,$D$3:$D$64,$B118)*SUMIF('RES balance'!$D$5:$D$25,'RES Assumptions'!$A118,'RES balance'!I$5:I$25)*IFERROR(VLOOKUP($C118,$C$68:$AH$83,I$67,FALSE),1)</f>
        <v>489.83744296389733</v>
      </c>
      <c r="J118" s="10">
        <f ca="1">SUMIFS(J$3:J$64,$A$3:$A$64,$A118,$D$3:$D$64,$B118)*SUMIF('RES balance'!$D$5:$D$25,'RES Assumptions'!$A118,'RES balance'!J$5:J$25)*IFERROR(VLOOKUP($C118,$C$68:$AH$83,J$67,FALSE),1)</f>
        <v>0</v>
      </c>
      <c r="K118" s="10">
        <f ca="1">SUMIFS(K$3:K$64,$A$3:$A$64,$A118,$D$3:$D$64,$B118)*SUMIF('RES balance'!$D$5:$D$25,'RES Assumptions'!$A118,'RES balance'!K$5:K$25)*IFERROR(VLOOKUP($C118,$C$68:$AH$83,K$67,FALSE),1)</f>
        <v>52.76723012207767</v>
      </c>
      <c r="L118" s="10">
        <f ca="1">SUMIFS(L$3:L$64,$A$3:$A$64,$A118,$D$3:$D$64,$B118)*SUMIF('RES balance'!$D$5:$D$25,'RES Assumptions'!$A118,'RES balance'!L$5:L$25)*IFERROR(VLOOKUP($C118,$C$68:$AH$83,L$67,FALSE),1)</f>
        <v>11.177745179435632</v>
      </c>
      <c r="M118" s="10">
        <f ca="1">SUMIFS(M$3:M$64,$A$3:$A$64,$A118,$D$3:$D$64,$B118)*SUMIF('RES balance'!$D$5:$D$25,'RES Assumptions'!$A118,'RES balance'!M$5:M$25)*IFERROR(VLOOKUP($C118,$C$68:$AH$83,M$67,FALSE),1)</f>
        <v>188.1193193321927</v>
      </c>
      <c r="N118" s="10">
        <f ca="1">SUMIFS(N$3:N$64,$A$3:$A$64,$A118,$D$3:$D$64,$B118)*SUMIF('RES balance'!$D$5:$D$25,'RES Assumptions'!$A118,'RES balance'!N$5:N$25)*IFERROR(VLOOKUP($C118,$C$68:$AH$83,N$67,FALSE),1)</f>
        <v>1274.2696058523709</v>
      </c>
      <c r="O118" s="10">
        <f ca="1">SUMIFS(O$3:O$64,$A$3:$A$64,$A118,$D$3:$D$64,$B118)*SUMIF('RES balance'!$D$5:$D$25,'RES Assumptions'!$A118,'RES balance'!O$5:O$25)*IFERROR(VLOOKUP($C118,$C$68:$AH$83,O$67,FALSE),1)</f>
        <v>5.4066647533160017</v>
      </c>
      <c r="P118" s="10">
        <f ca="1">SUMIFS(P$3:P$64,$A$3:$A$64,$A118,$D$3:$D$64,$B118)*SUMIF('RES balance'!$D$5:$D$25,'RES Assumptions'!$A118,'RES balance'!P$5:P$25)*IFERROR(VLOOKUP($C118,$C$68:$AH$83,P$67,FALSE),1)</f>
        <v>67.864406497269528</v>
      </c>
      <c r="Q118" s="10">
        <f ca="1">SUMIFS(Q$3:Q$64,$A$3:$A$64,$A118,$D$3:$D$64,$B118)*SUMIF('RES balance'!$D$5:$D$25,'RES Assumptions'!$A118,'RES balance'!Q$5:Q$25)*IFERROR(VLOOKUP($C118,$C$68:$AH$83,Q$67,FALSE),1)</f>
        <v>83.908419602777514</v>
      </c>
      <c r="R118" s="10">
        <f ca="1">SUMIFS(R$3:R$64,$A$3:$A$64,$A118,$D$3:$D$64,$B118)*SUMIF('RES balance'!$D$5:$D$25,'RES Assumptions'!$A118,'RES balance'!R$5:R$25)*IFERROR(VLOOKUP($C118,$C$68:$AH$83,R$67,FALSE),1)</f>
        <v>129.74051227913569</v>
      </c>
      <c r="S118" s="10">
        <f ca="1">SUMIFS(S$3:S$64,$A$3:$A$64,$A118,$D$3:$D$64,$B118)*SUMIF('RES balance'!$D$5:$D$25,'RES Assumptions'!$A118,'RES balance'!S$5:S$25)*IFERROR(VLOOKUP($C118,$C$68:$AH$83,S$67,FALSE),1)</f>
        <v>48.521288801283156</v>
      </c>
      <c r="T118" s="10">
        <f ca="1">SUMIFS(T$3:T$64,$A$3:$A$64,$A118,$D$3:$D$64,$B118)*SUMIF('RES balance'!$D$5:$D$25,'RES Assumptions'!$A118,'RES balance'!T$5:T$25)*IFERROR(VLOOKUP($C118,$C$68:$AH$83,T$67,FALSE),1)</f>
        <v>29.398645646181379</v>
      </c>
      <c r="U118" s="10">
        <f ca="1">SUMIFS(U$3:U$64,$A$3:$A$64,$A118,$D$3:$D$64,$B118)*SUMIF('RES balance'!$D$5:$D$25,'RES Assumptions'!$A118,'RES balance'!U$5:U$25)*IFERROR(VLOOKUP($C118,$C$68:$AH$83,U$67,FALSE),1)</f>
        <v>229.17949978244866</v>
      </c>
      <c r="V118" s="10">
        <f ca="1">SUMIFS(V$3:V$64,$A$3:$A$64,$A118,$D$3:$D$64,$B118)*SUMIF('RES balance'!$D$5:$D$25,'RES Assumptions'!$A118,'RES balance'!V$5:V$25)*IFERROR(VLOOKUP($C118,$C$68:$AH$83,V$67,FALSE),1)</f>
        <v>89.28800790472134</v>
      </c>
      <c r="W118" s="10">
        <f ca="1">SUMIFS(W$3:W$64,$A$3:$A$64,$A118,$D$3:$D$64,$B118)*SUMIF('RES balance'!$D$5:$D$25,'RES Assumptions'!$A118,'RES balance'!W$5:W$25)*IFERROR(VLOOKUP($C118,$C$68:$AH$83,W$67,FALSE),1)</f>
        <v>178.13741627196498</v>
      </c>
      <c r="X118" s="10">
        <f ca="1">SUMIFS(X$3:X$64,$A$3:$A$64,$A118,$D$3:$D$64,$B118)*SUMIF('RES balance'!$D$5:$D$25,'RES Assumptions'!$A118,'RES balance'!X$5:X$25)*IFERROR(VLOOKUP($C118,$C$68:$AH$83,X$67,FALSE),1)</f>
        <v>86.116585966501489</v>
      </c>
      <c r="Y118" s="10">
        <f ca="1">SUMIFS(Y$3:Y$64,$A$3:$A$64,$A118,$D$3:$D$64,$B118)*SUMIF('RES balance'!$D$5:$D$25,'RES Assumptions'!$A118,'RES balance'!Y$5:Y$25)*IFERROR(VLOOKUP($C118,$C$68:$AH$83,Y$67,FALSE),1)</f>
        <v>53.681697757662739</v>
      </c>
      <c r="Z118" s="10">
        <f ca="1">SUMIFS(Z$3:Z$64,$A$3:$A$64,$A118,$D$3:$D$64,$B118)*SUMIF('RES balance'!$D$5:$D$25,'RES Assumptions'!$A118,'RES balance'!Z$5:Z$25)*IFERROR(VLOOKUP($C118,$C$68:$AH$83,Z$67,FALSE),1)</f>
        <v>17.478114710002142</v>
      </c>
      <c r="AA118" s="10">
        <f ca="1">SUMIFS(AA$3:AA$64,$A$3:$A$64,$A118,$D$3:$D$64,$B118)*SUMIF('RES balance'!$D$5:$D$25,'RES Assumptions'!$A118,'RES balance'!AA$5:AA$25)*IFERROR(VLOOKUP($C118,$C$68:$AH$83,AA$67,FALSE),1)</f>
        <v>432.76333111856843</v>
      </c>
      <c r="AB118" s="10">
        <f ca="1">SUMIFS(AB$3:AB$64,$A$3:$A$64,$A118,$D$3:$D$64,$B118)*SUMIF('RES balance'!$D$5:$D$25,'RES Assumptions'!$A118,'RES balance'!AB$5:AB$25)*IFERROR(VLOOKUP($C118,$C$68:$AH$83,AB$67,FALSE),1)</f>
        <v>1.2163108444769958E-2</v>
      </c>
      <c r="AC118" s="10">
        <f ca="1">SUMIFS(AC$3:AC$64,$A$3:$A$64,$A118,$D$3:$D$64,$B118)*SUMIF('RES balance'!$D$5:$D$25,'RES Assumptions'!$A118,'RES balance'!AC$5:AC$25)*IFERROR(VLOOKUP($C118,$C$68:$AH$83,AC$67,FALSE),1)</f>
        <v>530.80521367608048</v>
      </c>
      <c r="AD118" s="10">
        <f ca="1">SUMIFS(AD$3:AD$64,$A$3:$A$64,$A118,$D$3:$D$64,$B118)*SUMIF('RES balance'!$D$5:$D$25,'RES Assumptions'!$A118,'RES balance'!AD$5:AD$25)*IFERROR(VLOOKUP($C118,$C$68:$AH$83,AD$67,FALSE),1)</f>
        <v>0</v>
      </c>
      <c r="AE118" s="10">
        <f ca="1">SUMIFS(AE$3:AE$64,$A$3:$A$64,$A118,$D$3:$D$64,$B118)*SUMIF('RES balance'!$D$5:$D$25,'RES Assumptions'!$A118,'RES balance'!AE$5:AE$25)*IFERROR(VLOOKUP($C118,$C$68:$AH$83,AE$67,FALSE),1)</f>
        <v>0.13660132279550086</v>
      </c>
      <c r="AF118" s="10">
        <f ca="1">SUMIFS(AF$3:AF$64,$A$3:$A$64,$A118,$D$3:$D$64,$B118)*SUMIF('RES balance'!$D$5:$D$25,'RES Assumptions'!$A118,'RES balance'!AF$5:AF$25)*IFERROR(VLOOKUP($C118,$C$68:$AH$83,AF$67,FALSE),1)</f>
        <v>179.31049107303113</v>
      </c>
      <c r="AG118" s="10">
        <f ca="1">SUMIFS(AG$3:AG$64,$A$3:$A$64,$A118,$D$3:$D$64,$B118)*SUMIF('RES balance'!$D$5:$D$25,'RES Assumptions'!$A118,'RES balance'!AG$5:AG$25)*IFERROR(VLOOKUP($C118,$C$68:$AH$83,AG$67,FALSE),1)</f>
        <v>1343.7380512047973</v>
      </c>
      <c r="AH118" s="10">
        <f ca="1">SUMIFS(AH$3:AH$64,$A$3:$A$64,$A118,$D$3:$D$64,$B118)*SUMIF('RES balance'!$D$5:$D$25,'RES Assumptions'!$A118,'RES balance'!AH$5:AH$25)*IFERROR(VLOOKUP($C118,$C$68:$AH$83,AH$67,FALSE),1)</f>
        <v>0</v>
      </c>
    </row>
    <row r="119" spans="1:34" x14ac:dyDescent="0.45">
      <c r="A119" s="8" t="str">
        <f t="shared" ref="A119:A144" si="26">"RES"&amp;VLOOKUP(RIGHT(C119,3),$AJ$87:$AK$108,2,FALSE)</f>
        <v>RESSTH</v>
      </c>
      <c r="B119" s="8" t="str">
        <f t="shared" si="23"/>
        <v>RHW</v>
      </c>
      <c r="C119" s="48" t="str">
        <f>SUBSTITUTE(SUBSTITUTE(SUBSTITUTE('RES Veda input'!B36,"1",""),"000",""),"RRF","RR")</f>
        <v>RHWSTH</v>
      </c>
      <c r="E119" s="10">
        <f ca="1">SUMIFS(E$3:E$64,$A$3:$A$64,$A119,$D$3:$D$64,$B119)*SUMIF('RES balance'!$D$5:$D$25,'RES Assumptions'!$A119,'RES balance'!E$5:E$25)*IFERROR(VLOOKUP($C119,$C$68:$AH$83,E$67,FALSE),1)</f>
        <v>2.4618384</v>
      </c>
      <c r="F119" s="10">
        <f ca="1">SUMIFS(F$3:F$64,$A$3:$A$64,$A119,$D$3:$D$64,$B119)*SUMIF('RES balance'!$D$5:$D$25,'RES Assumptions'!$A119,'RES balance'!F$5:F$25)*IFERROR(VLOOKUP($C119,$C$68:$AH$83,F$67,FALSE),1)</f>
        <v>0</v>
      </c>
      <c r="G119" s="10">
        <f ca="1">SUMIFS(G$3:G$64,$A$3:$A$64,$A119,$D$3:$D$64,$B119)*SUMIF('RES balance'!$D$5:$D$25,'RES Assumptions'!$A119,'RES balance'!G$5:G$25)*IFERROR(VLOOKUP($C119,$C$68:$AH$83,G$67,FALSE),1)</f>
        <v>0</v>
      </c>
      <c r="H119" s="10">
        <f ca="1">SUMIFS(H$3:H$64,$A$3:$A$64,$A119,$D$3:$D$64,$B119)*SUMIF('RES balance'!$D$5:$D$25,'RES Assumptions'!$A119,'RES balance'!H$5:H$25)*IFERROR(VLOOKUP($C119,$C$68:$AH$83,H$67,FALSE),1)</f>
        <v>0.18249423840000001</v>
      </c>
      <c r="I119" s="10">
        <f ca="1">SUMIFS(I$3:I$64,$A$3:$A$64,$A119,$D$3:$D$64,$B119)*SUMIF('RES balance'!$D$5:$D$25,'RES Assumptions'!$A119,'RES balance'!I$5:I$25)*IFERROR(VLOOKUP($C119,$C$68:$AH$83,I$67,FALSE),1)</f>
        <v>7.8229436903999998</v>
      </c>
      <c r="J119" s="10">
        <f ca="1">SUMIFS(J$3:J$64,$A$3:$A$64,$A119,$D$3:$D$64,$B119)*SUMIF('RES balance'!$D$5:$D$25,'RES Assumptions'!$A119,'RES balance'!J$5:J$25)*IFERROR(VLOOKUP($C119,$C$68:$AH$83,J$67,FALSE),1)</f>
        <v>3.6995067216000002</v>
      </c>
      <c r="K119" s="10">
        <f ca="1">SUMIFS(K$3:K$64,$A$3:$A$64,$A119,$D$3:$D$64,$B119)*SUMIF('RES balance'!$D$5:$D$25,'RES Assumptions'!$A119,'RES balance'!K$5:K$25)*IFERROR(VLOOKUP($C119,$C$68:$AH$83,K$67,FALSE),1)</f>
        <v>17.385871219199998</v>
      </c>
      <c r="L119" s="10">
        <f ca="1">SUMIFS(L$3:L$64,$A$3:$A$64,$A119,$D$3:$D$64,$B119)*SUMIF('RES balance'!$D$5:$D$25,'RES Assumptions'!$A119,'RES balance'!L$5:L$25)*IFERROR(VLOOKUP($C119,$C$68:$AH$83,L$67,FALSE),1)</f>
        <v>0</v>
      </c>
      <c r="M119" s="10">
        <f ca="1">SUMIFS(M$3:M$64,$A$3:$A$64,$A119,$D$3:$D$64,$B119)*SUMIF('RES balance'!$D$5:$D$25,'RES Assumptions'!$A119,'RES balance'!M$5:M$25)*IFERROR(VLOOKUP($C119,$C$68:$AH$83,M$67,FALSE),1)</f>
        <v>0</v>
      </c>
      <c r="N119" s="10">
        <f ca="1">SUMIFS(N$3:N$64,$A$3:$A$64,$A119,$D$3:$D$64,$B119)*SUMIF('RES balance'!$D$5:$D$25,'RES Assumptions'!$A119,'RES balance'!N$5:N$25)*IFERROR(VLOOKUP($C119,$C$68:$AH$83,N$67,FALSE),1)</f>
        <v>878.68799909639995</v>
      </c>
      <c r="O119" s="10">
        <f ca="1">SUMIFS(O$3:O$64,$A$3:$A$64,$A119,$D$3:$D$64,$B119)*SUMIF('RES balance'!$D$5:$D$25,'RES Assumptions'!$A119,'RES balance'!O$5:O$25)*IFERROR(VLOOKUP($C119,$C$68:$AH$83,O$67,FALSE),1)</f>
        <v>1.0563380136</v>
      </c>
      <c r="P119" s="10">
        <f ca="1">SUMIFS(P$3:P$64,$A$3:$A$64,$A119,$D$3:$D$64,$B119)*SUMIF('RES balance'!$D$5:$D$25,'RES Assumptions'!$A119,'RES balance'!P$5:P$25)*IFERROR(VLOOKUP($C119,$C$68:$AH$83,P$67,FALSE),1)</f>
        <v>8.3708032176000007</v>
      </c>
      <c r="Q119" s="10">
        <f ca="1">SUMIFS(Q$3:Q$64,$A$3:$A$64,$A119,$D$3:$D$64,$B119)*SUMIF('RES balance'!$D$5:$D$25,'RES Assumptions'!$A119,'RES balance'!Q$5:Q$25)*IFERROR(VLOOKUP($C119,$C$68:$AH$83,Q$67,FALSE),1)</f>
        <v>2.6307087912</v>
      </c>
      <c r="R119" s="10">
        <f ca="1">SUMIFS(R$3:R$64,$A$3:$A$64,$A119,$D$3:$D$64,$B119)*SUMIF('RES balance'!$D$5:$D$25,'RES Assumptions'!$A119,'RES balance'!R$5:R$25)*IFERROR(VLOOKUP($C119,$C$68:$AH$83,R$67,FALSE),1)</f>
        <v>21.3284761092</v>
      </c>
      <c r="S119" s="10">
        <f ca="1">SUMIFS(S$3:S$64,$A$3:$A$64,$A119,$D$3:$D$64,$B119)*SUMIF('RES balance'!$D$5:$D$25,'RES Assumptions'!$A119,'RES balance'!S$5:S$25)*IFERROR(VLOOKUP($C119,$C$68:$AH$83,S$67,FALSE),1)</f>
        <v>1.9036793448</v>
      </c>
      <c r="T119" s="10">
        <f ca="1">SUMIFS(T$3:T$64,$A$3:$A$64,$A119,$D$3:$D$64,$B119)*SUMIF('RES balance'!$D$5:$D$25,'RES Assumptions'!$A119,'RES balance'!T$5:T$25)*IFERROR(VLOOKUP($C119,$C$68:$AH$83,T$67,FALSE),1)</f>
        <v>13.0607728416</v>
      </c>
      <c r="U119" s="10">
        <f ca="1">SUMIFS(U$3:U$64,$A$3:$A$64,$A119,$D$3:$D$64,$B119)*SUMIF('RES balance'!$D$5:$D$25,'RES Assumptions'!$A119,'RES balance'!U$5:U$25)*IFERROR(VLOOKUP($C119,$C$68:$AH$83,U$67,FALSE),1)</f>
        <v>24.963531231600001</v>
      </c>
      <c r="V119" s="10">
        <f ca="1">SUMIFS(V$3:V$64,$A$3:$A$64,$A119,$D$3:$D$64,$B119)*SUMIF('RES balance'!$D$5:$D$25,'RES Assumptions'!$A119,'RES balance'!V$5:V$25)*IFERROR(VLOOKUP($C119,$C$68:$AH$83,V$67,FALSE),1)</f>
        <v>7.1510125320000002</v>
      </c>
      <c r="W119" s="10">
        <f ca="1">SUMIFS(W$3:W$64,$A$3:$A$64,$A119,$D$3:$D$64,$B119)*SUMIF('RES balance'!$D$5:$D$25,'RES Assumptions'!$A119,'RES balance'!W$5:W$25)*IFERROR(VLOOKUP($C119,$C$68:$AH$83,W$67,FALSE),1)</f>
        <v>29.210997963600001</v>
      </c>
      <c r="X119" s="10">
        <f ca="1">SUMIFS(X$3:X$64,$A$3:$A$64,$A119,$D$3:$D$64,$B119)*SUMIF('RES balance'!$D$5:$D$25,'RES Assumptions'!$A119,'RES balance'!X$5:X$25)*IFERROR(VLOOKUP($C119,$C$68:$AH$83,X$67,FALSE),1)</f>
        <v>37.015636964400002</v>
      </c>
      <c r="Y119" s="10">
        <f ca="1">SUMIFS(Y$3:Y$64,$A$3:$A$64,$A119,$D$3:$D$64,$B119)*SUMIF('RES balance'!$D$5:$D$25,'RES Assumptions'!$A119,'RES balance'!Y$5:Y$25)*IFERROR(VLOOKUP($C119,$C$68:$AH$83,Y$67,FALSE),1)</f>
        <v>1.207452186</v>
      </c>
      <c r="Z119" s="10">
        <f ca="1">SUMIFS(Z$3:Z$64,$A$3:$A$64,$A119,$D$3:$D$64,$B119)*SUMIF('RES balance'!$D$5:$D$25,'RES Assumptions'!$A119,'RES balance'!Z$5:Z$25)*IFERROR(VLOOKUP($C119,$C$68:$AH$83,Z$67,FALSE),1)</f>
        <v>7.8850004399999998</v>
      </c>
      <c r="AA119" s="10">
        <f ca="1">SUMIFS(AA$3:AA$64,$A$3:$A$64,$A119,$D$3:$D$64,$B119)*SUMIF('RES balance'!$D$5:$D$25,'RES Assumptions'!$A119,'RES balance'!AA$5:AA$25)*IFERROR(VLOOKUP($C119,$C$68:$AH$83,AA$67,FALSE),1)</f>
        <v>23.267131981199999</v>
      </c>
      <c r="AB119" s="10">
        <f ca="1">SUMIFS(AB$3:AB$64,$A$3:$A$64,$A119,$D$3:$D$64,$B119)*SUMIF('RES balance'!$D$5:$D$25,'RES Assumptions'!$A119,'RES balance'!AB$5:AB$25)*IFERROR(VLOOKUP($C119,$C$68:$AH$83,AB$67,FALSE),1)</f>
        <v>0</v>
      </c>
      <c r="AC119" s="10">
        <f ca="1">SUMIFS(AC$3:AC$64,$A$3:$A$64,$A119,$D$3:$D$64,$B119)*SUMIF('RES balance'!$D$5:$D$25,'RES Assumptions'!$A119,'RES balance'!AC$5:AC$25)*IFERROR(VLOOKUP($C119,$C$68:$AH$83,AC$67,FALSE),1)</f>
        <v>0</v>
      </c>
      <c r="AD119" s="10">
        <f ca="1">SUMIFS(AD$3:AD$64,$A$3:$A$64,$A119,$D$3:$D$64,$B119)*SUMIF('RES balance'!$D$5:$D$25,'RES Assumptions'!$A119,'RES balance'!AD$5:AD$25)*IFERROR(VLOOKUP($C119,$C$68:$AH$83,AD$67,FALSE),1)</f>
        <v>0</v>
      </c>
      <c r="AE119" s="10">
        <f ca="1">SUMIFS(AE$3:AE$64,$A$3:$A$64,$A119,$D$3:$D$64,$B119)*SUMIF('RES balance'!$D$5:$D$25,'RES Assumptions'!$A119,'RES balance'!AE$5:AE$25)*IFERROR(VLOOKUP($C119,$C$68:$AH$83,AE$67,FALSE),1)</f>
        <v>0</v>
      </c>
      <c r="AF119" s="10">
        <f ca="1">SUMIFS(AF$3:AF$64,$A$3:$A$64,$A119,$D$3:$D$64,$B119)*SUMIF('RES balance'!$D$5:$D$25,'RES Assumptions'!$A119,'RES balance'!AF$5:AF$25)*IFERROR(VLOOKUP($C119,$C$68:$AH$83,AF$67,FALSE),1)</f>
        <v>1.5130006631999999</v>
      </c>
      <c r="AG119" s="10">
        <f ca="1">SUMIFS(AG$3:AG$64,$A$3:$A$64,$A119,$D$3:$D$64,$B119)*SUMIF('RES balance'!$D$5:$D$25,'RES Assumptions'!$A119,'RES balance'!AG$5:AG$25)*IFERROR(VLOOKUP($C119,$C$68:$AH$83,AG$67,FALSE),1)</f>
        <v>37.389911763599997</v>
      </c>
      <c r="AH119" s="10">
        <f ca="1">SUMIFS(AH$3:AH$64,$A$3:$A$64,$A119,$D$3:$D$64,$B119)*SUMIF('RES balance'!$D$5:$D$25,'RES Assumptions'!$A119,'RES balance'!AH$5:AH$25)*IFERROR(VLOOKUP($C119,$C$68:$AH$83,AH$67,FALSE),1)</f>
        <v>0</v>
      </c>
    </row>
    <row r="120" spans="1:34" x14ac:dyDescent="0.45">
      <c r="A120" s="8" t="str">
        <f t="shared" si="26"/>
        <v>RESBIO</v>
      </c>
      <c r="B120" s="8" t="str">
        <f t="shared" si="23"/>
        <v>RK</v>
      </c>
      <c r="C120" s="48" t="str">
        <f>SUBSTITUTE(SUBSTITUTE(SUBSTITUTE('RES Veda input'!B37,"1",""),"000",""),"RRF","RR")</f>
        <v>RKBIO</v>
      </c>
      <c r="E120" s="10">
        <f ca="1">SUMIFS(E$3:E$64,$A$3:$A$64,$A120,$D$3:$D$64,$B120)*SUMIF('RES balance'!$D$5:$D$25,'RES Assumptions'!$A120,'RES balance'!E$5:E$25)*IFERROR(VLOOKUP($C120,$C$68:$AH$83,E$67,FALSE),1)</f>
        <v>106.49812770144</v>
      </c>
      <c r="F120" s="10">
        <f ca="1">SUMIFS(F$3:F$64,$A$3:$A$64,$A120,$D$3:$D$64,$B120)*SUMIF('RES balance'!$D$5:$D$25,'RES Assumptions'!$A120,'RES balance'!F$5:F$25)*IFERROR(VLOOKUP($C120,$C$68:$AH$83,F$67,FALSE),1)</f>
        <v>8998.3932667343997</v>
      </c>
      <c r="G120" s="10">
        <f ca="1">SUMIFS(G$3:G$64,$A$3:$A$64,$A120,$D$3:$D$64,$B120)*SUMIF('RES balance'!$D$5:$D$25,'RES Assumptions'!$A120,'RES balance'!G$5:G$25)*IFERROR(VLOOKUP($C120,$C$68:$AH$83,G$67,FALSE),1)</f>
        <v>61.190887327885193</v>
      </c>
      <c r="H120" s="10">
        <f ca="1">SUMIFS(H$3:H$64,$A$3:$A$64,$A120,$D$3:$D$64,$B120)*SUMIF('RES balance'!$D$5:$D$25,'RES Assumptions'!$A120,'RES balance'!H$5:H$25)*IFERROR(VLOOKUP($C120,$C$68:$AH$83,H$67,FALSE),1)</f>
        <v>0.16605154302860245</v>
      </c>
      <c r="I120" s="10">
        <f ca="1">SUMIFS(I$3:I$64,$A$3:$A$64,$A120,$D$3:$D$64,$B120)*SUMIF('RES balance'!$D$5:$D$25,'RES Assumptions'!$A120,'RES balance'!I$5:I$25)*IFERROR(VLOOKUP($C120,$C$68:$AH$83,I$67,FALSE),1)</f>
        <v>0</v>
      </c>
      <c r="J120" s="10">
        <f ca="1">SUMIFS(J$3:J$64,$A$3:$A$64,$A120,$D$3:$D$64,$B120)*SUMIF('RES balance'!$D$5:$D$25,'RES Assumptions'!$A120,'RES balance'!J$5:J$25)*IFERROR(VLOOKUP($C120,$C$68:$AH$83,J$67,FALSE),1)</f>
        <v>4005.8889748992001</v>
      </c>
      <c r="K120" s="10">
        <f ca="1">SUMIFS(K$3:K$64,$A$3:$A$64,$A120,$D$3:$D$64,$B120)*SUMIF('RES balance'!$D$5:$D$25,'RES Assumptions'!$A120,'RES balance'!K$5:K$25)*IFERROR(VLOOKUP($C120,$C$68:$AH$83,K$67,FALSE),1)</f>
        <v>6.1753757230322733E-2</v>
      </c>
      <c r="L120" s="10">
        <f ca="1">SUMIFS(L$3:L$64,$A$3:$A$64,$A120,$D$3:$D$64,$B120)*SUMIF('RES balance'!$D$5:$D$25,'RES Assumptions'!$A120,'RES balance'!L$5:L$25)*IFERROR(VLOOKUP($C120,$C$68:$AH$83,L$67,FALSE),1)</f>
        <v>215.89309370320257</v>
      </c>
      <c r="M120" s="10">
        <f ca="1">SUMIFS(M$3:M$64,$A$3:$A$64,$A120,$D$3:$D$64,$B120)*SUMIF('RES balance'!$D$5:$D$25,'RES Assumptions'!$A120,'RES balance'!M$5:M$25)*IFERROR(VLOOKUP($C120,$C$68:$AH$83,M$67,FALSE),1)</f>
        <v>0</v>
      </c>
      <c r="N120" s="10">
        <f ca="1">SUMIFS(N$3:N$64,$A$3:$A$64,$A120,$D$3:$D$64,$B120)*SUMIF('RES balance'!$D$5:$D$25,'RES Assumptions'!$A120,'RES balance'!N$5:N$25)*IFERROR(VLOOKUP($C120,$C$68:$AH$83,N$67,FALSE),1)</f>
        <v>1781.0196002632281</v>
      </c>
      <c r="O120" s="10">
        <f ca="1">SUMIFS(O$3:O$64,$A$3:$A$64,$A120,$D$3:$D$64,$B120)*SUMIF('RES balance'!$D$5:$D$25,'RES Assumptions'!$A120,'RES balance'!O$5:O$25)*IFERROR(VLOOKUP($C120,$C$68:$AH$83,O$67,FALSE),1)</f>
        <v>1.7010534507808424</v>
      </c>
      <c r="P120" s="10">
        <f ca="1">SUMIFS(P$3:P$64,$A$3:$A$64,$A120,$D$3:$D$64,$B120)*SUMIF('RES balance'!$D$5:$D$25,'RES Assumptions'!$A120,'RES balance'!P$5:P$25)*IFERROR(VLOOKUP($C120,$C$68:$AH$83,P$67,FALSE),1)</f>
        <v>4.7547040989009144</v>
      </c>
      <c r="Q120" s="10">
        <f ca="1">SUMIFS(Q$3:Q$64,$A$3:$A$64,$A120,$D$3:$D$64,$B120)*SUMIF('RES balance'!$D$5:$D$25,'RES Assumptions'!$A120,'RES balance'!Q$5:Q$25)*IFERROR(VLOOKUP($C120,$C$68:$AH$83,Q$67,FALSE),1)</f>
        <v>0.59480158340798639</v>
      </c>
      <c r="R120" s="10">
        <f ca="1">SUMIFS(R$3:R$64,$A$3:$A$64,$A120,$D$3:$D$64,$B120)*SUMIF('RES balance'!$D$5:$D$25,'RES Assumptions'!$A120,'RES balance'!R$5:R$25)*IFERROR(VLOOKUP($C120,$C$68:$AH$83,R$67,FALSE),1)</f>
        <v>4.1398903755635628</v>
      </c>
      <c r="S120" s="10">
        <f ca="1">SUMIFS(S$3:S$64,$A$3:$A$64,$A120,$D$3:$D$64,$B120)*SUMIF('RES balance'!$D$5:$D$25,'RES Assumptions'!$A120,'RES balance'!S$5:S$25)*IFERROR(VLOOKUP($C120,$C$68:$AH$83,S$67,FALSE),1)</f>
        <v>2.8115139626930796</v>
      </c>
      <c r="T120" s="10">
        <f ca="1">SUMIFS(T$3:T$64,$A$3:$A$64,$A120,$D$3:$D$64,$B120)*SUMIF('RES balance'!$D$5:$D$25,'RES Assumptions'!$A120,'RES balance'!T$5:T$25)*IFERROR(VLOOKUP($C120,$C$68:$AH$83,T$67,FALSE),1)</f>
        <v>1.547816402589711</v>
      </c>
      <c r="U120" s="10">
        <f ca="1">SUMIFS(U$3:U$64,$A$3:$A$64,$A120,$D$3:$D$64,$B120)*SUMIF('RES balance'!$D$5:$D$25,'RES Assumptions'!$A120,'RES balance'!U$5:U$25)*IFERROR(VLOOKUP($C120,$C$68:$AH$83,U$67,FALSE),1)</f>
        <v>12.594975848420871</v>
      </c>
      <c r="V120" s="10">
        <f ca="1">SUMIFS(V$3:V$64,$A$3:$A$64,$A120,$D$3:$D$64,$B120)*SUMIF('RES balance'!$D$5:$D$25,'RES Assumptions'!$A120,'RES balance'!V$5:V$25)*IFERROR(VLOOKUP($C120,$C$68:$AH$83,V$67,FALSE),1)</f>
        <v>3.8398287837973246</v>
      </c>
      <c r="W120" s="10">
        <f ca="1">SUMIFS(W$3:W$64,$A$3:$A$64,$A120,$D$3:$D$64,$B120)*SUMIF('RES balance'!$D$5:$D$25,'RES Assumptions'!$A120,'RES balance'!W$5:W$25)*IFERROR(VLOOKUP($C120,$C$68:$AH$83,W$67,FALSE),1)</f>
        <v>3.6582593790146563</v>
      </c>
      <c r="X120" s="10">
        <f ca="1">SUMIFS(X$3:X$64,$A$3:$A$64,$A120,$D$3:$D$64,$B120)*SUMIF('RES balance'!$D$5:$D$25,'RES Assumptions'!$A120,'RES balance'!X$5:X$25)*IFERROR(VLOOKUP($C120,$C$68:$AH$83,X$67,FALSE),1)</f>
        <v>4116.8910074832002</v>
      </c>
      <c r="Y120" s="10">
        <f ca="1">SUMIFS(Y$3:Y$64,$A$3:$A$64,$A120,$D$3:$D$64,$B120)*SUMIF('RES balance'!$D$5:$D$25,'RES Assumptions'!$A120,'RES balance'!Y$5:Y$25)*IFERROR(VLOOKUP($C120,$C$68:$AH$83,Y$67,FALSE),1)</f>
        <v>546.38450930484601</v>
      </c>
      <c r="Z120" s="10">
        <f ca="1">SUMIFS(Z$3:Z$64,$A$3:$A$64,$A120,$D$3:$D$64,$B120)*SUMIF('RES balance'!$D$5:$D$25,'RES Assumptions'!$A120,'RES balance'!Z$5:Z$25)*IFERROR(VLOOKUP($C120,$C$68:$AH$83,Z$67,FALSE),1)</f>
        <v>166.7777628823101</v>
      </c>
      <c r="AA120" s="10">
        <f ca="1">SUMIFS(AA$3:AA$64,$A$3:$A$64,$A120,$D$3:$D$64,$B120)*SUMIF('RES balance'!$D$5:$D$25,'RES Assumptions'!$A120,'RES balance'!AA$5:AA$25)*IFERROR(VLOOKUP($C120,$C$68:$AH$83,AA$67,FALSE),1)</f>
        <v>0.71350803437893251</v>
      </c>
      <c r="AB120" s="10">
        <f ca="1">SUMIFS(AB$3:AB$64,$A$3:$A$64,$A120,$D$3:$D$64,$B120)*SUMIF('RES balance'!$D$5:$D$25,'RES Assumptions'!$A120,'RES balance'!AB$5:AB$25)*IFERROR(VLOOKUP($C120,$C$68:$AH$83,AB$67,FALSE),1)</f>
        <v>0.27776608971868155</v>
      </c>
      <c r="AC120" s="10">
        <f ca="1">SUMIFS(AC$3:AC$64,$A$3:$A$64,$A120,$D$3:$D$64,$B120)*SUMIF('RES balance'!$D$5:$D$25,'RES Assumptions'!$A120,'RES balance'!AC$5:AC$25)*IFERROR(VLOOKUP($C120,$C$68:$AH$83,AC$67,FALSE),1)</f>
        <v>0.45632149074634282</v>
      </c>
      <c r="AD120" s="10">
        <f ca="1">SUMIFS(AD$3:AD$64,$A$3:$A$64,$A120,$D$3:$D$64,$B120)*SUMIF('RES balance'!$D$5:$D$25,'RES Assumptions'!$A120,'RES balance'!AD$5:AD$25)*IFERROR(VLOOKUP($C120,$C$68:$AH$83,AD$67,FALSE),1)</f>
        <v>1.2789937412492481E-2</v>
      </c>
      <c r="AE120" s="10">
        <f ca="1">SUMIFS(AE$3:AE$64,$A$3:$A$64,$A120,$D$3:$D$64,$B120)*SUMIF('RES balance'!$D$5:$D$25,'RES Assumptions'!$A120,'RES balance'!AE$5:AE$25)*IFERROR(VLOOKUP($C120,$C$68:$AH$83,AE$67,FALSE),1)</f>
        <v>102.37439765664</v>
      </c>
      <c r="AF120" s="10">
        <f ca="1">SUMIFS(AF$3:AF$64,$A$3:$A$64,$A120,$D$3:$D$64,$B120)*SUMIF('RES balance'!$D$5:$D$25,'RES Assumptions'!$A120,'RES balance'!AF$5:AF$25)*IFERROR(VLOOKUP($C120,$C$68:$AH$83,AF$67,FALSE),1)</f>
        <v>0.3945085397766695</v>
      </c>
      <c r="AG120" s="10">
        <f ca="1">SUMIFS(AG$3:AG$64,$A$3:$A$64,$A120,$D$3:$D$64,$B120)*SUMIF('RES balance'!$D$5:$D$25,'RES Assumptions'!$A120,'RES balance'!AG$5:AG$25)*IFERROR(VLOOKUP($C120,$C$68:$AH$83,AG$67,FALSE),1)</f>
        <v>0</v>
      </c>
      <c r="AH120" s="10">
        <f ca="1">SUMIFS(AH$3:AH$64,$A$3:$A$64,$A120,$D$3:$D$64,$B120)*SUMIF('RES balance'!$D$5:$D$25,'RES Assumptions'!$A120,'RES balance'!AH$5:AH$25)*IFERROR(VLOOKUP($C120,$C$68:$AH$83,AH$67,FALSE),1)</f>
        <v>0</v>
      </c>
    </row>
    <row r="121" spans="1:34" x14ac:dyDescent="0.45">
      <c r="A121" s="8" t="str">
        <f t="shared" si="26"/>
        <v>RESCOA</v>
      </c>
      <c r="B121" s="8" t="str">
        <f t="shared" si="23"/>
        <v>RK</v>
      </c>
      <c r="C121" s="48" t="str">
        <f>SUBSTITUTE(SUBSTITUTE(SUBSTITUTE('RES Veda input'!B38,"1",""),"000",""),"RRF","RR")</f>
        <v>RKCOA</v>
      </c>
      <c r="E121" s="10">
        <f ca="1">SUMIFS(E$3:E$64,$A$3:$A$64,$A121,$D$3:$D$64,$B121)*SUMIF('RES balance'!$D$5:$D$25,'RES Assumptions'!$A121,'RES balance'!E$5:E$25)*IFERROR(VLOOKUP($C121,$C$68:$AH$83,E$67,FALSE),1)</f>
        <v>0</v>
      </c>
      <c r="F121" s="10">
        <f ca="1">SUMIFS(F$3:F$64,$A$3:$A$64,$A121,$D$3:$D$64,$B121)*SUMIF('RES balance'!$D$5:$D$25,'RES Assumptions'!$A121,'RES balance'!F$5:F$25)*IFERROR(VLOOKUP($C121,$C$68:$AH$83,F$67,FALSE),1)</f>
        <v>9.75229030715484E-3</v>
      </c>
      <c r="G121" s="10">
        <f ca="1">SUMIFS(G$3:G$64,$A$3:$A$64,$A121,$D$3:$D$64,$B121)*SUMIF('RES balance'!$D$5:$D$25,'RES Assumptions'!$A121,'RES balance'!G$5:G$25)*IFERROR(VLOOKUP($C121,$C$68:$AH$83,G$67,FALSE),1)</f>
        <v>0</v>
      </c>
      <c r="H121" s="10">
        <f ca="1">SUMIFS(H$3:H$64,$A$3:$A$64,$A121,$D$3:$D$64,$B121)*SUMIF('RES balance'!$D$5:$D$25,'RES Assumptions'!$A121,'RES balance'!H$5:H$25)*IFERROR(VLOOKUP($C121,$C$68:$AH$83,H$67,FALSE),1)</f>
        <v>8.258127667335625</v>
      </c>
      <c r="I121" s="10">
        <f ca="1">SUMIFS(I$3:I$64,$A$3:$A$64,$A121,$D$3:$D$64,$B121)*SUMIF('RES balance'!$D$5:$D$25,'RES Assumptions'!$A121,'RES balance'!I$5:I$25)*IFERROR(VLOOKUP($C121,$C$68:$AH$83,I$67,FALSE),1)</f>
        <v>0</v>
      </c>
      <c r="J121" s="10">
        <f ca="1">SUMIFS(J$3:J$64,$A$3:$A$64,$A121,$D$3:$D$64,$B121)*SUMIF('RES balance'!$D$5:$D$25,'RES Assumptions'!$A121,'RES balance'!J$5:J$25)*IFERROR(VLOOKUP($C121,$C$68:$AH$83,J$67,FALSE),1)</f>
        <v>87.196189233599995</v>
      </c>
      <c r="K121" s="10">
        <f ca="1">SUMIFS(K$3:K$64,$A$3:$A$64,$A121,$D$3:$D$64,$B121)*SUMIF('RES balance'!$D$5:$D$25,'RES Assumptions'!$A121,'RES balance'!K$5:K$25)*IFERROR(VLOOKUP($C121,$C$68:$AH$83,K$67,FALSE),1)</f>
        <v>0</v>
      </c>
      <c r="L121" s="10">
        <f ca="1">SUMIFS(L$3:L$64,$A$3:$A$64,$A121,$D$3:$D$64,$B121)*SUMIF('RES balance'!$D$5:$D$25,'RES Assumptions'!$A121,'RES balance'!L$5:L$25)*IFERROR(VLOOKUP($C121,$C$68:$AH$83,L$67,FALSE),1)</f>
        <v>0</v>
      </c>
      <c r="M121" s="10">
        <f ca="1">SUMIFS(M$3:M$64,$A$3:$A$64,$A121,$D$3:$D$64,$B121)*SUMIF('RES balance'!$D$5:$D$25,'RES Assumptions'!$A121,'RES balance'!M$5:M$25)*IFERROR(VLOOKUP($C121,$C$68:$AH$83,M$67,FALSE),1)</f>
        <v>0</v>
      </c>
      <c r="N121" s="10">
        <f ca="1">SUMIFS(N$3:N$64,$A$3:$A$64,$A121,$D$3:$D$64,$B121)*SUMIF('RES balance'!$D$5:$D$25,'RES Assumptions'!$A121,'RES balance'!N$5:N$25)*IFERROR(VLOOKUP($C121,$C$68:$AH$83,N$67,FALSE),1)</f>
        <v>76.653882989709189</v>
      </c>
      <c r="O121" s="10">
        <f ca="1">SUMIFS(O$3:O$64,$A$3:$A$64,$A121,$D$3:$D$64,$B121)*SUMIF('RES balance'!$D$5:$D$25,'RES Assumptions'!$A121,'RES balance'!O$5:O$25)*IFERROR(VLOOKUP($C121,$C$68:$AH$83,O$67,FALSE),1)</f>
        <v>4.4157139747349371E-5</v>
      </c>
      <c r="P121" s="10">
        <f ca="1">SUMIFS(P$3:P$64,$A$3:$A$64,$A121,$D$3:$D$64,$B121)*SUMIF('RES balance'!$D$5:$D$25,'RES Assumptions'!$A121,'RES balance'!P$5:P$25)*IFERROR(VLOOKUP($C121,$C$68:$AH$83,P$67,FALSE),1)</f>
        <v>2.6386595544874156</v>
      </c>
      <c r="Q121" s="10">
        <f ca="1">SUMIFS(Q$3:Q$64,$A$3:$A$64,$A121,$D$3:$D$64,$B121)*SUMIF('RES balance'!$D$5:$D$25,'RES Assumptions'!$A121,'RES balance'!Q$5:Q$25)*IFERROR(VLOOKUP($C121,$C$68:$AH$83,Q$67,FALSE),1)</f>
        <v>4.6289664085269518E-3</v>
      </c>
      <c r="R121" s="10">
        <f ca="1">SUMIFS(R$3:R$64,$A$3:$A$64,$A121,$D$3:$D$64,$B121)*SUMIF('RES balance'!$D$5:$D$25,'RES Assumptions'!$A121,'RES balance'!R$5:R$25)*IFERROR(VLOOKUP($C121,$C$68:$AH$83,R$67,FALSE),1)</f>
        <v>4.023762249041276E-5</v>
      </c>
      <c r="S121" s="10">
        <f ca="1">SUMIFS(S$3:S$64,$A$3:$A$64,$A121,$D$3:$D$64,$B121)*SUMIF('RES balance'!$D$5:$D$25,'RES Assumptions'!$A121,'RES balance'!S$5:S$25)*IFERROR(VLOOKUP($C121,$C$68:$AH$83,S$67,FALSE),1)</f>
        <v>9.9732838975373939E-2</v>
      </c>
      <c r="T121" s="10">
        <f ca="1">SUMIFS(T$3:T$64,$A$3:$A$64,$A121,$D$3:$D$64,$B121)*SUMIF('RES balance'!$D$5:$D$25,'RES Assumptions'!$A121,'RES balance'!T$5:T$25)*IFERROR(VLOOKUP($C121,$C$68:$AH$83,T$67,FALSE),1)</f>
        <v>7.6655250406045471E-4</v>
      </c>
      <c r="U121" s="10">
        <f ca="1">SUMIFS(U$3:U$64,$A$3:$A$64,$A121,$D$3:$D$64,$B121)*SUMIF('RES balance'!$D$5:$D$25,'RES Assumptions'!$A121,'RES balance'!U$5:U$25)*IFERROR(VLOOKUP($C121,$C$68:$AH$83,U$67,FALSE),1)</f>
        <v>0</v>
      </c>
      <c r="V121" s="10">
        <f ca="1">SUMIFS(V$3:V$64,$A$3:$A$64,$A121,$D$3:$D$64,$B121)*SUMIF('RES balance'!$D$5:$D$25,'RES Assumptions'!$A121,'RES balance'!V$5:V$25)*IFERROR(VLOOKUP($C121,$C$68:$AH$83,V$67,FALSE),1)</f>
        <v>2.8867362655086813E-4</v>
      </c>
      <c r="W121" s="10">
        <f ca="1">SUMIFS(W$3:W$64,$A$3:$A$64,$A121,$D$3:$D$64,$B121)*SUMIF('RES balance'!$D$5:$D$25,'RES Assumptions'!$A121,'RES balance'!W$5:W$25)*IFERROR(VLOOKUP($C121,$C$68:$AH$83,W$67,FALSE),1)</f>
        <v>4.0775753320550371E-3</v>
      </c>
      <c r="X121" s="10">
        <f ca="1">SUMIFS(X$3:X$64,$A$3:$A$64,$A121,$D$3:$D$64,$B121)*SUMIF('RES balance'!$D$5:$D$25,'RES Assumptions'!$A121,'RES balance'!X$5:X$25)*IFERROR(VLOOKUP($C121,$C$68:$AH$83,X$67,FALSE),1)</f>
        <v>122.9289655572</v>
      </c>
      <c r="Y121" s="10">
        <f ca="1">SUMIFS(Y$3:Y$64,$A$3:$A$64,$A121,$D$3:$D$64,$B121)*SUMIF('RES balance'!$D$5:$D$25,'RES Assumptions'!$A121,'RES balance'!Y$5:Y$25)*IFERROR(VLOOKUP($C121,$C$68:$AH$83,Y$67,FALSE),1)</f>
        <v>0.17900957469939491</v>
      </c>
      <c r="Z121" s="10">
        <f ca="1">SUMIFS(Z$3:Z$64,$A$3:$A$64,$A121,$D$3:$D$64,$B121)*SUMIF('RES balance'!$D$5:$D$25,'RES Assumptions'!$A121,'RES balance'!Z$5:Z$25)*IFERROR(VLOOKUP($C121,$C$68:$AH$83,Z$67,FALSE),1)</f>
        <v>0</v>
      </c>
      <c r="AA121" s="10">
        <f ca="1">SUMIFS(AA$3:AA$64,$A$3:$A$64,$A121,$D$3:$D$64,$B121)*SUMIF('RES balance'!$D$5:$D$25,'RES Assumptions'!$A121,'RES balance'!AA$5:AA$25)*IFERROR(VLOOKUP($C121,$C$68:$AH$83,AA$67,FALSE),1)</f>
        <v>0</v>
      </c>
      <c r="AB121" s="10">
        <f ca="1">SUMIFS(AB$3:AB$64,$A$3:$A$64,$A121,$D$3:$D$64,$B121)*SUMIF('RES balance'!$D$5:$D$25,'RES Assumptions'!$A121,'RES balance'!AB$5:AB$25)*IFERROR(VLOOKUP($C121,$C$68:$AH$83,AB$67,FALSE),1)</f>
        <v>0</v>
      </c>
      <c r="AC121" s="10">
        <f ca="1">SUMIFS(AC$3:AC$64,$A$3:$A$64,$A121,$D$3:$D$64,$B121)*SUMIF('RES balance'!$D$5:$D$25,'RES Assumptions'!$A121,'RES balance'!AC$5:AC$25)*IFERROR(VLOOKUP($C121,$C$68:$AH$83,AC$67,FALSE),1)</f>
        <v>2.9567410498125599</v>
      </c>
      <c r="AD121" s="10">
        <f ca="1">SUMIFS(AD$3:AD$64,$A$3:$A$64,$A121,$D$3:$D$64,$B121)*SUMIF('RES balance'!$D$5:$D$25,'RES Assumptions'!$A121,'RES balance'!AD$5:AD$25)*IFERROR(VLOOKUP($C121,$C$68:$AH$83,AD$67,FALSE),1)</f>
        <v>0</v>
      </c>
      <c r="AE121" s="10">
        <f ca="1">SUMIFS(AE$3:AE$64,$A$3:$A$64,$A121,$D$3:$D$64,$B121)*SUMIF('RES balance'!$D$5:$D$25,'RES Assumptions'!$A121,'RES balance'!AE$5:AE$25)*IFERROR(VLOOKUP($C121,$C$68:$AH$83,AE$67,FALSE),1)</f>
        <v>6.955940842253943</v>
      </c>
      <c r="AF121" s="10">
        <f ca="1">SUMIFS(AF$3:AF$64,$A$3:$A$64,$A121,$D$3:$D$64,$B121)*SUMIF('RES balance'!$D$5:$D$25,'RES Assumptions'!$A121,'RES balance'!AF$5:AF$25)*IFERROR(VLOOKUP($C121,$C$68:$AH$83,AF$67,FALSE),1)</f>
        <v>5.3871781326415456E-3</v>
      </c>
      <c r="AG121" s="10">
        <f ca="1">SUMIFS(AG$3:AG$64,$A$3:$A$64,$A121,$D$3:$D$64,$B121)*SUMIF('RES balance'!$D$5:$D$25,'RES Assumptions'!$A121,'RES balance'!AG$5:AG$25)*IFERROR(VLOOKUP($C121,$C$68:$AH$83,AG$67,FALSE),1)</f>
        <v>0</v>
      </c>
      <c r="AH121" s="10">
        <f ca="1">SUMIFS(AH$3:AH$64,$A$3:$A$64,$A121,$D$3:$D$64,$B121)*SUMIF('RES balance'!$D$5:$D$25,'RES Assumptions'!$A121,'RES balance'!AH$5:AH$25)*IFERROR(VLOOKUP($C121,$C$68:$AH$83,AH$67,FALSE),1)</f>
        <v>0</v>
      </c>
    </row>
    <row r="122" spans="1:34" x14ac:dyDescent="0.45">
      <c r="A122" s="8" t="str">
        <f t="shared" si="26"/>
        <v>RESOIL</v>
      </c>
      <c r="B122" s="8" t="str">
        <f t="shared" si="23"/>
        <v>RK</v>
      </c>
      <c r="C122" s="48" t="str">
        <f>SUBSTITUTE(SUBSTITUTE(SUBSTITUTE('RES Veda input'!B39,"1",""),"000",""),"RRF","RR")</f>
        <v>RKDST</v>
      </c>
      <c r="E122" s="10">
        <f ca="1">SUMIFS(E$3:E$64,$A$3:$A$64,$A122,$D$3:$D$64,$B122)*SUMIF('RES balance'!$D$5:$D$25,'RES Assumptions'!$A122,'RES balance'!E$5:E$25)*IFERROR(VLOOKUP($C122,$C$68:$AH$83,E$67,FALSE),1)</f>
        <v>0.30889175980916539</v>
      </c>
      <c r="F122" s="10">
        <f ca="1">SUMIFS(F$3:F$64,$A$3:$A$64,$A122,$D$3:$D$64,$B122)*SUMIF('RES balance'!$D$5:$D$25,'RES Assumptions'!$A122,'RES balance'!F$5:F$25)*IFERROR(VLOOKUP($C122,$C$68:$AH$83,F$67,FALSE),1)</f>
        <v>13.07202413516187</v>
      </c>
      <c r="G122" s="10">
        <f ca="1">SUMIFS(G$3:G$64,$A$3:$A$64,$A122,$D$3:$D$64,$B122)*SUMIF('RES balance'!$D$5:$D$25,'RES Assumptions'!$A122,'RES balance'!G$5:G$25)*IFERROR(VLOOKUP($C122,$C$68:$AH$83,G$67,FALSE),1)</f>
        <v>0</v>
      </c>
      <c r="H122" s="10">
        <f ca="1">SUMIFS(H$3:H$64,$A$3:$A$64,$A122,$D$3:$D$64,$B122)*SUMIF('RES balance'!$D$5:$D$25,'RES Assumptions'!$A122,'RES balance'!H$5:H$25)*IFERROR(VLOOKUP($C122,$C$68:$AH$83,H$67,FALSE),1)</f>
        <v>16.772870820939502</v>
      </c>
      <c r="I122" s="10">
        <f ca="1">SUMIFS(I$3:I$64,$A$3:$A$64,$A122,$D$3:$D$64,$B122)*SUMIF('RES balance'!$D$5:$D$25,'RES Assumptions'!$A122,'RES balance'!I$5:I$25)*IFERROR(VLOOKUP($C122,$C$68:$AH$83,I$67,FALSE),1)</f>
        <v>3.36004585904081</v>
      </c>
      <c r="J122" s="10">
        <f ca="1">SUMIFS(J$3:J$64,$A$3:$A$64,$A122,$D$3:$D$64,$B122)*SUMIF('RES balance'!$D$5:$D$25,'RES Assumptions'!$A122,'RES balance'!J$5:J$25)*IFERROR(VLOOKUP($C122,$C$68:$AH$83,J$67,FALSE),1)</f>
        <v>2.8004640923641118</v>
      </c>
      <c r="K122" s="10">
        <f ca="1">SUMIFS(K$3:K$64,$A$3:$A$64,$A122,$D$3:$D$64,$B122)*SUMIF('RES balance'!$D$5:$D$25,'RES Assumptions'!$A122,'RES balance'!K$5:K$25)*IFERROR(VLOOKUP($C122,$C$68:$AH$83,K$67,FALSE),1)</f>
        <v>2.9725244789939289E-2</v>
      </c>
      <c r="L122" s="10">
        <f ca="1">SUMIFS(L$3:L$64,$A$3:$A$64,$A122,$D$3:$D$64,$B122)*SUMIF('RES balance'!$D$5:$D$25,'RES Assumptions'!$A122,'RES balance'!L$5:L$25)*IFERROR(VLOOKUP($C122,$C$68:$AH$83,L$67,FALSE),1)</f>
        <v>0</v>
      </c>
      <c r="M122" s="10">
        <f ca="1">SUMIFS(M$3:M$64,$A$3:$A$64,$A122,$D$3:$D$64,$B122)*SUMIF('RES balance'!$D$5:$D$25,'RES Assumptions'!$A122,'RES balance'!M$5:M$25)*IFERROR(VLOOKUP($C122,$C$68:$AH$83,M$67,FALSE),1)</f>
        <v>0</v>
      </c>
      <c r="N122" s="10">
        <f ca="1">SUMIFS(N$3:N$64,$A$3:$A$64,$A122,$D$3:$D$64,$B122)*SUMIF('RES balance'!$D$5:$D$25,'RES Assumptions'!$A122,'RES balance'!N$5:N$25)*IFERROR(VLOOKUP($C122,$C$68:$AH$83,N$67,FALSE),1)</f>
        <v>39.423182191387326</v>
      </c>
      <c r="O122" s="10">
        <f ca="1">SUMIFS(O$3:O$64,$A$3:$A$64,$A122,$D$3:$D$64,$B122)*SUMIF('RES balance'!$D$5:$D$25,'RES Assumptions'!$A122,'RES balance'!O$5:O$25)*IFERROR(VLOOKUP($C122,$C$68:$AH$83,O$67,FALSE),1)</f>
        <v>0.8821953177306272</v>
      </c>
      <c r="P122" s="10">
        <f ca="1">SUMIFS(P$3:P$64,$A$3:$A$64,$A122,$D$3:$D$64,$B122)*SUMIF('RES balance'!$D$5:$D$25,'RES Assumptions'!$A122,'RES balance'!P$5:P$25)*IFERROR(VLOOKUP($C122,$C$68:$AH$83,P$67,FALSE),1)</f>
        <v>27.712389464407448</v>
      </c>
      <c r="Q122" s="10">
        <f ca="1">SUMIFS(Q$3:Q$64,$A$3:$A$64,$A122,$D$3:$D$64,$B122)*SUMIF('RES balance'!$D$5:$D$25,'RES Assumptions'!$A122,'RES balance'!Q$5:Q$25)*IFERROR(VLOOKUP($C122,$C$68:$AH$83,Q$67,FALSE),1)</f>
        <v>3.4347448723267981</v>
      </c>
      <c r="R122" s="10">
        <f ca="1">SUMIFS(R$3:R$64,$A$3:$A$64,$A122,$D$3:$D$64,$B122)*SUMIF('RES balance'!$D$5:$D$25,'RES Assumptions'!$A122,'RES balance'!R$5:R$25)*IFERROR(VLOOKUP($C122,$C$68:$AH$83,R$67,FALSE),1)</f>
        <v>2.6638335181507404</v>
      </c>
      <c r="S122" s="10">
        <f ca="1">SUMIFS(S$3:S$64,$A$3:$A$64,$A122,$D$3:$D$64,$B122)*SUMIF('RES balance'!$D$5:$D$25,'RES Assumptions'!$A122,'RES balance'!S$5:S$25)*IFERROR(VLOOKUP($C122,$C$68:$AH$83,S$67,FALSE),1)</f>
        <v>4.8646137433372996</v>
      </c>
      <c r="T122" s="10">
        <f ca="1">SUMIFS(T$3:T$64,$A$3:$A$64,$A122,$D$3:$D$64,$B122)*SUMIF('RES balance'!$D$5:$D$25,'RES Assumptions'!$A122,'RES balance'!T$5:T$25)*IFERROR(VLOOKUP($C122,$C$68:$AH$83,T$67,FALSE),1)</f>
        <v>2.0516834685129974</v>
      </c>
      <c r="U122" s="10">
        <f ca="1">SUMIFS(U$3:U$64,$A$3:$A$64,$A122,$D$3:$D$64,$B122)*SUMIF('RES balance'!$D$5:$D$25,'RES Assumptions'!$A122,'RES balance'!U$5:U$25)*IFERROR(VLOOKUP($C122,$C$68:$AH$83,U$67,FALSE),1)</f>
        <v>31.631701999978198</v>
      </c>
      <c r="V122" s="10">
        <f ca="1">SUMIFS(V$3:V$64,$A$3:$A$64,$A122,$D$3:$D$64,$B122)*SUMIF('RES balance'!$D$5:$D$25,'RES Assumptions'!$A122,'RES balance'!V$5:V$25)*IFERROR(VLOOKUP($C122,$C$68:$AH$83,V$67,FALSE),1)</f>
        <v>4.5082104949790462</v>
      </c>
      <c r="W122" s="10">
        <f ca="1">SUMIFS(W$3:W$64,$A$3:$A$64,$A122,$D$3:$D$64,$B122)*SUMIF('RES balance'!$D$5:$D$25,'RES Assumptions'!$A122,'RES balance'!W$5:W$25)*IFERROR(VLOOKUP($C122,$C$68:$AH$83,W$67,FALSE),1)</f>
        <v>14.736807482958257</v>
      </c>
      <c r="X122" s="10">
        <f ca="1">SUMIFS(X$3:X$64,$A$3:$A$64,$A122,$D$3:$D$64,$B122)*SUMIF('RES balance'!$D$5:$D$25,'RES Assumptions'!$A122,'RES balance'!X$5:X$25)*IFERROR(VLOOKUP($C122,$C$68:$AH$83,X$67,FALSE),1)</f>
        <v>0</v>
      </c>
      <c r="Y122" s="10">
        <f ca="1">SUMIFS(Y$3:Y$64,$A$3:$A$64,$A122,$D$3:$D$64,$B122)*SUMIF('RES balance'!$D$5:$D$25,'RES Assumptions'!$A122,'RES balance'!Y$5:Y$25)*IFERROR(VLOOKUP($C122,$C$68:$AH$83,Y$67,FALSE),1)</f>
        <v>0.8332264590569709</v>
      </c>
      <c r="Z122" s="10">
        <f ca="1">SUMIFS(Z$3:Z$64,$A$3:$A$64,$A122,$D$3:$D$64,$B122)*SUMIF('RES balance'!$D$5:$D$25,'RES Assumptions'!$A122,'RES balance'!Z$5:Z$25)*IFERROR(VLOOKUP($C122,$C$68:$AH$83,Z$67,FALSE),1)</f>
        <v>0</v>
      </c>
      <c r="AA122" s="10">
        <f ca="1">SUMIFS(AA$3:AA$64,$A$3:$A$64,$A122,$D$3:$D$64,$B122)*SUMIF('RES balance'!$D$5:$D$25,'RES Assumptions'!$A122,'RES balance'!AA$5:AA$25)*IFERROR(VLOOKUP($C122,$C$68:$AH$83,AA$67,FALSE),1)</f>
        <v>11.719986594830262</v>
      </c>
      <c r="AB122" s="10">
        <f ca="1">SUMIFS(AB$3:AB$64,$A$3:$A$64,$A122,$D$3:$D$64,$B122)*SUMIF('RES balance'!$D$5:$D$25,'RES Assumptions'!$A122,'RES balance'!AB$5:AB$25)*IFERROR(VLOOKUP($C122,$C$68:$AH$83,AB$67,FALSE),1)</f>
        <v>1.2355548333038235E-2</v>
      </c>
      <c r="AC122" s="10">
        <f ca="1">SUMIFS(AC$3:AC$64,$A$3:$A$64,$A122,$D$3:$D$64,$B122)*SUMIF('RES balance'!$D$5:$D$25,'RES Assumptions'!$A122,'RES balance'!AC$5:AC$25)*IFERROR(VLOOKUP($C122,$C$68:$AH$83,AC$67,FALSE),1)</f>
        <v>16.14397858984464</v>
      </c>
      <c r="AD122" s="10">
        <f ca="1">SUMIFS(AD$3:AD$64,$A$3:$A$64,$A122,$D$3:$D$64,$B122)*SUMIF('RES balance'!$D$5:$D$25,'RES Assumptions'!$A122,'RES balance'!AD$5:AD$25)*IFERROR(VLOOKUP($C122,$C$68:$AH$83,AD$67,FALSE),1)</f>
        <v>0</v>
      </c>
      <c r="AE122" s="10">
        <f ca="1">SUMIFS(AE$3:AE$64,$A$3:$A$64,$A122,$D$3:$D$64,$B122)*SUMIF('RES balance'!$D$5:$D$25,'RES Assumptions'!$A122,'RES balance'!AE$5:AE$25)*IFERROR(VLOOKUP($C122,$C$68:$AH$83,AE$67,FALSE),1)</f>
        <v>0.22282953464355548</v>
      </c>
      <c r="AF122" s="10">
        <f ca="1">SUMIFS(AF$3:AF$64,$A$3:$A$64,$A122,$D$3:$D$64,$B122)*SUMIF('RES balance'!$D$5:$D$25,'RES Assumptions'!$A122,'RES balance'!AF$5:AF$25)*IFERROR(VLOOKUP($C122,$C$68:$AH$83,AF$67,FALSE),1)</f>
        <v>0.22241662209939819</v>
      </c>
      <c r="AG122" s="10">
        <f ca="1">SUMIFS(AG$3:AG$64,$A$3:$A$64,$A122,$D$3:$D$64,$B122)*SUMIF('RES balance'!$D$5:$D$25,'RES Assumptions'!$A122,'RES balance'!AG$5:AG$25)*IFERROR(VLOOKUP($C122,$C$68:$AH$83,AG$67,FALSE),1)</f>
        <v>9.55473136096224</v>
      </c>
      <c r="AH122" s="10">
        <f ca="1">SUMIFS(AH$3:AH$64,$A$3:$A$64,$A122,$D$3:$D$64,$B122)*SUMIF('RES balance'!$D$5:$D$25,'RES Assumptions'!$A122,'RES balance'!AH$5:AH$25)*IFERROR(VLOOKUP($C122,$C$68:$AH$83,AH$67,FALSE),1)</f>
        <v>0</v>
      </c>
    </row>
    <row r="123" spans="1:34" x14ac:dyDescent="0.45">
      <c r="A123" s="8" t="str">
        <f t="shared" si="26"/>
        <v>RESELC</v>
      </c>
      <c r="B123" s="8" t="str">
        <f t="shared" si="23"/>
        <v>RK</v>
      </c>
      <c r="C123" s="48" t="str">
        <f>SUBSTITUTE(SUBSTITUTE(SUBSTITUTE('RES Veda input'!B40,"1",""),"000",""),"RRF","RR")</f>
        <v>RKELC</v>
      </c>
      <c r="E123" s="10">
        <f ca="1">SUMIFS(E$3:E$64,$A$3:$A$64,$A123,$D$3:$D$64,$B123)*SUMIF('RES balance'!$D$5:$D$25,'RES Assumptions'!$A123,'RES balance'!E$5:E$25)*IFERROR(VLOOKUP($C123,$C$68:$AH$83,E$67,FALSE),1)</f>
        <v>0</v>
      </c>
      <c r="F123" s="10">
        <f ca="1">SUMIFS(F$3:F$64,$A$3:$A$64,$A123,$D$3:$D$64,$B123)*SUMIF('RES balance'!$D$5:$D$25,'RES Assumptions'!$A123,'RES balance'!F$5:F$25)*IFERROR(VLOOKUP($C123,$C$68:$AH$83,F$67,FALSE),1)</f>
        <v>0</v>
      </c>
      <c r="G123" s="10">
        <f ca="1">SUMIFS(G$3:G$64,$A$3:$A$64,$A123,$D$3:$D$64,$B123)*SUMIF('RES balance'!$D$5:$D$25,'RES Assumptions'!$A123,'RES balance'!G$5:G$25)*IFERROR(VLOOKUP($C123,$C$68:$AH$83,G$67,FALSE),1)</f>
        <v>0.28059381949133616</v>
      </c>
      <c r="H123" s="10">
        <f ca="1">SUMIFS(H$3:H$64,$A$3:$A$64,$A123,$D$3:$D$64,$B123)*SUMIF('RES balance'!$D$5:$D$25,'RES Assumptions'!$A123,'RES balance'!H$5:H$25)*IFERROR(VLOOKUP($C123,$C$68:$AH$83,H$67,FALSE),1)</f>
        <v>12.337288132392162</v>
      </c>
      <c r="I123" s="10">
        <f ca="1">SUMIFS(I$3:I$64,$A$3:$A$64,$A123,$D$3:$D$64,$B123)*SUMIF('RES balance'!$D$5:$D$25,'RES Assumptions'!$A123,'RES balance'!I$5:I$25)*IFERROR(VLOOKUP($C123,$C$68:$AH$83,I$67,FALSE),1)</f>
        <v>55.157597864182939</v>
      </c>
      <c r="J123" s="10">
        <f ca="1">SUMIFS(J$3:J$64,$A$3:$A$64,$A123,$D$3:$D$64,$B123)*SUMIF('RES balance'!$D$5:$D$25,'RES Assumptions'!$A123,'RES balance'!J$5:J$25)*IFERROR(VLOOKUP($C123,$C$68:$AH$83,J$67,FALSE),1)</f>
        <v>23.682509101354128</v>
      </c>
      <c r="K123" s="10">
        <f ca="1">SUMIFS(K$3:K$64,$A$3:$A$64,$A123,$D$3:$D$64,$B123)*SUMIF('RES balance'!$D$5:$D$25,'RES Assumptions'!$A123,'RES balance'!K$5:K$25)*IFERROR(VLOOKUP($C123,$C$68:$AH$83,K$67,FALSE),1)</f>
        <v>14.636547550641367</v>
      </c>
      <c r="L123" s="10">
        <f ca="1">SUMIFS(L$3:L$64,$A$3:$A$64,$A123,$D$3:$D$64,$B123)*SUMIF('RES balance'!$D$5:$D$25,'RES Assumptions'!$A123,'RES balance'!L$5:L$25)*IFERROR(VLOOKUP($C123,$C$68:$AH$83,L$67,FALSE),1)</f>
        <v>0.70470830614443913</v>
      </c>
      <c r="M123" s="10">
        <f ca="1">SUMIFS(M$3:M$64,$A$3:$A$64,$A123,$D$3:$D$64,$B123)*SUMIF('RES balance'!$D$5:$D$25,'RES Assumptions'!$A123,'RES balance'!M$5:M$25)*IFERROR(VLOOKUP($C123,$C$68:$AH$83,M$67,FALSE),1)</f>
        <v>34.156570083914183</v>
      </c>
      <c r="N123" s="10">
        <f ca="1">SUMIFS(N$3:N$64,$A$3:$A$64,$A123,$D$3:$D$64,$B123)*SUMIF('RES balance'!$D$5:$D$25,'RES Assumptions'!$A123,'RES balance'!N$5:N$25)*IFERROR(VLOOKUP($C123,$C$68:$AH$83,N$67,FALSE),1)</f>
        <v>79.716638740003205</v>
      </c>
      <c r="O123" s="10">
        <f ca="1">SUMIFS(O$3:O$64,$A$3:$A$64,$A123,$D$3:$D$64,$B123)*SUMIF('RES balance'!$D$5:$D$25,'RES Assumptions'!$A123,'RES balance'!O$5:O$25)*IFERROR(VLOOKUP($C123,$C$68:$AH$83,O$67,FALSE),1)</f>
        <v>30.909951743253909</v>
      </c>
      <c r="P123" s="10">
        <f ca="1">SUMIFS(P$3:P$64,$A$3:$A$64,$A123,$D$3:$D$64,$B123)*SUMIF('RES balance'!$D$5:$D$25,'RES Assumptions'!$A123,'RES balance'!P$5:P$25)*IFERROR(VLOOKUP($C123,$C$68:$AH$83,P$67,FALSE),1)</f>
        <v>26.30918276028784</v>
      </c>
      <c r="Q123" s="10">
        <f ca="1">SUMIFS(Q$3:Q$64,$A$3:$A$64,$A123,$D$3:$D$64,$B123)*SUMIF('RES balance'!$D$5:$D$25,'RES Assumptions'!$A123,'RES balance'!Q$5:Q$25)*IFERROR(VLOOKUP($C123,$C$68:$AH$83,Q$67,FALSE),1)</f>
        <v>20.491335477347839</v>
      </c>
      <c r="R123" s="10">
        <f ca="1">SUMIFS(R$3:R$64,$A$3:$A$64,$A123,$D$3:$D$64,$B123)*SUMIF('RES balance'!$D$5:$D$25,'RES Assumptions'!$A123,'RES balance'!R$5:R$25)*IFERROR(VLOOKUP($C123,$C$68:$AH$83,R$67,FALSE),1)</f>
        <v>34.5188047579921</v>
      </c>
      <c r="S123" s="10">
        <f ca="1">SUMIFS(S$3:S$64,$A$3:$A$64,$A123,$D$3:$D$64,$B123)*SUMIF('RES balance'!$D$5:$D$25,'RES Assumptions'!$A123,'RES balance'!S$5:S$25)*IFERROR(VLOOKUP($C123,$C$68:$AH$83,S$67,FALSE),1)</f>
        <v>15.795285166940433</v>
      </c>
      <c r="T123" s="10">
        <f ca="1">SUMIFS(T$3:T$64,$A$3:$A$64,$A123,$D$3:$D$64,$B123)*SUMIF('RES balance'!$D$5:$D$25,'RES Assumptions'!$A123,'RES balance'!T$5:T$25)*IFERROR(VLOOKUP($C123,$C$68:$AH$83,T$67,FALSE),1)</f>
        <v>34.764368216013992</v>
      </c>
      <c r="U123" s="10">
        <f ca="1">SUMIFS(U$3:U$64,$A$3:$A$64,$A123,$D$3:$D$64,$B123)*SUMIF('RES balance'!$D$5:$D$25,'RES Assumptions'!$A123,'RES balance'!U$5:U$25)*IFERROR(VLOOKUP($C123,$C$68:$AH$83,U$67,FALSE),1)</f>
        <v>7.3342461221169568</v>
      </c>
      <c r="V123" s="10">
        <f ca="1">SUMIFS(V$3:V$64,$A$3:$A$64,$A123,$D$3:$D$64,$B123)*SUMIF('RES balance'!$D$5:$D$25,'RES Assumptions'!$A123,'RES balance'!V$5:V$25)*IFERROR(VLOOKUP($C123,$C$68:$AH$83,V$67,FALSE),1)</f>
        <v>64.412487973595077</v>
      </c>
      <c r="W123" s="10">
        <f ca="1">SUMIFS(W$3:W$64,$A$3:$A$64,$A123,$D$3:$D$64,$B123)*SUMIF('RES balance'!$D$5:$D$25,'RES Assumptions'!$A123,'RES balance'!W$5:W$25)*IFERROR(VLOOKUP($C123,$C$68:$AH$83,W$67,FALSE),1)</f>
        <v>51.030464472633028</v>
      </c>
      <c r="X123" s="10">
        <f ca="1">SUMIFS(X$3:X$64,$A$3:$A$64,$A123,$D$3:$D$64,$B123)*SUMIF('RES balance'!$D$5:$D$25,'RES Assumptions'!$A123,'RES balance'!X$5:X$25)*IFERROR(VLOOKUP($C123,$C$68:$AH$83,X$67,FALSE),1)</f>
        <v>4.0805135392000311</v>
      </c>
      <c r="Y123" s="10">
        <f ca="1">SUMIFS(Y$3:Y$64,$A$3:$A$64,$A123,$D$3:$D$64,$B123)*SUMIF('RES balance'!$D$5:$D$25,'RES Assumptions'!$A123,'RES balance'!Y$5:Y$25)*IFERROR(VLOOKUP($C123,$C$68:$AH$83,Y$67,FALSE),1)</f>
        <v>0.56297670841547298</v>
      </c>
      <c r="Z123" s="10">
        <f ca="1">SUMIFS(Z$3:Z$64,$A$3:$A$64,$A123,$D$3:$D$64,$B123)*SUMIF('RES balance'!$D$5:$D$25,'RES Assumptions'!$A123,'RES balance'!Z$5:Z$25)*IFERROR(VLOOKUP($C123,$C$68:$AH$83,Z$67,FALSE),1)</f>
        <v>0.5168093032412665</v>
      </c>
      <c r="AA123" s="10">
        <f ca="1">SUMIFS(AA$3:AA$64,$A$3:$A$64,$A123,$D$3:$D$64,$B123)*SUMIF('RES balance'!$D$5:$D$25,'RES Assumptions'!$A123,'RES balance'!AA$5:AA$25)*IFERROR(VLOOKUP($C123,$C$68:$AH$83,AA$67,FALSE),1)</f>
        <v>13.343510219541352</v>
      </c>
      <c r="AB123" s="10">
        <f ca="1">SUMIFS(AB$3:AB$64,$A$3:$A$64,$A123,$D$3:$D$64,$B123)*SUMIF('RES balance'!$D$5:$D$25,'RES Assumptions'!$A123,'RES balance'!AB$5:AB$25)*IFERROR(VLOOKUP($C123,$C$68:$AH$83,AB$67,FALSE),1)</f>
        <v>16.512005846201877</v>
      </c>
      <c r="AC123" s="10">
        <f ca="1">SUMIFS(AC$3:AC$64,$A$3:$A$64,$A123,$D$3:$D$64,$B123)*SUMIF('RES balance'!$D$5:$D$25,'RES Assumptions'!$A123,'RES balance'!AC$5:AC$25)*IFERROR(VLOOKUP($C123,$C$68:$AH$83,AC$67,FALSE),1)</f>
        <v>34.715370157592304</v>
      </c>
      <c r="AD123" s="10">
        <f ca="1">SUMIFS(AD$3:AD$64,$A$3:$A$64,$A123,$D$3:$D$64,$B123)*SUMIF('RES balance'!$D$5:$D$25,'RES Assumptions'!$A123,'RES balance'!AD$5:AD$25)*IFERROR(VLOOKUP($C123,$C$68:$AH$83,AD$67,FALSE),1)</f>
        <v>6.4064976117716697</v>
      </c>
      <c r="AE123" s="10">
        <f ca="1">SUMIFS(AE$3:AE$64,$A$3:$A$64,$A123,$D$3:$D$64,$B123)*SUMIF('RES balance'!$D$5:$D$25,'RES Assumptions'!$A123,'RES balance'!AE$5:AE$25)*IFERROR(VLOOKUP($C123,$C$68:$AH$83,AE$67,FALSE),1)</f>
        <v>0</v>
      </c>
      <c r="AF123" s="10">
        <f ca="1">SUMIFS(AF$3:AF$64,$A$3:$A$64,$A123,$D$3:$D$64,$B123)*SUMIF('RES balance'!$D$5:$D$25,'RES Assumptions'!$A123,'RES balance'!AF$5:AF$25)*IFERROR(VLOOKUP($C123,$C$68:$AH$83,AF$67,FALSE),1)</f>
        <v>41.870341289171677</v>
      </c>
      <c r="AG123" s="10">
        <f ca="1">SUMIFS(AG$3:AG$64,$A$3:$A$64,$A123,$D$3:$D$64,$B123)*SUMIF('RES balance'!$D$5:$D$25,'RES Assumptions'!$A123,'RES balance'!AG$5:AG$25)*IFERROR(VLOOKUP($C123,$C$68:$AH$83,AG$67,FALSE),1)</f>
        <v>212.61346217498127</v>
      </c>
      <c r="AH123" s="10">
        <f ca="1">SUMIFS(AH$3:AH$64,$A$3:$A$64,$A123,$D$3:$D$64,$B123)*SUMIF('RES balance'!$D$5:$D$25,'RES Assumptions'!$A123,'RES balance'!AH$5:AH$25)*IFERROR(VLOOKUP($C123,$C$68:$AH$83,AH$67,FALSE),1)</f>
        <v>0</v>
      </c>
    </row>
    <row r="124" spans="1:34" x14ac:dyDescent="0.45">
      <c r="A124" s="8" t="str">
        <f t="shared" si="26"/>
        <v>RESKER</v>
      </c>
      <c r="B124" s="8" t="str">
        <f t="shared" si="23"/>
        <v>RK</v>
      </c>
      <c r="C124" s="48" t="str">
        <f>SUBSTITUTE(SUBSTITUTE(SUBSTITUTE('RES Veda input'!B41,"1",""),"000",""),"RRF","RR")</f>
        <v>RKKER</v>
      </c>
      <c r="E124" s="10">
        <f ca="1">SUMIFS(E$3:E$64,$A$3:$A$64,$A124,$D$3:$D$64,$B124)*SUMIF('RES balance'!$D$5:$D$25,'RES Assumptions'!$A124,'RES balance'!E$5:E$25)*IFERROR(VLOOKUP($C124,$C$68:$AH$83,E$67,FALSE),1)</f>
        <v>3.9537943687835431</v>
      </c>
      <c r="F124" s="10">
        <f ca="1">SUMIFS(F$3:F$64,$A$3:$A$64,$A124,$D$3:$D$64,$B124)*SUMIF('RES balance'!$D$5:$D$25,'RES Assumptions'!$A124,'RES balance'!F$5:F$25)*IFERROR(VLOOKUP($C124,$C$68:$AH$83,F$67,FALSE),1)</f>
        <v>43.654212451506076</v>
      </c>
      <c r="G124" s="10">
        <f ca="1">SUMIFS(G$3:G$64,$A$3:$A$64,$A124,$D$3:$D$64,$B124)*SUMIF('RES balance'!$D$5:$D$25,'RES Assumptions'!$A124,'RES balance'!G$5:G$25)*IFERROR(VLOOKUP($C124,$C$68:$AH$83,G$67,FALSE),1)</f>
        <v>3.1499751070207536</v>
      </c>
      <c r="H124" s="10">
        <f ca="1">SUMIFS(H$3:H$64,$A$3:$A$64,$A124,$D$3:$D$64,$B124)*SUMIF('RES balance'!$D$5:$D$25,'RES Assumptions'!$A124,'RES balance'!H$5:H$25)*IFERROR(VLOOKUP($C124,$C$68:$AH$83,H$67,FALSE),1)</f>
        <v>1.0300414698295004</v>
      </c>
      <c r="I124" s="10">
        <f ca="1">SUMIFS(I$3:I$64,$A$3:$A$64,$A124,$D$3:$D$64,$B124)*SUMIF('RES balance'!$D$5:$D$25,'RES Assumptions'!$A124,'RES balance'!I$5:I$25)*IFERROR(VLOOKUP($C124,$C$68:$AH$83,I$67,FALSE),1)</f>
        <v>37.535448775349487</v>
      </c>
      <c r="J124" s="10">
        <f ca="1">SUMIFS(J$3:J$64,$A$3:$A$64,$A124,$D$3:$D$64,$B124)*SUMIF('RES balance'!$D$5:$D$25,'RES Assumptions'!$A124,'RES balance'!J$5:J$25)*IFERROR(VLOOKUP($C124,$C$68:$AH$83,J$67,FALSE),1)</f>
        <v>30.065469898515463</v>
      </c>
      <c r="K124" s="10">
        <f ca="1">SUMIFS(K$3:K$64,$A$3:$A$64,$A124,$D$3:$D$64,$B124)*SUMIF('RES balance'!$D$5:$D$25,'RES Assumptions'!$A124,'RES balance'!K$5:K$25)*IFERROR(VLOOKUP($C124,$C$68:$AH$83,K$67,FALSE),1)</f>
        <v>0</v>
      </c>
      <c r="L124" s="10">
        <f ca="1">SUMIFS(L$3:L$64,$A$3:$A$64,$A124,$D$3:$D$64,$B124)*SUMIF('RES balance'!$D$5:$D$25,'RES Assumptions'!$A124,'RES balance'!L$5:L$25)*IFERROR(VLOOKUP($C124,$C$68:$AH$83,L$67,FALSE),1)</f>
        <v>5.5561453744458394E-2</v>
      </c>
      <c r="M124" s="10">
        <f ca="1">SUMIFS(M$3:M$64,$A$3:$A$64,$A124,$D$3:$D$64,$B124)*SUMIF('RES balance'!$D$5:$D$25,'RES Assumptions'!$A124,'RES balance'!M$5:M$25)*IFERROR(VLOOKUP($C124,$C$68:$AH$83,M$67,FALSE),1)</f>
        <v>0</v>
      </c>
      <c r="N124" s="10">
        <f ca="1">SUMIFS(N$3:N$64,$A$3:$A$64,$A124,$D$3:$D$64,$B124)*SUMIF('RES balance'!$D$5:$D$25,'RES Assumptions'!$A124,'RES balance'!N$5:N$25)*IFERROR(VLOOKUP($C124,$C$68:$AH$83,N$67,FALSE),1)</f>
        <v>5.8909524757764062</v>
      </c>
      <c r="O124" s="10">
        <f ca="1">SUMIFS(O$3:O$64,$A$3:$A$64,$A124,$D$3:$D$64,$B124)*SUMIF('RES balance'!$D$5:$D$25,'RES Assumptions'!$A124,'RES balance'!O$5:O$25)*IFERROR(VLOOKUP($C124,$C$68:$AH$83,O$67,FALSE),1)</f>
        <v>4.9839521764687388E-3</v>
      </c>
      <c r="P124" s="10">
        <f ca="1">SUMIFS(P$3:P$64,$A$3:$A$64,$A124,$D$3:$D$64,$B124)*SUMIF('RES balance'!$D$5:$D$25,'RES Assumptions'!$A124,'RES balance'!P$5:P$25)*IFERROR(VLOOKUP($C124,$C$68:$AH$83,P$67,FALSE),1)</f>
        <v>0</v>
      </c>
      <c r="Q124" s="10">
        <f ca="1">SUMIFS(Q$3:Q$64,$A$3:$A$64,$A124,$D$3:$D$64,$B124)*SUMIF('RES balance'!$D$5:$D$25,'RES Assumptions'!$A124,'RES balance'!Q$5:Q$25)*IFERROR(VLOOKUP($C124,$C$68:$AH$83,Q$67,FALSE),1)</f>
        <v>1.1131217409890082</v>
      </c>
      <c r="R124" s="10">
        <f ca="1">SUMIFS(R$3:R$64,$A$3:$A$64,$A124,$D$3:$D$64,$B124)*SUMIF('RES balance'!$D$5:$D$25,'RES Assumptions'!$A124,'RES balance'!R$5:R$25)*IFERROR(VLOOKUP($C124,$C$68:$AH$83,R$67,FALSE),1)</f>
        <v>2.4081083512144406E-2</v>
      </c>
      <c r="S124" s="10">
        <f ca="1">SUMIFS(S$3:S$64,$A$3:$A$64,$A124,$D$3:$D$64,$B124)*SUMIF('RES balance'!$D$5:$D$25,'RES Assumptions'!$A124,'RES balance'!S$5:S$25)*IFERROR(VLOOKUP($C124,$C$68:$AH$83,S$67,FALSE),1)</f>
        <v>0</v>
      </c>
      <c r="T124" s="10">
        <f ca="1">SUMIFS(T$3:T$64,$A$3:$A$64,$A124,$D$3:$D$64,$B124)*SUMIF('RES balance'!$D$5:$D$25,'RES Assumptions'!$A124,'RES balance'!T$5:T$25)*IFERROR(VLOOKUP($C124,$C$68:$AH$83,T$67,FALSE),1)</f>
        <v>1.3629512392021047E-4</v>
      </c>
      <c r="U124" s="10">
        <f ca="1">SUMIFS(U$3:U$64,$A$3:$A$64,$A124,$D$3:$D$64,$B124)*SUMIF('RES balance'!$D$5:$D$25,'RES Assumptions'!$A124,'RES balance'!U$5:U$25)*IFERROR(VLOOKUP($C124,$C$68:$AH$83,U$67,FALSE),1)</f>
        <v>0.18251723402820527</v>
      </c>
      <c r="V124" s="10">
        <f ca="1">SUMIFS(V$3:V$64,$A$3:$A$64,$A124,$D$3:$D$64,$B124)*SUMIF('RES balance'!$D$5:$D$25,'RES Assumptions'!$A124,'RES balance'!V$5:V$25)*IFERROR(VLOOKUP($C124,$C$68:$AH$83,V$67,FALSE),1)</f>
        <v>0.2352644142772338</v>
      </c>
      <c r="W124" s="10">
        <f ca="1">SUMIFS(W$3:W$64,$A$3:$A$64,$A124,$D$3:$D$64,$B124)*SUMIF('RES balance'!$D$5:$D$25,'RES Assumptions'!$A124,'RES balance'!W$5:W$25)*IFERROR(VLOOKUP($C124,$C$68:$AH$83,W$67,FALSE),1)</f>
        <v>8.2583855714957813E-3</v>
      </c>
      <c r="X124" s="10">
        <f ca="1">SUMIFS(X$3:X$64,$A$3:$A$64,$A124,$D$3:$D$64,$B124)*SUMIF('RES balance'!$D$5:$D$25,'RES Assumptions'!$A124,'RES balance'!X$5:X$25)*IFERROR(VLOOKUP($C124,$C$68:$AH$83,X$67,FALSE),1)</f>
        <v>86.200620812912007</v>
      </c>
      <c r="Y124" s="10">
        <f ca="1">SUMIFS(Y$3:Y$64,$A$3:$A$64,$A124,$D$3:$D$64,$B124)*SUMIF('RES balance'!$D$5:$D$25,'RES Assumptions'!$A124,'RES balance'!Y$5:Y$25)*IFERROR(VLOOKUP($C124,$C$68:$AH$83,Y$67,FALSE),1)</f>
        <v>7.5525839582595422</v>
      </c>
      <c r="Z124" s="10">
        <f ca="1">SUMIFS(Z$3:Z$64,$A$3:$A$64,$A124,$D$3:$D$64,$B124)*SUMIF('RES balance'!$D$5:$D$25,'RES Assumptions'!$A124,'RES balance'!Z$5:Z$25)*IFERROR(VLOOKUP($C124,$C$68:$AH$83,Z$67,FALSE),1)</f>
        <v>0</v>
      </c>
      <c r="AA124" s="10">
        <f ca="1">SUMIFS(AA$3:AA$64,$A$3:$A$64,$A124,$D$3:$D$64,$B124)*SUMIF('RES balance'!$D$5:$D$25,'RES Assumptions'!$A124,'RES balance'!AA$5:AA$25)*IFERROR(VLOOKUP($C124,$C$68:$AH$83,AA$67,FALSE),1)</f>
        <v>74.952047935176665</v>
      </c>
      <c r="AB124" s="10">
        <f ca="1">SUMIFS(AB$3:AB$64,$A$3:$A$64,$A124,$D$3:$D$64,$B124)*SUMIF('RES balance'!$D$5:$D$25,'RES Assumptions'!$A124,'RES balance'!AB$5:AB$25)*IFERROR(VLOOKUP($C124,$C$68:$AH$83,AB$67,FALSE),1)</f>
        <v>7.7488535546377279E-4</v>
      </c>
      <c r="AC124" s="10">
        <f ca="1">SUMIFS(AC$3:AC$64,$A$3:$A$64,$A124,$D$3:$D$64,$B124)*SUMIF('RES balance'!$D$5:$D$25,'RES Assumptions'!$A124,'RES balance'!AC$5:AC$25)*IFERROR(VLOOKUP($C124,$C$68:$AH$83,AC$67,FALSE),1)</f>
        <v>0</v>
      </c>
      <c r="AD124" s="10">
        <f ca="1">SUMIFS(AD$3:AD$64,$A$3:$A$64,$A124,$D$3:$D$64,$B124)*SUMIF('RES balance'!$D$5:$D$25,'RES Assumptions'!$A124,'RES balance'!AD$5:AD$25)*IFERROR(VLOOKUP($C124,$C$68:$AH$83,AD$67,FALSE),1)</f>
        <v>10.626472735232696</v>
      </c>
      <c r="AE124" s="10">
        <f ca="1">SUMIFS(AE$3:AE$64,$A$3:$A$64,$A124,$D$3:$D$64,$B124)*SUMIF('RES balance'!$D$5:$D$25,'RES Assumptions'!$A124,'RES balance'!AE$5:AE$25)*IFERROR(VLOOKUP($C124,$C$68:$AH$83,AE$67,FALSE),1)</f>
        <v>9.6770439244371342</v>
      </c>
      <c r="AF124" s="10">
        <f ca="1">SUMIFS(AF$3:AF$64,$A$3:$A$64,$A124,$D$3:$D$64,$B124)*SUMIF('RES balance'!$D$5:$D$25,'RES Assumptions'!$A124,'RES balance'!AF$5:AF$25)*IFERROR(VLOOKUP($C124,$C$68:$AH$83,AF$67,FALSE),1)</f>
        <v>2.4691154960629738</v>
      </c>
      <c r="AG124" s="10">
        <f ca="1">SUMIFS(AG$3:AG$64,$A$3:$A$64,$A124,$D$3:$D$64,$B124)*SUMIF('RES balance'!$D$5:$D$25,'RES Assumptions'!$A124,'RES balance'!AG$5:AG$25)*IFERROR(VLOOKUP($C124,$C$68:$AH$83,AG$67,FALSE),1)</f>
        <v>0.26523664697463856</v>
      </c>
      <c r="AH124" s="10">
        <f ca="1">SUMIFS(AH$3:AH$64,$A$3:$A$64,$A124,$D$3:$D$64,$B124)*SUMIF('RES balance'!$D$5:$D$25,'RES Assumptions'!$A124,'RES balance'!AH$5:AH$25)*IFERROR(VLOOKUP($C124,$C$68:$AH$83,AH$67,FALSE),1)</f>
        <v>0</v>
      </c>
    </row>
    <row r="125" spans="1:34" x14ac:dyDescent="0.45">
      <c r="A125" s="8" t="str">
        <f t="shared" si="26"/>
        <v>RESLPG</v>
      </c>
      <c r="B125" s="8" t="str">
        <f t="shared" si="23"/>
        <v>RK</v>
      </c>
      <c r="C125" s="48" t="str">
        <f>SUBSTITUTE(SUBSTITUTE(SUBSTITUTE('RES Veda input'!B42,"1",""),"000",""),"RRF","RR")</f>
        <v>RKLPG</v>
      </c>
      <c r="E125" s="10">
        <f ca="1">SUMIFS(E$3:E$64,$A$3:$A$64,$A125,$D$3:$D$64,$B125)*SUMIF('RES balance'!$D$5:$D$25,'RES Assumptions'!$A125,'RES balance'!E$5:E$25)*IFERROR(VLOOKUP($C125,$C$68:$AH$83,E$67,FALSE),1)</f>
        <v>337.63549558212765</v>
      </c>
      <c r="F125" s="10">
        <f ca="1">SUMIFS(F$3:F$64,$A$3:$A$64,$A125,$D$3:$D$64,$B125)*SUMIF('RES balance'!$D$5:$D$25,'RES Assumptions'!$A125,'RES balance'!F$5:F$25)*IFERROR(VLOOKUP($C125,$C$68:$AH$83,F$67,FALSE),1)</f>
        <v>104.96700052995058</v>
      </c>
      <c r="G125" s="10">
        <f ca="1">SUMIFS(G$3:G$64,$A$3:$A$64,$A125,$D$3:$D$64,$B125)*SUMIF('RES balance'!$D$5:$D$25,'RES Assumptions'!$A125,'RES balance'!G$5:G$25)*IFERROR(VLOOKUP($C125,$C$68:$AH$83,G$67,FALSE),1)</f>
        <v>78.581063775495537</v>
      </c>
      <c r="H125" s="10">
        <f ca="1">SUMIFS(H$3:H$64,$A$3:$A$64,$A125,$D$3:$D$64,$B125)*SUMIF('RES balance'!$D$5:$D$25,'RES Assumptions'!$A125,'RES balance'!H$5:H$25)*IFERROR(VLOOKUP($C125,$C$68:$AH$83,H$67,FALSE),1)</f>
        <v>10.353067513398628</v>
      </c>
      <c r="I125" s="10">
        <f ca="1">SUMIFS(I$3:I$64,$A$3:$A$64,$A125,$D$3:$D$64,$B125)*SUMIF('RES balance'!$D$5:$D$25,'RES Assumptions'!$A125,'RES balance'!I$5:I$25)*IFERROR(VLOOKUP($C125,$C$68:$AH$83,I$67,FALSE),1)</f>
        <v>24.269689919467357</v>
      </c>
      <c r="J125" s="10">
        <f ca="1">SUMIFS(J$3:J$64,$A$3:$A$64,$A125,$D$3:$D$64,$B125)*SUMIF('RES balance'!$D$5:$D$25,'RES Assumptions'!$A125,'RES balance'!J$5:J$25)*IFERROR(VLOOKUP($C125,$C$68:$AH$83,J$67,FALSE),1)</f>
        <v>635.045708462682</v>
      </c>
      <c r="K125" s="10">
        <f ca="1">SUMIFS(K$3:K$64,$A$3:$A$64,$A125,$D$3:$D$64,$B125)*SUMIF('RES balance'!$D$5:$D$25,'RES Assumptions'!$A125,'RES balance'!K$5:K$25)*IFERROR(VLOOKUP($C125,$C$68:$AH$83,K$67,FALSE),1)</f>
        <v>4.6438533414466221</v>
      </c>
      <c r="L125" s="10">
        <f ca="1">SUMIFS(L$3:L$64,$A$3:$A$64,$A125,$D$3:$D$64,$B125)*SUMIF('RES balance'!$D$5:$D$25,'RES Assumptions'!$A125,'RES balance'!L$5:L$25)*IFERROR(VLOOKUP($C125,$C$68:$AH$83,L$67,FALSE),1)</f>
        <v>233.91699122201996</v>
      </c>
      <c r="M125" s="10">
        <f ca="1">SUMIFS(M$3:M$64,$A$3:$A$64,$A125,$D$3:$D$64,$B125)*SUMIF('RES balance'!$D$5:$D$25,'RES Assumptions'!$A125,'RES balance'!M$5:M$25)*IFERROR(VLOOKUP($C125,$C$68:$AH$83,M$67,FALSE),1)</f>
        <v>0</v>
      </c>
      <c r="N125" s="10">
        <f ca="1">SUMIFS(N$3:N$64,$A$3:$A$64,$A125,$D$3:$D$64,$B125)*SUMIF('RES balance'!$D$5:$D$25,'RES Assumptions'!$A125,'RES balance'!N$5:N$25)*IFERROR(VLOOKUP($C125,$C$68:$AH$83,N$67,FALSE),1)</f>
        <v>443.71513750732078</v>
      </c>
      <c r="O125" s="10">
        <f ca="1">SUMIFS(O$3:O$64,$A$3:$A$64,$A125,$D$3:$D$64,$B125)*SUMIF('RES balance'!$D$5:$D$25,'RES Assumptions'!$A125,'RES balance'!O$5:O$25)*IFERROR(VLOOKUP($C125,$C$68:$AH$83,O$67,FALSE),1)</f>
        <v>3.8405473207534471E-2</v>
      </c>
      <c r="P125" s="10">
        <f ca="1">SUMIFS(P$3:P$64,$A$3:$A$64,$A125,$D$3:$D$64,$B125)*SUMIF('RES balance'!$D$5:$D$25,'RES Assumptions'!$A125,'RES balance'!P$5:P$25)*IFERROR(VLOOKUP($C125,$C$68:$AH$83,P$67,FALSE),1)</f>
        <v>19.733067375139846</v>
      </c>
      <c r="Q125" s="10">
        <f ca="1">SUMIFS(Q$3:Q$64,$A$3:$A$64,$A125,$D$3:$D$64,$B125)*SUMIF('RES balance'!$D$5:$D$25,'RES Assumptions'!$A125,'RES balance'!Q$5:Q$25)*IFERROR(VLOOKUP($C125,$C$68:$AH$83,Q$67,FALSE),1)</f>
        <v>0.25315365185490274</v>
      </c>
      <c r="R125" s="10">
        <f ca="1">SUMIFS(R$3:R$64,$A$3:$A$64,$A125,$D$3:$D$64,$B125)*SUMIF('RES balance'!$D$5:$D$25,'RES Assumptions'!$A125,'RES balance'!R$5:R$25)*IFERROR(VLOOKUP($C125,$C$68:$AH$83,R$67,FALSE),1)</f>
        <v>1.6759688722801331</v>
      </c>
      <c r="S125" s="10">
        <f ca="1">SUMIFS(S$3:S$64,$A$3:$A$64,$A125,$D$3:$D$64,$B125)*SUMIF('RES balance'!$D$5:$D$25,'RES Assumptions'!$A125,'RES balance'!S$5:S$25)*IFERROR(VLOOKUP($C125,$C$68:$AH$83,S$67,FALSE),1)</f>
        <v>12.356013239887414</v>
      </c>
      <c r="T125" s="10">
        <f ca="1">SUMIFS(T$3:T$64,$A$3:$A$64,$A125,$D$3:$D$64,$B125)*SUMIF('RES balance'!$D$5:$D$25,'RES Assumptions'!$A125,'RES balance'!T$5:T$25)*IFERROR(VLOOKUP($C125,$C$68:$AH$83,T$67,FALSE),1)</f>
        <v>1.6550993682661441</v>
      </c>
      <c r="U125" s="10">
        <f ca="1">SUMIFS(U$3:U$64,$A$3:$A$64,$A125,$D$3:$D$64,$B125)*SUMIF('RES balance'!$D$5:$D$25,'RES Assumptions'!$A125,'RES balance'!U$5:U$25)*IFERROR(VLOOKUP($C125,$C$68:$AH$83,U$67,FALSE),1)</f>
        <v>10.070765978389103</v>
      </c>
      <c r="V125" s="10">
        <f ca="1">SUMIFS(V$3:V$64,$A$3:$A$64,$A125,$D$3:$D$64,$B125)*SUMIF('RES balance'!$D$5:$D$25,'RES Assumptions'!$A125,'RES balance'!V$5:V$25)*IFERROR(VLOOKUP($C125,$C$68:$AH$83,V$67,FALSE),1)</f>
        <v>1.0924231084430609</v>
      </c>
      <c r="W125" s="10">
        <f ca="1">SUMIFS(W$3:W$64,$A$3:$A$64,$A125,$D$3:$D$64,$B125)*SUMIF('RES balance'!$D$5:$D$25,'RES Assumptions'!$A125,'RES balance'!W$5:W$25)*IFERROR(VLOOKUP($C125,$C$68:$AH$83,W$67,FALSE),1)</f>
        <v>1.1264097784786216</v>
      </c>
      <c r="X125" s="10">
        <f ca="1">SUMIFS(X$3:X$64,$A$3:$A$64,$A125,$D$3:$D$64,$B125)*SUMIF('RES balance'!$D$5:$D$25,'RES Assumptions'!$A125,'RES balance'!X$5:X$25)*IFERROR(VLOOKUP($C125,$C$68:$AH$83,X$67,FALSE),1)</f>
        <v>988.23073595774542</v>
      </c>
      <c r="Y125" s="10">
        <f ca="1">SUMIFS(Y$3:Y$64,$A$3:$A$64,$A125,$D$3:$D$64,$B125)*SUMIF('RES balance'!$D$5:$D$25,'RES Assumptions'!$A125,'RES balance'!Y$5:Y$25)*IFERROR(VLOOKUP($C125,$C$68:$AH$83,Y$67,FALSE),1)</f>
        <v>195.03515411993996</v>
      </c>
      <c r="Z125" s="10">
        <f ca="1">SUMIFS(Z$3:Z$64,$A$3:$A$64,$A125,$D$3:$D$64,$B125)*SUMIF('RES balance'!$D$5:$D$25,'RES Assumptions'!$A125,'RES balance'!Z$5:Z$25)*IFERROR(VLOOKUP($C125,$C$68:$AH$83,Z$67,FALSE),1)</f>
        <v>93.226763304848731</v>
      </c>
      <c r="AA125" s="10">
        <f ca="1">SUMIFS(AA$3:AA$64,$A$3:$A$64,$A125,$D$3:$D$64,$B125)*SUMIF('RES balance'!$D$5:$D$25,'RES Assumptions'!$A125,'RES balance'!AA$5:AA$25)*IFERROR(VLOOKUP($C125,$C$68:$AH$83,AA$67,FALSE),1)</f>
        <v>140.89841953527718</v>
      </c>
      <c r="AB125" s="10">
        <f ca="1">SUMIFS(AB$3:AB$64,$A$3:$A$64,$A125,$D$3:$D$64,$B125)*SUMIF('RES balance'!$D$5:$D$25,'RES Assumptions'!$A125,'RES balance'!AB$5:AB$25)*IFERROR(VLOOKUP($C125,$C$68:$AH$83,AB$67,FALSE),1)</f>
        <v>7.7228542881278752E-3</v>
      </c>
      <c r="AC125" s="10">
        <f ca="1">SUMIFS(AC$3:AC$64,$A$3:$A$64,$A125,$D$3:$D$64,$B125)*SUMIF('RES balance'!$D$5:$D$25,'RES Assumptions'!$A125,'RES balance'!AC$5:AC$25)*IFERROR(VLOOKUP($C125,$C$68:$AH$83,AC$67,FALSE),1)</f>
        <v>80.568038753360241</v>
      </c>
      <c r="AD125" s="10">
        <f ca="1">SUMIFS(AD$3:AD$64,$A$3:$A$64,$A125,$D$3:$D$64,$B125)*SUMIF('RES balance'!$D$5:$D$25,'RES Assumptions'!$A125,'RES balance'!AD$5:AD$25)*IFERROR(VLOOKUP($C125,$C$68:$AH$83,AD$67,FALSE),1)</f>
        <v>24.211603286201175</v>
      </c>
      <c r="AE125" s="10">
        <f ca="1">SUMIFS(AE$3:AE$64,$A$3:$A$64,$A125,$D$3:$D$64,$B125)*SUMIF('RES balance'!$D$5:$D$25,'RES Assumptions'!$A125,'RES balance'!AE$5:AE$25)*IFERROR(VLOOKUP($C125,$C$68:$AH$83,AE$67,FALSE),1)</f>
        <v>8.6693672098307637</v>
      </c>
      <c r="AF125" s="10">
        <f ca="1">SUMIFS(AF$3:AF$64,$A$3:$A$64,$A125,$D$3:$D$64,$B125)*SUMIF('RES balance'!$D$5:$D$25,'RES Assumptions'!$A125,'RES balance'!AF$5:AF$25)*IFERROR(VLOOKUP($C125,$C$68:$AH$83,AF$67,FALSE),1)</f>
        <v>0.31376035439244904</v>
      </c>
      <c r="AG125" s="10">
        <f ca="1">SUMIFS(AG$3:AG$64,$A$3:$A$64,$A125,$D$3:$D$64,$B125)*SUMIF('RES balance'!$D$5:$D$25,'RES Assumptions'!$A125,'RES balance'!AG$5:AG$25)*IFERROR(VLOOKUP($C125,$C$68:$AH$83,AG$67,FALSE),1)</f>
        <v>4.5170672299009498</v>
      </c>
      <c r="AH125" s="10">
        <f ca="1">SUMIFS(AH$3:AH$64,$A$3:$A$64,$A125,$D$3:$D$64,$B125)*SUMIF('RES balance'!$D$5:$D$25,'RES Assumptions'!$A125,'RES balance'!AH$5:AH$25)*IFERROR(VLOOKUP($C125,$C$68:$AH$83,AH$67,FALSE),1)</f>
        <v>0</v>
      </c>
    </row>
    <row r="126" spans="1:34" x14ac:dyDescent="0.45">
      <c r="A126" s="8" t="str">
        <f t="shared" si="26"/>
        <v>RESNGA</v>
      </c>
      <c r="B126" s="8" t="str">
        <f t="shared" si="23"/>
        <v>RK</v>
      </c>
      <c r="C126" s="48" t="str">
        <f>SUBSTITUTE(SUBSTITUTE(SUBSTITUTE('RES Veda input'!B43,"1",""),"000",""),"RRF","RR")</f>
        <v>RKNGA</v>
      </c>
      <c r="E126" s="10">
        <f ca="1">SUMIFS(E$3:E$64,$A$3:$A$64,$A126,$D$3:$D$64,$B126)*SUMIF('RES balance'!$D$5:$D$25,'RES Assumptions'!$A126,'RES balance'!E$5:E$25)*IFERROR(VLOOKUP($C126,$C$68:$AH$83,E$67,FALSE),1)</f>
        <v>171.42974841199864</v>
      </c>
      <c r="F126" s="10">
        <f ca="1">SUMIFS(F$3:F$64,$A$3:$A$64,$A126,$D$3:$D$64,$B126)*SUMIF('RES balance'!$D$5:$D$25,'RES Assumptions'!$A126,'RES balance'!F$5:F$25)*IFERROR(VLOOKUP($C126,$C$68:$AH$83,F$67,FALSE),1)</f>
        <v>1.3541742592954769E-4</v>
      </c>
      <c r="G126" s="10">
        <f ca="1">SUMIFS(G$3:G$64,$A$3:$A$64,$A126,$D$3:$D$64,$B126)*SUMIF('RES balance'!$D$5:$D$25,'RES Assumptions'!$A126,'RES balance'!G$5:G$25)*IFERROR(VLOOKUP($C126,$C$68:$AH$83,G$67,FALSE),1)</f>
        <v>129.30279468217947</v>
      </c>
      <c r="H126" s="10">
        <f ca="1">SUMIFS(H$3:H$64,$A$3:$A$64,$A126,$D$3:$D$64,$B126)*SUMIF('RES balance'!$D$5:$D$25,'RES Assumptions'!$A126,'RES balance'!H$5:H$25)*IFERROR(VLOOKUP($C126,$C$68:$AH$83,H$67,FALSE),1)</f>
        <v>74.139885130048441</v>
      </c>
      <c r="I126" s="10">
        <f ca="1">SUMIFS(I$3:I$64,$A$3:$A$64,$A126,$D$3:$D$64,$B126)*SUMIF('RES balance'!$D$5:$D$25,'RES Assumptions'!$A126,'RES balance'!I$5:I$25)*IFERROR(VLOOKUP($C126,$C$68:$AH$83,I$67,FALSE),1)</f>
        <v>122.7005960299737</v>
      </c>
      <c r="J126" s="10">
        <f ca="1">SUMIFS(J$3:J$64,$A$3:$A$64,$A126,$D$3:$D$64,$B126)*SUMIF('RES balance'!$D$5:$D$25,'RES Assumptions'!$A126,'RES balance'!J$5:J$25)*IFERROR(VLOOKUP($C126,$C$68:$AH$83,J$67,FALSE),1)</f>
        <v>505.28145429360001</v>
      </c>
      <c r="K126" s="10">
        <f ca="1">SUMIFS(K$3:K$64,$A$3:$A$64,$A126,$D$3:$D$64,$B126)*SUMIF('RES balance'!$D$5:$D$25,'RES Assumptions'!$A126,'RES balance'!K$5:K$25)*IFERROR(VLOOKUP($C126,$C$68:$AH$83,K$67,FALSE),1)</f>
        <v>7.741524532817821</v>
      </c>
      <c r="L126" s="10">
        <f ca="1">SUMIFS(L$3:L$64,$A$3:$A$64,$A126,$D$3:$D$64,$B126)*SUMIF('RES balance'!$D$5:$D$25,'RES Assumptions'!$A126,'RES balance'!L$5:L$25)*IFERROR(VLOOKUP($C126,$C$68:$AH$83,L$67,FALSE),1)</f>
        <v>5.8771047604550564</v>
      </c>
      <c r="M126" s="10">
        <f ca="1">SUMIFS(M$3:M$64,$A$3:$A$64,$A126,$D$3:$D$64,$B126)*SUMIF('RES balance'!$D$5:$D$25,'RES Assumptions'!$A126,'RES balance'!M$5:M$25)*IFERROR(VLOOKUP($C126,$C$68:$AH$83,M$67,FALSE),1)</f>
        <v>7.53329184386096</v>
      </c>
      <c r="N126" s="10">
        <f ca="1">SUMIFS(N$3:N$64,$A$3:$A$64,$A126,$D$3:$D$64,$B126)*SUMIF('RES balance'!$D$5:$D$25,'RES Assumptions'!$A126,'RES balance'!N$5:N$25)*IFERROR(VLOOKUP($C126,$C$68:$AH$83,N$67,FALSE),1)</f>
        <v>846.75113242762927</v>
      </c>
      <c r="O126" s="10">
        <f ca="1">SUMIFS(O$3:O$64,$A$3:$A$64,$A126,$D$3:$D$64,$B126)*SUMIF('RES balance'!$D$5:$D$25,'RES Assumptions'!$A126,'RES balance'!O$5:O$25)*IFERROR(VLOOKUP($C126,$C$68:$AH$83,O$67,FALSE),1)</f>
        <v>1.0315161774975616</v>
      </c>
      <c r="P126" s="10">
        <f ca="1">SUMIFS(P$3:P$64,$A$3:$A$64,$A126,$D$3:$D$64,$B126)*SUMIF('RES balance'!$D$5:$D$25,'RES Assumptions'!$A126,'RES balance'!P$5:P$25)*IFERROR(VLOOKUP($C126,$C$68:$AH$83,P$67,FALSE),1)</f>
        <v>41.837371499671235</v>
      </c>
      <c r="Q126" s="10">
        <f ca="1">SUMIFS(Q$3:Q$64,$A$3:$A$64,$A126,$D$3:$D$64,$B126)*SUMIF('RES balance'!$D$5:$D$25,'RES Assumptions'!$A126,'RES balance'!Q$5:Q$25)*IFERROR(VLOOKUP($C126,$C$68:$AH$83,Q$67,FALSE),1)</f>
        <v>16.008555402928238</v>
      </c>
      <c r="R126" s="10">
        <f ca="1">SUMIFS(R$3:R$64,$A$3:$A$64,$A126,$D$3:$D$64,$B126)*SUMIF('RES balance'!$D$5:$D$25,'RES Assumptions'!$A126,'RES balance'!R$5:R$25)*IFERROR(VLOOKUP($C126,$C$68:$AH$83,R$67,FALSE),1)</f>
        <v>24.752679035752973</v>
      </c>
      <c r="S126" s="10">
        <f ca="1">SUMIFS(S$3:S$64,$A$3:$A$64,$A126,$D$3:$D$64,$B126)*SUMIF('RES balance'!$D$5:$D$25,'RES Assumptions'!$A126,'RES balance'!S$5:S$25)*IFERROR(VLOOKUP($C126,$C$68:$AH$83,S$67,FALSE),1)</f>
        <v>29.912634472148472</v>
      </c>
      <c r="T126" s="10">
        <f ca="1">SUMIFS(T$3:T$64,$A$3:$A$64,$A126,$D$3:$D$64,$B126)*SUMIF('RES balance'!$D$5:$D$25,'RES Assumptions'!$A126,'RES balance'!T$5:T$25)*IFERROR(VLOOKUP($C126,$C$68:$AH$83,T$67,FALSE),1)</f>
        <v>5.6088512907990813</v>
      </c>
      <c r="U126" s="10">
        <f ca="1">SUMIFS(U$3:U$64,$A$3:$A$64,$A126,$D$3:$D$64,$B126)*SUMIF('RES balance'!$D$5:$D$25,'RES Assumptions'!$A126,'RES balance'!U$5:U$25)*IFERROR(VLOOKUP($C126,$C$68:$AH$83,U$67,FALSE),1)</f>
        <v>92.879974480829887</v>
      </c>
      <c r="V126" s="10">
        <f ca="1">SUMIFS(V$3:V$64,$A$3:$A$64,$A126,$D$3:$D$64,$B126)*SUMIF('RES balance'!$D$5:$D$25,'RES Assumptions'!$A126,'RES balance'!V$5:V$25)*IFERROR(VLOOKUP($C126,$C$68:$AH$83,V$67,FALSE),1)</f>
        <v>17.034905771393067</v>
      </c>
      <c r="W126" s="10">
        <f ca="1">SUMIFS(W$3:W$64,$A$3:$A$64,$A126,$D$3:$D$64,$B126)*SUMIF('RES balance'!$D$5:$D$25,'RES Assumptions'!$A126,'RES balance'!W$5:W$25)*IFERROR(VLOOKUP($C126,$C$68:$AH$83,W$67,FALSE),1)</f>
        <v>33.986132872294547</v>
      </c>
      <c r="X126" s="10">
        <f ca="1">SUMIFS(X$3:X$64,$A$3:$A$64,$A126,$D$3:$D$64,$B126)*SUMIF('RES balance'!$D$5:$D$25,'RES Assumptions'!$A126,'RES balance'!X$5:X$25)*IFERROR(VLOOKUP($C126,$C$68:$AH$83,X$67,FALSE),1)</f>
        <v>16.344793297498519</v>
      </c>
      <c r="Y126" s="10">
        <f ca="1">SUMIFS(Y$3:Y$64,$A$3:$A$64,$A126,$D$3:$D$64,$B126)*SUMIF('RES balance'!$D$5:$D$25,'RES Assumptions'!$A126,'RES balance'!Y$5:Y$25)*IFERROR(VLOOKUP($C126,$C$68:$AH$83,Y$67,FALSE),1)</f>
        <v>28.225098745433964</v>
      </c>
      <c r="Z126" s="10">
        <f ca="1">SUMIFS(Z$3:Z$64,$A$3:$A$64,$A126,$D$3:$D$64,$B126)*SUMIF('RES balance'!$D$5:$D$25,'RES Assumptions'!$A126,'RES balance'!Z$5:Z$25)*IFERROR(VLOOKUP($C126,$C$68:$AH$83,Z$67,FALSE),1)</f>
        <v>8.9040742962538619</v>
      </c>
      <c r="AA126" s="10">
        <f ca="1">SUMIFS(AA$3:AA$64,$A$3:$A$64,$A126,$D$3:$D$64,$B126)*SUMIF('RES balance'!$D$5:$D$25,'RES Assumptions'!$A126,'RES balance'!AA$5:AA$25)*IFERROR(VLOOKUP($C126,$C$68:$AH$83,AA$67,FALSE),1)</f>
        <v>175.38674789275305</v>
      </c>
      <c r="AB126" s="10">
        <f ca="1">SUMIFS(AB$3:AB$64,$A$3:$A$64,$A126,$D$3:$D$64,$B126)*SUMIF('RES balance'!$D$5:$D$25,'RES Assumptions'!$A126,'RES balance'!AB$5:AB$25)*IFERROR(VLOOKUP($C126,$C$68:$AH$83,AB$67,FALSE),1)</f>
        <v>2.3205513383722318E-3</v>
      </c>
      <c r="AC126" s="10">
        <f ca="1">SUMIFS(AC$3:AC$64,$A$3:$A$64,$A126,$D$3:$D$64,$B126)*SUMIF('RES balance'!$D$5:$D$25,'RES Assumptions'!$A126,'RES balance'!AC$5:AC$25)*IFERROR(VLOOKUP($C126,$C$68:$AH$83,AC$67,FALSE),1)</f>
        <v>327.23331809321951</v>
      </c>
      <c r="AD126" s="10">
        <f ca="1">SUMIFS(AD$3:AD$64,$A$3:$A$64,$A126,$D$3:$D$64,$B126)*SUMIF('RES balance'!$D$5:$D$25,'RES Assumptions'!$A126,'RES balance'!AD$5:AD$25)*IFERROR(VLOOKUP($C126,$C$68:$AH$83,AD$67,FALSE),1)</f>
        <v>0</v>
      </c>
      <c r="AE126" s="10">
        <f ca="1">SUMIFS(AE$3:AE$64,$A$3:$A$64,$A126,$D$3:$D$64,$B126)*SUMIF('RES balance'!$D$5:$D$25,'RES Assumptions'!$A126,'RES balance'!AE$5:AE$25)*IFERROR(VLOOKUP($C126,$C$68:$AH$83,AE$67,FALSE),1)</f>
        <v>7.1823097735569469E-2</v>
      </c>
      <c r="AF126" s="10">
        <f ca="1">SUMIFS(AF$3:AF$64,$A$3:$A$64,$A126,$D$3:$D$64,$B126)*SUMIF('RES balance'!$D$5:$D$25,'RES Assumptions'!$A126,'RES balance'!AF$5:AF$25)*IFERROR(VLOOKUP($C126,$C$68:$AH$83,AF$67,FALSE),1)</f>
        <v>34.209939172467379</v>
      </c>
      <c r="AG126" s="10">
        <f ca="1">SUMIFS(AG$3:AG$64,$A$3:$A$64,$A126,$D$3:$D$64,$B126)*SUMIF('RES balance'!$D$5:$D$25,'RES Assumptions'!$A126,'RES balance'!AG$5:AG$25)*IFERROR(VLOOKUP($C126,$C$68:$AH$83,AG$67,FALSE),1)</f>
        <v>210.68469952462686</v>
      </c>
      <c r="AH126" s="10">
        <f ca="1">SUMIFS(AH$3:AH$64,$A$3:$A$64,$A126,$D$3:$D$64,$B126)*SUMIF('RES balance'!$D$5:$D$25,'RES Assumptions'!$A126,'RES balance'!AH$5:AH$25)*IFERROR(VLOOKUP($C126,$C$68:$AH$83,AH$67,FALSE),1)</f>
        <v>0</v>
      </c>
    </row>
    <row r="127" spans="1:34" x14ac:dyDescent="0.45">
      <c r="A127" s="8" t="str">
        <f t="shared" si="26"/>
        <v>RESSTH</v>
      </c>
      <c r="B127" s="8" t="str">
        <f t="shared" si="23"/>
        <v>RK</v>
      </c>
      <c r="C127" s="48" t="str">
        <f>SUBSTITUTE(SUBSTITUTE(SUBSTITUTE('RES Veda input'!B44,"1",""),"000",""),"RRF","RR")</f>
        <v>RKSTH</v>
      </c>
      <c r="E127" s="10">
        <f ca="1">SUMIFS(E$3:E$64,$A$3:$A$64,$A127,$D$3:$D$64,$B127)*SUMIF('RES balance'!$D$5:$D$25,'RES Assumptions'!$A127,'RES balance'!E$5:E$25)*IFERROR(VLOOKUP($C127,$C$68:$AH$83,E$67,FALSE),1)</f>
        <v>0</v>
      </c>
      <c r="F127" s="10">
        <f ca="1">SUMIFS(F$3:F$64,$A$3:$A$64,$A127,$D$3:$D$64,$B127)*SUMIF('RES balance'!$D$5:$D$25,'RES Assumptions'!$A127,'RES balance'!F$5:F$25)*IFERROR(VLOOKUP($C127,$C$68:$AH$83,F$67,FALSE),1)</f>
        <v>0</v>
      </c>
      <c r="G127" s="10">
        <f ca="1">SUMIFS(G$3:G$64,$A$3:$A$64,$A127,$D$3:$D$64,$B127)*SUMIF('RES balance'!$D$5:$D$25,'RES Assumptions'!$A127,'RES balance'!G$5:G$25)*IFERROR(VLOOKUP($C127,$C$68:$AH$83,G$67,FALSE),1)</f>
        <v>0</v>
      </c>
      <c r="H127" s="10">
        <f ca="1">SUMIFS(H$3:H$64,$A$3:$A$64,$A127,$D$3:$D$64,$B127)*SUMIF('RES balance'!$D$5:$D$25,'RES Assumptions'!$A127,'RES balance'!H$5:H$25)*IFERROR(VLOOKUP($C127,$C$68:$AH$83,H$67,FALSE),1)</f>
        <v>0</v>
      </c>
      <c r="I127" s="10">
        <f ca="1">SUMIFS(I$3:I$64,$A$3:$A$64,$A127,$D$3:$D$64,$B127)*SUMIF('RES balance'!$D$5:$D$25,'RES Assumptions'!$A127,'RES balance'!I$5:I$25)*IFERROR(VLOOKUP($C127,$C$68:$AH$83,I$67,FALSE),1)</f>
        <v>0</v>
      </c>
      <c r="J127" s="10">
        <f ca="1">SUMIFS(J$3:J$64,$A$3:$A$64,$A127,$D$3:$D$64,$B127)*SUMIF('RES balance'!$D$5:$D$25,'RES Assumptions'!$A127,'RES balance'!J$5:J$25)*IFERROR(VLOOKUP($C127,$C$68:$AH$83,J$67,FALSE),1)</f>
        <v>0</v>
      </c>
      <c r="K127" s="10">
        <f ca="1">SUMIFS(K$3:K$64,$A$3:$A$64,$A127,$D$3:$D$64,$B127)*SUMIF('RES balance'!$D$5:$D$25,'RES Assumptions'!$A127,'RES balance'!K$5:K$25)*IFERROR(VLOOKUP($C127,$C$68:$AH$83,K$67,FALSE),1)</f>
        <v>0</v>
      </c>
      <c r="L127" s="10">
        <f ca="1">SUMIFS(L$3:L$64,$A$3:$A$64,$A127,$D$3:$D$64,$B127)*SUMIF('RES balance'!$D$5:$D$25,'RES Assumptions'!$A127,'RES balance'!L$5:L$25)*IFERROR(VLOOKUP($C127,$C$68:$AH$83,L$67,FALSE),1)</f>
        <v>0</v>
      </c>
      <c r="M127" s="10">
        <f ca="1">SUMIFS(M$3:M$64,$A$3:$A$64,$A127,$D$3:$D$64,$B127)*SUMIF('RES balance'!$D$5:$D$25,'RES Assumptions'!$A127,'RES balance'!M$5:M$25)*IFERROR(VLOOKUP($C127,$C$68:$AH$83,M$67,FALSE),1)</f>
        <v>0</v>
      </c>
      <c r="N127" s="10">
        <f ca="1">SUMIFS(N$3:N$64,$A$3:$A$64,$A127,$D$3:$D$64,$B127)*SUMIF('RES balance'!$D$5:$D$25,'RES Assumptions'!$A127,'RES balance'!N$5:N$25)*IFERROR(VLOOKUP($C127,$C$68:$AH$83,N$67,FALSE),1)</f>
        <v>0</v>
      </c>
      <c r="O127" s="10">
        <f ca="1">SUMIFS(O$3:O$64,$A$3:$A$64,$A127,$D$3:$D$64,$B127)*SUMIF('RES balance'!$D$5:$D$25,'RES Assumptions'!$A127,'RES balance'!O$5:O$25)*IFERROR(VLOOKUP($C127,$C$68:$AH$83,O$67,FALSE),1)</f>
        <v>0</v>
      </c>
      <c r="P127" s="10">
        <f ca="1">SUMIFS(P$3:P$64,$A$3:$A$64,$A127,$D$3:$D$64,$B127)*SUMIF('RES balance'!$D$5:$D$25,'RES Assumptions'!$A127,'RES balance'!P$5:P$25)*IFERROR(VLOOKUP($C127,$C$68:$AH$83,P$67,FALSE),1)</f>
        <v>0</v>
      </c>
      <c r="Q127" s="10">
        <f ca="1">SUMIFS(Q$3:Q$64,$A$3:$A$64,$A127,$D$3:$D$64,$B127)*SUMIF('RES balance'!$D$5:$D$25,'RES Assumptions'!$A127,'RES balance'!Q$5:Q$25)*IFERROR(VLOOKUP($C127,$C$68:$AH$83,Q$67,FALSE),1)</f>
        <v>0</v>
      </c>
      <c r="R127" s="10">
        <f ca="1">SUMIFS(R$3:R$64,$A$3:$A$64,$A127,$D$3:$D$64,$B127)*SUMIF('RES balance'!$D$5:$D$25,'RES Assumptions'!$A127,'RES balance'!R$5:R$25)*IFERROR(VLOOKUP($C127,$C$68:$AH$83,R$67,FALSE),1)</f>
        <v>0</v>
      </c>
      <c r="S127" s="10">
        <f ca="1">SUMIFS(S$3:S$64,$A$3:$A$64,$A127,$D$3:$D$64,$B127)*SUMIF('RES balance'!$D$5:$D$25,'RES Assumptions'!$A127,'RES balance'!S$5:S$25)*IFERROR(VLOOKUP($C127,$C$68:$AH$83,S$67,FALSE),1)</f>
        <v>0</v>
      </c>
      <c r="T127" s="10">
        <f ca="1">SUMIFS(T$3:T$64,$A$3:$A$64,$A127,$D$3:$D$64,$B127)*SUMIF('RES balance'!$D$5:$D$25,'RES Assumptions'!$A127,'RES balance'!T$5:T$25)*IFERROR(VLOOKUP($C127,$C$68:$AH$83,T$67,FALSE),1)</f>
        <v>0</v>
      </c>
      <c r="U127" s="10">
        <f ca="1">SUMIFS(U$3:U$64,$A$3:$A$64,$A127,$D$3:$D$64,$B127)*SUMIF('RES balance'!$D$5:$D$25,'RES Assumptions'!$A127,'RES balance'!U$5:U$25)*IFERROR(VLOOKUP($C127,$C$68:$AH$83,U$67,FALSE),1)</f>
        <v>0</v>
      </c>
      <c r="V127" s="10">
        <f ca="1">SUMIFS(V$3:V$64,$A$3:$A$64,$A127,$D$3:$D$64,$B127)*SUMIF('RES balance'!$D$5:$D$25,'RES Assumptions'!$A127,'RES balance'!V$5:V$25)*IFERROR(VLOOKUP($C127,$C$68:$AH$83,V$67,FALSE),1)</f>
        <v>0</v>
      </c>
      <c r="W127" s="10">
        <f ca="1">SUMIFS(W$3:W$64,$A$3:$A$64,$A127,$D$3:$D$64,$B127)*SUMIF('RES balance'!$D$5:$D$25,'RES Assumptions'!$A127,'RES balance'!W$5:W$25)*IFERROR(VLOOKUP($C127,$C$68:$AH$83,W$67,FALSE),1)</f>
        <v>0</v>
      </c>
      <c r="X127" s="10">
        <f ca="1">SUMIFS(X$3:X$64,$A$3:$A$64,$A127,$D$3:$D$64,$B127)*SUMIF('RES balance'!$D$5:$D$25,'RES Assumptions'!$A127,'RES balance'!X$5:X$25)*IFERROR(VLOOKUP($C127,$C$68:$AH$83,X$67,FALSE),1)</f>
        <v>0</v>
      </c>
      <c r="Y127" s="10">
        <f ca="1">SUMIFS(Y$3:Y$64,$A$3:$A$64,$A127,$D$3:$D$64,$B127)*SUMIF('RES balance'!$D$5:$D$25,'RES Assumptions'!$A127,'RES balance'!Y$5:Y$25)*IFERROR(VLOOKUP($C127,$C$68:$AH$83,Y$67,FALSE),1)</f>
        <v>0</v>
      </c>
      <c r="Z127" s="10">
        <f ca="1">SUMIFS(Z$3:Z$64,$A$3:$A$64,$A127,$D$3:$D$64,$B127)*SUMIF('RES balance'!$D$5:$D$25,'RES Assumptions'!$A127,'RES balance'!Z$5:Z$25)*IFERROR(VLOOKUP($C127,$C$68:$AH$83,Z$67,FALSE),1)</f>
        <v>0</v>
      </c>
      <c r="AA127" s="10">
        <f ca="1">SUMIFS(AA$3:AA$64,$A$3:$A$64,$A127,$D$3:$D$64,$B127)*SUMIF('RES balance'!$D$5:$D$25,'RES Assumptions'!$A127,'RES balance'!AA$5:AA$25)*IFERROR(VLOOKUP($C127,$C$68:$AH$83,AA$67,FALSE),1)</f>
        <v>0</v>
      </c>
      <c r="AB127" s="10">
        <f ca="1">SUMIFS(AB$3:AB$64,$A$3:$A$64,$A127,$D$3:$D$64,$B127)*SUMIF('RES balance'!$D$5:$D$25,'RES Assumptions'!$A127,'RES balance'!AB$5:AB$25)*IFERROR(VLOOKUP($C127,$C$68:$AH$83,AB$67,FALSE),1)</f>
        <v>0</v>
      </c>
      <c r="AC127" s="10">
        <f ca="1">SUMIFS(AC$3:AC$64,$A$3:$A$64,$A127,$D$3:$D$64,$B127)*SUMIF('RES balance'!$D$5:$D$25,'RES Assumptions'!$A127,'RES balance'!AC$5:AC$25)*IFERROR(VLOOKUP($C127,$C$68:$AH$83,AC$67,FALSE),1)</f>
        <v>0</v>
      </c>
      <c r="AD127" s="10">
        <f ca="1">SUMIFS(AD$3:AD$64,$A$3:$A$64,$A127,$D$3:$D$64,$B127)*SUMIF('RES balance'!$D$5:$D$25,'RES Assumptions'!$A127,'RES balance'!AD$5:AD$25)*IFERROR(VLOOKUP($C127,$C$68:$AH$83,AD$67,FALSE),1)</f>
        <v>0</v>
      </c>
      <c r="AE127" s="10">
        <f ca="1">SUMIFS(AE$3:AE$64,$A$3:$A$64,$A127,$D$3:$D$64,$B127)*SUMIF('RES balance'!$D$5:$D$25,'RES Assumptions'!$A127,'RES balance'!AE$5:AE$25)*IFERROR(VLOOKUP($C127,$C$68:$AH$83,AE$67,FALSE),1)</f>
        <v>0</v>
      </c>
      <c r="AF127" s="10">
        <f ca="1">SUMIFS(AF$3:AF$64,$A$3:$A$64,$A127,$D$3:$D$64,$B127)*SUMIF('RES balance'!$D$5:$D$25,'RES Assumptions'!$A127,'RES balance'!AF$5:AF$25)*IFERROR(VLOOKUP($C127,$C$68:$AH$83,AF$67,FALSE),1)</f>
        <v>0</v>
      </c>
      <c r="AG127" s="10">
        <f ca="1">SUMIFS(AG$3:AG$64,$A$3:$A$64,$A127,$D$3:$D$64,$B127)*SUMIF('RES balance'!$D$5:$D$25,'RES Assumptions'!$A127,'RES balance'!AG$5:AG$25)*IFERROR(VLOOKUP($C127,$C$68:$AH$83,AG$67,FALSE),1)</f>
        <v>0</v>
      </c>
      <c r="AH127" s="10">
        <f ca="1">SUMIFS(AH$3:AH$64,$A$3:$A$64,$A127,$D$3:$D$64,$B127)*SUMIF('RES balance'!$D$5:$D$25,'RES Assumptions'!$A127,'RES balance'!AH$5:AH$25)*IFERROR(VLOOKUP($C127,$C$68:$AH$83,AH$67,FALSE),1)</f>
        <v>0</v>
      </c>
    </row>
    <row r="128" spans="1:34" x14ac:dyDescent="0.45">
      <c r="A128" s="8" t="str">
        <f t="shared" si="26"/>
        <v>RESELC</v>
      </c>
      <c r="B128" s="8" t="str">
        <f t="shared" si="23"/>
        <v>RL</v>
      </c>
      <c r="C128" s="48" t="str">
        <f>SUBSTITUTE(SUBSTITUTE(SUBSTITUTE('RES Veda input'!B45,"1",""),"000",""),"RRF","RR")</f>
        <v>RLCFL</v>
      </c>
      <c r="E128" s="10">
        <f ca="1">SUMIFS(E$3:E$64,$A$3:$A$64,$A128,$D$3:$D$64,$B128)*SUMIF('RES balance'!$D$5:$D$25,'RES Assumptions'!$A128,'RES balance'!E$5:E$25)*IFERROR(VLOOKUP($C128,$C$68:$AH$83,E$67,FALSE),1)</f>
        <v>10.27509435855</v>
      </c>
      <c r="F128" s="10">
        <f ca="1">SUMIFS(F$3:F$64,$A$3:$A$64,$A128,$D$3:$D$64,$B128)*SUMIF('RES balance'!$D$5:$D$25,'RES Assumptions'!$A128,'RES balance'!F$5:F$25)*IFERROR(VLOOKUP($C128,$C$68:$AH$83,F$67,FALSE),1)</f>
        <v>6.9101763869699999</v>
      </c>
      <c r="G128" s="10">
        <f ca="1">SUMIFS(G$3:G$64,$A$3:$A$64,$A128,$D$3:$D$64,$B128)*SUMIF('RES balance'!$D$5:$D$25,'RES Assumptions'!$A128,'RES balance'!G$5:G$25)*IFERROR(VLOOKUP($C128,$C$68:$AH$83,G$67,FALSE),1)</f>
        <v>5.9799044614176298</v>
      </c>
      <c r="H128" s="10">
        <f ca="1">SUMIFS(H$3:H$64,$A$3:$A$64,$A128,$D$3:$D$64,$B128)*SUMIF('RES balance'!$D$5:$D$25,'RES Assumptions'!$A128,'RES balance'!H$5:H$25)*IFERROR(VLOOKUP($C128,$C$68:$AH$83,H$67,FALSE),1)</f>
        <v>5.2160431730716814</v>
      </c>
      <c r="I128" s="10">
        <f ca="1">SUMIFS(I$3:I$64,$A$3:$A$64,$A128,$D$3:$D$64,$B128)*SUMIF('RES balance'!$D$5:$D$25,'RES Assumptions'!$A128,'RES balance'!I$5:I$25)*IFERROR(VLOOKUP($C128,$C$68:$AH$83,I$67,FALSE),1)</f>
        <v>0</v>
      </c>
      <c r="J128" s="10">
        <f ca="1">SUMIFS(J$3:J$64,$A$3:$A$64,$A128,$D$3:$D$64,$B128)*SUMIF('RES balance'!$D$5:$D$25,'RES Assumptions'!$A128,'RES balance'!J$5:J$25)*IFERROR(VLOOKUP($C128,$C$68:$AH$83,J$67,FALSE),1)</f>
        <v>44.015728383464818</v>
      </c>
      <c r="K128" s="10">
        <f ca="1">SUMIFS(K$3:K$64,$A$3:$A$64,$A128,$D$3:$D$64,$B128)*SUMIF('RES balance'!$D$5:$D$25,'RES Assumptions'!$A128,'RES balance'!K$5:K$25)*IFERROR(VLOOKUP($C128,$C$68:$AH$83,K$67,FALSE),1)</f>
        <v>8.7083269216878048</v>
      </c>
      <c r="L128" s="10">
        <f ca="1">SUMIFS(L$3:L$64,$A$3:$A$64,$A128,$D$3:$D$64,$B128)*SUMIF('RES balance'!$D$5:$D$25,'RES Assumptions'!$A128,'RES balance'!L$5:L$25)*IFERROR(VLOOKUP($C128,$C$68:$AH$83,L$67,FALSE),1)</f>
        <v>15.018464596086051</v>
      </c>
      <c r="M128" s="10">
        <f ca="1">SUMIFS(M$3:M$64,$A$3:$A$64,$A128,$D$3:$D$64,$B128)*SUMIF('RES balance'!$D$5:$D$25,'RES Assumptions'!$A128,'RES balance'!M$5:M$25)*IFERROR(VLOOKUP($C128,$C$68:$AH$83,M$67,FALSE),1)</f>
        <v>16.779591120044845</v>
      </c>
      <c r="N128" s="10">
        <f ca="1">SUMIFS(N$3:N$64,$A$3:$A$64,$A128,$D$3:$D$64,$B128)*SUMIF('RES balance'!$D$5:$D$25,'RES Assumptions'!$A128,'RES balance'!N$5:N$25)*IFERROR(VLOOKUP($C128,$C$68:$AH$83,N$67,FALSE),1)</f>
        <v>62.565256547607589</v>
      </c>
      <c r="O128" s="10">
        <f ca="1">SUMIFS(O$3:O$64,$A$3:$A$64,$A128,$D$3:$D$64,$B128)*SUMIF('RES balance'!$D$5:$D$25,'RES Assumptions'!$A128,'RES balance'!O$5:O$25)*IFERROR(VLOOKUP($C128,$C$68:$AH$83,O$67,FALSE),1)</f>
        <v>5.5962979475947847</v>
      </c>
      <c r="P128" s="10">
        <f ca="1">SUMIFS(P$3:P$64,$A$3:$A$64,$A128,$D$3:$D$64,$B128)*SUMIF('RES balance'!$D$5:$D$25,'RES Assumptions'!$A128,'RES balance'!P$5:P$25)*IFERROR(VLOOKUP($C128,$C$68:$AH$83,P$67,FALSE),1)</f>
        <v>0.35253643745386531</v>
      </c>
      <c r="Q128" s="10">
        <f ca="1">SUMIFS(Q$3:Q$64,$A$3:$A$64,$A128,$D$3:$D$64,$B128)*SUMIF('RES balance'!$D$5:$D$25,'RES Assumptions'!$A128,'RES balance'!Q$5:Q$25)*IFERROR(VLOOKUP($C128,$C$68:$AH$83,Q$67,FALSE),1)</f>
        <v>3.7099902202333852</v>
      </c>
      <c r="R128" s="10">
        <f ca="1">SUMIFS(R$3:R$64,$A$3:$A$64,$A128,$D$3:$D$64,$B128)*SUMIF('RES balance'!$D$5:$D$25,'RES Assumptions'!$A128,'RES balance'!R$5:R$25)*IFERROR(VLOOKUP($C128,$C$68:$AH$83,R$67,FALSE),1)</f>
        <v>6.2496867618933498</v>
      </c>
      <c r="S128" s="10">
        <f ca="1">SUMIFS(S$3:S$64,$A$3:$A$64,$A128,$D$3:$D$64,$B128)*SUMIF('RES balance'!$D$5:$D$25,'RES Assumptions'!$A128,'RES balance'!S$5:S$25)*IFERROR(VLOOKUP($C128,$C$68:$AH$83,S$67,FALSE),1)</f>
        <v>0.21165285186000737</v>
      </c>
      <c r="T128" s="10">
        <f ca="1">SUMIFS(T$3:T$64,$A$3:$A$64,$A128,$D$3:$D$64,$B128)*SUMIF('RES balance'!$D$5:$D$25,'RES Assumptions'!$A128,'RES balance'!T$5:T$25)*IFERROR(VLOOKUP($C128,$C$68:$AH$83,T$67,FALSE),1)</f>
        <v>6.294146432602223</v>
      </c>
      <c r="U128" s="10">
        <f ca="1">SUMIFS(U$3:U$64,$A$3:$A$64,$A128,$D$3:$D$64,$B128)*SUMIF('RES balance'!$D$5:$D$25,'RES Assumptions'!$A128,'RES balance'!U$5:U$25)*IFERROR(VLOOKUP($C128,$C$68:$AH$83,U$67,FALSE),1)</f>
        <v>5.130501020119044</v>
      </c>
      <c r="V128" s="10">
        <f ca="1">SUMIFS(V$3:V$64,$A$3:$A$64,$A128,$D$3:$D$64,$B128)*SUMIF('RES balance'!$D$5:$D$25,'RES Assumptions'!$A128,'RES balance'!V$5:V$25)*IFERROR(VLOOKUP($C128,$C$68:$AH$83,V$67,FALSE),1)</f>
        <v>11.661987609695208</v>
      </c>
      <c r="W128" s="10">
        <f ca="1">SUMIFS(W$3:W$64,$A$3:$A$64,$A128,$D$3:$D$64,$B128)*SUMIF('RES balance'!$D$5:$D$25,'RES Assumptions'!$A128,'RES balance'!W$5:W$25)*IFERROR(VLOOKUP($C128,$C$68:$AH$83,W$67,FALSE),1)</f>
        <v>9.2391500952547716</v>
      </c>
      <c r="X128" s="10">
        <f ca="1">SUMIFS(X$3:X$64,$A$3:$A$64,$A128,$D$3:$D$64,$B128)*SUMIF('RES balance'!$D$5:$D$25,'RES Assumptions'!$A128,'RES balance'!X$5:X$25)*IFERROR(VLOOKUP($C128,$C$68:$AH$83,X$67,FALSE),1)</f>
        <v>29.639844927969062</v>
      </c>
      <c r="Y128" s="10">
        <f ca="1">SUMIFS(Y$3:Y$64,$A$3:$A$64,$A128,$D$3:$D$64,$B128)*SUMIF('RES balance'!$D$5:$D$25,'RES Assumptions'!$A128,'RES balance'!Y$5:Y$25)*IFERROR(VLOOKUP($C128,$C$68:$AH$83,Y$67,FALSE),1)</f>
        <v>11.997936862724973</v>
      </c>
      <c r="Z128" s="10">
        <f ca="1">SUMIFS(Z$3:Z$64,$A$3:$A$64,$A128,$D$3:$D$64,$B128)*SUMIF('RES balance'!$D$5:$D$25,'RES Assumptions'!$A128,'RES balance'!Z$5:Z$25)*IFERROR(VLOOKUP($C128,$C$68:$AH$83,Z$67,FALSE),1)</f>
        <v>12.136695256104341</v>
      </c>
      <c r="AA128" s="10">
        <f ca="1">SUMIFS(AA$3:AA$64,$A$3:$A$64,$A128,$D$3:$D$64,$B128)*SUMIF('RES balance'!$D$5:$D$25,'RES Assumptions'!$A128,'RES balance'!AA$5:AA$25)*IFERROR(VLOOKUP($C128,$C$68:$AH$83,AA$67,FALSE),1)</f>
        <v>9.3341417309248715</v>
      </c>
      <c r="AB128" s="10">
        <f ca="1">SUMIFS(AB$3:AB$64,$A$3:$A$64,$A128,$D$3:$D$64,$B128)*SUMIF('RES balance'!$D$5:$D$25,'RES Assumptions'!$A128,'RES balance'!AB$5:AB$25)*IFERROR(VLOOKUP($C128,$C$68:$AH$83,AB$67,FALSE),1)</f>
        <v>2.9895260010536977</v>
      </c>
      <c r="AC128" s="10">
        <f ca="1">SUMIFS(AC$3:AC$64,$A$3:$A$64,$A128,$D$3:$D$64,$B128)*SUMIF('RES balance'!$D$5:$D$25,'RES Assumptions'!$A128,'RES balance'!AC$5:AC$25)*IFERROR(VLOOKUP($C128,$C$68:$AH$83,AC$67,FALSE),1)</f>
        <v>14.677201956217543</v>
      </c>
      <c r="AD128" s="10">
        <f ca="1">SUMIFS(AD$3:AD$64,$A$3:$A$64,$A128,$D$3:$D$64,$B128)*SUMIF('RES balance'!$D$5:$D$25,'RES Assumptions'!$A128,'RES balance'!AD$5:AD$25)*IFERROR(VLOOKUP($C128,$C$68:$AH$83,AD$67,FALSE),1)</f>
        <v>4.4815161620316051</v>
      </c>
      <c r="AE128" s="10">
        <f ca="1">SUMIFS(AE$3:AE$64,$A$3:$A$64,$A128,$D$3:$D$64,$B128)*SUMIF('RES balance'!$D$5:$D$25,'RES Assumptions'!$A128,'RES balance'!AE$5:AE$25)*IFERROR(VLOOKUP($C128,$C$68:$AH$83,AE$67,FALSE),1)</f>
        <v>4.3797704493600005</v>
      </c>
      <c r="AF128" s="10">
        <f ca="1">SUMIFS(AF$3:AF$64,$A$3:$A$64,$A128,$D$3:$D$64,$B128)*SUMIF('RES balance'!$D$5:$D$25,'RES Assumptions'!$A128,'RES balance'!AF$5:AF$25)*IFERROR(VLOOKUP($C128,$C$68:$AH$83,AF$67,FALSE),1)</f>
        <v>7.5806946244367621</v>
      </c>
      <c r="AG128" s="10">
        <f ca="1">SUMIFS(AG$3:AG$64,$A$3:$A$64,$A128,$D$3:$D$64,$B128)*SUMIF('RES balance'!$D$5:$D$25,'RES Assumptions'!$A128,'RES balance'!AG$5:AG$25)*IFERROR(VLOOKUP($C128,$C$68:$AH$83,AG$67,FALSE),1)</f>
        <v>260.22062218847611</v>
      </c>
      <c r="AH128" s="10">
        <f ca="1">SUMIFS(AH$3:AH$64,$A$3:$A$64,$A128,$D$3:$D$64,$B128)*SUMIF('RES balance'!$D$5:$D$25,'RES Assumptions'!$A128,'RES balance'!AH$5:AH$25)*IFERROR(VLOOKUP($C128,$C$68:$AH$83,AH$67,FALSE),1)</f>
        <v>0</v>
      </c>
    </row>
    <row r="129" spans="1:34" x14ac:dyDescent="0.45">
      <c r="A129" s="8" t="str">
        <f t="shared" si="26"/>
        <v>RESELC</v>
      </c>
      <c r="B129" s="8" t="str">
        <f t="shared" si="23"/>
        <v>RL</v>
      </c>
      <c r="C129" s="48" t="str">
        <f>SUBSTITUTE(SUBSTITUTE(SUBSTITUTE('RES Veda input'!B46,"1",""),"000",""),"RRF","RR")</f>
        <v>RLFLE</v>
      </c>
      <c r="E129" s="10">
        <f ca="1">SUMIFS(E$3:E$64,$A$3:$A$64,$A129,$D$3:$D$64,$B129)*SUMIF('RES balance'!$D$5:$D$25,'RES Assumptions'!$A129,'RES balance'!E$5:E$25)*IFERROR(VLOOKUP($C129,$C$68:$AH$83,E$67,FALSE),1)</f>
        <v>5.1375471792749998</v>
      </c>
      <c r="F129" s="10">
        <f ca="1">SUMIFS(F$3:F$64,$A$3:$A$64,$A129,$D$3:$D$64,$B129)*SUMIF('RES balance'!$D$5:$D$25,'RES Assumptions'!$A129,'RES balance'!F$5:F$25)*IFERROR(VLOOKUP($C129,$C$68:$AH$83,F$67,FALSE),1)</f>
        <v>3.455088193485</v>
      </c>
      <c r="G129" s="10">
        <f ca="1">SUMIFS(G$3:G$64,$A$3:$A$64,$A129,$D$3:$D$64,$B129)*SUMIF('RES balance'!$D$5:$D$25,'RES Assumptions'!$A129,'RES balance'!G$5:G$25)*IFERROR(VLOOKUP($C129,$C$68:$AH$83,G$67,FALSE),1)</f>
        <v>0.2989952230708815</v>
      </c>
      <c r="H129" s="10">
        <f ca="1">SUMIFS(H$3:H$64,$A$3:$A$64,$A129,$D$3:$D$64,$B129)*SUMIF('RES balance'!$D$5:$D$25,'RES Assumptions'!$A129,'RES balance'!H$5:H$25)*IFERROR(VLOOKUP($C129,$C$68:$AH$83,H$67,FALSE),1)</f>
        <v>1.7386810576905607</v>
      </c>
      <c r="I129" s="10">
        <f ca="1">SUMIFS(I$3:I$64,$A$3:$A$64,$A129,$D$3:$D$64,$B129)*SUMIF('RES balance'!$D$5:$D$25,'RES Assumptions'!$A129,'RES balance'!I$5:I$25)*IFERROR(VLOOKUP($C129,$C$68:$AH$83,I$67,FALSE),1)</f>
        <v>0</v>
      </c>
      <c r="J129" s="10">
        <f ca="1">SUMIFS(J$3:J$64,$A$3:$A$64,$A129,$D$3:$D$64,$B129)*SUMIF('RES balance'!$D$5:$D$25,'RES Assumptions'!$A129,'RES balance'!J$5:J$25)*IFERROR(VLOOKUP($C129,$C$68:$AH$83,J$67,FALSE),1)</f>
        <v>14.671909461154939</v>
      </c>
      <c r="K129" s="10">
        <f ca="1">SUMIFS(K$3:K$64,$A$3:$A$64,$A129,$D$3:$D$64,$B129)*SUMIF('RES balance'!$D$5:$D$25,'RES Assumptions'!$A129,'RES balance'!K$5:K$25)*IFERROR(VLOOKUP($C129,$C$68:$AH$83,K$67,FALSE),1)</f>
        <v>4.3541634608439024</v>
      </c>
      <c r="L129" s="10">
        <f ca="1">SUMIFS(L$3:L$64,$A$3:$A$64,$A129,$D$3:$D$64,$B129)*SUMIF('RES balance'!$D$5:$D$25,'RES Assumptions'!$A129,'RES balance'!L$5:L$25)*IFERROR(VLOOKUP($C129,$C$68:$AH$83,L$67,FALSE),1)</f>
        <v>0.75092322980430259</v>
      </c>
      <c r="M129" s="10">
        <f ca="1">SUMIFS(M$3:M$64,$A$3:$A$64,$A129,$D$3:$D$64,$B129)*SUMIF('RES balance'!$D$5:$D$25,'RES Assumptions'!$A129,'RES balance'!M$5:M$25)*IFERROR(VLOOKUP($C129,$C$68:$AH$83,M$67,FALSE),1)</f>
        <v>2.7965985200074748</v>
      </c>
      <c r="N129" s="10">
        <f ca="1">SUMIFS(N$3:N$64,$A$3:$A$64,$A129,$D$3:$D$64,$B129)*SUMIF('RES balance'!$D$5:$D$25,'RES Assumptions'!$A129,'RES balance'!N$5:N$25)*IFERROR(VLOOKUP($C129,$C$68:$AH$83,N$67,FALSE),1)</f>
        <v>47.966696686499148</v>
      </c>
      <c r="O129" s="10">
        <f ca="1">SUMIFS(O$3:O$64,$A$3:$A$64,$A129,$D$3:$D$64,$B129)*SUMIF('RES balance'!$D$5:$D$25,'RES Assumptions'!$A129,'RES balance'!O$5:O$25)*IFERROR(VLOOKUP($C129,$C$68:$AH$83,O$67,FALSE),1)</f>
        <v>1.3058028544387832</v>
      </c>
      <c r="P129" s="10">
        <f ca="1">SUMIFS(P$3:P$64,$A$3:$A$64,$A129,$D$3:$D$64,$B129)*SUMIF('RES balance'!$D$5:$D$25,'RES Assumptions'!$A129,'RES balance'!P$5:P$25)*IFERROR(VLOOKUP($C129,$C$68:$AH$83,P$67,FALSE),1)</f>
        <v>0.17626821872693266</v>
      </c>
      <c r="Q129" s="10">
        <f ca="1">SUMIFS(Q$3:Q$64,$A$3:$A$64,$A129,$D$3:$D$64,$B129)*SUMIF('RES balance'!$D$5:$D$25,'RES Assumptions'!$A129,'RES balance'!Q$5:Q$25)*IFERROR(VLOOKUP($C129,$C$68:$AH$83,Q$67,FALSE),1)</f>
        <v>0.86566438472112339</v>
      </c>
      <c r="R129" s="10">
        <f ca="1">SUMIFS(R$3:R$64,$A$3:$A$64,$A129,$D$3:$D$64,$B129)*SUMIF('RES balance'!$D$5:$D$25,'RES Assumptions'!$A129,'RES balance'!R$5:R$25)*IFERROR(VLOOKUP($C129,$C$68:$AH$83,R$67,FALSE),1)</f>
        <v>1.4582602444417818</v>
      </c>
      <c r="S129" s="10">
        <f ca="1">SUMIFS(S$3:S$64,$A$3:$A$64,$A129,$D$3:$D$64,$B129)*SUMIF('RES balance'!$D$5:$D$25,'RES Assumptions'!$A129,'RES balance'!S$5:S$25)*IFERROR(VLOOKUP($C129,$C$68:$AH$83,S$67,FALSE),1)</f>
        <v>0.10582642593000369</v>
      </c>
      <c r="T129" s="10">
        <f ca="1">SUMIFS(T$3:T$64,$A$3:$A$64,$A129,$D$3:$D$64,$B129)*SUMIF('RES balance'!$D$5:$D$25,'RES Assumptions'!$A129,'RES balance'!T$5:T$25)*IFERROR(VLOOKUP($C129,$C$68:$AH$83,T$67,FALSE),1)</f>
        <v>1.4686341676071855</v>
      </c>
      <c r="U129" s="10">
        <f ca="1">SUMIFS(U$3:U$64,$A$3:$A$64,$A129,$D$3:$D$64,$B129)*SUMIF('RES balance'!$D$5:$D$25,'RES Assumptions'!$A129,'RES balance'!U$5:U$25)*IFERROR(VLOOKUP($C129,$C$68:$AH$83,U$67,FALSE),1)</f>
        <v>2.565250510059522</v>
      </c>
      <c r="V129" s="10">
        <f ca="1">SUMIFS(V$3:V$64,$A$3:$A$64,$A129,$D$3:$D$64,$B129)*SUMIF('RES balance'!$D$5:$D$25,'RES Assumptions'!$A129,'RES balance'!V$5:V$25)*IFERROR(VLOOKUP($C129,$C$68:$AH$83,V$67,FALSE),1)</f>
        <v>2.7211304422622153</v>
      </c>
      <c r="W129" s="10">
        <f ca="1">SUMIFS(W$3:W$64,$A$3:$A$64,$A129,$D$3:$D$64,$B129)*SUMIF('RES balance'!$D$5:$D$25,'RES Assumptions'!$A129,'RES balance'!W$5:W$25)*IFERROR(VLOOKUP($C129,$C$68:$AH$83,W$67,FALSE),1)</f>
        <v>2.1558016888927805</v>
      </c>
      <c r="X129" s="10">
        <f ca="1">SUMIFS(X$3:X$64,$A$3:$A$64,$A129,$D$3:$D$64,$B129)*SUMIF('RES balance'!$D$5:$D$25,'RES Assumptions'!$A129,'RES balance'!X$5:X$25)*IFERROR(VLOOKUP($C129,$C$68:$AH$83,X$67,FALSE),1)</f>
        <v>59.279689855938123</v>
      </c>
      <c r="Y129" s="10">
        <f ca="1">SUMIFS(Y$3:Y$64,$A$3:$A$64,$A129,$D$3:$D$64,$B129)*SUMIF('RES balance'!$D$5:$D$25,'RES Assumptions'!$A129,'RES balance'!Y$5:Y$25)*IFERROR(VLOOKUP($C129,$C$68:$AH$83,Y$67,FALSE),1)</f>
        <v>0.59989684313624869</v>
      </c>
      <c r="Z129" s="10">
        <f ca="1">SUMIFS(Z$3:Z$64,$A$3:$A$64,$A129,$D$3:$D$64,$B129)*SUMIF('RES balance'!$D$5:$D$25,'RES Assumptions'!$A129,'RES balance'!Z$5:Z$25)*IFERROR(VLOOKUP($C129,$C$68:$AH$83,Z$67,FALSE),1)</f>
        <v>0.12136695256104341</v>
      </c>
      <c r="AA129" s="10">
        <f ca="1">SUMIFS(AA$3:AA$64,$A$3:$A$64,$A129,$D$3:$D$64,$B129)*SUMIF('RES balance'!$D$5:$D$25,'RES Assumptions'!$A129,'RES balance'!AA$5:AA$25)*IFERROR(VLOOKUP($C129,$C$68:$AH$83,AA$67,FALSE),1)</f>
        <v>4.6670708654624358</v>
      </c>
      <c r="AB129" s="10">
        <f ca="1">SUMIFS(AB$3:AB$64,$A$3:$A$64,$A129,$D$3:$D$64,$B129)*SUMIF('RES balance'!$D$5:$D$25,'RES Assumptions'!$A129,'RES balance'!AB$5:AB$25)*IFERROR(VLOOKUP($C129,$C$68:$AH$83,AB$67,FALSE),1)</f>
        <v>0.69755606691252958</v>
      </c>
      <c r="AC129" s="10">
        <f ca="1">SUMIFS(AC$3:AC$64,$A$3:$A$64,$A129,$D$3:$D$64,$B129)*SUMIF('RES balance'!$D$5:$D$25,'RES Assumptions'!$A129,'RES balance'!AC$5:AC$25)*IFERROR(VLOOKUP($C129,$C$68:$AH$83,AC$67,FALSE),1)</f>
        <v>4.8924006520725145</v>
      </c>
      <c r="AD129" s="10">
        <f ca="1">SUMIFS(AD$3:AD$64,$A$3:$A$64,$A129,$D$3:$D$64,$B129)*SUMIF('RES balance'!$D$5:$D$25,'RES Assumptions'!$A129,'RES balance'!AD$5:AD$25)*IFERROR(VLOOKUP($C129,$C$68:$AH$83,AD$67,FALSE),1)</f>
        <v>2.2407580810158025</v>
      </c>
      <c r="AE129" s="10">
        <f ca="1">SUMIFS(AE$3:AE$64,$A$3:$A$64,$A129,$D$3:$D$64,$B129)*SUMIF('RES balance'!$D$5:$D$25,'RES Assumptions'!$A129,'RES balance'!AE$5:AE$25)*IFERROR(VLOOKUP($C129,$C$68:$AH$83,AE$67,FALSE),1)</f>
        <v>2.1898852246800002</v>
      </c>
      <c r="AF129" s="10">
        <f ca="1">SUMIFS(AF$3:AF$64,$A$3:$A$64,$A129,$D$3:$D$64,$B129)*SUMIF('RES balance'!$D$5:$D$25,'RES Assumptions'!$A129,'RES balance'!AF$5:AF$25)*IFERROR(VLOOKUP($C129,$C$68:$AH$83,AF$67,FALSE),1)</f>
        <v>1.7688287457019114</v>
      </c>
      <c r="AG129" s="10">
        <f ca="1">SUMIFS(AG$3:AG$64,$A$3:$A$64,$A129,$D$3:$D$64,$B129)*SUMIF('RES balance'!$D$5:$D$25,'RES Assumptions'!$A129,'RES balance'!AG$5:AG$25)*IFERROR(VLOOKUP($C129,$C$68:$AH$83,AG$67,FALSE),1)</f>
        <v>60.718145177311101</v>
      </c>
      <c r="AH129" s="10">
        <f ca="1">SUMIFS(AH$3:AH$64,$A$3:$A$64,$A129,$D$3:$D$64,$B129)*SUMIF('RES balance'!$D$5:$D$25,'RES Assumptions'!$A129,'RES balance'!AH$5:AH$25)*IFERROR(VLOOKUP($C129,$C$68:$AH$83,AH$67,FALSE),1)</f>
        <v>0</v>
      </c>
    </row>
    <row r="130" spans="1:34" x14ac:dyDescent="0.45">
      <c r="A130" s="8" t="str">
        <f t="shared" si="26"/>
        <v>RESELC</v>
      </c>
      <c r="B130" s="8" t="str">
        <f t="shared" si="23"/>
        <v>RL</v>
      </c>
      <c r="C130" s="48" t="str">
        <f>SUBSTITUTE(SUBSTITUTE(SUBSTITUTE('RES Veda input'!B47,"1",""),"000",""),"RRF","RR")</f>
        <v>RLHAE</v>
      </c>
      <c r="E130" s="10">
        <f ca="1">SUMIFS(E$3:E$64,$A$3:$A$64,$A130,$D$3:$D$64,$B130)*SUMIF('RES balance'!$D$5:$D$25,'RES Assumptions'!$A130,'RES balance'!E$5:E$25)*IFERROR(VLOOKUP($C130,$C$68:$AH$83,E$67,FALSE),1)</f>
        <v>5.1375471792749998</v>
      </c>
      <c r="F130" s="10">
        <f ca="1">SUMIFS(F$3:F$64,$A$3:$A$64,$A130,$D$3:$D$64,$B130)*SUMIF('RES balance'!$D$5:$D$25,'RES Assumptions'!$A130,'RES balance'!F$5:F$25)*IFERROR(VLOOKUP($C130,$C$68:$AH$83,F$67,FALSE),1)</f>
        <v>3.455088193485</v>
      </c>
      <c r="G130" s="10">
        <f ca="1">SUMIFS(G$3:G$64,$A$3:$A$64,$A130,$D$3:$D$64,$B130)*SUMIF('RES balance'!$D$5:$D$25,'RES Assumptions'!$A130,'RES balance'!G$5:G$25)*IFERROR(VLOOKUP($C130,$C$68:$AH$83,G$67,FALSE),1)</f>
        <v>0</v>
      </c>
      <c r="H130" s="10">
        <f ca="1">SUMIFS(H$3:H$64,$A$3:$A$64,$A130,$D$3:$D$64,$B130)*SUMIF('RES balance'!$D$5:$D$25,'RES Assumptions'!$A130,'RES balance'!H$5:H$25)*IFERROR(VLOOKUP($C130,$C$68:$AH$83,H$67,FALSE),1)</f>
        <v>1.7386810576905607</v>
      </c>
      <c r="I130" s="10">
        <f ca="1">SUMIFS(I$3:I$64,$A$3:$A$64,$A130,$D$3:$D$64,$B130)*SUMIF('RES balance'!$D$5:$D$25,'RES Assumptions'!$A130,'RES balance'!I$5:I$25)*IFERROR(VLOOKUP($C130,$C$68:$AH$83,I$67,FALSE),1)</f>
        <v>0</v>
      </c>
      <c r="J130" s="10">
        <f ca="1">SUMIFS(J$3:J$64,$A$3:$A$64,$A130,$D$3:$D$64,$B130)*SUMIF('RES balance'!$D$5:$D$25,'RES Assumptions'!$A130,'RES balance'!J$5:J$25)*IFERROR(VLOOKUP($C130,$C$68:$AH$83,J$67,FALSE),1)</f>
        <v>14.671909461154939</v>
      </c>
      <c r="K130" s="10">
        <f ca="1">SUMIFS(K$3:K$64,$A$3:$A$64,$A130,$D$3:$D$64,$B130)*SUMIF('RES balance'!$D$5:$D$25,'RES Assumptions'!$A130,'RES balance'!K$5:K$25)*IFERROR(VLOOKUP($C130,$C$68:$AH$83,K$67,FALSE),1)</f>
        <v>1.4513878202813009</v>
      </c>
      <c r="L130" s="10">
        <f ca="1">SUMIFS(L$3:L$64,$A$3:$A$64,$A130,$D$3:$D$64,$B130)*SUMIF('RES balance'!$D$5:$D$25,'RES Assumptions'!$A130,'RES balance'!L$5:L$25)*IFERROR(VLOOKUP($C130,$C$68:$AH$83,L$67,FALSE),1)</f>
        <v>0</v>
      </c>
      <c r="M130" s="10">
        <f ca="1">SUMIFS(M$3:M$64,$A$3:$A$64,$A130,$D$3:$D$64,$B130)*SUMIF('RES balance'!$D$5:$D$25,'RES Assumptions'!$A130,'RES balance'!M$5:M$25)*IFERROR(VLOOKUP($C130,$C$68:$AH$83,M$67,FALSE),1)</f>
        <v>5.5931970400149496</v>
      </c>
      <c r="N130" s="10">
        <f ca="1">SUMIFS(N$3:N$64,$A$3:$A$64,$A130,$D$3:$D$64,$B130)*SUMIF('RES balance'!$D$5:$D$25,'RES Assumptions'!$A130,'RES balance'!N$5:N$25)*IFERROR(VLOOKUP($C130,$C$68:$AH$83,N$67,FALSE),1)</f>
        <v>8.7591359166650626</v>
      </c>
      <c r="O130" s="10">
        <f ca="1">SUMIFS(O$3:O$64,$A$3:$A$64,$A130,$D$3:$D$64,$B130)*SUMIF('RES balance'!$D$5:$D$25,'RES Assumptions'!$A130,'RES balance'!O$5:O$25)*IFERROR(VLOOKUP($C130,$C$68:$AH$83,O$67,FALSE),1)</f>
        <v>0.7461730596793047</v>
      </c>
      <c r="P130" s="10">
        <f ca="1">SUMIFS(P$3:P$64,$A$3:$A$64,$A130,$D$3:$D$64,$B130)*SUMIF('RES balance'!$D$5:$D$25,'RES Assumptions'!$A130,'RES balance'!P$5:P$25)*IFERROR(VLOOKUP($C130,$C$68:$AH$83,P$67,FALSE),1)</f>
        <v>0.17626821872693266</v>
      </c>
      <c r="Q130" s="10">
        <f ca="1">SUMIFS(Q$3:Q$64,$A$3:$A$64,$A130,$D$3:$D$64,$B130)*SUMIF('RES balance'!$D$5:$D$25,'RES Assumptions'!$A130,'RES balance'!Q$5:Q$25)*IFERROR(VLOOKUP($C130,$C$68:$AH$83,Q$67,FALSE),1)</f>
        <v>0.49466536269778472</v>
      </c>
      <c r="R130" s="10">
        <f ca="1">SUMIFS(R$3:R$64,$A$3:$A$64,$A130,$D$3:$D$64,$B130)*SUMIF('RES balance'!$D$5:$D$25,'RES Assumptions'!$A130,'RES balance'!R$5:R$25)*IFERROR(VLOOKUP($C130,$C$68:$AH$83,R$67,FALSE),1)</f>
        <v>0.83329156825244666</v>
      </c>
      <c r="S130" s="10">
        <f ca="1">SUMIFS(S$3:S$64,$A$3:$A$64,$A130,$D$3:$D$64,$B130)*SUMIF('RES balance'!$D$5:$D$25,'RES Assumptions'!$A130,'RES balance'!S$5:S$25)*IFERROR(VLOOKUP($C130,$C$68:$AH$83,S$67,FALSE),1)</f>
        <v>0.10582642593000369</v>
      </c>
      <c r="T130" s="10">
        <f ca="1">SUMIFS(T$3:T$64,$A$3:$A$64,$A130,$D$3:$D$64,$B130)*SUMIF('RES balance'!$D$5:$D$25,'RES Assumptions'!$A130,'RES balance'!T$5:T$25)*IFERROR(VLOOKUP($C130,$C$68:$AH$83,T$67,FALSE),1)</f>
        <v>0.83921952434696312</v>
      </c>
      <c r="U130" s="10">
        <f ca="1">SUMIFS(U$3:U$64,$A$3:$A$64,$A130,$D$3:$D$64,$B130)*SUMIF('RES balance'!$D$5:$D$25,'RES Assumptions'!$A130,'RES balance'!U$5:U$25)*IFERROR(VLOOKUP($C130,$C$68:$AH$83,U$67,FALSE),1)</f>
        <v>2.565250510059522</v>
      </c>
      <c r="V130" s="10">
        <f ca="1">SUMIFS(V$3:V$64,$A$3:$A$64,$A130,$D$3:$D$64,$B130)*SUMIF('RES balance'!$D$5:$D$25,'RES Assumptions'!$A130,'RES balance'!V$5:V$25)*IFERROR(VLOOKUP($C130,$C$68:$AH$83,V$67,FALSE),1)</f>
        <v>1.5549316812926943</v>
      </c>
      <c r="W130" s="10">
        <f ca="1">SUMIFS(W$3:W$64,$A$3:$A$64,$A130,$D$3:$D$64,$B130)*SUMIF('RES balance'!$D$5:$D$25,'RES Assumptions'!$A130,'RES balance'!W$5:W$25)*IFERROR(VLOOKUP($C130,$C$68:$AH$83,W$67,FALSE),1)</f>
        <v>1.2318866793673029</v>
      </c>
      <c r="X130" s="10">
        <f ca="1">SUMIFS(X$3:X$64,$A$3:$A$64,$A130,$D$3:$D$64,$B130)*SUMIF('RES balance'!$D$5:$D$25,'RES Assumptions'!$A130,'RES balance'!X$5:X$25)*IFERROR(VLOOKUP($C130,$C$68:$AH$83,X$67,FALSE),1)</f>
        <v>0</v>
      </c>
      <c r="Y130" s="10">
        <f ca="1">SUMIFS(Y$3:Y$64,$A$3:$A$64,$A130,$D$3:$D$64,$B130)*SUMIF('RES balance'!$D$5:$D$25,'RES Assumptions'!$A130,'RES balance'!Y$5:Y$25)*IFERROR(VLOOKUP($C130,$C$68:$AH$83,Y$67,FALSE),1)</f>
        <v>0</v>
      </c>
      <c r="Z130" s="10">
        <f ca="1">SUMIFS(Z$3:Z$64,$A$3:$A$64,$A130,$D$3:$D$64,$B130)*SUMIF('RES balance'!$D$5:$D$25,'RES Assumptions'!$A130,'RES balance'!Z$5:Z$25)*IFERROR(VLOOKUP($C130,$C$68:$AH$83,Z$67,FALSE),1)</f>
        <v>0</v>
      </c>
      <c r="AA130" s="10">
        <f ca="1">SUMIFS(AA$3:AA$64,$A$3:$A$64,$A130,$D$3:$D$64,$B130)*SUMIF('RES balance'!$D$5:$D$25,'RES Assumptions'!$A130,'RES balance'!AA$5:AA$25)*IFERROR(VLOOKUP($C130,$C$68:$AH$83,AA$67,FALSE),1)</f>
        <v>4.6670708654624358</v>
      </c>
      <c r="AB130" s="10">
        <f ca="1">SUMIFS(AB$3:AB$64,$A$3:$A$64,$A130,$D$3:$D$64,$B130)*SUMIF('RES balance'!$D$5:$D$25,'RES Assumptions'!$A130,'RES balance'!AB$5:AB$25)*IFERROR(VLOOKUP($C130,$C$68:$AH$83,AB$67,FALSE),1)</f>
        <v>0.39860346680715969</v>
      </c>
      <c r="AC130" s="10">
        <f ca="1">SUMIFS(AC$3:AC$64,$A$3:$A$64,$A130,$D$3:$D$64,$B130)*SUMIF('RES balance'!$D$5:$D$25,'RES Assumptions'!$A130,'RES balance'!AC$5:AC$25)*IFERROR(VLOOKUP($C130,$C$68:$AH$83,AC$67,FALSE),1)</f>
        <v>4.8924006520725145</v>
      </c>
      <c r="AD130" s="10">
        <f ca="1">SUMIFS(AD$3:AD$64,$A$3:$A$64,$A130,$D$3:$D$64,$B130)*SUMIF('RES balance'!$D$5:$D$25,'RES Assumptions'!$A130,'RES balance'!AD$5:AD$25)*IFERROR(VLOOKUP($C130,$C$68:$AH$83,AD$67,FALSE),1)</f>
        <v>2.2407580810158025</v>
      </c>
      <c r="AE130" s="10">
        <f ca="1">SUMIFS(AE$3:AE$64,$A$3:$A$64,$A130,$D$3:$D$64,$B130)*SUMIF('RES balance'!$D$5:$D$25,'RES Assumptions'!$A130,'RES balance'!AE$5:AE$25)*IFERROR(VLOOKUP($C130,$C$68:$AH$83,AE$67,FALSE),1)</f>
        <v>2.1898852246800002</v>
      </c>
      <c r="AF130" s="10">
        <f ca="1">SUMIFS(AF$3:AF$64,$A$3:$A$64,$A130,$D$3:$D$64,$B130)*SUMIF('RES balance'!$D$5:$D$25,'RES Assumptions'!$A130,'RES balance'!AF$5:AF$25)*IFERROR(VLOOKUP($C130,$C$68:$AH$83,AF$67,FALSE),1)</f>
        <v>1.0107592832582351</v>
      </c>
      <c r="AG130" s="10">
        <f ca="1">SUMIFS(AG$3:AG$64,$A$3:$A$64,$A130,$D$3:$D$64,$B130)*SUMIF('RES balance'!$D$5:$D$25,'RES Assumptions'!$A130,'RES balance'!AG$5:AG$25)*IFERROR(VLOOKUP($C130,$C$68:$AH$83,AG$67,FALSE),1)</f>
        <v>34.696082958463485</v>
      </c>
      <c r="AH130" s="10">
        <f ca="1">SUMIFS(AH$3:AH$64,$A$3:$A$64,$A130,$D$3:$D$64,$B130)*SUMIF('RES balance'!$D$5:$D$25,'RES Assumptions'!$A130,'RES balance'!AH$5:AH$25)*IFERROR(VLOOKUP($C130,$C$68:$AH$83,AH$67,FALSE),1)</f>
        <v>0</v>
      </c>
    </row>
    <row r="131" spans="1:34" x14ac:dyDescent="0.45">
      <c r="A131" s="8" t="str">
        <f t="shared" si="26"/>
        <v>RESELC</v>
      </c>
      <c r="B131" s="8" t="str">
        <f t="shared" si="23"/>
        <v>RL</v>
      </c>
      <c r="C131" s="48" t="str">
        <f>SUBSTITUTE(SUBSTITUTE(SUBSTITUTE('RES Veda input'!B48,"1",""),"000",""),"RRF","RR")</f>
        <v>RLICE</v>
      </c>
      <c r="E131" s="10">
        <f ca="1">SUMIFS(E$3:E$64,$A$3:$A$64,$A131,$D$3:$D$64,$B131)*SUMIF('RES balance'!$D$5:$D$25,'RES Assumptions'!$A131,'RES balance'!E$5:E$25)*IFERROR(VLOOKUP($C131,$C$68:$AH$83,E$67,FALSE),1)</f>
        <v>82.200754868399997</v>
      </c>
      <c r="F131" s="10">
        <f ca="1">SUMIFS(F$3:F$64,$A$3:$A$64,$A131,$D$3:$D$64,$B131)*SUMIF('RES balance'!$D$5:$D$25,'RES Assumptions'!$A131,'RES balance'!F$5:F$25)*IFERROR(VLOOKUP($C131,$C$68:$AH$83,F$67,FALSE),1)</f>
        <v>55.281411095759999</v>
      </c>
      <c r="G131" s="10">
        <f ca="1">SUMIFS(G$3:G$64,$A$3:$A$64,$A131,$D$3:$D$64,$B131)*SUMIF('RES balance'!$D$5:$D$25,'RES Assumptions'!$A131,'RES balance'!G$5:G$25)*IFERROR(VLOOKUP($C131,$C$68:$AH$83,G$67,FALSE),1)</f>
        <v>23.620622622599637</v>
      </c>
      <c r="H131" s="10">
        <f ca="1">SUMIFS(H$3:H$64,$A$3:$A$64,$A131,$D$3:$D$64,$B131)*SUMIF('RES balance'!$D$5:$D$25,'RES Assumptions'!$A131,'RES balance'!H$5:H$25)*IFERROR(VLOOKUP($C131,$C$68:$AH$83,H$67,FALSE),1)</f>
        <v>26.080215865358412</v>
      </c>
      <c r="I131" s="10">
        <f ca="1">SUMIFS(I$3:I$64,$A$3:$A$64,$A131,$D$3:$D$64,$B131)*SUMIF('RES balance'!$D$5:$D$25,'RES Assumptions'!$A131,'RES balance'!I$5:I$25)*IFERROR(VLOOKUP($C131,$C$68:$AH$83,I$67,FALSE),1)</f>
        <v>0</v>
      </c>
      <c r="J131" s="10">
        <f ca="1">SUMIFS(J$3:J$64,$A$3:$A$64,$A131,$D$3:$D$64,$B131)*SUMIF('RES balance'!$D$5:$D$25,'RES Assumptions'!$A131,'RES balance'!J$5:J$25)*IFERROR(VLOOKUP($C131,$C$68:$AH$83,J$67,FALSE),1)</f>
        <v>220.07864191732409</v>
      </c>
      <c r="K131" s="10">
        <f ca="1">SUMIFS(K$3:K$64,$A$3:$A$64,$A131,$D$3:$D$64,$B131)*SUMIF('RES balance'!$D$5:$D$25,'RES Assumptions'!$A131,'RES balance'!K$5:K$25)*IFERROR(VLOOKUP($C131,$C$68:$AH$83,K$67,FALSE),1)</f>
        <v>14.513878202813007</v>
      </c>
      <c r="L131" s="10">
        <f ca="1">SUMIFS(L$3:L$64,$A$3:$A$64,$A131,$D$3:$D$64,$B131)*SUMIF('RES balance'!$D$5:$D$25,'RES Assumptions'!$A131,'RES balance'!L$5:L$25)*IFERROR(VLOOKUP($C131,$C$68:$AH$83,L$67,FALSE),1)</f>
        <v>59.322935154539906</v>
      </c>
      <c r="M131" s="10">
        <f ca="1">SUMIFS(M$3:M$64,$A$3:$A$64,$A131,$D$3:$D$64,$B131)*SUMIF('RES balance'!$D$5:$D$25,'RES Assumptions'!$A131,'RES balance'!M$5:M$25)*IFERROR(VLOOKUP($C131,$C$68:$AH$83,M$67,FALSE),1)</f>
        <v>30.762583720082223</v>
      </c>
      <c r="N131" s="10">
        <f ca="1">SUMIFS(N$3:N$64,$A$3:$A$64,$A131,$D$3:$D$64,$B131)*SUMIF('RES balance'!$D$5:$D$25,'RES Assumptions'!$A131,'RES balance'!N$5:N$25)*IFERROR(VLOOKUP($C131,$C$68:$AH$83,N$67,FALSE),1)</f>
        <v>89.259766007920177</v>
      </c>
      <c r="O131" s="10">
        <f ca="1">SUMIFS(O$3:O$64,$A$3:$A$64,$A131,$D$3:$D$64,$B131)*SUMIF('RES balance'!$D$5:$D$25,'RES Assumptions'!$A131,'RES balance'!O$5:O$25)*IFERROR(VLOOKUP($C131,$C$68:$AH$83,O$67,FALSE),1)</f>
        <v>11.006052630269743</v>
      </c>
      <c r="P131" s="10">
        <f ca="1">SUMIFS(P$3:P$64,$A$3:$A$64,$A131,$D$3:$D$64,$B131)*SUMIF('RES balance'!$D$5:$D$25,'RES Assumptions'!$A131,'RES balance'!P$5:P$25)*IFERROR(VLOOKUP($C131,$C$68:$AH$83,P$67,FALSE),1)</f>
        <v>2.8202914996309225</v>
      </c>
      <c r="Q131" s="10">
        <f ca="1">SUMIFS(Q$3:Q$64,$A$3:$A$64,$A131,$D$3:$D$64,$B131)*SUMIF('RES balance'!$D$5:$D$25,'RES Assumptions'!$A131,'RES balance'!Q$5:Q$25)*IFERROR(VLOOKUP($C131,$C$68:$AH$83,Q$67,FALSE),1)</f>
        <v>7.2963140997923244</v>
      </c>
      <c r="R131" s="10">
        <f ca="1">SUMIFS(R$3:R$64,$A$3:$A$64,$A131,$D$3:$D$64,$B131)*SUMIF('RES balance'!$D$5:$D$25,'RES Assumptions'!$A131,'RES balance'!R$5:R$25)*IFERROR(VLOOKUP($C131,$C$68:$AH$83,R$67,FALSE),1)</f>
        <v>12.291050631723587</v>
      </c>
      <c r="S131" s="10">
        <f ca="1">SUMIFS(S$3:S$64,$A$3:$A$64,$A131,$D$3:$D$64,$B131)*SUMIF('RES balance'!$D$5:$D$25,'RES Assumptions'!$A131,'RES balance'!S$5:S$25)*IFERROR(VLOOKUP($C131,$C$68:$AH$83,S$67,FALSE),1)</f>
        <v>1.693222814880059</v>
      </c>
      <c r="T131" s="10">
        <f ca="1">SUMIFS(T$3:T$64,$A$3:$A$64,$A131,$D$3:$D$64,$B131)*SUMIF('RES balance'!$D$5:$D$25,'RES Assumptions'!$A131,'RES balance'!T$5:T$25)*IFERROR(VLOOKUP($C131,$C$68:$AH$83,T$67,FALSE),1)</f>
        <v>12.378487984117704</v>
      </c>
      <c r="U131" s="10">
        <f ca="1">SUMIFS(U$3:U$64,$A$3:$A$64,$A131,$D$3:$D$64,$B131)*SUMIF('RES balance'!$D$5:$D$25,'RES Assumptions'!$A131,'RES balance'!U$5:U$25)*IFERROR(VLOOKUP($C131,$C$68:$AH$83,U$67,FALSE),1)</f>
        <v>41.044008160952352</v>
      </c>
      <c r="V131" s="10">
        <f ca="1">SUMIFS(V$3:V$64,$A$3:$A$64,$A131,$D$3:$D$64,$B131)*SUMIF('RES balance'!$D$5:$D$25,'RES Assumptions'!$A131,'RES balance'!V$5:V$25)*IFERROR(VLOOKUP($C131,$C$68:$AH$83,V$67,FALSE),1)</f>
        <v>22.935242299067241</v>
      </c>
      <c r="W131" s="10">
        <f ca="1">SUMIFS(W$3:W$64,$A$3:$A$64,$A131,$D$3:$D$64,$B131)*SUMIF('RES balance'!$D$5:$D$25,'RES Assumptions'!$A131,'RES balance'!W$5:W$25)*IFERROR(VLOOKUP($C131,$C$68:$AH$83,W$67,FALSE),1)</f>
        <v>18.170328520667717</v>
      </c>
      <c r="X131" s="10">
        <f ca="1">SUMIFS(X$3:X$64,$A$3:$A$64,$A131,$D$3:$D$64,$B131)*SUMIF('RES balance'!$D$5:$D$25,'RES Assumptions'!$A131,'RES balance'!X$5:X$25)*IFERROR(VLOOKUP($C131,$C$68:$AH$83,X$67,FALSE),1)</f>
        <v>108.67943140255323</v>
      </c>
      <c r="Y131" s="10">
        <f ca="1">SUMIFS(Y$3:Y$64,$A$3:$A$64,$A131,$D$3:$D$64,$B131)*SUMIF('RES balance'!$D$5:$D$25,'RES Assumptions'!$A131,'RES balance'!Y$5:Y$25)*IFERROR(VLOOKUP($C131,$C$68:$AH$83,Y$67,FALSE),1)</f>
        <v>47.391850607763644</v>
      </c>
      <c r="Z131" s="10">
        <f ca="1">SUMIFS(Z$3:Z$64,$A$3:$A$64,$A131,$D$3:$D$64,$B131)*SUMIF('RES balance'!$D$5:$D$25,'RES Assumptions'!$A131,'RES balance'!Z$5:Z$25)*IFERROR(VLOOKUP($C131,$C$68:$AH$83,Z$67,FALSE),1)</f>
        <v>48.425414071856324</v>
      </c>
      <c r="AA131" s="10">
        <f ca="1">SUMIFS(AA$3:AA$64,$A$3:$A$64,$A131,$D$3:$D$64,$B131)*SUMIF('RES balance'!$D$5:$D$25,'RES Assumptions'!$A131,'RES balance'!AA$5:AA$25)*IFERROR(VLOOKUP($C131,$C$68:$AH$83,AA$67,FALSE),1)</f>
        <v>74.673133847398972</v>
      </c>
      <c r="AB131" s="10">
        <f ca="1">SUMIFS(AB$3:AB$64,$A$3:$A$64,$A131,$D$3:$D$64,$B131)*SUMIF('RES balance'!$D$5:$D$25,'RES Assumptions'!$A131,'RES balance'!AB$5:AB$25)*IFERROR(VLOOKUP($C131,$C$68:$AH$83,AB$67,FALSE),1)</f>
        <v>5.8794011354056055</v>
      </c>
      <c r="AC131" s="10">
        <f ca="1">SUMIFS(AC$3:AC$64,$A$3:$A$64,$A131,$D$3:$D$64,$B131)*SUMIF('RES balance'!$D$5:$D$25,'RES Assumptions'!$A131,'RES balance'!AC$5:AC$25)*IFERROR(VLOOKUP($C131,$C$68:$AH$83,AC$67,FALSE),1)</f>
        <v>73.386009781087722</v>
      </c>
      <c r="AD131" s="10">
        <f ca="1">SUMIFS(AD$3:AD$64,$A$3:$A$64,$A131,$D$3:$D$64,$B131)*SUMIF('RES balance'!$D$5:$D$25,'RES Assumptions'!$A131,'RES balance'!AD$5:AD$25)*IFERROR(VLOOKUP($C131,$C$68:$AH$83,AD$67,FALSE),1)</f>
        <v>35.852129296252841</v>
      </c>
      <c r="AE131" s="10">
        <f ca="1">SUMIFS(AE$3:AE$64,$A$3:$A$64,$A131,$D$3:$D$64,$B131)*SUMIF('RES balance'!$D$5:$D$25,'RES Assumptions'!$A131,'RES balance'!AE$5:AE$25)*IFERROR(VLOOKUP($C131,$C$68:$AH$83,AE$67,FALSE),1)</f>
        <v>35.038163594880004</v>
      </c>
      <c r="AF131" s="10">
        <f ca="1">SUMIFS(AF$3:AF$64,$A$3:$A$64,$A131,$D$3:$D$64,$B131)*SUMIF('RES balance'!$D$5:$D$25,'RES Assumptions'!$A131,'RES balance'!AF$5:AF$25)*IFERROR(VLOOKUP($C131,$C$68:$AH$83,AF$67,FALSE),1)</f>
        <v>14.908699428058965</v>
      </c>
      <c r="AG131" s="10">
        <f ca="1">SUMIFS(AG$3:AG$64,$A$3:$A$64,$A131,$D$3:$D$64,$B131)*SUMIF('RES balance'!$D$5:$D$25,'RES Assumptions'!$A131,'RES balance'!AG$5:AG$25)*IFERROR(VLOOKUP($C131,$C$68:$AH$83,AG$67,FALSE),1)</f>
        <v>511.76722363733637</v>
      </c>
      <c r="AH131" s="10">
        <f ca="1">SUMIFS(AH$3:AH$64,$A$3:$A$64,$A131,$D$3:$D$64,$B131)*SUMIF('RES balance'!$D$5:$D$25,'RES Assumptions'!$A131,'RES balance'!AH$5:AH$25)*IFERROR(VLOOKUP($C131,$C$68:$AH$83,AH$67,FALSE),1)</f>
        <v>0</v>
      </c>
    </row>
    <row r="132" spans="1:34" x14ac:dyDescent="0.45">
      <c r="A132" s="8" t="str">
        <f t="shared" si="26"/>
        <v>RESKER</v>
      </c>
      <c r="B132" s="8" t="str">
        <f t="shared" si="23"/>
        <v>RL</v>
      </c>
      <c r="C132" s="48" t="str">
        <f>SUBSTITUTE(SUBSTITUTE(SUBSTITUTE('RES Veda input'!B49,"1",""),"000",""),"RRF","RR")</f>
        <v>RLKER</v>
      </c>
      <c r="E132" s="10">
        <f ca="1">SUMIFS(E$3:E$64,$A$3:$A$64,$A132,$D$3:$D$64,$B132)*SUMIF('RES balance'!$D$5:$D$25,'RES Assumptions'!$A132,'RES balance'!E$5:E$25)*IFERROR(VLOOKUP($C132,$C$68:$AH$83,E$67,FALSE),1)</f>
        <v>8.3413323659123351E-2</v>
      </c>
      <c r="F132" s="10">
        <f ca="1">SUMIFS(F$3:F$64,$A$3:$A$64,$A132,$D$3:$D$64,$B132)*SUMIF('RES balance'!$D$5:$D$25,'RES Assumptions'!$A132,'RES balance'!F$5:F$25)*IFERROR(VLOOKUP($C132,$C$68:$AH$83,F$67,FALSE),1)</f>
        <v>0.92097428764914102</v>
      </c>
      <c r="G132" s="10">
        <f ca="1">SUMIFS(G$3:G$64,$A$3:$A$64,$A132,$D$3:$D$64,$B132)*SUMIF('RES balance'!$D$5:$D$25,'RES Assumptions'!$A132,'RES balance'!G$5:G$25)*IFERROR(VLOOKUP($C132,$C$68:$AH$83,G$67,FALSE),1)</f>
        <v>1.0158768139882312E-3</v>
      </c>
      <c r="H132" s="10">
        <f ca="1">SUMIFS(H$3:H$64,$A$3:$A$64,$A132,$D$3:$D$64,$B132)*SUMIF('RES balance'!$D$5:$D$25,'RES Assumptions'!$A132,'RES balance'!H$5:H$25)*IFERROR(VLOOKUP($C132,$C$68:$AH$83,H$67,FALSE),1)</f>
        <v>0</v>
      </c>
      <c r="I132" s="10">
        <f ca="1">SUMIFS(I$3:I$64,$A$3:$A$64,$A132,$D$3:$D$64,$B132)*SUMIF('RES balance'!$D$5:$D$25,'RES Assumptions'!$A132,'RES balance'!I$5:I$25)*IFERROR(VLOOKUP($C132,$C$68:$AH$83,I$67,FALSE),1)</f>
        <v>0</v>
      </c>
      <c r="J132" s="10">
        <f ca="1">SUMIFS(J$3:J$64,$A$3:$A$64,$A132,$D$3:$D$64,$B132)*SUMIF('RES balance'!$D$5:$D$25,'RES Assumptions'!$A132,'RES balance'!J$5:J$25)*IFERROR(VLOOKUP($C132,$C$68:$AH$83,J$67,FALSE),1)</f>
        <v>0.20676779680833079</v>
      </c>
      <c r="K132" s="10">
        <f ca="1">SUMIFS(K$3:K$64,$A$3:$A$64,$A132,$D$3:$D$64,$B132)*SUMIF('RES balance'!$D$5:$D$25,'RES Assumptions'!$A132,'RES balance'!K$5:K$25)*IFERROR(VLOOKUP($C132,$C$68:$AH$83,K$67,FALSE),1)</f>
        <v>0</v>
      </c>
      <c r="L132" s="10">
        <f ca="1">SUMIFS(L$3:L$64,$A$3:$A$64,$A132,$D$3:$D$64,$B132)*SUMIF('RES balance'!$D$5:$D$25,'RES Assumptions'!$A132,'RES balance'!L$5:L$25)*IFERROR(VLOOKUP($C132,$C$68:$AH$83,L$67,FALSE),1)</f>
        <v>1.7918742432177257E-5</v>
      </c>
      <c r="M132" s="10">
        <f ca="1">SUMIFS(M$3:M$64,$A$3:$A$64,$A132,$D$3:$D$64,$B132)*SUMIF('RES balance'!$D$5:$D$25,'RES Assumptions'!$A132,'RES balance'!M$5:M$25)*IFERROR(VLOOKUP($C132,$C$68:$AH$83,M$67,FALSE),1)</f>
        <v>0</v>
      </c>
      <c r="N132" s="10">
        <f ca="1">SUMIFS(N$3:N$64,$A$3:$A$64,$A132,$D$3:$D$64,$B132)*SUMIF('RES balance'!$D$5:$D$25,'RES Assumptions'!$A132,'RES balance'!N$5:N$25)*IFERROR(VLOOKUP($C132,$C$68:$AH$83,N$67,FALSE),1)</f>
        <v>0</v>
      </c>
      <c r="O132" s="10">
        <f ca="1">SUMIFS(O$3:O$64,$A$3:$A$64,$A132,$D$3:$D$64,$B132)*SUMIF('RES balance'!$D$5:$D$25,'RES Assumptions'!$A132,'RES balance'!O$5:O$25)*IFERROR(VLOOKUP($C132,$C$68:$AH$83,O$67,FALSE),1)</f>
        <v>0</v>
      </c>
      <c r="P132" s="10">
        <f ca="1">SUMIFS(P$3:P$64,$A$3:$A$64,$A132,$D$3:$D$64,$B132)*SUMIF('RES balance'!$D$5:$D$25,'RES Assumptions'!$A132,'RES balance'!P$5:P$25)*IFERROR(VLOOKUP($C132,$C$68:$AH$83,P$67,FALSE),1)</f>
        <v>0</v>
      </c>
      <c r="Q132" s="10">
        <f ca="1">SUMIFS(Q$3:Q$64,$A$3:$A$64,$A132,$D$3:$D$64,$B132)*SUMIF('RES balance'!$D$5:$D$25,'RES Assumptions'!$A132,'RES balance'!Q$5:Q$25)*IFERROR(VLOOKUP($C132,$C$68:$AH$83,Q$67,FALSE),1)</f>
        <v>0</v>
      </c>
      <c r="R132" s="10">
        <f ca="1">SUMIFS(R$3:R$64,$A$3:$A$64,$A132,$D$3:$D$64,$B132)*SUMIF('RES balance'!$D$5:$D$25,'RES Assumptions'!$A132,'RES balance'!R$5:R$25)*IFERROR(VLOOKUP($C132,$C$68:$AH$83,R$67,FALSE),1)</f>
        <v>0</v>
      </c>
      <c r="S132" s="10">
        <f ca="1">SUMIFS(S$3:S$64,$A$3:$A$64,$A132,$D$3:$D$64,$B132)*SUMIF('RES balance'!$D$5:$D$25,'RES Assumptions'!$A132,'RES balance'!S$5:S$25)*IFERROR(VLOOKUP($C132,$C$68:$AH$83,S$67,FALSE),1)</f>
        <v>0</v>
      </c>
      <c r="T132" s="10">
        <f ca="1">SUMIFS(T$3:T$64,$A$3:$A$64,$A132,$D$3:$D$64,$B132)*SUMIF('RES balance'!$D$5:$D$25,'RES Assumptions'!$A132,'RES balance'!T$5:T$25)*IFERROR(VLOOKUP($C132,$C$68:$AH$83,T$67,FALSE),1)</f>
        <v>0</v>
      </c>
      <c r="U132" s="10">
        <f ca="1">SUMIFS(U$3:U$64,$A$3:$A$64,$A132,$D$3:$D$64,$B132)*SUMIF('RES balance'!$D$5:$D$25,'RES Assumptions'!$A132,'RES balance'!U$5:U$25)*IFERROR(VLOOKUP($C132,$C$68:$AH$83,U$67,FALSE),1)</f>
        <v>9.7158827774162194E-6</v>
      </c>
      <c r="V132" s="10">
        <f ca="1">SUMIFS(V$3:V$64,$A$3:$A$64,$A132,$D$3:$D$64,$B132)*SUMIF('RES balance'!$D$5:$D$25,'RES Assumptions'!$A132,'RES balance'!V$5:V$25)*IFERROR(VLOOKUP($C132,$C$68:$AH$83,V$67,FALSE),1)</f>
        <v>0</v>
      </c>
      <c r="W132" s="10">
        <f ca="1">SUMIFS(W$3:W$64,$A$3:$A$64,$A132,$D$3:$D$64,$B132)*SUMIF('RES balance'!$D$5:$D$25,'RES Assumptions'!$A132,'RES balance'!W$5:W$25)*IFERROR(VLOOKUP($C132,$C$68:$AH$83,W$67,FALSE),1)</f>
        <v>0</v>
      </c>
      <c r="X132" s="10">
        <f ca="1">SUMIFS(X$3:X$64,$A$3:$A$64,$A132,$D$3:$D$64,$B132)*SUMIF('RES balance'!$D$5:$D$25,'RES Assumptions'!$A132,'RES balance'!X$5:X$25)*IFERROR(VLOOKUP($C132,$C$68:$AH$83,X$67,FALSE),1)</f>
        <v>0</v>
      </c>
      <c r="Y132" s="10">
        <f ca="1">SUMIFS(Y$3:Y$64,$A$3:$A$64,$A132,$D$3:$D$64,$B132)*SUMIF('RES balance'!$D$5:$D$25,'RES Assumptions'!$A132,'RES balance'!Y$5:Y$25)*IFERROR(VLOOKUP($C132,$C$68:$AH$83,Y$67,FALSE),1)</f>
        <v>2.4357319242919264E-3</v>
      </c>
      <c r="Z132" s="10">
        <f ca="1">SUMIFS(Z$3:Z$64,$A$3:$A$64,$A132,$D$3:$D$64,$B132)*SUMIF('RES balance'!$D$5:$D$25,'RES Assumptions'!$A132,'RES balance'!Z$5:Z$25)*IFERROR(VLOOKUP($C132,$C$68:$AH$83,Z$67,FALSE),1)</f>
        <v>0</v>
      </c>
      <c r="AA132" s="10">
        <f ca="1">SUMIFS(AA$3:AA$64,$A$3:$A$64,$A132,$D$3:$D$64,$B132)*SUMIF('RES balance'!$D$5:$D$25,'RES Assumptions'!$A132,'RES balance'!AA$5:AA$25)*IFERROR(VLOOKUP($C132,$C$68:$AH$83,AA$67,FALSE),1)</f>
        <v>3.9898989021109194E-3</v>
      </c>
      <c r="AB132" s="10">
        <f ca="1">SUMIFS(AB$3:AB$64,$A$3:$A$64,$A132,$D$3:$D$64,$B132)*SUMIF('RES balance'!$D$5:$D$25,'RES Assumptions'!$A132,'RES balance'!AB$5:AB$25)*IFERROR(VLOOKUP($C132,$C$68:$AH$83,AB$67,FALSE),1)</f>
        <v>0</v>
      </c>
      <c r="AC132" s="10">
        <f ca="1">SUMIFS(AC$3:AC$64,$A$3:$A$64,$A132,$D$3:$D$64,$B132)*SUMIF('RES balance'!$D$5:$D$25,'RES Assumptions'!$A132,'RES balance'!AC$5:AC$25)*IFERROR(VLOOKUP($C132,$C$68:$AH$83,AC$67,FALSE),1)</f>
        <v>0</v>
      </c>
      <c r="AD132" s="10">
        <f ca="1">SUMIFS(AD$3:AD$64,$A$3:$A$64,$A132,$D$3:$D$64,$B132)*SUMIF('RES balance'!$D$5:$D$25,'RES Assumptions'!$A132,'RES balance'!AD$5:AD$25)*IFERROR(VLOOKUP($C132,$C$68:$AH$83,AD$67,FALSE),1)</f>
        <v>5.6567569623028216E-4</v>
      </c>
      <c r="AE132" s="10">
        <f ca="1">SUMIFS(AE$3:AE$64,$A$3:$A$64,$A132,$D$3:$D$64,$B132)*SUMIF('RES balance'!$D$5:$D$25,'RES Assumptions'!$A132,'RES balance'!AE$5:AE$25)*IFERROR(VLOOKUP($C132,$C$68:$AH$83,AE$67,FALSE),1)</f>
        <v>0.20415689882753715</v>
      </c>
      <c r="AF132" s="10">
        <f ca="1">SUMIFS(AF$3:AF$64,$A$3:$A$64,$A132,$D$3:$D$64,$B132)*SUMIF('RES balance'!$D$5:$D$25,'RES Assumptions'!$A132,'RES balance'!AF$5:AF$25)*IFERROR(VLOOKUP($C132,$C$68:$AH$83,AF$67,FALSE),1)</f>
        <v>0</v>
      </c>
      <c r="AG132" s="10">
        <f ca="1">SUMIFS(AG$3:AG$64,$A$3:$A$64,$A132,$D$3:$D$64,$B132)*SUMIF('RES balance'!$D$5:$D$25,'RES Assumptions'!$A132,'RES balance'!AG$5:AG$25)*IFERROR(VLOOKUP($C132,$C$68:$AH$83,AG$67,FALSE),1)</f>
        <v>0</v>
      </c>
      <c r="AH132" s="10">
        <f ca="1">SUMIFS(AH$3:AH$64,$A$3:$A$64,$A132,$D$3:$D$64,$B132)*SUMIF('RES balance'!$D$5:$D$25,'RES Assumptions'!$A132,'RES balance'!AH$5:AH$25)*IFERROR(VLOOKUP($C132,$C$68:$AH$83,AH$67,FALSE),1)</f>
        <v>0</v>
      </c>
    </row>
    <row r="133" spans="1:34" x14ac:dyDescent="0.45">
      <c r="A133" s="8" t="str">
        <f t="shared" si="26"/>
        <v>RESBIO</v>
      </c>
      <c r="B133" s="8" t="str">
        <f t="shared" si="23"/>
        <v>ROT</v>
      </c>
      <c r="C133" s="48" t="str">
        <f>SUBSTITUTE(SUBSTITUTE(SUBSTITUTE('RES Veda input'!B50,"1",""),"000",""),"RRF","RR")</f>
        <v>ROTBIO</v>
      </c>
      <c r="E133" s="10">
        <f ca="1">SUMIFS(E$3:E$64,$A$3:$A$64,$A133,$D$3:$D$64,$B133)*SUMIF('RES balance'!$D$5:$D$25,'RES Assumptions'!$A133,'RES balance'!E$5:E$25)*IFERROR(VLOOKUP($C133,$C$68:$AH$83,E$67,FALSE),1)</f>
        <v>0</v>
      </c>
      <c r="F133" s="10">
        <f ca="1">SUMIFS(F$3:F$64,$A$3:$A$64,$A133,$D$3:$D$64,$B133)*SUMIF('RES balance'!$D$5:$D$25,'RES Assumptions'!$A133,'RES balance'!F$5:F$25)*IFERROR(VLOOKUP($C133,$C$68:$AH$83,F$67,FALSE),1)</f>
        <v>0</v>
      </c>
      <c r="G133" s="10">
        <f ca="1">SUMIFS(G$3:G$64,$A$3:$A$64,$A133,$D$3:$D$64,$B133)*SUMIF('RES balance'!$D$5:$D$25,'RES Assumptions'!$A133,'RES balance'!G$5:G$25)*IFERROR(VLOOKUP($C133,$C$68:$AH$83,G$67,FALSE),1)</f>
        <v>0</v>
      </c>
      <c r="H133" s="10">
        <f ca="1">SUMIFS(H$3:H$64,$A$3:$A$64,$A133,$D$3:$D$64,$B133)*SUMIF('RES balance'!$D$5:$D$25,'RES Assumptions'!$A133,'RES balance'!H$5:H$25)*IFERROR(VLOOKUP($C133,$C$68:$AH$83,H$67,FALSE),1)</f>
        <v>0.34176928814618801</v>
      </c>
      <c r="I133" s="10">
        <f ca="1">SUMIFS(I$3:I$64,$A$3:$A$64,$A133,$D$3:$D$64,$B133)*SUMIF('RES balance'!$D$5:$D$25,'RES Assumptions'!$A133,'RES balance'!I$5:I$25)*IFERROR(VLOOKUP($C133,$C$68:$AH$83,I$67,FALSE),1)</f>
        <v>0</v>
      </c>
      <c r="J133" s="10">
        <f ca="1">SUMIFS(J$3:J$64,$A$3:$A$64,$A133,$D$3:$D$64,$B133)*SUMIF('RES balance'!$D$5:$D$25,'RES Assumptions'!$A133,'RES balance'!J$5:J$25)*IFERROR(VLOOKUP($C133,$C$68:$AH$83,J$67,FALSE),1)</f>
        <v>0</v>
      </c>
      <c r="K133" s="10">
        <f ca="1">SUMIFS(K$3:K$64,$A$3:$A$64,$A133,$D$3:$D$64,$B133)*SUMIF('RES balance'!$D$5:$D$25,'RES Assumptions'!$A133,'RES balance'!K$5:K$25)*IFERROR(VLOOKUP($C133,$C$68:$AH$83,K$67,FALSE),1)</f>
        <v>0</v>
      </c>
      <c r="L133" s="10">
        <f ca="1">SUMIFS(L$3:L$64,$A$3:$A$64,$A133,$D$3:$D$64,$B133)*SUMIF('RES balance'!$D$5:$D$25,'RES Assumptions'!$A133,'RES balance'!L$5:L$25)*IFERROR(VLOOKUP($C133,$C$68:$AH$83,L$67,FALSE),1)</f>
        <v>0</v>
      </c>
      <c r="M133" s="10">
        <f ca="1">SUMIFS(M$3:M$64,$A$3:$A$64,$A133,$D$3:$D$64,$B133)*SUMIF('RES balance'!$D$5:$D$25,'RES Assumptions'!$A133,'RES balance'!M$5:M$25)*IFERROR(VLOOKUP($C133,$C$68:$AH$83,M$67,FALSE),1)</f>
        <v>0</v>
      </c>
      <c r="N133" s="10">
        <f ca="1">SUMIFS(N$3:N$64,$A$3:$A$64,$A133,$D$3:$D$64,$B133)*SUMIF('RES balance'!$D$5:$D$25,'RES Assumptions'!$A133,'RES balance'!N$5:N$25)*IFERROR(VLOOKUP($C133,$C$68:$AH$83,N$67,FALSE),1)</f>
        <v>0</v>
      </c>
      <c r="O133" s="10">
        <f ca="1">SUMIFS(O$3:O$64,$A$3:$A$64,$A133,$D$3:$D$64,$B133)*SUMIF('RES balance'!$D$5:$D$25,'RES Assumptions'!$A133,'RES balance'!O$5:O$25)*IFERROR(VLOOKUP($C133,$C$68:$AH$83,O$67,FALSE),1)</f>
        <v>0.30919332548194911</v>
      </c>
      <c r="P133" s="10">
        <f ca="1">SUMIFS(P$3:P$64,$A$3:$A$64,$A133,$D$3:$D$64,$B133)*SUMIF('RES balance'!$D$5:$D$25,'RES Assumptions'!$A133,'RES balance'!P$5:P$25)*IFERROR(VLOOKUP($C133,$C$68:$AH$83,P$67,FALSE),1)</f>
        <v>9.7861893095881598</v>
      </c>
      <c r="Q133" s="10">
        <f ca="1">SUMIFS(Q$3:Q$64,$A$3:$A$64,$A133,$D$3:$D$64,$B133)*SUMIF('RES balance'!$D$5:$D$25,'RES Assumptions'!$A133,'RES balance'!Q$5:Q$25)*IFERROR(VLOOKUP($C133,$C$68:$AH$83,Q$67,FALSE),1)</f>
        <v>0.10811458011000406</v>
      </c>
      <c r="R133" s="10">
        <f ca="1">SUMIFS(R$3:R$64,$A$3:$A$64,$A133,$D$3:$D$64,$B133)*SUMIF('RES balance'!$D$5:$D$25,'RES Assumptions'!$A133,'RES balance'!R$5:R$25)*IFERROR(VLOOKUP($C133,$C$68:$AH$83,R$67,FALSE),1)</f>
        <v>0.75249044747161642</v>
      </c>
      <c r="S133" s="10">
        <f ca="1">SUMIFS(S$3:S$64,$A$3:$A$64,$A133,$D$3:$D$64,$B133)*SUMIF('RES balance'!$D$5:$D$25,'RES Assumptions'!$A133,'RES balance'!S$5:S$25)*IFERROR(VLOOKUP($C133,$C$68:$AH$83,S$67,FALSE),1)</f>
        <v>5.7866919398464631</v>
      </c>
      <c r="T133" s="10">
        <f ca="1">SUMIFS(T$3:T$64,$A$3:$A$64,$A133,$D$3:$D$64,$B133)*SUMIF('RES balance'!$D$5:$D$25,'RES Assumptions'!$A133,'RES balance'!T$5:T$25)*IFERROR(VLOOKUP($C133,$C$68:$AH$83,T$67,FALSE),1)</f>
        <v>0.2813400722549535</v>
      </c>
      <c r="U133" s="10">
        <f ca="1">SUMIFS(U$3:U$64,$A$3:$A$64,$A133,$D$3:$D$64,$B133)*SUMIF('RES balance'!$D$5:$D$25,'RES Assumptions'!$A133,'RES balance'!U$5:U$25)*IFERROR(VLOOKUP($C133,$C$68:$AH$83,U$67,FALSE),1)</f>
        <v>0</v>
      </c>
      <c r="V133" s="10">
        <f ca="1">SUMIFS(V$3:V$64,$A$3:$A$64,$A133,$D$3:$D$64,$B133)*SUMIF('RES balance'!$D$5:$D$25,'RES Assumptions'!$A133,'RES balance'!V$5:V$25)*IFERROR(VLOOKUP($C133,$C$68:$AH$83,V$67,FALSE),1)</f>
        <v>0.69794951498944058</v>
      </c>
      <c r="W133" s="10">
        <f ca="1">SUMIFS(W$3:W$64,$A$3:$A$64,$A133,$D$3:$D$64,$B133)*SUMIF('RES balance'!$D$5:$D$25,'RES Assumptions'!$A133,'RES balance'!W$5:W$25)*IFERROR(VLOOKUP($C133,$C$68:$AH$83,W$67,FALSE),1)</f>
        <v>0.66494640856455944</v>
      </c>
      <c r="X133" s="10">
        <f ca="1">SUMIFS(X$3:X$64,$A$3:$A$64,$A133,$D$3:$D$64,$B133)*SUMIF('RES balance'!$D$5:$D$25,'RES Assumptions'!$A133,'RES balance'!X$5:X$25)*IFERROR(VLOOKUP($C133,$C$68:$AH$83,X$67,FALSE),1)</f>
        <v>0</v>
      </c>
      <c r="Y133" s="10">
        <f ca="1">SUMIFS(Y$3:Y$64,$A$3:$A$64,$A133,$D$3:$D$64,$B133)*SUMIF('RES balance'!$D$5:$D$25,'RES Assumptions'!$A133,'RES balance'!Y$5:Y$25)*IFERROR(VLOOKUP($C133,$C$68:$AH$83,Y$67,FALSE),1)</f>
        <v>0</v>
      </c>
      <c r="Z133" s="10">
        <f ca="1">SUMIFS(Z$3:Z$64,$A$3:$A$64,$A133,$D$3:$D$64,$B133)*SUMIF('RES balance'!$D$5:$D$25,'RES Assumptions'!$A133,'RES balance'!Z$5:Z$25)*IFERROR(VLOOKUP($C133,$C$68:$AH$83,Z$67,FALSE),1)</f>
        <v>0</v>
      </c>
      <c r="AA133" s="10">
        <f ca="1">SUMIFS(AA$3:AA$64,$A$3:$A$64,$A133,$D$3:$D$64,$B133)*SUMIF('RES balance'!$D$5:$D$25,'RES Assumptions'!$A133,'RES balance'!AA$5:AA$25)*IFERROR(VLOOKUP($C133,$C$68:$AH$83,AA$67,FALSE),1)</f>
        <v>0</v>
      </c>
      <c r="AB133" s="10">
        <f ca="1">SUMIFS(AB$3:AB$64,$A$3:$A$64,$A133,$D$3:$D$64,$B133)*SUMIF('RES balance'!$D$5:$D$25,'RES Assumptions'!$A133,'RES balance'!AB$5:AB$25)*IFERROR(VLOOKUP($C133,$C$68:$AH$83,AB$67,FALSE),1)</f>
        <v>5.0488372923739179E-2</v>
      </c>
      <c r="AC133" s="10">
        <f ca="1">SUMIFS(AC$3:AC$64,$A$3:$A$64,$A133,$D$3:$D$64,$B133)*SUMIF('RES balance'!$D$5:$D$25,'RES Assumptions'!$A133,'RES balance'!AC$5:AC$25)*IFERROR(VLOOKUP($C133,$C$68:$AH$83,AC$67,FALSE),1)</f>
        <v>0.93920639467542499</v>
      </c>
      <c r="AD133" s="10">
        <f ca="1">SUMIFS(AD$3:AD$64,$A$3:$A$64,$A133,$D$3:$D$64,$B133)*SUMIF('RES balance'!$D$5:$D$25,'RES Assumptions'!$A133,'RES balance'!AD$5:AD$25)*IFERROR(VLOOKUP($C133,$C$68:$AH$83,AD$67,FALSE),1)</f>
        <v>0</v>
      </c>
      <c r="AE133" s="10">
        <f ca="1">SUMIFS(AE$3:AE$64,$A$3:$A$64,$A133,$D$3:$D$64,$B133)*SUMIF('RES balance'!$D$5:$D$25,'RES Assumptions'!$A133,'RES balance'!AE$5:AE$25)*IFERROR(VLOOKUP($C133,$C$68:$AH$83,AE$67,FALSE),1)</f>
        <v>0</v>
      </c>
      <c r="AF133" s="10">
        <f ca="1">SUMIFS(AF$3:AF$64,$A$3:$A$64,$A133,$D$3:$D$64,$B133)*SUMIF('RES balance'!$D$5:$D$25,'RES Assumptions'!$A133,'RES balance'!AF$5:AF$25)*IFERROR(VLOOKUP($C133,$C$68:$AH$83,AF$67,FALSE),1)</f>
        <v>7.1708156665261452E-2</v>
      </c>
      <c r="AG133" s="10">
        <f ca="1">SUMIFS(AG$3:AG$64,$A$3:$A$64,$A133,$D$3:$D$64,$B133)*SUMIF('RES balance'!$D$5:$D$25,'RES Assumptions'!$A133,'RES balance'!AG$5:AG$25)*IFERROR(VLOOKUP($C133,$C$68:$AH$83,AG$67,FALSE),1)</f>
        <v>0</v>
      </c>
      <c r="AH133" s="10">
        <f ca="1">SUMIFS(AH$3:AH$64,$A$3:$A$64,$A133,$D$3:$D$64,$B133)*SUMIF('RES balance'!$D$5:$D$25,'RES Assumptions'!$A133,'RES balance'!AH$5:AH$25)*IFERROR(VLOOKUP($C133,$C$68:$AH$83,AH$67,FALSE),1)</f>
        <v>0</v>
      </c>
    </row>
    <row r="134" spans="1:34" x14ac:dyDescent="0.45">
      <c r="A134" s="8" t="str">
        <f t="shared" si="26"/>
        <v>RESCOA</v>
      </c>
      <c r="B134" s="8" t="str">
        <f t="shared" si="23"/>
        <v>ROT</v>
      </c>
      <c r="C134" s="48" t="str">
        <f>SUBSTITUTE(SUBSTITUTE(SUBSTITUTE('RES Veda input'!B51,"1",""),"000",""),"RRF","RR")</f>
        <v>ROTCOA</v>
      </c>
      <c r="E134" s="10">
        <f ca="1">SUMIFS(E$3:E$64,$A$3:$A$64,$A134,$D$3:$D$64,$B134)*SUMIF('RES balance'!$D$5:$D$25,'RES Assumptions'!$A134,'RES balance'!E$5:E$25)*IFERROR(VLOOKUP($C134,$C$68:$AH$83,E$67,FALSE),1)</f>
        <v>0</v>
      </c>
      <c r="F134" s="10">
        <f ca="1">SUMIFS(F$3:F$64,$A$3:$A$64,$A134,$D$3:$D$64,$B134)*SUMIF('RES balance'!$D$5:$D$25,'RES Assumptions'!$A134,'RES balance'!F$5:F$25)*IFERROR(VLOOKUP($C134,$C$68:$AH$83,F$67,FALSE),1)</f>
        <v>0</v>
      </c>
      <c r="G134" s="10">
        <f ca="1">SUMIFS(G$3:G$64,$A$3:$A$64,$A134,$D$3:$D$64,$B134)*SUMIF('RES balance'!$D$5:$D$25,'RES Assumptions'!$A134,'RES balance'!G$5:G$25)*IFERROR(VLOOKUP($C134,$C$68:$AH$83,G$67,FALSE),1)</f>
        <v>0</v>
      </c>
      <c r="H134" s="10">
        <f ca="1">SUMIFS(H$3:H$64,$A$3:$A$64,$A134,$D$3:$D$64,$B134)*SUMIF('RES balance'!$D$5:$D$25,'RES Assumptions'!$A134,'RES balance'!H$5:H$25)*IFERROR(VLOOKUP($C134,$C$68:$AH$83,H$67,FALSE),1)</f>
        <v>5.5241408589748344</v>
      </c>
      <c r="I134" s="10">
        <f ca="1">SUMIFS(I$3:I$64,$A$3:$A$64,$A134,$D$3:$D$64,$B134)*SUMIF('RES balance'!$D$5:$D$25,'RES Assumptions'!$A134,'RES balance'!I$5:I$25)*IFERROR(VLOOKUP($C134,$C$68:$AH$83,I$67,FALSE),1)</f>
        <v>0</v>
      </c>
      <c r="J134" s="10">
        <f ca="1">SUMIFS(J$3:J$64,$A$3:$A$64,$A134,$D$3:$D$64,$B134)*SUMIF('RES balance'!$D$5:$D$25,'RES Assumptions'!$A134,'RES balance'!J$5:J$25)*IFERROR(VLOOKUP($C134,$C$68:$AH$83,J$67,FALSE),1)</f>
        <v>0</v>
      </c>
      <c r="K134" s="10">
        <f ca="1">SUMIFS(K$3:K$64,$A$3:$A$64,$A134,$D$3:$D$64,$B134)*SUMIF('RES balance'!$D$5:$D$25,'RES Assumptions'!$A134,'RES balance'!K$5:K$25)*IFERROR(VLOOKUP($C134,$C$68:$AH$83,K$67,FALSE),1)</f>
        <v>0</v>
      </c>
      <c r="L134" s="10">
        <f ca="1">SUMIFS(L$3:L$64,$A$3:$A$64,$A134,$D$3:$D$64,$B134)*SUMIF('RES balance'!$D$5:$D$25,'RES Assumptions'!$A134,'RES balance'!L$5:L$25)*IFERROR(VLOOKUP($C134,$C$68:$AH$83,L$67,FALSE),1)</f>
        <v>0</v>
      </c>
      <c r="M134" s="10">
        <f ca="1">SUMIFS(M$3:M$64,$A$3:$A$64,$A134,$D$3:$D$64,$B134)*SUMIF('RES balance'!$D$5:$D$25,'RES Assumptions'!$A134,'RES balance'!M$5:M$25)*IFERROR(VLOOKUP($C134,$C$68:$AH$83,M$67,FALSE),1)</f>
        <v>0</v>
      </c>
      <c r="N134" s="10">
        <f ca="1">SUMIFS(N$3:N$64,$A$3:$A$64,$A134,$D$3:$D$64,$B134)*SUMIF('RES balance'!$D$5:$D$25,'RES Assumptions'!$A134,'RES balance'!N$5:N$25)*IFERROR(VLOOKUP($C134,$C$68:$AH$83,N$67,FALSE),1)</f>
        <v>0</v>
      </c>
      <c r="O134" s="10">
        <f ca="1">SUMIFS(O$3:O$64,$A$3:$A$64,$A134,$D$3:$D$64,$B134)*SUMIF('RES balance'!$D$5:$D$25,'RES Assumptions'!$A134,'RES balance'!O$5:O$25)*IFERROR(VLOOKUP($C134,$C$68:$AH$83,O$67,FALSE),1)</f>
        <v>8.4340136917437469E-4</v>
      </c>
      <c r="P134" s="10">
        <f ca="1">SUMIFS(P$3:P$64,$A$3:$A$64,$A134,$D$3:$D$64,$B134)*SUMIF('RES balance'!$D$5:$D$25,'RES Assumptions'!$A134,'RES balance'!P$5:P$25)*IFERROR(VLOOKUP($C134,$C$68:$AH$83,P$67,FALSE),1)</f>
        <v>0.1996823446639121</v>
      </c>
      <c r="Q134" s="10">
        <f ca="1">SUMIFS(Q$3:Q$64,$A$3:$A$64,$A134,$D$3:$D$64,$B134)*SUMIF('RES balance'!$D$5:$D$25,'RES Assumptions'!$A134,'RES balance'!Q$5:Q$25)*IFERROR(VLOOKUP($C134,$C$68:$AH$83,Q$67,FALSE),1)</f>
        <v>8.8413258402864944E-2</v>
      </c>
      <c r="R134" s="10">
        <f ca="1">SUMIFS(R$3:R$64,$A$3:$A$64,$A134,$D$3:$D$64,$B134)*SUMIF('RES balance'!$D$5:$D$25,'RES Assumptions'!$A134,'RES balance'!R$5:R$25)*IFERROR(VLOOKUP($C134,$C$68:$AH$83,R$67,FALSE),1)</f>
        <v>7.6853858956688525E-4</v>
      </c>
      <c r="S134" s="10">
        <f ca="1">SUMIFS(S$3:S$64,$A$3:$A$64,$A134,$D$3:$D$64,$B134)*SUMIF('RES balance'!$D$5:$D$25,'RES Assumptions'!$A134,'RES balance'!S$5:S$25)*IFERROR(VLOOKUP($C134,$C$68:$AH$83,S$67,FALSE),1)</f>
        <v>7.5473499765147693E-3</v>
      </c>
      <c r="T134" s="10">
        <f ca="1">SUMIFS(T$3:T$64,$A$3:$A$64,$A134,$D$3:$D$64,$B134)*SUMIF('RES balance'!$D$5:$D$25,'RES Assumptions'!$A134,'RES balance'!T$5:T$25)*IFERROR(VLOOKUP($C134,$C$68:$AH$83,T$67,FALSE),1)</f>
        <v>1.4641152827554715E-2</v>
      </c>
      <c r="U134" s="10">
        <f ca="1">SUMIFS(U$3:U$64,$A$3:$A$64,$A134,$D$3:$D$64,$B134)*SUMIF('RES balance'!$D$5:$D$25,'RES Assumptions'!$A134,'RES balance'!U$5:U$25)*IFERROR(VLOOKUP($C134,$C$68:$AH$83,U$67,FALSE),1)</f>
        <v>0</v>
      </c>
      <c r="V134" s="10">
        <f ca="1">SUMIFS(V$3:V$64,$A$3:$A$64,$A134,$D$3:$D$64,$B134)*SUMIF('RES balance'!$D$5:$D$25,'RES Assumptions'!$A134,'RES balance'!V$5:V$25)*IFERROR(VLOOKUP($C134,$C$68:$AH$83,V$67,FALSE),1)</f>
        <v>5.5136662671215917E-3</v>
      </c>
      <c r="W134" s="10">
        <f ca="1">SUMIFS(W$3:W$64,$A$3:$A$64,$A134,$D$3:$D$64,$B134)*SUMIF('RES balance'!$D$5:$D$25,'RES Assumptions'!$A134,'RES balance'!W$5:W$25)*IFERROR(VLOOKUP($C134,$C$68:$AH$83,W$67,FALSE),1)</f>
        <v>7.7881688842251356E-2</v>
      </c>
      <c r="X134" s="10">
        <f ca="1">SUMIFS(X$3:X$64,$A$3:$A$64,$A134,$D$3:$D$64,$B134)*SUMIF('RES balance'!$D$5:$D$25,'RES Assumptions'!$A134,'RES balance'!X$5:X$25)*IFERROR(VLOOKUP($C134,$C$68:$AH$83,X$67,FALSE),1)</f>
        <v>0</v>
      </c>
      <c r="Y134" s="10">
        <f ca="1">SUMIFS(Y$3:Y$64,$A$3:$A$64,$A134,$D$3:$D$64,$B134)*SUMIF('RES balance'!$D$5:$D$25,'RES Assumptions'!$A134,'RES balance'!Y$5:Y$25)*IFERROR(VLOOKUP($C134,$C$68:$AH$83,Y$67,FALSE),1)</f>
        <v>0</v>
      </c>
      <c r="Z134" s="10">
        <f ca="1">SUMIFS(Z$3:Z$64,$A$3:$A$64,$A134,$D$3:$D$64,$B134)*SUMIF('RES balance'!$D$5:$D$25,'RES Assumptions'!$A134,'RES balance'!Z$5:Z$25)*IFERROR(VLOOKUP($C134,$C$68:$AH$83,Z$67,FALSE),1)</f>
        <v>0</v>
      </c>
      <c r="AA134" s="10">
        <f ca="1">SUMIFS(AA$3:AA$64,$A$3:$A$64,$A134,$D$3:$D$64,$B134)*SUMIF('RES balance'!$D$5:$D$25,'RES Assumptions'!$A134,'RES balance'!AA$5:AA$25)*IFERROR(VLOOKUP($C134,$C$68:$AH$83,AA$67,FALSE),1)</f>
        <v>0</v>
      </c>
      <c r="AB134" s="10">
        <f ca="1">SUMIFS(AB$3:AB$64,$A$3:$A$64,$A134,$D$3:$D$64,$B134)*SUMIF('RES balance'!$D$5:$D$25,'RES Assumptions'!$A134,'RES balance'!AB$5:AB$25)*IFERROR(VLOOKUP($C134,$C$68:$AH$83,AB$67,FALSE),1)</f>
        <v>0</v>
      </c>
      <c r="AC134" s="10">
        <f ca="1">SUMIFS(AC$3:AC$64,$A$3:$A$64,$A134,$D$3:$D$64,$B134)*SUMIF('RES balance'!$D$5:$D$25,'RES Assumptions'!$A134,'RES balance'!AC$5:AC$25)*IFERROR(VLOOKUP($C134,$C$68:$AH$83,AC$67,FALSE),1)</f>
        <v>1.9778640753258638</v>
      </c>
      <c r="AD134" s="10">
        <f ca="1">SUMIFS(AD$3:AD$64,$A$3:$A$64,$A134,$D$3:$D$64,$B134)*SUMIF('RES balance'!$D$5:$D$25,'RES Assumptions'!$A134,'RES balance'!AD$5:AD$25)*IFERROR(VLOOKUP($C134,$C$68:$AH$83,AD$67,FALSE),1)</f>
        <v>0</v>
      </c>
      <c r="AE134" s="10">
        <f ca="1">SUMIFS(AE$3:AE$64,$A$3:$A$64,$A134,$D$3:$D$64,$B134)*SUMIF('RES balance'!$D$5:$D$25,'RES Assumptions'!$A134,'RES balance'!AE$5:AE$25)*IFERROR(VLOOKUP($C134,$C$68:$AH$83,AE$67,FALSE),1)</f>
        <v>0</v>
      </c>
      <c r="AF134" s="10">
        <f ca="1">SUMIFS(AF$3:AF$64,$A$3:$A$64,$A134,$D$3:$D$64,$B134)*SUMIF('RES balance'!$D$5:$D$25,'RES Assumptions'!$A134,'RES balance'!AF$5:AF$25)*IFERROR(VLOOKUP($C134,$C$68:$AH$83,AF$67,FALSE),1)</f>
        <v>0.10289510233345373</v>
      </c>
      <c r="AG134" s="10">
        <f ca="1">SUMIFS(AG$3:AG$64,$A$3:$A$64,$A134,$D$3:$D$64,$B134)*SUMIF('RES balance'!$D$5:$D$25,'RES Assumptions'!$A134,'RES balance'!AG$5:AG$25)*IFERROR(VLOOKUP($C134,$C$68:$AH$83,AG$67,FALSE),1)</f>
        <v>0</v>
      </c>
      <c r="AH134" s="10">
        <f ca="1">SUMIFS(AH$3:AH$64,$A$3:$A$64,$A134,$D$3:$D$64,$B134)*SUMIF('RES balance'!$D$5:$D$25,'RES Assumptions'!$A134,'RES balance'!AH$5:AH$25)*IFERROR(VLOOKUP($C134,$C$68:$AH$83,AH$67,FALSE),1)</f>
        <v>0</v>
      </c>
    </row>
    <row r="135" spans="1:34" x14ac:dyDescent="0.45">
      <c r="A135" s="8" t="str">
        <f t="shared" si="26"/>
        <v>RESOIL</v>
      </c>
      <c r="B135" s="8" t="str">
        <f t="shared" si="23"/>
        <v>ROT</v>
      </c>
      <c r="C135" s="48" t="str">
        <f>SUBSTITUTE(SUBSTITUTE(SUBSTITUTE('RES Veda input'!B52,"1",""),"000",""),"RRF","RR")</f>
        <v>ROTDST</v>
      </c>
      <c r="E135" s="10">
        <f ca="1">SUMIFS(E$3:E$64,$A$3:$A$64,$A135,$D$3:$D$64,$B135)*SUMIF('RES balance'!$D$5:$D$25,'RES Assumptions'!$A135,'RES balance'!E$5:E$25)*IFERROR(VLOOKUP($C135,$C$68:$AH$83,E$67,FALSE),1)</f>
        <v>6.5166991333758676E-3</v>
      </c>
      <c r="F135" s="10">
        <f ca="1">SUMIFS(F$3:F$64,$A$3:$A$64,$A135,$D$3:$D$64,$B135)*SUMIF('RES balance'!$D$5:$D$25,'RES Assumptions'!$A135,'RES balance'!F$5:F$25)*IFERROR(VLOOKUP($C135,$C$68:$AH$83,F$67,FALSE),1)</f>
        <v>0.27578090268806887</v>
      </c>
      <c r="G135" s="10">
        <f ca="1">SUMIFS(G$3:G$64,$A$3:$A$64,$A135,$D$3:$D$64,$B135)*SUMIF('RES balance'!$D$5:$D$25,'RES Assumptions'!$A135,'RES balance'!G$5:G$25)*IFERROR(VLOOKUP($C135,$C$68:$AH$83,G$67,FALSE),1)</f>
        <v>0</v>
      </c>
      <c r="H135" s="10">
        <f ca="1">SUMIFS(H$3:H$64,$A$3:$A$64,$A135,$D$3:$D$64,$B135)*SUMIF('RES balance'!$D$5:$D$25,'RES Assumptions'!$A135,'RES balance'!H$5:H$25)*IFERROR(VLOOKUP($C135,$C$68:$AH$83,H$67,FALSE),1)</f>
        <v>0.22364520104848562</v>
      </c>
      <c r="I135" s="10">
        <f ca="1">SUMIFS(I$3:I$64,$A$3:$A$64,$A135,$D$3:$D$64,$B135)*SUMIF('RES balance'!$D$5:$D$25,'RES Assumptions'!$A135,'RES balance'!I$5:I$25)*IFERROR(VLOOKUP($C135,$C$68:$AH$83,I$67,FALSE),1)</f>
        <v>0</v>
      </c>
      <c r="J135" s="10">
        <f ca="1">SUMIFS(J$3:J$64,$A$3:$A$64,$A135,$D$3:$D$64,$B135)*SUMIF('RES balance'!$D$5:$D$25,'RES Assumptions'!$A135,'RES balance'!J$5:J$25)*IFERROR(VLOOKUP($C135,$C$68:$AH$83,J$67,FALSE),1)</f>
        <v>1.9259495772842077E-2</v>
      </c>
      <c r="K135" s="10">
        <f ca="1">SUMIFS(K$3:K$64,$A$3:$A$64,$A135,$D$3:$D$64,$B135)*SUMIF('RES balance'!$D$5:$D$25,'RES Assumptions'!$A135,'RES balance'!K$5:K$25)*IFERROR(VLOOKUP($C135,$C$68:$AH$83,K$67,FALSE),1)</f>
        <v>0</v>
      </c>
      <c r="L135" s="10">
        <f ca="1">SUMIFS(L$3:L$64,$A$3:$A$64,$A135,$D$3:$D$64,$B135)*SUMIF('RES balance'!$D$5:$D$25,'RES Assumptions'!$A135,'RES balance'!L$5:L$25)*IFERROR(VLOOKUP($C135,$C$68:$AH$83,L$67,FALSE),1)</f>
        <v>0</v>
      </c>
      <c r="M135" s="10">
        <f ca="1">SUMIFS(M$3:M$64,$A$3:$A$64,$A135,$D$3:$D$64,$B135)*SUMIF('RES balance'!$D$5:$D$25,'RES Assumptions'!$A135,'RES balance'!M$5:M$25)*IFERROR(VLOOKUP($C135,$C$68:$AH$83,M$67,FALSE),1)</f>
        <v>0</v>
      </c>
      <c r="N135" s="10">
        <f ca="1">SUMIFS(N$3:N$64,$A$3:$A$64,$A135,$D$3:$D$64,$B135)*SUMIF('RES balance'!$D$5:$D$25,'RES Assumptions'!$A135,'RES balance'!N$5:N$25)*IFERROR(VLOOKUP($C135,$C$68:$AH$83,N$67,FALSE),1)</f>
        <v>0</v>
      </c>
      <c r="O135" s="10">
        <f ca="1">SUMIFS(O$3:O$64,$A$3:$A$64,$A135,$D$3:$D$64,$B135)*SUMIF('RES balance'!$D$5:$D$25,'RES Assumptions'!$A135,'RES balance'!O$5:O$25)*IFERROR(VLOOKUP($C135,$C$68:$AH$83,O$67,FALSE),1)</f>
        <v>6.3849518873314554E-2</v>
      </c>
      <c r="P135" s="10">
        <f ca="1">SUMIFS(P$3:P$64,$A$3:$A$64,$A135,$D$3:$D$64,$B135)*SUMIF('RES balance'!$D$5:$D$25,'RES Assumptions'!$A135,'RES balance'!P$5:P$25)*IFERROR(VLOOKUP($C135,$C$68:$AH$83,P$67,FALSE),1)</f>
        <v>0.11874742586832293</v>
      </c>
      <c r="Q135" s="10">
        <f ca="1">SUMIFS(Q$3:Q$64,$A$3:$A$64,$A135,$D$3:$D$64,$B135)*SUMIF('RES balance'!$D$5:$D$25,'RES Assumptions'!$A135,'RES balance'!Q$5:Q$25)*IFERROR(VLOOKUP($C135,$C$68:$AH$83,Q$67,FALSE),1)</f>
        <v>0.24859212369750328</v>
      </c>
      <c r="R135" s="10">
        <f ca="1">SUMIFS(R$3:R$64,$A$3:$A$64,$A135,$D$3:$D$64,$B135)*SUMIF('RES balance'!$D$5:$D$25,'RES Assumptions'!$A135,'RES balance'!R$5:R$25)*IFERROR(VLOOKUP($C135,$C$68:$AH$83,R$67,FALSE),1)</f>
        <v>0.19279686150461731</v>
      </c>
      <c r="S135" s="10">
        <f ca="1">SUMIFS(S$3:S$64,$A$3:$A$64,$A135,$D$3:$D$64,$B135)*SUMIF('RES balance'!$D$5:$D$25,'RES Assumptions'!$A135,'RES balance'!S$5:S$25)*IFERROR(VLOOKUP($C135,$C$68:$AH$83,S$67,FALSE),1)</f>
        <v>2.0844841279633861E-2</v>
      </c>
      <c r="T135" s="10">
        <f ca="1">SUMIFS(T$3:T$64,$A$3:$A$64,$A135,$D$3:$D$64,$B135)*SUMIF('RES balance'!$D$5:$D$25,'RES Assumptions'!$A135,'RES balance'!T$5:T$25)*IFERROR(VLOOKUP($C135,$C$68:$AH$83,T$67,FALSE),1)</f>
        <v>0.14849206259887202</v>
      </c>
      <c r="U135" s="10">
        <f ca="1">SUMIFS(U$3:U$64,$A$3:$A$64,$A135,$D$3:$D$64,$B135)*SUMIF('RES balance'!$D$5:$D$25,'RES Assumptions'!$A135,'RES balance'!U$5:U$25)*IFERROR(VLOOKUP($C135,$C$68:$AH$83,U$67,FALSE),1)</f>
        <v>1.6838404894655439E-3</v>
      </c>
      <c r="V135" s="10">
        <f ca="1">SUMIFS(V$3:V$64,$A$3:$A$64,$A135,$D$3:$D$64,$B135)*SUMIF('RES balance'!$D$5:$D$25,'RES Assumptions'!$A135,'RES balance'!V$5:V$25)*IFERROR(VLOOKUP($C135,$C$68:$AH$83,V$67,FALSE),1)</f>
        <v>0.32628496807770591</v>
      </c>
      <c r="W135" s="10">
        <f ca="1">SUMIFS(W$3:W$64,$A$3:$A$64,$A135,$D$3:$D$64,$B135)*SUMIF('RES balance'!$D$5:$D$25,'RES Assumptions'!$A135,'RES balance'!W$5:W$25)*IFERROR(VLOOKUP($C135,$C$68:$AH$83,W$67,FALSE),1)</f>
        <v>1.0665870115203397</v>
      </c>
      <c r="X135" s="10">
        <f ca="1">SUMIFS(X$3:X$64,$A$3:$A$64,$A135,$D$3:$D$64,$B135)*SUMIF('RES balance'!$D$5:$D$25,'RES Assumptions'!$A135,'RES balance'!X$5:X$25)*IFERROR(VLOOKUP($C135,$C$68:$AH$83,X$67,FALSE),1)</f>
        <v>0</v>
      </c>
      <c r="Y135" s="10">
        <f ca="1">SUMIFS(Y$3:Y$64,$A$3:$A$64,$A135,$D$3:$D$64,$B135)*SUMIF('RES balance'!$D$5:$D$25,'RES Assumptions'!$A135,'RES balance'!Y$5:Y$25)*IFERROR(VLOOKUP($C135,$C$68:$AH$83,Y$67,FALSE),1)</f>
        <v>0.1433841937400134</v>
      </c>
      <c r="Z135" s="10">
        <f ca="1">SUMIFS(Z$3:Z$64,$A$3:$A$64,$A135,$D$3:$D$64,$B135)*SUMIF('RES balance'!$D$5:$D$25,'RES Assumptions'!$A135,'RES balance'!Z$5:Z$25)*IFERROR(VLOOKUP($C135,$C$68:$AH$83,Z$67,FALSE),1)</f>
        <v>0</v>
      </c>
      <c r="AA135" s="10">
        <f ca="1">SUMIFS(AA$3:AA$64,$A$3:$A$64,$A135,$D$3:$D$64,$B135)*SUMIF('RES balance'!$D$5:$D$25,'RES Assumptions'!$A135,'RES balance'!AA$5:AA$25)*IFERROR(VLOOKUP($C135,$C$68:$AH$83,AA$67,FALSE),1)</f>
        <v>6.2388637716624294E-4</v>
      </c>
      <c r="AB135" s="10">
        <f ca="1">SUMIFS(AB$3:AB$64,$A$3:$A$64,$A135,$D$3:$D$64,$B135)*SUMIF('RES balance'!$D$5:$D$25,'RES Assumptions'!$A135,'RES balance'!AB$5:AB$25)*IFERROR(VLOOKUP($C135,$C$68:$AH$83,AB$67,FALSE),1)</f>
        <v>8.9424167259223575E-4</v>
      </c>
      <c r="AC135" s="10">
        <f ca="1">SUMIFS(AC$3:AC$64,$A$3:$A$64,$A135,$D$3:$D$64,$B135)*SUMIF('RES balance'!$D$5:$D$25,'RES Assumptions'!$A135,'RES balance'!AC$5:AC$25)*IFERROR(VLOOKUP($C135,$C$68:$AH$83,AC$67,FALSE),1)</f>
        <v>0.2152597117090308</v>
      </c>
      <c r="AD135" s="10">
        <f ca="1">SUMIFS(AD$3:AD$64,$A$3:$A$64,$A135,$D$3:$D$64,$B135)*SUMIF('RES balance'!$D$5:$D$25,'RES Assumptions'!$A135,'RES balance'!AD$5:AD$25)*IFERROR(VLOOKUP($C135,$C$68:$AH$83,AD$67,FALSE),1)</f>
        <v>0</v>
      </c>
      <c r="AE135" s="10">
        <f ca="1">SUMIFS(AE$3:AE$64,$A$3:$A$64,$A135,$D$3:$D$64,$B135)*SUMIF('RES balance'!$D$5:$D$25,'RES Assumptions'!$A135,'RES balance'!AE$5:AE$25)*IFERROR(VLOOKUP($C135,$C$68:$AH$83,AE$67,FALSE),1)</f>
        <v>4.7010416729773808E-3</v>
      </c>
      <c r="AF135" s="10">
        <f ca="1">SUMIFS(AF$3:AF$64,$A$3:$A$64,$A135,$D$3:$D$64,$B135)*SUMIF('RES balance'!$D$5:$D$25,'RES Assumptions'!$A135,'RES balance'!AF$5:AF$25)*IFERROR(VLOOKUP($C135,$C$68:$AH$83,AF$67,FALSE),1)</f>
        <v>1.6097562552254033E-2</v>
      </c>
      <c r="AG135" s="10">
        <f ca="1">SUMIFS(AG$3:AG$64,$A$3:$A$64,$A135,$D$3:$D$64,$B135)*SUMIF('RES balance'!$D$5:$D$25,'RES Assumptions'!$A135,'RES balance'!AG$5:AG$25)*IFERROR(VLOOKUP($C135,$C$68:$AH$83,AG$67,FALSE),1)</f>
        <v>0</v>
      </c>
      <c r="AH135" s="10">
        <f ca="1">SUMIFS(AH$3:AH$64,$A$3:$A$64,$A135,$D$3:$D$64,$B135)*SUMIF('RES balance'!$D$5:$D$25,'RES Assumptions'!$A135,'RES balance'!AH$5:AH$25)*IFERROR(VLOOKUP($C135,$C$68:$AH$83,AH$67,FALSE),1)</f>
        <v>0</v>
      </c>
    </row>
    <row r="136" spans="1:34" x14ac:dyDescent="0.45">
      <c r="A136" s="8" t="str">
        <f t="shared" si="26"/>
        <v>RESGEO</v>
      </c>
      <c r="B136" s="8" t="str">
        <f t="shared" si="23"/>
        <v>ROT</v>
      </c>
      <c r="C136" s="48" t="str">
        <f>SUBSTITUTE(SUBSTITUTE(SUBSTITUTE('RES Veda input'!B53,"1",""),"000",""),"RRF","RR")</f>
        <v>ROTGEO</v>
      </c>
      <c r="E136" s="10">
        <f ca="1">SUMIFS(E$3:E$64,$A$3:$A$64,$A136,$D$3:$D$64,$B136)*SUMIF('RES balance'!$D$5:$D$25,'RES Assumptions'!$A136,'RES balance'!E$5:E$25)*IFERROR(VLOOKUP($C136,$C$68:$AH$83,E$67,FALSE),1)</f>
        <v>0</v>
      </c>
      <c r="F136" s="10">
        <f ca="1">SUMIFS(F$3:F$64,$A$3:$A$64,$A136,$D$3:$D$64,$B136)*SUMIF('RES balance'!$D$5:$D$25,'RES Assumptions'!$A136,'RES balance'!F$5:F$25)*IFERROR(VLOOKUP($C136,$C$68:$AH$83,F$67,FALSE),1)</f>
        <v>0</v>
      </c>
      <c r="G136" s="10">
        <f ca="1">SUMIFS(G$3:G$64,$A$3:$A$64,$A136,$D$3:$D$64,$B136)*SUMIF('RES balance'!$D$5:$D$25,'RES Assumptions'!$A136,'RES balance'!G$5:G$25)*IFERROR(VLOOKUP($C136,$C$68:$AH$83,G$67,FALSE),1)</f>
        <v>0</v>
      </c>
      <c r="H136" s="10">
        <f ca="1">SUMIFS(H$3:H$64,$A$3:$A$64,$A136,$D$3:$D$64,$B136)*SUMIF('RES balance'!$D$5:$D$25,'RES Assumptions'!$A136,'RES balance'!H$5:H$25)*IFERROR(VLOOKUP($C136,$C$68:$AH$83,H$67,FALSE),1)</f>
        <v>0</v>
      </c>
      <c r="I136" s="10">
        <f ca="1">SUMIFS(I$3:I$64,$A$3:$A$64,$A136,$D$3:$D$64,$B136)*SUMIF('RES balance'!$D$5:$D$25,'RES Assumptions'!$A136,'RES balance'!I$5:I$25)*IFERROR(VLOOKUP($C136,$C$68:$AH$83,I$67,FALSE),1)</f>
        <v>0</v>
      </c>
      <c r="J136" s="10">
        <f ca="1">SUMIFS(J$3:J$64,$A$3:$A$64,$A136,$D$3:$D$64,$B136)*SUMIF('RES balance'!$D$5:$D$25,'RES Assumptions'!$A136,'RES balance'!J$5:J$25)*IFERROR(VLOOKUP($C136,$C$68:$AH$83,J$67,FALSE),1)</f>
        <v>0</v>
      </c>
      <c r="K136" s="10">
        <f ca="1">SUMIFS(K$3:K$64,$A$3:$A$64,$A136,$D$3:$D$64,$B136)*SUMIF('RES balance'!$D$5:$D$25,'RES Assumptions'!$A136,'RES balance'!K$5:K$25)*IFERROR(VLOOKUP($C136,$C$68:$AH$83,K$67,FALSE),1)</f>
        <v>0</v>
      </c>
      <c r="L136" s="10">
        <f ca="1">SUMIFS(L$3:L$64,$A$3:$A$64,$A136,$D$3:$D$64,$B136)*SUMIF('RES balance'!$D$5:$D$25,'RES Assumptions'!$A136,'RES balance'!L$5:L$25)*IFERROR(VLOOKUP($C136,$C$68:$AH$83,L$67,FALSE),1)</f>
        <v>0</v>
      </c>
      <c r="M136" s="10">
        <f ca="1">SUMIFS(M$3:M$64,$A$3:$A$64,$A136,$D$3:$D$64,$B136)*SUMIF('RES balance'!$D$5:$D$25,'RES Assumptions'!$A136,'RES balance'!M$5:M$25)*IFERROR(VLOOKUP($C136,$C$68:$AH$83,M$67,FALSE),1)</f>
        <v>0</v>
      </c>
      <c r="N136" s="10">
        <f ca="1">SUMIFS(N$3:N$64,$A$3:$A$64,$A136,$D$3:$D$64,$B136)*SUMIF('RES balance'!$D$5:$D$25,'RES Assumptions'!$A136,'RES balance'!N$5:N$25)*IFERROR(VLOOKUP($C136,$C$68:$AH$83,N$67,FALSE),1)</f>
        <v>0</v>
      </c>
      <c r="O136" s="10">
        <f ca="1">SUMIFS(O$3:O$64,$A$3:$A$64,$A136,$D$3:$D$64,$B136)*SUMIF('RES balance'!$D$5:$D$25,'RES Assumptions'!$A136,'RES balance'!O$5:O$25)*IFERROR(VLOOKUP($C136,$C$68:$AH$83,O$67,FALSE),1)</f>
        <v>0</v>
      </c>
      <c r="P136" s="10">
        <f ca="1">SUMIFS(P$3:P$64,$A$3:$A$64,$A136,$D$3:$D$64,$B136)*SUMIF('RES balance'!$D$5:$D$25,'RES Assumptions'!$A136,'RES balance'!P$5:P$25)*IFERROR(VLOOKUP($C136,$C$68:$AH$83,P$67,FALSE),1)</f>
        <v>0</v>
      </c>
      <c r="Q136" s="10">
        <f ca="1">SUMIFS(Q$3:Q$64,$A$3:$A$64,$A136,$D$3:$D$64,$B136)*SUMIF('RES balance'!$D$5:$D$25,'RES Assumptions'!$A136,'RES balance'!Q$5:Q$25)*IFERROR(VLOOKUP($C136,$C$68:$AH$83,Q$67,FALSE),1)</f>
        <v>0</v>
      </c>
      <c r="R136" s="10">
        <f ca="1">SUMIFS(R$3:R$64,$A$3:$A$64,$A136,$D$3:$D$64,$B136)*SUMIF('RES balance'!$D$5:$D$25,'RES Assumptions'!$A136,'RES balance'!R$5:R$25)*IFERROR(VLOOKUP($C136,$C$68:$AH$83,R$67,FALSE),1)</f>
        <v>0</v>
      </c>
      <c r="S136" s="10">
        <f ca="1">SUMIFS(S$3:S$64,$A$3:$A$64,$A136,$D$3:$D$64,$B136)*SUMIF('RES balance'!$D$5:$D$25,'RES Assumptions'!$A136,'RES balance'!S$5:S$25)*IFERROR(VLOOKUP($C136,$C$68:$AH$83,S$67,FALSE),1)</f>
        <v>0</v>
      </c>
      <c r="T136" s="10">
        <f ca="1">SUMIFS(T$3:T$64,$A$3:$A$64,$A136,$D$3:$D$64,$B136)*SUMIF('RES balance'!$D$5:$D$25,'RES Assumptions'!$A136,'RES balance'!T$5:T$25)*IFERROR(VLOOKUP($C136,$C$68:$AH$83,T$67,FALSE),1)</f>
        <v>0</v>
      </c>
      <c r="U136" s="10">
        <f ca="1">SUMIFS(U$3:U$64,$A$3:$A$64,$A136,$D$3:$D$64,$B136)*SUMIF('RES balance'!$D$5:$D$25,'RES Assumptions'!$A136,'RES balance'!U$5:U$25)*IFERROR(VLOOKUP($C136,$C$68:$AH$83,U$67,FALSE),1)</f>
        <v>0</v>
      </c>
      <c r="V136" s="10">
        <f ca="1">SUMIFS(V$3:V$64,$A$3:$A$64,$A136,$D$3:$D$64,$B136)*SUMIF('RES balance'!$D$5:$D$25,'RES Assumptions'!$A136,'RES balance'!V$5:V$25)*IFERROR(VLOOKUP($C136,$C$68:$AH$83,V$67,FALSE),1)</f>
        <v>0</v>
      </c>
      <c r="W136" s="10">
        <f ca="1">SUMIFS(W$3:W$64,$A$3:$A$64,$A136,$D$3:$D$64,$B136)*SUMIF('RES balance'!$D$5:$D$25,'RES Assumptions'!$A136,'RES balance'!W$5:W$25)*IFERROR(VLOOKUP($C136,$C$68:$AH$83,W$67,FALSE),1)</f>
        <v>0</v>
      </c>
      <c r="X136" s="10">
        <f ca="1">SUMIFS(X$3:X$64,$A$3:$A$64,$A136,$D$3:$D$64,$B136)*SUMIF('RES balance'!$D$5:$D$25,'RES Assumptions'!$A136,'RES balance'!X$5:X$25)*IFERROR(VLOOKUP($C136,$C$68:$AH$83,X$67,FALSE),1)</f>
        <v>0</v>
      </c>
      <c r="Y136" s="10">
        <f ca="1">SUMIFS(Y$3:Y$64,$A$3:$A$64,$A136,$D$3:$D$64,$B136)*SUMIF('RES balance'!$D$5:$D$25,'RES Assumptions'!$A136,'RES balance'!Y$5:Y$25)*IFERROR(VLOOKUP($C136,$C$68:$AH$83,Y$67,FALSE),1)</f>
        <v>0</v>
      </c>
      <c r="Z136" s="10">
        <f ca="1">SUMIFS(Z$3:Z$64,$A$3:$A$64,$A136,$D$3:$D$64,$B136)*SUMIF('RES balance'!$D$5:$D$25,'RES Assumptions'!$A136,'RES balance'!Z$5:Z$25)*IFERROR(VLOOKUP($C136,$C$68:$AH$83,Z$67,FALSE),1)</f>
        <v>0</v>
      </c>
      <c r="AA136" s="10">
        <f ca="1">SUMIFS(AA$3:AA$64,$A$3:$A$64,$A136,$D$3:$D$64,$B136)*SUMIF('RES balance'!$D$5:$D$25,'RES Assumptions'!$A136,'RES balance'!AA$5:AA$25)*IFERROR(VLOOKUP($C136,$C$68:$AH$83,AA$67,FALSE),1)</f>
        <v>0</v>
      </c>
      <c r="AB136" s="10">
        <f ca="1">SUMIFS(AB$3:AB$64,$A$3:$A$64,$A136,$D$3:$D$64,$B136)*SUMIF('RES balance'!$D$5:$D$25,'RES Assumptions'!$A136,'RES balance'!AB$5:AB$25)*IFERROR(VLOOKUP($C136,$C$68:$AH$83,AB$67,FALSE),1)</f>
        <v>0</v>
      </c>
      <c r="AC136" s="10">
        <f ca="1">SUMIFS(AC$3:AC$64,$A$3:$A$64,$A136,$D$3:$D$64,$B136)*SUMIF('RES balance'!$D$5:$D$25,'RES Assumptions'!$A136,'RES balance'!AC$5:AC$25)*IFERROR(VLOOKUP($C136,$C$68:$AH$83,AC$67,FALSE),1)</f>
        <v>0</v>
      </c>
      <c r="AD136" s="10">
        <f ca="1">SUMIFS(AD$3:AD$64,$A$3:$A$64,$A136,$D$3:$D$64,$B136)*SUMIF('RES balance'!$D$5:$D$25,'RES Assumptions'!$A136,'RES balance'!AD$5:AD$25)*IFERROR(VLOOKUP($C136,$C$68:$AH$83,AD$67,FALSE),1)</f>
        <v>0</v>
      </c>
      <c r="AE136" s="10">
        <f ca="1">SUMIFS(AE$3:AE$64,$A$3:$A$64,$A136,$D$3:$D$64,$B136)*SUMIF('RES balance'!$D$5:$D$25,'RES Assumptions'!$A136,'RES balance'!AE$5:AE$25)*IFERROR(VLOOKUP($C136,$C$68:$AH$83,AE$67,FALSE),1)</f>
        <v>0</v>
      </c>
      <c r="AF136" s="10">
        <f ca="1">SUMIFS(AF$3:AF$64,$A$3:$A$64,$A136,$D$3:$D$64,$B136)*SUMIF('RES balance'!$D$5:$D$25,'RES Assumptions'!$A136,'RES balance'!AF$5:AF$25)*IFERROR(VLOOKUP($C136,$C$68:$AH$83,AF$67,FALSE),1)</f>
        <v>0</v>
      </c>
      <c r="AG136" s="10">
        <f ca="1">SUMIFS(AG$3:AG$64,$A$3:$A$64,$A136,$D$3:$D$64,$B136)*SUMIF('RES balance'!$D$5:$D$25,'RES Assumptions'!$A136,'RES balance'!AG$5:AG$25)*IFERROR(VLOOKUP($C136,$C$68:$AH$83,AG$67,FALSE),1)</f>
        <v>0</v>
      </c>
      <c r="AH136" s="10">
        <f ca="1">SUMIFS(AH$3:AH$64,$A$3:$A$64,$A136,$D$3:$D$64,$B136)*SUMIF('RES balance'!$D$5:$D$25,'RES Assumptions'!$A136,'RES balance'!AH$5:AH$25)*IFERROR(VLOOKUP($C136,$C$68:$AH$83,AH$67,FALSE),1)</f>
        <v>0</v>
      </c>
    </row>
    <row r="137" spans="1:34" x14ac:dyDescent="0.45">
      <c r="A137" s="8" t="str">
        <f t="shared" si="26"/>
        <v>RESHET</v>
      </c>
      <c r="B137" s="8" t="str">
        <f t="shared" si="23"/>
        <v>ROT</v>
      </c>
      <c r="C137" s="48" t="str">
        <f>SUBSTITUTE(SUBSTITUTE(SUBSTITUTE('RES Veda input'!B54,"1",""),"000",""),"RRF","RR")</f>
        <v>ROTHET</v>
      </c>
      <c r="E137" s="10">
        <f ca="1">SUMIFS(E$3:E$64,$A$3:$A$64,$A137,$D$3:$D$64,$B137)*SUMIF('RES balance'!$D$5:$D$25,'RES Assumptions'!$A137,'RES balance'!E$5:E$25)*IFERROR(VLOOKUP($C137,$C$68:$AH$83,E$67,FALSE),1)</f>
        <v>0</v>
      </c>
      <c r="F137" s="10">
        <f ca="1">SUMIFS(F$3:F$64,$A$3:$A$64,$A137,$D$3:$D$64,$B137)*SUMIF('RES balance'!$D$5:$D$25,'RES Assumptions'!$A137,'RES balance'!F$5:F$25)*IFERROR(VLOOKUP($C137,$C$68:$AH$83,F$67,FALSE),1)</f>
        <v>0</v>
      </c>
      <c r="G137" s="10">
        <f ca="1">SUMIFS(G$3:G$64,$A$3:$A$64,$A137,$D$3:$D$64,$B137)*SUMIF('RES balance'!$D$5:$D$25,'RES Assumptions'!$A137,'RES balance'!G$5:G$25)*IFERROR(VLOOKUP($C137,$C$68:$AH$83,G$67,FALSE),1)</f>
        <v>0</v>
      </c>
      <c r="H137" s="10">
        <f ca="1">SUMIFS(H$3:H$64,$A$3:$A$64,$A137,$D$3:$D$64,$B137)*SUMIF('RES balance'!$D$5:$D$25,'RES Assumptions'!$A137,'RES balance'!H$5:H$25)*IFERROR(VLOOKUP($C137,$C$68:$AH$83,H$67,FALSE),1)</f>
        <v>0</v>
      </c>
      <c r="I137" s="10">
        <f ca="1">SUMIFS(I$3:I$64,$A$3:$A$64,$A137,$D$3:$D$64,$B137)*SUMIF('RES balance'!$D$5:$D$25,'RES Assumptions'!$A137,'RES balance'!I$5:I$25)*IFERROR(VLOOKUP($C137,$C$68:$AH$83,I$67,FALSE),1)</f>
        <v>0</v>
      </c>
      <c r="J137" s="10">
        <f ca="1">SUMIFS(J$3:J$64,$A$3:$A$64,$A137,$D$3:$D$64,$B137)*SUMIF('RES balance'!$D$5:$D$25,'RES Assumptions'!$A137,'RES balance'!J$5:J$25)*IFERROR(VLOOKUP($C137,$C$68:$AH$83,J$67,FALSE),1)</f>
        <v>0</v>
      </c>
      <c r="K137" s="10">
        <f ca="1">SUMIFS(K$3:K$64,$A$3:$A$64,$A137,$D$3:$D$64,$B137)*SUMIF('RES balance'!$D$5:$D$25,'RES Assumptions'!$A137,'RES balance'!K$5:K$25)*IFERROR(VLOOKUP($C137,$C$68:$AH$83,K$67,FALSE),1)</f>
        <v>0</v>
      </c>
      <c r="L137" s="10">
        <f ca="1">SUMIFS(L$3:L$64,$A$3:$A$64,$A137,$D$3:$D$64,$B137)*SUMIF('RES balance'!$D$5:$D$25,'RES Assumptions'!$A137,'RES balance'!L$5:L$25)*IFERROR(VLOOKUP($C137,$C$68:$AH$83,L$67,FALSE),1)</f>
        <v>0</v>
      </c>
      <c r="M137" s="10">
        <f ca="1">SUMIFS(M$3:M$64,$A$3:$A$64,$A137,$D$3:$D$64,$B137)*SUMIF('RES balance'!$D$5:$D$25,'RES Assumptions'!$A137,'RES balance'!M$5:M$25)*IFERROR(VLOOKUP($C137,$C$68:$AH$83,M$67,FALSE),1)</f>
        <v>0</v>
      </c>
      <c r="N137" s="10">
        <f ca="1">SUMIFS(N$3:N$64,$A$3:$A$64,$A137,$D$3:$D$64,$B137)*SUMIF('RES balance'!$D$5:$D$25,'RES Assumptions'!$A137,'RES balance'!N$5:N$25)*IFERROR(VLOOKUP($C137,$C$68:$AH$83,N$67,FALSE),1)</f>
        <v>0</v>
      </c>
      <c r="O137" s="10">
        <f ca="1">SUMIFS(O$3:O$64,$A$3:$A$64,$A137,$D$3:$D$64,$B137)*SUMIF('RES balance'!$D$5:$D$25,'RES Assumptions'!$A137,'RES balance'!O$5:O$25)*IFERROR(VLOOKUP($C137,$C$68:$AH$83,O$67,FALSE),1)</f>
        <v>0</v>
      </c>
      <c r="P137" s="10">
        <f ca="1">SUMIFS(P$3:P$64,$A$3:$A$64,$A137,$D$3:$D$64,$B137)*SUMIF('RES balance'!$D$5:$D$25,'RES Assumptions'!$A137,'RES balance'!P$5:P$25)*IFERROR(VLOOKUP($C137,$C$68:$AH$83,P$67,FALSE),1)</f>
        <v>0</v>
      </c>
      <c r="Q137" s="10">
        <f ca="1">SUMIFS(Q$3:Q$64,$A$3:$A$64,$A137,$D$3:$D$64,$B137)*SUMIF('RES balance'!$D$5:$D$25,'RES Assumptions'!$A137,'RES balance'!Q$5:Q$25)*IFERROR(VLOOKUP($C137,$C$68:$AH$83,Q$67,FALSE),1)</f>
        <v>0</v>
      </c>
      <c r="R137" s="10">
        <f ca="1">SUMIFS(R$3:R$64,$A$3:$A$64,$A137,$D$3:$D$64,$B137)*SUMIF('RES balance'!$D$5:$D$25,'RES Assumptions'!$A137,'RES balance'!R$5:R$25)*IFERROR(VLOOKUP($C137,$C$68:$AH$83,R$67,FALSE),1)</f>
        <v>0</v>
      </c>
      <c r="S137" s="10">
        <f ca="1">SUMIFS(S$3:S$64,$A$3:$A$64,$A137,$D$3:$D$64,$B137)*SUMIF('RES balance'!$D$5:$D$25,'RES Assumptions'!$A137,'RES balance'!S$5:S$25)*IFERROR(VLOOKUP($C137,$C$68:$AH$83,S$67,FALSE),1)</f>
        <v>0</v>
      </c>
      <c r="T137" s="10">
        <f ca="1">SUMIFS(T$3:T$64,$A$3:$A$64,$A137,$D$3:$D$64,$B137)*SUMIF('RES balance'!$D$5:$D$25,'RES Assumptions'!$A137,'RES balance'!T$5:T$25)*IFERROR(VLOOKUP($C137,$C$68:$AH$83,T$67,FALSE),1)</f>
        <v>0</v>
      </c>
      <c r="U137" s="10">
        <f ca="1">SUMIFS(U$3:U$64,$A$3:$A$64,$A137,$D$3:$D$64,$B137)*SUMIF('RES balance'!$D$5:$D$25,'RES Assumptions'!$A137,'RES balance'!U$5:U$25)*IFERROR(VLOOKUP($C137,$C$68:$AH$83,U$67,FALSE),1)</f>
        <v>0</v>
      </c>
      <c r="V137" s="10">
        <f ca="1">SUMIFS(V$3:V$64,$A$3:$A$64,$A137,$D$3:$D$64,$B137)*SUMIF('RES balance'!$D$5:$D$25,'RES Assumptions'!$A137,'RES balance'!V$5:V$25)*IFERROR(VLOOKUP($C137,$C$68:$AH$83,V$67,FALSE),1)</f>
        <v>0</v>
      </c>
      <c r="W137" s="10">
        <f ca="1">SUMIFS(W$3:W$64,$A$3:$A$64,$A137,$D$3:$D$64,$B137)*SUMIF('RES balance'!$D$5:$D$25,'RES Assumptions'!$A137,'RES balance'!W$5:W$25)*IFERROR(VLOOKUP($C137,$C$68:$AH$83,W$67,FALSE),1)</f>
        <v>0</v>
      </c>
      <c r="X137" s="10">
        <f ca="1">SUMIFS(X$3:X$64,$A$3:$A$64,$A137,$D$3:$D$64,$B137)*SUMIF('RES balance'!$D$5:$D$25,'RES Assumptions'!$A137,'RES balance'!X$5:X$25)*IFERROR(VLOOKUP($C137,$C$68:$AH$83,X$67,FALSE),1)</f>
        <v>0</v>
      </c>
      <c r="Y137" s="10">
        <f ca="1">SUMIFS(Y$3:Y$64,$A$3:$A$64,$A137,$D$3:$D$64,$B137)*SUMIF('RES balance'!$D$5:$D$25,'RES Assumptions'!$A137,'RES balance'!Y$5:Y$25)*IFERROR(VLOOKUP($C137,$C$68:$AH$83,Y$67,FALSE),1)</f>
        <v>0</v>
      </c>
      <c r="Z137" s="10">
        <f ca="1">SUMIFS(Z$3:Z$64,$A$3:$A$64,$A137,$D$3:$D$64,$B137)*SUMIF('RES balance'!$D$5:$D$25,'RES Assumptions'!$A137,'RES balance'!Z$5:Z$25)*IFERROR(VLOOKUP($C137,$C$68:$AH$83,Z$67,FALSE),1)</f>
        <v>0</v>
      </c>
      <c r="AA137" s="10">
        <f ca="1">SUMIFS(AA$3:AA$64,$A$3:$A$64,$A137,$D$3:$D$64,$B137)*SUMIF('RES balance'!$D$5:$D$25,'RES Assumptions'!$A137,'RES balance'!AA$5:AA$25)*IFERROR(VLOOKUP($C137,$C$68:$AH$83,AA$67,FALSE),1)</f>
        <v>0</v>
      </c>
      <c r="AB137" s="10">
        <f ca="1">SUMIFS(AB$3:AB$64,$A$3:$A$64,$A137,$D$3:$D$64,$B137)*SUMIF('RES balance'!$D$5:$D$25,'RES Assumptions'!$A137,'RES balance'!AB$5:AB$25)*IFERROR(VLOOKUP($C137,$C$68:$AH$83,AB$67,FALSE),1)</f>
        <v>0</v>
      </c>
      <c r="AC137" s="10">
        <f ca="1">SUMIFS(AC$3:AC$64,$A$3:$A$64,$A137,$D$3:$D$64,$B137)*SUMIF('RES balance'!$D$5:$D$25,'RES Assumptions'!$A137,'RES balance'!AC$5:AC$25)*IFERROR(VLOOKUP($C137,$C$68:$AH$83,AC$67,FALSE),1)</f>
        <v>0</v>
      </c>
      <c r="AD137" s="10">
        <f ca="1">SUMIFS(AD$3:AD$64,$A$3:$A$64,$A137,$D$3:$D$64,$B137)*SUMIF('RES balance'!$D$5:$D$25,'RES Assumptions'!$A137,'RES balance'!AD$5:AD$25)*IFERROR(VLOOKUP($C137,$C$68:$AH$83,AD$67,FALSE),1)</f>
        <v>0</v>
      </c>
      <c r="AE137" s="10">
        <f ca="1">SUMIFS(AE$3:AE$64,$A$3:$A$64,$A137,$D$3:$D$64,$B137)*SUMIF('RES balance'!$D$5:$D$25,'RES Assumptions'!$A137,'RES balance'!AE$5:AE$25)*IFERROR(VLOOKUP($C137,$C$68:$AH$83,AE$67,FALSE),1)</f>
        <v>0</v>
      </c>
      <c r="AF137" s="10">
        <f ca="1">SUMIFS(AF$3:AF$64,$A$3:$A$64,$A137,$D$3:$D$64,$B137)*SUMIF('RES balance'!$D$5:$D$25,'RES Assumptions'!$A137,'RES balance'!AF$5:AF$25)*IFERROR(VLOOKUP($C137,$C$68:$AH$83,AF$67,FALSE),1)</f>
        <v>0</v>
      </c>
      <c r="AG137" s="10">
        <f ca="1">SUMIFS(AG$3:AG$64,$A$3:$A$64,$A137,$D$3:$D$64,$B137)*SUMIF('RES balance'!$D$5:$D$25,'RES Assumptions'!$A137,'RES balance'!AG$5:AG$25)*IFERROR(VLOOKUP($C137,$C$68:$AH$83,AG$67,FALSE),1)</f>
        <v>0</v>
      </c>
      <c r="AH137" s="10">
        <f ca="1">SUMIFS(AH$3:AH$64,$A$3:$A$64,$A137,$D$3:$D$64,$B137)*SUMIF('RES balance'!$D$5:$D$25,'RES Assumptions'!$A137,'RES balance'!AH$5:AH$25)*IFERROR(VLOOKUP($C137,$C$68:$AH$83,AH$67,FALSE),1)</f>
        <v>0</v>
      </c>
    </row>
    <row r="138" spans="1:34" x14ac:dyDescent="0.45">
      <c r="A138" s="8" t="str">
        <f t="shared" si="26"/>
        <v>RESHFO</v>
      </c>
      <c r="B138" s="8" t="str">
        <f t="shared" si="23"/>
        <v>ROT</v>
      </c>
      <c r="C138" s="48" t="str">
        <f>SUBSTITUTE(SUBSTITUTE(SUBSTITUTE('RES Veda input'!B55,"1",""),"000",""),"RRF","RR")</f>
        <v>ROTHFO</v>
      </c>
      <c r="E138" s="10">
        <f>SUMIFS(E$3:E$64,$A$3:$A$64,$A138,$D$3:$D$64,$B138)*SUMIF('RES balance'!$D$5:$D$25,'RES Assumptions'!$A138,'RES balance'!E$5:E$25)*IFERROR(VLOOKUP($C138,$C$68:$AH$83,E$67,FALSE),1)</f>
        <v>0</v>
      </c>
      <c r="F138" s="10">
        <f>SUMIFS(F$3:F$64,$A$3:$A$64,$A138,$D$3:$D$64,$B138)*SUMIF('RES balance'!$D$5:$D$25,'RES Assumptions'!$A138,'RES balance'!F$5:F$25)*IFERROR(VLOOKUP($C138,$C$68:$AH$83,F$67,FALSE),1)</f>
        <v>0</v>
      </c>
      <c r="G138" s="10">
        <f>SUMIFS(G$3:G$64,$A$3:$A$64,$A138,$D$3:$D$64,$B138)*SUMIF('RES balance'!$D$5:$D$25,'RES Assumptions'!$A138,'RES balance'!G$5:G$25)*IFERROR(VLOOKUP($C138,$C$68:$AH$83,G$67,FALSE),1)</f>
        <v>0</v>
      </c>
      <c r="H138" s="10">
        <f>SUMIFS(H$3:H$64,$A$3:$A$64,$A138,$D$3:$D$64,$B138)*SUMIF('RES balance'!$D$5:$D$25,'RES Assumptions'!$A138,'RES balance'!H$5:H$25)*IFERROR(VLOOKUP($C138,$C$68:$AH$83,H$67,FALSE),1)</f>
        <v>0</v>
      </c>
      <c r="I138" s="10">
        <f>SUMIFS(I$3:I$64,$A$3:$A$64,$A138,$D$3:$D$64,$B138)*SUMIF('RES balance'!$D$5:$D$25,'RES Assumptions'!$A138,'RES balance'!I$5:I$25)*IFERROR(VLOOKUP($C138,$C$68:$AH$83,I$67,FALSE),1)</f>
        <v>0</v>
      </c>
      <c r="J138" s="10">
        <f>SUMIFS(J$3:J$64,$A$3:$A$64,$A138,$D$3:$D$64,$B138)*SUMIF('RES balance'!$D$5:$D$25,'RES Assumptions'!$A138,'RES balance'!J$5:J$25)*IFERROR(VLOOKUP($C138,$C$68:$AH$83,J$67,FALSE),1)</f>
        <v>0</v>
      </c>
      <c r="K138" s="10">
        <f>SUMIFS(K$3:K$64,$A$3:$A$64,$A138,$D$3:$D$64,$B138)*SUMIF('RES balance'!$D$5:$D$25,'RES Assumptions'!$A138,'RES balance'!K$5:K$25)*IFERROR(VLOOKUP($C138,$C$68:$AH$83,K$67,FALSE),1)</f>
        <v>0</v>
      </c>
      <c r="L138" s="10">
        <f>SUMIFS(L$3:L$64,$A$3:$A$64,$A138,$D$3:$D$64,$B138)*SUMIF('RES balance'!$D$5:$D$25,'RES Assumptions'!$A138,'RES balance'!L$5:L$25)*IFERROR(VLOOKUP($C138,$C$68:$AH$83,L$67,FALSE),1)</f>
        <v>0</v>
      </c>
      <c r="M138" s="10">
        <f>SUMIFS(M$3:M$64,$A$3:$A$64,$A138,$D$3:$D$64,$B138)*SUMIF('RES balance'!$D$5:$D$25,'RES Assumptions'!$A138,'RES balance'!M$5:M$25)*IFERROR(VLOOKUP($C138,$C$68:$AH$83,M$67,FALSE),1)</f>
        <v>0</v>
      </c>
      <c r="N138" s="10">
        <f>SUMIFS(N$3:N$64,$A$3:$A$64,$A138,$D$3:$D$64,$B138)*SUMIF('RES balance'!$D$5:$D$25,'RES Assumptions'!$A138,'RES balance'!N$5:N$25)*IFERROR(VLOOKUP($C138,$C$68:$AH$83,N$67,FALSE),1)</f>
        <v>0</v>
      </c>
      <c r="O138" s="10">
        <f>SUMIFS(O$3:O$64,$A$3:$A$64,$A138,$D$3:$D$64,$B138)*SUMIF('RES balance'!$D$5:$D$25,'RES Assumptions'!$A138,'RES balance'!O$5:O$25)*IFERROR(VLOOKUP($C138,$C$68:$AH$83,O$67,FALSE),1)</f>
        <v>0</v>
      </c>
      <c r="P138" s="10">
        <f>SUMIFS(P$3:P$64,$A$3:$A$64,$A138,$D$3:$D$64,$B138)*SUMIF('RES balance'!$D$5:$D$25,'RES Assumptions'!$A138,'RES balance'!P$5:P$25)*IFERROR(VLOOKUP($C138,$C$68:$AH$83,P$67,FALSE),1)</f>
        <v>0</v>
      </c>
      <c r="Q138" s="10">
        <f>SUMIFS(Q$3:Q$64,$A$3:$A$64,$A138,$D$3:$D$64,$B138)*SUMIF('RES balance'!$D$5:$D$25,'RES Assumptions'!$A138,'RES balance'!Q$5:Q$25)*IFERROR(VLOOKUP($C138,$C$68:$AH$83,Q$67,FALSE),1)</f>
        <v>0</v>
      </c>
      <c r="R138" s="10">
        <f>SUMIFS(R$3:R$64,$A$3:$A$64,$A138,$D$3:$D$64,$B138)*SUMIF('RES balance'!$D$5:$D$25,'RES Assumptions'!$A138,'RES balance'!R$5:R$25)*IFERROR(VLOOKUP($C138,$C$68:$AH$83,R$67,FALSE),1)</f>
        <v>0</v>
      </c>
      <c r="S138" s="10">
        <f>SUMIFS(S$3:S$64,$A$3:$A$64,$A138,$D$3:$D$64,$B138)*SUMIF('RES balance'!$D$5:$D$25,'RES Assumptions'!$A138,'RES balance'!S$5:S$25)*IFERROR(VLOOKUP($C138,$C$68:$AH$83,S$67,FALSE),1)</f>
        <v>0</v>
      </c>
      <c r="T138" s="10">
        <f>SUMIFS(T$3:T$64,$A$3:$A$64,$A138,$D$3:$D$64,$B138)*SUMIF('RES balance'!$D$5:$D$25,'RES Assumptions'!$A138,'RES balance'!T$5:T$25)*IFERROR(VLOOKUP($C138,$C$68:$AH$83,T$67,FALSE),1)</f>
        <v>0</v>
      </c>
      <c r="U138" s="10">
        <f>SUMIFS(U$3:U$64,$A$3:$A$64,$A138,$D$3:$D$64,$B138)*SUMIF('RES balance'!$D$5:$D$25,'RES Assumptions'!$A138,'RES balance'!U$5:U$25)*IFERROR(VLOOKUP($C138,$C$68:$AH$83,U$67,FALSE),1)</f>
        <v>0</v>
      </c>
      <c r="V138" s="10">
        <f>SUMIFS(V$3:V$64,$A$3:$A$64,$A138,$D$3:$D$64,$B138)*SUMIF('RES balance'!$D$5:$D$25,'RES Assumptions'!$A138,'RES balance'!V$5:V$25)*IFERROR(VLOOKUP($C138,$C$68:$AH$83,V$67,FALSE),1)</f>
        <v>0</v>
      </c>
      <c r="W138" s="10">
        <f>SUMIFS(W$3:W$64,$A$3:$A$64,$A138,$D$3:$D$64,$B138)*SUMIF('RES balance'!$D$5:$D$25,'RES Assumptions'!$A138,'RES balance'!W$5:W$25)*IFERROR(VLOOKUP($C138,$C$68:$AH$83,W$67,FALSE),1)</f>
        <v>0</v>
      </c>
      <c r="X138" s="10">
        <f>SUMIFS(X$3:X$64,$A$3:$A$64,$A138,$D$3:$D$64,$B138)*SUMIF('RES balance'!$D$5:$D$25,'RES Assumptions'!$A138,'RES balance'!X$5:X$25)*IFERROR(VLOOKUP($C138,$C$68:$AH$83,X$67,FALSE),1)</f>
        <v>0</v>
      </c>
      <c r="Y138" s="10">
        <f>SUMIFS(Y$3:Y$64,$A$3:$A$64,$A138,$D$3:$D$64,$B138)*SUMIF('RES balance'!$D$5:$D$25,'RES Assumptions'!$A138,'RES balance'!Y$5:Y$25)*IFERROR(VLOOKUP($C138,$C$68:$AH$83,Y$67,FALSE),1)</f>
        <v>0</v>
      </c>
      <c r="Z138" s="10">
        <f>SUMIFS(Z$3:Z$64,$A$3:$A$64,$A138,$D$3:$D$64,$B138)*SUMIF('RES balance'!$D$5:$D$25,'RES Assumptions'!$A138,'RES balance'!Z$5:Z$25)*IFERROR(VLOOKUP($C138,$C$68:$AH$83,Z$67,FALSE),1)</f>
        <v>0</v>
      </c>
      <c r="AA138" s="10">
        <f>SUMIFS(AA$3:AA$64,$A$3:$A$64,$A138,$D$3:$D$64,$B138)*SUMIF('RES balance'!$D$5:$D$25,'RES Assumptions'!$A138,'RES balance'!AA$5:AA$25)*IFERROR(VLOOKUP($C138,$C$68:$AH$83,AA$67,FALSE),1)</f>
        <v>0</v>
      </c>
      <c r="AB138" s="10">
        <f>SUMIFS(AB$3:AB$64,$A$3:$A$64,$A138,$D$3:$D$64,$B138)*SUMIF('RES balance'!$D$5:$D$25,'RES Assumptions'!$A138,'RES balance'!AB$5:AB$25)*IFERROR(VLOOKUP($C138,$C$68:$AH$83,AB$67,FALSE),1)</f>
        <v>0</v>
      </c>
      <c r="AC138" s="10">
        <f>SUMIFS(AC$3:AC$64,$A$3:$A$64,$A138,$D$3:$D$64,$B138)*SUMIF('RES balance'!$D$5:$D$25,'RES Assumptions'!$A138,'RES balance'!AC$5:AC$25)*IFERROR(VLOOKUP($C138,$C$68:$AH$83,AC$67,FALSE),1)</f>
        <v>0</v>
      </c>
      <c r="AD138" s="10">
        <f>SUMIFS(AD$3:AD$64,$A$3:$A$64,$A138,$D$3:$D$64,$B138)*SUMIF('RES balance'!$D$5:$D$25,'RES Assumptions'!$A138,'RES balance'!AD$5:AD$25)*IFERROR(VLOOKUP($C138,$C$68:$AH$83,AD$67,FALSE),1)</f>
        <v>0</v>
      </c>
      <c r="AE138" s="10">
        <f>SUMIFS(AE$3:AE$64,$A$3:$A$64,$A138,$D$3:$D$64,$B138)*SUMIF('RES balance'!$D$5:$D$25,'RES Assumptions'!$A138,'RES balance'!AE$5:AE$25)*IFERROR(VLOOKUP($C138,$C$68:$AH$83,AE$67,FALSE),1)</f>
        <v>0</v>
      </c>
      <c r="AF138" s="10">
        <f>SUMIFS(AF$3:AF$64,$A$3:$A$64,$A138,$D$3:$D$64,$B138)*SUMIF('RES balance'!$D$5:$D$25,'RES Assumptions'!$A138,'RES balance'!AF$5:AF$25)*IFERROR(VLOOKUP($C138,$C$68:$AH$83,AF$67,FALSE),1)</f>
        <v>0</v>
      </c>
      <c r="AG138" s="10">
        <f>SUMIFS(AG$3:AG$64,$A$3:$A$64,$A138,$D$3:$D$64,$B138)*SUMIF('RES balance'!$D$5:$D$25,'RES Assumptions'!$A138,'RES balance'!AG$5:AG$25)*IFERROR(VLOOKUP($C138,$C$68:$AH$83,AG$67,FALSE),1)</f>
        <v>0</v>
      </c>
      <c r="AH138" s="10">
        <f>SUMIFS(AH$3:AH$64,$A$3:$A$64,$A138,$D$3:$D$64,$B138)*SUMIF('RES balance'!$D$5:$D$25,'RES Assumptions'!$A138,'RES balance'!AH$5:AH$25)*IFERROR(VLOOKUP($C138,$C$68:$AH$83,AH$67,FALSE),1)</f>
        <v>0</v>
      </c>
    </row>
    <row r="139" spans="1:34" x14ac:dyDescent="0.45">
      <c r="A139" s="8" t="str">
        <f t="shared" si="26"/>
        <v>RESKER</v>
      </c>
      <c r="B139" s="8" t="str">
        <f t="shared" si="23"/>
        <v>ROT</v>
      </c>
      <c r="C139" s="48" t="str">
        <f>SUBSTITUTE(SUBSTITUTE(SUBSTITUTE('RES Veda input'!B56,"1",""),"000",""),"RRF","RR")</f>
        <v>ROTKER</v>
      </c>
      <c r="E139" s="10">
        <f ca="1">SUMIFS(E$3:E$64,$A$3:$A$64,$A139,$D$3:$D$64,$B139)*SUMIF('RES balance'!$D$5:$D$25,'RES Assumptions'!$A139,'RES balance'!E$5:E$25)*IFERROR(VLOOKUP($C139,$C$68:$AH$83,E$67,FALSE),1)</f>
        <v>0</v>
      </c>
      <c r="F139" s="10">
        <f ca="1">SUMIFS(F$3:F$64,$A$3:$A$64,$A139,$D$3:$D$64,$B139)*SUMIF('RES balance'!$D$5:$D$25,'RES Assumptions'!$A139,'RES balance'!F$5:F$25)*IFERROR(VLOOKUP($C139,$C$68:$AH$83,F$67,FALSE),1)</f>
        <v>0</v>
      </c>
      <c r="G139" s="10">
        <f ca="1">SUMIFS(G$3:G$64,$A$3:$A$64,$A139,$D$3:$D$64,$B139)*SUMIF('RES balance'!$D$5:$D$25,'RES Assumptions'!$A139,'RES balance'!G$5:G$25)*IFERROR(VLOOKUP($C139,$C$68:$AH$83,G$67,FALSE),1)</f>
        <v>0.541041610813636</v>
      </c>
      <c r="H139" s="10">
        <f ca="1">SUMIFS(H$3:H$64,$A$3:$A$64,$A139,$D$3:$D$64,$B139)*SUMIF('RES balance'!$D$5:$D$25,'RES Assumptions'!$A139,'RES balance'!H$5:H$25)*IFERROR(VLOOKUP($C139,$C$68:$AH$83,H$67,FALSE),1)</f>
        <v>1.3734311440633442E-2</v>
      </c>
      <c r="I139" s="10">
        <f ca="1">SUMIFS(I$3:I$64,$A$3:$A$64,$A139,$D$3:$D$64,$B139)*SUMIF('RES balance'!$D$5:$D$25,'RES Assumptions'!$A139,'RES balance'!I$5:I$25)*IFERROR(VLOOKUP($C139,$C$68:$AH$83,I$67,FALSE),1)</f>
        <v>0</v>
      </c>
      <c r="J139" s="10">
        <f ca="1">SUMIFS(J$3:J$64,$A$3:$A$64,$A139,$D$3:$D$64,$B139)*SUMIF('RES balance'!$D$5:$D$25,'RES Assumptions'!$A139,'RES balance'!J$5:J$25)*IFERROR(VLOOKUP($C139,$C$68:$AH$83,J$67,FALSE),1)</f>
        <v>0</v>
      </c>
      <c r="K139" s="10">
        <f ca="1">SUMIFS(K$3:K$64,$A$3:$A$64,$A139,$D$3:$D$64,$B139)*SUMIF('RES balance'!$D$5:$D$25,'RES Assumptions'!$A139,'RES balance'!K$5:K$25)*IFERROR(VLOOKUP($C139,$C$68:$AH$83,K$67,FALSE),1)</f>
        <v>0</v>
      </c>
      <c r="L139" s="10">
        <f ca="1">SUMIFS(L$3:L$64,$A$3:$A$64,$A139,$D$3:$D$64,$B139)*SUMIF('RES balance'!$D$5:$D$25,'RES Assumptions'!$A139,'RES balance'!L$5:L$25)*IFERROR(VLOOKUP($C139,$C$68:$AH$83,L$67,FALSE),1)</f>
        <v>9.5432685693446154E-3</v>
      </c>
      <c r="M139" s="10">
        <f ca="1">SUMIFS(M$3:M$64,$A$3:$A$64,$A139,$D$3:$D$64,$B139)*SUMIF('RES balance'!$D$5:$D$25,'RES Assumptions'!$A139,'RES balance'!M$5:M$25)*IFERROR(VLOOKUP($C139,$C$68:$AH$83,M$67,FALSE),1)</f>
        <v>0</v>
      </c>
      <c r="N139" s="10">
        <f ca="1">SUMIFS(N$3:N$64,$A$3:$A$64,$A139,$D$3:$D$64,$B139)*SUMIF('RES balance'!$D$5:$D$25,'RES Assumptions'!$A139,'RES balance'!N$5:N$25)*IFERROR(VLOOKUP($C139,$C$68:$AH$83,N$67,FALSE),1)</f>
        <v>0</v>
      </c>
      <c r="O139" s="10">
        <f ca="1">SUMIFS(O$3:O$64,$A$3:$A$64,$A139,$D$3:$D$64,$B139)*SUMIF('RES balance'!$D$5:$D$25,'RES Assumptions'!$A139,'RES balance'!O$5:O$25)*IFERROR(VLOOKUP($C139,$C$68:$AH$83,O$67,FALSE),1)</f>
        <v>3.6071711350014806E-4</v>
      </c>
      <c r="P139" s="10">
        <f ca="1">SUMIFS(P$3:P$64,$A$3:$A$64,$A139,$D$3:$D$64,$B139)*SUMIF('RES balance'!$D$5:$D$25,'RES Assumptions'!$A139,'RES balance'!P$5:P$25)*IFERROR(VLOOKUP($C139,$C$68:$AH$83,P$67,FALSE),1)</f>
        <v>0</v>
      </c>
      <c r="Q139" s="10">
        <f ca="1">SUMIFS(Q$3:Q$64,$A$3:$A$64,$A139,$D$3:$D$64,$B139)*SUMIF('RES balance'!$D$5:$D$25,'RES Assumptions'!$A139,'RES balance'!Q$5:Q$25)*IFERROR(VLOOKUP($C139,$C$68:$AH$83,Q$67,FALSE),1)</f>
        <v>8.0562984388085249E-2</v>
      </c>
      <c r="R139" s="10">
        <f ca="1">SUMIFS(R$3:R$64,$A$3:$A$64,$A139,$D$3:$D$64,$B139)*SUMIF('RES balance'!$D$5:$D$25,'RES Assumptions'!$A139,'RES balance'!R$5:R$25)*IFERROR(VLOOKUP($C139,$C$68:$AH$83,R$67,FALSE),1)</f>
        <v>1.7428856912931542E-3</v>
      </c>
      <c r="S139" s="10">
        <f ca="1">SUMIFS(S$3:S$64,$A$3:$A$64,$A139,$D$3:$D$64,$B139)*SUMIF('RES balance'!$D$5:$D$25,'RES Assumptions'!$A139,'RES balance'!S$5:S$25)*IFERROR(VLOOKUP($C139,$C$68:$AH$83,S$67,FALSE),1)</f>
        <v>0</v>
      </c>
      <c r="T139" s="10">
        <f ca="1">SUMIFS(T$3:T$64,$A$3:$A$64,$A139,$D$3:$D$64,$B139)*SUMIF('RES balance'!$D$5:$D$25,'RES Assumptions'!$A139,'RES balance'!T$5:T$25)*IFERROR(VLOOKUP($C139,$C$68:$AH$83,T$67,FALSE),1)</f>
        <v>9.8644573510890487E-6</v>
      </c>
      <c r="U139" s="10">
        <f ca="1">SUMIFS(U$3:U$64,$A$3:$A$64,$A139,$D$3:$D$64,$B139)*SUMIF('RES balance'!$D$5:$D$25,'RES Assumptions'!$A139,'RES balance'!U$5:U$25)*IFERROR(VLOOKUP($C139,$C$68:$AH$83,U$67,FALSE),1)</f>
        <v>0</v>
      </c>
      <c r="V139" s="10">
        <f ca="1">SUMIFS(V$3:V$64,$A$3:$A$64,$A139,$D$3:$D$64,$B139)*SUMIF('RES balance'!$D$5:$D$25,'RES Assumptions'!$A139,'RES balance'!V$5:V$25)*IFERROR(VLOOKUP($C139,$C$68:$AH$83,V$67,FALSE),1)</f>
        <v>1.7027430726174245E-2</v>
      </c>
      <c r="W139" s="10">
        <f ca="1">SUMIFS(W$3:W$64,$A$3:$A$64,$A139,$D$3:$D$64,$B139)*SUMIF('RES balance'!$D$5:$D$25,'RES Assumptions'!$A139,'RES balance'!W$5:W$25)*IFERROR(VLOOKUP($C139,$C$68:$AH$83,W$67,FALSE),1)</f>
        <v>5.9770657904504362E-4</v>
      </c>
      <c r="X139" s="10">
        <f ca="1">SUMIFS(X$3:X$64,$A$3:$A$64,$A139,$D$3:$D$64,$B139)*SUMIF('RES balance'!$D$5:$D$25,'RES Assumptions'!$A139,'RES balance'!X$5:X$25)*IFERROR(VLOOKUP($C139,$C$68:$AH$83,X$67,FALSE),1)</f>
        <v>0</v>
      </c>
      <c r="Y139" s="10">
        <f ca="1">SUMIFS(Y$3:Y$64,$A$3:$A$64,$A139,$D$3:$D$64,$B139)*SUMIF('RES balance'!$D$5:$D$25,'RES Assumptions'!$A139,'RES balance'!Y$5:Y$25)*IFERROR(VLOOKUP($C139,$C$68:$AH$83,Y$67,FALSE),1)</f>
        <v>1.2972363437013814</v>
      </c>
      <c r="Z139" s="10">
        <f ca="1">SUMIFS(Z$3:Z$64,$A$3:$A$64,$A139,$D$3:$D$64,$B139)*SUMIF('RES balance'!$D$5:$D$25,'RES Assumptions'!$A139,'RES balance'!Z$5:Z$25)*IFERROR(VLOOKUP($C139,$C$68:$AH$83,Z$67,FALSE),1)</f>
        <v>0</v>
      </c>
      <c r="AA139" s="10">
        <f ca="1">SUMIFS(AA$3:AA$64,$A$3:$A$64,$A139,$D$3:$D$64,$B139)*SUMIF('RES balance'!$D$5:$D$25,'RES Assumptions'!$A139,'RES balance'!AA$5:AA$25)*IFERROR(VLOOKUP($C139,$C$68:$AH$83,AA$67,FALSE),1)</f>
        <v>0</v>
      </c>
      <c r="AB139" s="10">
        <f ca="1">SUMIFS(AB$3:AB$64,$A$3:$A$64,$A139,$D$3:$D$64,$B139)*SUMIF('RES balance'!$D$5:$D$25,'RES Assumptions'!$A139,'RES balance'!AB$5:AB$25)*IFERROR(VLOOKUP($C139,$C$68:$AH$83,AB$67,FALSE),1)</f>
        <v>5.6082883386427603E-5</v>
      </c>
      <c r="AC139" s="10">
        <f ca="1">SUMIFS(AC$3:AC$64,$A$3:$A$64,$A139,$D$3:$D$64,$B139)*SUMIF('RES balance'!$D$5:$D$25,'RES Assumptions'!$A139,'RES balance'!AC$5:AC$25)*IFERROR(VLOOKUP($C139,$C$68:$AH$83,AC$67,FALSE),1)</f>
        <v>0</v>
      </c>
      <c r="AD139" s="10">
        <f ca="1">SUMIFS(AD$3:AD$64,$A$3:$A$64,$A139,$D$3:$D$64,$B139)*SUMIF('RES balance'!$D$5:$D$25,'RES Assumptions'!$A139,'RES balance'!AD$5:AD$25)*IFERROR(VLOOKUP($C139,$C$68:$AH$83,AD$67,FALSE),1)</f>
        <v>0</v>
      </c>
      <c r="AE139" s="10">
        <f ca="1">SUMIFS(AE$3:AE$64,$A$3:$A$64,$A139,$D$3:$D$64,$B139)*SUMIF('RES balance'!$D$5:$D$25,'RES Assumptions'!$A139,'RES balance'!AE$5:AE$25)*IFERROR(VLOOKUP($C139,$C$68:$AH$83,AE$67,FALSE),1)</f>
        <v>0</v>
      </c>
      <c r="AF139" s="10">
        <f ca="1">SUMIFS(AF$3:AF$64,$A$3:$A$64,$A139,$D$3:$D$64,$B139)*SUMIF('RES balance'!$D$5:$D$25,'RES Assumptions'!$A139,'RES balance'!AF$5:AF$25)*IFERROR(VLOOKUP($C139,$C$68:$AH$83,AF$67,FALSE),1)</f>
        <v>0.17870400499496217</v>
      </c>
      <c r="AG139" s="10">
        <f ca="1">SUMIFS(AG$3:AG$64,$A$3:$A$64,$A139,$D$3:$D$64,$B139)*SUMIF('RES balance'!$D$5:$D$25,'RES Assumptions'!$A139,'RES balance'!AG$5:AG$25)*IFERROR(VLOOKUP($C139,$C$68:$AH$83,AG$67,FALSE),1)</f>
        <v>0</v>
      </c>
      <c r="AH139" s="10">
        <f ca="1">SUMIFS(AH$3:AH$64,$A$3:$A$64,$A139,$D$3:$D$64,$B139)*SUMIF('RES balance'!$D$5:$D$25,'RES Assumptions'!$A139,'RES balance'!AH$5:AH$25)*IFERROR(VLOOKUP($C139,$C$68:$AH$83,AH$67,FALSE),1)</f>
        <v>0</v>
      </c>
    </row>
    <row r="140" spans="1:34" x14ac:dyDescent="0.45">
      <c r="A140" s="8" t="str">
        <f t="shared" si="26"/>
        <v>RESLPG</v>
      </c>
      <c r="B140" s="8" t="str">
        <f t="shared" si="23"/>
        <v>ROT</v>
      </c>
      <c r="C140" s="48" t="str">
        <f>SUBSTITUTE(SUBSTITUTE(SUBSTITUTE('RES Veda input'!B57,"1",""),"000",""),"RRF","RR")</f>
        <v>ROTLPG</v>
      </c>
      <c r="E140" s="10">
        <f ca="1">SUMIFS(E$3:E$64,$A$3:$A$64,$A140,$D$3:$D$64,$B140)*SUMIF('RES balance'!$D$5:$D$25,'RES Assumptions'!$A140,'RES balance'!E$5:E$25)*IFERROR(VLOOKUP($C140,$C$68:$AH$83,E$67,FALSE),1)</f>
        <v>7.1231066274358312</v>
      </c>
      <c r="F140" s="10">
        <f ca="1">SUMIFS(F$3:F$64,$A$3:$A$64,$A140,$D$3:$D$64,$B140)*SUMIF('RES balance'!$D$5:$D$25,'RES Assumptions'!$A140,'RES balance'!F$5:F$25)*IFERROR(VLOOKUP($C140,$C$68:$AH$83,F$67,FALSE),1)</f>
        <v>2.2144920984917014</v>
      </c>
      <c r="G140" s="10">
        <f ca="1">SUMIFS(G$3:G$64,$A$3:$A$64,$A140,$D$3:$D$64,$B140)*SUMIF('RES balance'!$D$5:$D$25,'RES Assumptions'!$A140,'RES balance'!G$5:G$25)*IFERROR(VLOOKUP($C140,$C$68:$AH$83,G$67,FALSE),1)</f>
        <v>1.6578271641881819</v>
      </c>
      <c r="H140" s="10">
        <f ca="1">SUMIFS(H$3:H$64,$A$3:$A$64,$A140,$D$3:$D$64,$B140)*SUMIF('RES balance'!$D$5:$D$25,'RES Assumptions'!$A140,'RES balance'!H$5:H$25)*IFERROR(VLOOKUP($C140,$C$68:$AH$83,H$67,FALSE),1)</f>
        <v>0.13804517367485977</v>
      </c>
      <c r="I140" s="10">
        <f ca="1">SUMIFS(I$3:I$64,$A$3:$A$64,$A140,$D$3:$D$64,$B140)*SUMIF('RES balance'!$D$5:$D$25,'RES Assumptions'!$A140,'RES balance'!I$5:I$25)*IFERROR(VLOOKUP($C140,$C$68:$AH$83,I$67,FALSE),1)</f>
        <v>0</v>
      </c>
      <c r="J140" s="10">
        <f ca="1">SUMIFS(J$3:J$64,$A$3:$A$64,$A140,$D$3:$D$64,$B140)*SUMIF('RES balance'!$D$5:$D$25,'RES Assumptions'!$A140,'RES balance'!J$5:J$25)*IFERROR(VLOOKUP($C140,$C$68:$AH$83,J$67,FALSE),1)</f>
        <v>4.3673690268149716</v>
      </c>
      <c r="K140" s="10">
        <f ca="1">SUMIFS(K$3:K$64,$A$3:$A$64,$A140,$D$3:$D$64,$B140)*SUMIF('RES balance'!$D$5:$D$25,'RES Assumptions'!$A140,'RES balance'!K$5:K$25)*IFERROR(VLOOKUP($C140,$C$68:$AH$83,K$67,FALSE),1)</f>
        <v>0</v>
      </c>
      <c r="L140" s="10">
        <f ca="1">SUMIFS(L$3:L$64,$A$3:$A$64,$A140,$D$3:$D$64,$B140)*SUMIF('RES balance'!$D$5:$D$25,'RES Assumptions'!$A140,'RES balance'!L$5:L$25)*IFERROR(VLOOKUP($C140,$C$68:$AH$83,L$67,FALSE),1)</f>
        <v>4.9349540917510657</v>
      </c>
      <c r="M140" s="10">
        <f ca="1">SUMIFS(M$3:M$64,$A$3:$A$64,$A140,$D$3:$D$64,$B140)*SUMIF('RES balance'!$D$5:$D$25,'RES Assumptions'!$A140,'RES balance'!M$5:M$25)*IFERROR(VLOOKUP($C140,$C$68:$AH$83,M$67,FALSE),1)</f>
        <v>0</v>
      </c>
      <c r="N140" s="10">
        <f ca="1">SUMIFS(N$3:N$64,$A$3:$A$64,$A140,$D$3:$D$64,$B140)*SUMIF('RES balance'!$D$5:$D$25,'RES Assumptions'!$A140,'RES balance'!N$5:N$25)*IFERROR(VLOOKUP($C140,$C$68:$AH$83,N$67,FALSE),1)</f>
        <v>0</v>
      </c>
      <c r="O140" s="10">
        <f ca="1">SUMIFS(O$3:O$64,$A$3:$A$64,$A140,$D$3:$D$64,$B140)*SUMIF('RES balance'!$D$5:$D$25,'RES Assumptions'!$A140,'RES balance'!O$5:O$25)*IFERROR(VLOOKUP($C140,$C$68:$AH$83,O$67,FALSE),1)</f>
        <v>2.7796236696325375E-3</v>
      </c>
      <c r="P140" s="10">
        <f ca="1">SUMIFS(P$3:P$64,$A$3:$A$64,$A140,$D$3:$D$64,$B140)*SUMIF('RES balance'!$D$5:$D$25,'RES Assumptions'!$A140,'RES balance'!P$5:P$25)*IFERROR(VLOOKUP($C140,$C$68:$AH$83,P$67,FALSE),1)</f>
        <v>8.4556077645112748E-2</v>
      </c>
      <c r="Q140" s="10">
        <f ca="1">SUMIFS(Q$3:Q$64,$A$3:$A$64,$A140,$D$3:$D$64,$B140)*SUMIF('RES balance'!$D$5:$D$25,'RES Assumptions'!$A140,'RES balance'!Q$5:Q$25)*IFERROR(VLOOKUP($C140,$C$68:$AH$83,Q$67,FALSE),1)</f>
        <v>1.8322177126872497E-2</v>
      </c>
      <c r="R140" s="10">
        <f ca="1">SUMIFS(R$3:R$64,$A$3:$A$64,$A140,$D$3:$D$64,$B140)*SUMIF('RES balance'!$D$5:$D$25,'RES Assumptions'!$A140,'RES balance'!R$5:R$25)*IFERROR(VLOOKUP($C140,$C$68:$AH$83,R$67,FALSE),1)</f>
        <v>0.12129944921608939</v>
      </c>
      <c r="S140" s="10">
        <f ca="1">SUMIFS(S$3:S$64,$A$3:$A$64,$A140,$D$3:$D$64,$B140)*SUMIF('RES balance'!$D$5:$D$25,'RES Assumptions'!$A140,'RES balance'!S$5:S$25)*IFERROR(VLOOKUP($C140,$C$68:$AH$83,S$67,FALSE),1)</f>
        <v>5.2945444062700207E-2</v>
      </c>
      <c r="T140" s="10">
        <f ca="1">SUMIFS(T$3:T$64,$A$3:$A$64,$A140,$D$3:$D$64,$B140)*SUMIF('RES balance'!$D$5:$D$25,'RES Assumptions'!$A140,'RES balance'!T$5:T$25)*IFERROR(VLOOKUP($C140,$C$68:$AH$83,T$67,FALSE),1)</f>
        <v>0.11978900389447322</v>
      </c>
      <c r="U140" s="10">
        <f ca="1">SUMIFS(U$3:U$64,$A$3:$A$64,$A140,$D$3:$D$64,$B140)*SUMIF('RES balance'!$D$5:$D$25,'RES Assumptions'!$A140,'RES balance'!U$5:U$25)*IFERROR(VLOOKUP($C140,$C$68:$AH$83,U$67,FALSE),1)</f>
        <v>5.3609393242119382E-4</v>
      </c>
      <c r="V140" s="10">
        <f ca="1">SUMIFS(V$3:V$64,$A$3:$A$64,$A140,$D$3:$D$64,$B140)*SUMIF('RES balance'!$D$5:$D$25,'RES Assumptions'!$A140,'RES balance'!V$5:V$25)*IFERROR(VLOOKUP($C140,$C$68:$AH$83,V$67,FALSE),1)</f>
        <v>7.9064906011525771E-2</v>
      </c>
      <c r="W140" s="10">
        <f ca="1">SUMIFS(W$3:W$64,$A$3:$A$64,$A140,$D$3:$D$64,$B140)*SUMIF('RES balance'!$D$5:$D$25,'RES Assumptions'!$A140,'RES balance'!W$5:W$25)*IFERROR(VLOOKUP($C140,$C$68:$AH$83,W$67,FALSE),1)</f>
        <v>8.1524715632210309E-2</v>
      </c>
      <c r="X140" s="10">
        <f ca="1">SUMIFS(X$3:X$64,$A$3:$A$64,$A140,$D$3:$D$64,$B140)*SUMIF('RES balance'!$D$5:$D$25,'RES Assumptions'!$A140,'RES balance'!X$5:X$25)*IFERROR(VLOOKUP($C140,$C$68:$AH$83,X$67,FALSE),1)</f>
        <v>0</v>
      </c>
      <c r="Y140" s="10">
        <f ca="1">SUMIFS(Y$3:Y$64,$A$3:$A$64,$A140,$D$3:$D$64,$B140)*SUMIF('RES balance'!$D$5:$D$25,'RES Assumptions'!$A140,'RES balance'!Y$5:Y$25)*IFERROR(VLOOKUP($C140,$C$68:$AH$83,Y$67,FALSE),1)</f>
        <v>4.1146627563534279</v>
      </c>
      <c r="Z140" s="10">
        <f ca="1">SUMIFS(Z$3:Z$64,$A$3:$A$64,$A140,$D$3:$D$64,$B140)*SUMIF('RES balance'!$D$5:$D$25,'RES Assumptions'!$A140,'RES balance'!Z$5:Z$25)*IFERROR(VLOOKUP($C140,$C$68:$AH$83,Z$67,FALSE),1)</f>
        <v>0.474844844253271</v>
      </c>
      <c r="AA140" s="10">
        <f ca="1">SUMIFS(AA$3:AA$64,$A$3:$A$64,$A140,$D$3:$D$64,$B140)*SUMIF('RES balance'!$D$5:$D$25,'RES Assumptions'!$A140,'RES balance'!AA$5:AA$25)*IFERROR(VLOOKUP($C140,$C$68:$AH$83,AA$67,FALSE),1)</f>
        <v>7.5004014553300413E-3</v>
      </c>
      <c r="AB140" s="10">
        <f ca="1">SUMIFS(AB$3:AB$64,$A$3:$A$64,$A140,$D$3:$D$64,$B140)*SUMIF('RES balance'!$D$5:$D$25,'RES Assumptions'!$A140,'RES balance'!AB$5:AB$25)*IFERROR(VLOOKUP($C140,$C$68:$AH$83,AB$67,FALSE),1)</f>
        <v>5.5894711830271134E-4</v>
      </c>
      <c r="AC140" s="10">
        <f ca="1">SUMIFS(AC$3:AC$64,$A$3:$A$64,$A140,$D$3:$D$64,$B140)*SUMIF('RES balance'!$D$5:$D$25,'RES Assumptions'!$A140,'RES balance'!AC$5:AC$25)*IFERROR(VLOOKUP($C140,$C$68:$AH$83,AC$67,FALSE),1)</f>
        <v>1.0742737732519034</v>
      </c>
      <c r="AD140" s="10">
        <f ca="1">SUMIFS(AD$3:AD$64,$A$3:$A$64,$A140,$D$3:$D$64,$B140)*SUMIF('RES balance'!$D$5:$D$25,'RES Assumptions'!$A140,'RES balance'!AD$5:AD$25)*IFERROR(VLOOKUP($C140,$C$68:$AH$83,AD$67,FALSE),1)</f>
        <v>1.2888486976834397E-3</v>
      </c>
      <c r="AE140" s="10">
        <f ca="1">SUMIFS(AE$3:AE$64,$A$3:$A$64,$A140,$D$3:$D$64,$B140)*SUMIF('RES balance'!$D$5:$D$25,'RES Assumptions'!$A140,'RES balance'!AE$5:AE$25)*IFERROR(VLOOKUP($C140,$C$68:$AH$83,AE$67,FALSE),1)</f>
        <v>0.18289791161190105</v>
      </c>
      <c r="AF140" s="10">
        <f ca="1">SUMIFS(AF$3:AF$64,$A$3:$A$64,$A140,$D$3:$D$64,$B140)*SUMIF('RES balance'!$D$5:$D$25,'RES Assumptions'!$A140,'RES balance'!AF$5:AF$25)*IFERROR(VLOOKUP($C140,$C$68:$AH$83,AF$67,FALSE),1)</f>
        <v>2.2708630693045261E-2</v>
      </c>
      <c r="AG140" s="10">
        <f ca="1">SUMIFS(AG$3:AG$64,$A$3:$A$64,$A140,$D$3:$D$64,$B140)*SUMIF('RES balance'!$D$5:$D$25,'RES Assumptions'!$A140,'RES balance'!AG$5:AG$25)*IFERROR(VLOOKUP($C140,$C$68:$AH$83,AG$67,FALSE),1)</f>
        <v>0</v>
      </c>
      <c r="AH140" s="10">
        <f ca="1">SUMIFS(AH$3:AH$64,$A$3:$A$64,$A140,$D$3:$D$64,$B140)*SUMIF('RES balance'!$D$5:$D$25,'RES Assumptions'!$A140,'RES balance'!AH$5:AH$25)*IFERROR(VLOOKUP($C140,$C$68:$AH$83,AH$67,FALSE),1)</f>
        <v>0</v>
      </c>
    </row>
    <row r="141" spans="1:34" x14ac:dyDescent="0.45">
      <c r="A141" s="8" t="str">
        <f t="shared" si="26"/>
        <v>RESNGA</v>
      </c>
      <c r="B141" s="8" t="str">
        <f t="shared" si="23"/>
        <v>ROT</v>
      </c>
      <c r="C141" s="48" t="str">
        <f>SUBSTITUTE(SUBSTITUTE(SUBSTITUTE('RES Veda input'!B58,"1",""),"000",""),"RRF","RR")</f>
        <v>ROTNGA</v>
      </c>
      <c r="E141" s="10">
        <f ca="1">SUMIFS(E$3:E$64,$A$3:$A$64,$A141,$D$3:$D$64,$B141)*SUMIF('RES balance'!$D$5:$D$25,'RES Assumptions'!$A141,'RES balance'!E$5:E$25)*IFERROR(VLOOKUP($C141,$C$68:$AH$83,E$67,FALSE),1)</f>
        <v>0</v>
      </c>
      <c r="F141" s="10">
        <f ca="1">SUMIFS(F$3:F$64,$A$3:$A$64,$A141,$D$3:$D$64,$B141)*SUMIF('RES balance'!$D$5:$D$25,'RES Assumptions'!$A141,'RES balance'!F$5:F$25)*IFERROR(VLOOKUP($C141,$C$68:$AH$83,F$67,FALSE),1)</f>
        <v>0</v>
      </c>
      <c r="G141" s="10">
        <f ca="1">SUMIFS(G$3:G$64,$A$3:$A$64,$A141,$D$3:$D$64,$B141)*SUMIF('RES balance'!$D$5:$D$25,'RES Assumptions'!$A141,'RES balance'!G$5:G$25)*IFERROR(VLOOKUP($C141,$C$68:$AH$83,G$67,FALSE),1)</f>
        <v>0</v>
      </c>
      <c r="H141" s="10">
        <f ca="1">SUMIFS(H$3:H$64,$A$3:$A$64,$A141,$D$3:$D$64,$B141)*SUMIF('RES balance'!$D$5:$D$25,'RES Assumptions'!$A141,'RES balance'!H$5:H$25)*IFERROR(VLOOKUP($C141,$C$68:$AH$83,H$67,FALSE),1)</f>
        <v>14.699528461026329</v>
      </c>
      <c r="I141" s="10">
        <f ca="1">SUMIFS(I$3:I$64,$A$3:$A$64,$A141,$D$3:$D$64,$B141)*SUMIF('RES balance'!$D$5:$D$25,'RES Assumptions'!$A141,'RES balance'!I$5:I$25)*IFERROR(VLOOKUP($C141,$C$68:$AH$83,I$67,FALSE),1)</f>
        <v>0</v>
      </c>
      <c r="J141" s="10">
        <f ca="1">SUMIFS(J$3:J$64,$A$3:$A$64,$A141,$D$3:$D$64,$B141)*SUMIF('RES balance'!$D$5:$D$25,'RES Assumptions'!$A141,'RES balance'!J$5:J$25)*IFERROR(VLOOKUP($C141,$C$68:$AH$83,J$67,FALSE),1)</f>
        <v>0</v>
      </c>
      <c r="K141" s="10">
        <f ca="1">SUMIFS(K$3:K$64,$A$3:$A$64,$A141,$D$3:$D$64,$B141)*SUMIF('RES balance'!$D$5:$D$25,'RES Assumptions'!$A141,'RES balance'!K$5:K$25)*IFERROR(VLOOKUP($C141,$C$68:$AH$83,K$67,FALSE),1)</f>
        <v>0</v>
      </c>
      <c r="L141" s="10">
        <f ca="1">SUMIFS(L$3:L$64,$A$3:$A$64,$A141,$D$3:$D$64,$B141)*SUMIF('RES balance'!$D$5:$D$25,'RES Assumptions'!$A141,'RES balance'!L$5:L$25)*IFERROR(VLOOKUP($C141,$C$68:$AH$83,L$67,FALSE),1)</f>
        <v>0</v>
      </c>
      <c r="M141" s="10">
        <f ca="1">SUMIFS(M$3:M$64,$A$3:$A$64,$A141,$D$3:$D$64,$B141)*SUMIF('RES balance'!$D$5:$D$25,'RES Assumptions'!$A141,'RES balance'!M$5:M$25)*IFERROR(VLOOKUP($C141,$C$68:$AH$83,M$67,FALSE),1)</f>
        <v>0</v>
      </c>
      <c r="N141" s="10">
        <f ca="1">SUMIFS(N$3:N$64,$A$3:$A$64,$A141,$D$3:$D$64,$B141)*SUMIF('RES balance'!$D$5:$D$25,'RES Assumptions'!$A141,'RES balance'!N$5:N$25)*IFERROR(VLOOKUP($C141,$C$68:$AH$83,N$67,FALSE),1)</f>
        <v>0</v>
      </c>
      <c r="O141" s="10">
        <f ca="1">SUMIFS(O$3:O$64,$A$3:$A$64,$A141,$D$3:$D$64,$B141)*SUMIF('RES balance'!$D$5:$D$25,'RES Assumptions'!$A141,'RES balance'!O$5:O$25)*IFERROR(VLOOKUP($C141,$C$68:$AH$83,O$67,FALSE),1)</f>
        <v>3.0865801164777062E-3</v>
      </c>
      <c r="P141" s="10">
        <f ca="1">SUMIFS(P$3:P$64,$A$3:$A$64,$A141,$D$3:$D$64,$B141)*SUMIF('RES balance'!$D$5:$D$25,'RES Assumptions'!$A141,'RES balance'!P$5:P$25)*IFERROR(VLOOKUP($C141,$C$68:$AH$83,P$67,FALSE),1)</f>
        <v>8.2949903687495397</v>
      </c>
      <c r="Q141" s="10">
        <f ca="1">SUMIFS(Q$3:Q$64,$A$3:$A$64,$A141,$D$3:$D$64,$B141)*SUMIF('RES balance'!$D$5:$D$25,'RES Assumptions'!$A141,'RES balance'!Q$5:Q$25)*IFERROR(VLOOKUP($C141,$C$68:$AH$83,Q$67,FALSE),1)</f>
        <v>4.7902000839271222E-2</v>
      </c>
      <c r="R141" s="10">
        <f ca="1">SUMIFS(R$3:R$64,$A$3:$A$64,$A141,$D$3:$D$64,$B141)*SUMIF('RES balance'!$D$5:$D$25,'RES Assumptions'!$A141,'RES balance'!R$5:R$25)*IFERROR(VLOOKUP($C141,$C$68:$AH$83,R$67,FALSE),1)</f>
        <v>7.406682377648921E-2</v>
      </c>
      <c r="S141" s="10">
        <f ca="1">SUMIFS(S$3:S$64,$A$3:$A$64,$A141,$D$3:$D$64,$B141)*SUMIF('RES balance'!$D$5:$D$25,'RES Assumptions'!$A141,'RES balance'!S$5:S$25)*IFERROR(VLOOKUP($C141,$C$68:$AH$83,S$67,FALSE),1)</f>
        <v>5.9307027654054911</v>
      </c>
      <c r="T141" s="10">
        <f ca="1">SUMIFS(T$3:T$64,$A$3:$A$64,$A141,$D$3:$D$64,$B141)*SUMIF('RES balance'!$D$5:$D$25,'RES Assumptions'!$A141,'RES balance'!T$5:T$25)*IFERROR(VLOOKUP($C141,$C$68:$AH$83,T$67,FALSE),1)</f>
        <v>1.6783225748780543E-2</v>
      </c>
      <c r="U141" s="10">
        <f ca="1">SUMIFS(U$3:U$64,$A$3:$A$64,$A141,$D$3:$D$64,$B141)*SUMIF('RES balance'!$D$5:$D$25,'RES Assumptions'!$A141,'RES balance'!U$5:U$25)*IFERROR(VLOOKUP($C141,$C$68:$AH$83,U$67,FALSE),1)</f>
        <v>0</v>
      </c>
      <c r="V141" s="10">
        <f ca="1">SUMIFS(V$3:V$64,$A$3:$A$64,$A141,$D$3:$D$64,$B141)*SUMIF('RES balance'!$D$5:$D$25,'RES Assumptions'!$A141,'RES balance'!V$5:V$25)*IFERROR(VLOOKUP($C141,$C$68:$AH$83,V$67,FALSE),1)</f>
        <v>5.0973123434292868E-2</v>
      </c>
      <c r="W141" s="10">
        <f ca="1">SUMIFS(W$3:W$64,$A$3:$A$64,$A141,$D$3:$D$64,$B141)*SUMIF('RES balance'!$D$5:$D$25,'RES Assumptions'!$A141,'RES balance'!W$5:W$25)*IFERROR(VLOOKUP($C141,$C$68:$AH$83,W$67,FALSE),1)</f>
        <v>0.1016958572710719</v>
      </c>
      <c r="X141" s="10">
        <f ca="1">SUMIFS(X$3:X$64,$A$3:$A$64,$A141,$D$3:$D$64,$B141)*SUMIF('RES balance'!$D$5:$D$25,'RES Assumptions'!$A141,'RES balance'!X$5:X$25)*IFERROR(VLOOKUP($C141,$C$68:$AH$83,X$67,FALSE),1)</f>
        <v>0</v>
      </c>
      <c r="Y141" s="10">
        <f ca="1">SUMIFS(Y$3:Y$64,$A$3:$A$64,$A141,$D$3:$D$64,$B141)*SUMIF('RES balance'!$D$5:$D$25,'RES Assumptions'!$A141,'RES balance'!Y$5:Y$25)*IFERROR(VLOOKUP($C141,$C$68:$AH$83,Y$67,FALSE),1)</f>
        <v>0</v>
      </c>
      <c r="Z141" s="10">
        <f ca="1">SUMIFS(Z$3:Z$64,$A$3:$A$64,$A141,$D$3:$D$64,$B141)*SUMIF('RES balance'!$D$5:$D$25,'RES Assumptions'!$A141,'RES balance'!Z$5:Z$25)*IFERROR(VLOOKUP($C141,$C$68:$AH$83,Z$67,FALSE),1)</f>
        <v>0</v>
      </c>
      <c r="AA141" s="10">
        <f ca="1">SUMIFS(AA$3:AA$64,$A$3:$A$64,$A141,$D$3:$D$64,$B141)*SUMIF('RES balance'!$D$5:$D$25,'RES Assumptions'!$A141,'RES balance'!AA$5:AA$25)*IFERROR(VLOOKUP($C141,$C$68:$AH$83,AA$67,FALSE),1)</f>
        <v>0</v>
      </c>
      <c r="AB141" s="10">
        <f ca="1">SUMIFS(AB$3:AB$64,$A$3:$A$64,$A141,$D$3:$D$64,$B141)*SUMIF('RES balance'!$D$5:$D$25,'RES Assumptions'!$A141,'RES balance'!AB$5:AB$25)*IFERROR(VLOOKUP($C141,$C$68:$AH$83,AB$67,FALSE),1)</f>
        <v>6.9437278605379802E-6</v>
      </c>
      <c r="AC141" s="10">
        <f ca="1">SUMIFS(AC$3:AC$64,$A$3:$A$64,$A141,$D$3:$D$64,$B141)*SUMIF('RES balance'!$D$5:$D$25,'RES Assumptions'!$A141,'RES balance'!AC$5:AC$25)*IFERROR(VLOOKUP($C141,$C$68:$AH$83,AC$67,FALSE),1)</f>
        <v>64.879726536800732</v>
      </c>
      <c r="AD141" s="10">
        <f ca="1">SUMIFS(AD$3:AD$64,$A$3:$A$64,$A141,$D$3:$D$64,$B141)*SUMIF('RES balance'!$D$5:$D$25,'RES Assumptions'!$A141,'RES balance'!AD$5:AD$25)*IFERROR(VLOOKUP($C141,$C$68:$AH$83,AD$67,FALSE),1)</f>
        <v>0</v>
      </c>
      <c r="AE141" s="10">
        <f ca="1">SUMIFS(AE$3:AE$64,$A$3:$A$64,$A141,$D$3:$D$64,$B141)*SUMIF('RES balance'!$D$5:$D$25,'RES Assumptions'!$A141,'RES balance'!AE$5:AE$25)*IFERROR(VLOOKUP($C141,$C$68:$AH$83,AE$67,FALSE),1)</f>
        <v>0</v>
      </c>
      <c r="AF141" s="10">
        <f ca="1">SUMIFS(AF$3:AF$64,$A$3:$A$64,$A141,$D$3:$D$64,$B141)*SUMIF('RES balance'!$D$5:$D$25,'RES Assumptions'!$A141,'RES balance'!AF$5:AF$25)*IFERROR(VLOOKUP($C141,$C$68:$AH$83,AF$67,FALSE),1)</f>
        <v>0.10236554727800105</v>
      </c>
      <c r="AG141" s="10">
        <f ca="1">SUMIFS(AG$3:AG$64,$A$3:$A$64,$A141,$D$3:$D$64,$B141)*SUMIF('RES balance'!$D$5:$D$25,'RES Assumptions'!$A141,'RES balance'!AG$5:AG$25)*IFERROR(VLOOKUP($C141,$C$68:$AH$83,AG$67,FALSE),1)</f>
        <v>0</v>
      </c>
      <c r="AH141" s="10">
        <f ca="1">SUMIFS(AH$3:AH$64,$A$3:$A$64,$A141,$D$3:$D$64,$B141)*SUMIF('RES balance'!$D$5:$D$25,'RES Assumptions'!$A141,'RES balance'!AH$5:AH$25)*IFERROR(VLOOKUP($C141,$C$68:$AH$83,AH$67,FALSE),1)</f>
        <v>0</v>
      </c>
    </row>
    <row r="142" spans="1:34" x14ac:dyDescent="0.45">
      <c r="A142" s="8" t="str">
        <f t="shared" si="26"/>
        <v>RESSTH</v>
      </c>
      <c r="B142" s="8" t="str">
        <f t="shared" si="23"/>
        <v>ROT</v>
      </c>
      <c r="C142" s="48" t="str">
        <f>SUBSTITUTE(SUBSTITUTE(SUBSTITUTE('RES Veda input'!B59,"1",""),"000",""),"RRF","RR")</f>
        <v>ROTSTH</v>
      </c>
      <c r="E142" s="10">
        <f ca="1">SUMIFS(E$3:E$64,$A$3:$A$64,$A142,$D$3:$D$64,$B142)*SUMIF('RES balance'!$D$5:$D$25,'RES Assumptions'!$A142,'RES balance'!E$5:E$25)*IFERROR(VLOOKUP($C142,$C$68:$AH$83,E$67,FALSE),1)</f>
        <v>0</v>
      </c>
      <c r="F142" s="10">
        <f ca="1">SUMIFS(F$3:F$64,$A$3:$A$64,$A142,$D$3:$D$64,$B142)*SUMIF('RES balance'!$D$5:$D$25,'RES Assumptions'!$A142,'RES balance'!F$5:F$25)*IFERROR(VLOOKUP($C142,$C$68:$AH$83,F$67,FALSE),1)</f>
        <v>0</v>
      </c>
      <c r="G142" s="10">
        <f ca="1">SUMIFS(G$3:G$64,$A$3:$A$64,$A142,$D$3:$D$64,$B142)*SUMIF('RES balance'!$D$5:$D$25,'RES Assumptions'!$A142,'RES balance'!G$5:G$25)*IFERROR(VLOOKUP($C142,$C$68:$AH$83,G$67,FALSE),1)</f>
        <v>0</v>
      </c>
      <c r="H142" s="10">
        <f ca="1">SUMIFS(H$3:H$64,$A$3:$A$64,$A142,$D$3:$D$64,$B142)*SUMIF('RES balance'!$D$5:$D$25,'RES Assumptions'!$A142,'RES balance'!H$5:H$25)*IFERROR(VLOOKUP($C142,$C$68:$AH$83,H$67,FALSE),1)</f>
        <v>0</v>
      </c>
      <c r="I142" s="10">
        <f ca="1">SUMIFS(I$3:I$64,$A$3:$A$64,$A142,$D$3:$D$64,$B142)*SUMIF('RES balance'!$D$5:$D$25,'RES Assumptions'!$A142,'RES balance'!I$5:I$25)*IFERROR(VLOOKUP($C142,$C$68:$AH$83,I$67,FALSE),1)</f>
        <v>0</v>
      </c>
      <c r="J142" s="10">
        <f ca="1">SUMIFS(J$3:J$64,$A$3:$A$64,$A142,$D$3:$D$64,$B142)*SUMIF('RES balance'!$D$5:$D$25,'RES Assumptions'!$A142,'RES balance'!J$5:J$25)*IFERROR(VLOOKUP($C142,$C$68:$AH$83,J$67,FALSE),1)</f>
        <v>0</v>
      </c>
      <c r="K142" s="10">
        <f ca="1">SUMIFS(K$3:K$64,$A$3:$A$64,$A142,$D$3:$D$64,$B142)*SUMIF('RES balance'!$D$5:$D$25,'RES Assumptions'!$A142,'RES balance'!K$5:K$25)*IFERROR(VLOOKUP($C142,$C$68:$AH$83,K$67,FALSE),1)</f>
        <v>0</v>
      </c>
      <c r="L142" s="10">
        <f ca="1">SUMIFS(L$3:L$64,$A$3:$A$64,$A142,$D$3:$D$64,$B142)*SUMIF('RES balance'!$D$5:$D$25,'RES Assumptions'!$A142,'RES balance'!L$5:L$25)*IFERROR(VLOOKUP($C142,$C$68:$AH$83,L$67,FALSE),1)</f>
        <v>0</v>
      </c>
      <c r="M142" s="10">
        <f ca="1">SUMIFS(M$3:M$64,$A$3:$A$64,$A142,$D$3:$D$64,$B142)*SUMIF('RES balance'!$D$5:$D$25,'RES Assumptions'!$A142,'RES balance'!M$5:M$25)*IFERROR(VLOOKUP($C142,$C$68:$AH$83,M$67,FALSE),1)</f>
        <v>0</v>
      </c>
      <c r="N142" s="10">
        <f ca="1">SUMIFS(N$3:N$64,$A$3:$A$64,$A142,$D$3:$D$64,$B142)*SUMIF('RES balance'!$D$5:$D$25,'RES Assumptions'!$A142,'RES balance'!N$5:N$25)*IFERROR(VLOOKUP($C142,$C$68:$AH$83,N$67,FALSE),1)</f>
        <v>0</v>
      </c>
      <c r="O142" s="10">
        <f ca="1">SUMIFS(O$3:O$64,$A$3:$A$64,$A142,$D$3:$D$64,$B142)*SUMIF('RES balance'!$D$5:$D$25,'RES Assumptions'!$A142,'RES balance'!O$5:O$25)*IFERROR(VLOOKUP($C142,$C$68:$AH$83,O$67,FALSE),1)</f>
        <v>0</v>
      </c>
      <c r="P142" s="10">
        <f ca="1">SUMIFS(P$3:P$64,$A$3:$A$64,$A142,$D$3:$D$64,$B142)*SUMIF('RES balance'!$D$5:$D$25,'RES Assumptions'!$A142,'RES balance'!P$5:P$25)*IFERROR(VLOOKUP($C142,$C$68:$AH$83,P$67,FALSE),1)</f>
        <v>0</v>
      </c>
      <c r="Q142" s="10">
        <f ca="1">SUMIFS(Q$3:Q$64,$A$3:$A$64,$A142,$D$3:$D$64,$B142)*SUMIF('RES balance'!$D$5:$D$25,'RES Assumptions'!$A142,'RES balance'!Q$5:Q$25)*IFERROR(VLOOKUP($C142,$C$68:$AH$83,Q$67,FALSE),1)</f>
        <v>0</v>
      </c>
      <c r="R142" s="10">
        <f ca="1">SUMIFS(R$3:R$64,$A$3:$A$64,$A142,$D$3:$D$64,$B142)*SUMIF('RES balance'!$D$5:$D$25,'RES Assumptions'!$A142,'RES balance'!R$5:R$25)*IFERROR(VLOOKUP($C142,$C$68:$AH$83,R$67,FALSE),1)</f>
        <v>0</v>
      </c>
      <c r="S142" s="10">
        <f ca="1">SUMIFS(S$3:S$64,$A$3:$A$64,$A142,$D$3:$D$64,$B142)*SUMIF('RES balance'!$D$5:$D$25,'RES Assumptions'!$A142,'RES balance'!S$5:S$25)*IFERROR(VLOOKUP($C142,$C$68:$AH$83,S$67,FALSE),1)</f>
        <v>0</v>
      </c>
      <c r="T142" s="10">
        <f ca="1">SUMIFS(T$3:T$64,$A$3:$A$64,$A142,$D$3:$D$64,$B142)*SUMIF('RES balance'!$D$5:$D$25,'RES Assumptions'!$A142,'RES balance'!T$5:T$25)*IFERROR(VLOOKUP($C142,$C$68:$AH$83,T$67,FALSE),1)</f>
        <v>0</v>
      </c>
      <c r="U142" s="10">
        <f ca="1">SUMIFS(U$3:U$64,$A$3:$A$64,$A142,$D$3:$D$64,$B142)*SUMIF('RES balance'!$D$5:$D$25,'RES Assumptions'!$A142,'RES balance'!U$5:U$25)*IFERROR(VLOOKUP($C142,$C$68:$AH$83,U$67,FALSE),1)</f>
        <v>0</v>
      </c>
      <c r="V142" s="10">
        <f ca="1">SUMIFS(V$3:V$64,$A$3:$A$64,$A142,$D$3:$D$64,$B142)*SUMIF('RES balance'!$D$5:$D$25,'RES Assumptions'!$A142,'RES balance'!V$5:V$25)*IFERROR(VLOOKUP($C142,$C$68:$AH$83,V$67,FALSE),1)</f>
        <v>0</v>
      </c>
      <c r="W142" s="10">
        <f ca="1">SUMIFS(W$3:W$64,$A$3:$A$64,$A142,$D$3:$D$64,$B142)*SUMIF('RES balance'!$D$5:$D$25,'RES Assumptions'!$A142,'RES balance'!W$5:W$25)*IFERROR(VLOOKUP($C142,$C$68:$AH$83,W$67,FALSE),1)</f>
        <v>0</v>
      </c>
      <c r="X142" s="10">
        <f ca="1">SUMIFS(X$3:X$64,$A$3:$A$64,$A142,$D$3:$D$64,$B142)*SUMIF('RES balance'!$D$5:$D$25,'RES Assumptions'!$A142,'RES balance'!X$5:X$25)*IFERROR(VLOOKUP($C142,$C$68:$AH$83,X$67,FALSE),1)</f>
        <v>0</v>
      </c>
      <c r="Y142" s="10">
        <f ca="1">SUMIFS(Y$3:Y$64,$A$3:$A$64,$A142,$D$3:$D$64,$B142)*SUMIF('RES balance'!$D$5:$D$25,'RES Assumptions'!$A142,'RES balance'!Y$5:Y$25)*IFERROR(VLOOKUP($C142,$C$68:$AH$83,Y$67,FALSE),1)</f>
        <v>0</v>
      </c>
      <c r="Z142" s="10">
        <f ca="1">SUMIFS(Z$3:Z$64,$A$3:$A$64,$A142,$D$3:$D$64,$B142)*SUMIF('RES balance'!$D$5:$D$25,'RES Assumptions'!$A142,'RES balance'!Z$5:Z$25)*IFERROR(VLOOKUP($C142,$C$68:$AH$83,Z$67,FALSE),1)</f>
        <v>0</v>
      </c>
      <c r="AA142" s="10">
        <f ca="1">SUMIFS(AA$3:AA$64,$A$3:$A$64,$A142,$D$3:$D$64,$B142)*SUMIF('RES balance'!$D$5:$D$25,'RES Assumptions'!$A142,'RES balance'!AA$5:AA$25)*IFERROR(VLOOKUP($C142,$C$68:$AH$83,AA$67,FALSE),1)</f>
        <v>0</v>
      </c>
      <c r="AB142" s="10">
        <f ca="1">SUMIFS(AB$3:AB$64,$A$3:$A$64,$A142,$D$3:$D$64,$B142)*SUMIF('RES balance'!$D$5:$D$25,'RES Assumptions'!$A142,'RES balance'!AB$5:AB$25)*IFERROR(VLOOKUP($C142,$C$68:$AH$83,AB$67,FALSE),1)</f>
        <v>0</v>
      </c>
      <c r="AC142" s="10">
        <f ca="1">SUMIFS(AC$3:AC$64,$A$3:$A$64,$A142,$D$3:$D$64,$B142)*SUMIF('RES balance'!$D$5:$D$25,'RES Assumptions'!$A142,'RES balance'!AC$5:AC$25)*IFERROR(VLOOKUP($C142,$C$68:$AH$83,AC$67,FALSE),1)</f>
        <v>0</v>
      </c>
      <c r="AD142" s="10">
        <f ca="1">SUMIFS(AD$3:AD$64,$A$3:$A$64,$A142,$D$3:$D$64,$B142)*SUMIF('RES balance'!$D$5:$D$25,'RES Assumptions'!$A142,'RES balance'!AD$5:AD$25)*IFERROR(VLOOKUP($C142,$C$68:$AH$83,AD$67,FALSE),1)</f>
        <v>0</v>
      </c>
      <c r="AE142" s="10">
        <f ca="1">SUMIFS(AE$3:AE$64,$A$3:$A$64,$A142,$D$3:$D$64,$B142)*SUMIF('RES balance'!$D$5:$D$25,'RES Assumptions'!$A142,'RES balance'!AE$5:AE$25)*IFERROR(VLOOKUP($C142,$C$68:$AH$83,AE$67,FALSE),1)</f>
        <v>0</v>
      </c>
      <c r="AF142" s="10">
        <f ca="1">SUMIFS(AF$3:AF$64,$A$3:$A$64,$A142,$D$3:$D$64,$B142)*SUMIF('RES balance'!$D$5:$D$25,'RES Assumptions'!$A142,'RES balance'!AF$5:AF$25)*IFERROR(VLOOKUP($C142,$C$68:$AH$83,AF$67,FALSE),1)</f>
        <v>0</v>
      </c>
      <c r="AG142" s="10">
        <f ca="1">SUMIFS(AG$3:AG$64,$A$3:$A$64,$A142,$D$3:$D$64,$B142)*SUMIF('RES balance'!$D$5:$D$25,'RES Assumptions'!$A142,'RES balance'!AG$5:AG$25)*IFERROR(VLOOKUP($C142,$C$68:$AH$83,AG$67,FALSE),1)</f>
        <v>0</v>
      </c>
      <c r="AH142" s="10">
        <f ca="1">SUMIFS(AH$3:AH$64,$A$3:$A$64,$A142,$D$3:$D$64,$B142)*SUMIF('RES balance'!$D$5:$D$25,'RES Assumptions'!$A142,'RES balance'!AH$5:AH$25)*IFERROR(VLOOKUP($C142,$C$68:$AH$83,AH$67,FALSE),1)</f>
        <v>0</v>
      </c>
    </row>
    <row r="143" spans="1:34" x14ac:dyDescent="0.45">
      <c r="A143" s="8" t="str">
        <f t="shared" si="26"/>
        <v>RESELC</v>
      </c>
      <c r="B143" s="8" t="str">
        <f t="shared" si="23"/>
        <v>RR</v>
      </c>
      <c r="C143" s="48" t="str">
        <f>SUBSTITUTE(SUBSTITUTE(SUBSTITUTE('RES Veda input'!B60,"1",""),"000",""),"RRF","RR")</f>
        <v>RRFRE</v>
      </c>
      <c r="E143" s="10">
        <f ca="1">SUMIFS(E$3:E$64,$A$3:$A$64,$A143,$D$3:$D$64,$B143)*SUMIF('RES balance'!$D$5:$D$25,'RES Assumptions'!$A143,'RES balance'!E$5:E$25)*IFERROR(VLOOKUP($C143,$C$68:$AH$83,E$67,FALSE),1)</f>
        <v>13.563124553286</v>
      </c>
      <c r="F143" s="10">
        <f ca="1">SUMIFS(F$3:F$64,$A$3:$A$64,$A143,$D$3:$D$64,$B143)*SUMIF('RES balance'!$D$5:$D$25,'RES Assumptions'!$A143,'RES balance'!F$5:F$25)*IFERROR(VLOOKUP($C143,$C$68:$AH$83,F$67,FALSE),1)</f>
        <v>9.1214328308003996</v>
      </c>
      <c r="G143" s="10">
        <f ca="1">SUMIFS(G$3:G$64,$A$3:$A$64,$A143,$D$3:$D$64,$B143)*SUMIF('RES balance'!$D$5:$D$25,'RES Assumptions'!$A143,'RES balance'!G$5:G$25)*IFERROR(VLOOKUP($C143,$C$68:$AH$83,G$67,FALSE),1)</f>
        <v>0.40872838670640038</v>
      </c>
      <c r="H143" s="10">
        <f ca="1">SUMIFS(H$3:H$64,$A$3:$A$64,$A143,$D$3:$D$64,$B143)*SUMIF('RES balance'!$D$5:$D$25,'RES Assumptions'!$A143,'RES balance'!H$5:H$25)*IFERROR(VLOOKUP($C143,$C$68:$AH$83,H$67,FALSE),1)</f>
        <v>9.0562667164992021</v>
      </c>
      <c r="I143" s="10">
        <f ca="1">SUMIFS(I$3:I$64,$A$3:$A$64,$A143,$D$3:$D$64,$B143)*SUMIF('RES balance'!$D$5:$D$25,'RES Assumptions'!$A143,'RES balance'!I$5:I$25)*IFERROR(VLOOKUP($C143,$C$68:$AH$83,I$67,FALSE),1)</f>
        <v>17.251917525828002</v>
      </c>
      <c r="J143" s="10">
        <f ca="1">SUMIFS(J$3:J$64,$A$3:$A$64,$A143,$D$3:$D$64,$B143)*SUMIF('RES balance'!$D$5:$D$25,'RES Assumptions'!$A143,'RES balance'!J$5:J$25)*IFERROR(VLOOKUP($C143,$C$68:$AH$83,J$67,FALSE),1)</f>
        <v>16.529513739803999</v>
      </c>
      <c r="K143" s="10">
        <f ca="1">SUMIFS(K$3:K$64,$A$3:$A$64,$A143,$D$3:$D$64,$B143)*SUMIF('RES balance'!$D$5:$D$25,'RES Assumptions'!$A143,'RES balance'!K$5:K$25)*IFERROR(VLOOKUP($C143,$C$68:$AH$83,K$67,FALSE),1)</f>
        <v>8.4805149830940021</v>
      </c>
      <c r="L143" s="10">
        <f ca="1">SUMIFS(L$3:L$64,$A$3:$A$64,$A143,$D$3:$D$64,$B143)*SUMIF('RES balance'!$D$5:$D$25,'RES Assumptions'!$A143,'RES balance'!L$5:L$25)*IFERROR(VLOOKUP($C143,$C$68:$AH$83,L$67,FALSE),1)</f>
        <v>1.026516869085601</v>
      </c>
      <c r="M143" s="10">
        <f ca="1">SUMIFS(M$3:M$64,$A$3:$A$64,$A143,$D$3:$D$64,$B143)*SUMIF('RES balance'!$D$5:$D$25,'RES Assumptions'!$A143,'RES balance'!M$5:M$25)*IFERROR(VLOOKUP($C143,$C$68:$AH$83,M$67,FALSE),1)</f>
        <v>20.627006369230799</v>
      </c>
      <c r="N143" s="10">
        <f ca="1">SUMIFS(N$3:N$64,$A$3:$A$64,$A143,$D$3:$D$64,$B143)*SUMIF('RES balance'!$D$5:$D$25,'RES Assumptions'!$A143,'RES balance'!N$5:N$25)*IFERROR(VLOOKUP($C143,$C$68:$AH$83,N$67,FALSE),1)</f>
        <v>127.78705622730961</v>
      </c>
      <c r="O143" s="10">
        <f ca="1">SUMIFS(O$3:O$64,$A$3:$A$64,$A143,$D$3:$D$64,$B143)*SUMIF('RES balance'!$D$5:$D$25,'RES Assumptions'!$A143,'RES balance'!O$5:O$25)*IFERROR(VLOOKUP($C143,$C$68:$AH$83,O$67,FALSE),1)</f>
        <v>8.498581037654402</v>
      </c>
      <c r="P143" s="10">
        <f ca="1">SUMIFS(P$3:P$64,$A$3:$A$64,$A143,$D$3:$D$64,$B143)*SUMIF('RES balance'!$D$5:$D$25,'RES Assumptions'!$A143,'RES balance'!P$5:P$25)*IFERROR(VLOOKUP($C143,$C$68:$AH$83,P$67,FALSE),1)</f>
        <v>11.8913633606592</v>
      </c>
      <c r="Q143" s="10">
        <f ca="1">SUMIFS(Q$3:Q$64,$A$3:$A$64,$A143,$D$3:$D$64,$B143)*SUMIF('RES balance'!$D$5:$D$25,'RES Assumptions'!$A143,'RES balance'!Q$5:Q$25)*IFERROR(VLOOKUP($C143,$C$68:$AH$83,Q$67,FALSE),1)</f>
        <v>5.6340196377696001</v>
      </c>
      <c r="R143" s="10">
        <f ca="1">SUMIFS(R$3:R$64,$A$3:$A$64,$A143,$D$3:$D$64,$B143)*SUMIF('RES balance'!$D$5:$D$25,'RES Assumptions'!$A143,'RES balance'!R$5:R$25)*IFERROR(VLOOKUP($C143,$C$68:$AH$83,R$67,FALSE),1)</f>
        <v>9.4908223084752006</v>
      </c>
      <c r="S143" s="10">
        <f ca="1">SUMIFS(S$3:S$64,$A$3:$A$64,$A143,$D$3:$D$64,$B143)*SUMIF('RES balance'!$D$5:$D$25,'RES Assumptions'!$A143,'RES balance'!S$5:S$25)*IFERROR(VLOOKUP($C143,$C$68:$AH$83,S$67,FALSE),1)</f>
        <v>7.1392364033760005</v>
      </c>
      <c r="T143" s="10">
        <f ca="1">SUMIFS(T$3:T$64,$A$3:$A$64,$A143,$D$3:$D$64,$B143)*SUMIF('RES balance'!$D$5:$D$25,'RES Assumptions'!$A143,'RES balance'!T$5:T$25)*IFERROR(VLOOKUP($C143,$C$68:$AH$83,T$67,FALSE),1)</f>
        <v>9.558339105823201</v>
      </c>
      <c r="U143" s="10">
        <f ca="1">SUMIFS(U$3:U$64,$A$3:$A$64,$A143,$D$3:$D$64,$B143)*SUMIF('RES balance'!$D$5:$D$25,'RES Assumptions'!$A143,'RES balance'!U$5:U$25)*IFERROR(VLOOKUP($C143,$C$68:$AH$83,U$67,FALSE),1)</f>
        <v>23.302720936756803</v>
      </c>
      <c r="V143" s="10">
        <f ca="1">SUMIFS(V$3:V$64,$A$3:$A$64,$A143,$D$3:$D$64,$B143)*SUMIF('RES balance'!$D$5:$D$25,'RES Assumptions'!$A143,'RES balance'!V$5:V$25)*IFERROR(VLOOKUP($C143,$C$68:$AH$83,V$67,FALSE),1)</f>
        <v>17.709983937455043</v>
      </c>
      <c r="W143" s="10">
        <f ca="1">SUMIFS(W$3:W$64,$A$3:$A$64,$A143,$D$3:$D$64,$B143)*SUMIF('RES balance'!$D$5:$D$25,'RES Assumptions'!$A143,'RES balance'!W$5:W$25)*IFERROR(VLOOKUP($C143,$C$68:$AH$83,W$67,FALSE),1)</f>
        <v>14.030644282855201</v>
      </c>
      <c r="X143" s="10">
        <f ca="1">SUMIFS(X$3:X$64,$A$3:$A$64,$A143,$D$3:$D$64,$B143)*SUMIF('RES balance'!$D$5:$D$25,'RES Assumptions'!$A143,'RES balance'!X$5:X$25)*IFERROR(VLOOKUP($C143,$C$68:$AH$83,X$67,FALSE),1)</f>
        <v>3.8722156907824803</v>
      </c>
      <c r="Y143" s="10">
        <f ca="1">SUMIFS(Y$3:Y$64,$A$3:$A$64,$A143,$D$3:$D$64,$B143)*SUMIF('RES balance'!$D$5:$D$25,'RES Assumptions'!$A143,'RES balance'!Y$5:Y$25)*IFERROR(VLOOKUP($C143,$C$68:$AH$83,Y$67,FALSE),1)</f>
        <v>0.82006283032560079</v>
      </c>
      <c r="Z143" s="10">
        <f ca="1">SUMIFS(Z$3:Z$64,$A$3:$A$64,$A143,$D$3:$D$64,$B143)*SUMIF('RES balance'!$D$5:$D$25,'RES Assumptions'!$A143,'RES balance'!Z$5:Z$25)*IFERROR(VLOOKUP($C143,$C$68:$AH$83,Z$67,FALSE),1)</f>
        <v>0.92859839390879995</v>
      </c>
      <c r="AA143" s="10">
        <f ca="1">SUMIFS(AA$3:AA$64,$A$3:$A$64,$A143,$D$3:$D$64,$B143)*SUMIF('RES balance'!$D$5:$D$25,'RES Assumptions'!$A143,'RES balance'!AA$5:AA$25)*IFERROR(VLOOKUP($C143,$C$68:$AH$83,AA$67,FALSE),1)</f>
        <v>42.395645003659205</v>
      </c>
      <c r="AB143" s="10">
        <f ca="1">SUMIFS(AB$3:AB$64,$A$3:$A$64,$A143,$D$3:$D$64,$B143)*SUMIF('RES balance'!$D$5:$D$25,'RES Assumptions'!$A143,'RES balance'!AB$5:AB$25)*IFERROR(VLOOKUP($C143,$C$68:$AH$83,AB$67,FALSE),1)</f>
        <v>4.5399171420187203</v>
      </c>
      <c r="AC143" s="10">
        <f ca="1">SUMIFS(AC$3:AC$64,$A$3:$A$64,$A143,$D$3:$D$64,$B143)*SUMIF('RES balance'!$D$5:$D$25,'RES Assumptions'!$A143,'RES balance'!AC$5:AC$25)*IFERROR(VLOOKUP($C143,$C$68:$AH$83,AC$67,FALSE),1)</f>
        <v>25.483043593972805</v>
      </c>
      <c r="AD143" s="10">
        <f ca="1">SUMIFS(AD$3:AD$64,$A$3:$A$64,$A143,$D$3:$D$64,$B143)*SUMIF('RES balance'!$D$5:$D$25,'RES Assumptions'!$A143,'RES balance'!AD$5:AD$25)*IFERROR(VLOOKUP($C143,$C$68:$AH$83,AD$67,FALSE),1)</f>
        <v>20.355033570379202</v>
      </c>
      <c r="AE143" s="10">
        <f ca="1">SUMIFS(AE$3:AE$64,$A$3:$A$64,$A143,$D$3:$D$64,$B143)*SUMIF('RES balance'!$D$5:$D$25,'RES Assumptions'!$A143,'RES balance'!AE$5:AE$25)*IFERROR(VLOOKUP($C143,$C$68:$AH$83,AE$67,FALSE),1)</f>
        <v>5.7812969931552001</v>
      </c>
      <c r="AF143" s="10">
        <f ca="1">SUMIFS(AF$3:AF$64,$A$3:$A$64,$A143,$D$3:$D$64,$B143)*SUMIF('RES balance'!$D$5:$D$25,'RES Assumptions'!$A143,'RES balance'!AF$5:AF$25)*IFERROR(VLOOKUP($C143,$C$68:$AH$83,AF$67,FALSE),1)</f>
        <v>11.512101069453601</v>
      </c>
      <c r="AG143" s="10">
        <f ca="1">SUMIFS(AG$3:AG$64,$A$3:$A$64,$A143,$D$3:$D$64,$B143)*SUMIF('RES balance'!$D$5:$D$25,'RES Assumptions'!$A143,'RES balance'!AG$5:AG$25)*IFERROR(VLOOKUP($C143,$C$68:$AH$83,AG$67,FALSE),1)</f>
        <v>160.89063735782173</v>
      </c>
      <c r="AH143" s="10">
        <f ca="1">SUMIFS(AH$3:AH$64,$A$3:$A$64,$A143,$D$3:$D$64,$B143)*SUMIF('RES balance'!$D$5:$D$25,'RES Assumptions'!$A143,'RES balance'!AH$5:AH$25)*IFERROR(VLOOKUP($C143,$C$68:$AH$83,AH$67,FALSE),1)</f>
        <v>0</v>
      </c>
    </row>
    <row r="144" spans="1:34" x14ac:dyDescent="0.45">
      <c r="A144" s="8" t="str">
        <f t="shared" si="26"/>
        <v>RESELC</v>
      </c>
      <c r="B144" s="8" t="str">
        <f t="shared" si="23"/>
        <v>RR</v>
      </c>
      <c r="C144" s="48" t="str">
        <f>SUBSTITUTE(SUBSTITUTE(SUBSTITUTE('RES Veda input'!B61,"1",""),"000",""),"RRF","RR")</f>
        <v>RRRFE</v>
      </c>
      <c r="E144" s="10">
        <f ca="1">SUMIFS(E$3:E$64,$A$3:$A$64,$A144,$D$3:$D$64,$B144)*SUMIF('RES balance'!$D$5:$D$25,'RES Assumptions'!$A144,'RES balance'!E$5:E$25)*IFERROR(VLOOKUP($C144,$C$68:$AH$83,E$67,FALSE),1)</f>
        <v>48.087441598014003</v>
      </c>
      <c r="F144" s="10">
        <f ca="1">SUMIFS(F$3:F$64,$A$3:$A$64,$A144,$D$3:$D$64,$B144)*SUMIF('RES balance'!$D$5:$D$25,'RES Assumptions'!$A144,'RES balance'!F$5:F$25)*IFERROR(VLOOKUP($C144,$C$68:$AH$83,F$67,FALSE),1)</f>
        <v>32.339625491019596</v>
      </c>
      <c r="G144" s="10">
        <f ca="1">SUMIFS(G$3:G$64,$A$3:$A$64,$A144,$D$3:$D$64,$B144)*SUMIF('RES balance'!$D$5:$D$25,'RES Assumptions'!$A144,'RES balance'!G$5:G$25)*IFERROR(VLOOKUP($C144,$C$68:$AH$83,G$67,FALSE),1)</f>
        <v>40.4641102839336</v>
      </c>
      <c r="H144" s="10">
        <f ca="1">SUMIFS(H$3:H$64,$A$3:$A$64,$A144,$D$3:$D$64,$B144)*SUMIF('RES balance'!$D$5:$D$25,'RES Assumptions'!$A144,'RES balance'!H$5:H$25)*IFERROR(VLOOKUP($C144,$C$68:$AH$83,H$67,FALSE),1)</f>
        <v>32.108581994860806</v>
      </c>
      <c r="I144" s="10">
        <f ca="1">SUMIFS(I$3:I$64,$A$3:$A$64,$A144,$D$3:$D$64,$B144)*SUMIF('RES balance'!$D$5:$D$25,'RES Assumptions'!$A144,'RES balance'!I$5:I$25)*IFERROR(VLOOKUP($C144,$C$68:$AH$83,I$67,FALSE),1)</f>
        <v>155.26725773245201</v>
      </c>
      <c r="J144" s="10">
        <f ca="1">SUMIFS(J$3:J$64,$A$3:$A$64,$A144,$D$3:$D$64,$B144)*SUMIF('RES balance'!$D$5:$D$25,'RES Assumptions'!$A144,'RES balance'!J$5:J$25)*IFERROR(VLOOKUP($C144,$C$68:$AH$83,J$67,FALSE),1)</f>
        <v>314.06076105627596</v>
      </c>
      <c r="K144" s="10">
        <f ca="1">SUMIFS(K$3:K$64,$A$3:$A$64,$A144,$D$3:$D$64,$B144)*SUMIF('RES balance'!$D$5:$D$25,'RES Assumptions'!$A144,'RES balance'!K$5:K$25)*IFERROR(VLOOKUP($C144,$C$68:$AH$83,K$67,FALSE),1)</f>
        <v>30.067280394606005</v>
      </c>
      <c r="L144" s="10">
        <f ca="1">SUMIFS(L$3:L$64,$A$3:$A$64,$A144,$D$3:$D$64,$B144)*SUMIF('RES balance'!$D$5:$D$25,'RES Assumptions'!$A144,'RES balance'!L$5:L$25)*IFERROR(VLOOKUP($C144,$C$68:$AH$83,L$67,FALSE),1)</f>
        <v>101.62517003947441</v>
      </c>
      <c r="M144" s="10">
        <f ca="1">SUMIFS(M$3:M$64,$A$3:$A$64,$A144,$D$3:$D$64,$B144)*SUMIF('RES balance'!$D$5:$D$25,'RES Assumptions'!$A144,'RES balance'!M$5:M$25)*IFERROR(VLOOKUP($C144,$C$68:$AH$83,M$67,FALSE),1)</f>
        <v>73.132113490909191</v>
      </c>
      <c r="N144" s="10">
        <f ca="1">SUMIFS(N$3:N$64,$A$3:$A$64,$A144,$D$3:$D$64,$B144)*SUMIF('RES balance'!$D$5:$D$25,'RES Assumptions'!$A144,'RES balance'!N$5:N$25)*IFERROR(VLOOKUP($C144,$C$68:$AH$83,N$67,FALSE),1)</f>
        <v>453.06319935137043</v>
      </c>
      <c r="O144" s="10">
        <f ca="1">SUMIFS(O$3:O$64,$A$3:$A$64,$A144,$D$3:$D$64,$B144)*SUMIF('RES balance'!$D$5:$D$25,'RES Assumptions'!$A144,'RES balance'!O$5:O$25)*IFERROR(VLOOKUP($C144,$C$68:$AH$83,O$67,FALSE),1)</f>
        <v>30.131332769865605</v>
      </c>
      <c r="P144" s="10">
        <f ca="1">SUMIFS(P$3:P$64,$A$3:$A$64,$A144,$D$3:$D$64,$B144)*SUMIF('RES balance'!$D$5:$D$25,'RES Assumptions'!$A144,'RES balance'!P$5:P$25)*IFERROR(VLOOKUP($C144,$C$68:$AH$83,P$67,FALSE),1)</f>
        <v>42.160288278700804</v>
      </c>
      <c r="Q144" s="10">
        <f ca="1">SUMIFS(Q$3:Q$64,$A$3:$A$64,$A144,$D$3:$D$64,$B144)*SUMIF('RES balance'!$D$5:$D$25,'RES Assumptions'!$A144,'RES balance'!Q$5:Q$25)*IFERROR(VLOOKUP($C144,$C$68:$AH$83,Q$67,FALSE),1)</f>
        <v>19.975160533910401</v>
      </c>
      <c r="R144" s="10">
        <f ca="1">SUMIFS(R$3:R$64,$A$3:$A$64,$A144,$D$3:$D$64,$B144)*SUMIF('RES balance'!$D$5:$D$25,'RES Assumptions'!$A144,'RES balance'!R$5:R$25)*IFERROR(VLOOKUP($C144,$C$68:$AH$83,R$67,FALSE),1)</f>
        <v>33.649279093684804</v>
      </c>
      <c r="S144" s="10">
        <f ca="1">SUMIFS(S$3:S$64,$A$3:$A$64,$A144,$D$3:$D$64,$B144)*SUMIF('RES balance'!$D$5:$D$25,'RES Assumptions'!$A144,'RES balance'!S$5:S$25)*IFERROR(VLOOKUP($C144,$C$68:$AH$83,S$67,FALSE),1)</f>
        <v>25.311838157424003</v>
      </c>
      <c r="T144" s="10">
        <f ca="1">SUMIFS(T$3:T$64,$A$3:$A$64,$A144,$D$3:$D$64,$B144)*SUMIF('RES balance'!$D$5:$D$25,'RES Assumptions'!$A144,'RES balance'!T$5:T$25)*IFERROR(VLOOKUP($C144,$C$68:$AH$83,T$67,FALSE),1)</f>
        <v>33.888656829736803</v>
      </c>
      <c r="U144" s="10">
        <f ca="1">SUMIFS(U$3:U$64,$A$3:$A$64,$A144,$D$3:$D$64,$B144)*SUMIF('RES balance'!$D$5:$D$25,'RES Assumptions'!$A144,'RES balance'!U$5:U$25)*IFERROR(VLOOKUP($C144,$C$68:$AH$83,U$67,FALSE),1)</f>
        <v>82.618737866683219</v>
      </c>
      <c r="V144" s="10">
        <f ca="1">SUMIFS(V$3:V$64,$A$3:$A$64,$A144,$D$3:$D$64,$B144)*SUMIF('RES balance'!$D$5:$D$25,'RES Assumptions'!$A144,'RES balance'!V$5:V$25)*IFERROR(VLOOKUP($C144,$C$68:$AH$83,V$67,FALSE),1)</f>
        <v>62.789943050976966</v>
      </c>
      <c r="W144" s="10">
        <f ca="1">SUMIFS(W$3:W$64,$A$3:$A$64,$A144,$D$3:$D$64,$B144)*SUMIF('RES balance'!$D$5:$D$25,'RES Assumptions'!$A144,'RES balance'!W$5:W$25)*IFERROR(VLOOKUP($C144,$C$68:$AH$83,W$67,FALSE),1)</f>
        <v>49.745011548304809</v>
      </c>
      <c r="X144" s="10">
        <f ca="1">SUMIFS(X$3:X$64,$A$3:$A$64,$A144,$D$3:$D$64,$B144)*SUMIF('RES balance'!$D$5:$D$25,'RES Assumptions'!$A144,'RES balance'!X$5:X$25)*IFERROR(VLOOKUP($C144,$C$68:$AH$83,X$67,FALSE),1)</f>
        <v>189.73856884834152</v>
      </c>
      <c r="Y144" s="10">
        <f ca="1">SUMIFS(Y$3:Y$64,$A$3:$A$64,$A144,$D$3:$D$64,$B144)*SUMIF('RES balance'!$D$5:$D$25,'RES Assumptions'!$A144,'RES balance'!Y$5:Y$25)*IFERROR(VLOOKUP($C144,$C$68:$AH$83,Y$67,FALSE),1)</f>
        <v>81.186220202234409</v>
      </c>
      <c r="Z144" s="10">
        <f ca="1">SUMIFS(Z$3:Z$64,$A$3:$A$64,$A144,$D$3:$D$64,$B144)*SUMIF('RES balance'!$D$5:$D$25,'RES Assumptions'!$A144,'RES balance'!Z$5:Z$25)*IFERROR(VLOOKUP($C144,$C$68:$AH$83,Z$67,FALSE),1)</f>
        <v>45.501321301531199</v>
      </c>
      <c r="AA144" s="10">
        <f ca="1">SUMIFS(AA$3:AA$64,$A$3:$A$64,$A144,$D$3:$D$64,$B144)*SUMIF('RES balance'!$D$5:$D$25,'RES Assumptions'!$A144,'RES balance'!AA$5:AA$25)*IFERROR(VLOOKUP($C144,$C$68:$AH$83,AA$67,FALSE),1)</f>
        <v>150.3118322857008</v>
      </c>
      <c r="AB144" s="10">
        <f ca="1">SUMIFS(AB$3:AB$64,$A$3:$A$64,$A144,$D$3:$D$64,$B144)*SUMIF('RES balance'!$D$5:$D$25,'RES Assumptions'!$A144,'RES balance'!AB$5:AB$25)*IFERROR(VLOOKUP($C144,$C$68:$AH$83,AB$67,FALSE),1)</f>
        <v>16.096069867157283</v>
      </c>
      <c r="AC144" s="10">
        <f ca="1">SUMIFS(AC$3:AC$64,$A$3:$A$64,$A144,$D$3:$D$64,$B144)*SUMIF('RES balance'!$D$5:$D$25,'RES Assumptions'!$A144,'RES balance'!AC$5:AC$25)*IFERROR(VLOOKUP($C144,$C$68:$AH$83,AC$67,FALSE),1)</f>
        <v>90.348972742267222</v>
      </c>
      <c r="AD144" s="10">
        <f ca="1">SUMIFS(AD$3:AD$64,$A$3:$A$64,$A144,$D$3:$D$64,$B144)*SUMIF('RES balance'!$D$5:$D$25,'RES Assumptions'!$A144,'RES balance'!AD$5:AD$25)*IFERROR(VLOOKUP($C144,$C$68:$AH$83,AD$67,FALSE),1)</f>
        <v>72.167846294980805</v>
      </c>
      <c r="AE144" s="10">
        <f ca="1">SUMIFS(AE$3:AE$64,$A$3:$A$64,$A144,$D$3:$D$64,$B144)*SUMIF('RES balance'!$D$5:$D$25,'RES Assumptions'!$A144,'RES balance'!AE$5:AE$25)*IFERROR(VLOOKUP($C144,$C$68:$AH$83,AE$67,FALSE),1)</f>
        <v>20.497325703004801</v>
      </c>
      <c r="AF144" s="10">
        <f ca="1">SUMIFS(AF$3:AF$64,$A$3:$A$64,$A144,$D$3:$D$64,$B144)*SUMIF('RES balance'!$D$5:$D$25,'RES Assumptions'!$A144,'RES balance'!AF$5:AF$25)*IFERROR(VLOOKUP($C144,$C$68:$AH$83,AF$67,FALSE),1)</f>
        <v>40.815631064426405</v>
      </c>
      <c r="AG144" s="10">
        <f ca="1">SUMIFS(AG$3:AG$64,$A$3:$A$64,$A144,$D$3:$D$64,$B144)*SUMIF('RES balance'!$D$5:$D$25,'RES Assumptions'!$A144,'RES balance'!AG$5:AG$25)*IFERROR(VLOOKUP($C144,$C$68:$AH$83,AG$67,FALSE),1)</f>
        <v>570.43044154136805</v>
      </c>
      <c r="AH144" s="10">
        <f ca="1">SUMIFS(AH$3:AH$64,$A$3:$A$64,$A144,$D$3:$D$64,$B144)*SUMIF('RES balance'!$D$5:$D$25,'RES Assumptions'!$A144,'RES balance'!AH$5:AH$25)*IFERROR(VLOOKUP($C144,$C$68:$AH$83,AH$67,FALSE),1)</f>
        <v>0</v>
      </c>
    </row>
  </sheetData>
  <sortState xmlns:xlrd2="http://schemas.microsoft.com/office/spreadsheetml/2017/richdata2" ref="AN88:AN144">
    <sortCondition ref="AN87:AN144"/>
  </sortState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1BD85-EC8E-4460-A733-1D9286220D1C}">
  <dimension ref="A2:AJ84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defaultRowHeight="14.25" x14ac:dyDescent="0.45"/>
  <cols>
    <col min="1" max="1" width="9.1328125" bestFit="1" customWidth="1"/>
    <col min="2" max="2" width="8.86328125" bestFit="1" customWidth="1"/>
    <col min="3" max="3" width="22.19921875" bestFit="1" customWidth="1"/>
    <col min="4" max="4" width="6.53125" bestFit="1" customWidth="1"/>
    <col min="5" max="5" width="5" bestFit="1" customWidth="1"/>
    <col min="6" max="6" width="4.796875" bestFit="1" customWidth="1"/>
    <col min="7" max="7" width="5" bestFit="1" customWidth="1"/>
    <col min="8" max="8" width="5.1328125" bestFit="1" customWidth="1"/>
    <col min="9" max="10" width="4.796875" bestFit="1" customWidth="1"/>
    <col min="11" max="12" width="5" bestFit="1" customWidth="1"/>
    <col min="13" max="13" width="4.796875" bestFit="1" customWidth="1"/>
    <col min="14" max="14" width="5.1328125" bestFit="1" customWidth="1"/>
    <col min="15" max="15" width="5" bestFit="1" customWidth="1"/>
    <col min="16" max="16" width="5.1328125" bestFit="1" customWidth="1"/>
    <col min="17" max="17" width="4.796875" bestFit="1" customWidth="1"/>
    <col min="18" max="18" width="5" bestFit="1" customWidth="1"/>
    <col min="19" max="19" width="5.19921875" bestFit="1" customWidth="1"/>
    <col min="20" max="20" width="4.796875" bestFit="1" customWidth="1"/>
    <col min="21" max="21" width="5" bestFit="1" customWidth="1"/>
    <col min="22" max="22" width="11.53125" bestFit="1" customWidth="1"/>
    <col min="23" max="36" width="9.53125" bestFit="1" customWidth="1"/>
  </cols>
  <sheetData>
    <row r="2" spans="1:23" x14ac:dyDescent="0.45">
      <c r="A2" s="8" t="s">
        <v>30</v>
      </c>
      <c r="B2" s="5" t="s">
        <v>61</v>
      </c>
      <c r="C2" s="5" t="s">
        <v>30</v>
      </c>
      <c r="D2" s="5" t="s">
        <v>31</v>
      </c>
      <c r="E2" s="5" t="s">
        <v>9</v>
      </c>
      <c r="F2" s="5" t="s">
        <v>15</v>
      </c>
      <c r="G2" s="5" t="s">
        <v>8</v>
      </c>
      <c r="H2" s="5" t="s">
        <v>14</v>
      </c>
      <c r="I2" s="5" t="s">
        <v>6</v>
      </c>
      <c r="J2" s="5" t="s">
        <v>4</v>
      </c>
      <c r="K2" s="5" t="s">
        <v>13</v>
      </c>
      <c r="L2" s="5" t="s">
        <v>7</v>
      </c>
      <c r="M2" s="5" t="s">
        <v>2</v>
      </c>
      <c r="N2" s="5" t="s">
        <v>11</v>
      </c>
      <c r="O2" s="5" t="s">
        <v>0</v>
      </c>
      <c r="P2" s="5" t="s">
        <v>12</v>
      </c>
      <c r="Q2" s="5" t="s">
        <v>3</v>
      </c>
      <c r="R2" s="5" t="s">
        <v>5</v>
      </c>
      <c r="S2" s="5" t="s">
        <v>1</v>
      </c>
      <c r="V2" s="63" t="s">
        <v>358</v>
      </c>
      <c r="W2" t="s">
        <v>359</v>
      </c>
    </row>
    <row r="3" spans="1:23" x14ac:dyDescent="0.45">
      <c r="A3" s="8" t="str">
        <f>VLOOKUP(C3,'RES balance'!$AL$5:$AM$25,2,FALSE)</f>
        <v>RESNGA</v>
      </c>
      <c r="B3" s="36"/>
      <c r="C3" s="7" t="s">
        <v>33</v>
      </c>
      <c r="D3" s="33" t="s">
        <v>62</v>
      </c>
      <c r="E3" s="67">
        <v>1.4979621146950801E-3</v>
      </c>
      <c r="F3" s="67">
        <v>0.61715910886395997</v>
      </c>
      <c r="G3" s="67">
        <v>0.68495313294326599</v>
      </c>
      <c r="H3" s="67">
        <v>0</v>
      </c>
      <c r="I3" s="67">
        <v>1.4979621146950801E-3</v>
      </c>
      <c r="J3" s="67">
        <v>0.660848488544033</v>
      </c>
      <c r="K3" s="67">
        <v>0.660848488544033</v>
      </c>
      <c r="L3" s="67">
        <v>0</v>
      </c>
      <c r="M3" s="67">
        <v>0.183315962031008</v>
      </c>
      <c r="N3" s="67">
        <v>0.64748122361961302</v>
      </c>
      <c r="O3" s="67">
        <v>2.0923807549029699E-2</v>
      </c>
      <c r="P3" s="67">
        <v>0</v>
      </c>
      <c r="Q3" s="67">
        <v>0.60653780680524305</v>
      </c>
      <c r="R3" s="67">
        <v>0.68557830492357796</v>
      </c>
      <c r="S3" s="67">
        <v>0.77640537578273805</v>
      </c>
      <c r="V3" s="60" t="s">
        <v>357</v>
      </c>
      <c r="W3" s="60" t="s">
        <v>5</v>
      </c>
    </row>
    <row r="4" spans="1:23" x14ac:dyDescent="0.45">
      <c r="A4" s="8" t="str">
        <f>VLOOKUP(C4,'RES balance'!$AL$5:$AM$25,2,FALSE)</f>
        <v>RESNGA</v>
      </c>
      <c r="B4" s="36"/>
      <c r="C4" s="20" t="s">
        <v>33</v>
      </c>
      <c r="D4" s="21" t="s">
        <v>63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V4" s="60" t="s">
        <v>382</v>
      </c>
      <c r="W4" s="60" t="s">
        <v>9</v>
      </c>
    </row>
    <row r="5" spans="1:23" x14ac:dyDescent="0.45">
      <c r="A5" s="8" t="str">
        <f>VLOOKUP(C5,'RES balance'!$AL$5:$AM$25,2,FALSE)</f>
        <v>RESNGA</v>
      </c>
      <c r="B5" s="36"/>
      <c r="C5" s="20" t="s">
        <v>33</v>
      </c>
      <c r="D5" s="21" t="s">
        <v>64</v>
      </c>
      <c r="E5" s="67">
        <v>0.65441803240519503</v>
      </c>
      <c r="F5" s="67">
        <v>0.33386000948017103</v>
      </c>
      <c r="G5" s="67">
        <v>0.30291648975296798</v>
      </c>
      <c r="H5" s="67">
        <v>0.60078130442313105</v>
      </c>
      <c r="I5" s="67">
        <v>0.65441803240519503</v>
      </c>
      <c r="J5" s="67">
        <v>0.195058867767293</v>
      </c>
      <c r="K5" s="67">
        <v>0.195058867767293</v>
      </c>
      <c r="L5" s="67">
        <v>0.84047849624018001</v>
      </c>
      <c r="M5" s="67">
        <v>0.65308992324012105</v>
      </c>
      <c r="N5" s="67">
        <v>0.25085452623180199</v>
      </c>
      <c r="O5" s="67">
        <v>0.64863480423979702</v>
      </c>
      <c r="P5" s="67">
        <v>0</v>
      </c>
      <c r="Q5" s="67">
        <v>0.20022315838360899</v>
      </c>
      <c r="R5" s="67">
        <v>0.27180533455280398</v>
      </c>
      <c r="S5" s="67">
        <v>0.18768063455446399</v>
      </c>
      <c r="V5" s="60" t="s">
        <v>383</v>
      </c>
      <c r="W5" s="60" t="s">
        <v>9</v>
      </c>
    </row>
    <row r="6" spans="1:23" x14ac:dyDescent="0.45">
      <c r="A6" s="8" t="str">
        <f>VLOOKUP(C6,'RES balance'!$AL$5:$AM$25,2,FALSE)</f>
        <v>RESNGA</v>
      </c>
      <c r="B6" s="36"/>
      <c r="C6" s="20" t="s">
        <v>33</v>
      </c>
      <c r="D6" s="21" t="s">
        <v>66</v>
      </c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V6" s="60" t="s">
        <v>384</v>
      </c>
      <c r="W6" s="60" t="s">
        <v>6</v>
      </c>
    </row>
    <row r="7" spans="1:23" x14ac:dyDescent="0.45">
      <c r="A7" s="8" t="str">
        <f>VLOOKUP(C7,'RES balance'!$AL$5:$AM$25,2,FALSE)</f>
        <v>RESNGA</v>
      </c>
      <c r="B7" s="36"/>
      <c r="C7" s="20" t="s">
        <v>33</v>
      </c>
      <c r="D7" s="21" t="s">
        <v>67</v>
      </c>
      <c r="E7" s="67">
        <v>0.34408400548010998</v>
      </c>
      <c r="F7" s="67">
        <v>4.89808816558698E-2</v>
      </c>
      <c r="G7" s="67">
        <v>1.2130377303765399E-2</v>
      </c>
      <c r="H7" s="67">
        <v>0.39921869557686901</v>
      </c>
      <c r="I7" s="67">
        <v>0.34408400548010998</v>
      </c>
      <c r="J7" s="67">
        <v>0.120250816831557</v>
      </c>
      <c r="K7" s="67">
        <v>0.120250816831557</v>
      </c>
      <c r="L7" s="67">
        <v>0.15952150375981999</v>
      </c>
      <c r="M7" s="67">
        <v>0.163594114728871</v>
      </c>
      <c r="N7" s="67">
        <v>0.101664250148585</v>
      </c>
      <c r="O7" s="67">
        <v>0.33044138821117303</v>
      </c>
      <c r="P7" s="67">
        <v>1</v>
      </c>
      <c r="Q7" s="67">
        <v>0.19323903481114901</v>
      </c>
      <c r="R7" s="67">
        <v>4.2616360523618502E-2</v>
      </c>
      <c r="S7" s="67">
        <v>3.5806845731872303E-2</v>
      </c>
      <c r="V7" s="60" t="s">
        <v>385</v>
      </c>
      <c r="W7" s="60" t="s">
        <v>13</v>
      </c>
    </row>
    <row r="8" spans="1:23" x14ac:dyDescent="0.45">
      <c r="A8" s="70" t="str">
        <f>VLOOKUP(C8,'RES balance'!$AL$5:$AM$25,2,FALSE)</f>
        <v>RESNGA</v>
      </c>
      <c r="B8" s="71"/>
      <c r="C8" s="22" t="s">
        <v>33</v>
      </c>
      <c r="D8" s="23" t="s">
        <v>70</v>
      </c>
      <c r="E8" s="72">
        <v>0</v>
      </c>
      <c r="F8" s="72">
        <v>0</v>
      </c>
      <c r="G8" s="72"/>
      <c r="H8" s="72"/>
      <c r="I8" s="72">
        <v>0</v>
      </c>
      <c r="J8" s="72">
        <v>2.3841826857116701E-2</v>
      </c>
      <c r="K8" s="72">
        <v>2.3841826857116701E-2</v>
      </c>
      <c r="L8" s="72"/>
      <c r="M8" s="72"/>
      <c r="N8" s="72"/>
      <c r="O8" s="72"/>
      <c r="P8" s="72"/>
      <c r="Q8" s="72">
        <v>0</v>
      </c>
      <c r="R8" s="72"/>
      <c r="S8" s="72">
        <v>1.07143930924964E-4</v>
      </c>
      <c r="V8" s="60" t="s">
        <v>386</v>
      </c>
      <c r="W8" s="60" t="s">
        <v>2</v>
      </c>
    </row>
    <row r="9" spans="1:23" x14ac:dyDescent="0.45">
      <c r="A9" s="8" t="str">
        <f>VLOOKUP(C9,'RES balance'!$AL$5:$AM$25,2,FALSE)</f>
        <v>RESOIL</v>
      </c>
      <c r="B9" s="36"/>
      <c r="C9" s="20" t="s">
        <v>72</v>
      </c>
      <c r="D9" s="21" t="s">
        <v>62</v>
      </c>
      <c r="E9" s="67">
        <v>1.11994966344176E-2</v>
      </c>
      <c r="F9" s="67">
        <v>0.28924650964510301</v>
      </c>
      <c r="G9" s="67">
        <v>0.87110070437297604</v>
      </c>
      <c r="H9" s="67">
        <v>0</v>
      </c>
      <c r="I9" s="67">
        <v>2.8907422966084801E-2</v>
      </c>
      <c r="J9" s="67">
        <v>0.27814100468562702</v>
      </c>
      <c r="K9" s="67">
        <v>0.74195819027563203</v>
      </c>
      <c r="L9" s="67">
        <v>0</v>
      </c>
      <c r="M9" s="67">
        <v>0.54377694288475398</v>
      </c>
      <c r="N9" s="67">
        <v>0.36444122803811602</v>
      </c>
      <c r="O9" s="67">
        <v>1.8289276077225299E-2</v>
      </c>
      <c r="P9" s="67">
        <v>0</v>
      </c>
      <c r="Q9" s="67">
        <v>0.82080796607894502</v>
      </c>
      <c r="R9" s="67">
        <v>0.83153081316014898</v>
      </c>
      <c r="S9" s="67">
        <v>0.82458358028349898</v>
      </c>
      <c r="V9" s="60" t="s">
        <v>387</v>
      </c>
      <c r="W9" s="60" t="s">
        <v>12</v>
      </c>
    </row>
    <row r="10" spans="1:23" x14ac:dyDescent="0.45">
      <c r="A10" s="8" t="str">
        <f>VLOOKUP(C10,'RES balance'!$AL$5:$AM$25,2,FALSE)</f>
        <v>RESOIL</v>
      </c>
      <c r="B10" s="36"/>
      <c r="C10" s="20" t="s">
        <v>72</v>
      </c>
      <c r="D10" s="21" t="s">
        <v>64</v>
      </c>
      <c r="E10" s="67">
        <v>0.110955598742628</v>
      </c>
      <c r="F10" s="67">
        <v>0.46648193541511201</v>
      </c>
      <c r="G10" s="67">
        <v>0.12889929562702299</v>
      </c>
      <c r="H10" s="67">
        <v>0.69062770767757298</v>
      </c>
      <c r="I10" s="67">
        <v>0.14250342330351601</v>
      </c>
      <c r="J10" s="67">
        <v>7.0611310885910397E-2</v>
      </c>
      <c r="K10" s="67">
        <v>9.6822342220246896E-2</v>
      </c>
      <c r="L10" s="67">
        <v>9.4607929782982603E-2</v>
      </c>
      <c r="M10" s="67">
        <v>0.34868853280258</v>
      </c>
      <c r="N10" s="67">
        <v>0.163911059454764</v>
      </c>
      <c r="O10" s="67">
        <v>0.56696888809402401</v>
      </c>
      <c r="P10" s="67">
        <v>9.8003347400173801E-2</v>
      </c>
      <c r="Q10" s="67">
        <v>0.15286611502331901</v>
      </c>
      <c r="R10" s="67">
        <v>0.14541311487324701</v>
      </c>
      <c r="S10" s="67">
        <v>0.141090346718032</v>
      </c>
      <c r="V10" s="60" t="s">
        <v>388</v>
      </c>
      <c r="W10" s="60" t="s">
        <v>15</v>
      </c>
    </row>
    <row r="11" spans="1:23" x14ac:dyDescent="0.45">
      <c r="A11" s="8" t="str">
        <f>VLOOKUP(C11,'RES balance'!$AL$5:$AM$25,2,FALSE)</f>
        <v>RESOIL</v>
      </c>
      <c r="B11" s="36"/>
      <c r="C11" s="20" t="s">
        <v>72</v>
      </c>
      <c r="D11" s="21" t="s">
        <v>67</v>
      </c>
      <c r="E11" s="67">
        <v>0.85970762590704897</v>
      </c>
      <c r="F11" s="67">
        <v>0.244271554939785</v>
      </c>
      <c r="G11" s="67">
        <v>0</v>
      </c>
      <c r="H11" s="67">
        <v>0.30937229232242702</v>
      </c>
      <c r="I11" s="67">
        <v>0.70693720634574397</v>
      </c>
      <c r="J11" s="67">
        <v>0.648468998583415</v>
      </c>
      <c r="K11" s="67">
        <v>0.159098093913425</v>
      </c>
      <c r="L11" s="67">
        <v>0.90539207021701695</v>
      </c>
      <c r="M11" s="67">
        <v>0.107534524312666</v>
      </c>
      <c r="N11" s="67">
        <v>0.471622606768548</v>
      </c>
      <c r="O11" s="67">
        <v>0.41264007870494501</v>
      </c>
      <c r="P11" s="67">
        <v>0.89583576477700899</v>
      </c>
      <c r="Q11" s="67">
        <v>2.6325918897736601E-2</v>
      </c>
      <c r="R11" s="67">
        <v>2.3056071966604599E-2</v>
      </c>
      <c r="S11" s="67">
        <v>3.2009371758779097E-2</v>
      </c>
      <c r="V11" s="60" t="s">
        <v>389</v>
      </c>
      <c r="W11" s="60" t="s">
        <v>6</v>
      </c>
    </row>
    <row r="12" spans="1:23" x14ac:dyDescent="0.45">
      <c r="A12" s="70" t="str">
        <f>VLOOKUP(C12,'RES balance'!$AL$5:$AM$25,2,FALSE)</f>
        <v>RESOIL</v>
      </c>
      <c r="B12" s="71"/>
      <c r="C12" s="22" t="s">
        <v>72</v>
      </c>
      <c r="D12" s="23" t="s">
        <v>70</v>
      </c>
      <c r="E12" s="69">
        <v>1.8137278715904599E-2</v>
      </c>
      <c r="F12" s="69">
        <v>0</v>
      </c>
      <c r="G12" s="69">
        <v>0</v>
      </c>
      <c r="H12" s="69">
        <v>0</v>
      </c>
      <c r="I12" s="69">
        <v>0.12165194738465616</v>
      </c>
      <c r="J12" s="69">
        <v>2.7786858450474E-3</v>
      </c>
      <c r="K12" s="69">
        <v>2.1213735906961302E-3</v>
      </c>
      <c r="L12" s="69"/>
      <c r="M12" s="69">
        <v>0</v>
      </c>
      <c r="N12" s="69">
        <v>2.51057385728E-5</v>
      </c>
      <c r="O12" s="69">
        <v>2.1017571238056299E-3</v>
      </c>
      <c r="P12" s="69">
        <v>6.1608878228174404E-3</v>
      </c>
      <c r="Q12" s="69">
        <v>0</v>
      </c>
      <c r="R12" s="69">
        <v>0</v>
      </c>
      <c r="S12" s="69">
        <v>2.3167012396898301E-3</v>
      </c>
      <c r="V12" s="60" t="s">
        <v>390</v>
      </c>
      <c r="W12" s="60" t="s">
        <v>8</v>
      </c>
    </row>
    <row r="13" spans="1:23" x14ac:dyDescent="0.45">
      <c r="A13" s="8">
        <f>VLOOKUP(C13,'RES balance'!$AL$5:$AM$25,2,FALSE)</f>
        <v>0</v>
      </c>
      <c r="B13" s="36"/>
      <c r="C13" s="20" t="s">
        <v>73</v>
      </c>
      <c r="D13" s="21" t="s">
        <v>62</v>
      </c>
      <c r="E13" s="14">
        <v>1</v>
      </c>
      <c r="F13" s="14">
        <v>1</v>
      </c>
      <c r="G13" s="14">
        <v>1</v>
      </c>
      <c r="H13" s="15">
        <v>1</v>
      </c>
      <c r="I13" s="14">
        <v>1</v>
      </c>
      <c r="J13" s="14">
        <v>0.9</v>
      </c>
      <c r="K13" s="14">
        <v>0.9</v>
      </c>
      <c r="L13" s="14">
        <v>1</v>
      </c>
      <c r="M13" s="14">
        <v>1</v>
      </c>
      <c r="N13" s="14">
        <v>0.5</v>
      </c>
      <c r="O13" s="14">
        <v>0.5</v>
      </c>
      <c r="P13" s="14">
        <v>1</v>
      </c>
      <c r="Q13" s="14">
        <v>1</v>
      </c>
      <c r="R13" s="14">
        <v>1</v>
      </c>
      <c r="S13" s="14">
        <v>1</v>
      </c>
      <c r="V13" s="60" t="s">
        <v>342</v>
      </c>
      <c r="W13" s="60" t="s">
        <v>14</v>
      </c>
    </row>
    <row r="14" spans="1:23" x14ac:dyDescent="0.45">
      <c r="A14" s="8">
        <f>VLOOKUP(C14,'RES balance'!$AL$5:$AM$25,2,FALSE)</f>
        <v>0</v>
      </c>
      <c r="B14" s="36"/>
      <c r="C14" s="20" t="s">
        <v>73</v>
      </c>
      <c r="D14" s="21" t="s">
        <v>64</v>
      </c>
      <c r="E14" s="14"/>
      <c r="F14" s="14"/>
      <c r="G14" s="14"/>
      <c r="H14" s="15"/>
      <c r="I14" s="14"/>
      <c r="J14" s="14">
        <v>0.1</v>
      </c>
      <c r="K14" s="14">
        <v>0.1</v>
      </c>
      <c r="L14" s="14"/>
      <c r="M14" s="14"/>
      <c r="N14" s="14">
        <v>0.5</v>
      </c>
      <c r="O14" s="14">
        <v>0.5</v>
      </c>
      <c r="P14" s="14"/>
      <c r="Q14" s="14"/>
      <c r="R14" s="14"/>
      <c r="S14" s="14"/>
      <c r="V14" s="60" t="s">
        <v>391</v>
      </c>
      <c r="W14" s="60" t="s">
        <v>1</v>
      </c>
    </row>
    <row r="15" spans="1:23" x14ac:dyDescent="0.45">
      <c r="A15" s="8">
        <f>VLOOKUP(C15,'RES balance'!$AL$5:$AM$25,2,FALSE)</f>
        <v>0</v>
      </c>
      <c r="B15" s="36"/>
      <c r="C15" s="22" t="s">
        <v>73</v>
      </c>
      <c r="D15" s="23" t="s">
        <v>70</v>
      </c>
      <c r="E15" s="18"/>
      <c r="F15" s="18"/>
      <c r="G15" s="18"/>
      <c r="H15" s="19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V15" s="60" t="s">
        <v>392</v>
      </c>
      <c r="W15" s="60" t="s">
        <v>4</v>
      </c>
    </row>
    <row r="16" spans="1:23" x14ac:dyDescent="0.45">
      <c r="A16" s="8" t="str">
        <f>VLOOKUP(C16,'RES balance'!$AL$5:$AM$25,2,FALSE)</f>
        <v>RESKER</v>
      </c>
      <c r="B16" s="36"/>
      <c r="C16" s="20" t="s">
        <v>74</v>
      </c>
      <c r="D16" s="21" t="s">
        <v>62</v>
      </c>
      <c r="E16" s="68">
        <f>E9</f>
        <v>1.11994966344176E-2</v>
      </c>
      <c r="F16" s="68">
        <f t="shared" ref="F16:S16" si="0">F9</f>
        <v>0.28924650964510301</v>
      </c>
      <c r="G16" s="68">
        <f t="shared" si="0"/>
        <v>0.87110070437297604</v>
      </c>
      <c r="H16" s="68">
        <f t="shared" si="0"/>
        <v>0</v>
      </c>
      <c r="I16" s="68">
        <f t="shared" si="0"/>
        <v>2.8907422966084801E-2</v>
      </c>
      <c r="J16" s="68">
        <f t="shared" si="0"/>
        <v>0.27814100468562702</v>
      </c>
      <c r="K16" s="68">
        <f t="shared" si="0"/>
        <v>0.74195819027563203</v>
      </c>
      <c r="L16" s="68">
        <f t="shared" si="0"/>
        <v>0</v>
      </c>
      <c r="M16" s="68">
        <f t="shared" si="0"/>
        <v>0.54377694288475398</v>
      </c>
      <c r="N16" s="68">
        <f t="shared" si="0"/>
        <v>0.36444122803811602</v>
      </c>
      <c r="O16" s="68">
        <f t="shared" si="0"/>
        <v>1.8289276077225299E-2</v>
      </c>
      <c r="P16" s="68">
        <f t="shared" si="0"/>
        <v>0</v>
      </c>
      <c r="Q16" s="68">
        <f t="shared" si="0"/>
        <v>0.82080796607894502</v>
      </c>
      <c r="R16" s="68">
        <f t="shared" si="0"/>
        <v>0.83153081316014898</v>
      </c>
      <c r="S16" s="68">
        <f t="shared" si="0"/>
        <v>0.82458358028349898</v>
      </c>
      <c r="V16" s="60" t="s">
        <v>393</v>
      </c>
      <c r="W16" s="60" t="s">
        <v>1</v>
      </c>
    </row>
    <row r="17" spans="1:23" x14ac:dyDescent="0.45">
      <c r="A17" s="8" t="str">
        <f>VLOOKUP(C17,'RES balance'!$AL$5:$AM$25,2,FALSE)</f>
        <v>RESKER</v>
      </c>
      <c r="B17" s="36"/>
      <c r="C17" s="20" t="s">
        <v>74</v>
      </c>
      <c r="D17" s="21" t="s">
        <v>64</v>
      </c>
      <c r="E17" s="68">
        <f t="shared" ref="E17:S18" si="1">E10</f>
        <v>0.110955598742628</v>
      </c>
      <c r="F17" s="68">
        <f t="shared" si="1"/>
        <v>0.46648193541511201</v>
      </c>
      <c r="G17" s="68">
        <f t="shared" si="1"/>
        <v>0.12889929562702299</v>
      </c>
      <c r="H17" s="68">
        <f t="shared" si="1"/>
        <v>0.69062770767757298</v>
      </c>
      <c r="I17" s="68">
        <f t="shared" si="1"/>
        <v>0.14250342330351601</v>
      </c>
      <c r="J17" s="68">
        <f t="shared" si="1"/>
        <v>7.0611310885910397E-2</v>
      </c>
      <c r="K17" s="68">
        <f t="shared" si="1"/>
        <v>9.6822342220246896E-2</v>
      </c>
      <c r="L17" s="68">
        <v>9.4607929782982603E-2</v>
      </c>
      <c r="M17" s="68">
        <f t="shared" si="1"/>
        <v>0.34868853280258</v>
      </c>
      <c r="N17" s="68">
        <f t="shared" si="1"/>
        <v>0.163911059454764</v>
      </c>
      <c r="O17" s="68">
        <f t="shared" si="1"/>
        <v>0.56696888809402401</v>
      </c>
      <c r="P17" s="68">
        <f t="shared" si="1"/>
        <v>9.8003347400173801E-2</v>
      </c>
      <c r="Q17" s="68">
        <f t="shared" si="1"/>
        <v>0.15286611502331901</v>
      </c>
      <c r="R17" s="68">
        <f t="shared" si="1"/>
        <v>0.14541311487324701</v>
      </c>
      <c r="S17" s="68">
        <f t="shared" si="1"/>
        <v>0.141090346718032</v>
      </c>
      <c r="V17" s="60" t="s">
        <v>394</v>
      </c>
      <c r="W17" s="60" t="s">
        <v>1</v>
      </c>
    </row>
    <row r="18" spans="1:23" x14ac:dyDescent="0.45">
      <c r="A18" s="8" t="str">
        <f>VLOOKUP(C18,'RES balance'!$AL$5:$AM$25,2,FALSE)</f>
        <v>RESKER</v>
      </c>
      <c r="B18" s="36"/>
      <c r="C18" s="20" t="s">
        <v>74</v>
      </c>
      <c r="D18" s="21" t="s">
        <v>67</v>
      </c>
      <c r="E18" s="68">
        <f t="shared" si="1"/>
        <v>0.85970762590704897</v>
      </c>
      <c r="F18" s="68">
        <f t="shared" si="1"/>
        <v>0.244271554939785</v>
      </c>
      <c r="G18" s="68">
        <f t="shared" si="1"/>
        <v>0</v>
      </c>
      <c r="H18" s="68">
        <f t="shared" si="1"/>
        <v>0.30937229232242702</v>
      </c>
      <c r="I18" s="68">
        <f t="shared" si="1"/>
        <v>0.70693720634574397</v>
      </c>
      <c r="J18" s="68">
        <f t="shared" si="1"/>
        <v>0.648468998583415</v>
      </c>
      <c r="K18" s="68">
        <f t="shared" si="1"/>
        <v>0.159098093913425</v>
      </c>
      <c r="L18" s="68">
        <f t="shared" si="1"/>
        <v>0.90539207021701695</v>
      </c>
      <c r="M18" s="68">
        <f t="shared" si="1"/>
        <v>0.107534524312666</v>
      </c>
      <c r="N18" s="68">
        <f t="shared" si="1"/>
        <v>0.471622606768548</v>
      </c>
      <c r="O18" s="68">
        <f t="shared" si="1"/>
        <v>0.41264007870494501</v>
      </c>
      <c r="P18" s="68">
        <f t="shared" si="1"/>
        <v>0.89583576477700899</v>
      </c>
      <c r="Q18" s="68">
        <f t="shared" si="1"/>
        <v>2.6325918897736601E-2</v>
      </c>
      <c r="R18" s="68">
        <f t="shared" si="1"/>
        <v>2.3056071966604599E-2</v>
      </c>
      <c r="S18" s="68">
        <f t="shared" si="1"/>
        <v>3.2009371758779097E-2</v>
      </c>
      <c r="V18" s="60" t="s">
        <v>395</v>
      </c>
      <c r="W18" s="60" t="s">
        <v>4</v>
      </c>
    </row>
    <row r="19" spans="1:23" x14ac:dyDescent="0.45">
      <c r="A19" s="8" t="str">
        <f>VLOOKUP(C19,'RES balance'!$AL$5:$AM$25,2,FALSE)</f>
        <v>RESKER</v>
      </c>
      <c r="B19" s="36"/>
      <c r="C19" s="20" t="s">
        <v>74</v>
      </c>
      <c r="D19" s="21" t="s">
        <v>70</v>
      </c>
      <c r="E19" s="67">
        <v>0</v>
      </c>
      <c r="F19" s="67">
        <v>0</v>
      </c>
      <c r="G19" s="67"/>
      <c r="H19" s="67"/>
      <c r="I19" s="67">
        <v>0.121423957926812</v>
      </c>
      <c r="J19" s="67">
        <v>2.7786858450474E-3</v>
      </c>
      <c r="K19" s="67">
        <v>2.1213735906961302E-3</v>
      </c>
      <c r="L19" s="67"/>
      <c r="M19" s="67"/>
      <c r="N19" s="67"/>
      <c r="O19" s="67"/>
      <c r="P19" s="67"/>
      <c r="Q19" s="67">
        <v>0</v>
      </c>
      <c r="R19" s="67"/>
      <c r="S19" s="67">
        <v>2.3167012396898301E-3</v>
      </c>
      <c r="V19" s="60" t="s">
        <v>396</v>
      </c>
      <c r="W19" s="60" t="s">
        <v>1</v>
      </c>
    </row>
    <row r="20" spans="1:23" x14ac:dyDescent="0.45">
      <c r="A20" s="70" t="str">
        <f>VLOOKUP(C20,'RES balance'!$AL$5:$AM$25,2,FALSE)</f>
        <v>RESKER</v>
      </c>
      <c r="B20" s="71"/>
      <c r="C20" s="22" t="s">
        <v>74</v>
      </c>
      <c r="D20" s="23" t="s">
        <v>71</v>
      </c>
      <c r="E20" s="72">
        <v>1.8137278715904599E-2</v>
      </c>
      <c r="F20" s="72"/>
      <c r="G20" s="72">
        <v>0</v>
      </c>
      <c r="H20" s="72">
        <v>0</v>
      </c>
      <c r="I20" s="72">
        <v>2.2798945784415799E-4</v>
      </c>
      <c r="J20" s="72"/>
      <c r="K20" s="72">
        <v>0</v>
      </c>
      <c r="L20" s="72"/>
      <c r="M20" s="72">
        <v>0</v>
      </c>
      <c r="N20" s="72">
        <v>2.51057385728E-5</v>
      </c>
      <c r="O20" s="72">
        <v>2.1017571238056299E-3</v>
      </c>
      <c r="P20" s="72">
        <v>6.1608878228174404E-3</v>
      </c>
      <c r="Q20" s="72">
        <v>0</v>
      </c>
      <c r="R20" s="72">
        <v>0</v>
      </c>
      <c r="S20" s="72"/>
      <c r="V20" s="60" t="s">
        <v>397</v>
      </c>
      <c r="W20" s="60" t="s">
        <v>11</v>
      </c>
    </row>
    <row r="21" spans="1:23" x14ac:dyDescent="0.45">
      <c r="A21" s="8" t="str">
        <f>VLOOKUP(C21,'RES balance'!$AL$5:$AM$25,2,FALSE)</f>
        <v>RESCOA</v>
      </c>
      <c r="B21" s="36"/>
      <c r="C21" s="20" t="s">
        <v>32</v>
      </c>
      <c r="D21" s="21" t="s">
        <v>62</v>
      </c>
      <c r="E21" s="67">
        <v>0.40222709421780201</v>
      </c>
      <c r="F21" s="67">
        <v>0.93975903614457801</v>
      </c>
      <c r="G21" s="67">
        <v>0.86488204548665104</v>
      </c>
      <c r="H21" s="67">
        <v>0.71664574586903296</v>
      </c>
      <c r="I21" s="67">
        <v>0.40222709421780201</v>
      </c>
      <c r="J21" s="67">
        <v>0.90652580638763502</v>
      </c>
      <c r="K21" s="67">
        <v>0.80697432271266301</v>
      </c>
      <c r="L21" s="67">
        <v>0</v>
      </c>
      <c r="M21" s="67">
        <v>0.74850398624061598</v>
      </c>
      <c r="N21" s="67">
        <v>0.81165927205829602</v>
      </c>
      <c r="O21" s="67">
        <v>0.74850398624061598</v>
      </c>
      <c r="P21" s="67">
        <v>0</v>
      </c>
      <c r="Q21" s="67">
        <v>0.74850398624061598</v>
      </c>
      <c r="R21" s="67">
        <v>0.74850398624061598</v>
      </c>
      <c r="S21" s="67">
        <v>0.951894879314234</v>
      </c>
      <c r="V21" s="60" t="s">
        <v>398</v>
      </c>
      <c r="W21" s="60" t="s">
        <v>1</v>
      </c>
    </row>
    <row r="22" spans="1:23" x14ac:dyDescent="0.45">
      <c r="A22" s="8" t="str">
        <f>VLOOKUP(C22,'RES balance'!$AL$5:$AM$25,2,FALSE)</f>
        <v>RESCOA</v>
      </c>
      <c r="B22" s="36"/>
      <c r="C22" s="20" t="s">
        <v>32</v>
      </c>
      <c r="D22" s="21" t="s">
        <v>64</v>
      </c>
      <c r="E22" s="67">
        <v>0.53297308041681601</v>
      </c>
      <c r="F22" s="67">
        <v>6.02409638554217E-2</v>
      </c>
      <c r="G22" s="67">
        <v>0.13511795451334899</v>
      </c>
      <c r="H22" s="67">
        <v>0.22775487341525999</v>
      </c>
      <c r="I22" s="67">
        <v>0.53297308041681601</v>
      </c>
      <c r="J22" s="67">
        <v>8.1633732422765906E-2</v>
      </c>
      <c r="K22" s="67">
        <v>0.124033912698812</v>
      </c>
      <c r="L22" s="67">
        <v>0</v>
      </c>
      <c r="M22" s="67">
        <v>0.25149601375938402</v>
      </c>
      <c r="N22" s="67">
        <v>0.18834072794170401</v>
      </c>
      <c r="O22" s="67">
        <v>0.25149601375938402</v>
      </c>
      <c r="P22" s="67">
        <v>0</v>
      </c>
      <c r="Q22" s="67">
        <v>0.25149601375938402</v>
      </c>
      <c r="R22" s="67">
        <v>0.25149601375938402</v>
      </c>
      <c r="S22" s="67">
        <v>4.2437401308369101E-2</v>
      </c>
      <c r="V22" s="60" t="s">
        <v>381</v>
      </c>
      <c r="W22" s="60" t="s">
        <v>1</v>
      </c>
    </row>
    <row r="23" spans="1:23" x14ac:dyDescent="0.45">
      <c r="A23" s="8" t="str">
        <f>VLOOKUP(C23,'RES balance'!$AL$5:$AM$25,2,FALSE)</f>
        <v>RESCOA</v>
      </c>
      <c r="B23" s="36"/>
      <c r="C23" s="20" t="s">
        <v>32</v>
      </c>
      <c r="D23" s="21" t="s">
        <v>67</v>
      </c>
      <c r="E23" s="67">
        <v>6.4799825365382396E-2</v>
      </c>
      <c r="F23" s="67">
        <v>0</v>
      </c>
      <c r="G23" s="67">
        <v>0</v>
      </c>
      <c r="H23" s="67">
        <v>5.5599380715706699E-2</v>
      </c>
      <c r="I23" s="67">
        <v>6.4799825365382396E-2</v>
      </c>
      <c r="J23" s="67">
        <v>1.10074639199794E-2</v>
      </c>
      <c r="K23" s="67">
        <v>4.1338825961717597E-2</v>
      </c>
      <c r="L23" s="67">
        <v>1</v>
      </c>
      <c r="M23" s="67">
        <v>0</v>
      </c>
      <c r="N23" s="67">
        <v>0</v>
      </c>
      <c r="O23" s="67">
        <v>0</v>
      </c>
      <c r="P23" s="67">
        <v>1</v>
      </c>
      <c r="Q23" s="67">
        <v>0</v>
      </c>
      <c r="R23" s="67">
        <v>0</v>
      </c>
      <c r="S23" s="67">
        <v>2.8197608842770101E-4</v>
      </c>
      <c r="V23" s="60" t="s">
        <v>344</v>
      </c>
      <c r="W23" s="60" t="s">
        <v>7</v>
      </c>
    </row>
    <row r="24" spans="1:23" x14ac:dyDescent="0.45">
      <c r="A24" s="70" t="str">
        <f>VLOOKUP(C24,'RES balance'!$AL$5:$AM$25,2,FALSE)</f>
        <v>RESCOA</v>
      </c>
      <c r="B24" s="71"/>
      <c r="C24" s="22" t="s">
        <v>32</v>
      </c>
      <c r="D24" s="23" t="s">
        <v>70</v>
      </c>
      <c r="E24" s="72">
        <v>0</v>
      </c>
      <c r="F24" s="72">
        <v>0</v>
      </c>
      <c r="G24" s="72"/>
      <c r="H24" s="72"/>
      <c r="I24" s="72">
        <v>0</v>
      </c>
      <c r="J24" s="72">
        <v>8.3299726962006101E-4</v>
      </c>
      <c r="K24" s="72">
        <v>2.7652938626807601E-2</v>
      </c>
      <c r="L24" s="72"/>
      <c r="M24" s="72">
        <v>0</v>
      </c>
      <c r="N24" s="72"/>
      <c r="O24" s="72">
        <v>0</v>
      </c>
      <c r="P24" s="72"/>
      <c r="Q24" s="72">
        <v>0</v>
      </c>
      <c r="R24" s="72">
        <v>0</v>
      </c>
      <c r="S24" s="72">
        <v>5.3857432889690996E-3</v>
      </c>
      <c r="V24" s="60" t="s">
        <v>399</v>
      </c>
      <c r="W24" s="60" t="s">
        <v>6</v>
      </c>
    </row>
    <row r="25" spans="1:23" x14ac:dyDescent="0.45">
      <c r="A25" s="8" t="str">
        <f>VLOOKUP(C25,'RES balance'!$AL$5:$AM$25,2,FALSE)</f>
        <v>RESLPG</v>
      </c>
      <c r="B25" s="36"/>
      <c r="C25" s="20" t="s">
        <v>75</v>
      </c>
      <c r="D25" s="21" t="s">
        <v>62</v>
      </c>
      <c r="E25" s="67">
        <v>1.11994966344176E-2</v>
      </c>
      <c r="F25" s="67">
        <v>0.28924650964510301</v>
      </c>
      <c r="G25" s="67">
        <v>0.87110070437297604</v>
      </c>
      <c r="H25" s="67">
        <v>0</v>
      </c>
      <c r="I25" s="67">
        <v>1.11994966344176E-2</v>
      </c>
      <c r="J25" s="67">
        <v>0.27814100468562702</v>
      </c>
      <c r="K25" s="67">
        <v>0.74195819027563203</v>
      </c>
      <c r="L25" s="67">
        <v>0</v>
      </c>
      <c r="M25" s="67">
        <v>0.54377694288475398</v>
      </c>
      <c r="N25" s="67">
        <v>0.36444122803811602</v>
      </c>
      <c r="O25" s="67">
        <v>1.8289276077225299E-2</v>
      </c>
      <c r="P25" s="67">
        <v>0</v>
      </c>
      <c r="Q25" s="67">
        <v>0.82080796607894502</v>
      </c>
      <c r="R25" s="67">
        <v>0.83153081316014898</v>
      </c>
      <c r="S25" s="67">
        <v>0.82458358028349898</v>
      </c>
      <c r="V25" s="60" t="s">
        <v>400</v>
      </c>
      <c r="W25" s="60" t="s">
        <v>0</v>
      </c>
    </row>
    <row r="26" spans="1:23" x14ac:dyDescent="0.45">
      <c r="A26" s="8" t="str">
        <f>VLOOKUP(C26,'RES balance'!$AL$5:$AM$25,2,FALSE)</f>
        <v>RESLPG</v>
      </c>
      <c r="B26" s="36"/>
      <c r="C26" s="20" t="s">
        <v>75</v>
      </c>
      <c r="D26" s="21" t="s">
        <v>64</v>
      </c>
      <c r="E26" s="67">
        <v>0.110955598742628</v>
      </c>
      <c r="F26" s="67">
        <v>0.46648193541511201</v>
      </c>
      <c r="G26" s="67">
        <v>0.12889929562702299</v>
      </c>
      <c r="H26" s="67">
        <v>0.69062770767757298</v>
      </c>
      <c r="I26" s="67">
        <v>0.110955598742628</v>
      </c>
      <c r="J26" s="67">
        <v>7.0611310885910397E-2</v>
      </c>
      <c r="K26" s="67">
        <v>9.6822342220246896E-2</v>
      </c>
      <c r="L26" s="74">
        <v>9.4607929782982603E-2</v>
      </c>
      <c r="M26" s="67">
        <v>0.34868853280258</v>
      </c>
      <c r="N26" s="67">
        <v>0.163911059454764</v>
      </c>
      <c r="O26" s="67">
        <v>0.56696888809402401</v>
      </c>
      <c r="P26" s="67">
        <v>9.8003347400173801E-2</v>
      </c>
      <c r="Q26" s="67">
        <v>0.15286611502331901</v>
      </c>
      <c r="R26" s="67">
        <v>0.14541311487324701</v>
      </c>
      <c r="S26" s="67">
        <v>0.141090346718032</v>
      </c>
      <c r="V26" s="60" t="s">
        <v>401</v>
      </c>
      <c r="W26" s="60" t="s">
        <v>11</v>
      </c>
    </row>
    <row r="27" spans="1:23" x14ac:dyDescent="0.45">
      <c r="A27" s="8" t="str">
        <f>VLOOKUP(C27,'RES balance'!$AL$5:$AM$25,2,FALSE)</f>
        <v>RESLPG</v>
      </c>
      <c r="B27" s="36"/>
      <c r="C27" s="20" t="s">
        <v>75</v>
      </c>
      <c r="D27" s="21" t="s">
        <v>67</v>
      </c>
      <c r="E27" s="67">
        <v>0.85970762590704897</v>
      </c>
      <c r="F27" s="67">
        <v>0.244271554939785</v>
      </c>
      <c r="G27" s="67">
        <v>0</v>
      </c>
      <c r="H27" s="67">
        <v>0.30937229232242702</v>
      </c>
      <c r="I27" s="67">
        <v>0.85970762590704897</v>
      </c>
      <c r="J27" s="67">
        <v>0.648468998583415</v>
      </c>
      <c r="K27" s="67">
        <v>0.159098093913425</v>
      </c>
      <c r="L27" s="67">
        <v>0.90539207021701695</v>
      </c>
      <c r="M27" s="67">
        <v>0.107534524312666</v>
      </c>
      <c r="N27" s="67">
        <v>0.471622606768548</v>
      </c>
      <c r="O27" s="67">
        <v>0.41264007870494501</v>
      </c>
      <c r="P27" s="67">
        <v>0.89583576477700899</v>
      </c>
      <c r="Q27" s="67">
        <v>2.6325918897736601E-2</v>
      </c>
      <c r="R27" s="67">
        <v>2.3056071966604599E-2</v>
      </c>
      <c r="S27" s="67">
        <v>3.2009371758779097E-2</v>
      </c>
      <c r="V27" s="60" t="s">
        <v>402</v>
      </c>
      <c r="W27" s="60" t="s">
        <v>1</v>
      </c>
    </row>
    <row r="28" spans="1:23" x14ac:dyDescent="0.45">
      <c r="A28" s="70" t="str">
        <f>VLOOKUP(C28,'RES balance'!$AL$5:$AM$25,2,FALSE)</f>
        <v>RESLPG</v>
      </c>
      <c r="B28" s="71"/>
      <c r="C28" s="22" t="s">
        <v>75</v>
      </c>
      <c r="D28" s="23" t="s">
        <v>70</v>
      </c>
      <c r="E28" s="69">
        <v>1.8137278715904599E-2</v>
      </c>
      <c r="F28" s="69">
        <v>0</v>
      </c>
      <c r="G28" s="69">
        <v>0</v>
      </c>
      <c r="H28" s="69">
        <v>0</v>
      </c>
      <c r="I28" s="69">
        <v>1.8137278715904599E-2</v>
      </c>
      <c r="J28" s="69">
        <v>2.7786858450474E-3</v>
      </c>
      <c r="K28" s="69">
        <v>2.1213735906961302E-3</v>
      </c>
      <c r="L28" s="69">
        <v>0</v>
      </c>
      <c r="M28" s="69">
        <v>0</v>
      </c>
      <c r="N28" s="69">
        <v>2.51057385728E-5</v>
      </c>
      <c r="O28" s="69">
        <v>2.1017571238056299E-3</v>
      </c>
      <c r="P28" s="69">
        <v>6.1608878228174404E-3</v>
      </c>
      <c r="Q28" s="69">
        <v>0</v>
      </c>
      <c r="R28" s="69">
        <v>0</v>
      </c>
      <c r="S28" s="69">
        <v>2.3167012396898301E-3</v>
      </c>
      <c r="V28" s="60" t="s">
        <v>343</v>
      </c>
      <c r="W28" s="60" t="s">
        <v>13</v>
      </c>
    </row>
    <row r="29" spans="1:23" x14ac:dyDescent="0.45">
      <c r="A29" s="8">
        <f>VLOOKUP(C29,'RES balance'!$AL$5:$AM$25,2,FALSE)</f>
        <v>0</v>
      </c>
      <c r="B29" s="36"/>
      <c r="C29" s="20" t="s">
        <v>76</v>
      </c>
      <c r="D29" s="21" t="s">
        <v>62</v>
      </c>
      <c r="E29" s="14">
        <v>0.3</v>
      </c>
      <c r="F29" s="14">
        <v>0.3</v>
      </c>
      <c r="G29" s="14">
        <v>0.8</v>
      </c>
      <c r="H29" s="14">
        <v>0.2</v>
      </c>
      <c r="I29" s="14">
        <v>0.2</v>
      </c>
      <c r="J29" s="14">
        <v>0.75</v>
      </c>
      <c r="K29" s="14">
        <v>0.75</v>
      </c>
      <c r="L29" s="14">
        <v>0.2</v>
      </c>
      <c r="M29" s="14">
        <v>1</v>
      </c>
      <c r="N29" s="14">
        <v>0.3</v>
      </c>
      <c r="O29" s="14">
        <v>0.2</v>
      </c>
      <c r="P29" s="14">
        <v>0.2</v>
      </c>
      <c r="Q29" s="14">
        <v>0.3</v>
      </c>
      <c r="R29" s="14">
        <v>0.8416344197936183</v>
      </c>
      <c r="S29" s="14">
        <v>0.8</v>
      </c>
      <c r="V29" s="60" t="s">
        <v>403</v>
      </c>
      <c r="W29" s="60" t="s">
        <v>11</v>
      </c>
    </row>
    <row r="30" spans="1:23" x14ac:dyDescent="0.45">
      <c r="A30" s="8">
        <f>VLOOKUP(C30,'RES balance'!$AL$5:$AM$25,2,FALSE)</f>
        <v>0</v>
      </c>
      <c r="B30" s="36"/>
      <c r="C30" s="20" t="s">
        <v>76</v>
      </c>
      <c r="D30" s="21" t="s">
        <v>64</v>
      </c>
      <c r="E30" s="14">
        <v>0.7</v>
      </c>
      <c r="F30" s="14">
        <v>0.7</v>
      </c>
      <c r="G30" s="14">
        <v>0.2</v>
      </c>
      <c r="H30" s="14">
        <v>0.6</v>
      </c>
      <c r="I30" s="14">
        <v>0.4</v>
      </c>
      <c r="J30" s="14">
        <v>0.25</v>
      </c>
      <c r="K30" s="14">
        <v>0.25</v>
      </c>
      <c r="L30" s="14">
        <v>0.6</v>
      </c>
      <c r="M30" s="14">
        <v>0</v>
      </c>
      <c r="N30" s="14">
        <v>0.4</v>
      </c>
      <c r="O30" s="14">
        <v>0.4</v>
      </c>
      <c r="P30" s="14">
        <v>0.5</v>
      </c>
      <c r="Q30" s="14">
        <v>0.5</v>
      </c>
      <c r="R30" s="14">
        <v>0.15836558020638167</v>
      </c>
      <c r="S30" s="14">
        <v>0.2</v>
      </c>
      <c r="V30" s="60" t="s">
        <v>404</v>
      </c>
      <c r="W30" s="60" t="s">
        <v>9</v>
      </c>
    </row>
    <row r="31" spans="1:23" x14ac:dyDescent="0.45">
      <c r="A31" s="8">
        <f>VLOOKUP(C31,'RES balance'!$AL$5:$AM$25,2,FALSE)</f>
        <v>0</v>
      </c>
      <c r="B31" s="36"/>
      <c r="C31" s="20" t="s">
        <v>76</v>
      </c>
      <c r="D31" s="21" t="s">
        <v>67</v>
      </c>
      <c r="E31" s="14">
        <v>0</v>
      </c>
      <c r="F31" s="14">
        <v>0</v>
      </c>
      <c r="G31" s="14">
        <v>0</v>
      </c>
      <c r="H31" s="14">
        <v>0.2</v>
      </c>
      <c r="I31" s="14">
        <v>0.4</v>
      </c>
      <c r="J31" s="14">
        <v>0</v>
      </c>
      <c r="K31" s="14">
        <v>0</v>
      </c>
      <c r="L31" s="14">
        <v>0.2</v>
      </c>
      <c r="M31" s="14">
        <v>0</v>
      </c>
      <c r="N31" s="14">
        <v>0.3</v>
      </c>
      <c r="O31" s="14">
        <v>0.4</v>
      </c>
      <c r="P31" s="14">
        <v>0.3</v>
      </c>
      <c r="Q31" s="14">
        <v>0.2</v>
      </c>
      <c r="R31" s="14">
        <v>0</v>
      </c>
      <c r="S31" s="14">
        <v>0</v>
      </c>
      <c r="V31" t="s">
        <v>405</v>
      </c>
      <c r="W31" t="s">
        <v>1</v>
      </c>
    </row>
    <row r="32" spans="1:23" x14ac:dyDescent="0.45">
      <c r="A32" s="8">
        <f>VLOOKUP(C32,'RES balance'!$AL$5:$AM$25,2,FALSE)</f>
        <v>0</v>
      </c>
      <c r="B32" s="36"/>
      <c r="C32" s="22" t="s">
        <v>76</v>
      </c>
      <c r="D32" s="23" t="s">
        <v>70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V32" t="s">
        <v>5</v>
      </c>
      <c r="W32" t="s">
        <v>5</v>
      </c>
    </row>
    <row r="33" spans="1:21" x14ac:dyDescent="0.45">
      <c r="A33" s="8" t="str">
        <f>VLOOKUP(C33,'RES balance'!$AL$5:$AM$25,2,FALSE)</f>
        <v>RESBIO</v>
      </c>
      <c r="B33" s="36"/>
      <c r="C33" s="20" t="s">
        <v>77</v>
      </c>
      <c r="D33" s="21" t="s">
        <v>62</v>
      </c>
      <c r="E33" s="67">
        <v>0</v>
      </c>
      <c r="F33" s="67">
        <v>0.99541203458620098</v>
      </c>
      <c r="G33" s="67">
        <v>0.96540442451976605</v>
      </c>
      <c r="H33" s="67">
        <v>0.18130465891578401</v>
      </c>
      <c r="I33" s="67">
        <v>0.212431126075148</v>
      </c>
      <c r="J33" s="67">
        <v>0.91202534850578398</v>
      </c>
      <c r="K33" s="67">
        <v>0.91202534850578398</v>
      </c>
      <c r="L33" s="67">
        <v>0</v>
      </c>
      <c r="M33" s="67">
        <v>1</v>
      </c>
      <c r="N33" s="67">
        <v>0.89249849829603201</v>
      </c>
      <c r="O33" s="67">
        <v>0.32685216253524502</v>
      </c>
      <c r="P33" s="67">
        <v>0</v>
      </c>
      <c r="Q33" s="67">
        <v>0.96211926180371199</v>
      </c>
      <c r="R33" s="67">
        <v>1</v>
      </c>
      <c r="S33" s="67">
        <v>0.92001568030547098</v>
      </c>
    </row>
    <row r="34" spans="1:21" x14ac:dyDescent="0.45">
      <c r="A34" s="8" t="str">
        <f>VLOOKUP(C34,'RES balance'!$AL$5:$AM$25,2,FALSE)</f>
        <v>RESBIO</v>
      </c>
      <c r="B34" s="36"/>
      <c r="C34" s="20" t="s">
        <v>77</v>
      </c>
      <c r="D34" s="21" t="s">
        <v>64</v>
      </c>
      <c r="E34" s="67">
        <f>1-E35</f>
        <v>0.19999999999999996</v>
      </c>
      <c r="F34" s="67">
        <v>3.4939121228163002E-3</v>
      </c>
      <c r="G34" s="67">
        <v>3.45955754802343E-2</v>
      </c>
      <c r="H34" s="67">
        <v>0.23913836939497099</v>
      </c>
      <c r="I34" s="67">
        <v>9.8684375155810106E-2</v>
      </c>
      <c r="J34" s="67">
        <v>5.60502918984613E-2</v>
      </c>
      <c r="K34" s="67">
        <v>5.60502918984613E-2</v>
      </c>
      <c r="L34" s="67">
        <v>0</v>
      </c>
      <c r="M34" s="67">
        <v>0</v>
      </c>
      <c r="N34" s="67">
        <v>6.8184358582659602E-2</v>
      </c>
      <c r="O34" s="67">
        <v>0</v>
      </c>
      <c r="P34" s="67">
        <v>0</v>
      </c>
      <c r="Q34" s="67">
        <v>3.7880738196288399E-2</v>
      </c>
      <c r="R34" s="67">
        <v>0</v>
      </c>
      <c r="S34" s="67">
        <v>6.3167356097112895E-2</v>
      </c>
    </row>
    <row r="35" spans="1:21" x14ac:dyDescent="0.45">
      <c r="A35" s="8" t="str">
        <f>VLOOKUP(C35,'RES balance'!$AL$5:$AM$25,2,FALSE)</f>
        <v>RESBIO</v>
      </c>
      <c r="B35" s="36"/>
      <c r="C35" s="20" t="s">
        <v>77</v>
      </c>
      <c r="D35" s="21" t="s">
        <v>67</v>
      </c>
      <c r="E35" s="67">
        <v>0.8</v>
      </c>
      <c r="F35" s="67">
        <v>1.0940532909828799E-3</v>
      </c>
      <c r="G35" s="67">
        <v>0</v>
      </c>
      <c r="H35" s="67">
        <v>0.57955697168924503</v>
      </c>
      <c r="I35" s="67">
        <v>0.68888449876904201</v>
      </c>
      <c r="J35" s="67">
        <v>1.0438896645518799E-2</v>
      </c>
      <c r="K35" s="67">
        <v>1.0438896645518799E-2</v>
      </c>
      <c r="L35" s="67">
        <v>1</v>
      </c>
      <c r="M35" s="67">
        <v>0</v>
      </c>
      <c r="N35" s="67">
        <v>3.9317143121308698E-2</v>
      </c>
      <c r="O35" s="67">
        <v>0.67314783746475504</v>
      </c>
      <c r="P35" s="67">
        <v>1</v>
      </c>
      <c r="Q35" s="67">
        <v>0</v>
      </c>
      <c r="R35" s="67">
        <v>0</v>
      </c>
      <c r="S35" s="67">
        <v>1.42303692744742E-2</v>
      </c>
    </row>
    <row r="36" spans="1:21" x14ac:dyDescent="0.45">
      <c r="A36" s="8" t="str">
        <f>VLOOKUP(C36,'RES balance'!$AL$5:$AM$25,2,FALSE)</f>
        <v>RESBIO</v>
      </c>
      <c r="B36" s="36"/>
      <c r="C36" s="22" t="s">
        <v>77</v>
      </c>
      <c r="D36" s="23" t="s">
        <v>70</v>
      </c>
      <c r="E36" s="67">
        <v>0</v>
      </c>
      <c r="F36" s="67">
        <v>0</v>
      </c>
      <c r="G36" s="67"/>
      <c r="H36" s="67"/>
      <c r="I36" s="67">
        <v>0</v>
      </c>
      <c r="J36" s="67">
        <v>2.1485462950236199E-2</v>
      </c>
      <c r="K36" s="67">
        <v>2.1485462950236199E-2</v>
      </c>
      <c r="L36" s="67"/>
      <c r="M36" s="67"/>
      <c r="N36" s="67"/>
      <c r="O36" s="67"/>
      <c r="P36" s="67"/>
      <c r="Q36" s="67">
        <v>0</v>
      </c>
      <c r="R36" s="67"/>
      <c r="S36" s="67">
        <v>2.5865943229421199E-3</v>
      </c>
    </row>
    <row r="37" spans="1:21" x14ac:dyDescent="0.45">
      <c r="A37" s="8">
        <f>VLOOKUP(C37,'RES balance'!$AL$5:$AM$25,2,FALSE)</f>
        <v>0</v>
      </c>
      <c r="B37" s="36"/>
      <c r="C37" s="20" t="s">
        <v>35</v>
      </c>
      <c r="D37" s="21" t="s">
        <v>62</v>
      </c>
      <c r="E37" s="14">
        <v>0.1</v>
      </c>
      <c r="F37" s="14">
        <v>0.7</v>
      </c>
      <c r="G37" s="14">
        <v>1</v>
      </c>
      <c r="H37" s="14">
        <v>0.47</v>
      </c>
      <c r="I37" s="14">
        <v>0.1</v>
      </c>
      <c r="J37" s="14">
        <v>0.75</v>
      </c>
      <c r="K37" s="14">
        <v>0.75</v>
      </c>
      <c r="L37" s="14">
        <v>0.1</v>
      </c>
      <c r="M37" s="14">
        <v>1</v>
      </c>
      <c r="N37" s="14">
        <v>0.01</v>
      </c>
      <c r="O37" s="14">
        <v>0.1</v>
      </c>
      <c r="P37" s="14">
        <v>0.2</v>
      </c>
      <c r="Q37" s="14">
        <v>0.1</v>
      </c>
      <c r="R37" s="14">
        <v>1</v>
      </c>
      <c r="S37" s="14">
        <v>0.9</v>
      </c>
    </row>
    <row r="38" spans="1:21" x14ac:dyDescent="0.45">
      <c r="A38" s="8">
        <f>VLOOKUP(C38,'RES balance'!$AL$5:$AM$25,2,FALSE)</f>
        <v>0</v>
      </c>
      <c r="B38" s="36"/>
      <c r="C38" s="20" t="s">
        <v>35</v>
      </c>
      <c r="D38" s="21" t="s">
        <v>64</v>
      </c>
      <c r="E38" s="14">
        <v>0.2</v>
      </c>
      <c r="F38" s="14">
        <v>0.2</v>
      </c>
      <c r="G38" s="14">
        <v>0</v>
      </c>
      <c r="H38" s="14">
        <v>0.18</v>
      </c>
      <c r="I38" s="14">
        <v>0.3</v>
      </c>
      <c r="J38" s="14">
        <v>0</v>
      </c>
      <c r="K38" s="14">
        <v>0</v>
      </c>
      <c r="L38" s="14">
        <v>0.3</v>
      </c>
      <c r="M38" s="14">
        <v>0</v>
      </c>
      <c r="N38" s="14">
        <v>0.21</v>
      </c>
      <c r="O38" s="14">
        <v>0.3</v>
      </c>
      <c r="P38" s="14">
        <v>0.3</v>
      </c>
      <c r="Q38" s="14">
        <v>0.3</v>
      </c>
      <c r="R38" s="14">
        <v>0</v>
      </c>
      <c r="S38" s="14">
        <v>0</v>
      </c>
    </row>
    <row r="39" spans="1:21" x14ac:dyDescent="0.45">
      <c r="A39" s="8">
        <f>VLOOKUP(C39,'RES balance'!$AL$5:$AM$25,2,FALSE)</f>
        <v>0</v>
      </c>
      <c r="B39" s="36"/>
      <c r="C39" s="20" t="s">
        <v>35</v>
      </c>
      <c r="D39" s="21" t="s">
        <v>67</v>
      </c>
      <c r="E39" s="14">
        <v>0.7</v>
      </c>
      <c r="F39" s="14">
        <v>0.1</v>
      </c>
      <c r="G39" s="14">
        <v>0</v>
      </c>
      <c r="H39" s="14">
        <v>0.35</v>
      </c>
      <c r="I39" s="14">
        <v>0.6</v>
      </c>
      <c r="J39" s="14">
        <v>0.25</v>
      </c>
      <c r="K39" s="14">
        <v>0.25</v>
      </c>
      <c r="L39" s="14">
        <v>0.6</v>
      </c>
      <c r="M39" s="14">
        <v>0</v>
      </c>
      <c r="N39" s="14">
        <v>0.78</v>
      </c>
      <c r="O39" s="14">
        <v>0.6</v>
      </c>
      <c r="P39" s="14">
        <v>0.5</v>
      </c>
      <c r="Q39" s="14">
        <v>0.6</v>
      </c>
      <c r="R39" s="14">
        <v>0</v>
      </c>
      <c r="S39" s="14">
        <v>0.1</v>
      </c>
    </row>
    <row r="40" spans="1:21" x14ac:dyDescent="0.45">
      <c r="A40" s="8">
        <f>VLOOKUP(C40,'RES balance'!$AL$5:$AM$25,2,FALSE)</f>
        <v>0</v>
      </c>
      <c r="B40" s="36"/>
      <c r="C40" s="22" t="s">
        <v>35</v>
      </c>
      <c r="D40" s="23" t="s">
        <v>70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</row>
    <row r="41" spans="1:21" x14ac:dyDescent="0.45">
      <c r="A41" s="8">
        <f>VLOOKUP(C41,'RES balance'!$AL$5:$AM$25,2,FALSE)</f>
        <v>0</v>
      </c>
      <c r="B41" s="36"/>
      <c r="C41" s="20" t="s">
        <v>78</v>
      </c>
      <c r="D41" s="21" t="s">
        <v>62</v>
      </c>
      <c r="E41" s="14">
        <v>0.1</v>
      </c>
      <c r="F41" s="14">
        <v>0.7</v>
      </c>
      <c r="G41" s="14">
        <v>1</v>
      </c>
      <c r="H41" s="15">
        <v>0.47</v>
      </c>
      <c r="I41" s="14">
        <v>0.1</v>
      </c>
      <c r="J41" s="14">
        <v>0.75</v>
      </c>
      <c r="K41" s="14">
        <v>0.75</v>
      </c>
      <c r="L41" s="14">
        <v>0.1</v>
      </c>
      <c r="M41" s="14">
        <v>1</v>
      </c>
      <c r="N41" s="14">
        <v>0.01</v>
      </c>
      <c r="O41" s="14">
        <v>0.1</v>
      </c>
      <c r="P41" s="14">
        <v>0.2</v>
      </c>
      <c r="Q41" s="14">
        <v>0.1</v>
      </c>
      <c r="R41" s="14">
        <v>1</v>
      </c>
      <c r="S41" s="14">
        <v>0.9</v>
      </c>
    </row>
    <row r="42" spans="1:21" x14ac:dyDescent="0.45">
      <c r="A42" s="8">
        <f>VLOOKUP(C42,'RES balance'!$AL$5:$AM$25,2,FALSE)</f>
        <v>0</v>
      </c>
      <c r="B42" s="36"/>
      <c r="C42" s="20" t="s">
        <v>78</v>
      </c>
      <c r="D42" s="21" t="s">
        <v>64</v>
      </c>
      <c r="E42" s="14">
        <v>0.89999999999999991</v>
      </c>
      <c r="F42" s="14">
        <v>0.30000000000000004</v>
      </c>
      <c r="G42" s="14">
        <v>0</v>
      </c>
      <c r="H42" s="14">
        <v>0.53</v>
      </c>
      <c r="I42" s="14">
        <v>0.89999999999999991</v>
      </c>
      <c r="J42" s="14">
        <v>0.25</v>
      </c>
      <c r="K42" s="14">
        <v>0.25</v>
      </c>
      <c r="L42" s="14">
        <v>0.89999999999999991</v>
      </c>
      <c r="M42" s="14">
        <v>0</v>
      </c>
      <c r="N42" s="14">
        <v>0.99</v>
      </c>
      <c r="O42" s="14">
        <v>0.89999999999999991</v>
      </c>
      <c r="P42" s="14">
        <v>0.8</v>
      </c>
      <c r="Q42" s="14">
        <v>0.89999999999999991</v>
      </c>
      <c r="R42" s="14">
        <v>0</v>
      </c>
      <c r="S42" s="14">
        <v>0.1</v>
      </c>
    </row>
    <row r="43" spans="1:21" x14ac:dyDescent="0.45">
      <c r="A43" s="8">
        <f>VLOOKUP(C43,'RES balance'!$AL$5:$AM$25,2,FALSE)</f>
        <v>0</v>
      </c>
      <c r="B43" s="36"/>
      <c r="C43" s="22" t="s">
        <v>78</v>
      </c>
      <c r="D43" s="23" t="s">
        <v>70</v>
      </c>
      <c r="E43" s="18">
        <v>0</v>
      </c>
      <c r="F43" s="18">
        <v>0</v>
      </c>
      <c r="G43" s="18">
        <v>0</v>
      </c>
      <c r="H43" s="19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</row>
    <row r="44" spans="1:21" x14ac:dyDescent="0.45">
      <c r="A44" s="8" t="str">
        <f>VLOOKUP(C44,'RES balance'!$AL$5:$AM$25,2,FALSE)</f>
        <v>RESELC</v>
      </c>
      <c r="B44" s="36"/>
      <c r="C44" s="7" t="s">
        <v>34</v>
      </c>
      <c r="D44" s="33" t="s">
        <v>62</v>
      </c>
      <c r="E44" s="67">
        <v>0</v>
      </c>
      <c r="F44" s="67">
        <v>9.9558363538990502E-2</v>
      </c>
      <c r="G44" s="67">
        <v>0.40885625672394998</v>
      </c>
      <c r="H44" s="67">
        <v>6.0998947348619201E-2</v>
      </c>
      <c r="I44" s="67">
        <v>6.7032364831137404E-3</v>
      </c>
      <c r="J44" s="75">
        <v>7.9472281682757398E-2</v>
      </c>
      <c r="K44" s="67">
        <v>7.2525944405549103E-2</v>
      </c>
      <c r="L44" s="67">
        <v>0</v>
      </c>
      <c r="M44" s="67">
        <v>0.14453780986657599</v>
      </c>
      <c r="N44" s="67">
        <v>1.7203265225146001E-2</v>
      </c>
      <c r="O44" s="67">
        <v>3.0000076362291801E-2</v>
      </c>
      <c r="P44" s="67">
        <v>0</v>
      </c>
      <c r="Q44" s="67">
        <v>6.6176934794728706E-2</v>
      </c>
      <c r="R44" s="67">
        <v>8.1764608847753606E-2</v>
      </c>
      <c r="S44" s="75">
        <v>0.15410555026073799</v>
      </c>
      <c r="U44" s="1"/>
    </row>
    <row r="45" spans="1:21" x14ac:dyDescent="0.45">
      <c r="A45" s="8" t="str">
        <f>VLOOKUP(C45,'RES balance'!$AL$5:$AM$25,2,FALSE)</f>
        <v>RESELC</v>
      </c>
      <c r="B45" s="36"/>
      <c r="C45" s="7" t="s">
        <v>34</v>
      </c>
      <c r="D45" s="33" t="s">
        <v>63</v>
      </c>
      <c r="E45" s="67">
        <v>0.2</v>
      </c>
      <c r="F45" s="67">
        <v>8.0938225226833499E-2</v>
      </c>
      <c r="G45" s="67">
        <v>4.9664465918355397E-2</v>
      </c>
      <c r="H45" s="67">
        <v>0.110741819564648</v>
      </c>
      <c r="I45" s="67">
        <v>9.7846354327954493E-2</v>
      </c>
      <c r="J45" s="75">
        <v>1.4999999999999999E-2</v>
      </c>
      <c r="K45" s="67">
        <v>2.02029606883821E-2</v>
      </c>
      <c r="L45" s="67">
        <v>0.211238594844674</v>
      </c>
      <c r="M45" s="67">
        <v>4.9244248763692502E-2</v>
      </c>
      <c r="N45" s="67">
        <v>0.39260430308733002</v>
      </c>
      <c r="O45" s="67">
        <v>0.166508437251219</v>
      </c>
      <c r="P45" s="67">
        <v>8.97478680672988E-2</v>
      </c>
      <c r="Q45" s="67">
        <v>8.7332425559852794E-2</v>
      </c>
      <c r="R45" s="67">
        <v>0.233496302324777</v>
      </c>
      <c r="S45" s="75">
        <v>0.02</v>
      </c>
      <c r="U45" s="1"/>
    </row>
    <row r="46" spans="1:21" x14ac:dyDescent="0.45">
      <c r="A46" s="8" t="str">
        <f>VLOOKUP(C46,'RES balance'!$AL$5:$AM$25,2,FALSE)</f>
        <v>RESELC</v>
      </c>
      <c r="B46" s="36"/>
      <c r="C46" s="20" t="s">
        <v>34</v>
      </c>
      <c r="D46" s="21" t="s">
        <v>64</v>
      </c>
      <c r="E46" s="67">
        <v>0.05</v>
      </c>
      <c r="F46" s="67">
        <v>0.20666878817749301</v>
      </c>
      <c r="G46" s="67">
        <v>0.12567061280109601</v>
      </c>
      <c r="H46" s="67">
        <v>0.190398818541158</v>
      </c>
      <c r="I46" s="67">
        <v>0.123327806543018</v>
      </c>
      <c r="J46" s="75">
        <v>0.14936874754270199</v>
      </c>
      <c r="K46" s="67">
        <v>4.0129154843484303E-2</v>
      </c>
      <c r="L46" s="67">
        <v>0</v>
      </c>
      <c r="M46" s="67">
        <v>7.4116262073291805E-2</v>
      </c>
      <c r="N46" s="67">
        <v>4.7817977510911998E-2</v>
      </c>
      <c r="O46" s="67">
        <v>7.1186216440727798E-3</v>
      </c>
      <c r="P46" s="67">
        <v>2.0843646697889101E-2</v>
      </c>
      <c r="Q46" s="67">
        <v>1.5226945781861101E-2</v>
      </c>
      <c r="R46" s="67">
        <v>9.0945639292600897E-2</v>
      </c>
      <c r="S46" s="75">
        <v>0.106046165647737</v>
      </c>
      <c r="U46" s="1"/>
    </row>
    <row r="47" spans="1:21" x14ac:dyDescent="0.45">
      <c r="A47" s="8" t="str">
        <f>VLOOKUP(C47,'RES balance'!$AL$5:$AM$25,2,FALSE)</f>
        <v>RESELC</v>
      </c>
      <c r="B47" s="36"/>
      <c r="C47" s="7" t="s">
        <v>34</v>
      </c>
      <c r="D47" s="33" t="s">
        <v>120</v>
      </c>
      <c r="E47" s="68">
        <v>0.15</v>
      </c>
      <c r="F47" s="68">
        <v>0.15</v>
      </c>
      <c r="G47" s="68">
        <v>0.15</v>
      </c>
      <c r="H47" s="68">
        <v>0.15</v>
      </c>
      <c r="I47" s="68">
        <v>0.2</v>
      </c>
      <c r="J47" s="76">
        <v>0.2</v>
      </c>
      <c r="K47" s="68">
        <v>0.2</v>
      </c>
      <c r="L47" s="68">
        <v>0.17</v>
      </c>
      <c r="M47" s="68">
        <v>0.15</v>
      </c>
      <c r="N47" s="68">
        <v>0.2</v>
      </c>
      <c r="O47" s="68">
        <v>0.2</v>
      </c>
      <c r="P47" s="68">
        <v>0.2</v>
      </c>
      <c r="Q47" s="68">
        <v>0.15</v>
      </c>
      <c r="R47" s="68">
        <v>0.14141165470104977</v>
      </c>
      <c r="S47" s="76">
        <v>0.14000000000000001</v>
      </c>
    </row>
    <row r="48" spans="1:21" x14ac:dyDescent="0.45">
      <c r="A48" s="8" t="str">
        <f>VLOOKUP(C48,'RES balance'!$AL$5:$AM$25,2,FALSE)</f>
        <v>RESELC</v>
      </c>
      <c r="B48" s="36"/>
      <c r="C48" s="20" t="s">
        <v>34</v>
      </c>
      <c r="D48" s="21" t="s">
        <v>66</v>
      </c>
      <c r="E48" s="68"/>
      <c r="F48" s="68"/>
      <c r="G48" s="68"/>
      <c r="H48" s="68"/>
      <c r="I48" s="68"/>
      <c r="J48" s="76"/>
      <c r="K48" s="68"/>
      <c r="L48" s="68"/>
      <c r="M48" s="68"/>
      <c r="N48" s="68"/>
      <c r="O48" s="68"/>
      <c r="P48" s="68"/>
      <c r="Q48" s="68"/>
      <c r="R48" s="68"/>
      <c r="S48" s="76"/>
    </row>
    <row r="49" spans="1:36" x14ac:dyDescent="0.45">
      <c r="A49" s="8" t="str">
        <f>VLOOKUP(C49,'RES balance'!$AL$5:$AM$25,2,FALSE)</f>
        <v>RESELC</v>
      </c>
      <c r="B49" s="36"/>
      <c r="C49" s="20" t="s">
        <v>34</v>
      </c>
      <c r="D49" s="21" t="s">
        <v>67</v>
      </c>
      <c r="E49" s="67">
        <v>0</v>
      </c>
      <c r="F49" s="67">
        <v>5.6954804057777503E-2</v>
      </c>
      <c r="G49" s="67">
        <v>5.4645196331085499E-2</v>
      </c>
      <c r="H49" s="67">
        <v>2.0586193594918301E-2</v>
      </c>
      <c r="I49" s="67">
        <v>1.37300871981223E-3</v>
      </c>
      <c r="J49" s="75">
        <v>9.7348302826438304E-2</v>
      </c>
      <c r="K49" s="67">
        <v>5.9940888979813103E-2</v>
      </c>
      <c r="L49" s="67">
        <v>3.5828959802795901E-3</v>
      </c>
      <c r="M49" s="67">
        <v>4.7957797544770898E-2</v>
      </c>
      <c r="N49" s="67">
        <v>1.38484613126925E-2</v>
      </c>
      <c r="O49" s="67">
        <v>2.22619081243866E-3</v>
      </c>
      <c r="P49" s="67">
        <v>1.4327408219108899E-2</v>
      </c>
      <c r="Q49" s="67">
        <v>1.40068883014844E-2</v>
      </c>
      <c r="R49" s="67">
        <v>4.1111930676385799E-2</v>
      </c>
      <c r="S49" s="75">
        <v>0.11202181981605</v>
      </c>
      <c r="U49" s="1"/>
    </row>
    <row r="50" spans="1:36" x14ac:dyDescent="0.45">
      <c r="A50" s="8" t="str">
        <f>VLOOKUP(C50,'RES balance'!$AL$5:$AM$25,2,FALSE)</f>
        <v>RESELC</v>
      </c>
      <c r="B50" s="36"/>
      <c r="C50" s="20" t="s">
        <v>34</v>
      </c>
      <c r="D50" s="21" t="s">
        <v>68</v>
      </c>
      <c r="E50" s="68"/>
      <c r="F50" s="68"/>
      <c r="G50" s="68"/>
      <c r="H50" s="68"/>
      <c r="I50" s="68"/>
      <c r="J50" s="76"/>
      <c r="K50" s="68"/>
      <c r="L50" s="68"/>
      <c r="M50" s="68"/>
      <c r="N50" s="68"/>
      <c r="O50" s="68"/>
      <c r="P50" s="68"/>
      <c r="Q50" s="68"/>
      <c r="R50" s="68"/>
      <c r="S50" s="76"/>
    </row>
    <row r="51" spans="1:36" x14ac:dyDescent="0.45">
      <c r="A51" s="8" t="str">
        <f>VLOOKUP(C51,'RES balance'!$AL$5:$AM$25,2,FALSE)</f>
        <v>RESELC</v>
      </c>
      <c r="B51" s="36"/>
      <c r="C51" s="20" t="s">
        <v>34</v>
      </c>
      <c r="D51" s="21" t="s">
        <v>69</v>
      </c>
      <c r="E51" s="68"/>
      <c r="F51" s="68"/>
      <c r="G51" s="68"/>
      <c r="H51" s="68"/>
      <c r="I51" s="68"/>
      <c r="J51" s="76"/>
      <c r="K51" s="68"/>
      <c r="L51" s="68"/>
      <c r="M51" s="68"/>
      <c r="N51" s="68"/>
      <c r="O51" s="68"/>
      <c r="P51" s="68"/>
      <c r="Q51" s="68"/>
      <c r="R51" s="68"/>
      <c r="S51" s="76"/>
    </row>
    <row r="52" spans="1:36" x14ac:dyDescent="0.45">
      <c r="A52" s="8" t="str">
        <f>VLOOKUP(C52,'RES balance'!$AL$5:$AM$25,2,FALSE)</f>
        <v>RESELC</v>
      </c>
      <c r="B52" s="36"/>
      <c r="C52" s="20" t="s">
        <v>34</v>
      </c>
      <c r="D52" s="21" t="s">
        <v>190</v>
      </c>
      <c r="E52" s="68">
        <v>0.35</v>
      </c>
      <c r="F52" s="68">
        <v>0.29292489075512895</v>
      </c>
      <c r="G52" s="68">
        <v>0.12168102030431402</v>
      </c>
      <c r="H52" s="68">
        <v>0.41341760649046699</v>
      </c>
      <c r="I52" s="68">
        <v>0.42444450096192804</v>
      </c>
      <c r="J52" s="76">
        <f>1-SUM(J44:J51,J53)</f>
        <v>0.44576624000699017</v>
      </c>
      <c r="K52" s="68">
        <v>0.43825292061525917</v>
      </c>
      <c r="L52" s="68">
        <v>0.441676685236565</v>
      </c>
      <c r="M52" s="68">
        <v>0.53414388175166894</v>
      </c>
      <c r="N52" s="68">
        <v>0.23165230781319202</v>
      </c>
      <c r="O52" s="68">
        <v>0.33274852084860801</v>
      </c>
      <c r="P52" s="68">
        <v>0.49755728905545399</v>
      </c>
      <c r="Q52" s="68">
        <v>0.59114973569900198</v>
      </c>
      <c r="R52" s="68">
        <v>0.24354495356868922</v>
      </c>
      <c r="S52" s="76">
        <f>1-SUM(S44:S51,S53)</f>
        <v>0.40022067768505376</v>
      </c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</row>
    <row r="53" spans="1:36" x14ac:dyDescent="0.45">
      <c r="A53" s="8" t="str">
        <f>VLOOKUP(C53,'RES balance'!$AL$5:$AM$25,2,FALSE)</f>
        <v>RESELC</v>
      </c>
      <c r="B53" s="36"/>
      <c r="C53" s="34" t="s">
        <v>34</v>
      </c>
      <c r="D53" s="35" t="s">
        <v>71</v>
      </c>
      <c r="E53" s="67">
        <v>0.25</v>
      </c>
      <c r="F53" s="67">
        <v>0.11295492824377699</v>
      </c>
      <c r="G53" s="67">
        <v>8.9482447921198902E-2</v>
      </c>
      <c r="H53" s="67">
        <v>5.3856614460190001E-2</v>
      </c>
      <c r="I53" s="67">
        <v>0.14630509296417299</v>
      </c>
      <c r="J53" s="75">
        <v>1.3044427941112199E-2</v>
      </c>
      <c r="K53" s="67">
        <v>0.168948130467512</v>
      </c>
      <c r="L53" s="67">
        <v>0.17350182393848099</v>
      </c>
      <c r="M53" s="67">
        <v>0</v>
      </c>
      <c r="N53" s="67">
        <v>9.6873685050727798E-2</v>
      </c>
      <c r="O53" s="67">
        <v>0.26139815308136999</v>
      </c>
      <c r="P53" s="67">
        <v>0.17752378796024901</v>
      </c>
      <c r="Q53" s="67">
        <v>7.6107069863071197E-2</v>
      </c>
      <c r="R53" s="67">
        <v>0.167724910588744</v>
      </c>
      <c r="S53" s="75">
        <v>6.7605786590421296E-2</v>
      </c>
      <c r="U53" s="1"/>
    </row>
    <row r="54" spans="1:36" x14ac:dyDescent="0.45">
      <c r="A54" s="8" t="str">
        <f>VLOOKUP(C54,'RES balance'!$AL$5:$AM$25,2,FALSE)</f>
        <v>RESHET</v>
      </c>
      <c r="B54" s="36"/>
      <c r="C54" s="20" t="s">
        <v>79</v>
      </c>
      <c r="D54" s="21" t="s">
        <v>62</v>
      </c>
      <c r="E54" s="67">
        <v>0</v>
      </c>
      <c r="F54" s="67">
        <v>0</v>
      </c>
      <c r="G54" s="67">
        <v>0</v>
      </c>
      <c r="H54" s="67">
        <v>1</v>
      </c>
      <c r="I54" s="67">
        <v>0</v>
      </c>
      <c r="J54" s="67">
        <v>0.67856469140865305</v>
      </c>
      <c r="K54" s="67">
        <v>0.69036168790422003</v>
      </c>
      <c r="L54" s="67">
        <v>0</v>
      </c>
      <c r="M54" s="67">
        <v>0</v>
      </c>
      <c r="N54" s="67">
        <v>0.82365017762108295</v>
      </c>
      <c r="O54" s="67">
        <v>3.1247979059203901E-2</v>
      </c>
      <c r="P54" s="67">
        <v>0</v>
      </c>
      <c r="Q54" s="67">
        <v>0.74934223752316498</v>
      </c>
      <c r="R54" s="67">
        <v>5.5066558996380702E-2</v>
      </c>
      <c r="S54" s="67">
        <v>0.85575417630244599</v>
      </c>
    </row>
    <row r="55" spans="1:36" x14ac:dyDescent="0.45">
      <c r="A55" s="8" t="str">
        <f>VLOOKUP(C55,'RES balance'!$AL$5:$AM$25,2,FALSE)</f>
        <v>RESHET</v>
      </c>
      <c r="B55" s="36"/>
      <c r="C55" s="20" t="s">
        <v>79</v>
      </c>
      <c r="D55" s="21" t="s">
        <v>64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0.30756612671724398</v>
      </c>
      <c r="K55" s="67">
        <v>0.29663569964660103</v>
      </c>
      <c r="L55" s="67">
        <v>1</v>
      </c>
      <c r="M55" s="67">
        <v>1</v>
      </c>
      <c r="N55" s="67">
        <v>0.176349822378917</v>
      </c>
      <c r="O55" s="67">
        <v>0.96875202094079604</v>
      </c>
      <c r="P55" s="67">
        <v>0</v>
      </c>
      <c r="Q55" s="67">
        <v>0.25065776247683502</v>
      </c>
      <c r="R55" s="67">
        <v>0.94493344100361898</v>
      </c>
      <c r="S55" s="67">
        <v>0.14424582369755401</v>
      </c>
    </row>
    <row r="56" spans="1:36" x14ac:dyDescent="0.45">
      <c r="A56" s="8" t="str">
        <f>VLOOKUP(C56,'RES balance'!$AL$5:$AM$25,2,FALSE)</f>
        <v>RESHET</v>
      </c>
      <c r="B56" s="36"/>
      <c r="C56" s="22" t="s">
        <v>79</v>
      </c>
      <c r="D56" s="23" t="s">
        <v>70</v>
      </c>
      <c r="E56" s="31"/>
      <c r="F56" s="31"/>
      <c r="G56" s="31"/>
      <c r="H56" s="32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</row>
    <row r="57" spans="1:36" x14ac:dyDescent="0.45">
      <c r="A57" s="8" t="str">
        <f>VLOOKUP(C57,'RES balance'!$AL$5:$AM$25,2,FALSE)</f>
        <v>RESGEO</v>
      </c>
      <c r="B57" s="36"/>
      <c r="C57" s="20" t="s">
        <v>80</v>
      </c>
      <c r="D57" s="21" t="s">
        <v>62</v>
      </c>
      <c r="E57" s="14">
        <v>1</v>
      </c>
      <c r="F57" s="14">
        <v>1</v>
      </c>
      <c r="G57" s="14">
        <v>1</v>
      </c>
      <c r="H57" s="14">
        <v>1</v>
      </c>
      <c r="I57" s="14">
        <v>1</v>
      </c>
      <c r="J57" s="14">
        <v>1</v>
      </c>
      <c r="K57" s="14">
        <v>1</v>
      </c>
      <c r="L57" s="14">
        <v>1</v>
      </c>
      <c r="M57" s="14">
        <v>1</v>
      </c>
      <c r="N57" s="14">
        <v>1</v>
      </c>
      <c r="O57" s="14">
        <v>1</v>
      </c>
      <c r="P57" s="14">
        <v>1</v>
      </c>
      <c r="Q57" s="14">
        <v>1</v>
      </c>
      <c r="R57" s="14">
        <v>1</v>
      </c>
      <c r="S57" s="14">
        <v>1</v>
      </c>
    </row>
    <row r="58" spans="1:36" x14ac:dyDescent="0.45">
      <c r="A58" s="8" t="str">
        <f>VLOOKUP(C58,'RES balance'!$AL$5:$AM$25,2,FALSE)</f>
        <v>RESGEO</v>
      </c>
      <c r="B58" s="36"/>
      <c r="C58" s="20" t="s">
        <v>80</v>
      </c>
      <c r="D58" s="21" t="s">
        <v>63</v>
      </c>
      <c r="E58" s="14"/>
      <c r="F58" s="14"/>
      <c r="G58" s="14"/>
      <c r="H58" s="15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</row>
    <row r="59" spans="1:36" x14ac:dyDescent="0.45">
      <c r="A59" s="8" t="str">
        <f>VLOOKUP(C59,'RES balance'!$AL$5:$AM$25,2,FALSE)</f>
        <v>RESGEO</v>
      </c>
      <c r="B59" s="36"/>
      <c r="C59" s="20" t="s">
        <v>80</v>
      </c>
      <c r="D59" s="21" t="s">
        <v>64</v>
      </c>
      <c r="E59" s="14"/>
      <c r="F59" s="14"/>
      <c r="G59" s="14"/>
      <c r="H59" s="15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</row>
    <row r="60" spans="1:36" x14ac:dyDescent="0.45">
      <c r="A60" s="8" t="str">
        <f>VLOOKUP(C60,'RES balance'!$AL$5:$AM$25,2,FALSE)</f>
        <v>RESGEO</v>
      </c>
      <c r="B60" s="36"/>
      <c r="C60" s="22" t="s">
        <v>80</v>
      </c>
      <c r="D60" s="23" t="s">
        <v>70</v>
      </c>
      <c r="E60" s="18"/>
      <c r="F60" s="18"/>
      <c r="G60" s="18"/>
      <c r="H60" s="19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</row>
    <row r="61" spans="1:36" x14ac:dyDescent="0.45">
      <c r="A61" s="8" t="str">
        <f>VLOOKUP(C61,'RES balance'!$AL$5:$AM$25,2,FALSE)</f>
        <v>RESSTH</v>
      </c>
      <c r="B61" s="36"/>
      <c r="C61" s="20" t="s">
        <v>81</v>
      </c>
      <c r="D61" s="21" t="s">
        <v>62</v>
      </c>
      <c r="E61" s="24"/>
      <c r="F61" s="16"/>
      <c r="G61" s="16"/>
      <c r="H61" s="17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</row>
    <row r="62" spans="1:36" x14ac:dyDescent="0.45">
      <c r="A62" s="8" t="str">
        <f>VLOOKUP(C62,'RES balance'!$AL$5:$AM$25,2,FALSE)</f>
        <v>RESSTH</v>
      </c>
      <c r="B62" s="36"/>
      <c r="C62" s="20" t="s">
        <v>81</v>
      </c>
      <c r="D62" s="21" t="s">
        <v>64</v>
      </c>
      <c r="E62" s="14">
        <v>1</v>
      </c>
      <c r="F62" s="14">
        <v>1</v>
      </c>
      <c r="G62" s="14">
        <v>1</v>
      </c>
      <c r="H62" s="14">
        <v>1</v>
      </c>
      <c r="I62" s="14">
        <v>1</v>
      </c>
      <c r="J62" s="14">
        <v>1</v>
      </c>
      <c r="K62" s="14">
        <v>1</v>
      </c>
      <c r="L62" s="14">
        <v>1</v>
      </c>
      <c r="M62" s="14">
        <v>1</v>
      </c>
      <c r="N62" s="14">
        <v>1</v>
      </c>
      <c r="O62" s="14">
        <v>1</v>
      </c>
      <c r="P62" s="14">
        <v>1</v>
      </c>
      <c r="Q62" s="14">
        <v>1</v>
      </c>
      <c r="R62" s="14">
        <v>1</v>
      </c>
      <c r="S62" s="14">
        <v>1</v>
      </c>
    </row>
    <row r="63" spans="1:36" x14ac:dyDescent="0.45">
      <c r="A63" s="8" t="str">
        <f>VLOOKUP(C63,'RES balance'!$AL$5:$AM$25,2,FALSE)</f>
        <v>RESSTH</v>
      </c>
      <c r="B63" s="36"/>
      <c r="C63" s="20" t="s">
        <v>81</v>
      </c>
      <c r="D63" s="21" t="s">
        <v>67</v>
      </c>
      <c r="E63" s="14"/>
      <c r="F63" s="14"/>
      <c r="G63" s="14"/>
      <c r="H63" s="15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</row>
    <row r="64" spans="1:36" x14ac:dyDescent="0.45">
      <c r="A64" s="8" t="str">
        <f>VLOOKUP(C64,'RES balance'!$AL$5:$AM$25,2,FALSE)</f>
        <v>RESSTH</v>
      </c>
      <c r="B64" s="36"/>
      <c r="C64" s="22" t="s">
        <v>81</v>
      </c>
      <c r="D64" s="23" t="s">
        <v>70</v>
      </c>
      <c r="E64" s="18"/>
      <c r="F64" s="18"/>
      <c r="G64" s="18"/>
      <c r="H64" s="19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</row>
    <row r="65" spans="1:19" x14ac:dyDescent="0.45">
      <c r="A65" s="8"/>
      <c r="B65" s="36"/>
      <c r="C65" s="20"/>
      <c r="D65" s="21"/>
      <c r="E65" s="14"/>
      <c r="F65" s="14"/>
      <c r="G65" s="14"/>
      <c r="H65" s="49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</row>
    <row r="66" spans="1:19" ht="23.25" x14ac:dyDescent="0.7">
      <c r="A66" s="8"/>
      <c r="B66" s="8"/>
      <c r="C66" s="50" t="s">
        <v>284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9" x14ac:dyDescent="0.45">
      <c r="A67" s="8"/>
      <c r="B67" s="8"/>
      <c r="C67" s="5" t="s">
        <v>90</v>
      </c>
      <c r="D67" s="6"/>
      <c r="E67" s="36">
        <v>3</v>
      </c>
      <c r="F67" s="36">
        <f>E67+1</f>
        <v>4</v>
      </c>
      <c r="G67" s="36">
        <f t="shared" ref="G67:S67" si="2">F67+1</f>
        <v>5</v>
      </c>
      <c r="H67" s="36">
        <f t="shared" si="2"/>
        <v>6</v>
      </c>
      <c r="I67" s="36">
        <f t="shared" si="2"/>
        <v>7</v>
      </c>
      <c r="J67" s="36">
        <f t="shared" si="2"/>
        <v>8</v>
      </c>
      <c r="K67" s="36">
        <f t="shared" si="2"/>
        <v>9</v>
      </c>
      <c r="L67" s="36">
        <f t="shared" si="2"/>
        <v>10</v>
      </c>
      <c r="M67" s="36">
        <f t="shared" si="2"/>
        <v>11</v>
      </c>
      <c r="N67" s="36">
        <f t="shared" si="2"/>
        <v>12</v>
      </c>
      <c r="O67" s="36">
        <f t="shared" si="2"/>
        <v>13</v>
      </c>
      <c r="P67" s="36">
        <f t="shared" si="2"/>
        <v>14</v>
      </c>
      <c r="Q67" s="36">
        <f t="shared" si="2"/>
        <v>15</v>
      </c>
      <c r="R67" s="36">
        <f t="shared" si="2"/>
        <v>16</v>
      </c>
      <c r="S67" s="36">
        <f t="shared" si="2"/>
        <v>17</v>
      </c>
    </row>
    <row r="68" spans="1:19" x14ac:dyDescent="0.45">
      <c r="A68" s="37" t="str">
        <f>B68&amp;D68</f>
        <v>RHRESNGA</v>
      </c>
      <c r="B68" s="6" t="s">
        <v>62</v>
      </c>
      <c r="C68" s="6" t="s">
        <v>170</v>
      </c>
      <c r="D68" s="6" t="s">
        <v>46</v>
      </c>
      <c r="E68" s="30">
        <v>0.999</v>
      </c>
      <c r="F68" s="30">
        <v>0.999</v>
      </c>
      <c r="G68" s="30">
        <v>0.95</v>
      </c>
      <c r="H68" s="30">
        <v>0.99</v>
      </c>
      <c r="I68" s="30">
        <v>0.99990000000000001</v>
      </c>
      <c r="J68" s="30">
        <v>0.999</v>
      </c>
      <c r="K68" s="30">
        <v>0.999</v>
      </c>
      <c r="L68" s="30">
        <v>0.99990000000000001</v>
      </c>
      <c r="M68" s="30">
        <v>0.95</v>
      </c>
      <c r="N68" s="30">
        <v>0.999</v>
      </c>
      <c r="O68" s="30">
        <v>0.99990000000000001</v>
      </c>
      <c r="P68" s="30">
        <v>0.999</v>
      </c>
      <c r="Q68" s="30">
        <v>0.99</v>
      </c>
      <c r="R68" s="30">
        <v>0.99969833854404921</v>
      </c>
      <c r="S68" s="30">
        <v>0.99</v>
      </c>
    </row>
    <row r="69" spans="1:19" x14ac:dyDescent="0.45">
      <c r="A69" s="37" t="str">
        <f t="shared" ref="A69:A83" si="3">B69&amp;D69</f>
        <v>RHRESNGA</v>
      </c>
      <c r="B69" s="6" t="s">
        <v>62</v>
      </c>
      <c r="C69" s="6" t="s">
        <v>171</v>
      </c>
      <c r="D69" s="6" t="s">
        <v>46</v>
      </c>
      <c r="E69" s="30">
        <v>1E-3</v>
      </c>
      <c r="F69" s="30">
        <v>1E-3</v>
      </c>
      <c r="G69" s="30">
        <v>0.05</v>
      </c>
      <c r="H69" s="30">
        <v>0.01</v>
      </c>
      <c r="I69" s="30">
        <v>1E-4</v>
      </c>
      <c r="J69" s="30">
        <v>1E-3</v>
      </c>
      <c r="K69" s="30">
        <v>1E-3</v>
      </c>
      <c r="L69" s="30">
        <v>1E-4</v>
      </c>
      <c r="M69" s="30">
        <v>0.05</v>
      </c>
      <c r="N69" s="30">
        <v>1E-3</v>
      </c>
      <c r="O69" s="30">
        <v>1E-4</v>
      </c>
      <c r="P69" s="30">
        <v>1E-3</v>
      </c>
      <c r="Q69" s="30">
        <v>0.01</v>
      </c>
      <c r="R69" s="30">
        <v>3.0166145595074119E-4</v>
      </c>
      <c r="S69" s="30">
        <v>0.01</v>
      </c>
    </row>
    <row r="70" spans="1:19" x14ac:dyDescent="0.45">
      <c r="A70" s="37" t="str">
        <f t="shared" si="3"/>
        <v>RHRESELC</v>
      </c>
      <c r="B70" s="6" t="s">
        <v>62</v>
      </c>
      <c r="C70" s="6" t="s">
        <v>169</v>
      </c>
      <c r="D70" s="6" t="s">
        <v>50</v>
      </c>
      <c r="E70" s="30">
        <v>0.99</v>
      </c>
      <c r="F70" s="30">
        <v>0.95</v>
      </c>
      <c r="G70" s="30">
        <v>0.95</v>
      </c>
      <c r="H70" s="30">
        <v>0.90494999999999992</v>
      </c>
      <c r="I70" s="30">
        <v>0.999</v>
      </c>
      <c r="J70" s="30">
        <v>0.95</v>
      </c>
      <c r="K70" s="30">
        <v>0.99</v>
      </c>
      <c r="L70" s="30">
        <v>0.90089999999999992</v>
      </c>
      <c r="M70" s="30">
        <v>0.55000000000000004</v>
      </c>
      <c r="N70" s="30">
        <v>0.9</v>
      </c>
      <c r="O70" s="30">
        <v>0.84</v>
      </c>
      <c r="P70" s="30">
        <v>0.999</v>
      </c>
      <c r="Q70" s="30">
        <v>0.8</v>
      </c>
      <c r="R70" s="30">
        <v>0.71316327817514102</v>
      </c>
      <c r="S70" s="30">
        <v>0.84</v>
      </c>
    </row>
    <row r="71" spans="1:19" x14ac:dyDescent="0.45">
      <c r="A71" s="37" t="str">
        <f t="shared" si="3"/>
        <v>RHRESELC</v>
      </c>
      <c r="B71" s="6" t="s">
        <v>62</v>
      </c>
      <c r="C71" s="6" t="s">
        <v>168</v>
      </c>
      <c r="D71" s="6" t="s">
        <v>50</v>
      </c>
      <c r="E71" s="30">
        <v>0.01</v>
      </c>
      <c r="F71" s="30">
        <v>0.05</v>
      </c>
      <c r="G71" s="30">
        <v>0.05</v>
      </c>
      <c r="H71" s="30">
        <v>9.5050000000000009E-2</v>
      </c>
      <c r="I71" s="30">
        <v>1E-3</v>
      </c>
      <c r="J71" s="30">
        <v>0.05</v>
      </c>
      <c r="K71" s="30">
        <v>0.01</v>
      </c>
      <c r="L71" s="30">
        <v>9.9099999999999994E-2</v>
      </c>
      <c r="M71" s="30">
        <v>0.45</v>
      </c>
      <c r="N71" s="30">
        <v>0.1</v>
      </c>
      <c r="O71" s="30">
        <v>0.16</v>
      </c>
      <c r="P71" s="30">
        <v>1E-3</v>
      </c>
      <c r="Q71" s="30">
        <v>0.2</v>
      </c>
      <c r="R71" s="30">
        <v>0.28683672182485898</v>
      </c>
      <c r="S71" s="30">
        <v>0.16</v>
      </c>
    </row>
    <row r="72" spans="1:19" x14ac:dyDescent="0.45">
      <c r="A72" s="37" t="str">
        <f t="shared" si="3"/>
        <v/>
      </c>
      <c r="B72" s="8"/>
      <c r="C72" s="5" t="s">
        <v>99</v>
      </c>
      <c r="D72" s="6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</row>
    <row r="73" spans="1:19" x14ac:dyDescent="0.45">
      <c r="A73" s="37" t="str">
        <f t="shared" si="3"/>
        <v>RCRESELC</v>
      </c>
      <c r="B73" s="6" t="s">
        <v>63</v>
      </c>
      <c r="C73" s="6" t="s">
        <v>165</v>
      </c>
      <c r="D73" s="6" t="s">
        <v>50</v>
      </c>
      <c r="E73" s="30">
        <v>0.53745495674600396</v>
      </c>
      <c r="F73" s="30">
        <v>0.50600000000000001</v>
      </c>
      <c r="G73" s="30">
        <v>0.47395171574465839</v>
      </c>
      <c r="H73" s="30">
        <v>0.61099999999999999</v>
      </c>
      <c r="I73" s="30">
        <v>0.08</v>
      </c>
      <c r="J73" s="30">
        <v>0.53745495674600396</v>
      </c>
      <c r="K73" s="30">
        <v>0.53745495674600396</v>
      </c>
      <c r="L73" s="30">
        <v>0.3</v>
      </c>
      <c r="M73" s="30">
        <v>0.05</v>
      </c>
      <c r="N73" s="30">
        <v>0.53745495674600396</v>
      </c>
      <c r="O73" s="30">
        <v>0.08</v>
      </c>
      <c r="P73" s="30">
        <v>0.1</v>
      </c>
      <c r="Q73" s="30">
        <v>0.2</v>
      </c>
      <c r="R73" s="30">
        <v>0.72069967538079061</v>
      </c>
      <c r="S73" s="30">
        <v>0.53745495674600396</v>
      </c>
    </row>
    <row r="74" spans="1:19" x14ac:dyDescent="0.45">
      <c r="A74" s="37" t="str">
        <f t="shared" si="3"/>
        <v>RCRESELC</v>
      </c>
      <c r="B74" s="6" t="s">
        <v>63</v>
      </c>
      <c r="C74" s="6" t="s">
        <v>166</v>
      </c>
      <c r="D74" s="6" t="s">
        <v>50</v>
      </c>
      <c r="E74" s="30">
        <v>4.1787023108979193E-2</v>
      </c>
      <c r="F74" s="30">
        <v>7.5999999999999998E-2</v>
      </c>
      <c r="G74" s="30">
        <v>5.2854016926697715E-2</v>
      </c>
      <c r="H74" s="30">
        <v>0.22</v>
      </c>
      <c r="I74" s="30">
        <v>0.02</v>
      </c>
      <c r="J74" s="30">
        <v>4.1787023108979193E-2</v>
      </c>
      <c r="K74" s="30">
        <v>4.1787023108979193E-2</v>
      </c>
      <c r="L74" s="30">
        <v>0.19999999999999998</v>
      </c>
      <c r="M74" s="30">
        <v>0.67</v>
      </c>
      <c r="N74" s="30">
        <v>4.1787023108979193E-2</v>
      </c>
      <c r="O74" s="30">
        <v>0.02</v>
      </c>
      <c r="P74" s="30">
        <v>0.2</v>
      </c>
      <c r="Q74" s="30">
        <v>0.1</v>
      </c>
      <c r="R74" s="30">
        <v>9.7530658542641299E-2</v>
      </c>
      <c r="S74" s="30">
        <v>4.1787023108979193E-2</v>
      </c>
    </row>
    <row r="75" spans="1:19" x14ac:dyDescent="0.45">
      <c r="A75" s="37" t="str">
        <f t="shared" si="3"/>
        <v>RCRESELC</v>
      </c>
      <c r="B75" s="6" t="s">
        <v>63</v>
      </c>
      <c r="C75" s="6" t="s">
        <v>167</v>
      </c>
      <c r="D75" s="6" t="s">
        <v>50</v>
      </c>
      <c r="E75" s="30">
        <v>0.4207580201450169</v>
      </c>
      <c r="F75" s="30">
        <v>0.41799999999999998</v>
      </c>
      <c r="G75" s="30">
        <v>0.47319426732864395</v>
      </c>
      <c r="H75" s="30">
        <v>0.16900000000000001</v>
      </c>
      <c r="I75" s="30">
        <v>0.9</v>
      </c>
      <c r="J75" s="30">
        <v>0.4207580201450169</v>
      </c>
      <c r="K75" s="30">
        <v>0.4207580201450169</v>
      </c>
      <c r="L75" s="30">
        <v>0.5</v>
      </c>
      <c r="M75" s="30">
        <v>0.28000000000000003</v>
      </c>
      <c r="N75" s="30">
        <v>0.4207580201450169</v>
      </c>
      <c r="O75" s="30">
        <v>0.9</v>
      </c>
      <c r="P75" s="30">
        <v>0.7</v>
      </c>
      <c r="Q75" s="30">
        <v>0.7</v>
      </c>
      <c r="R75" s="30">
        <v>0.18176966607656808</v>
      </c>
      <c r="S75" s="30">
        <v>0.4207580201450169</v>
      </c>
    </row>
    <row r="76" spans="1:19" x14ac:dyDescent="0.45">
      <c r="A76" s="37" t="str">
        <f t="shared" si="3"/>
        <v/>
      </c>
      <c r="B76" s="8"/>
      <c r="C76" s="5" t="s">
        <v>106</v>
      </c>
      <c r="D76" s="6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</row>
    <row r="77" spans="1:19" x14ac:dyDescent="0.45">
      <c r="A77" s="37" t="str">
        <f t="shared" si="3"/>
        <v>RRRESELC</v>
      </c>
      <c r="B77" s="6" t="s">
        <v>120</v>
      </c>
      <c r="C77" s="6" t="s">
        <v>177</v>
      </c>
      <c r="D77" s="6" t="s">
        <v>50</v>
      </c>
      <c r="E77" s="30">
        <v>0.78</v>
      </c>
      <c r="F77" s="30">
        <v>0.78</v>
      </c>
      <c r="G77" s="30">
        <v>0.78</v>
      </c>
      <c r="H77" s="30">
        <v>0.78</v>
      </c>
      <c r="I77" s="30">
        <v>0.99</v>
      </c>
      <c r="J77" s="30">
        <v>0.78</v>
      </c>
      <c r="K77" s="30">
        <v>0.78</v>
      </c>
      <c r="L77" s="30">
        <v>0.98</v>
      </c>
      <c r="M77" s="30">
        <v>0.9</v>
      </c>
      <c r="N77" s="30">
        <v>0.78</v>
      </c>
      <c r="O77" s="30">
        <v>0.98</v>
      </c>
      <c r="P77" s="30">
        <v>0.95</v>
      </c>
      <c r="Q77" s="30">
        <v>0.78</v>
      </c>
      <c r="R77" s="30">
        <v>0.78</v>
      </c>
      <c r="S77" s="30">
        <v>0.78</v>
      </c>
    </row>
    <row r="78" spans="1:19" x14ac:dyDescent="0.45">
      <c r="A78" s="37" t="str">
        <f t="shared" si="3"/>
        <v>RRRESELC</v>
      </c>
      <c r="B78" s="6" t="s">
        <v>120</v>
      </c>
      <c r="C78" s="6" t="s">
        <v>176</v>
      </c>
      <c r="D78" s="6" t="s">
        <v>50</v>
      </c>
      <c r="E78" s="30">
        <v>0.22</v>
      </c>
      <c r="F78" s="30">
        <v>0.22</v>
      </c>
      <c r="G78" s="30">
        <v>0.22</v>
      </c>
      <c r="H78" s="30">
        <v>0.22</v>
      </c>
      <c r="I78" s="30">
        <v>1.0000000000000009E-2</v>
      </c>
      <c r="J78" s="30">
        <v>0.22</v>
      </c>
      <c r="K78" s="30">
        <v>0.22</v>
      </c>
      <c r="L78" s="30">
        <v>0.02</v>
      </c>
      <c r="M78" s="30">
        <v>0.1</v>
      </c>
      <c r="N78" s="30">
        <v>0.22</v>
      </c>
      <c r="O78" s="30">
        <v>0.02</v>
      </c>
      <c r="P78" s="30">
        <v>0.05</v>
      </c>
      <c r="Q78" s="30">
        <v>0.22</v>
      </c>
      <c r="R78" s="30">
        <v>0.22</v>
      </c>
      <c r="S78" s="30">
        <v>0.22</v>
      </c>
    </row>
    <row r="79" spans="1:19" x14ac:dyDescent="0.45">
      <c r="A79" s="37" t="str">
        <f t="shared" si="3"/>
        <v/>
      </c>
      <c r="B79" s="8"/>
      <c r="C79" s="5" t="s">
        <v>111</v>
      </c>
      <c r="D79" s="6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</row>
    <row r="80" spans="1:19" x14ac:dyDescent="0.45">
      <c r="A80" s="37" t="str">
        <f t="shared" si="3"/>
        <v>RLRESELC</v>
      </c>
      <c r="B80" s="6" t="s">
        <v>71</v>
      </c>
      <c r="C80" s="6" t="s">
        <v>175</v>
      </c>
      <c r="D80" s="6" t="s">
        <v>50</v>
      </c>
      <c r="E80" s="30">
        <f>1-SUM(E81:E83)</f>
        <v>0.8</v>
      </c>
      <c r="F80" s="30">
        <f t="shared" ref="F80:S80" si="4">1-SUM(F81:F83)</f>
        <v>0.5</v>
      </c>
      <c r="G80" s="30">
        <f t="shared" si="4"/>
        <v>0.55000000000000004</v>
      </c>
      <c r="H80" s="30">
        <f t="shared" si="4"/>
        <v>0.42800000000000005</v>
      </c>
      <c r="I80" s="30">
        <f t="shared" si="4"/>
        <v>0.79</v>
      </c>
      <c r="J80" s="30">
        <f t="shared" si="4"/>
        <v>0.8</v>
      </c>
      <c r="K80" s="30">
        <f t="shared" si="4"/>
        <v>0.75</v>
      </c>
      <c r="L80" s="30">
        <f t="shared" si="4"/>
        <v>0.55000000000000004</v>
      </c>
      <c r="M80" s="30">
        <f t="shared" si="4"/>
        <v>0.20999999999999996</v>
      </c>
      <c r="N80" s="30">
        <f t="shared" si="4"/>
        <v>0.8</v>
      </c>
      <c r="O80" s="30">
        <f t="shared" si="4"/>
        <v>0.79800000000000004</v>
      </c>
      <c r="P80" s="30">
        <f t="shared" si="4"/>
        <v>0.75</v>
      </c>
      <c r="Q80" s="30">
        <f t="shared" si="4"/>
        <v>0.30999999999999994</v>
      </c>
      <c r="R80" s="30">
        <f t="shared" si="4"/>
        <v>0.59</v>
      </c>
      <c r="S80" s="30">
        <f t="shared" si="4"/>
        <v>0.59</v>
      </c>
    </row>
    <row r="81" spans="1:19" x14ac:dyDescent="0.45">
      <c r="A81" s="37" t="str">
        <f t="shared" si="3"/>
        <v>RLRESELC</v>
      </c>
      <c r="B81" s="6" t="s">
        <v>71</v>
      </c>
      <c r="C81" s="6" t="s">
        <v>174</v>
      </c>
      <c r="D81" s="6" t="s">
        <v>50</v>
      </c>
      <c r="E81" s="30">
        <v>0.05</v>
      </c>
      <c r="F81" s="30">
        <v>0.05</v>
      </c>
      <c r="G81" s="30">
        <v>0.1</v>
      </c>
      <c r="H81" s="30">
        <v>4.2000000000000003E-2</v>
      </c>
      <c r="I81" s="30"/>
      <c r="J81" s="30">
        <v>0.05</v>
      </c>
      <c r="K81" s="30">
        <v>0.05</v>
      </c>
      <c r="L81" s="30">
        <v>0</v>
      </c>
      <c r="M81" s="30">
        <v>0.04</v>
      </c>
      <c r="N81" s="30">
        <v>0.05</v>
      </c>
      <c r="O81" s="30">
        <v>0</v>
      </c>
      <c r="P81" s="30">
        <v>0.05</v>
      </c>
      <c r="Q81" s="30">
        <v>0.01</v>
      </c>
      <c r="R81" s="30">
        <v>0.04</v>
      </c>
      <c r="S81" s="30">
        <v>0.04</v>
      </c>
    </row>
    <row r="82" spans="1:19" x14ac:dyDescent="0.45">
      <c r="A82" s="37" t="str">
        <f t="shared" si="3"/>
        <v>RLRESELC</v>
      </c>
      <c r="B82" s="6" t="s">
        <v>71</v>
      </c>
      <c r="C82" s="6" t="s">
        <v>173</v>
      </c>
      <c r="D82" s="6" t="s">
        <v>50</v>
      </c>
      <c r="E82" s="30">
        <v>0.05</v>
      </c>
      <c r="F82" s="30">
        <v>0.15</v>
      </c>
      <c r="G82" s="30">
        <v>0.05</v>
      </c>
      <c r="H82" s="30">
        <v>0.22999999999999998</v>
      </c>
      <c r="I82" s="30">
        <v>0.01</v>
      </c>
      <c r="J82" s="30">
        <v>0.05</v>
      </c>
      <c r="K82" s="30">
        <v>0.05</v>
      </c>
      <c r="L82" s="30">
        <v>0.3</v>
      </c>
      <c r="M82" s="30">
        <v>0.35</v>
      </c>
      <c r="N82" s="30">
        <v>0.05</v>
      </c>
      <c r="O82" s="30">
        <v>2E-3</v>
      </c>
      <c r="P82" s="30">
        <v>0.05</v>
      </c>
      <c r="Q82" s="30">
        <v>0.28000000000000003</v>
      </c>
      <c r="R82" s="30">
        <v>7.0000000000000007E-2</v>
      </c>
      <c r="S82" s="30">
        <v>7.0000000000000007E-2</v>
      </c>
    </row>
    <row r="83" spans="1:19" x14ac:dyDescent="0.45">
      <c r="A83" s="37" t="str">
        <f t="shared" si="3"/>
        <v>RLRESELC</v>
      </c>
      <c r="B83" s="6" t="s">
        <v>71</v>
      </c>
      <c r="C83" s="6" t="s">
        <v>172</v>
      </c>
      <c r="D83" s="6" t="s">
        <v>50</v>
      </c>
      <c r="E83" s="53">
        <v>0.1</v>
      </c>
      <c r="F83" s="53">
        <v>0.3</v>
      </c>
      <c r="G83" s="53">
        <v>0.3</v>
      </c>
      <c r="H83" s="53">
        <v>0.3</v>
      </c>
      <c r="I83" s="53">
        <v>0.2</v>
      </c>
      <c r="J83" s="53">
        <v>0.1</v>
      </c>
      <c r="K83" s="53">
        <v>0.15</v>
      </c>
      <c r="L83" s="53">
        <v>0.15</v>
      </c>
      <c r="M83" s="53">
        <v>0.4</v>
      </c>
      <c r="N83" s="53">
        <v>0.1</v>
      </c>
      <c r="O83" s="53">
        <v>0.2</v>
      </c>
      <c r="P83" s="53">
        <v>0.15</v>
      </c>
      <c r="Q83" s="53">
        <v>0.4</v>
      </c>
      <c r="R83" s="53">
        <v>0.3</v>
      </c>
      <c r="S83" s="53">
        <v>0.3</v>
      </c>
    </row>
    <row r="84" spans="1:19" x14ac:dyDescent="0.45">
      <c r="A84" s="37"/>
      <c r="B84" s="6"/>
      <c r="C84" s="6"/>
      <c r="D84" s="6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</row>
  </sheetData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84AA7-9682-4B52-B888-8AFFDCF86FEC}">
  <dimension ref="A2:EN93"/>
  <sheetViews>
    <sheetView topLeftCell="A46" workbookViewId="0">
      <selection activeCell="H65" sqref="H65"/>
    </sheetView>
  </sheetViews>
  <sheetFormatPr defaultRowHeight="14.25" x14ac:dyDescent="0.45"/>
  <cols>
    <col min="1" max="1" width="4.86328125" bestFit="1" customWidth="1"/>
    <col min="2" max="2" width="12.19921875" bestFit="1" customWidth="1"/>
    <col min="4" max="4" width="11.1328125" bestFit="1" customWidth="1"/>
    <col min="5" max="5" width="9.19921875" bestFit="1" customWidth="1"/>
    <col min="6" max="6" width="9.796875" bestFit="1" customWidth="1"/>
    <col min="7" max="33" width="6.796875" customWidth="1"/>
    <col min="34" max="36" width="5" customWidth="1"/>
    <col min="38" max="38" width="11.796875" customWidth="1"/>
    <col min="39" max="53" width="4.46484375" bestFit="1" customWidth="1"/>
    <col min="54" max="68" width="4.46484375" customWidth="1"/>
    <col min="70" max="70" width="11.1328125" bestFit="1" customWidth="1"/>
    <col min="71" max="101" width="5.1328125" customWidth="1"/>
    <col min="103" max="103" width="11.19921875" bestFit="1" customWidth="1"/>
    <col min="104" max="106" width="5" bestFit="1" customWidth="1"/>
    <col min="107" max="107" width="6" bestFit="1" customWidth="1"/>
    <col min="108" max="109" width="5" bestFit="1" customWidth="1"/>
    <col min="110" max="110" width="6" bestFit="1" customWidth="1"/>
    <col min="111" max="113" width="5" bestFit="1" customWidth="1"/>
    <col min="114" max="114" width="4.46484375" bestFit="1" customWidth="1"/>
    <col min="115" max="115" width="5" bestFit="1" customWidth="1"/>
    <col min="116" max="116" width="4.1328125" bestFit="1" customWidth="1"/>
    <col min="117" max="118" width="6" bestFit="1" customWidth="1"/>
    <col min="119" max="133" width="6" customWidth="1"/>
    <col min="134" max="134" width="4.46484375" bestFit="1" customWidth="1"/>
    <col min="138" max="138" width="12.19921875" bestFit="1" customWidth="1"/>
  </cols>
  <sheetData>
    <row r="2" spans="1:144" x14ac:dyDescent="0.45">
      <c r="F2" t="s">
        <v>39</v>
      </c>
      <c r="AL2" t="s">
        <v>333</v>
      </c>
      <c r="BR2" t="s">
        <v>191</v>
      </c>
      <c r="CY2" t="s">
        <v>40</v>
      </c>
      <c r="EF2" t="s">
        <v>272</v>
      </c>
    </row>
    <row r="3" spans="1:144" x14ac:dyDescent="0.45">
      <c r="D3" s="8" t="s">
        <v>36</v>
      </c>
      <c r="E3" s="8" t="s">
        <v>37</v>
      </c>
      <c r="F3" s="8" t="s">
        <v>38</v>
      </c>
      <c r="G3" s="38" t="str">
        <f>'RES Assumptions'!E2</f>
        <v>Africa_north</v>
      </c>
      <c r="H3" s="38" t="str">
        <f>'RES Assumptions'!F2</f>
        <v>Africa_other</v>
      </c>
      <c r="I3" s="38" t="str">
        <f>'RES Assumptions'!G2</f>
        <v>Arg-Chi</v>
      </c>
      <c r="J3" s="38" t="str">
        <f>'RES Assumptions'!H2</f>
        <v>Asia_central</v>
      </c>
      <c r="K3" s="38" t="str">
        <f>'RES Assumptions'!I2</f>
        <v>Asia_east</v>
      </c>
      <c r="L3" s="38" t="str">
        <f>'RES Assumptions'!J2</f>
        <v>Asia_other</v>
      </c>
      <c r="M3" s="38" t="str">
        <f>'RES Assumptions'!K2</f>
        <v>Australia_NZ</v>
      </c>
      <c r="N3" s="38" t="str">
        <f>'RES Assumptions'!L2</f>
        <v>Brazil</v>
      </c>
      <c r="O3" s="38" t="str">
        <f>'RES Assumptions'!M2</f>
        <v>Canada</v>
      </c>
      <c r="P3" s="38" t="str">
        <f>'RES Assumptions'!N2</f>
        <v>China</v>
      </c>
      <c r="Q3" s="38" t="str">
        <f>'RES Assumptions'!O2</f>
        <v>EU_north</v>
      </c>
      <c r="R3" s="38" t="str">
        <f>'RES Assumptions'!P2</f>
        <v>EU_northeast</v>
      </c>
      <c r="S3" s="38" t="str">
        <f>'RES Assumptions'!Q2</f>
        <v>EU_northwest</v>
      </c>
      <c r="T3" s="38" t="str">
        <f>'RES Assumptions'!R2</f>
        <v>EU_south</v>
      </c>
      <c r="U3" s="38" t="str">
        <f>'RES Assumptions'!S2</f>
        <v>EU_southeast</v>
      </c>
      <c r="V3" s="38" t="str">
        <f>'RES Assumptions'!T2</f>
        <v>EU_southwest</v>
      </c>
      <c r="W3" s="38" t="str">
        <f>'RES Assumptions'!U2</f>
        <v>Europe_other</v>
      </c>
      <c r="X3" s="38" t="str">
        <f>'RES Assumptions'!V2</f>
        <v>France</v>
      </c>
      <c r="Y3" s="38" t="str">
        <f>'RES Assumptions'!W2</f>
        <v>Germany</v>
      </c>
      <c r="Z3" s="38" t="str">
        <f>'RES Assumptions'!X2</f>
        <v>India</v>
      </c>
      <c r="AA3" s="38" t="str">
        <f>'RES Assumptions'!Y2</f>
        <v>LatAm_other</v>
      </c>
      <c r="AB3" s="38" t="str">
        <f>'RES Assumptions'!Z2</f>
        <v>Mexico</v>
      </c>
      <c r="AC3" s="38" t="str">
        <f>'RES Assumptions'!AA2</f>
        <v>MidEast_other</v>
      </c>
      <c r="AD3" s="38" t="str">
        <f>'RES Assumptions'!AB2</f>
        <v>Nor-Ice</v>
      </c>
      <c r="AE3" s="38" t="str">
        <f>'RES Assumptions'!AC2</f>
        <v>Russia</v>
      </c>
      <c r="AF3" s="38" t="str">
        <f>'RES Assumptions'!AD2</f>
        <v>SaudiArabia</v>
      </c>
      <c r="AG3" s="38" t="str">
        <f>'RES Assumptions'!AE2</f>
        <v>SouthAfrica</v>
      </c>
      <c r="AH3" s="38" t="str">
        <f>'RES Assumptions'!AF2</f>
        <v>UK</v>
      </c>
      <c r="AI3" s="38" t="str">
        <f>'RES Assumptions'!AG2</f>
        <v>USA</v>
      </c>
      <c r="AJ3" s="38" t="str">
        <f>'RES Assumptions'!AH2</f>
        <v>\I:</v>
      </c>
      <c r="AL3" t="s">
        <v>36</v>
      </c>
      <c r="AM3" s="38" t="str">
        <f t="shared" ref="AM3:BC3" si="0">G3</f>
        <v>Africa_north</v>
      </c>
      <c r="AN3" s="38" t="str">
        <f t="shared" si="0"/>
        <v>Africa_other</v>
      </c>
      <c r="AO3" s="38" t="str">
        <f t="shared" si="0"/>
        <v>Arg-Chi</v>
      </c>
      <c r="AP3" s="38" t="str">
        <f t="shared" si="0"/>
        <v>Asia_central</v>
      </c>
      <c r="AQ3" s="38" t="str">
        <f t="shared" si="0"/>
        <v>Asia_east</v>
      </c>
      <c r="AR3" s="38" t="str">
        <f t="shared" si="0"/>
        <v>Asia_other</v>
      </c>
      <c r="AS3" s="38" t="str">
        <f t="shared" si="0"/>
        <v>Australia_NZ</v>
      </c>
      <c r="AT3" s="38" t="str">
        <f t="shared" si="0"/>
        <v>Brazil</v>
      </c>
      <c r="AU3" s="38" t="str">
        <f t="shared" si="0"/>
        <v>Canada</v>
      </c>
      <c r="AV3" s="38" t="str">
        <f t="shared" si="0"/>
        <v>China</v>
      </c>
      <c r="AW3" s="38" t="str">
        <f t="shared" si="0"/>
        <v>EU_north</v>
      </c>
      <c r="AX3" s="38" t="str">
        <f t="shared" si="0"/>
        <v>EU_northeast</v>
      </c>
      <c r="AY3" s="38" t="str">
        <f t="shared" si="0"/>
        <v>EU_northwest</v>
      </c>
      <c r="AZ3" s="38" t="str">
        <f t="shared" si="0"/>
        <v>EU_south</v>
      </c>
      <c r="BA3" s="38" t="str">
        <f t="shared" si="0"/>
        <v>EU_southeast</v>
      </c>
      <c r="BB3" s="38" t="str">
        <f t="shared" si="0"/>
        <v>EU_southwest</v>
      </c>
      <c r="BC3" s="38" t="str">
        <f t="shared" si="0"/>
        <v>Europe_other</v>
      </c>
      <c r="BD3" s="38" t="str">
        <f t="shared" ref="BD3:BP3" si="1">X3</f>
        <v>France</v>
      </c>
      <c r="BE3" s="38" t="str">
        <f t="shared" si="1"/>
        <v>Germany</v>
      </c>
      <c r="BF3" s="38" t="str">
        <f t="shared" si="1"/>
        <v>India</v>
      </c>
      <c r="BG3" s="38" t="str">
        <f t="shared" si="1"/>
        <v>LatAm_other</v>
      </c>
      <c r="BH3" s="38" t="str">
        <f t="shared" si="1"/>
        <v>Mexico</v>
      </c>
      <c r="BI3" s="38" t="str">
        <f t="shared" si="1"/>
        <v>MidEast_other</v>
      </c>
      <c r="BJ3" s="38" t="str">
        <f t="shared" si="1"/>
        <v>Nor-Ice</v>
      </c>
      <c r="BK3" s="38" t="str">
        <f t="shared" si="1"/>
        <v>Russia</v>
      </c>
      <c r="BL3" s="38" t="str">
        <f t="shared" si="1"/>
        <v>SaudiArabia</v>
      </c>
      <c r="BM3" s="38" t="str">
        <f t="shared" si="1"/>
        <v>SouthAfrica</v>
      </c>
      <c r="BN3" s="38" t="str">
        <f t="shared" si="1"/>
        <v>UK</v>
      </c>
      <c r="BO3" s="38" t="str">
        <f t="shared" si="1"/>
        <v>USA</v>
      </c>
      <c r="BP3" s="38" t="str">
        <f t="shared" si="1"/>
        <v>\I:</v>
      </c>
      <c r="BR3" t="s">
        <v>36</v>
      </c>
      <c r="BS3">
        <v>2018</v>
      </c>
      <c r="BT3" s="38" t="str">
        <f>AM3</f>
        <v>Africa_north</v>
      </c>
      <c r="BU3" s="38" t="str">
        <f t="shared" ref="BU3" si="2">AN3</f>
        <v>Africa_other</v>
      </c>
      <c r="BV3" s="38" t="str">
        <f t="shared" ref="BV3" si="3">AO3</f>
        <v>Arg-Chi</v>
      </c>
      <c r="BW3" s="38" t="str">
        <f t="shared" ref="BW3" si="4">AP3</f>
        <v>Asia_central</v>
      </c>
      <c r="BX3" s="38" t="str">
        <f t="shared" ref="BX3" si="5">AQ3</f>
        <v>Asia_east</v>
      </c>
      <c r="BY3" s="38" t="str">
        <f t="shared" ref="BY3" si="6">AR3</f>
        <v>Asia_other</v>
      </c>
      <c r="BZ3" s="38" t="str">
        <f t="shared" ref="BZ3" si="7">AS3</f>
        <v>Australia_NZ</v>
      </c>
      <c r="CA3" s="38" t="str">
        <f t="shared" ref="CA3" si="8">AT3</f>
        <v>Brazil</v>
      </c>
      <c r="CB3" s="38" t="str">
        <f t="shared" ref="CB3" si="9">AU3</f>
        <v>Canada</v>
      </c>
      <c r="CC3" s="38" t="str">
        <f t="shared" ref="CC3" si="10">AV3</f>
        <v>China</v>
      </c>
      <c r="CD3" s="38" t="str">
        <f t="shared" ref="CD3" si="11">AW3</f>
        <v>EU_north</v>
      </c>
      <c r="CE3" s="38" t="str">
        <f t="shared" ref="CE3" si="12">AX3</f>
        <v>EU_northeast</v>
      </c>
      <c r="CF3" s="38" t="str">
        <f t="shared" ref="CF3" si="13">AY3</f>
        <v>EU_northwest</v>
      </c>
      <c r="CG3" s="38" t="str">
        <f t="shared" ref="CG3" si="14">AZ3</f>
        <v>EU_south</v>
      </c>
      <c r="CH3" s="38" t="str">
        <f t="shared" ref="CH3" si="15">BA3</f>
        <v>EU_southeast</v>
      </c>
      <c r="CI3" s="38" t="str">
        <f t="shared" ref="CI3" si="16">BB3</f>
        <v>EU_southwest</v>
      </c>
      <c r="CJ3" s="38" t="str">
        <f t="shared" ref="CJ3" si="17">BC3</f>
        <v>Europe_other</v>
      </c>
      <c r="CK3" s="38" t="str">
        <f t="shared" ref="CK3" si="18">BD3</f>
        <v>France</v>
      </c>
      <c r="CL3" s="38" t="str">
        <f t="shared" ref="CL3" si="19">BE3</f>
        <v>Germany</v>
      </c>
      <c r="CM3" s="38" t="str">
        <f t="shared" ref="CM3" si="20">BF3</f>
        <v>India</v>
      </c>
      <c r="CN3" s="38" t="str">
        <f t="shared" ref="CN3" si="21">BG3</f>
        <v>LatAm_other</v>
      </c>
      <c r="CO3" s="38" t="str">
        <f t="shared" ref="CO3" si="22">BH3</f>
        <v>Mexico</v>
      </c>
      <c r="CP3" s="38" t="str">
        <f t="shared" ref="CP3" si="23">BI3</f>
        <v>MidEast_other</v>
      </c>
      <c r="CQ3" s="38" t="str">
        <f t="shared" ref="CQ3" si="24">BJ3</f>
        <v>Nor-Ice</v>
      </c>
      <c r="CR3" s="38" t="str">
        <f t="shared" ref="CR3" si="25">BK3</f>
        <v>Russia</v>
      </c>
      <c r="CS3" s="38" t="str">
        <f t="shared" ref="CS3" si="26">BL3</f>
        <v>SaudiArabia</v>
      </c>
      <c r="CT3" s="38" t="str">
        <f t="shared" ref="CT3" si="27">BM3</f>
        <v>SouthAfrica</v>
      </c>
      <c r="CU3" s="38" t="str">
        <f t="shared" ref="CU3" si="28">BN3</f>
        <v>UK</v>
      </c>
      <c r="CV3" s="38" t="str">
        <f t="shared" ref="CV3" si="29">BO3</f>
        <v>USA</v>
      </c>
      <c r="CW3" s="38" t="str">
        <f t="shared" ref="CW3" si="30">BP3</f>
        <v>\I:</v>
      </c>
      <c r="CY3" t="s">
        <v>36</v>
      </c>
      <c r="CZ3" s="38" t="str">
        <f>BT3</f>
        <v>Africa_north</v>
      </c>
      <c r="DA3" s="38" t="str">
        <f t="shared" ref="DA3" si="31">BU3</f>
        <v>Africa_other</v>
      </c>
      <c r="DB3" s="38" t="str">
        <f t="shared" ref="DB3" si="32">BV3</f>
        <v>Arg-Chi</v>
      </c>
      <c r="DC3" s="38" t="str">
        <f t="shared" ref="DC3" si="33">BW3</f>
        <v>Asia_central</v>
      </c>
      <c r="DD3" s="38" t="str">
        <f t="shared" ref="DD3" si="34">BX3</f>
        <v>Asia_east</v>
      </c>
      <c r="DE3" s="38" t="str">
        <f t="shared" ref="DE3" si="35">BY3</f>
        <v>Asia_other</v>
      </c>
      <c r="DF3" s="38" t="str">
        <f t="shared" ref="DF3" si="36">BZ3</f>
        <v>Australia_NZ</v>
      </c>
      <c r="DG3" s="38" t="str">
        <f t="shared" ref="DG3" si="37">CA3</f>
        <v>Brazil</v>
      </c>
      <c r="DH3" s="38" t="str">
        <f t="shared" ref="DH3" si="38">CB3</f>
        <v>Canada</v>
      </c>
      <c r="DI3" s="38" t="str">
        <f t="shared" ref="DI3" si="39">CC3</f>
        <v>China</v>
      </c>
      <c r="DJ3" s="38" t="str">
        <f t="shared" ref="DJ3" si="40">CD3</f>
        <v>EU_north</v>
      </c>
      <c r="DK3" s="38" t="str">
        <f t="shared" ref="DK3" si="41">CE3</f>
        <v>EU_northeast</v>
      </c>
      <c r="DL3" s="38" t="str">
        <f t="shared" ref="DL3" si="42">CF3</f>
        <v>EU_northwest</v>
      </c>
      <c r="DM3" s="38" t="str">
        <f t="shared" ref="DM3" si="43">CG3</f>
        <v>EU_south</v>
      </c>
      <c r="DN3" s="38" t="str">
        <f t="shared" ref="DN3" si="44">CH3</f>
        <v>EU_southeast</v>
      </c>
      <c r="DO3" s="38" t="str">
        <f t="shared" ref="DO3" si="45">CI3</f>
        <v>EU_southwest</v>
      </c>
      <c r="DP3" s="38" t="str">
        <f t="shared" ref="DP3" si="46">CJ3</f>
        <v>Europe_other</v>
      </c>
      <c r="DQ3" s="38" t="str">
        <f t="shared" ref="DQ3" si="47">CK3</f>
        <v>France</v>
      </c>
      <c r="DR3" s="38" t="str">
        <f t="shared" ref="DR3" si="48">CL3</f>
        <v>Germany</v>
      </c>
      <c r="DS3" s="38" t="str">
        <f t="shared" ref="DS3" si="49">CM3</f>
        <v>India</v>
      </c>
      <c r="DT3" s="38" t="str">
        <f t="shared" ref="DT3" si="50">CN3</f>
        <v>LatAm_other</v>
      </c>
      <c r="DU3" s="38" t="str">
        <f t="shared" ref="DU3" si="51">CO3</f>
        <v>Mexico</v>
      </c>
      <c r="DV3" s="38" t="str">
        <f t="shared" ref="DV3" si="52">CP3</f>
        <v>MidEast_other</v>
      </c>
      <c r="DW3" s="38" t="str">
        <f t="shared" ref="DW3" si="53">CQ3</f>
        <v>Nor-Ice</v>
      </c>
      <c r="DX3" s="38" t="str">
        <f t="shared" ref="DX3" si="54">CR3</f>
        <v>Russia</v>
      </c>
      <c r="DY3" s="38" t="str">
        <f t="shared" ref="DY3" si="55">CS3</f>
        <v>SaudiArabia</v>
      </c>
      <c r="DZ3" s="38" t="str">
        <f t="shared" ref="DZ3" si="56">CT3</f>
        <v>SouthAfrica</v>
      </c>
      <c r="EA3" s="38" t="str">
        <f t="shared" ref="EA3" si="57">CU3</f>
        <v>UK</v>
      </c>
      <c r="EB3" s="38" t="str">
        <f t="shared" ref="EB3" si="58">CV3</f>
        <v>USA</v>
      </c>
      <c r="EC3" s="38" t="str">
        <f t="shared" ref="EC3" si="59">CW3</f>
        <v>\I:</v>
      </c>
      <c r="ED3" s="40" t="s">
        <v>43</v>
      </c>
      <c r="EF3" t="s">
        <v>273</v>
      </c>
      <c r="EG3" t="s">
        <v>274</v>
      </c>
      <c r="EH3" t="s">
        <v>36</v>
      </c>
      <c r="EI3" t="s">
        <v>275</v>
      </c>
      <c r="EJ3" t="s">
        <v>276</v>
      </c>
      <c r="EK3" t="s">
        <v>277</v>
      </c>
      <c r="EL3" t="s">
        <v>278</v>
      </c>
      <c r="EM3" t="s">
        <v>279</v>
      </c>
      <c r="EN3" t="s">
        <v>280</v>
      </c>
    </row>
    <row r="4" spans="1:144" x14ac:dyDescent="0.45">
      <c r="A4" s="37" t="str">
        <f>'RES Assumptions'!B87</f>
        <v>RC</v>
      </c>
      <c r="B4" s="37" t="s">
        <v>100</v>
      </c>
      <c r="D4" s="51" t="s">
        <v>285</v>
      </c>
      <c r="E4" s="8" t="str">
        <f>'RES Assumptions'!A87</f>
        <v>RESELC</v>
      </c>
      <c r="F4" s="8" t="str">
        <f>VLOOKUP(A4,'RES Assumptions'!$AN$87:$AO$97,2,FALSE)</f>
        <v>RSC</v>
      </c>
      <c r="G4" s="9">
        <f ca="1">OFFSET('RES Techs T15'!$F4,0,MATCH(VLOOKUP('RES Veda input'!G$3,'RES Assumptions T15'!$V$3:$W$35,2,FALSE),'RES Techs T15'!$G$3:$U$3,0))</f>
        <v>2.9</v>
      </c>
      <c r="H4" s="9">
        <f ca="1">OFFSET('RES Techs T15'!$F4,0,MATCH(VLOOKUP('RES Veda input'!H$3,'RES Assumptions T15'!$V$3:$W$35,2,FALSE),'RES Techs T15'!$G$3:$U$3,0))</f>
        <v>2.9</v>
      </c>
      <c r="I4" s="9">
        <f ca="1">OFFSET('RES Techs T15'!$F4,0,MATCH(VLOOKUP('RES Veda input'!I$3,'RES Assumptions T15'!$V$3:$W$35,2,FALSE),'RES Techs T15'!$G$3:$U$3,0))</f>
        <v>2.9</v>
      </c>
      <c r="J4" s="9">
        <f ca="1">OFFSET('RES Techs T15'!$F4,0,MATCH(VLOOKUP('RES Veda input'!J$3,'RES Assumptions T15'!$V$3:$W$35,2,FALSE),'RES Techs T15'!$G$3:$U$3,0))</f>
        <v>2.9</v>
      </c>
      <c r="K4" s="9">
        <f ca="1">OFFSET('RES Techs T15'!$F4,0,MATCH(VLOOKUP('RES Veda input'!K$3,'RES Assumptions T15'!$V$3:$W$35,2,FALSE),'RES Techs T15'!$G$3:$U$3,0))</f>
        <v>2.9</v>
      </c>
      <c r="L4" s="9">
        <f ca="1">OFFSET('RES Techs T15'!$F4,0,MATCH(VLOOKUP('RES Veda input'!L$3,'RES Assumptions T15'!$V$3:$W$35,2,FALSE),'RES Techs T15'!$G$3:$U$3,0))</f>
        <v>2.9</v>
      </c>
      <c r="M4" s="9">
        <f ca="1">OFFSET('RES Techs T15'!$F4,0,MATCH(VLOOKUP('RES Veda input'!M$3,'RES Assumptions T15'!$V$3:$W$35,2,FALSE),'RES Techs T15'!$G$3:$U$3,0))</f>
        <v>2.9</v>
      </c>
      <c r="N4" s="9">
        <f ca="1">OFFSET('RES Techs T15'!$F4,0,MATCH(VLOOKUP('RES Veda input'!N$3,'RES Assumptions T15'!$V$3:$W$35,2,FALSE),'RES Techs T15'!$G$3:$U$3,0))</f>
        <v>2.9</v>
      </c>
      <c r="O4" s="9">
        <f ca="1">OFFSET('RES Techs T15'!$F4,0,MATCH(VLOOKUP('RES Veda input'!O$3,'RES Assumptions T15'!$V$3:$W$35,2,FALSE),'RES Techs T15'!$G$3:$U$3,0))</f>
        <v>2.9</v>
      </c>
      <c r="P4" s="9">
        <f ca="1">OFFSET('RES Techs T15'!$F4,0,MATCH(VLOOKUP('RES Veda input'!P$3,'RES Assumptions T15'!$V$3:$W$35,2,FALSE),'RES Techs T15'!$G$3:$U$3,0))</f>
        <v>2.9</v>
      </c>
      <c r="Q4" s="9">
        <f ca="1">OFFSET('RES Techs T15'!$F4,0,MATCH(VLOOKUP('RES Veda input'!Q$3,'RES Assumptions T15'!$V$3:$W$35,2,FALSE),'RES Techs T15'!$G$3:$U$3,0))</f>
        <v>2.9</v>
      </c>
      <c r="R4" s="9">
        <f ca="1">OFFSET('RES Techs T15'!$F4,0,MATCH(VLOOKUP('RES Veda input'!R$3,'RES Assumptions T15'!$V$3:$W$35,2,FALSE),'RES Techs T15'!$G$3:$U$3,0))</f>
        <v>2.9</v>
      </c>
      <c r="S4" s="9">
        <f ca="1">OFFSET('RES Techs T15'!$F4,0,MATCH(VLOOKUP('RES Veda input'!S$3,'RES Assumptions T15'!$V$3:$W$35,2,FALSE),'RES Techs T15'!$G$3:$U$3,0))</f>
        <v>2.9</v>
      </c>
      <c r="T4" s="9">
        <f ca="1">OFFSET('RES Techs T15'!$F4,0,MATCH(VLOOKUP('RES Veda input'!T$3,'RES Assumptions T15'!$V$3:$W$35,2,FALSE),'RES Techs T15'!$G$3:$U$3,0))</f>
        <v>2.9</v>
      </c>
      <c r="U4" s="9">
        <f ca="1">OFFSET('RES Techs T15'!$F4,0,MATCH(VLOOKUP('RES Veda input'!U$3,'RES Assumptions T15'!$V$3:$W$35,2,FALSE),'RES Techs T15'!$G$3:$U$3,0))</f>
        <v>2.9</v>
      </c>
      <c r="V4" s="9">
        <f ca="1">OFFSET('RES Techs T15'!$F4,0,MATCH(VLOOKUP('RES Veda input'!V$3,'RES Assumptions T15'!$V$3:$W$35,2,FALSE),'RES Techs T15'!$G$3:$U$3,0))</f>
        <v>2.9</v>
      </c>
      <c r="W4" s="9">
        <f ca="1">OFFSET('RES Techs T15'!$F4,0,MATCH(VLOOKUP('RES Veda input'!W$3,'RES Assumptions T15'!$V$3:$W$35,2,FALSE),'RES Techs T15'!$G$3:$U$3,0))</f>
        <v>2.9</v>
      </c>
      <c r="X4" s="9">
        <f ca="1">OFFSET('RES Techs T15'!$F4,0,MATCH(VLOOKUP('RES Veda input'!X$3,'RES Assumptions T15'!$V$3:$W$35,2,FALSE),'RES Techs T15'!$G$3:$U$3,0))</f>
        <v>2.9</v>
      </c>
      <c r="Y4" s="9">
        <f ca="1">OFFSET('RES Techs T15'!$F4,0,MATCH(VLOOKUP('RES Veda input'!Y$3,'RES Assumptions T15'!$V$3:$W$35,2,FALSE),'RES Techs T15'!$G$3:$U$3,0))</f>
        <v>2.9</v>
      </c>
      <c r="Z4" s="9">
        <f ca="1">OFFSET('RES Techs T15'!$F4,0,MATCH(VLOOKUP('RES Veda input'!Z$3,'RES Assumptions T15'!$V$3:$W$35,2,FALSE),'RES Techs T15'!$G$3:$U$3,0))</f>
        <v>2.9</v>
      </c>
      <c r="AA4" s="9">
        <f ca="1">OFFSET('RES Techs T15'!$F4,0,MATCH(VLOOKUP('RES Veda input'!AA$3,'RES Assumptions T15'!$V$3:$W$35,2,FALSE),'RES Techs T15'!$G$3:$U$3,0))</f>
        <v>2.9</v>
      </c>
      <c r="AB4" s="9">
        <f ca="1">OFFSET('RES Techs T15'!$F4,0,MATCH(VLOOKUP('RES Veda input'!AB$3,'RES Assumptions T15'!$V$3:$W$35,2,FALSE),'RES Techs T15'!$G$3:$U$3,0))</f>
        <v>2.9</v>
      </c>
      <c r="AC4" s="9">
        <f ca="1">OFFSET('RES Techs T15'!$F4,0,MATCH(VLOOKUP('RES Veda input'!AC$3,'RES Assumptions T15'!$V$3:$W$35,2,FALSE),'RES Techs T15'!$G$3:$U$3,0))</f>
        <v>2.9</v>
      </c>
      <c r="AD4" s="9">
        <f ca="1">OFFSET('RES Techs T15'!$F4,0,MATCH(VLOOKUP('RES Veda input'!AD$3,'RES Assumptions T15'!$V$3:$W$35,2,FALSE),'RES Techs T15'!$G$3:$U$3,0))</f>
        <v>2.9</v>
      </c>
      <c r="AE4" s="9">
        <f ca="1">OFFSET('RES Techs T15'!$F4,0,MATCH(VLOOKUP('RES Veda input'!AE$3,'RES Assumptions T15'!$V$3:$W$35,2,FALSE),'RES Techs T15'!$G$3:$U$3,0))</f>
        <v>2.9</v>
      </c>
      <c r="AF4" s="9">
        <f ca="1">OFFSET('RES Techs T15'!$F4,0,MATCH(VLOOKUP('RES Veda input'!AF$3,'RES Assumptions T15'!$V$3:$W$35,2,FALSE),'RES Techs T15'!$G$3:$U$3,0))</f>
        <v>2.9</v>
      </c>
      <c r="AG4" s="9">
        <f ca="1">OFFSET('RES Techs T15'!$F4,0,MATCH(VLOOKUP('RES Veda input'!AG$3,'RES Assumptions T15'!$V$3:$W$35,2,FALSE),'RES Techs T15'!$G$3:$U$3,0))</f>
        <v>2.9</v>
      </c>
      <c r="AH4" s="9">
        <f ca="1">OFFSET('RES Techs T15'!$F4,0,MATCH(VLOOKUP('RES Veda input'!AH$3,'RES Assumptions T15'!$V$3:$W$35,2,FALSE),'RES Techs T15'!$G$3:$U$3,0))</f>
        <v>2.9</v>
      </c>
      <c r="AI4" s="9">
        <f ca="1">OFFSET('RES Techs T15'!$F4,0,MATCH(VLOOKUP('RES Veda input'!AI$3,'RES Assumptions T15'!$V$3:$W$35,2,FALSE),'RES Techs T15'!$G$3:$U$3,0))</f>
        <v>2.9</v>
      </c>
      <c r="AJ4" s="9">
        <f ca="1">OFFSET('RES Techs T15'!$F4,0,MATCH(VLOOKUP('RES Veda input'!AJ$3,'RES Assumptions T15'!$V$3:$W$35,2,FALSE),'RES Techs T15'!$G$3:$U$3,0))</f>
        <v>2.9</v>
      </c>
      <c r="AL4" s="8" t="str">
        <f>$D4</f>
        <v>RSCCAE000</v>
      </c>
      <c r="AM4" s="9">
        <f ca="1">OFFSET('RES Techs T15'!$W4,0,MATCH(VLOOKUP('RES Veda input'!AM$3,'RES Assumptions T15'!$V$3:$W$35,2,FALSE),'RES Techs T15'!$G$3:$U$3,0))</f>
        <v>0.16</v>
      </c>
      <c r="AN4" s="9">
        <f ca="1">OFFSET('RES Techs T15'!$W4,0,MATCH(VLOOKUP('RES Veda input'!AN$3,'RES Assumptions T15'!$V$3:$W$35,2,FALSE),'RES Techs T15'!$G$3:$U$3,0))</f>
        <v>0.16</v>
      </c>
      <c r="AO4" s="9">
        <f ca="1">OFFSET('RES Techs T15'!$W4,0,MATCH(VLOOKUP('RES Veda input'!AO$3,'RES Assumptions T15'!$V$3:$W$35,2,FALSE),'RES Techs T15'!$G$3:$U$3,0))</f>
        <v>0.13</v>
      </c>
      <c r="AP4" s="9">
        <f ca="1">OFFSET('RES Techs T15'!$W4,0,MATCH(VLOOKUP('RES Veda input'!AP$3,'RES Assumptions T15'!$V$3:$W$35,2,FALSE),'RES Techs T15'!$G$3:$U$3,0))</f>
        <v>0.1</v>
      </c>
      <c r="AQ4" s="9">
        <f ca="1">OFFSET('RES Techs T15'!$W4,0,MATCH(VLOOKUP('RES Veda input'!AQ$3,'RES Assumptions T15'!$V$3:$W$35,2,FALSE),'RES Techs T15'!$G$3:$U$3,0))</f>
        <v>0.13</v>
      </c>
      <c r="AR4" s="9">
        <f ca="1">OFFSET('RES Techs T15'!$W4,0,MATCH(VLOOKUP('RES Veda input'!AR$3,'RES Assumptions T15'!$V$3:$W$35,2,FALSE),'RES Techs T15'!$G$3:$U$3,0))</f>
        <v>0.15</v>
      </c>
      <c r="AS4" s="9">
        <f ca="1">OFFSET('RES Techs T15'!$W4,0,MATCH(VLOOKUP('RES Veda input'!AS$3,'RES Assumptions T15'!$V$3:$W$35,2,FALSE),'RES Techs T15'!$G$3:$U$3,0))</f>
        <v>0.05</v>
      </c>
      <c r="AT4" s="9">
        <f ca="1">OFFSET('RES Techs T15'!$W4,0,MATCH(VLOOKUP('RES Veda input'!AT$3,'RES Assumptions T15'!$V$3:$W$35,2,FALSE),'RES Techs T15'!$G$3:$U$3,0))</f>
        <v>0.13</v>
      </c>
      <c r="AU4" s="9">
        <f ca="1">OFFSET('RES Techs T15'!$W4,0,MATCH(VLOOKUP('RES Veda input'!AU$3,'RES Assumptions T15'!$V$3:$W$35,2,FALSE),'RES Techs T15'!$G$3:$U$3,0))</f>
        <v>0.05</v>
      </c>
      <c r="AV4" s="9">
        <f ca="1">OFFSET('RES Techs T15'!$W4,0,MATCH(VLOOKUP('RES Veda input'!AV$3,'RES Assumptions T15'!$V$3:$W$35,2,FALSE),'RES Techs T15'!$G$3:$U$3,0))</f>
        <v>0.13</v>
      </c>
      <c r="AW4" s="9">
        <f ca="1">OFFSET('RES Techs T15'!$W4,0,MATCH(VLOOKUP('RES Veda input'!AW$3,'RES Assumptions T15'!$V$3:$W$35,2,FALSE),'RES Techs T15'!$G$3:$U$3,0))</f>
        <v>0.13</v>
      </c>
      <c r="AX4" s="9">
        <f ca="1">OFFSET('RES Techs T15'!$W4,0,MATCH(VLOOKUP('RES Veda input'!AX$3,'RES Assumptions T15'!$V$3:$W$35,2,FALSE),'RES Techs T15'!$G$3:$U$3,0))</f>
        <v>0.1</v>
      </c>
      <c r="AY4" s="9">
        <f ca="1">OFFSET('RES Techs T15'!$W4,0,MATCH(VLOOKUP('RES Veda input'!AY$3,'RES Assumptions T15'!$V$3:$W$35,2,FALSE),'RES Techs T15'!$G$3:$U$3,0))</f>
        <v>0.13</v>
      </c>
      <c r="AZ4" s="9">
        <f ca="1">OFFSET('RES Techs T15'!$W4,0,MATCH(VLOOKUP('RES Veda input'!AZ$3,'RES Assumptions T15'!$V$3:$W$35,2,FALSE),'RES Techs T15'!$G$3:$U$3,0))</f>
        <v>0.13</v>
      </c>
      <c r="BA4" s="9">
        <f ca="1">OFFSET('RES Techs T15'!$W4,0,MATCH(VLOOKUP('RES Veda input'!BA$3,'RES Assumptions T15'!$V$3:$W$35,2,FALSE),'RES Techs T15'!$G$3:$U$3,0))</f>
        <v>0.1</v>
      </c>
      <c r="BB4" s="9">
        <f ca="1">OFFSET('RES Techs T15'!$W4,0,MATCH(VLOOKUP('RES Veda input'!BB$3,'RES Assumptions T15'!$V$3:$W$35,2,FALSE),'RES Techs T15'!$G$3:$U$3,0))</f>
        <v>0.13</v>
      </c>
      <c r="BC4" s="9">
        <f ca="1">OFFSET('RES Techs T15'!$W4,0,MATCH(VLOOKUP('RES Veda input'!BC$3,'RES Assumptions T15'!$V$3:$W$35,2,FALSE),'RES Techs T15'!$G$3:$U$3,0))</f>
        <v>0.13</v>
      </c>
      <c r="BD4" s="9">
        <f ca="1">OFFSET('RES Techs T15'!$W4,0,MATCH(VLOOKUP('RES Veda input'!BD$3,'RES Assumptions T15'!$V$3:$W$35,2,FALSE),'RES Techs T15'!$G$3:$U$3,0))</f>
        <v>0.13</v>
      </c>
      <c r="BE4" s="9">
        <f ca="1">OFFSET('RES Techs T15'!$W4,0,MATCH(VLOOKUP('RES Veda input'!BE$3,'RES Assumptions T15'!$V$3:$W$35,2,FALSE),'RES Techs T15'!$G$3:$U$3,0))</f>
        <v>0.13</v>
      </c>
      <c r="BF4" s="9">
        <f ca="1">OFFSET('RES Techs T15'!$W4,0,MATCH(VLOOKUP('RES Veda input'!BF$3,'RES Assumptions T15'!$V$3:$W$35,2,FALSE),'RES Techs T15'!$G$3:$U$3,0))</f>
        <v>0.13</v>
      </c>
      <c r="BG4" s="9">
        <f ca="1">OFFSET('RES Techs T15'!$W4,0,MATCH(VLOOKUP('RES Veda input'!BG$3,'RES Assumptions T15'!$V$3:$W$35,2,FALSE),'RES Techs T15'!$G$3:$U$3,0))</f>
        <v>0.13</v>
      </c>
      <c r="BH4" s="9">
        <f ca="1">OFFSET('RES Techs T15'!$W4,0,MATCH(VLOOKUP('RES Veda input'!BH$3,'RES Assumptions T15'!$V$3:$W$35,2,FALSE),'RES Techs T15'!$G$3:$U$3,0))</f>
        <v>0.13</v>
      </c>
      <c r="BI4" s="9">
        <f ca="1">OFFSET('RES Techs T15'!$W4,0,MATCH(VLOOKUP('RES Veda input'!BI$3,'RES Assumptions T15'!$V$3:$W$35,2,FALSE),'RES Techs T15'!$G$3:$U$3,0))</f>
        <v>0.13</v>
      </c>
      <c r="BJ4" s="9">
        <f ca="1">OFFSET('RES Techs T15'!$W4,0,MATCH(VLOOKUP('RES Veda input'!BJ$3,'RES Assumptions T15'!$V$3:$W$35,2,FALSE),'RES Techs T15'!$G$3:$U$3,0))</f>
        <v>0.13</v>
      </c>
      <c r="BK4" s="9">
        <f ca="1">OFFSET('RES Techs T15'!$W4,0,MATCH(VLOOKUP('RES Veda input'!BK$3,'RES Assumptions T15'!$V$3:$W$35,2,FALSE),'RES Techs T15'!$G$3:$U$3,0))</f>
        <v>0.1</v>
      </c>
      <c r="BL4" s="9">
        <f ca="1">OFFSET('RES Techs T15'!$W4,0,MATCH(VLOOKUP('RES Veda input'!BL$3,'RES Assumptions T15'!$V$3:$W$35,2,FALSE),'RES Techs T15'!$G$3:$U$3,0))</f>
        <v>0.13</v>
      </c>
      <c r="BM4" s="9">
        <f ca="1">OFFSET('RES Techs T15'!$W4,0,MATCH(VLOOKUP('RES Veda input'!BM$3,'RES Assumptions T15'!$V$3:$W$35,2,FALSE),'RES Techs T15'!$G$3:$U$3,0))</f>
        <v>0.16</v>
      </c>
      <c r="BN4" s="9">
        <f ca="1">OFFSET('RES Techs T15'!$W4,0,MATCH(VLOOKUP('RES Veda input'!BN$3,'RES Assumptions T15'!$V$3:$W$35,2,FALSE),'RES Techs T15'!$G$3:$U$3,0))</f>
        <v>0.13</v>
      </c>
      <c r="BO4" s="9">
        <f ca="1">OFFSET('RES Techs T15'!$W4,0,MATCH(VLOOKUP('RES Veda input'!BO$3,'RES Assumptions T15'!$V$3:$W$35,2,FALSE),'RES Techs T15'!$G$3:$U$3,0))</f>
        <v>0.13</v>
      </c>
      <c r="BP4" s="9">
        <f ca="1">OFFSET('RES Techs T15'!$W4,0,MATCH(VLOOKUP('RES Veda input'!BP$3,'RES Assumptions T15'!$V$3:$W$35,2,FALSE),'RES Techs T15'!$G$3:$U$3,0))</f>
        <v>0.13</v>
      </c>
      <c r="BR4" s="8" t="str">
        <f>$D4</f>
        <v>RSCCAE000</v>
      </c>
      <c r="BS4" s="9">
        <f ca="1">MIN(BT4:CJ4)</f>
        <v>7.2</v>
      </c>
      <c r="BT4" s="9" t="str">
        <f ca="1">IF(OFFSET('RES Techs T15'!$AO4,0,MATCH(VLOOKUP('RES Veda input'!BT$3,'RES Assumptions T15'!$V$3:$W$35,2,FALSE),'RES Techs T15'!$G$3:$U$3,0))=0,"",OFFSET('RES Techs T15'!$AO4,0,MATCH(VLOOKUP('RES Veda input'!BT$3,'RES Assumptions T15'!$V$3:$W$35,2,FALSE),'RES Techs T15'!$G$3:$U$3,0)))</f>
        <v/>
      </c>
      <c r="BU4" s="9" t="str">
        <f ca="1">IF(OFFSET('RES Techs T15'!$AO4,0,MATCH(VLOOKUP('RES Veda input'!BU$3,'RES Assumptions T15'!$V$3:$W$35,2,FALSE),'RES Techs T15'!$G$3:$U$3,0))=0,"",OFFSET('RES Techs T15'!$AO4,0,MATCH(VLOOKUP('RES Veda input'!BU$3,'RES Assumptions T15'!$V$3:$W$35,2,FALSE),'RES Techs T15'!$G$3:$U$3,0)))</f>
        <v/>
      </c>
      <c r="BV4" s="9">
        <f ca="1">IF(OFFSET('RES Techs T15'!$AO4,0,MATCH(VLOOKUP('RES Veda input'!BV$3,'RES Assumptions T15'!$V$3:$W$35,2,FALSE),'RES Techs T15'!$G$3:$U$3,0))=0,"",OFFSET('RES Techs T15'!$AO4,0,MATCH(VLOOKUP('RES Veda input'!BV$3,'RES Assumptions T15'!$V$3:$W$35,2,FALSE),'RES Techs T15'!$G$3:$U$3,0)))</f>
        <v>8.4</v>
      </c>
      <c r="BW4" s="9" t="str">
        <f ca="1">IF(OFFSET('RES Techs T15'!$AO4,0,MATCH(VLOOKUP('RES Veda input'!BW$3,'RES Assumptions T15'!$V$3:$W$35,2,FALSE),'RES Techs T15'!$G$3:$U$3,0))=0,"",OFFSET('RES Techs T15'!$AO4,0,MATCH(VLOOKUP('RES Veda input'!BW$3,'RES Assumptions T15'!$V$3:$W$35,2,FALSE),'RES Techs T15'!$G$3:$U$3,0)))</f>
        <v/>
      </c>
      <c r="BX4" s="9">
        <f ca="1">IF(OFFSET('RES Techs T15'!$AO4,0,MATCH(VLOOKUP('RES Veda input'!BX$3,'RES Assumptions T15'!$V$3:$W$35,2,FALSE),'RES Techs T15'!$G$3:$U$3,0))=0,"",OFFSET('RES Techs T15'!$AO4,0,MATCH(VLOOKUP('RES Veda input'!BX$3,'RES Assumptions T15'!$V$3:$W$35,2,FALSE),'RES Techs T15'!$G$3:$U$3,0)))</f>
        <v>12</v>
      </c>
      <c r="BY4" s="9">
        <f ca="1">IF(OFFSET('RES Techs T15'!$AO4,0,MATCH(VLOOKUP('RES Veda input'!BY$3,'RES Assumptions T15'!$V$3:$W$35,2,FALSE),'RES Techs T15'!$G$3:$U$3,0))=0,"",OFFSET('RES Techs T15'!$AO4,0,MATCH(VLOOKUP('RES Veda input'!BY$3,'RES Assumptions T15'!$V$3:$W$35,2,FALSE),'RES Techs T15'!$G$3:$U$3,0)))</f>
        <v>7.2</v>
      </c>
      <c r="BZ4" s="9" t="str">
        <f ca="1">IF(OFFSET('RES Techs T15'!$AO4,0,MATCH(VLOOKUP('RES Veda input'!BZ$3,'RES Assumptions T15'!$V$3:$W$35,2,FALSE),'RES Techs T15'!$G$3:$U$3,0))=0,"",OFFSET('RES Techs T15'!$AO4,0,MATCH(VLOOKUP('RES Veda input'!BZ$3,'RES Assumptions T15'!$V$3:$W$35,2,FALSE),'RES Techs T15'!$G$3:$U$3,0)))</f>
        <v/>
      </c>
      <c r="CA4" s="9">
        <f ca="1">IF(OFFSET('RES Techs T15'!$AO4,0,MATCH(VLOOKUP('RES Veda input'!CA$3,'RES Assumptions T15'!$V$3:$W$35,2,FALSE),'RES Techs T15'!$G$3:$U$3,0))=0,"",OFFSET('RES Techs T15'!$AO4,0,MATCH(VLOOKUP('RES Veda input'!CA$3,'RES Assumptions T15'!$V$3:$W$35,2,FALSE),'RES Techs T15'!$G$3:$U$3,0)))</f>
        <v>8.4</v>
      </c>
      <c r="CB4" s="9" t="str">
        <f ca="1">IF(OFFSET('RES Techs T15'!$AO4,0,MATCH(VLOOKUP('RES Veda input'!CB$3,'RES Assumptions T15'!$V$3:$W$35,2,FALSE),'RES Techs T15'!$G$3:$U$3,0))=0,"",OFFSET('RES Techs T15'!$AO4,0,MATCH(VLOOKUP('RES Veda input'!CB$3,'RES Assumptions T15'!$V$3:$W$35,2,FALSE),'RES Techs T15'!$G$3:$U$3,0)))</f>
        <v/>
      </c>
      <c r="CC4" s="9">
        <f ca="1">IF(OFFSET('RES Techs T15'!$AO4,0,MATCH(VLOOKUP('RES Veda input'!CC$3,'RES Assumptions T15'!$V$3:$W$35,2,FALSE),'RES Techs T15'!$G$3:$U$3,0))=0,"",OFFSET('RES Techs T15'!$AO4,0,MATCH(VLOOKUP('RES Veda input'!CC$3,'RES Assumptions T15'!$V$3:$W$35,2,FALSE),'RES Techs T15'!$G$3:$U$3,0)))</f>
        <v>7.2</v>
      </c>
      <c r="CD4" s="9" t="str">
        <f ca="1">IF(OFFSET('RES Techs T15'!$AO4,0,MATCH(VLOOKUP('RES Veda input'!CD$3,'RES Assumptions T15'!$V$3:$W$35,2,FALSE),'RES Techs T15'!$G$3:$U$3,0))=0,"",OFFSET('RES Techs T15'!$AO4,0,MATCH(VLOOKUP('RES Veda input'!CD$3,'RES Assumptions T15'!$V$3:$W$35,2,FALSE),'RES Techs T15'!$G$3:$U$3,0)))</f>
        <v/>
      </c>
      <c r="CE4" s="9" t="str">
        <f ca="1">IF(OFFSET('RES Techs T15'!$AO4,0,MATCH(VLOOKUP('RES Veda input'!CE$3,'RES Assumptions T15'!$V$3:$W$35,2,FALSE),'RES Techs T15'!$G$3:$U$3,0))=0,"",OFFSET('RES Techs T15'!$AO4,0,MATCH(VLOOKUP('RES Veda input'!CE$3,'RES Assumptions T15'!$V$3:$W$35,2,FALSE),'RES Techs T15'!$G$3:$U$3,0)))</f>
        <v/>
      </c>
      <c r="CF4" s="9" t="str">
        <f ca="1">IF(OFFSET('RES Techs T15'!$AO4,0,MATCH(VLOOKUP('RES Veda input'!CF$3,'RES Assumptions T15'!$V$3:$W$35,2,FALSE),'RES Techs T15'!$G$3:$U$3,0))=0,"",OFFSET('RES Techs T15'!$AO4,0,MATCH(VLOOKUP('RES Veda input'!CF$3,'RES Assumptions T15'!$V$3:$W$35,2,FALSE),'RES Techs T15'!$G$3:$U$3,0)))</f>
        <v/>
      </c>
      <c r="CG4" s="9" t="str">
        <f ca="1">IF(OFFSET('RES Techs T15'!$AO4,0,MATCH(VLOOKUP('RES Veda input'!CG$3,'RES Assumptions T15'!$V$3:$W$35,2,FALSE),'RES Techs T15'!$G$3:$U$3,0))=0,"",OFFSET('RES Techs T15'!$AO4,0,MATCH(VLOOKUP('RES Veda input'!CG$3,'RES Assumptions T15'!$V$3:$W$35,2,FALSE),'RES Techs T15'!$G$3:$U$3,0)))</f>
        <v/>
      </c>
      <c r="CH4" s="9" t="str">
        <f ca="1">IF(OFFSET('RES Techs T15'!$AO4,0,MATCH(VLOOKUP('RES Veda input'!CH$3,'RES Assumptions T15'!$V$3:$W$35,2,FALSE),'RES Techs T15'!$G$3:$U$3,0))=0,"",OFFSET('RES Techs T15'!$AO4,0,MATCH(VLOOKUP('RES Veda input'!CH$3,'RES Assumptions T15'!$V$3:$W$35,2,FALSE),'RES Techs T15'!$G$3:$U$3,0)))</f>
        <v/>
      </c>
      <c r="CI4" s="9" t="str">
        <f ca="1">IF(OFFSET('RES Techs T15'!$AO4,0,MATCH(VLOOKUP('RES Veda input'!CI$3,'RES Assumptions T15'!$V$3:$W$35,2,FALSE),'RES Techs T15'!$G$3:$U$3,0))=0,"",OFFSET('RES Techs T15'!$AO4,0,MATCH(VLOOKUP('RES Veda input'!CI$3,'RES Assumptions T15'!$V$3:$W$35,2,FALSE),'RES Techs T15'!$G$3:$U$3,0)))</f>
        <v/>
      </c>
      <c r="CJ4" s="9">
        <f ca="1">IF(OFFSET('RES Techs T15'!$AO4,0,MATCH(VLOOKUP('RES Veda input'!CJ$3,'RES Assumptions T15'!$V$3:$W$35,2,FALSE),'RES Techs T15'!$G$3:$U$3,0))=0,"",OFFSET('RES Techs T15'!$AO4,0,MATCH(VLOOKUP('RES Veda input'!CJ$3,'RES Assumptions T15'!$V$3:$W$35,2,FALSE),'RES Techs T15'!$G$3:$U$3,0)))</f>
        <v>8.4</v>
      </c>
      <c r="CK4" s="9" t="str">
        <f ca="1">IF(OFFSET('RES Techs T15'!$AO4,0,MATCH(VLOOKUP('RES Veda input'!CK$3,'RES Assumptions T15'!$V$3:$W$35,2,FALSE),'RES Techs T15'!$G$3:$U$3,0))=0,"",OFFSET('RES Techs T15'!$AO4,0,MATCH(VLOOKUP('RES Veda input'!CK$3,'RES Assumptions T15'!$V$3:$W$35,2,FALSE),'RES Techs T15'!$G$3:$U$3,0)))</f>
        <v/>
      </c>
      <c r="CL4" s="9" t="str">
        <f ca="1">IF(OFFSET('RES Techs T15'!$AO4,0,MATCH(VLOOKUP('RES Veda input'!CL$3,'RES Assumptions T15'!$V$3:$W$35,2,FALSE),'RES Techs T15'!$G$3:$U$3,0))=0,"",OFFSET('RES Techs T15'!$AO4,0,MATCH(VLOOKUP('RES Veda input'!CL$3,'RES Assumptions T15'!$V$3:$W$35,2,FALSE),'RES Techs T15'!$G$3:$U$3,0)))</f>
        <v/>
      </c>
      <c r="CM4" s="9">
        <f ca="1">IF(OFFSET('RES Techs T15'!$AO4,0,MATCH(VLOOKUP('RES Veda input'!CM$3,'RES Assumptions T15'!$V$3:$W$35,2,FALSE),'RES Techs T15'!$G$3:$U$3,0))=0,"",OFFSET('RES Techs T15'!$AO4,0,MATCH(VLOOKUP('RES Veda input'!CM$3,'RES Assumptions T15'!$V$3:$W$35,2,FALSE),'RES Techs T15'!$G$3:$U$3,0)))</f>
        <v>7.2</v>
      </c>
      <c r="CN4" s="9">
        <f ca="1">IF(OFFSET('RES Techs T15'!$AO4,0,MATCH(VLOOKUP('RES Veda input'!CN$3,'RES Assumptions T15'!$V$3:$W$35,2,FALSE),'RES Techs T15'!$G$3:$U$3,0))=0,"",OFFSET('RES Techs T15'!$AO4,0,MATCH(VLOOKUP('RES Veda input'!CN$3,'RES Assumptions T15'!$V$3:$W$35,2,FALSE),'RES Techs T15'!$G$3:$U$3,0)))</f>
        <v>8.4</v>
      </c>
      <c r="CO4" s="9" t="str">
        <f ca="1">IF(OFFSET('RES Techs T15'!$AO4,0,MATCH(VLOOKUP('RES Veda input'!CO$3,'RES Assumptions T15'!$V$3:$W$35,2,FALSE),'RES Techs T15'!$G$3:$U$3,0))=0,"",OFFSET('RES Techs T15'!$AO4,0,MATCH(VLOOKUP('RES Veda input'!CO$3,'RES Assumptions T15'!$V$3:$W$35,2,FALSE),'RES Techs T15'!$G$3:$U$3,0)))</f>
        <v/>
      </c>
      <c r="CP4" s="9">
        <f ca="1">IF(OFFSET('RES Techs T15'!$AO4,0,MATCH(VLOOKUP('RES Veda input'!CP$3,'RES Assumptions T15'!$V$3:$W$35,2,FALSE),'RES Techs T15'!$G$3:$U$3,0))=0,"",OFFSET('RES Techs T15'!$AO4,0,MATCH(VLOOKUP('RES Veda input'!CP$3,'RES Assumptions T15'!$V$3:$W$35,2,FALSE),'RES Techs T15'!$G$3:$U$3,0)))</f>
        <v>8.4</v>
      </c>
      <c r="CQ4" s="9" t="str">
        <f ca="1">IF(OFFSET('RES Techs T15'!$AO4,0,MATCH(VLOOKUP('RES Veda input'!CQ$3,'RES Assumptions T15'!$V$3:$W$35,2,FALSE),'RES Techs T15'!$G$3:$U$3,0))=0,"",OFFSET('RES Techs T15'!$AO4,0,MATCH(VLOOKUP('RES Veda input'!CQ$3,'RES Assumptions T15'!$V$3:$W$35,2,FALSE),'RES Techs T15'!$G$3:$U$3,0)))</f>
        <v/>
      </c>
      <c r="CR4" s="9" t="str">
        <f ca="1">IF(OFFSET('RES Techs T15'!$AO4,0,MATCH(VLOOKUP('RES Veda input'!CR$3,'RES Assumptions T15'!$V$3:$W$35,2,FALSE),'RES Techs T15'!$G$3:$U$3,0))=0,"",OFFSET('RES Techs T15'!$AO4,0,MATCH(VLOOKUP('RES Veda input'!CR$3,'RES Assumptions T15'!$V$3:$W$35,2,FALSE),'RES Techs T15'!$G$3:$U$3,0)))</f>
        <v/>
      </c>
      <c r="CS4" s="9">
        <f ca="1">IF(OFFSET('RES Techs T15'!$AO4,0,MATCH(VLOOKUP('RES Veda input'!CS$3,'RES Assumptions T15'!$V$3:$W$35,2,FALSE),'RES Techs T15'!$G$3:$U$3,0))=0,"",OFFSET('RES Techs T15'!$AO4,0,MATCH(VLOOKUP('RES Veda input'!CS$3,'RES Assumptions T15'!$V$3:$W$35,2,FALSE),'RES Techs T15'!$G$3:$U$3,0)))</f>
        <v>8.4</v>
      </c>
      <c r="CT4" s="9" t="str">
        <f ca="1">IF(OFFSET('RES Techs T15'!$AO4,0,MATCH(VLOOKUP('RES Veda input'!CT$3,'RES Assumptions T15'!$V$3:$W$35,2,FALSE),'RES Techs T15'!$G$3:$U$3,0))=0,"",OFFSET('RES Techs T15'!$AO4,0,MATCH(VLOOKUP('RES Veda input'!CT$3,'RES Assumptions T15'!$V$3:$W$35,2,FALSE),'RES Techs T15'!$G$3:$U$3,0)))</f>
        <v/>
      </c>
      <c r="CU4" s="9" t="str">
        <f ca="1">IF(OFFSET('RES Techs T15'!$AO4,0,MATCH(VLOOKUP('RES Veda input'!CU$3,'RES Assumptions T15'!$V$3:$W$35,2,FALSE),'RES Techs T15'!$G$3:$U$3,0))=0,"",OFFSET('RES Techs T15'!$AO4,0,MATCH(VLOOKUP('RES Veda input'!CU$3,'RES Assumptions T15'!$V$3:$W$35,2,FALSE),'RES Techs T15'!$G$3:$U$3,0)))</f>
        <v/>
      </c>
      <c r="CV4" s="9">
        <f ca="1">IF(OFFSET('RES Techs T15'!$AO4,0,MATCH(VLOOKUP('RES Veda input'!CV$3,'RES Assumptions T15'!$V$3:$W$35,2,FALSE),'RES Techs T15'!$G$3:$U$3,0))=0,"",OFFSET('RES Techs T15'!$AO4,0,MATCH(VLOOKUP('RES Veda input'!CV$3,'RES Assumptions T15'!$V$3:$W$35,2,FALSE),'RES Techs T15'!$G$3:$U$3,0)))</f>
        <v>2</v>
      </c>
      <c r="CW4" s="9">
        <f ca="1">IF(OFFSET('RES Techs T15'!$AO4,0,MATCH(VLOOKUP('RES Veda input'!CW$3,'RES Assumptions T15'!$V$3:$W$35,2,FALSE),'RES Techs T15'!$G$3:$U$3,0))=0,"",OFFSET('RES Techs T15'!$AO4,0,MATCH(VLOOKUP('RES Veda input'!CW$3,'RES Assumptions T15'!$V$3:$W$35,2,FALSE),'RES Techs T15'!$G$3:$U$3,0)))</f>
        <v>2</v>
      </c>
      <c r="CY4" s="8" t="str">
        <f>$D4</f>
        <v>RSCCAE000</v>
      </c>
      <c r="CZ4" s="10">
        <f ca="1">ROUND('RES Assumptions'!E87*'RES Veda input'!G4/'RES Veda input'!AM4,3)</f>
        <v>800.74800000000005</v>
      </c>
      <c r="DA4" s="10">
        <f ca="1">ROUND('RES Assumptions'!F87*'RES Veda input'!H4/'RES Veda input'!AN4,3)</f>
        <v>538.51700000000005</v>
      </c>
      <c r="DB4" s="10">
        <f ca="1">ROUND('RES Assumptions'!G87*'RES Veda input'!I4/'RES Veda input'!AO4,3)</f>
        <v>35.686</v>
      </c>
      <c r="DC4" s="10">
        <f ca="1">ROUND('RES Assumptions'!H87*'RES Veda input'!J4/'RES Veda input'!AP4,3)</f>
        <v>64.811000000000007</v>
      </c>
      <c r="DD4" s="10">
        <f ca="1">ROUND('RES Assumptions'!I87*'RES Veda input'!K4/'RES Veda input'!AQ4,3)</f>
        <v>63.171999999999997</v>
      </c>
      <c r="DE4" s="10">
        <f ca="1">ROUND('RES Assumptions'!J87*'RES Veda input'!L4/'RES Veda input'!AR4,3)</f>
        <v>286.80799999999999</v>
      </c>
      <c r="DF4" s="10">
        <f ca="1">ROUND('RES Assumptions'!K87*'RES Veda input'!M4/'RES Veda input'!AS4,3)</f>
        <v>610.43600000000004</v>
      </c>
      <c r="DG4" s="10">
        <f ca="1">ROUND('RES Assumptions'!L87*'RES Veda input'!N4/'RES Veda input'!AT4,3)</f>
        <v>89.623999999999995</v>
      </c>
      <c r="DH4" s="10">
        <f ca="1">ROUND('RES Assumptions'!M87*'RES Veda input'!O4/'RES Veda input'!AU4,3)</f>
        <v>853.35599999999999</v>
      </c>
      <c r="DI4" s="10">
        <f ca="1">ROUND('RES Assumptions'!N87*'RES Veda input'!P4/'RES Veda input'!AV4,3)</f>
        <v>5844.9449999999997</v>
      </c>
      <c r="DJ4" s="10">
        <f ca="1">ROUND('RES Assumptions'!O87*'RES Veda input'!Q4/'RES Veda input'!AW4,3)</f>
        <v>66.164000000000001</v>
      </c>
      <c r="DK4" s="10">
        <f ca="1">ROUND('RES Assumptions'!P87*'RES Veda input'!R4/'RES Veda input'!AX4,3)</f>
        <v>63.183999999999997</v>
      </c>
      <c r="DL4" s="10">
        <f ca="1">ROUND('RES Assumptions'!Q87*'RES Veda input'!S4/'RES Veda input'!AY4,3)</f>
        <v>43.863</v>
      </c>
      <c r="DM4" s="10">
        <f ca="1">ROUND('RES Assumptions'!R87*'RES Veda input'!T4/'RES Veda input'!AZ4,3)</f>
        <v>73.888999999999996</v>
      </c>
      <c r="DN4" s="10">
        <f ca="1">ROUND('RES Assumptions'!S87*'RES Veda input'!U4/'RES Veda input'!BA4,3)</f>
        <v>37.933999999999997</v>
      </c>
      <c r="DO4" s="10">
        <f ca="1">ROUND('RES Assumptions'!T87*'RES Veda input'!V4/'RES Veda input'!BB4,3)</f>
        <v>74.415000000000006</v>
      </c>
      <c r="DP4" s="10">
        <f ca="1">ROUND('RES Assumptions'!U87*'RES Veda input'!W4/'RES Veda input'!BC4,3)</f>
        <v>2492.9050000000002</v>
      </c>
      <c r="DQ4" s="10">
        <f ca="1">ROUND('RES Assumptions'!V87*'RES Veda input'!X4/'RES Veda input'!BD4,3)</f>
        <v>137.87799999999999</v>
      </c>
      <c r="DR4" s="10">
        <f ca="1">ROUND('RES Assumptions'!W87*'RES Veda input'!Y4/'RES Veda input'!BE4,3)</f>
        <v>109.233</v>
      </c>
      <c r="DS4" s="10">
        <f ca="1">ROUND('RES Assumptions'!X87*'RES Veda input'!Z4/'RES Veda input'!BF4,3)</f>
        <v>1610.0150000000001</v>
      </c>
      <c r="DT4" s="10">
        <f ca="1">ROUND('RES Assumptions'!Y87*'RES Veda input'!AA4/'RES Veda input'!BG4,3)</f>
        <v>71.599000000000004</v>
      </c>
      <c r="DU4" s="10">
        <f ca="1">ROUND('RES Assumptions'!Z87*'RES Veda input'!AB4/'RES Veda input'!BH4,3)</f>
        <v>68.983999999999995</v>
      </c>
      <c r="DV4" s="10">
        <f ca="1">ROUND('RES Assumptions'!AA87*'RES Veda input'!AC4/'RES Veda input'!BI4,3)</f>
        <v>4535.45</v>
      </c>
      <c r="DW4" s="10">
        <f ca="1">ROUND('RES Assumptions'!AB87*'RES Veda input'!AD4/'RES Veda input'!BJ4,3)</f>
        <v>35.344999999999999</v>
      </c>
      <c r="DX4" s="10">
        <f ca="1">ROUND('RES Assumptions'!AC87*'RES Veda input'!AE4/'RES Veda input'!BK4,3)</f>
        <v>182.37</v>
      </c>
      <c r="DY4" s="10">
        <f ca="1">ROUND('RES Assumptions'!AD87*'RES Veda input'!AF4/'RES Veda input'!BL4,3)</f>
        <v>2177.5639999999999</v>
      </c>
      <c r="DZ4" s="10">
        <f ca="1">ROUND('RES Assumptions'!AE87*'RES Veda input'!AG4/'RES Veda input'!BM4,3)</f>
        <v>341.32</v>
      </c>
      <c r="EA4" s="10">
        <f ca="1">ROUND('RES Assumptions'!AF87*'RES Veda input'!AH4/'RES Veda input'!BN4,3)</f>
        <v>89.625</v>
      </c>
      <c r="EB4" s="10">
        <f ca="1">ROUND('RES Assumptions'!AG87*'RES Veda input'!AI4/'RES Veda input'!BO4,3)</f>
        <v>19413.859</v>
      </c>
      <c r="EC4" s="10">
        <f ca="1">ROUND('RES Assumptions'!AH87*'RES Veda input'!AJ4/'RES Veda input'!BP4,3)</f>
        <v>0</v>
      </c>
      <c r="ED4">
        <v>15</v>
      </c>
      <c r="EG4" t="s">
        <v>281</v>
      </c>
      <c r="EH4" t="str">
        <f>CY4</f>
        <v>RSCCAE000</v>
      </c>
      <c r="EJ4" t="s">
        <v>282</v>
      </c>
      <c r="EK4" t="s">
        <v>283</v>
      </c>
    </row>
    <row r="5" spans="1:144" x14ac:dyDescent="0.45">
      <c r="A5" s="37" t="str">
        <f>'RES Assumptions'!B88</f>
        <v>RC</v>
      </c>
      <c r="B5" s="37" t="s">
        <v>102</v>
      </c>
      <c r="D5" s="51" t="s">
        <v>286</v>
      </c>
      <c r="E5" s="8" t="str">
        <f>'RES Assumptions'!A88</f>
        <v>RESELC</v>
      </c>
      <c r="F5" s="8" t="str">
        <f>VLOOKUP(A5,'RES Assumptions'!$AN$87:$AO$97,2,FALSE)</f>
        <v>RSC</v>
      </c>
      <c r="G5" s="9">
        <f ca="1">OFFSET('RES Techs T15'!$F5,0,MATCH(VLOOKUP('RES Veda input'!G$3,'RES Assumptions T15'!$V$3:$W$35,2,FALSE),'RES Techs T15'!$G$3:$U$3,0))</f>
        <v>3.1</v>
      </c>
      <c r="H5" s="9">
        <f ca="1">OFFSET('RES Techs T15'!$F5,0,MATCH(VLOOKUP('RES Veda input'!H$3,'RES Assumptions T15'!$V$3:$W$35,2,FALSE),'RES Techs T15'!$G$3:$U$3,0))</f>
        <v>3.1</v>
      </c>
      <c r="I5" s="9">
        <f ca="1">OFFSET('RES Techs T15'!$F5,0,MATCH(VLOOKUP('RES Veda input'!I$3,'RES Assumptions T15'!$V$3:$W$35,2,FALSE),'RES Techs T15'!$G$3:$U$3,0))</f>
        <v>3.1</v>
      </c>
      <c r="J5" s="9">
        <f ca="1">OFFSET('RES Techs T15'!$F5,0,MATCH(VLOOKUP('RES Veda input'!J$3,'RES Assumptions T15'!$V$3:$W$35,2,FALSE),'RES Techs T15'!$G$3:$U$3,0))</f>
        <v>3.1</v>
      </c>
      <c r="K5" s="9">
        <f ca="1">OFFSET('RES Techs T15'!$F5,0,MATCH(VLOOKUP('RES Veda input'!K$3,'RES Assumptions T15'!$V$3:$W$35,2,FALSE),'RES Techs T15'!$G$3:$U$3,0))</f>
        <v>3.1</v>
      </c>
      <c r="L5" s="9">
        <f ca="1">OFFSET('RES Techs T15'!$F5,0,MATCH(VLOOKUP('RES Veda input'!L$3,'RES Assumptions T15'!$V$3:$W$35,2,FALSE),'RES Techs T15'!$G$3:$U$3,0))</f>
        <v>3.1</v>
      </c>
      <c r="M5" s="9">
        <f ca="1">OFFSET('RES Techs T15'!$F5,0,MATCH(VLOOKUP('RES Veda input'!M$3,'RES Assumptions T15'!$V$3:$W$35,2,FALSE),'RES Techs T15'!$G$3:$U$3,0))</f>
        <v>3.1</v>
      </c>
      <c r="N5" s="9">
        <f ca="1">OFFSET('RES Techs T15'!$F5,0,MATCH(VLOOKUP('RES Veda input'!N$3,'RES Assumptions T15'!$V$3:$W$35,2,FALSE),'RES Techs T15'!$G$3:$U$3,0))</f>
        <v>3.1</v>
      </c>
      <c r="O5" s="9">
        <f ca="1">OFFSET('RES Techs T15'!$F5,0,MATCH(VLOOKUP('RES Veda input'!O$3,'RES Assumptions T15'!$V$3:$W$35,2,FALSE),'RES Techs T15'!$G$3:$U$3,0))</f>
        <v>3.1</v>
      </c>
      <c r="P5" s="9">
        <f ca="1">OFFSET('RES Techs T15'!$F5,0,MATCH(VLOOKUP('RES Veda input'!P$3,'RES Assumptions T15'!$V$3:$W$35,2,FALSE),'RES Techs T15'!$G$3:$U$3,0))</f>
        <v>3.1</v>
      </c>
      <c r="Q5" s="9">
        <f ca="1">OFFSET('RES Techs T15'!$F5,0,MATCH(VLOOKUP('RES Veda input'!Q$3,'RES Assumptions T15'!$V$3:$W$35,2,FALSE),'RES Techs T15'!$G$3:$U$3,0))</f>
        <v>3.1</v>
      </c>
      <c r="R5" s="9">
        <f ca="1">OFFSET('RES Techs T15'!$F5,0,MATCH(VLOOKUP('RES Veda input'!R$3,'RES Assumptions T15'!$V$3:$W$35,2,FALSE),'RES Techs T15'!$G$3:$U$3,0))</f>
        <v>3.1</v>
      </c>
      <c r="S5" s="9">
        <f ca="1">OFFSET('RES Techs T15'!$F5,0,MATCH(VLOOKUP('RES Veda input'!S$3,'RES Assumptions T15'!$V$3:$W$35,2,FALSE),'RES Techs T15'!$G$3:$U$3,0))</f>
        <v>3.1</v>
      </c>
      <c r="T5" s="9">
        <f ca="1">OFFSET('RES Techs T15'!$F5,0,MATCH(VLOOKUP('RES Veda input'!T$3,'RES Assumptions T15'!$V$3:$W$35,2,FALSE),'RES Techs T15'!$G$3:$U$3,0))</f>
        <v>3.1</v>
      </c>
      <c r="U5" s="9">
        <f ca="1">OFFSET('RES Techs T15'!$F5,0,MATCH(VLOOKUP('RES Veda input'!U$3,'RES Assumptions T15'!$V$3:$W$35,2,FALSE),'RES Techs T15'!$G$3:$U$3,0))</f>
        <v>3.1</v>
      </c>
      <c r="V5" s="9">
        <f ca="1">OFFSET('RES Techs T15'!$F5,0,MATCH(VLOOKUP('RES Veda input'!V$3,'RES Assumptions T15'!$V$3:$W$35,2,FALSE),'RES Techs T15'!$G$3:$U$3,0))</f>
        <v>3.1</v>
      </c>
      <c r="W5" s="9">
        <f ca="1">OFFSET('RES Techs T15'!$F5,0,MATCH(VLOOKUP('RES Veda input'!W$3,'RES Assumptions T15'!$V$3:$W$35,2,FALSE),'RES Techs T15'!$G$3:$U$3,0))</f>
        <v>3.1</v>
      </c>
      <c r="X5" s="9">
        <f ca="1">OFFSET('RES Techs T15'!$F5,0,MATCH(VLOOKUP('RES Veda input'!X$3,'RES Assumptions T15'!$V$3:$W$35,2,FALSE),'RES Techs T15'!$G$3:$U$3,0))</f>
        <v>3.1</v>
      </c>
      <c r="Y5" s="9">
        <f ca="1">OFFSET('RES Techs T15'!$F5,0,MATCH(VLOOKUP('RES Veda input'!Y$3,'RES Assumptions T15'!$V$3:$W$35,2,FALSE),'RES Techs T15'!$G$3:$U$3,0))</f>
        <v>3.1</v>
      </c>
      <c r="Z5" s="9">
        <f ca="1">OFFSET('RES Techs T15'!$F5,0,MATCH(VLOOKUP('RES Veda input'!Z$3,'RES Assumptions T15'!$V$3:$W$35,2,FALSE),'RES Techs T15'!$G$3:$U$3,0))</f>
        <v>3.1</v>
      </c>
      <c r="AA5" s="9">
        <f ca="1">OFFSET('RES Techs T15'!$F5,0,MATCH(VLOOKUP('RES Veda input'!AA$3,'RES Assumptions T15'!$V$3:$W$35,2,FALSE),'RES Techs T15'!$G$3:$U$3,0))</f>
        <v>3.1</v>
      </c>
      <c r="AB5" s="9">
        <f ca="1">OFFSET('RES Techs T15'!$F5,0,MATCH(VLOOKUP('RES Veda input'!AB$3,'RES Assumptions T15'!$V$3:$W$35,2,FALSE),'RES Techs T15'!$G$3:$U$3,0))</f>
        <v>3.1</v>
      </c>
      <c r="AC5" s="9">
        <f ca="1">OFFSET('RES Techs T15'!$F5,0,MATCH(VLOOKUP('RES Veda input'!AC$3,'RES Assumptions T15'!$V$3:$W$35,2,FALSE),'RES Techs T15'!$G$3:$U$3,0))</f>
        <v>3.1</v>
      </c>
      <c r="AD5" s="9">
        <f ca="1">OFFSET('RES Techs T15'!$F5,0,MATCH(VLOOKUP('RES Veda input'!AD$3,'RES Assumptions T15'!$V$3:$W$35,2,FALSE),'RES Techs T15'!$G$3:$U$3,0))</f>
        <v>3.1</v>
      </c>
      <c r="AE5" s="9">
        <f ca="1">OFFSET('RES Techs T15'!$F5,0,MATCH(VLOOKUP('RES Veda input'!AE$3,'RES Assumptions T15'!$V$3:$W$35,2,FALSE),'RES Techs T15'!$G$3:$U$3,0))</f>
        <v>3.1</v>
      </c>
      <c r="AF5" s="9">
        <f ca="1">OFFSET('RES Techs T15'!$F5,0,MATCH(VLOOKUP('RES Veda input'!AF$3,'RES Assumptions T15'!$V$3:$W$35,2,FALSE),'RES Techs T15'!$G$3:$U$3,0))</f>
        <v>3.1</v>
      </c>
      <c r="AG5" s="9">
        <f ca="1">OFFSET('RES Techs T15'!$F5,0,MATCH(VLOOKUP('RES Veda input'!AG$3,'RES Assumptions T15'!$V$3:$W$35,2,FALSE),'RES Techs T15'!$G$3:$U$3,0))</f>
        <v>3.1</v>
      </c>
      <c r="AH5" s="9">
        <f ca="1">OFFSET('RES Techs T15'!$F5,0,MATCH(VLOOKUP('RES Veda input'!AH$3,'RES Assumptions T15'!$V$3:$W$35,2,FALSE),'RES Techs T15'!$G$3:$U$3,0))</f>
        <v>3.1</v>
      </c>
      <c r="AI5" s="9">
        <f ca="1">OFFSET('RES Techs T15'!$F5,0,MATCH(VLOOKUP('RES Veda input'!AI$3,'RES Assumptions T15'!$V$3:$W$35,2,FALSE),'RES Techs T15'!$G$3:$U$3,0))</f>
        <v>3.1</v>
      </c>
      <c r="AJ5" s="9">
        <f ca="1">OFFSET('RES Techs T15'!$F5,0,MATCH(VLOOKUP('RES Veda input'!AJ$3,'RES Assumptions T15'!$V$3:$W$35,2,FALSE),'RES Techs T15'!$G$3:$U$3,0))</f>
        <v>3.1</v>
      </c>
      <c r="AL5" s="8" t="str">
        <f t="shared" ref="AL5:AL61" si="60">$D5</f>
        <v>RSCEHP000</v>
      </c>
      <c r="AM5" s="9">
        <f ca="1">OFFSET('RES Techs T15'!$W5,0,MATCH(VLOOKUP('RES Veda input'!AM$3,'RES Assumptions T15'!$V$3:$W$35,2,FALSE),'RES Techs T15'!$G$3:$U$3,0))</f>
        <v>0.16</v>
      </c>
      <c r="AN5" s="9">
        <f ca="1">OFFSET('RES Techs T15'!$W5,0,MATCH(VLOOKUP('RES Veda input'!AN$3,'RES Assumptions T15'!$V$3:$W$35,2,FALSE),'RES Techs T15'!$G$3:$U$3,0))</f>
        <v>0.16</v>
      </c>
      <c r="AO5" s="9">
        <f ca="1">OFFSET('RES Techs T15'!$W5,0,MATCH(VLOOKUP('RES Veda input'!AO$3,'RES Assumptions T15'!$V$3:$W$35,2,FALSE),'RES Techs T15'!$G$3:$U$3,0))</f>
        <v>0.13</v>
      </c>
      <c r="AP5" s="9">
        <f ca="1">OFFSET('RES Techs T15'!$W5,0,MATCH(VLOOKUP('RES Veda input'!AP$3,'RES Assumptions T15'!$V$3:$W$35,2,FALSE),'RES Techs T15'!$G$3:$U$3,0))</f>
        <v>0.1</v>
      </c>
      <c r="AQ5" s="9">
        <f ca="1">OFFSET('RES Techs T15'!$W5,0,MATCH(VLOOKUP('RES Veda input'!AQ$3,'RES Assumptions T15'!$V$3:$W$35,2,FALSE),'RES Techs T15'!$G$3:$U$3,0))</f>
        <v>0.13</v>
      </c>
      <c r="AR5" s="9">
        <f ca="1">OFFSET('RES Techs T15'!$W5,0,MATCH(VLOOKUP('RES Veda input'!AR$3,'RES Assumptions T15'!$V$3:$W$35,2,FALSE),'RES Techs T15'!$G$3:$U$3,0))</f>
        <v>0.15</v>
      </c>
      <c r="AS5" s="9">
        <f ca="1">OFFSET('RES Techs T15'!$W5,0,MATCH(VLOOKUP('RES Veda input'!AS$3,'RES Assumptions T15'!$V$3:$W$35,2,FALSE),'RES Techs T15'!$G$3:$U$3,0))</f>
        <v>0.05</v>
      </c>
      <c r="AT5" s="9">
        <f ca="1">OFFSET('RES Techs T15'!$W5,0,MATCH(VLOOKUP('RES Veda input'!AT$3,'RES Assumptions T15'!$V$3:$W$35,2,FALSE),'RES Techs T15'!$G$3:$U$3,0))</f>
        <v>0.13</v>
      </c>
      <c r="AU5" s="9">
        <f ca="1">OFFSET('RES Techs T15'!$W5,0,MATCH(VLOOKUP('RES Veda input'!AU$3,'RES Assumptions T15'!$V$3:$W$35,2,FALSE),'RES Techs T15'!$G$3:$U$3,0))</f>
        <v>0.05</v>
      </c>
      <c r="AV5" s="9">
        <f ca="1">OFFSET('RES Techs T15'!$W5,0,MATCH(VLOOKUP('RES Veda input'!AV$3,'RES Assumptions T15'!$V$3:$W$35,2,FALSE),'RES Techs T15'!$G$3:$U$3,0))</f>
        <v>0.13</v>
      </c>
      <c r="AW5" s="9">
        <f ca="1">OFFSET('RES Techs T15'!$W5,0,MATCH(VLOOKUP('RES Veda input'!AW$3,'RES Assumptions T15'!$V$3:$W$35,2,FALSE),'RES Techs T15'!$G$3:$U$3,0))</f>
        <v>0.13</v>
      </c>
      <c r="AX5" s="9">
        <f ca="1">OFFSET('RES Techs T15'!$W5,0,MATCH(VLOOKUP('RES Veda input'!AX$3,'RES Assumptions T15'!$V$3:$W$35,2,FALSE),'RES Techs T15'!$G$3:$U$3,0))</f>
        <v>0.1</v>
      </c>
      <c r="AY5" s="9">
        <f ca="1">OFFSET('RES Techs T15'!$W5,0,MATCH(VLOOKUP('RES Veda input'!AY$3,'RES Assumptions T15'!$V$3:$W$35,2,FALSE),'RES Techs T15'!$G$3:$U$3,0))</f>
        <v>0.13</v>
      </c>
      <c r="AZ5" s="9">
        <f ca="1">OFFSET('RES Techs T15'!$W5,0,MATCH(VLOOKUP('RES Veda input'!AZ$3,'RES Assumptions T15'!$V$3:$W$35,2,FALSE),'RES Techs T15'!$G$3:$U$3,0))</f>
        <v>0.13</v>
      </c>
      <c r="BA5" s="9">
        <f ca="1">OFFSET('RES Techs T15'!$W5,0,MATCH(VLOOKUP('RES Veda input'!BA$3,'RES Assumptions T15'!$V$3:$W$35,2,FALSE),'RES Techs T15'!$G$3:$U$3,0))</f>
        <v>0.1</v>
      </c>
      <c r="BB5" s="9">
        <f ca="1">OFFSET('RES Techs T15'!$W5,0,MATCH(VLOOKUP('RES Veda input'!BB$3,'RES Assumptions T15'!$V$3:$W$35,2,FALSE),'RES Techs T15'!$G$3:$U$3,0))</f>
        <v>0.13</v>
      </c>
      <c r="BC5" s="9">
        <f ca="1">OFFSET('RES Techs T15'!$W5,0,MATCH(VLOOKUP('RES Veda input'!BC$3,'RES Assumptions T15'!$V$3:$W$35,2,FALSE),'RES Techs T15'!$G$3:$U$3,0))</f>
        <v>0.13</v>
      </c>
      <c r="BD5" s="9">
        <f ca="1">OFFSET('RES Techs T15'!$W5,0,MATCH(VLOOKUP('RES Veda input'!BD$3,'RES Assumptions T15'!$V$3:$W$35,2,FALSE),'RES Techs T15'!$G$3:$U$3,0))</f>
        <v>0.13</v>
      </c>
      <c r="BE5" s="9">
        <f ca="1">OFFSET('RES Techs T15'!$W5,0,MATCH(VLOOKUP('RES Veda input'!BE$3,'RES Assumptions T15'!$V$3:$W$35,2,FALSE),'RES Techs T15'!$G$3:$U$3,0))</f>
        <v>0.13</v>
      </c>
      <c r="BF5" s="9">
        <f ca="1">OFFSET('RES Techs T15'!$W5,0,MATCH(VLOOKUP('RES Veda input'!BF$3,'RES Assumptions T15'!$V$3:$W$35,2,FALSE),'RES Techs T15'!$G$3:$U$3,0))</f>
        <v>0.13</v>
      </c>
      <c r="BG5" s="9">
        <f ca="1">OFFSET('RES Techs T15'!$W5,0,MATCH(VLOOKUP('RES Veda input'!BG$3,'RES Assumptions T15'!$V$3:$W$35,2,FALSE),'RES Techs T15'!$G$3:$U$3,0))</f>
        <v>0.13</v>
      </c>
      <c r="BH5" s="9">
        <f ca="1">OFFSET('RES Techs T15'!$W5,0,MATCH(VLOOKUP('RES Veda input'!BH$3,'RES Assumptions T15'!$V$3:$W$35,2,FALSE),'RES Techs T15'!$G$3:$U$3,0))</f>
        <v>0.13</v>
      </c>
      <c r="BI5" s="9">
        <f ca="1">OFFSET('RES Techs T15'!$W5,0,MATCH(VLOOKUP('RES Veda input'!BI$3,'RES Assumptions T15'!$V$3:$W$35,2,FALSE),'RES Techs T15'!$G$3:$U$3,0))</f>
        <v>0.13</v>
      </c>
      <c r="BJ5" s="9">
        <f ca="1">OFFSET('RES Techs T15'!$W5,0,MATCH(VLOOKUP('RES Veda input'!BJ$3,'RES Assumptions T15'!$V$3:$W$35,2,FALSE),'RES Techs T15'!$G$3:$U$3,0))</f>
        <v>0.13</v>
      </c>
      <c r="BK5" s="9">
        <f ca="1">OFFSET('RES Techs T15'!$W5,0,MATCH(VLOOKUP('RES Veda input'!BK$3,'RES Assumptions T15'!$V$3:$W$35,2,FALSE),'RES Techs T15'!$G$3:$U$3,0))</f>
        <v>0.1</v>
      </c>
      <c r="BL5" s="9">
        <f ca="1">OFFSET('RES Techs T15'!$W5,0,MATCH(VLOOKUP('RES Veda input'!BL$3,'RES Assumptions T15'!$V$3:$W$35,2,FALSE),'RES Techs T15'!$G$3:$U$3,0))</f>
        <v>0.13</v>
      </c>
      <c r="BM5" s="9">
        <f ca="1">OFFSET('RES Techs T15'!$W5,0,MATCH(VLOOKUP('RES Veda input'!BM$3,'RES Assumptions T15'!$V$3:$W$35,2,FALSE),'RES Techs T15'!$G$3:$U$3,0))</f>
        <v>0.16</v>
      </c>
      <c r="BN5" s="9">
        <f ca="1">OFFSET('RES Techs T15'!$W5,0,MATCH(VLOOKUP('RES Veda input'!BN$3,'RES Assumptions T15'!$V$3:$W$35,2,FALSE),'RES Techs T15'!$G$3:$U$3,0))</f>
        <v>0.13</v>
      </c>
      <c r="BO5" s="9">
        <f ca="1">OFFSET('RES Techs T15'!$W5,0,MATCH(VLOOKUP('RES Veda input'!BO$3,'RES Assumptions T15'!$V$3:$W$35,2,FALSE),'RES Techs T15'!$G$3:$U$3,0))</f>
        <v>0.13</v>
      </c>
      <c r="BP5" s="9">
        <f ca="1">OFFSET('RES Techs T15'!$W5,0,MATCH(VLOOKUP('RES Veda input'!BP$3,'RES Assumptions T15'!$V$3:$W$35,2,FALSE),'RES Techs T15'!$G$3:$U$3,0))</f>
        <v>0.13</v>
      </c>
      <c r="BR5" s="8" t="str">
        <f t="shared" ref="BR5:BR61" si="61">$D5</f>
        <v>RSCEHP000</v>
      </c>
      <c r="BS5" s="9">
        <f t="shared" ref="BS5:BS61" ca="1" si="62">MIN(BT5:CJ5)</f>
        <v>8.4</v>
      </c>
      <c r="BT5" s="9" t="str">
        <f ca="1">IF(OFFSET('RES Techs T15'!$AO5,0,MATCH(VLOOKUP('RES Veda input'!BT$3,'RES Assumptions T15'!$V$3:$W$35,2,FALSE),'RES Techs T15'!$G$3:$U$3,0))=0,"",OFFSET('RES Techs T15'!$AO5,0,MATCH(VLOOKUP('RES Veda input'!BT$3,'RES Assumptions T15'!$V$3:$W$35,2,FALSE),'RES Techs T15'!$G$3:$U$3,0)))</f>
        <v/>
      </c>
      <c r="BU5" s="9" t="str">
        <f ca="1">IF(OFFSET('RES Techs T15'!$AO5,0,MATCH(VLOOKUP('RES Veda input'!BU$3,'RES Assumptions T15'!$V$3:$W$35,2,FALSE),'RES Techs T15'!$G$3:$U$3,0))=0,"",OFFSET('RES Techs T15'!$AO5,0,MATCH(VLOOKUP('RES Veda input'!BU$3,'RES Assumptions T15'!$V$3:$W$35,2,FALSE),'RES Techs T15'!$G$3:$U$3,0)))</f>
        <v/>
      </c>
      <c r="BV5" s="9">
        <f ca="1">IF(OFFSET('RES Techs T15'!$AO5,0,MATCH(VLOOKUP('RES Veda input'!BV$3,'RES Assumptions T15'!$V$3:$W$35,2,FALSE),'RES Techs T15'!$G$3:$U$3,0))=0,"",OFFSET('RES Techs T15'!$AO5,0,MATCH(VLOOKUP('RES Veda input'!BV$3,'RES Assumptions T15'!$V$3:$W$35,2,FALSE),'RES Techs T15'!$G$3:$U$3,0)))</f>
        <v>9.8000000000000007</v>
      </c>
      <c r="BW5" s="9" t="str">
        <f ca="1">IF(OFFSET('RES Techs T15'!$AO5,0,MATCH(VLOOKUP('RES Veda input'!BW$3,'RES Assumptions T15'!$V$3:$W$35,2,FALSE),'RES Techs T15'!$G$3:$U$3,0))=0,"",OFFSET('RES Techs T15'!$AO5,0,MATCH(VLOOKUP('RES Veda input'!BW$3,'RES Assumptions T15'!$V$3:$W$35,2,FALSE),'RES Techs T15'!$G$3:$U$3,0)))</f>
        <v/>
      </c>
      <c r="BX5" s="9">
        <f ca="1">IF(OFFSET('RES Techs T15'!$AO5,0,MATCH(VLOOKUP('RES Veda input'!BX$3,'RES Assumptions T15'!$V$3:$W$35,2,FALSE),'RES Techs T15'!$G$3:$U$3,0))=0,"",OFFSET('RES Techs T15'!$AO5,0,MATCH(VLOOKUP('RES Veda input'!BX$3,'RES Assumptions T15'!$V$3:$W$35,2,FALSE),'RES Techs T15'!$G$3:$U$3,0)))</f>
        <v>14</v>
      </c>
      <c r="BY5" s="9">
        <f ca="1">IF(OFFSET('RES Techs T15'!$AO5,0,MATCH(VLOOKUP('RES Veda input'!BY$3,'RES Assumptions T15'!$V$3:$W$35,2,FALSE),'RES Techs T15'!$G$3:$U$3,0))=0,"",OFFSET('RES Techs T15'!$AO5,0,MATCH(VLOOKUP('RES Veda input'!BY$3,'RES Assumptions T15'!$V$3:$W$35,2,FALSE),'RES Techs T15'!$G$3:$U$3,0)))</f>
        <v>8.4</v>
      </c>
      <c r="BZ5" s="9" t="str">
        <f ca="1">IF(OFFSET('RES Techs T15'!$AO5,0,MATCH(VLOOKUP('RES Veda input'!BZ$3,'RES Assumptions T15'!$V$3:$W$35,2,FALSE),'RES Techs T15'!$G$3:$U$3,0))=0,"",OFFSET('RES Techs T15'!$AO5,0,MATCH(VLOOKUP('RES Veda input'!BZ$3,'RES Assumptions T15'!$V$3:$W$35,2,FALSE),'RES Techs T15'!$G$3:$U$3,0)))</f>
        <v/>
      </c>
      <c r="CA5" s="9">
        <f ca="1">IF(OFFSET('RES Techs T15'!$AO5,0,MATCH(VLOOKUP('RES Veda input'!CA$3,'RES Assumptions T15'!$V$3:$W$35,2,FALSE),'RES Techs T15'!$G$3:$U$3,0))=0,"",OFFSET('RES Techs T15'!$AO5,0,MATCH(VLOOKUP('RES Veda input'!CA$3,'RES Assumptions T15'!$V$3:$W$35,2,FALSE),'RES Techs T15'!$G$3:$U$3,0)))</f>
        <v>9.8000000000000007</v>
      </c>
      <c r="CB5" s="9" t="str">
        <f ca="1">IF(OFFSET('RES Techs T15'!$AO5,0,MATCH(VLOOKUP('RES Veda input'!CB$3,'RES Assumptions T15'!$V$3:$W$35,2,FALSE),'RES Techs T15'!$G$3:$U$3,0))=0,"",OFFSET('RES Techs T15'!$AO5,0,MATCH(VLOOKUP('RES Veda input'!CB$3,'RES Assumptions T15'!$V$3:$W$35,2,FALSE),'RES Techs T15'!$G$3:$U$3,0)))</f>
        <v/>
      </c>
      <c r="CC5" s="9">
        <f ca="1">IF(OFFSET('RES Techs T15'!$AO5,0,MATCH(VLOOKUP('RES Veda input'!CC$3,'RES Assumptions T15'!$V$3:$W$35,2,FALSE),'RES Techs T15'!$G$3:$U$3,0))=0,"",OFFSET('RES Techs T15'!$AO5,0,MATCH(VLOOKUP('RES Veda input'!CC$3,'RES Assumptions T15'!$V$3:$W$35,2,FALSE),'RES Techs T15'!$G$3:$U$3,0)))</f>
        <v>8.4</v>
      </c>
      <c r="CD5" s="9" t="str">
        <f ca="1">IF(OFFSET('RES Techs T15'!$AO5,0,MATCH(VLOOKUP('RES Veda input'!CD$3,'RES Assumptions T15'!$V$3:$W$35,2,FALSE),'RES Techs T15'!$G$3:$U$3,0))=0,"",OFFSET('RES Techs T15'!$AO5,0,MATCH(VLOOKUP('RES Veda input'!CD$3,'RES Assumptions T15'!$V$3:$W$35,2,FALSE),'RES Techs T15'!$G$3:$U$3,0)))</f>
        <v/>
      </c>
      <c r="CE5" s="9" t="str">
        <f ca="1">IF(OFFSET('RES Techs T15'!$AO5,0,MATCH(VLOOKUP('RES Veda input'!CE$3,'RES Assumptions T15'!$V$3:$W$35,2,FALSE),'RES Techs T15'!$G$3:$U$3,0))=0,"",OFFSET('RES Techs T15'!$AO5,0,MATCH(VLOOKUP('RES Veda input'!CE$3,'RES Assumptions T15'!$V$3:$W$35,2,FALSE),'RES Techs T15'!$G$3:$U$3,0)))</f>
        <v/>
      </c>
      <c r="CF5" s="9" t="str">
        <f ca="1">IF(OFFSET('RES Techs T15'!$AO5,0,MATCH(VLOOKUP('RES Veda input'!CF$3,'RES Assumptions T15'!$V$3:$W$35,2,FALSE),'RES Techs T15'!$G$3:$U$3,0))=0,"",OFFSET('RES Techs T15'!$AO5,0,MATCH(VLOOKUP('RES Veda input'!CF$3,'RES Assumptions T15'!$V$3:$W$35,2,FALSE),'RES Techs T15'!$G$3:$U$3,0)))</f>
        <v/>
      </c>
      <c r="CG5" s="9" t="str">
        <f ca="1">IF(OFFSET('RES Techs T15'!$AO5,0,MATCH(VLOOKUP('RES Veda input'!CG$3,'RES Assumptions T15'!$V$3:$W$35,2,FALSE),'RES Techs T15'!$G$3:$U$3,0))=0,"",OFFSET('RES Techs T15'!$AO5,0,MATCH(VLOOKUP('RES Veda input'!CG$3,'RES Assumptions T15'!$V$3:$W$35,2,FALSE),'RES Techs T15'!$G$3:$U$3,0)))</f>
        <v/>
      </c>
      <c r="CH5" s="9" t="str">
        <f ca="1">IF(OFFSET('RES Techs T15'!$AO5,0,MATCH(VLOOKUP('RES Veda input'!CH$3,'RES Assumptions T15'!$V$3:$W$35,2,FALSE),'RES Techs T15'!$G$3:$U$3,0))=0,"",OFFSET('RES Techs T15'!$AO5,0,MATCH(VLOOKUP('RES Veda input'!CH$3,'RES Assumptions T15'!$V$3:$W$35,2,FALSE),'RES Techs T15'!$G$3:$U$3,0)))</f>
        <v/>
      </c>
      <c r="CI5" s="9" t="str">
        <f ca="1">IF(OFFSET('RES Techs T15'!$AO5,0,MATCH(VLOOKUP('RES Veda input'!CI$3,'RES Assumptions T15'!$V$3:$W$35,2,FALSE),'RES Techs T15'!$G$3:$U$3,0))=0,"",OFFSET('RES Techs T15'!$AO5,0,MATCH(VLOOKUP('RES Veda input'!CI$3,'RES Assumptions T15'!$V$3:$W$35,2,FALSE),'RES Techs T15'!$G$3:$U$3,0)))</f>
        <v/>
      </c>
      <c r="CJ5" s="9">
        <f ca="1">IF(OFFSET('RES Techs T15'!$AO5,0,MATCH(VLOOKUP('RES Veda input'!CJ$3,'RES Assumptions T15'!$V$3:$W$35,2,FALSE),'RES Techs T15'!$G$3:$U$3,0))=0,"",OFFSET('RES Techs T15'!$AO5,0,MATCH(VLOOKUP('RES Veda input'!CJ$3,'RES Assumptions T15'!$V$3:$W$35,2,FALSE),'RES Techs T15'!$G$3:$U$3,0)))</f>
        <v>9.8000000000000007</v>
      </c>
      <c r="CK5" s="9" t="str">
        <f ca="1">IF(OFFSET('RES Techs T15'!$AO5,0,MATCH(VLOOKUP('RES Veda input'!CK$3,'RES Assumptions T15'!$V$3:$W$35,2,FALSE),'RES Techs T15'!$G$3:$U$3,0))=0,"",OFFSET('RES Techs T15'!$AO5,0,MATCH(VLOOKUP('RES Veda input'!CK$3,'RES Assumptions T15'!$V$3:$W$35,2,FALSE),'RES Techs T15'!$G$3:$U$3,0)))</f>
        <v/>
      </c>
      <c r="CL5" s="9" t="str">
        <f ca="1">IF(OFFSET('RES Techs T15'!$AO5,0,MATCH(VLOOKUP('RES Veda input'!CL$3,'RES Assumptions T15'!$V$3:$W$35,2,FALSE),'RES Techs T15'!$G$3:$U$3,0))=0,"",OFFSET('RES Techs T15'!$AO5,0,MATCH(VLOOKUP('RES Veda input'!CL$3,'RES Assumptions T15'!$V$3:$W$35,2,FALSE),'RES Techs T15'!$G$3:$U$3,0)))</f>
        <v/>
      </c>
      <c r="CM5" s="9">
        <f ca="1">IF(OFFSET('RES Techs T15'!$AO5,0,MATCH(VLOOKUP('RES Veda input'!CM$3,'RES Assumptions T15'!$V$3:$W$35,2,FALSE),'RES Techs T15'!$G$3:$U$3,0))=0,"",OFFSET('RES Techs T15'!$AO5,0,MATCH(VLOOKUP('RES Veda input'!CM$3,'RES Assumptions T15'!$V$3:$W$35,2,FALSE),'RES Techs T15'!$G$3:$U$3,0)))</f>
        <v>8.4</v>
      </c>
      <c r="CN5" s="9">
        <f ca="1">IF(OFFSET('RES Techs T15'!$AO5,0,MATCH(VLOOKUP('RES Veda input'!CN$3,'RES Assumptions T15'!$V$3:$W$35,2,FALSE),'RES Techs T15'!$G$3:$U$3,0))=0,"",OFFSET('RES Techs T15'!$AO5,0,MATCH(VLOOKUP('RES Veda input'!CN$3,'RES Assumptions T15'!$V$3:$W$35,2,FALSE),'RES Techs T15'!$G$3:$U$3,0)))</f>
        <v>9.8000000000000007</v>
      </c>
      <c r="CO5" s="9" t="str">
        <f ca="1">IF(OFFSET('RES Techs T15'!$AO5,0,MATCH(VLOOKUP('RES Veda input'!CO$3,'RES Assumptions T15'!$V$3:$W$35,2,FALSE),'RES Techs T15'!$G$3:$U$3,0))=0,"",OFFSET('RES Techs T15'!$AO5,0,MATCH(VLOOKUP('RES Veda input'!CO$3,'RES Assumptions T15'!$V$3:$W$35,2,FALSE),'RES Techs T15'!$G$3:$U$3,0)))</f>
        <v/>
      </c>
      <c r="CP5" s="9">
        <f ca="1">IF(OFFSET('RES Techs T15'!$AO5,0,MATCH(VLOOKUP('RES Veda input'!CP$3,'RES Assumptions T15'!$V$3:$W$35,2,FALSE),'RES Techs T15'!$G$3:$U$3,0))=0,"",OFFSET('RES Techs T15'!$AO5,0,MATCH(VLOOKUP('RES Veda input'!CP$3,'RES Assumptions T15'!$V$3:$W$35,2,FALSE),'RES Techs T15'!$G$3:$U$3,0)))</f>
        <v>9.8000000000000007</v>
      </c>
      <c r="CQ5" s="9" t="str">
        <f ca="1">IF(OFFSET('RES Techs T15'!$AO5,0,MATCH(VLOOKUP('RES Veda input'!CQ$3,'RES Assumptions T15'!$V$3:$W$35,2,FALSE),'RES Techs T15'!$G$3:$U$3,0))=0,"",OFFSET('RES Techs T15'!$AO5,0,MATCH(VLOOKUP('RES Veda input'!CQ$3,'RES Assumptions T15'!$V$3:$W$35,2,FALSE),'RES Techs T15'!$G$3:$U$3,0)))</f>
        <v/>
      </c>
      <c r="CR5" s="9" t="str">
        <f ca="1">IF(OFFSET('RES Techs T15'!$AO5,0,MATCH(VLOOKUP('RES Veda input'!CR$3,'RES Assumptions T15'!$V$3:$W$35,2,FALSE),'RES Techs T15'!$G$3:$U$3,0))=0,"",OFFSET('RES Techs T15'!$AO5,0,MATCH(VLOOKUP('RES Veda input'!CR$3,'RES Assumptions T15'!$V$3:$W$35,2,FALSE),'RES Techs T15'!$G$3:$U$3,0)))</f>
        <v/>
      </c>
      <c r="CS5" s="9">
        <f ca="1">IF(OFFSET('RES Techs T15'!$AO5,0,MATCH(VLOOKUP('RES Veda input'!CS$3,'RES Assumptions T15'!$V$3:$W$35,2,FALSE),'RES Techs T15'!$G$3:$U$3,0))=0,"",OFFSET('RES Techs T15'!$AO5,0,MATCH(VLOOKUP('RES Veda input'!CS$3,'RES Assumptions T15'!$V$3:$W$35,2,FALSE),'RES Techs T15'!$G$3:$U$3,0)))</f>
        <v>9.8000000000000007</v>
      </c>
      <c r="CT5" s="9" t="str">
        <f ca="1">IF(OFFSET('RES Techs T15'!$AO5,0,MATCH(VLOOKUP('RES Veda input'!CT$3,'RES Assumptions T15'!$V$3:$W$35,2,FALSE),'RES Techs T15'!$G$3:$U$3,0))=0,"",OFFSET('RES Techs T15'!$AO5,0,MATCH(VLOOKUP('RES Veda input'!CT$3,'RES Assumptions T15'!$V$3:$W$35,2,FALSE),'RES Techs T15'!$G$3:$U$3,0)))</f>
        <v/>
      </c>
      <c r="CU5" s="9" t="str">
        <f ca="1">IF(OFFSET('RES Techs T15'!$AO5,0,MATCH(VLOOKUP('RES Veda input'!CU$3,'RES Assumptions T15'!$V$3:$W$35,2,FALSE),'RES Techs T15'!$G$3:$U$3,0))=0,"",OFFSET('RES Techs T15'!$AO5,0,MATCH(VLOOKUP('RES Veda input'!CU$3,'RES Assumptions T15'!$V$3:$W$35,2,FALSE),'RES Techs T15'!$G$3:$U$3,0)))</f>
        <v/>
      </c>
      <c r="CV5" s="9">
        <f ca="1">IF(OFFSET('RES Techs T15'!$AO5,0,MATCH(VLOOKUP('RES Veda input'!CV$3,'RES Assumptions T15'!$V$3:$W$35,2,FALSE),'RES Techs T15'!$G$3:$U$3,0))=0,"",OFFSET('RES Techs T15'!$AO5,0,MATCH(VLOOKUP('RES Veda input'!CV$3,'RES Assumptions T15'!$V$3:$W$35,2,FALSE),'RES Techs T15'!$G$3:$U$3,0)))</f>
        <v>2</v>
      </c>
      <c r="CW5" s="9">
        <f ca="1">IF(OFFSET('RES Techs T15'!$AO5,0,MATCH(VLOOKUP('RES Veda input'!CW$3,'RES Assumptions T15'!$V$3:$W$35,2,FALSE),'RES Techs T15'!$G$3:$U$3,0))=0,"",OFFSET('RES Techs T15'!$AO5,0,MATCH(VLOOKUP('RES Veda input'!CW$3,'RES Assumptions T15'!$V$3:$W$35,2,FALSE),'RES Techs T15'!$G$3:$U$3,0)))</f>
        <v>2</v>
      </c>
      <c r="CY5" s="8" t="str">
        <f t="shared" ref="CY5:CY61" si="63">$D5</f>
        <v>RSCEHP000</v>
      </c>
      <c r="CZ5" s="10">
        <f ca="1">ROUND('RES Assumptions'!E88*'RES Veda input'!G5/'RES Veda input'!AM5,3)</f>
        <v>66.552000000000007</v>
      </c>
      <c r="DA5" s="10">
        <f ca="1">ROUND('RES Assumptions'!F88*'RES Veda input'!H5/'RES Veda input'!AN5,3)</f>
        <v>44.756999999999998</v>
      </c>
      <c r="DB5" s="10">
        <f ca="1">ROUND('RES Assumptions'!G88*'RES Veda input'!I5/'RES Veda input'!AO5,3)</f>
        <v>9.5370000000000008</v>
      </c>
      <c r="DC5" s="10">
        <f ca="1">ROUND('RES Assumptions'!H88*'RES Veda input'!J5/'RES Veda input'!AP5,3)</f>
        <v>5.3869999999999996</v>
      </c>
      <c r="DD5" s="10">
        <f ca="1">ROUND('RES Assumptions'!I88*'RES Veda input'!K5/'RES Veda input'!AQ5,3)</f>
        <v>904.88800000000003</v>
      </c>
      <c r="DE5" s="10">
        <f ca="1">ROUND('RES Assumptions'!J88*'RES Veda input'!L5/'RES Veda input'!AR5,3)</f>
        <v>613.17499999999995</v>
      </c>
      <c r="DF5" s="10">
        <f ca="1">ROUND('RES Assumptions'!K88*'RES Veda input'!M5/'RES Veda input'!AS5,3)</f>
        <v>98.009</v>
      </c>
      <c r="DG5" s="10">
        <f ca="1">ROUND('RES Assumptions'!L88*'RES Veda input'!N5/'RES Veda input'!AT5,3)</f>
        <v>23.951000000000001</v>
      </c>
      <c r="DH5" s="10">
        <f ca="1">ROUND('RES Assumptions'!M88*'RES Veda input'!O5/'RES Veda input'!AU5,3)</f>
        <v>101.727</v>
      </c>
      <c r="DI5" s="10">
        <f ca="1">ROUND('RES Assumptions'!N88*'RES Veda input'!P5/'RES Veda input'!AV5,3)</f>
        <v>2249.7049999999999</v>
      </c>
      <c r="DJ5" s="10">
        <f ca="1">ROUND('RES Assumptions'!O88*'RES Veda input'!Q5/'RES Veda input'!AW5,3)</f>
        <v>5.4989999999999997</v>
      </c>
      <c r="DK5" s="10">
        <f ca="1">ROUND('RES Assumptions'!P88*'RES Veda input'!R5/'RES Veda input'!AX5,3)</f>
        <v>5.2510000000000003</v>
      </c>
      <c r="DL5" s="10">
        <f ca="1">ROUND('RES Assumptions'!Q88*'RES Veda input'!S5/'RES Veda input'!AY5,3)</f>
        <v>3.6459999999999999</v>
      </c>
      <c r="DM5" s="10">
        <f ca="1">ROUND('RES Assumptions'!R88*'RES Veda input'!T5/'RES Veda input'!AZ5,3)</f>
        <v>6.141</v>
      </c>
      <c r="DN5" s="10">
        <f ca="1">ROUND('RES Assumptions'!S88*'RES Veda input'!U5/'RES Veda input'!BA5,3)</f>
        <v>3.153</v>
      </c>
      <c r="DO5" s="10">
        <f ca="1">ROUND('RES Assumptions'!T88*'RES Veda input'!V5/'RES Veda input'!BB5,3)</f>
        <v>6.1849999999999996</v>
      </c>
      <c r="DP5" s="10">
        <f ca="1">ROUND('RES Assumptions'!U88*'RES Veda input'!W5/'RES Veda input'!BC5,3)</f>
        <v>207.19</v>
      </c>
      <c r="DQ5" s="10">
        <f ca="1">ROUND('RES Assumptions'!V88*'RES Veda input'!X5/'RES Veda input'!BD5,3)</f>
        <v>11.459</v>
      </c>
      <c r="DR5" s="10">
        <f ca="1">ROUND('RES Assumptions'!W88*'RES Veda input'!Y5/'RES Veda input'!BE5,3)</f>
        <v>9.0790000000000006</v>
      </c>
      <c r="DS5" s="10">
        <f ca="1">ROUND('RES Assumptions'!X88*'RES Veda input'!Z5/'RES Veda input'!BF5,3)</f>
        <v>1147.367</v>
      </c>
      <c r="DT5" s="10">
        <f ca="1">ROUND('RES Assumptions'!Y88*'RES Veda input'!AA5/'RES Veda input'!BG5,3)</f>
        <v>19.134</v>
      </c>
      <c r="DU5" s="10">
        <f ca="1">ROUND('RES Assumptions'!Z88*'RES Veda input'!AB5/'RES Veda input'!BH5,3)</f>
        <v>18.434999999999999</v>
      </c>
      <c r="DV5" s="10">
        <f ca="1">ROUND('RES Assumptions'!AA88*'RES Veda input'!AC5/'RES Veda input'!BI5,3)</f>
        <v>376.95</v>
      </c>
      <c r="DW5" s="10">
        <f ca="1">ROUND('RES Assumptions'!AB88*'RES Veda input'!AD5/'RES Veda input'!BJ5,3)</f>
        <v>2.9380000000000002</v>
      </c>
      <c r="DX5" s="10">
        <f ca="1">ROUND('RES Assumptions'!AC88*'RES Veda input'!AE5/'RES Veda input'!BK5,3)</f>
        <v>15.157</v>
      </c>
      <c r="DY5" s="10">
        <f ca="1">ROUND('RES Assumptions'!AD88*'RES Veda input'!AF5/'RES Veda input'!BL5,3)</f>
        <v>180.98099999999999</v>
      </c>
      <c r="DZ5" s="10">
        <f ca="1">ROUND('RES Assumptions'!AE88*'RES Veda input'!AG5/'RES Veda input'!BM5,3)</f>
        <v>28.367999999999999</v>
      </c>
      <c r="EA5" s="10">
        <f ca="1">ROUND('RES Assumptions'!AF88*'RES Veda input'!AH5/'RES Veda input'!BN5,3)</f>
        <v>7.4489999999999998</v>
      </c>
      <c r="EB5" s="10">
        <f ca="1">ROUND('RES Assumptions'!AG88*'RES Veda input'!AI5/'RES Veda input'!BO5,3)</f>
        <v>2808.422</v>
      </c>
      <c r="EC5" s="10">
        <f ca="1">ROUND('RES Assumptions'!AH88*'RES Veda input'!AJ5/'RES Veda input'!BP5,3)</f>
        <v>0</v>
      </c>
      <c r="ED5">
        <v>15</v>
      </c>
      <c r="EG5" t="s">
        <v>281</v>
      </c>
      <c r="EH5" t="str">
        <f t="shared" ref="EH5:EH61" si="64">CY5</f>
        <v>RSCEHP000</v>
      </c>
      <c r="EJ5" t="s">
        <v>282</v>
      </c>
      <c r="EK5" t="s">
        <v>283</v>
      </c>
    </row>
    <row r="6" spans="1:144" x14ac:dyDescent="0.45">
      <c r="A6" s="37" t="str">
        <f>'RES Assumptions'!B89</f>
        <v>RC</v>
      </c>
      <c r="B6" s="37" t="s">
        <v>121</v>
      </c>
      <c r="D6" s="51" t="s">
        <v>287</v>
      </c>
      <c r="E6" s="8" t="str">
        <f>'RES Assumptions'!A89</f>
        <v>RESGEO</v>
      </c>
      <c r="F6" s="8" t="str">
        <f>VLOOKUP(A6,'RES Assumptions'!$AN$87:$AO$97,2,FALSE)</f>
        <v>RSC</v>
      </c>
      <c r="G6" s="9">
        <f ca="1">OFFSET('RES Techs T15'!$F6,0,MATCH(VLOOKUP('RES Veda input'!G$3,'RES Assumptions T15'!$V$3:$W$35,2,FALSE),'RES Techs T15'!$G$3:$U$3,0))</f>
        <v>0.9</v>
      </c>
      <c r="H6" s="9">
        <f ca="1">OFFSET('RES Techs T15'!$F6,0,MATCH(VLOOKUP('RES Veda input'!H$3,'RES Assumptions T15'!$V$3:$W$35,2,FALSE),'RES Techs T15'!$G$3:$U$3,0))</f>
        <v>0.9</v>
      </c>
      <c r="I6" s="9">
        <f ca="1">OFFSET('RES Techs T15'!$F6,0,MATCH(VLOOKUP('RES Veda input'!I$3,'RES Assumptions T15'!$V$3:$W$35,2,FALSE),'RES Techs T15'!$G$3:$U$3,0))</f>
        <v>0.9</v>
      </c>
      <c r="J6" s="9">
        <f ca="1">OFFSET('RES Techs T15'!$F6,0,MATCH(VLOOKUP('RES Veda input'!J$3,'RES Assumptions T15'!$V$3:$W$35,2,FALSE),'RES Techs T15'!$G$3:$U$3,0))</f>
        <v>0.9</v>
      </c>
      <c r="K6" s="9">
        <f ca="1">OFFSET('RES Techs T15'!$F6,0,MATCH(VLOOKUP('RES Veda input'!K$3,'RES Assumptions T15'!$V$3:$W$35,2,FALSE),'RES Techs T15'!$G$3:$U$3,0))</f>
        <v>0.9</v>
      </c>
      <c r="L6" s="9">
        <f ca="1">OFFSET('RES Techs T15'!$F6,0,MATCH(VLOOKUP('RES Veda input'!L$3,'RES Assumptions T15'!$V$3:$W$35,2,FALSE),'RES Techs T15'!$G$3:$U$3,0))</f>
        <v>0.9</v>
      </c>
      <c r="M6" s="9">
        <f ca="1">OFFSET('RES Techs T15'!$F6,0,MATCH(VLOOKUP('RES Veda input'!M$3,'RES Assumptions T15'!$V$3:$W$35,2,FALSE),'RES Techs T15'!$G$3:$U$3,0))</f>
        <v>0.9</v>
      </c>
      <c r="N6" s="9">
        <f ca="1">OFFSET('RES Techs T15'!$F6,0,MATCH(VLOOKUP('RES Veda input'!N$3,'RES Assumptions T15'!$V$3:$W$35,2,FALSE),'RES Techs T15'!$G$3:$U$3,0))</f>
        <v>0.9</v>
      </c>
      <c r="O6" s="9">
        <f ca="1">OFFSET('RES Techs T15'!$F6,0,MATCH(VLOOKUP('RES Veda input'!O$3,'RES Assumptions T15'!$V$3:$W$35,2,FALSE),'RES Techs T15'!$G$3:$U$3,0))</f>
        <v>0.9</v>
      </c>
      <c r="P6" s="9">
        <f ca="1">OFFSET('RES Techs T15'!$F6,0,MATCH(VLOOKUP('RES Veda input'!P$3,'RES Assumptions T15'!$V$3:$W$35,2,FALSE),'RES Techs T15'!$G$3:$U$3,0))</f>
        <v>0.9</v>
      </c>
      <c r="Q6" s="9">
        <f ca="1">OFFSET('RES Techs T15'!$F6,0,MATCH(VLOOKUP('RES Veda input'!Q$3,'RES Assumptions T15'!$V$3:$W$35,2,FALSE),'RES Techs T15'!$G$3:$U$3,0))</f>
        <v>0.9</v>
      </c>
      <c r="R6" s="9">
        <f ca="1">OFFSET('RES Techs T15'!$F6,0,MATCH(VLOOKUP('RES Veda input'!R$3,'RES Assumptions T15'!$V$3:$W$35,2,FALSE),'RES Techs T15'!$G$3:$U$3,0))</f>
        <v>0.9</v>
      </c>
      <c r="S6" s="9">
        <f ca="1">OFFSET('RES Techs T15'!$F6,0,MATCH(VLOOKUP('RES Veda input'!S$3,'RES Assumptions T15'!$V$3:$W$35,2,FALSE),'RES Techs T15'!$G$3:$U$3,0))</f>
        <v>0.9</v>
      </c>
      <c r="T6" s="9">
        <f ca="1">OFFSET('RES Techs T15'!$F6,0,MATCH(VLOOKUP('RES Veda input'!T$3,'RES Assumptions T15'!$V$3:$W$35,2,FALSE),'RES Techs T15'!$G$3:$U$3,0))</f>
        <v>0.9</v>
      </c>
      <c r="U6" s="9">
        <f ca="1">OFFSET('RES Techs T15'!$F6,0,MATCH(VLOOKUP('RES Veda input'!U$3,'RES Assumptions T15'!$V$3:$W$35,2,FALSE),'RES Techs T15'!$G$3:$U$3,0))</f>
        <v>0.9</v>
      </c>
      <c r="V6" s="9">
        <f ca="1">OFFSET('RES Techs T15'!$F6,0,MATCH(VLOOKUP('RES Veda input'!V$3,'RES Assumptions T15'!$V$3:$W$35,2,FALSE),'RES Techs T15'!$G$3:$U$3,0))</f>
        <v>0.9</v>
      </c>
      <c r="W6" s="9">
        <f ca="1">OFFSET('RES Techs T15'!$F6,0,MATCH(VLOOKUP('RES Veda input'!W$3,'RES Assumptions T15'!$V$3:$W$35,2,FALSE),'RES Techs T15'!$G$3:$U$3,0))</f>
        <v>0.9</v>
      </c>
      <c r="X6" s="9">
        <f ca="1">OFFSET('RES Techs T15'!$F6,0,MATCH(VLOOKUP('RES Veda input'!X$3,'RES Assumptions T15'!$V$3:$W$35,2,FALSE),'RES Techs T15'!$G$3:$U$3,0))</f>
        <v>0.9</v>
      </c>
      <c r="Y6" s="9">
        <f ca="1">OFFSET('RES Techs T15'!$F6,0,MATCH(VLOOKUP('RES Veda input'!Y$3,'RES Assumptions T15'!$V$3:$W$35,2,FALSE),'RES Techs T15'!$G$3:$U$3,0))</f>
        <v>0.9</v>
      </c>
      <c r="Z6" s="9">
        <f ca="1">OFFSET('RES Techs T15'!$F6,0,MATCH(VLOOKUP('RES Veda input'!Z$3,'RES Assumptions T15'!$V$3:$W$35,2,FALSE),'RES Techs T15'!$G$3:$U$3,0))</f>
        <v>0.9</v>
      </c>
      <c r="AA6" s="9">
        <f ca="1">OFFSET('RES Techs T15'!$F6,0,MATCH(VLOOKUP('RES Veda input'!AA$3,'RES Assumptions T15'!$V$3:$W$35,2,FALSE),'RES Techs T15'!$G$3:$U$3,0))</f>
        <v>0.9</v>
      </c>
      <c r="AB6" s="9">
        <f ca="1">OFFSET('RES Techs T15'!$F6,0,MATCH(VLOOKUP('RES Veda input'!AB$3,'RES Assumptions T15'!$V$3:$W$35,2,FALSE),'RES Techs T15'!$G$3:$U$3,0))</f>
        <v>0.9</v>
      </c>
      <c r="AC6" s="9">
        <f ca="1">OFFSET('RES Techs T15'!$F6,0,MATCH(VLOOKUP('RES Veda input'!AC$3,'RES Assumptions T15'!$V$3:$W$35,2,FALSE),'RES Techs T15'!$G$3:$U$3,0))</f>
        <v>0.9</v>
      </c>
      <c r="AD6" s="9">
        <f ca="1">OFFSET('RES Techs T15'!$F6,0,MATCH(VLOOKUP('RES Veda input'!AD$3,'RES Assumptions T15'!$V$3:$W$35,2,FALSE),'RES Techs T15'!$G$3:$U$3,0))</f>
        <v>0.9</v>
      </c>
      <c r="AE6" s="9">
        <f ca="1">OFFSET('RES Techs T15'!$F6,0,MATCH(VLOOKUP('RES Veda input'!AE$3,'RES Assumptions T15'!$V$3:$W$35,2,FALSE),'RES Techs T15'!$G$3:$U$3,0))</f>
        <v>0.9</v>
      </c>
      <c r="AF6" s="9">
        <f ca="1">OFFSET('RES Techs T15'!$F6,0,MATCH(VLOOKUP('RES Veda input'!AF$3,'RES Assumptions T15'!$V$3:$W$35,2,FALSE),'RES Techs T15'!$G$3:$U$3,0))</f>
        <v>0.9</v>
      </c>
      <c r="AG6" s="9">
        <f ca="1">OFFSET('RES Techs T15'!$F6,0,MATCH(VLOOKUP('RES Veda input'!AG$3,'RES Assumptions T15'!$V$3:$W$35,2,FALSE),'RES Techs T15'!$G$3:$U$3,0))</f>
        <v>0.9</v>
      </c>
      <c r="AH6" s="9">
        <f ca="1">OFFSET('RES Techs T15'!$F6,0,MATCH(VLOOKUP('RES Veda input'!AH$3,'RES Assumptions T15'!$V$3:$W$35,2,FALSE),'RES Techs T15'!$G$3:$U$3,0))</f>
        <v>0.9</v>
      </c>
      <c r="AI6" s="9">
        <f ca="1">OFFSET('RES Techs T15'!$F6,0,MATCH(VLOOKUP('RES Veda input'!AI$3,'RES Assumptions T15'!$V$3:$W$35,2,FALSE),'RES Techs T15'!$G$3:$U$3,0))</f>
        <v>0.9</v>
      </c>
      <c r="AJ6" s="9">
        <f ca="1">OFFSET('RES Techs T15'!$F6,0,MATCH(VLOOKUP('RES Veda input'!AJ$3,'RES Assumptions T15'!$V$3:$W$35,2,FALSE),'RES Techs T15'!$G$3:$U$3,0))</f>
        <v>0.9</v>
      </c>
      <c r="AL6" s="8" t="str">
        <f t="shared" si="60"/>
        <v>RSCGEO000</v>
      </c>
      <c r="AM6" s="9">
        <f ca="1">OFFSET('RES Techs T15'!$W6,0,MATCH(VLOOKUP('RES Veda input'!AM$3,'RES Assumptions T15'!$V$3:$W$35,2,FALSE),'RES Techs T15'!$G$3:$U$3,0))</f>
        <v>0.16</v>
      </c>
      <c r="AN6" s="9">
        <f ca="1">OFFSET('RES Techs T15'!$W6,0,MATCH(VLOOKUP('RES Veda input'!AN$3,'RES Assumptions T15'!$V$3:$W$35,2,FALSE),'RES Techs T15'!$G$3:$U$3,0))</f>
        <v>0.16</v>
      </c>
      <c r="AO6" s="9">
        <f ca="1">OFFSET('RES Techs T15'!$W6,0,MATCH(VLOOKUP('RES Veda input'!AO$3,'RES Assumptions T15'!$V$3:$W$35,2,FALSE),'RES Techs T15'!$G$3:$U$3,0))</f>
        <v>0.13</v>
      </c>
      <c r="AP6" s="9">
        <f ca="1">OFFSET('RES Techs T15'!$W6,0,MATCH(VLOOKUP('RES Veda input'!AP$3,'RES Assumptions T15'!$V$3:$W$35,2,FALSE),'RES Techs T15'!$G$3:$U$3,0))</f>
        <v>0.1</v>
      </c>
      <c r="AQ6" s="9">
        <f ca="1">OFFSET('RES Techs T15'!$W6,0,MATCH(VLOOKUP('RES Veda input'!AQ$3,'RES Assumptions T15'!$V$3:$W$35,2,FALSE),'RES Techs T15'!$G$3:$U$3,0))</f>
        <v>0.13</v>
      </c>
      <c r="AR6" s="9">
        <f ca="1">OFFSET('RES Techs T15'!$W6,0,MATCH(VLOOKUP('RES Veda input'!AR$3,'RES Assumptions T15'!$V$3:$W$35,2,FALSE),'RES Techs T15'!$G$3:$U$3,0))</f>
        <v>0.15</v>
      </c>
      <c r="AS6" s="9">
        <f ca="1">OFFSET('RES Techs T15'!$W6,0,MATCH(VLOOKUP('RES Veda input'!AS$3,'RES Assumptions T15'!$V$3:$W$35,2,FALSE),'RES Techs T15'!$G$3:$U$3,0))</f>
        <v>0.05</v>
      </c>
      <c r="AT6" s="9">
        <f ca="1">OFFSET('RES Techs T15'!$W6,0,MATCH(VLOOKUP('RES Veda input'!AT$3,'RES Assumptions T15'!$V$3:$W$35,2,FALSE),'RES Techs T15'!$G$3:$U$3,0))</f>
        <v>0.13</v>
      </c>
      <c r="AU6" s="9">
        <f ca="1">OFFSET('RES Techs T15'!$W6,0,MATCH(VLOOKUP('RES Veda input'!AU$3,'RES Assumptions T15'!$V$3:$W$35,2,FALSE),'RES Techs T15'!$G$3:$U$3,0))</f>
        <v>0.05</v>
      </c>
      <c r="AV6" s="9">
        <f ca="1">OFFSET('RES Techs T15'!$W6,0,MATCH(VLOOKUP('RES Veda input'!AV$3,'RES Assumptions T15'!$V$3:$W$35,2,FALSE),'RES Techs T15'!$G$3:$U$3,0))</f>
        <v>0.13</v>
      </c>
      <c r="AW6" s="9">
        <f ca="1">OFFSET('RES Techs T15'!$W6,0,MATCH(VLOOKUP('RES Veda input'!AW$3,'RES Assumptions T15'!$V$3:$W$35,2,FALSE),'RES Techs T15'!$G$3:$U$3,0))</f>
        <v>0.13</v>
      </c>
      <c r="AX6" s="9">
        <f ca="1">OFFSET('RES Techs T15'!$W6,0,MATCH(VLOOKUP('RES Veda input'!AX$3,'RES Assumptions T15'!$V$3:$W$35,2,FALSE),'RES Techs T15'!$G$3:$U$3,0))</f>
        <v>0.1</v>
      </c>
      <c r="AY6" s="9">
        <f ca="1">OFFSET('RES Techs T15'!$W6,0,MATCH(VLOOKUP('RES Veda input'!AY$3,'RES Assumptions T15'!$V$3:$W$35,2,FALSE),'RES Techs T15'!$G$3:$U$3,0))</f>
        <v>0.13</v>
      </c>
      <c r="AZ6" s="9">
        <f ca="1">OFFSET('RES Techs T15'!$W6,0,MATCH(VLOOKUP('RES Veda input'!AZ$3,'RES Assumptions T15'!$V$3:$W$35,2,FALSE),'RES Techs T15'!$G$3:$U$3,0))</f>
        <v>0.13</v>
      </c>
      <c r="BA6" s="9">
        <f ca="1">OFFSET('RES Techs T15'!$W6,0,MATCH(VLOOKUP('RES Veda input'!BA$3,'RES Assumptions T15'!$V$3:$W$35,2,FALSE),'RES Techs T15'!$G$3:$U$3,0))</f>
        <v>0.1</v>
      </c>
      <c r="BB6" s="9">
        <f ca="1">OFFSET('RES Techs T15'!$W6,0,MATCH(VLOOKUP('RES Veda input'!BB$3,'RES Assumptions T15'!$V$3:$W$35,2,FALSE),'RES Techs T15'!$G$3:$U$3,0))</f>
        <v>0.13</v>
      </c>
      <c r="BC6" s="9">
        <f ca="1">OFFSET('RES Techs T15'!$W6,0,MATCH(VLOOKUP('RES Veda input'!BC$3,'RES Assumptions T15'!$V$3:$W$35,2,FALSE),'RES Techs T15'!$G$3:$U$3,0))</f>
        <v>0.13</v>
      </c>
      <c r="BD6" s="9">
        <f ca="1">OFFSET('RES Techs T15'!$W6,0,MATCH(VLOOKUP('RES Veda input'!BD$3,'RES Assumptions T15'!$V$3:$W$35,2,FALSE),'RES Techs T15'!$G$3:$U$3,0))</f>
        <v>0.13</v>
      </c>
      <c r="BE6" s="9">
        <f ca="1">OFFSET('RES Techs T15'!$W6,0,MATCH(VLOOKUP('RES Veda input'!BE$3,'RES Assumptions T15'!$V$3:$W$35,2,FALSE),'RES Techs T15'!$G$3:$U$3,0))</f>
        <v>0.13</v>
      </c>
      <c r="BF6" s="9">
        <f ca="1">OFFSET('RES Techs T15'!$W6,0,MATCH(VLOOKUP('RES Veda input'!BF$3,'RES Assumptions T15'!$V$3:$W$35,2,FALSE),'RES Techs T15'!$G$3:$U$3,0))</f>
        <v>0.13</v>
      </c>
      <c r="BG6" s="9">
        <f ca="1">OFFSET('RES Techs T15'!$W6,0,MATCH(VLOOKUP('RES Veda input'!BG$3,'RES Assumptions T15'!$V$3:$W$35,2,FALSE),'RES Techs T15'!$G$3:$U$3,0))</f>
        <v>0.13</v>
      </c>
      <c r="BH6" s="9">
        <f ca="1">OFFSET('RES Techs T15'!$W6,0,MATCH(VLOOKUP('RES Veda input'!BH$3,'RES Assumptions T15'!$V$3:$W$35,2,FALSE),'RES Techs T15'!$G$3:$U$3,0))</f>
        <v>0.13</v>
      </c>
      <c r="BI6" s="9">
        <f ca="1">OFFSET('RES Techs T15'!$W6,0,MATCH(VLOOKUP('RES Veda input'!BI$3,'RES Assumptions T15'!$V$3:$W$35,2,FALSE),'RES Techs T15'!$G$3:$U$3,0))</f>
        <v>0.13</v>
      </c>
      <c r="BJ6" s="9">
        <f ca="1">OFFSET('RES Techs T15'!$W6,0,MATCH(VLOOKUP('RES Veda input'!BJ$3,'RES Assumptions T15'!$V$3:$W$35,2,FALSE),'RES Techs T15'!$G$3:$U$3,0))</f>
        <v>0.13</v>
      </c>
      <c r="BK6" s="9">
        <f ca="1">OFFSET('RES Techs T15'!$W6,0,MATCH(VLOOKUP('RES Veda input'!BK$3,'RES Assumptions T15'!$V$3:$W$35,2,FALSE),'RES Techs T15'!$G$3:$U$3,0))</f>
        <v>0.1</v>
      </c>
      <c r="BL6" s="9">
        <f ca="1">OFFSET('RES Techs T15'!$W6,0,MATCH(VLOOKUP('RES Veda input'!BL$3,'RES Assumptions T15'!$V$3:$W$35,2,FALSE),'RES Techs T15'!$G$3:$U$3,0))</f>
        <v>0.13</v>
      </c>
      <c r="BM6" s="9">
        <f ca="1">OFFSET('RES Techs T15'!$W6,0,MATCH(VLOOKUP('RES Veda input'!BM$3,'RES Assumptions T15'!$V$3:$W$35,2,FALSE),'RES Techs T15'!$G$3:$U$3,0))</f>
        <v>0.16</v>
      </c>
      <c r="BN6" s="9">
        <f ca="1">OFFSET('RES Techs T15'!$W6,0,MATCH(VLOOKUP('RES Veda input'!BN$3,'RES Assumptions T15'!$V$3:$W$35,2,FALSE),'RES Techs T15'!$G$3:$U$3,0))</f>
        <v>0.13</v>
      </c>
      <c r="BO6" s="9">
        <f ca="1">OFFSET('RES Techs T15'!$W6,0,MATCH(VLOOKUP('RES Veda input'!BO$3,'RES Assumptions T15'!$V$3:$W$35,2,FALSE),'RES Techs T15'!$G$3:$U$3,0))</f>
        <v>0.13</v>
      </c>
      <c r="BP6" s="9">
        <f ca="1">OFFSET('RES Techs T15'!$W6,0,MATCH(VLOOKUP('RES Veda input'!BP$3,'RES Assumptions T15'!$V$3:$W$35,2,FALSE),'RES Techs T15'!$G$3:$U$3,0))</f>
        <v>0.13</v>
      </c>
      <c r="BR6" s="8" t="str">
        <f t="shared" si="61"/>
        <v>RSCGEO000</v>
      </c>
      <c r="BS6" s="9">
        <f t="shared" ca="1" si="62"/>
        <v>7.2</v>
      </c>
      <c r="BT6" s="9" t="str">
        <f ca="1">IF(OFFSET('RES Techs T15'!$AO6,0,MATCH(VLOOKUP('RES Veda input'!BT$3,'RES Assumptions T15'!$V$3:$W$35,2,FALSE),'RES Techs T15'!$G$3:$U$3,0))=0,"",OFFSET('RES Techs T15'!$AO6,0,MATCH(VLOOKUP('RES Veda input'!BT$3,'RES Assumptions T15'!$V$3:$W$35,2,FALSE),'RES Techs T15'!$G$3:$U$3,0)))</f>
        <v/>
      </c>
      <c r="BU6" s="9" t="str">
        <f ca="1">IF(OFFSET('RES Techs T15'!$AO6,0,MATCH(VLOOKUP('RES Veda input'!BU$3,'RES Assumptions T15'!$V$3:$W$35,2,FALSE),'RES Techs T15'!$G$3:$U$3,0))=0,"",OFFSET('RES Techs T15'!$AO6,0,MATCH(VLOOKUP('RES Veda input'!BU$3,'RES Assumptions T15'!$V$3:$W$35,2,FALSE),'RES Techs T15'!$G$3:$U$3,0)))</f>
        <v/>
      </c>
      <c r="BV6" s="9">
        <f ca="1">IF(OFFSET('RES Techs T15'!$AO6,0,MATCH(VLOOKUP('RES Veda input'!BV$3,'RES Assumptions T15'!$V$3:$W$35,2,FALSE),'RES Techs T15'!$G$3:$U$3,0))=0,"",OFFSET('RES Techs T15'!$AO6,0,MATCH(VLOOKUP('RES Veda input'!BV$3,'RES Assumptions T15'!$V$3:$W$35,2,FALSE),'RES Techs T15'!$G$3:$U$3,0)))</f>
        <v>8.4</v>
      </c>
      <c r="BW6" s="9" t="str">
        <f ca="1">IF(OFFSET('RES Techs T15'!$AO6,0,MATCH(VLOOKUP('RES Veda input'!BW$3,'RES Assumptions T15'!$V$3:$W$35,2,FALSE),'RES Techs T15'!$G$3:$U$3,0))=0,"",OFFSET('RES Techs T15'!$AO6,0,MATCH(VLOOKUP('RES Veda input'!BW$3,'RES Assumptions T15'!$V$3:$W$35,2,FALSE),'RES Techs T15'!$G$3:$U$3,0)))</f>
        <v/>
      </c>
      <c r="BX6" s="9">
        <f ca="1">IF(OFFSET('RES Techs T15'!$AO6,0,MATCH(VLOOKUP('RES Veda input'!BX$3,'RES Assumptions T15'!$V$3:$W$35,2,FALSE),'RES Techs T15'!$G$3:$U$3,0))=0,"",OFFSET('RES Techs T15'!$AO6,0,MATCH(VLOOKUP('RES Veda input'!BX$3,'RES Assumptions T15'!$V$3:$W$35,2,FALSE),'RES Techs T15'!$G$3:$U$3,0)))</f>
        <v>12</v>
      </c>
      <c r="BY6" s="9">
        <f ca="1">IF(OFFSET('RES Techs T15'!$AO6,0,MATCH(VLOOKUP('RES Veda input'!BY$3,'RES Assumptions T15'!$V$3:$W$35,2,FALSE),'RES Techs T15'!$G$3:$U$3,0))=0,"",OFFSET('RES Techs T15'!$AO6,0,MATCH(VLOOKUP('RES Veda input'!BY$3,'RES Assumptions T15'!$V$3:$W$35,2,FALSE),'RES Techs T15'!$G$3:$U$3,0)))</f>
        <v>7.2</v>
      </c>
      <c r="BZ6" s="9" t="str">
        <f ca="1">IF(OFFSET('RES Techs T15'!$AO6,0,MATCH(VLOOKUP('RES Veda input'!BZ$3,'RES Assumptions T15'!$V$3:$W$35,2,FALSE),'RES Techs T15'!$G$3:$U$3,0))=0,"",OFFSET('RES Techs T15'!$AO6,0,MATCH(VLOOKUP('RES Veda input'!BZ$3,'RES Assumptions T15'!$V$3:$W$35,2,FALSE),'RES Techs T15'!$G$3:$U$3,0)))</f>
        <v/>
      </c>
      <c r="CA6" s="9">
        <f ca="1">IF(OFFSET('RES Techs T15'!$AO6,0,MATCH(VLOOKUP('RES Veda input'!CA$3,'RES Assumptions T15'!$V$3:$W$35,2,FALSE),'RES Techs T15'!$G$3:$U$3,0))=0,"",OFFSET('RES Techs T15'!$AO6,0,MATCH(VLOOKUP('RES Veda input'!CA$3,'RES Assumptions T15'!$V$3:$W$35,2,FALSE),'RES Techs T15'!$G$3:$U$3,0)))</f>
        <v>8.4</v>
      </c>
      <c r="CB6" s="9" t="str">
        <f ca="1">IF(OFFSET('RES Techs T15'!$AO6,0,MATCH(VLOOKUP('RES Veda input'!CB$3,'RES Assumptions T15'!$V$3:$W$35,2,FALSE),'RES Techs T15'!$G$3:$U$3,0))=0,"",OFFSET('RES Techs T15'!$AO6,0,MATCH(VLOOKUP('RES Veda input'!CB$3,'RES Assumptions T15'!$V$3:$W$35,2,FALSE),'RES Techs T15'!$G$3:$U$3,0)))</f>
        <v/>
      </c>
      <c r="CC6" s="9">
        <f ca="1">IF(OFFSET('RES Techs T15'!$AO6,0,MATCH(VLOOKUP('RES Veda input'!CC$3,'RES Assumptions T15'!$V$3:$W$35,2,FALSE),'RES Techs T15'!$G$3:$U$3,0))=0,"",OFFSET('RES Techs T15'!$AO6,0,MATCH(VLOOKUP('RES Veda input'!CC$3,'RES Assumptions T15'!$V$3:$W$35,2,FALSE),'RES Techs T15'!$G$3:$U$3,0)))</f>
        <v>7.2</v>
      </c>
      <c r="CD6" s="9" t="str">
        <f ca="1">IF(OFFSET('RES Techs T15'!$AO6,0,MATCH(VLOOKUP('RES Veda input'!CD$3,'RES Assumptions T15'!$V$3:$W$35,2,FALSE),'RES Techs T15'!$G$3:$U$3,0))=0,"",OFFSET('RES Techs T15'!$AO6,0,MATCH(VLOOKUP('RES Veda input'!CD$3,'RES Assumptions T15'!$V$3:$W$35,2,FALSE),'RES Techs T15'!$G$3:$U$3,0)))</f>
        <v/>
      </c>
      <c r="CE6" s="9" t="str">
        <f ca="1">IF(OFFSET('RES Techs T15'!$AO6,0,MATCH(VLOOKUP('RES Veda input'!CE$3,'RES Assumptions T15'!$V$3:$W$35,2,FALSE),'RES Techs T15'!$G$3:$U$3,0))=0,"",OFFSET('RES Techs T15'!$AO6,0,MATCH(VLOOKUP('RES Veda input'!CE$3,'RES Assumptions T15'!$V$3:$W$35,2,FALSE),'RES Techs T15'!$G$3:$U$3,0)))</f>
        <v/>
      </c>
      <c r="CF6" s="9" t="str">
        <f ca="1">IF(OFFSET('RES Techs T15'!$AO6,0,MATCH(VLOOKUP('RES Veda input'!CF$3,'RES Assumptions T15'!$V$3:$W$35,2,FALSE),'RES Techs T15'!$G$3:$U$3,0))=0,"",OFFSET('RES Techs T15'!$AO6,0,MATCH(VLOOKUP('RES Veda input'!CF$3,'RES Assumptions T15'!$V$3:$W$35,2,FALSE),'RES Techs T15'!$G$3:$U$3,0)))</f>
        <v/>
      </c>
      <c r="CG6" s="9" t="str">
        <f ca="1">IF(OFFSET('RES Techs T15'!$AO6,0,MATCH(VLOOKUP('RES Veda input'!CG$3,'RES Assumptions T15'!$V$3:$W$35,2,FALSE),'RES Techs T15'!$G$3:$U$3,0))=0,"",OFFSET('RES Techs T15'!$AO6,0,MATCH(VLOOKUP('RES Veda input'!CG$3,'RES Assumptions T15'!$V$3:$W$35,2,FALSE),'RES Techs T15'!$G$3:$U$3,0)))</f>
        <v/>
      </c>
      <c r="CH6" s="9" t="str">
        <f ca="1">IF(OFFSET('RES Techs T15'!$AO6,0,MATCH(VLOOKUP('RES Veda input'!CH$3,'RES Assumptions T15'!$V$3:$W$35,2,FALSE),'RES Techs T15'!$G$3:$U$3,0))=0,"",OFFSET('RES Techs T15'!$AO6,0,MATCH(VLOOKUP('RES Veda input'!CH$3,'RES Assumptions T15'!$V$3:$W$35,2,FALSE),'RES Techs T15'!$G$3:$U$3,0)))</f>
        <v/>
      </c>
      <c r="CI6" s="9" t="str">
        <f ca="1">IF(OFFSET('RES Techs T15'!$AO6,0,MATCH(VLOOKUP('RES Veda input'!CI$3,'RES Assumptions T15'!$V$3:$W$35,2,FALSE),'RES Techs T15'!$G$3:$U$3,0))=0,"",OFFSET('RES Techs T15'!$AO6,0,MATCH(VLOOKUP('RES Veda input'!CI$3,'RES Assumptions T15'!$V$3:$W$35,2,FALSE),'RES Techs T15'!$G$3:$U$3,0)))</f>
        <v/>
      </c>
      <c r="CJ6" s="9">
        <f ca="1">IF(OFFSET('RES Techs T15'!$AO6,0,MATCH(VLOOKUP('RES Veda input'!CJ$3,'RES Assumptions T15'!$V$3:$W$35,2,FALSE),'RES Techs T15'!$G$3:$U$3,0))=0,"",OFFSET('RES Techs T15'!$AO6,0,MATCH(VLOOKUP('RES Veda input'!CJ$3,'RES Assumptions T15'!$V$3:$W$35,2,FALSE),'RES Techs T15'!$G$3:$U$3,0)))</f>
        <v>8.4</v>
      </c>
      <c r="CK6" s="9" t="str">
        <f ca="1">IF(OFFSET('RES Techs T15'!$AO6,0,MATCH(VLOOKUP('RES Veda input'!CK$3,'RES Assumptions T15'!$V$3:$W$35,2,FALSE),'RES Techs T15'!$G$3:$U$3,0))=0,"",OFFSET('RES Techs T15'!$AO6,0,MATCH(VLOOKUP('RES Veda input'!CK$3,'RES Assumptions T15'!$V$3:$W$35,2,FALSE),'RES Techs T15'!$G$3:$U$3,0)))</f>
        <v/>
      </c>
      <c r="CL6" s="9" t="str">
        <f ca="1">IF(OFFSET('RES Techs T15'!$AO6,0,MATCH(VLOOKUP('RES Veda input'!CL$3,'RES Assumptions T15'!$V$3:$W$35,2,FALSE),'RES Techs T15'!$G$3:$U$3,0))=0,"",OFFSET('RES Techs T15'!$AO6,0,MATCH(VLOOKUP('RES Veda input'!CL$3,'RES Assumptions T15'!$V$3:$W$35,2,FALSE),'RES Techs T15'!$G$3:$U$3,0)))</f>
        <v/>
      </c>
      <c r="CM6" s="9">
        <f ca="1">IF(OFFSET('RES Techs T15'!$AO6,0,MATCH(VLOOKUP('RES Veda input'!CM$3,'RES Assumptions T15'!$V$3:$W$35,2,FALSE),'RES Techs T15'!$G$3:$U$3,0))=0,"",OFFSET('RES Techs T15'!$AO6,0,MATCH(VLOOKUP('RES Veda input'!CM$3,'RES Assumptions T15'!$V$3:$W$35,2,FALSE),'RES Techs T15'!$G$3:$U$3,0)))</f>
        <v>7.2</v>
      </c>
      <c r="CN6" s="9">
        <f ca="1">IF(OFFSET('RES Techs T15'!$AO6,0,MATCH(VLOOKUP('RES Veda input'!CN$3,'RES Assumptions T15'!$V$3:$W$35,2,FALSE),'RES Techs T15'!$G$3:$U$3,0))=0,"",OFFSET('RES Techs T15'!$AO6,0,MATCH(VLOOKUP('RES Veda input'!CN$3,'RES Assumptions T15'!$V$3:$W$35,2,FALSE),'RES Techs T15'!$G$3:$U$3,0)))</f>
        <v>8.4</v>
      </c>
      <c r="CO6" s="9" t="str">
        <f ca="1">IF(OFFSET('RES Techs T15'!$AO6,0,MATCH(VLOOKUP('RES Veda input'!CO$3,'RES Assumptions T15'!$V$3:$W$35,2,FALSE),'RES Techs T15'!$G$3:$U$3,0))=0,"",OFFSET('RES Techs T15'!$AO6,0,MATCH(VLOOKUP('RES Veda input'!CO$3,'RES Assumptions T15'!$V$3:$W$35,2,FALSE),'RES Techs T15'!$G$3:$U$3,0)))</f>
        <v/>
      </c>
      <c r="CP6" s="9">
        <f ca="1">IF(OFFSET('RES Techs T15'!$AO6,0,MATCH(VLOOKUP('RES Veda input'!CP$3,'RES Assumptions T15'!$V$3:$W$35,2,FALSE),'RES Techs T15'!$G$3:$U$3,0))=0,"",OFFSET('RES Techs T15'!$AO6,0,MATCH(VLOOKUP('RES Veda input'!CP$3,'RES Assumptions T15'!$V$3:$W$35,2,FALSE),'RES Techs T15'!$G$3:$U$3,0)))</f>
        <v>8.4</v>
      </c>
      <c r="CQ6" s="9" t="str">
        <f ca="1">IF(OFFSET('RES Techs T15'!$AO6,0,MATCH(VLOOKUP('RES Veda input'!CQ$3,'RES Assumptions T15'!$V$3:$W$35,2,FALSE),'RES Techs T15'!$G$3:$U$3,0))=0,"",OFFSET('RES Techs T15'!$AO6,0,MATCH(VLOOKUP('RES Veda input'!CQ$3,'RES Assumptions T15'!$V$3:$W$35,2,FALSE),'RES Techs T15'!$G$3:$U$3,0)))</f>
        <v/>
      </c>
      <c r="CR6" s="9" t="str">
        <f ca="1">IF(OFFSET('RES Techs T15'!$AO6,0,MATCH(VLOOKUP('RES Veda input'!CR$3,'RES Assumptions T15'!$V$3:$W$35,2,FALSE),'RES Techs T15'!$G$3:$U$3,0))=0,"",OFFSET('RES Techs T15'!$AO6,0,MATCH(VLOOKUP('RES Veda input'!CR$3,'RES Assumptions T15'!$V$3:$W$35,2,FALSE),'RES Techs T15'!$G$3:$U$3,0)))</f>
        <v/>
      </c>
      <c r="CS6" s="9">
        <f ca="1">IF(OFFSET('RES Techs T15'!$AO6,0,MATCH(VLOOKUP('RES Veda input'!CS$3,'RES Assumptions T15'!$V$3:$W$35,2,FALSE),'RES Techs T15'!$G$3:$U$3,0))=0,"",OFFSET('RES Techs T15'!$AO6,0,MATCH(VLOOKUP('RES Veda input'!CS$3,'RES Assumptions T15'!$V$3:$W$35,2,FALSE),'RES Techs T15'!$G$3:$U$3,0)))</f>
        <v>8.4</v>
      </c>
      <c r="CT6" s="9" t="str">
        <f ca="1">IF(OFFSET('RES Techs T15'!$AO6,0,MATCH(VLOOKUP('RES Veda input'!CT$3,'RES Assumptions T15'!$V$3:$W$35,2,FALSE),'RES Techs T15'!$G$3:$U$3,0))=0,"",OFFSET('RES Techs T15'!$AO6,0,MATCH(VLOOKUP('RES Veda input'!CT$3,'RES Assumptions T15'!$V$3:$W$35,2,FALSE),'RES Techs T15'!$G$3:$U$3,0)))</f>
        <v/>
      </c>
      <c r="CU6" s="9" t="str">
        <f ca="1">IF(OFFSET('RES Techs T15'!$AO6,0,MATCH(VLOOKUP('RES Veda input'!CU$3,'RES Assumptions T15'!$V$3:$W$35,2,FALSE),'RES Techs T15'!$G$3:$U$3,0))=0,"",OFFSET('RES Techs T15'!$AO6,0,MATCH(VLOOKUP('RES Veda input'!CU$3,'RES Assumptions T15'!$V$3:$W$35,2,FALSE),'RES Techs T15'!$G$3:$U$3,0)))</f>
        <v/>
      </c>
      <c r="CV6" s="9">
        <f ca="1">IF(OFFSET('RES Techs T15'!$AO6,0,MATCH(VLOOKUP('RES Veda input'!CV$3,'RES Assumptions T15'!$V$3:$W$35,2,FALSE),'RES Techs T15'!$G$3:$U$3,0))=0,"",OFFSET('RES Techs T15'!$AO6,0,MATCH(VLOOKUP('RES Veda input'!CV$3,'RES Assumptions T15'!$V$3:$W$35,2,FALSE),'RES Techs T15'!$G$3:$U$3,0)))</f>
        <v>2</v>
      </c>
      <c r="CW6" s="9">
        <f ca="1">IF(OFFSET('RES Techs T15'!$AO6,0,MATCH(VLOOKUP('RES Veda input'!CW$3,'RES Assumptions T15'!$V$3:$W$35,2,FALSE),'RES Techs T15'!$G$3:$U$3,0))=0,"",OFFSET('RES Techs T15'!$AO6,0,MATCH(VLOOKUP('RES Veda input'!CW$3,'RES Assumptions T15'!$V$3:$W$35,2,FALSE),'RES Techs T15'!$G$3:$U$3,0)))</f>
        <v>2</v>
      </c>
      <c r="CY6" s="8" t="str">
        <f t="shared" si="63"/>
        <v>RSCGEO000</v>
      </c>
      <c r="CZ6" s="10">
        <f ca="1">ROUND('RES Assumptions'!E89*'RES Veda input'!G6/'RES Veda input'!AM6,3)</f>
        <v>0</v>
      </c>
      <c r="DA6" s="10">
        <f ca="1">ROUND('RES Assumptions'!F89*'RES Veda input'!H6/'RES Veda input'!AN6,3)</f>
        <v>0</v>
      </c>
      <c r="DB6" s="10">
        <f ca="1">ROUND('RES Assumptions'!G89*'RES Veda input'!I6/'RES Veda input'!AO6,3)</f>
        <v>0</v>
      </c>
      <c r="DC6" s="10">
        <f ca="1">ROUND('RES Assumptions'!H89*'RES Veda input'!J6/'RES Veda input'!AP6,3)</f>
        <v>0</v>
      </c>
      <c r="DD6" s="10">
        <f ca="1">ROUND('RES Assumptions'!I89*'RES Veda input'!K6/'RES Veda input'!AQ6,3)</f>
        <v>0</v>
      </c>
      <c r="DE6" s="10">
        <f ca="1">ROUND('RES Assumptions'!J89*'RES Veda input'!L6/'RES Veda input'!AR6,3)</f>
        <v>0</v>
      </c>
      <c r="DF6" s="10">
        <f ca="1">ROUND('RES Assumptions'!K89*'RES Veda input'!M6/'RES Veda input'!AS6,3)</f>
        <v>0</v>
      </c>
      <c r="DG6" s="10">
        <f ca="1">ROUND('RES Assumptions'!L89*'RES Veda input'!N6/'RES Veda input'!AT6,3)</f>
        <v>0</v>
      </c>
      <c r="DH6" s="10">
        <f ca="1">ROUND('RES Assumptions'!M89*'RES Veda input'!O6/'RES Veda input'!AU6,3)</f>
        <v>0</v>
      </c>
      <c r="DI6" s="10">
        <f ca="1">ROUND('RES Assumptions'!N89*'RES Veda input'!P6/'RES Veda input'!AV6,3)</f>
        <v>0</v>
      </c>
      <c r="DJ6" s="10">
        <f ca="1">ROUND('RES Assumptions'!O89*'RES Veda input'!Q6/'RES Veda input'!AW6,3)</f>
        <v>0</v>
      </c>
      <c r="DK6" s="10">
        <f ca="1">ROUND('RES Assumptions'!P89*'RES Veda input'!R6/'RES Veda input'!AX6,3)</f>
        <v>0</v>
      </c>
      <c r="DL6" s="10">
        <f ca="1">ROUND('RES Assumptions'!Q89*'RES Veda input'!S6/'RES Veda input'!AY6,3)</f>
        <v>0</v>
      </c>
      <c r="DM6" s="10">
        <f ca="1">ROUND('RES Assumptions'!R89*'RES Veda input'!T6/'RES Veda input'!AZ6,3)</f>
        <v>0</v>
      </c>
      <c r="DN6" s="10">
        <f ca="1">ROUND('RES Assumptions'!S89*'RES Veda input'!U6/'RES Veda input'!BA6,3)</f>
        <v>0</v>
      </c>
      <c r="DO6" s="10">
        <f ca="1">ROUND('RES Assumptions'!T89*'RES Veda input'!V6/'RES Veda input'!BB6,3)</f>
        <v>0</v>
      </c>
      <c r="DP6" s="10">
        <f ca="1">ROUND('RES Assumptions'!U89*'RES Veda input'!W6/'RES Veda input'!BC6,3)</f>
        <v>0</v>
      </c>
      <c r="DQ6" s="10">
        <f ca="1">ROUND('RES Assumptions'!V89*'RES Veda input'!X6/'RES Veda input'!BD6,3)</f>
        <v>0</v>
      </c>
      <c r="DR6" s="10">
        <f ca="1">ROUND('RES Assumptions'!W89*'RES Veda input'!Y6/'RES Veda input'!BE6,3)</f>
        <v>0</v>
      </c>
      <c r="DS6" s="10">
        <f ca="1">ROUND('RES Assumptions'!X89*'RES Veda input'!Z6/'RES Veda input'!BF6,3)</f>
        <v>0</v>
      </c>
      <c r="DT6" s="10">
        <f ca="1">ROUND('RES Assumptions'!Y89*'RES Veda input'!AA6/'RES Veda input'!BG6,3)</f>
        <v>0</v>
      </c>
      <c r="DU6" s="10">
        <f ca="1">ROUND('RES Assumptions'!Z89*'RES Veda input'!AB6/'RES Veda input'!BH6,3)</f>
        <v>0</v>
      </c>
      <c r="DV6" s="10">
        <f ca="1">ROUND('RES Assumptions'!AA89*'RES Veda input'!AC6/'RES Veda input'!BI6,3)</f>
        <v>0</v>
      </c>
      <c r="DW6" s="10">
        <f ca="1">ROUND('RES Assumptions'!AB89*'RES Veda input'!AD6/'RES Veda input'!BJ6,3)</f>
        <v>0</v>
      </c>
      <c r="DX6" s="10">
        <f ca="1">ROUND('RES Assumptions'!AC89*'RES Veda input'!AE6/'RES Veda input'!BK6,3)</f>
        <v>0</v>
      </c>
      <c r="DY6" s="10">
        <f ca="1">ROUND('RES Assumptions'!AD89*'RES Veda input'!AF6/'RES Veda input'!BL6,3)</f>
        <v>0</v>
      </c>
      <c r="DZ6" s="10">
        <f ca="1">ROUND('RES Assumptions'!AE89*'RES Veda input'!AG6/'RES Veda input'!BM6,3)</f>
        <v>0</v>
      </c>
      <c r="EA6" s="10">
        <f ca="1">ROUND('RES Assumptions'!AF89*'RES Veda input'!AH6/'RES Veda input'!BN6,3)</f>
        <v>0</v>
      </c>
      <c r="EB6" s="10">
        <f ca="1">ROUND('RES Assumptions'!AG89*'RES Veda input'!AI6/'RES Veda input'!BO6,3)</f>
        <v>0</v>
      </c>
      <c r="EC6" s="10">
        <f ca="1">ROUND('RES Assumptions'!AH89*'RES Veda input'!AJ6/'RES Veda input'!BP6,3)</f>
        <v>0</v>
      </c>
      <c r="ED6">
        <v>15</v>
      </c>
      <c r="EG6" t="s">
        <v>281</v>
      </c>
      <c r="EH6" t="str">
        <f t="shared" si="64"/>
        <v>RSCGEO000</v>
      </c>
      <c r="EJ6" t="s">
        <v>282</v>
      </c>
      <c r="EK6" t="s">
        <v>283</v>
      </c>
    </row>
    <row r="7" spans="1:144" x14ac:dyDescent="0.45">
      <c r="A7" s="37" t="str">
        <f>'RES Assumptions'!B90</f>
        <v>RC</v>
      </c>
      <c r="B7" s="37" t="s">
        <v>122</v>
      </c>
      <c r="D7" s="51" t="s">
        <v>288</v>
      </c>
      <c r="E7" s="8" t="str">
        <f>'RES Assumptions'!A90</f>
        <v>RESNGA</v>
      </c>
      <c r="F7" s="8" t="str">
        <f>VLOOKUP(A7,'RES Assumptions'!$AN$87:$AO$97,2,FALSE)</f>
        <v>RSC</v>
      </c>
      <c r="G7" s="9">
        <f ca="1">OFFSET('RES Techs T15'!$F7,0,MATCH(VLOOKUP('RES Veda input'!G$3,'RES Assumptions T15'!$V$3:$W$35,2,FALSE),'RES Techs T15'!$G$3:$U$3,0))</f>
        <v>1</v>
      </c>
      <c r="H7" s="9">
        <f ca="1">OFFSET('RES Techs T15'!$F7,0,MATCH(VLOOKUP('RES Veda input'!H$3,'RES Assumptions T15'!$V$3:$W$35,2,FALSE),'RES Techs T15'!$G$3:$U$3,0))</f>
        <v>1</v>
      </c>
      <c r="I7" s="9">
        <f ca="1">OFFSET('RES Techs T15'!$F7,0,MATCH(VLOOKUP('RES Veda input'!I$3,'RES Assumptions T15'!$V$3:$W$35,2,FALSE),'RES Techs T15'!$G$3:$U$3,0))</f>
        <v>1</v>
      </c>
      <c r="J7" s="9">
        <f ca="1">OFFSET('RES Techs T15'!$F7,0,MATCH(VLOOKUP('RES Veda input'!J$3,'RES Assumptions T15'!$V$3:$W$35,2,FALSE),'RES Techs T15'!$G$3:$U$3,0))</f>
        <v>1</v>
      </c>
      <c r="K7" s="9">
        <f ca="1">OFFSET('RES Techs T15'!$F7,0,MATCH(VLOOKUP('RES Veda input'!K$3,'RES Assumptions T15'!$V$3:$W$35,2,FALSE),'RES Techs T15'!$G$3:$U$3,0))</f>
        <v>1</v>
      </c>
      <c r="L7" s="9">
        <f ca="1">OFFSET('RES Techs T15'!$F7,0,MATCH(VLOOKUP('RES Veda input'!L$3,'RES Assumptions T15'!$V$3:$W$35,2,FALSE),'RES Techs T15'!$G$3:$U$3,0))</f>
        <v>1</v>
      </c>
      <c r="M7" s="9">
        <f ca="1">OFFSET('RES Techs T15'!$F7,0,MATCH(VLOOKUP('RES Veda input'!M$3,'RES Assumptions T15'!$V$3:$W$35,2,FALSE),'RES Techs T15'!$G$3:$U$3,0))</f>
        <v>1</v>
      </c>
      <c r="N7" s="9">
        <f ca="1">OFFSET('RES Techs T15'!$F7,0,MATCH(VLOOKUP('RES Veda input'!N$3,'RES Assumptions T15'!$V$3:$W$35,2,FALSE),'RES Techs T15'!$G$3:$U$3,0))</f>
        <v>1</v>
      </c>
      <c r="O7" s="9">
        <f ca="1">OFFSET('RES Techs T15'!$F7,0,MATCH(VLOOKUP('RES Veda input'!O$3,'RES Assumptions T15'!$V$3:$W$35,2,FALSE),'RES Techs T15'!$G$3:$U$3,0))</f>
        <v>1</v>
      </c>
      <c r="P7" s="9">
        <f ca="1">OFFSET('RES Techs T15'!$F7,0,MATCH(VLOOKUP('RES Veda input'!P$3,'RES Assumptions T15'!$V$3:$W$35,2,FALSE),'RES Techs T15'!$G$3:$U$3,0))</f>
        <v>1</v>
      </c>
      <c r="Q7" s="9">
        <f ca="1">OFFSET('RES Techs T15'!$F7,0,MATCH(VLOOKUP('RES Veda input'!Q$3,'RES Assumptions T15'!$V$3:$W$35,2,FALSE),'RES Techs T15'!$G$3:$U$3,0))</f>
        <v>1</v>
      </c>
      <c r="R7" s="9">
        <f ca="1">OFFSET('RES Techs T15'!$F7,0,MATCH(VLOOKUP('RES Veda input'!R$3,'RES Assumptions T15'!$V$3:$W$35,2,FALSE),'RES Techs T15'!$G$3:$U$3,0))</f>
        <v>1</v>
      </c>
      <c r="S7" s="9">
        <f ca="1">OFFSET('RES Techs T15'!$F7,0,MATCH(VLOOKUP('RES Veda input'!S$3,'RES Assumptions T15'!$V$3:$W$35,2,FALSE),'RES Techs T15'!$G$3:$U$3,0))</f>
        <v>1</v>
      </c>
      <c r="T7" s="9">
        <f ca="1">OFFSET('RES Techs T15'!$F7,0,MATCH(VLOOKUP('RES Veda input'!T$3,'RES Assumptions T15'!$V$3:$W$35,2,FALSE),'RES Techs T15'!$G$3:$U$3,0))</f>
        <v>1</v>
      </c>
      <c r="U7" s="9">
        <f ca="1">OFFSET('RES Techs T15'!$F7,0,MATCH(VLOOKUP('RES Veda input'!U$3,'RES Assumptions T15'!$V$3:$W$35,2,FALSE),'RES Techs T15'!$G$3:$U$3,0))</f>
        <v>1</v>
      </c>
      <c r="V7" s="9">
        <f ca="1">OFFSET('RES Techs T15'!$F7,0,MATCH(VLOOKUP('RES Veda input'!V$3,'RES Assumptions T15'!$V$3:$W$35,2,FALSE),'RES Techs T15'!$G$3:$U$3,0))</f>
        <v>1</v>
      </c>
      <c r="W7" s="9">
        <f ca="1">OFFSET('RES Techs T15'!$F7,0,MATCH(VLOOKUP('RES Veda input'!W$3,'RES Assumptions T15'!$V$3:$W$35,2,FALSE),'RES Techs T15'!$G$3:$U$3,0))</f>
        <v>1</v>
      </c>
      <c r="X7" s="9">
        <f ca="1">OFFSET('RES Techs T15'!$F7,0,MATCH(VLOOKUP('RES Veda input'!X$3,'RES Assumptions T15'!$V$3:$W$35,2,FALSE),'RES Techs T15'!$G$3:$U$3,0))</f>
        <v>1</v>
      </c>
      <c r="Y7" s="9">
        <f ca="1">OFFSET('RES Techs T15'!$F7,0,MATCH(VLOOKUP('RES Veda input'!Y$3,'RES Assumptions T15'!$V$3:$W$35,2,FALSE),'RES Techs T15'!$G$3:$U$3,0))</f>
        <v>1</v>
      </c>
      <c r="Z7" s="9">
        <f ca="1">OFFSET('RES Techs T15'!$F7,0,MATCH(VLOOKUP('RES Veda input'!Z$3,'RES Assumptions T15'!$V$3:$W$35,2,FALSE),'RES Techs T15'!$G$3:$U$3,0))</f>
        <v>1</v>
      </c>
      <c r="AA7" s="9">
        <f ca="1">OFFSET('RES Techs T15'!$F7,0,MATCH(VLOOKUP('RES Veda input'!AA$3,'RES Assumptions T15'!$V$3:$W$35,2,FALSE),'RES Techs T15'!$G$3:$U$3,0))</f>
        <v>1</v>
      </c>
      <c r="AB7" s="9">
        <f ca="1">OFFSET('RES Techs T15'!$F7,0,MATCH(VLOOKUP('RES Veda input'!AB$3,'RES Assumptions T15'!$V$3:$W$35,2,FALSE),'RES Techs T15'!$G$3:$U$3,0))</f>
        <v>1</v>
      </c>
      <c r="AC7" s="9">
        <f ca="1">OFFSET('RES Techs T15'!$F7,0,MATCH(VLOOKUP('RES Veda input'!AC$3,'RES Assumptions T15'!$V$3:$W$35,2,FALSE),'RES Techs T15'!$G$3:$U$3,0))</f>
        <v>1</v>
      </c>
      <c r="AD7" s="9">
        <f ca="1">OFFSET('RES Techs T15'!$F7,0,MATCH(VLOOKUP('RES Veda input'!AD$3,'RES Assumptions T15'!$V$3:$W$35,2,FALSE),'RES Techs T15'!$G$3:$U$3,0))</f>
        <v>1</v>
      </c>
      <c r="AE7" s="9">
        <f ca="1">OFFSET('RES Techs T15'!$F7,0,MATCH(VLOOKUP('RES Veda input'!AE$3,'RES Assumptions T15'!$V$3:$W$35,2,FALSE),'RES Techs T15'!$G$3:$U$3,0))</f>
        <v>1</v>
      </c>
      <c r="AF7" s="9">
        <f ca="1">OFFSET('RES Techs T15'!$F7,0,MATCH(VLOOKUP('RES Veda input'!AF$3,'RES Assumptions T15'!$V$3:$W$35,2,FALSE),'RES Techs T15'!$G$3:$U$3,0))</f>
        <v>1</v>
      </c>
      <c r="AG7" s="9">
        <f ca="1">OFFSET('RES Techs T15'!$F7,0,MATCH(VLOOKUP('RES Veda input'!AG$3,'RES Assumptions T15'!$V$3:$W$35,2,FALSE),'RES Techs T15'!$G$3:$U$3,0))</f>
        <v>1</v>
      </c>
      <c r="AH7" s="9">
        <f ca="1">OFFSET('RES Techs T15'!$F7,0,MATCH(VLOOKUP('RES Veda input'!AH$3,'RES Assumptions T15'!$V$3:$W$35,2,FALSE),'RES Techs T15'!$G$3:$U$3,0))</f>
        <v>1</v>
      </c>
      <c r="AI7" s="9">
        <f ca="1">OFFSET('RES Techs T15'!$F7,0,MATCH(VLOOKUP('RES Veda input'!AI$3,'RES Assumptions T15'!$V$3:$W$35,2,FALSE),'RES Techs T15'!$G$3:$U$3,0))</f>
        <v>1</v>
      </c>
      <c r="AJ7" s="9">
        <f ca="1">OFFSET('RES Techs T15'!$F7,0,MATCH(VLOOKUP('RES Veda input'!AJ$3,'RES Assumptions T15'!$V$3:$W$35,2,FALSE),'RES Techs T15'!$G$3:$U$3,0))</f>
        <v>1</v>
      </c>
      <c r="AL7" s="8" t="str">
        <f t="shared" si="60"/>
        <v>RSCNHP000</v>
      </c>
      <c r="AM7" s="9">
        <f ca="1">OFFSET('RES Techs T15'!$W7,0,MATCH(VLOOKUP('RES Veda input'!AM$3,'RES Assumptions T15'!$V$3:$W$35,2,FALSE),'RES Techs T15'!$G$3:$U$3,0))</f>
        <v>0.16</v>
      </c>
      <c r="AN7" s="9">
        <f ca="1">OFFSET('RES Techs T15'!$W7,0,MATCH(VLOOKUP('RES Veda input'!AN$3,'RES Assumptions T15'!$V$3:$W$35,2,FALSE),'RES Techs T15'!$G$3:$U$3,0))</f>
        <v>0.16</v>
      </c>
      <c r="AO7" s="9">
        <f ca="1">OFFSET('RES Techs T15'!$W7,0,MATCH(VLOOKUP('RES Veda input'!AO$3,'RES Assumptions T15'!$V$3:$W$35,2,FALSE),'RES Techs T15'!$G$3:$U$3,0))</f>
        <v>0.13</v>
      </c>
      <c r="AP7" s="9">
        <f ca="1">OFFSET('RES Techs T15'!$W7,0,MATCH(VLOOKUP('RES Veda input'!AP$3,'RES Assumptions T15'!$V$3:$W$35,2,FALSE),'RES Techs T15'!$G$3:$U$3,0))</f>
        <v>0.1</v>
      </c>
      <c r="AQ7" s="9">
        <f ca="1">OFFSET('RES Techs T15'!$W7,0,MATCH(VLOOKUP('RES Veda input'!AQ$3,'RES Assumptions T15'!$V$3:$W$35,2,FALSE),'RES Techs T15'!$G$3:$U$3,0))</f>
        <v>0.13</v>
      </c>
      <c r="AR7" s="9">
        <f ca="1">OFFSET('RES Techs T15'!$W7,0,MATCH(VLOOKUP('RES Veda input'!AR$3,'RES Assumptions T15'!$V$3:$W$35,2,FALSE),'RES Techs T15'!$G$3:$U$3,0))</f>
        <v>0.15</v>
      </c>
      <c r="AS7" s="9">
        <f ca="1">OFFSET('RES Techs T15'!$W7,0,MATCH(VLOOKUP('RES Veda input'!AS$3,'RES Assumptions T15'!$V$3:$W$35,2,FALSE),'RES Techs T15'!$G$3:$U$3,0))</f>
        <v>0.05</v>
      </c>
      <c r="AT7" s="9">
        <f ca="1">OFFSET('RES Techs T15'!$W7,0,MATCH(VLOOKUP('RES Veda input'!AT$3,'RES Assumptions T15'!$V$3:$W$35,2,FALSE),'RES Techs T15'!$G$3:$U$3,0))</f>
        <v>0.13</v>
      </c>
      <c r="AU7" s="9">
        <f ca="1">OFFSET('RES Techs T15'!$W7,0,MATCH(VLOOKUP('RES Veda input'!AU$3,'RES Assumptions T15'!$V$3:$W$35,2,FALSE),'RES Techs T15'!$G$3:$U$3,0))</f>
        <v>0.05</v>
      </c>
      <c r="AV7" s="9">
        <f ca="1">OFFSET('RES Techs T15'!$W7,0,MATCH(VLOOKUP('RES Veda input'!AV$3,'RES Assumptions T15'!$V$3:$W$35,2,FALSE),'RES Techs T15'!$G$3:$U$3,0))</f>
        <v>0.13</v>
      </c>
      <c r="AW7" s="9">
        <f ca="1">OFFSET('RES Techs T15'!$W7,0,MATCH(VLOOKUP('RES Veda input'!AW$3,'RES Assumptions T15'!$V$3:$W$35,2,FALSE),'RES Techs T15'!$G$3:$U$3,0))</f>
        <v>0.13</v>
      </c>
      <c r="AX7" s="9">
        <f ca="1">OFFSET('RES Techs T15'!$W7,0,MATCH(VLOOKUP('RES Veda input'!AX$3,'RES Assumptions T15'!$V$3:$W$35,2,FALSE),'RES Techs T15'!$G$3:$U$3,0))</f>
        <v>0.1</v>
      </c>
      <c r="AY7" s="9">
        <f ca="1">OFFSET('RES Techs T15'!$W7,0,MATCH(VLOOKUP('RES Veda input'!AY$3,'RES Assumptions T15'!$V$3:$W$35,2,FALSE),'RES Techs T15'!$G$3:$U$3,0))</f>
        <v>0.13</v>
      </c>
      <c r="AZ7" s="9">
        <f ca="1">OFFSET('RES Techs T15'!$W7,0,MATCH(VLOOKUP('RES Veda input'!AZ$3,'RES Assumptions T15'!$V$3:$W$35,2,FALSE),'RES Techs T15'!$G$3:$U$3,0))</f>
        <v>0.13</v>
      </c>
      <c r="BA7" s="9">
        <f ca="1">OFFSET('RES Techs T15'!$W7,0,MATCH(VLOOKUP('RES Veda input'!BA$3,'RES Assumptions T15'!$V$3:$W$35,2,FALSE),'RES Techs T15'!$G$3:$U$3,0))</f>
        <v>0.1</v>
      </c>
      <c r="BB7" s="9">
        <f ca="1">OFFSET('RES Techs T15'!$W7,0,MATCH(VLOOKUP('RES Veda input'!BB$3,'RES Assumptions T15'!$V$3:$W$35,2,FALSE),'RES Techs T15'!$G$3:$U$3,0))</f>
        <v>0.13</v>
      </c>
      <c r="BC7" s="9">
        <f ca="1">OFFSET('RES Techs T15'!$W7,0,MATCH(VLOOKUP('RES Veda input'!BC$3,'RES Assumptions T15'!$V$3:$W$35,2,FALSE),'RES Techs T15'!$G$3:$U$3,0))</f>
        <v>0.13</v>
      </c>
      <c r="BD7" s="9">
        <f ca="1">OFFSET('RES Techs T15'!$W7,0,MATCH(VLOOKUP('RES Veda input'!BD$3,'RES Assumptions T15'!$V$3:$W$35,2,FALSE),'RES Techs T15'!$G$3:$U$3,0))</f>
        <v>0.13</v>
      </c>
      <c r="BE7" s="9">
        <f ca="1">OFFSET('RES Techs T15'!$W7,0,MATCH(VLOOKUP('RES Veda input'!BE$3,'RES Assumptions T15'!$V$3:$W$35,2,FALSE),'RES Techs T15'!$G$3:$U$3,0))</f>
        <v>0.13</v>
      </c>
      <c r="BF7" s="9">
        <f ca="1">OFFSET('RES Techs T15'!$W7,0,MATCH(VLOOKUP('RES Veda input'!BF$3,'RES Assumptions T15'!$V$3:$W$35,2,FALSE),'RES Techs T15'!$G$3:$U$3,0))</f>
        <v>0.13</v>
      </c>
      <c r="BG7" s="9">
        <f ca="1">OFFSET('RES Techs T15'!$W7,0,MATCH(VLOOKUP('RES Veda input'!BG$3,'RES Assumptions T15'!$V$3:$W$35,2,FALSE),'RES Techs T15'!$G$3:$U$3,0))</f>
        <v>0.13</v>
      </c>
      <c r="BH7" s="9">
        <f ca="1">OFFSET('RES Techs T15'!$W7,0,MATCH(VLOOKUP('RES Veda input'!BH$3,'RES Assumptions T15'!$V$3:$W$35,2,FALSE),'RES Techs T15'!$G$3:$U$3,0))</f>
        <v>0.13</v>
      </c>
      <c r="BI7" s="9">
        <f ca="1">OFFSET('RES Techs T15'!$W7,0,MATCH(VLOOKUP('RES Veda input'!BI$3,'RES Assumptions T15'!$V$3:$W$35,2,FALSE),'RES Techs T15'!$G$3:$U$3,0))</f>
        <v>0.13</v>
      </c>
      <c r="BJ7" s="9">
        <f ca="1">OFFSET('RES Techs T15'!$W7,0,MATCH(VLOOKUP('RES Veda input'!BJ$3,'RES Assumptions T15'!$V$3:$W$35,2,FALSE),'RES Techs T15'!$G$3:$U$3,0))</f>
        <v>0.13</v>
      </c>
      <c r="BK7" s="9">
        <f ca="1">OFFSET('RES Techs T15'!$W7,0,MATCH(VLOOKUP('RES Veda input'!BK$3,'RES Assumptions T15'!$V$3:$W$35,2,FALSE),'RES Techs T15'!$G$3:$U$3,0))</f>
        <v>0.1</v>
      </c>
      <c r="BL7" s="9">
        <f ca="1">OFFSET('RES Techs T15'!$W7,0,MATCH(VLOOKUP('RES Veda input'!BL$3,'RES Assumptions T15'!$V$3:$W$35,2,FALSE),'RES Techs T15'!$G$3:$U$3,0))</f>
        <v>0.13</v>
      </c>
      <c r="BM7" s="9">
        <f ca="1">OFFSET('RES Techs T15'!$W7,0,MATCH(VLOOKUP('RES Veda input'!BM$3,'RES Assumptions T15'!$V$3:$W$35,2,FALSE),'RES Techs T15'!$G$3:$U$3,0))</f>
        <v>0.16</v>
      </c>
      <c r="BN7" s="9">
        <f ca="1">OFFSET('RES Techs T15'!$W7,0,MATCH(VLOOKUP('RES Veda input'!BN$3,'RES Assumptions T15'!$V$3:$W$35,2,FALSE),'RES Techs T15'!$G$3:$U$3,0))</f>
        <v>0.13</v>
      </c>
      <c r="BO7" s="9">
        <f ca="1">OFFSET('RES Techs T15'!$W7,0,MATCH(VLOOKUP('RES Veda input'!BO$3,'RES Assumptions T15'!$V$3:$W$35,2,FALSE),'RES Techs T15'!$G$3:$U$3,0))</f>
        <v>0.13</v>
      </c>
      <c r="BP7" s="9">
        <f ca="1">OFFSET('RES Techs T15'!$W7,0,MATCH(VLOOKUP('RES Veda input'!BP$3,'RES Assumptions T15'!$V$3:$W$35,2,FALSE),'RES Techs T15'!$G$3:$U$3,0))</f>
        <v>0.13</v>
      </c>
      <c r="BR7" s="8" t="str">
        <f t="shared" si="61"/>
        <v>RSCNHP000</v>
      </c>
      <c r="BS7" s="9">
        <f t="shared" ca="1" si="62"/>
        <v>7.2</v>
      </c>
      <c r="BT7" s="9" t="str">
        <f ca="1">IF(OFFSET('RES Techs T15'!$AO7,0,MATCH(VLOOKUP('RES Veda input'!BT$3,'RES Assumptions T15'!$V$3:$W$35,2,FALSE),'RES Techs T15'!$G$3:$U$3,0))=0,"",OFFSET('RES Techs T15'!$AO7,0,MATCH(VLOOKUP('RES Veda input'!BT$3,'RES Assumptions T15'!$V$3:$W$35,2,FALSE),'RES Techs T15'!$G$3:$U$3,0)))</f>
        <v/>
      </c>
      <c r="BU7" s="9" t="str">
        <f ca="1">IF(OFFSET('RES Techs T15'!$AO7,0,MATCH(VLOOKUP('RES Veda input'!BU$3,'RES Assumptions T15'!$V$3:$W$35,2,FALSE),'RES Techs T15'!$G$3:$U$3,0))=0,"",OFFSET('RES Techs T15'!$AO7,0,MATCH(VLOOKUP('RES Veda input'!BU$3,'RES Assumptions T15'!$V$3:$W$35,2,FALSE),'RES Techs T15'!$G$3:$U$3,0)))</f>
        <v/>
      </c>
      <c r="BV7" s="9">
        <f ca="1">IF(OFFSET('RES Techs T15'!$AO7,0,MATCH(VLOOKUP('RES Veda input'!BV$3,'RES Assumptions T15'!$V$3:$W$35,2,FALSE),'RES Techs T15'!$G$3:$U$3,0))=0,"",OFFSET('RES Techs T15'!$AO7,0,MATCH(VLOOKUP('RES Veda input'!BV$3,'RES Assumptions T15'!$V$3:$W$35,2,FALSE),'RES Techs T15'!$G$3:$U$3,0)))</f>
        <v>8.4</v>
      </c>
      <c r="BW7" s="9" t="str">
        <f ca="1">IF(OFFSET('RES Techs T15'!$AO7,0,MATCH(VLOOKUP('RES Veda input'!BW$3,'RES Assumptions T15'!$V$3:$W$35,2,FALSE),'RES Techs T15'!$G$3:$U$3,0))=0,"",OFFSET('RES Techs T15'!$AO7,0,MATCH(VLOOKUP('RES Veda input'!BW$3,'RES Assumptions T15'!$V$3:$W$35,2,FALSE),'RES Techs T15'!$G$3:$U$3,0)))</f>
        <v/>
      </c>
      <c r="BX7" s="9">
        <f ca="1">IF(OFFSET('RES Techs T15'!$AO7,0,MATCH(VLOOKUP('RES Veda input'!BX$3,'RES Assumptions T15'!$V$3:$W$35,2,FALSE),'RES Techs T15'!$G$3:$U$3,0))=0,"",OFFSET('RES Techs T15'!$AO7,0,MATCH(VLOOKUP('RES Veda input'!BX$3,'RES Assumptions T15'!$V$3:$W$35,2,FALSE),'RES Techs T15'!$G$3:$U$3,0)))</f>
        <v>12</v>
      </c>
      <c r="BY7" s="9">
        <f ca="1">IF(OFFSET('RES Techs T15'!$AO7,0,MATCH(VLOOKUP('RES Veda input'!BY$3,'RES Assumptions T15'!$V$3:$W$35,2,FALSE),'RES Techs T15'!$G$3:$U$3,0))=0,"",OFFSET('RES Techs T15'!$AO7,0,MATCH(VLOOKUP('RES Veda input'!BY$3,'RES Assumptions T15'!$V$3:$W$35,2,FALSE),'RES Techs T15'!$G$3:$U$3,0)))</f>
        <v>7.2</v>
      </c>
      <c r="BZ7" s="9" t="str">
        <f ca="1">IF(OFFSET('RES Techs T15'!$AO7,0,MATCH(VLOOKUP('RES Veda input'!BZ$3,'RES Assumptions T15'!$V$3:$W$35,2,FALSE),'RES Techs T15'!$G$3:$U$3,0))=0,"",OFFSET('RES Techs T15'!$AO7,0,MATCH(VLOOKUP('RES Veda input'!BZ$3,'RES Assumptions T15'!$V$3:$W$35,2,FALSE),'RES Techs T15'!$G$3:$U$3,0)))</f>
        <v/>
      </c>
      <c r="CA7" s="9">
        <f ca="1">IF(OFFSET('RES Techs T15'!$AO7,0,MATCH(VLOOKUP('RES Veda input'!CA$3,'RES Assumptions T15'!$V$3:$W$35,2,FALSE),'RES Techs T15'!$G$3:$U$3,0))=0,"",OFFSET('RES Techs T15'!$AO7,0,MATCH(VLOOKUP('RES Veda input'!CA$3,'RES Assumptions T15'!$V$3:$W$35,2,FALSE),'RES Techs T15'!$G$3:$U$3,0)))</f>
        <v>8.4</v>
      </c>
      <c r="CB7" s="9" t="str">
        <f ca="1">IF(OFFSET('RES Techs T15'!$AO7,0,MATCH(VLOOKUP('RES Veda input'!CB$3,'RES Assumptions T15'!$V$3:$W$35,2,FALSE),'RES Techs T15'!$G$3:$U$3,0))=0,"",OFFSET('RES Techs T15'!$AO7,0,MATCH(VLOOKUP('RES Veda input'!CB$3,'RES Assumptions T15'!$V$3:$W$35,2,FALSE),'RES Techs T15'!$G$3:$U$3,0)))</f>
        <v/>
      </c>
      <c r="CC7" s="9">
        <f ca="1">IF(OFFSET('RES Techs T15'!$AO7,0,MATCH(VLOOKUP('RES Veda input'!CC$3,'RES Assumptions T15'!$V$3:$W$35,2,FALSE),'RES Techs T15'!$G$3:$U$3,0))=0,"",OFFSET('RES Techs T15'!$AO7,0,MATCH(VLOOKUP('RES Veda input'!CC$3,'RES Assumptions T15'!$V$3:$W$35,2,FALSE),'RES Techs T15'!$G$3:$U$3,0)))</f>
        <v>7.2</v>
      </c>
      <c r="CD7" s="9" t="str">
        <f ca="1">IF(OFFSET('RES Techs T15'!$AO7,0,MATCH(VLOOKUP('RES Veda input'!CD$3,'RES Assumptions T15'!$V$3:$W$35,2,FALSE),'RES Techs T15'!$G$3:$U$3,0))=0,"",OFFSET('RES Techs T15'!$AO7,0,MATCH(VLOOKUP('RES Veda input'!CD$3,'RES Assumptions T15'!$V$3:$W$35,2,FALSE),'RES Techs T15'!$G$3:$U$3,0)))</f>
        <v/>
      </c>
      <c r="CE7" s="9" t="str">
        <f ca="1">IF(OFFSET('RES Techs T15'!$AO7,0,MATCH(VLOOKUP('RES Veda input'!CE$3,'RES Assumptions T15'!$V$3:$W$35,2,FALSE),'RES Techs T15'!$G$3:$U$3,0))=0,"",OFFSET('RES Techs T15'!$AO7,0,MATCH(VLOOKUP('RES Veda input'!CE$3,'RES Assumptions T15'!$V$3:$W$35,2,FALSE),'RES Techs T15'!$G$3:$U$3,0)))</f>
        <v/>
      </c>
      <c r="CF7" s="9" t="str">
        <f ca="1">IF(OFFSET('RES Techs T15'!$AO7,0,MATCH(VLOOKUP('RES Veda input'!CF$3,'RES Assumptions T15'!$V$3:$W$35,2,FALSE),'RES Techs T15'!$G$3:$U$3,0))=0,"",OFFSET('RES Techs T15'!$AO7,0,MATCH(VLOOKUP('RES Veda input'!CF$3,'RES Assumptions T15'!$V$3:$W$35,2,FALSE),'RES Techs T15'!$G$3:$U$3,0)))</f>
        <v/>
      </c>
      <c r="CG7" s="9" t="str">
        <f ca="1">IF(OFFSET('RES Techs T15'!$AO7,0,MATCH(VLOOKUP('RES Veda input'!CG$3,'RES Assumptions T15'!$V$3:$W$35,2,FALSE),'RES Techs T15'!$G$3:$U$3,0))=0,"",OFFSET('RES Techs T15'!$AO7,0,MATCH(VLOOKUP('RES Veda input'!CG$3,'RES Assumptions T15'!$V$3:$W$35,2,FALSE),'RES Techs T15'!$G$3:$U$3,0)))</f>
        <v/>
      </c>
      <c r="CH7" s="9" t="str">
        <f ca="1">IF(OFFSET('RES Techs T15'!$AO7,0,MATCH(VLOOKUP('RES Veda input'!CH$3,'RES Assumptions T15'!$V$3:$W$35,2,FALSE),'RES Techs T15'!$G$3:$U$3,0))=0,"",OFFSET('RES Techs T15'!$AO7,0,MATCH(VLOOKUP('RES Veda input'!CH$3,'RES Assumptions T15'!$V$3:$W$35,2,FALSE),'RES Techs T15'!$G$3:$U$3,0)))</f>
        <v/>
      </c>
      <c r="CI7" s="9" t="str">
        <f ca="1">IF(OFFSET('RES Techs T15'!$AO7,0,MATCH(VLOOKUP('RES Veda input'!CI$3,'RES Assumptions T15'!$V$3:$W$35,2,FALSE),'RES Techs T15'!$G$3:$U$3,0))=0,"",OFFSET('RES Techs T15'!$AO7,0,MATCH(VLOOKUP('RES Veda input'!CI$3,'RES Assumptions T15'!$V$3:$W$35,2,FALSE),'RES Techs T15'!$G$3:$U$3,0)))</f>
        <v/>
      </c>
      <c r="CJ7" s="9">
        <f ca="1">IF(OFFSET('RES Techs T15'!$AO7,0,MATCH(VLOOKUP('RES Veda input'!CJ$3,'RES Assumptions T15'!$V$3:$W$35,2,FALSE),'RES Techs T15'!$G$3:$U$3,0))=0,"",OFFSET('RES Techs T15'!$AO7,0,MATCH(VLOOKUP('RES Veda input'!CJ$3,'RES Assumptions T15'!$V$3:$W$35,2,FALSE),'RES Techs T15'!$G$3:$U$3,0)))</f>
        <v>8.4</v>
      </c>
      <c r="CK7" s="9" t="str">
        <f ca="1">IF(OFFSET('RES Techs T15'!$AO7,0,MATCH(VLOOKUP('RES Veda input'!CK$3,'RES Assumptions T15'!$V$3:$W$35,2,FALSE),'RES Techs T15'!$G$3:$U$3,0))=0,"",OFFSET('RES Techs T15'!$AO7,0,MATCH(VLOOKUP('RES Veda input'!CK$3,'RES Assumptions T15'!$V$3:$W$35,2,FALSE),'RES Techs T15'!$G$3:$U$3,0)))</f>
        <v/>
      </c>
      <c r="CL7" s="9" t="str">
        <f ca="1">IF(OFFSET('RES Techs T15'!$AO7,0,MATCH(VLOOKUP('RES Veda input'!CL$3,'RES Assumptions T15'!$V$3:$W$35,2,FALSE),'RES Techs T15'!$G$3:$U$3,0))=0,"",OFFSET('RES Techs T15'!$AO7,0,MATCH(VLOOKUP('RES Veda input'!CL$3,'RES Assumptions T15'!$V$3:$W$35,2,FALSE),'RES Techs T15'!$G$3:$U$3,0)))</f>
        <v/>
      </c>
      <c r="CM7" s="9">
        <f ca="1">IF(OFFSET('RES Techs T15'!$AO7,0,MATCH(VLOOKUP('RES Veda input'!CM$3,'RES Assumptions T15'!$V$3:$W$35,2,FALSE),'RES Techs T15'!$G$3:$U$3,0))=0,"",OFFSET('RES Techs T15'!$AO7,0,MATCH(VLOOKUP('RES Veda input'!CM$3,'RES Assumptions T15'!$V$3:$W$35,2,FALSE),'RES Techs T15'!$G$3:$U$3,0)))</f>
        <v>7.2</v>
      </c>
      <c r="CN7" s="9">
        <f ca="1">IF(OFFSET('RES Techs T15'!$AO7,0,MATCH(VLOOKUP('RES Veda input'!CN$3,'RES Assumptions T15'!$V$3:$W$35,2,FALSE),'RES Techs T15'!$G$3:$U$3,0))=0,"",OFFSET('RES Techs T15'!$AO7,0,MATCH(VLOOKUP('RES Veda input'!CN$3,'RES Assumptions T15'!$V$3:$W$35,2,FALSE),'RES Techs T15'!$G$3:$U$3,0)))</f>
        <v>8.4</v>
      </c>
      <c r="CO7" s="9" t="str">
        <f ca="1">IF(OFFSET('RES Techs T15'!$AO7,0,MATCH(VLOOKUP('RES Veda input'!CO$3,'RES Assumptions T15'!$V$3:$W$35,2,FALSE),'RES Techs T15'!$G$3:$U$3,0))=0,"",OFFSET('RES Techs T15'!$AO7,0,MATCH(VLOOKUP('RES Veda input'!CO$3,'RES Assumptions T15'!$V$3:$W$35,2,FALSE),'RES Techs T15'!$G$3:$U$3,0)))</f>
        <v/>
      </c>
      <c r="CP7" s="9">
        <f ca="1">IF(OFFSET('RES Techs T15'!$AO7,0,MATCH(VLOOKUP('RES Veda input'!CP$3,'RES Assumptions T15'!$V$3:$W$35,2,FALSE),'RES Techs T15'!$G$3:$U$3,0))=0,"",OFFSET('RES Techs T15'!$AO7,0,MATCH(VLOOKUP('RES Veda input'!CP$3,'RES Assumptions T15'!$V$3:$W$35,2,FALSE),'RES Techs T15'!$G$3:$U$3,0)))</f>
        <v>8.4</v>
      </c>
      <c r="CQ7" s="9" t="str">
        <f ca="1">IF(OFFSET('RES Techs T15'!$AO7,0,MATCH(VLOOKUP('RES Veda input'!CQ$3,'RES Assumptions T15'!$V$3:$W$35,2,FALSE),'RES Techs T15'!$G$3:$U$3,0))=0,"",OFFSET('RES Techs T15'!$AO7,0,MATCH(VLOOKUP('RES Veda input'!CQ$3,'RES Assumptions T15'!$V$3:$W$35,2,FALSE),'RES Techs T15'!$G$3:$U$3,0)))</f>
        <v/>
      </c>
      <c r="CR7" s="9" t="str">
        <f ca="1">IF(OFFSET('RES Techs T15'!$AO7,0,MATCH(VLOOKUP('RES Veda input'!CR$3,'RES Assumptions T15'!$V$3:$W$35,2,FALSE),'RES Techs T15'!$G$3:$U$3,0))=0,"",OFFSET('RES Techs T15'!$AO7,0,MATCH(VLOOKUP('RES Veda input'!CR$3,'RES Assumptions T15'!$V$3:$W$35,2,FALSE),'RES Techs T15'!$G$3:$U$3,0)))</f>
        <v/>
      </c>
      <c r="CS7" s="9">
        <f ca="1">IF(OFFSET('RES Techs T15'!$AO7,0,MATCH(VLOOKUP('RES Veda input'!CS$3,'RES Assumptions T15'!$V$3:$W$35,2,FALSE),'RES Techs T15'!$G$3:$U$3,0))=0,"",OFFSET('RES Techs T15'!$AO7,0,MATCH(VLOOKUP('RES Veda input'!CS$3,'RES Assumptions T15'!$V$3:$W$35,2,FALSE),'RES Techs T15'!$G$3:$U$3,0)))</f>
        <v>8.4</v>
      </c>
      <c r="CT7" s="9" t="str">
        <f ca="1">IF(OFFSET('RES Techs T15'!$AO7,0,MATCH(VLOOKUP('RES Veda input'!CT$3,'RES Assumptions T15'!$V$3:$W$35,2,FALSE),'RES Techs T15'!$G$3:$U$3,0))=0,"",OFFSET('RES Techs T15'!$AO7,0,MATCH(VLOOKUP('RES Veda input'!CT$3,'RES Assumptions T15'!$V$3:$W$35,2,FALSE),'RES Techs T15'!$G$3:$U$3,0)))</f>
        <v/>
      </c>
      <c r="CU7" s="9" t="str">
        <f ca="1">IF(OFFSET('RES Techs T15'!$AO7,0,MATCH(VLOOKUP('RES Veda input'!CU$3,'RES Assumptions T15'!$V$3:$W$35,2,FALSE),'RES Techs T15'!$G$3:$U$3,0))=0,"",OFFSET('RES Techs T15'!$AO7,0,MATCH(VLOOKUP('RES Veda input'!CU$3,'RES Assumptions T15'!$V$3:$W$35,2,FALSE),'RES Techs T15'!$G$3:$U$3,0)))</f>
        <v/>
      </c>
      <c r="CV7" s="9">
        <f ca="1">IF(OFFSET('RES Techs T15'!$AO7,0,MATCH(VLOOKUP('RES Veda input'!CV$3,'RES Assumptions T15'!$V$3:$W$35,2,FALSE),'RES Techs T15'!$G$3:$U$3,0))=0,"",OFFSET('RES Techs T15'!$AO7,0,MATCH(VLOOKUP('RES Veda input'!CV$3,'RES Assumptions T15'!$V$3:$W$35,2,FALSE),'RES Techs T15'!$G$3:$U$3,0)))</f>
        <v>2</v>
      </c>
      <c r="CW7" s="9">
        <f ca="1">IF(OFFSET('RES Techs T15'!$AO7,0,MATCH(VLOOKUP('RES Veda input'!CW$3,'RES Assumptions T15'!$V$3:$W$35,2,FALSE),'RES Techs T15'!$G$3:$U$3,0))=0,"",OFFSET('RES Techs T15'!$AO7,0,MATCH(VLOOKUP('RES Veda input'!CW$3,'RES Assumptions T15'!$V$3:$W$35,2,FALSE),'RES Techs T15'!$G$3:$U$3,0)))</f>
        <v>2</v>
      </c>
      <c r="CY7" s="8" t="str">
        <f t="shared" si="63"/>
        <v>RSCNHP000</v>
      </c>
      <c r="CZ7" s="10">
        <f ca="1">ROUND('RES Assumptions'!E90*'RES Veda input'!G7/'RES Veda input'!AM7,3)</f>
        <v>0</v>
      </c>
      <c r="DA7" s="10">
        <f ca="1">ROUND('RES Assumptions'!F90*'RES Veda input'!H7/'RES Veda input'!AN7,3)</f>
        <v>0</v>
      </c>
      <c r="DB7" s="10">
        <f ca="1">ROUND('RES Assumptions'!G90*'RES Veda input'!I7/'RES Veda input'!AO7,3)</f>
        <v>0</v>
      </c>
      <c r="DC7" s="10">
        <f ca="1">ROUND('RES Assumptions'!H90*'RES Veda input'!J7/'RES Veda input'!AP7,3)</f>
        <v>0</v>
      </c>
      <c r="DD7" s="10">
        <f ca="1">ROUND('RES Assumptions'!I90*'RES Veda input'!K7/'RES Veda input'!AQ7,3)</f>
        <v>0</v>
      </c>
      <c r="DE7" s="10">
        <f ca="1">ROUND('RES Assumptions'!J90*'RES Veda input'!L7/'RES Veda input'!AR7,3)</f>
        <v>0</v>
      </c>
      <c r="DF7" s="10">
        <f ca="1">ROUND('RES Assumptions'!K90*'RES Veda input'!M7/'RES Veda input'!AS7,3)</f>
        <v>0</v>
      </c>
      <c r="DG7" s="10">
        <f ca="1">ROUND('RES Assumptions'!L90*'RES Veda input'!N7/'RES Veda input'!AT7,3)</f>
        <v>0</v>
      </c>
      <c r="DH7" s="10">
        <f ca="1">ROUND('RES Assumptions'!M90*'RES Veda input'!O7/'RES Veda input'!AU7,3)</f>
        <v>0</v>
      </c>
      <c r="DI7" s="10">
        <f ca="1">ROUND('RES Assumptions'!N90*'RES Veda input'!P7/'RES Veda input'!AV7,3)</f>
        <v>0</v>
      </c>
      <c r="DJ7" s="10">
        <f ca="1">ROUND('RES Assumptions'!O90*'RES Veda input'!Q7/'RES Veda input'!AW7,3)</f>
        <v>0</v>
      </c>
      <c r="DK7" s="10">
        <f ca="1">ROUND('RES Assumptions'!P90*'RES Veda input'!R7/'RES Veda input'!AX7,3)</f>
        <v>0</v>
      </c>
      <c r="DL7" s="10">
        <f ca="1">ROUND('RES Assumptions'!Q90*'RES Veda input'!S7/'RES Veda input'!AY7,3)</f>
        <v>0</v>
      </c>
      <c r="DM7" s="10">
        <f ca="1">ROUND('RES Assumptions'!R90*'RES Veda input'!T7/'RES Veda input'!AZ7,3)</f>
        <v>0</v>
      </c>
      <c r="DN7" s="10">
        <f ca="1">ROUND('RES Assumptions'!S90*'RES Veda input'!U7/'RES Veda input'!BA7,3)</f>
        <v>0</v>
      </c>
      <c r="DO7" s="10">
        <f ca="1">ROUND('RES Assumptions'!T90*'RES Veda input'!V7/'RES Veda input'!BB7,3)</f>
        <v>0</v>
      </c>
      <c r="DP7" s="10">
        <f ca="1">ROUND('RES Assumptions'!U90*'RES Veda input'!W7/'RES Veda input'!BC7,3)</f>
        <v>0</v>
      </c>
      <c r="DQ7" s="10">
        <f ca="1">ROUND('RES Assumptions'!V90*'RES Veda input'!X7/'RES Veda input'!BD7,3)</f>
        <v>0</v>
      </c>
      <c r="DR7" s="10">
        <f ca="1">ROUND('RES Assumptions'!W90*'RES Veda input'!Y7/'RES Veda input'!BE7,3)</f>
        <v>0</v>
      </c>
      <c r="DS7" s="10">
        <f ca="1">ROUND('RES Assumptions'!X90*'RES Veda input'!Z7/'RES Veda input'!BF7,3)</f>
        <v>0</v>
      </c>
      <c r="DT7" s="10">
        <f ca="1">ROUND('RES Assumptions'!Y90*'RES Veda input'!AA7/'RES Veda input'!BG7,3)</f>
        <v>0</v>
      </c>
      <c r="DU7" s="10">
        <f ca="1">ROUND('RES Assumptions'!Z90*'RES Veda input'!AB7/'RES Veda input'!BH7,3)</f>
        <v>0</v>
      </c>
      <c r="DV7" s="10">
        <f ca="1">ROUND('RES Assumptions'!AA90*'RES Veda input'!AC7/'RES Veda input'!BI7,3)</f>
        <v>0</v>
      </c>
      <c r="DW7" s="10">
        <f ca="1">ROUND('RES Assumptions'!AB90*'RES Veda input'!AD7/'RES Veda input'!BJ7,3)</f>
        <v>0</v>
      </c>
      <c r="DX7" s="10">
        <f ca="1">ROUND('RES Assumptions'!AC90*'RES Veda input'!AE7/'RES Veda input'!BK7,3)</f>
        <v>0</v>
      </c>
      <c r="DY7" s="10">
        <f ca="1">ROUND('RES Assumptions'!AD90*'RES Veda input'!AF7/'RES Veda input'!BL7,3)</f>
        <v>0</v>
      </c>
      <c r="DZ7" s="10">
        <f ca="1">ROUND('RES Assumptions'!AE90*'RES Veda input'!AG7/'RES Veda input'!BM7,3)</f>
        <v>0</v>
      </c>
      <c r="EA7" s="10">
        <f ca="1">ROUND('RES Assumptions'!AF90*'RES Veda input'!AH7/'RES Veda input'!BN7,3)</f>
        <v>0</v>
      </c>
      <c r="EB7" s="10">
        <f ca="1">ROUND('RES Assumptions'!AG90*'RES Veda input'!AI7/'RES Veda input'!BO7,3)</f>
        <v>0</v>
      </c>
      <c r="EC7" s="10">
        <f ca="1">ROUND('RES Assumptions'!AH90*'RES Veda input'!AJ7/'RES Veda input'!BP7,3)</f>
        <v>0</v>
      </c>
      <c r="ED7">
        <v>15</v>
      </c>
      <c r="EG7" t="s">
        <v>281</v>
      </c>
      <c r="EH7" t="str">
        <f t="shared" si="64"/>
        <v>RSCNHP000</v>
      </c>
      <c r="EJ7" t="s">
        <v>282</v>
      </c>
      <c r="EK7" t="s">
        <v>283</v>
      </c>
    </row>
    <row r="8" spans="1:144" x14ac:dyDescent="0.45">
      <c r="A8" s="37" t="str">
        <f>'RES Assumptions'!B91</f>
        <v>RC</v>
      </c>
      <c r="B8" s="37" t="s">
        <v>104</v>
      </c>
      <c r="D8" s="51" t="s">
        <v>289</v>
      </c>
      <c r="E8" s="8" t="str">
        <f>'RES Assumptions'!A91</f>
        <v>RESELC</v>
      </c>
      <c r="F8" s="8" t="str">
        <f>VLOOKUP(A8,'RES Assumptions'!$AN$87:$AO$97,2,FALSE)</f>
        <v>RSC</v>
      </c>
      <c r="G8" s="9">
        <f ca="1">OFFSET('RES Techs T15'!$F8,0,MATCH(VLOOKUP('RES Veda input'!G$3,'RES Assumptions T15'!$V$3:$W$35,2,FALSE),'RES Techs T15'!$G$3:$U$3,0))</f>
        <v>3</v>
      </c>
      <c r="H8" s="9">
        <f ca="1">OFFSET('RES Techs T15'!$F8,0,MATCH(VLOOKUP('RES Veda input'!H$3,'RES Assumptions T15'!$V$3:$W$35,2,FALSE),'RES Techs T15'!$G$3:$U$3,0))</f>
        <v>3</v>
      </c>
      <c r="I8" s="9">
        <f ca="1">OFFSET('RES Techs T15'!$F8,0,MATCH(VLOOKUP('RES Veda input'!I$3,'RES Assumptions T15'!$V$3:$W$35,2,FALSE),'RES Techs T15'!$G$3:$U$3,0))</f>
        <v>3</v>
      </c>
      <c r="J8" s="9">
        <f ca="1">OFFSET('RES Techs T15'!$F8,0,MATCH(VLOOKUP('RES Veda input'!J$3,'RES Assumptions T15'!$V$3:$W$35,2,FALSE),'RES Techs T15'!$G$3:$U$3,0))</f>
        <v>3</v>
      </c>
      <c r="K8" s="9">
        <f ca="1">OFFSET('RES Techs T15'!$F8,0,MATCH(VLOOKUP('RES Veda input'!K$3,'RES Assumptions T15'!$V$3:$W$35,2,FALSE),'RES Techs T15'!$G$3:$U$3,0))</f>
        <v>3</v>
      </c>
      <c r="L8" s="9">
        <f ca="1">OFFSET('RES Techs T15'!$F8,0,MATCH(VLOOKUP('RES Veda input'!L$3,'RES Assumptions T15'!$V$3:$W$35,2,FALSE),'RES Techs T15'!$G$3:$U$3,0))</f>
        <v>3</v>
      </c>
      <c r="M8" s="9">
        <f ca="1">OFFSET('RES Techs T15'!$F8,0,MATCH(VLOOKUP('RES Veda input'!M$3,'RES Assumptions T15'!$V$3:$W$35,2,FALSE),'RES Techs T15'!$G$3:$U$3,0))</f>
        <v>3</v>
      </c>
      <c r="N8" s="9">
        <f ca="1">OFFSET('RES Techs T15'!$F8,0,MATCH(VLOOKUP('RES Veda input'!N$3,'RES Assumptions T15'!$V$3:$W$35,2,FALSE),'RES Techs T15'!$G$3:$U$3,0))</f>
        <v>3</v>
      </c>
      <c r="O8" s="9">
        <f ca="1">OFFSET('RES Techs T15'!$F8,0,MATCH(VLOOKUP('RES Veda input'!O$3,'RES Assumptions T15'!$V$3:$W$35,2,FALSE),'RES Techs T15'!$G$3:$U$3,0))</f>
        <v>3</v>
      </c>
      <c r="P8" s="9">
        <f ca="1">OFFSET('RES Techs T15'!$F8,0,MATCH(VLOOKUP('RES Veda input'!P$3,'RES Assumptions T15'!$V$3:$W$35,2,FALSE),'RES Techs T15'!$G$3:$U$3,0))</f>
        <v>3</v>
      </c>
      <c r="Q8" s="9">
        <f ca="1">OFFSET('RES Techs T15'!$F8,0,MATCH(VLOOKUP('RES Veda input'!Q$3,'RES Assumptions T15'!$V$3:$W$35,2,FALSE),'RES Techs T15'!$G$3:$U$3,0))</f>
        <v>3</v>
      </c>
      <c r="R8" s="9">
        <f ca="1">OFFSET('RES Techs T15'!$F8,0,MATCH(VLOOKUP('RES Veda input'!R$3,'RES Assumptions T15'!$V$3:$W$35,2,FALSE),'RES Techs T15'!$G$3:$U$3,0))</f>
        <v>3</v>
      </c>
      <c r="S8" s="9">
        <f ca="1">OFFSET('RES Techs T15'!$F8,0,MATCH(VLOOKUP('RES Veda input'!S$3,'RES Assumptions T15'!$V$3:$W$35,2,FALSE),'RES Techs T15'!$G$3:$U$3,0))</f>
        <v>3</v>
      </c>
      <c r="T8" s="9">
        <f ca="1">OFFSET('RES Techs T15'!$F8,0,MATCH(VLOOKUP('RES Veda input'!T$3,'RES Assumptions T15'!$V$3:$W$35,2,FALSE),'RES Techs T15'!$G$3:$U$3,0))</f>
        <v>3</v>
      </c>
      <c r="U8" s="9">
        <f ca="1">OFFSET('RES Techs T15'!$F8,0,MATCH(VLOOKUP('RES Veda input'!U$3,'RES Assumptions T15'!$V$3:$W$35,2,FALSE),'RES Techs T15'!$G$3:$U$3,0))</f>
        <v>3</v>
      </c>
      <c r="V8" s="9">
        <f ca="1">OFFSET('RES Techs T15'!$F8,0,MATCH(VLOOKUP('RES Veda input'!V$3,'RES Assumptions T15'!$V$3:$W$35,2,FALSE),'RES Techs T15'!$G$3:$U$3,0))</f>
        <v>3</v>
      </c>
      <c r="W8" s="9">
        <f ca="1">OFFSET('RES Techs T15'!$F8,0,MATCH(VLOOKUP('RES Veda input'!W$3,'RES Assumptions T15'!$V$3:$W$35,2,FALSE),'RES Techs T15'!$G$3:$U$3,0))</f>
        <v>3</v>
      </c>
      <c r="X8" s="9">
        <f ca="1">OFFSET('RES Techs T15'!$F8,0,MATCH(VLOOKUP('RES Veda input'!X$3,'RES Assumptions T15'!$V$3:$W$35,2,FALSE),'RES Techs T15'!$G$3:$U$3,0))</f>
        <v>3</v>
      </c>
      <c r="Y8" s="9">
        <f ca="1">OFFSET('RES Techs T15'!$F8,0,MATCH(VLOOKUP('RES Veda input'!Y$3,'RES Assumptions T15'!$V$3:$W$35,2,FALSE),'RES Techs T15'!$G$3:$U$3,0))</f>
        <v>3</v>
      </c>
      <c r="Z8" s="9">
        <f ca="1">OFFSET('RES Techs T15'!$F8,0,MATCH(VLOOKUP('RES Veda input'!Z$3,'RES Assumptions T15'!$V$3:$W$35,2,FALSE),'RES Techs T15'!$G$3:$U$3,0))</f>
        <v>3</v>
      </c>
      <c r="AA8" s="9">
        <f ca="1">OFFSET('RES Techs T15'!$F8,0,MATCH(VLOOKUP('RES Veda input'!AA$3,'RES Assumptions T15'!$V$3:$W$35,2,FALSE),'RES Techs T15'!$G$3:$U$3,0))</f>
        <v>3</v>
      </c>
      <c r="AB8" s="9">
        <f ca="1">OFFSET('RES Techs T15'!$F8,0,MATCH(VLOOKUP('RES Veda input'!AB$3,'RES Assumptions T15'!$V$3:$W$35,2,FALSE),'RES Techs T15'!$G$3:$U$3,0))</f>
        <v>3</v>
      </c>
      <c r="AC8" s="9">
        <f ca="1">OFFSET('RES Techs T15'!$F8,0,MATCH(VLOOKUP('RES Veda input'!AC$3,'RES Assumptions T15'!$V$3:$W$35,2,FALSE),'RES Techs T15'!$G$3:$U$3,0))</f>
        <v>3</v>
      </c>
      <c r="AD8" s="9">
        <f ca="1">OFFSET('RES Techs T15'!$F8,0,MATCH(VLOOKUP('RES Veda input'!AD$3,'RES Assumptions T15'!$V$3:$W$35,2,FALSE),'RES Techs T15'!$G$3:$U$3,0))</f>
        <v>3</v>
      </c>
      <c r="AE8" s="9">
        <f ca="1">OFFSET('RES Techs T15'!$F8,0,MATCH(VLOOKUP('RES Veda input'!AE$3,'RES Assumptions T15'!$V$3:$W$35,2,FALSE),'RES Techs T15'!$G$3:$U$3,0))</f>
        <v>3</v>
      </c>
      <c r="AF8" s="9">
        <f ca="1">OFFSET('RES Techs T15'!$F8,0,MATCH(VLOOKUP('RES Veda input'!AF$3,'RES Assumptions T15'!$V$3:$W$35,2,FALSE),'RES Techs T15'!$G$3:$U$3,0))</f>
        <v>3</v>
      </c>
      <c r="AG8" s="9">
        <f ca="1">OFFSET('RES Techs T15'!$F8,0,MATCH(VLOOKUP('RES Veda input'!AG$3,'RES Assumptions T15'!$V$3:$W$35,2,FALSE),'RES Techs T15'!$G$3:$U$3,0))</f>
        <v>3</v>
      </c>
      <c r="AH8" s="9">
        <f ca="1">OFFSET('RES Techs T15'!$F8,0,MATCH(VLOOKUP('RES Veda input'!AH$3,'RES Assumptions T15'!$V$3:$W$35,2,FALSE),'RES Techs T15'!$G$3:$U$3,0))</f>
        <v>3</v>
      </c>
      <c r="AI8" s="9">
        <f ca="1">OFFSET('RES Techs T15'!$F8,0,MATCH(VLOOKUP('RES Veda input'!AI$3,'RES Assumptions T15'!$V$3:$W$35,2,FALSE),'RES Techs T15'!$G$3:$U$3,0))</f>
        <v>3</v>
      </c>
      <c r="AJ8" s="9">
        <f ca="1">OFFSET('RES Techs T15'!$F8,0,MATCH(VLOOKUP('RES Veda input'!AJ$3,'RES Assumptions T15'!$V$3:$W$35,2,FALSE),'RES Techs T15'!$G$3:$U$3,0))</f>
        <v>3</v>
      </c>
      <c r="AL8" s="8" t="str">
        <f t="shared" si="60"/>
        <v>RSCRAE000</v>
      </c>
      <c r="AM8" s="9">
        <f ca="1">OFFSET('RES Techs T15'!$W8,0,MATCH(VLOOKUP('RES Veda input'!AM$3,'RES Assumptions T15'!$V$3:$W$35,2,FALSE),'RES Techs T15'!$G$3:$U$3,0))</f>
        <v>0.16</v>
      </c>
      <c r="AN8" s="9">
        <f ca="1">OFFSET('RES Techs T15'!$W8,0,MATCH(VLOOKUP('RES Veda input'!AN$3,'RES Assumptions T15'!$V$3:$W$35,2,FALSE),'RES Techs T15'!$G$3:$U$3,0))</f>
        <v>0.16</v>
      </c>
      <c r="AO8" s="9">
        <f ca="1">OFFSET('RES Techs T15'!$W8,0,MATCH(VLOOKUP('RES Veda input'!AO$3,'RES Assumptions T15'!$V$3:$W$35,2,FALSE),'RES Techs T15'!$G$3:$U$3,0))</f>
        <v>0.13</v>
      </c>
      <c r="AP8" s="9">
        <f ca="1">OFFSET('RES Techs T15'!$W8,0,MATCH(VLOOKUP('RES Veda input'!AP$3,'RES Assumptions T15'!$V$3:$W$35,2,FALSE),'RES Techs T15'!$G$3:$U$3,0))</f>
        <v>0.1</v>
      </c>
      <c r="AQ8" s="9">
        <f ca="1">OFFSET('RES Techs T15'!$W8,0,MATCH(VLOOKUP('RES Veda input'!AQ$3,'RES Assumptions T15'!$V$3:$W$35,2,FALSE),'RES Techs T15'!$G$3:$U$3,0))</f>
        <v>0.13</v>
      </c>
      <c r="AR8" s="9">
        <f ca="1">OFFSET('RES Techs T15'!$W8,0,MATCH(VLOOKUP('RES Veda input'!AR$3,'RES Assumptions T15'!$V$3:$W$35,2,FALSE),'RES Techs T15'!$G$3:$U$3,0))</f>
        <v>0.15</v>
      </c>
      <c r="AS8" s="9">
        <f ca="1">OFFSET('RES Techs T15'!$W8,0,MATCH(VLOOKUP('RES Veda input'!AS$3,'RES Assumptions T15'!$V$3:$W$35,2,FALSE),'RES Techs T15'!$G$3:$U$3,0))</f>
        <v>0.05</v>
      </c>
      <c r="AT8" s="9">
        <f ca="1">OFFSET('RES Techs T15'!$W8,0,MATCH(VLOOKUP('RES Veda input'!AT$3,'RES Assumptions T15'!$V$3:$W$35,2,FALSE),'RES Techs T15'!$G$3:$U$3,0))</f>
        <v>0.13</v>
      </c>
      <c r="AU8" s="9">
        <f ca="1">OFFSET('RES Techs T15'!$W8,0,MATCH(VLOOKUP('RES Veda input'!AU$3,'RES Assumptions T15'!$V$3:$W$35,2,FALSE),'RES Techs T15'!$G$3:$U$3,0))</f>
        <v>0.05</v>
      </c>
      <c r="AV8" s="9">
        <f ca="1">OFFSET('RES Techs T15'!$W8,0,MATCH(VLOOKUP('RES Veda input'!AV$3,'RES Assumptions T15'!$V$3:$W$35,2,FALSE),'RES Techs T15'!$G$3:$U$3,0))</f>
        <v>0.13</v>
      </c>
      <c r="AW8" s="9">
        <f ca="1">OFFSET('RES Techs T15'!$W8,0,MATCH(VLOOKUP('RES Veda input'!AW$3,'RES Assumptions T15'!$V$3:$W$35,2,FALSE),'RES Techs T15'!$G$3:$U$3,0))</f>
        <v>0.13</v>
      </c>
      <c r="AX8" s="9">
        <f ca="1">OFFSET('RES Techs T15'!$W8,0,MATCH(VLOOKUP('RES Veda input'!AX$3,'RES Assumptions T15'!$V$3:$W$35,2,FALSE),'RES Techs T15'!$G$3:$U$3,0))</f>
        <v>0.1</v>
      </c>
      <c r="AY8" s="9">
        <f ca="1">OFFSET('RES Techs T15'!$W8,0,MATCH(VLOOKUP('RES Veda input'!AY$3,'RES Assumptions T15'!$V$3:$W$35,2,FALSE),'RES Techs T15'!$G$3:$U$3,0))</f>
        <v>0.13</v>
      </c>
      <c r="AZ8" s="9">
        <f ca="1">OFFSET('RES Techs T15'!$W8,0,MATCH(VLOOKUP('RES Veda input'!AZ$3,'RES Assumptions T15'!$V$3:$W$35,2,FALSE),'RES Techs T15'!$G$3:$U$3,0))</f>
        <v>0.13</v>
      </c>
      <c r="BA8" s="9">
        <f ca="1">OFFSET('RES Techs T15'!$W8,0,MATCH(VLOOKUP('RES Veda input'!BA$3,'RES Assumptions T15'!$V$3:$W$35,2,FALSE),'RES Techs T15'!$G$3:$U$3,0))</f>
        <v>0.1</v>
      </c>
      <c r="BB8" s="9">
        <f ca="1">OFFSET('RES Techs T15'!$W8,0,MATCH(VLOOKUP('RES Veda input'!BB$3,'RES Assumptions T15'!$V$3:$W$35,2,FALSE),'RES Techs T15'!$G$3:$U$3,0))</f>
        <v>0.13</v>
      </c>
      <c r="BC8" s="9">
        <f ca="1">OFFSET('RES Techs T15'!$W8,0,MATCH(VLOOKUP('RES Veda input'!BC$3,'RES Assumptions T15'!$V$3:$W$35,2,FALSE),'RES Techs T15'!$G$3:$U$3,0))</f>
        <v>0.13</v>
      </c>
      <c r="BD8" s="9">
        <f ca="1">OFFSET('RES Techs T15'!$W8,0,MATCH(VLOOKUP('RES Veda input'!BD$3,'RES Assumptions T15'!$V$3:$W$35,2,FALSE),'RES Techs T15'!$G$3:$U$3,0))</f>
        <v>0.13</v>
      </c>
      <c r="BE8" s="9">
        <f ca="1">OFFSET('RES Techs T15'!$W8,0,MATCH(VLOOKUP('RES Veda input'!BE$3,'RES Assumptions T15'!$V$3:$W$35,2,FALSE),'RES Techs T15'!$G$3:$U$3,0))</f>
        <v>0.13</v>
      </c>
      <c r="BF8" s="9">
        <f ca="1">OFFSET('RES Techs T15'!$W8,0,MATCH(VLOOKUP('RES Veda input'!BF$3,'RES Assumptions T15'!$V$3:$W$35,2,FALSE),'RES Techs T15'!$G$3:$U$3,0))</f>
        <v>0.13</v>
      </c>
      <c r="BG8" s="9">
        <f ca="1">OFFSET('RES Techs T15'!$W8,0,MATCH(VLOOKUP('RES Veda input'!BG$3,'RES Assumptions T15'!$V$3:$W$35,2,FALSE),'RES Techs T15'!$G$3:$U$3,0))</f>
        <v>0.13</v>
      </c>
      <c r="BH8" s="9">
        <f ca="1">OFFSET('RES Techs T15'!$W8,0,MATCH(VLOOKUP('RES Veda input'!BH$3,'RES Assumptions T15'!$V$3:$W$35,2,FALSE),'RES Techs T15'!$G$3:$U$3,0))</f>
        <v>0.13</v>
      </c>
      <c r="BI8" s="9">
        <f ca="1">OFFSET('RES Techs T15'!$W8,0,MATCH(VLOOKUP('RES Veda input'!BI$3,'RES Assumptions T15'!$V$3:$W$35,2,FALSE),'RES Techs T15'!$G$3:$U$3,0))</f>
        <v>0.13</v>
      </c>
      <c r="BJ8" s="9">
        <f ca="1">OFFSET('RES Techs T15'!$W8,0,MATCH(VLOOKUP('RES Veda input'!BJ$3,'RES Assumptions T15'!$V$3:$W$35,2,FALSE),'RES Techs T15'!$G$3:$U$3,0))</f>
        <v>0.13</v>
      </c>
      <c r="BK8" s="9">
        <f ca="1">OFFSET('RES Techs T15'!$W8,0,MATCH(VLOOKUP('RES Veda input'!BK$3,'RES Assumptions T15'!$V$3:$W$35,2,FALSE),'RES Techs T15'!$G$3:$U$3,0))</f>
        <v>0.1</v>
      </c>
      <c r="BL8" s="9">
        <f ca="1">OFFSET('RES Techs T15'!$W8,0,MATCH(VLOOKUP('RES Veda input'!BL$3,'RES Assumptions T15'!$V$3:$W$35,2,FALSE),'RES Techs T15'!$G$3:$U$3,0))</f>
        <v>0.13</v>
      </c>
      <c r="BM8" s="9">
        <f ca="1">OFFSET('RES Techs T15'!$W8,0,MATCH(VLOOKUP('RES Veda input'!BM$3,'RES Assumptions T15'!$V$3:$W$35,2,FALSE),'RES Techs T15'!$G$3:$U$3,0))</f>
        <v>0.16</v>
      </c>
      <c r="BN8" s="9">
        <f ca="1">OFFSET('RES Techs T15'!$W8,0,MATCH(VLOOKUP('RES Veda input'!BN$3,'RES Assumptions T15'!$V$3:$W$35,2,FALSE),'RES Techs T15'!$G$3:$U$3,0))</f>
        <v>0.13</v>
      </c>
      <c r="BO8" s="9">
        <f ca="1">OFFSET('RES Techs T15'!$W8,0,MATCH(VLOOKUP('RES Veda input'!BO$3,'RES Assumptions T15'!$V$3:$W$35,2,FALSE),'RES Techs T15'!$G$3:$U$3,0))</f>
        <v>0.13</v>
      </c>
      <c r="BP8" s="9">
        <f ca="1">OFFSET('RES Techs T15'!$W8,0,MATCH(VLOOKUP('RES Veda input'!BP$3,'RES Assumptions T15'!$V$3:$W$35,2,FALSE),'RES Techs T15'!$G$3:$U$3,0))</f>
        <v>0.13</v>
      </c>
      <c r="BR8" s="8" t="str">
        <f t="shared" si="61"/>
        <v>RSCRAE000</v>
      </c>
      <c r="BS8" s="9">
        <f t="shared" ca="1" si="62"/>
        <v>8.4</v>
      </c>
      <c r="BT8" s="9" t="str">
        <f ca="1">IF(OFFSET('RES Techs T15'!$AO8,0,MATCH(VLOOKUP('RES Veda input'!BT$3,'RES Assumptions T15'!$V$3:$W$35,2,FALSE),'RES Techs T15'!$G$3:$U$3,0))=0,"",OFFSET('RES Techs T15'!$AO8,0,MATCH(VLOOKUP('RES Veda input'!BT$3,'RES Assumptions T15'!$V$3:$W$35,2,FALSE),'RES Techs T15'!$G$3:$U$3,0)))</f>
        <v/>
      </c>
      <c r="BU8" s="9" t="str">
        <f ca="1">IF(OFFSET('RES Techs T15'!$AO8,0,MATCH(VLOOKUP('RES Veda input'!BU$3,'RES Assumptions T15'!$V$3:$W$35,2,FALSE),'RES Techs T15'!$G$3:$U$3,0))=0,"",OFFSET('RES Techs T15'!$AO8,0,MATCH(VLOOKUP('RES Veda input'!BU$3,'RES Assumptions T15'!$V$3:$W$35,2,FALSE),'RES Techs T15'!$G$3:$U$3,0)))</f>
        <v/>
      </c>
      <c r="BV8" s="9">
        <f ca="1">IF(OFFSET('RES Techs T15'!$AO8,0,MATCH(VLOOKUP('RES Veda input'!BV$3,'RES Assumptions T15'!$V$3:$W$35,2,FALSE),'RES Techs T15'!$G$3:$U$3,0))=0,"",OFFSET('RES Techs T15'!$AO8,0,MATCH(VLOOKUP('RES Veda input'!BV$3,'RES Assumptions T15'!$V$3:$W$35,2,FALSE),'RES Techs T15'!$G$3:$U$3,0)))</f>
        <v>9.8000000000000007</v>
      </c>
      <c r="BW8" s="9" t="str">
        <f ca="1">IF(OFFSET('RES Techs T15'!$AO8,0,MATCH(VLOOKUP('RES Veda input'!BW$3,'RES Assumptions T15'!$V$3:$W$35,2,FALSE),'RES Techs T15'!$G$3:$U$3,0))=0,"",OFFSET('RES Techs T15'!$AO8,0,MATCH(VLOOKUP('RES Veda input'!BW$3,'RES Assumptions T15'!$V$3:$W$35,2,FALSE),'RES Techs T15'!$G$3:$U$3,0)))</f>
        <v/>
      </c>
      <c r="BX8" s="9">
        <f ca="1">IF(OFFSET('RES Techs T15'!$AO8,0,MATCH(VLOOKUP('RES Veda input'!BX$3,'RES Assumptions T15'!$V$3:$W$35,2,FALSE),'RES Techs T15'!$G$3:$U$3,0))=0,"",OFFSET('RES Techs T15'!$AO8,0,MATCH(VLOOKUP('RES Veda input'!BX$3,'RES Assumptions T15'!$V$3:$W$35,2,FALSE),'RES Techs T15'!$G$3:$U$3,0)))</f>
        <v>14</v>
      </c>
      <c r="BY8" s="9">
        <f ca="1">IF(OFFSET('RES Techs T15'!$AO8,0,MATCH(VLOOKUP('RES Veda input'!BY$3,'RES Assumptions T15'!$V$3:$W$35,2,FALSE),'RES Techs T15'!$G$3:$U$3,0))=0,"",OFFSET('RES Techs T15'!$AO8,0,MATCH(VLOOKUP('RES Veda input'!BY$3,'RES Assumptions T15'!$V$3:$W$35,2,FALSE),'RES Techs T15'!$G$3:$U$3,0)))</f>
        <v>8.4</v>
      </c>
      <c r="BZ8" s="9" t="str">
        <f ca="1">IF(OFFSET('RES Techs T15'!$AO8,0,MATCH(VLOOKUP('RES Veda input'!BZ$3,'RES Assumptions T15'!$V$3:$W$35,2,FALSE),'RES Techs T15'!$G$3:$U$3,0))=0,"",OFFSET('RES Techs T15'!$AO8,0,MATCH(VLOOKUP('RES Veda input'!BZ$3,'RES Assumptions T15'!$V$3:$W$35,2,FALSE),'RES Techs T15'!$G$3:$U$3,0)))</f>
        <v/>
      </c>
      <c r="CA8" s="9">
        <f ca="1">IF(OFFSET('RES Techs T15'!$AO8,0,MATCH(VLOOKUP('RES Veda input'!CA$3,'RES Assumptions T15'!$V$3:$W$35,2,FALSE),'RES Techs T15'!$G$3:$U$3,0))=0,"",OFFSET('RES Techs T15'!$AO8,0,MATCH(VLOOKUP('RES Veda input'!CA$3,'RES Assumptions T15'!$V$3:$W$35,2,FALSE),'RES Techs T15'!$G$3:$U$3,0)))</f>
        <v>9.8000000000000007</v>
      </c>
      <c r="CB8" s="9" t="str">
        <f ca="1">IF(OFFSET('RES Techs T15'!$AO8,0,MATCH(VLOOKUP('RES Veda input'!CB$3,'RES Assumptions T15'!$V$3:$W$35,2,FALSE),'RES Techs T15'!$G$3:$U$3,0))=0,"",OFFSET('RES Techs T15'!$AO8,0,MATCH(VLOOKUP('RES Veda input'!CB$3,'RES Assumptions T15'!$V$3:$W$35,2,FALSE),'RES Techs T15'!$G$3:$U$3,0)))</f>
        <v/>
      </c>
      <c r="CC8" s="9">
        <f ca="1">IF(OFFSET('RES Techs T15'!$AO8,0,MATCH(VLOOKUP('RES Veda input'!CC$3,'RES Assumptions T15'!$V$3:$W$35,2,FALSE),'RES Techs T15'!$G$3:$U$3,0))=0,"",OFFSET('RES Techs T15'!$AO8,0,MATCH(VLOOKUP('RES Veda input'!CC$3,'RES Assumptions T15'!$V$3:$W$35,2,FALSE),'RES Techs T15'!$G$3:$U$3,0)))</f>
        <v>8.4</v>
      </c>
      <c r="CD8" s="9" t="str">
        <f ca="1">IF(OFFSET('RES Techs T15'!$AO8,0,MATCH(VLOOKUP('RES Veda input'!CD$3,'RES Assumptions T15'!$V$3:$W$35,2,FALSE),'RES Techs T15'!$G$3:$U$3,0))=0,"",OFFSET('RES Techs T15'!$AO8,0,MATCH(VLOOKUP('RES Veda input'!CD$3,'RES Assumptions T15'!$V$3:$W$35,2,FALSE),'RES Techs T15'!$G$3:$U$3,0)))</f>
        <v/>
      </c>
      <c r="CE8" s="9" t="str">
        <f ca="1">IF(OFFSET('RES Techs T15'!$AO8,0,MATCH(VLOOKUP('RES Veda input'!CE$3,'RES Assumptions T15'!$V$3:$W$35,2,FALSE),'RES Techs T15'!$G$3:$U$3,0))=0,"",OFFSET('RES Techs T15'!$AO8,0,MATCH(VLOOKUP('RES Veda input'!CE$3,'RES Assumptions T15'!$V$3:$W$35,2,FALSE),'RES Techs T15'!$G$3:$U$3,0)))</f>
        <v/>
      </c>
      <c r="CF8" s="9" t="str">
        <f ca="1">IF(OFFSET('RES Techs T15'!$AO8,0,MATCH(VLOOKUP('RES Veda input'!CF$3,'RES Assumptions T15'!$V$3:$W$35,2,FALSE),'RES Techs T15'!$G$3:$U$3,0))=0,"",OFFSET('RES Techs T15'!$AO8,0,MATCH(VLOOKUP('RES Veda input'!CF$3,'RES Assumptions T15'!$V$3:$W$35,2,FALSE),'RES Techs T15'!$G$3:$U$3,0)))</f>
        <v/>
      </c>
      <c r="CG8" s="9" t="str">
        <f ca="1">IF(OFFSET('RES Techs T15'!$AO8,0,MATCH(VLOOKUP('RES Veda input'!CG$3,'RES Assumptions T15'!$V$3:$W$35,2,FALSE),'RES Techs T15'!$G$3:$U$3,0))=0,"",OFFSET('RES Techs T15'!$AO8,0,MATCH(VLOOKUP('RES Veda input'!CG$3,'RES Assumptions T15'!$V$3:$W$35,2,FALSE),'RES Techs T15'!$G$3:$U$3,0)))</f>
        <v/>
      </c>
      <c r="CH8" s="9" t="str">
        <f ca="1">IF(OFFSET('RES Techs T15'!$AO8,0,MATCH(VLOOKUP('RES Veda input'!CH$3,'RES Assumptions T15'!$V$3:$W$35,2,FALSE),'RES Techs T15'!$G$3:$U$3,0))=0,"",OFFSET('RES Techs T15'!$AO8,0,MATCH(VLOOKUP('RES Veda input'!CH$3,'RES Assumptions T15'!$V$3:$W$35,2,FALSE),'RES Techs T15'!$G$3:$U$3,0)))</f>
        <v/>
      </c>
      <c r="CI8" s="9" t="str">
        <f ca="1">IF(OFFSET('RES Techs T15'!$AO8,0,MATCH(VLOOKUP('RES Veda input'!CI$3,'RES Assumptions T15'!$V$3:$W$35,2,FALSE),'RES Techs T15'!$G$3:$U$3,0))=0,"",OFFSET('RES Techs T15'!$AO8,0,MATCH(VLOOKUP('RES Veda input'!CI$3,'RES Assumptions T15'!$V$3:$W$35,2,FALSE),'RES Techs T15'!$G$3:$U$3,0)))</f>
        <v/>
      </c>
      <c r="CJ8" s="9">
        <f ca="1">IF(OFFSET('RES Techs T15'!$AO8,0,MATCH(VLOOKUP('RES Veda input'!CJ$3,'RES Assumptions T15'!$V$3:$W$35,2,FALSE),'RES Techs T15'!$G$3:$U$3,0))=0,"",OFFSET('RES Techs T15'!$AO8,0,MATCH(VLOOKUP('RES Veda input'!CJ$3,'RES Assumptions T15'!$V$3:$W$35,2,FALSE),'RES Techs T15'!$G$3:$U$3,0)))</f>
        <v>9.8000000000000007</v>
      </c>
      <c r="CK8" s="9" t="str">
        <f ca="1">IF(OFFSET('RES Techs T15'!$AO8,0,MATCH(VLOOKUP('RES Veda input'!CK$3,'RES Assumptions T15'!$V$3:$W$35,2,FALSE),'RES Techs T15'!$G$3:$U$3,0))=0,"",OFFSET('RES Techs T15'!$AO8,0,MATCH(VLOOKUP('RES Veda input'!CK$3,'RES Assumptions T15'!$V$3:$W$35,2,FALSE),'RES Techs T15'!$G$3:$U$3,0)))</f>
        <v/>
      </c>
      <c r="CL8" s="9" t="str">
        <f ca="1">IF(OFFSET('RES Techs T15'!$AO8,0,MATCH(VLOOKUP('RES Veda input'!CL$3,'RES Assumptions T15'!$V$3:$W$35,2,FALSE),'RES Techs T15'!$G$3:$U$3,0))=0,"",OFFSET('RES Techs T15'!$AO8,0,MATCH(VLOOKUP('RES Veda input'!CL$3,'RES Assumptions T15'!$V$3:$W$35,2,FALSE),'RES Techs T15'!$G$3:$U$3,0)))</f>
        <v/>
      </c>
      <c r="CM8" s="9">
        <f ca="1">IF(OFFSET('RES Techs T15'!$AO8,0,MATCH(VLOOKUP('RES Veda input'!CM$3,'RES Assumptions T15'!$V$3:$W$35,2,FALSE),'RES Techs T15'!$G$3:$U$3,0))=0,"",OFFSET('RES Techs T15'!$AO8,0,MATCH(VLOOKUP('RES Veda input'!CM$3,'RES Assumptions T15'!$V$3:$W$35,2,FALSE),'RES Techs T15'!$G$3:$U$3,0)))</f>
        <v>8.4</v>
      </c>
      <c r="CN8" s="9">
        <f ca="1">IF(OFFSET('RES Techs T15'!$AO8,0,MATCH(VLOOKUP('RES Veda input'!CN$3,'RES Assumptions T15'!$V$3:$W$35,2,FALSE),'RES Techs T15'!$G$3:$U$3,0))=0,"",OFFSET('RES Techs T15'!$AO8,0,MATCH(VLOOKUP('RES Veda input'!CN$3,'RES Assumptions T15'!$V$3:$W$35,2,FALSE),'RES Techs T15'!$G$3:$U$3,0)))</f>
        <v>9.8000000000000007</v>
      </c>
      <c r="CO8" s="9" t="str">
        <f ca="1">IF(OFFSET('RES Techs T15'!$AO8,0,MATCH(VLOOKUP('RES Veda input'!CO$3,'RES Assumptions T15'!$V$3:$W$35,2,FALSE),'RES Techs T15'!$G$3:$U$3,0))=0,"",OFFSET('RES Techs T15'!$AO8,0,MATCH(VLOOKUP('RES Veda input'!CO$3,'RES Assumptions T15'!$V$3:$W$35,2,FALSE),'RES Techs T15'!$G$3:$U$3,0)))</f>
        <v/>
      </c>
      <c r="CP8" s="9">
        <f ca="1">IF(OFFSET('RES Techs T15'!$AO8,0,MATCH(VLOOKUP('RES Veda input'!CP$3,'RES Assumptions T15'!$V$3:$W$35,2,FALSE),'RES Techs T15'!$G$3:$U$3,0))=0,"",OFFSET('RES Techs T15'!$AO8,0,MATCH(VLOOKUP('RES Veda input'!CP$3,'RES Assumptions T15'!$V$3:$W$35,2,FALSE),'RES Techs T15'!$G$3:$U$3,0)))</f>
        <v>9.8000000000000007</v>
      </c>
      <c r="CQ8" s="9" t="str">
        <f ca="1">IF(OFFSET('RES Techs T15'!$AO8,0,MATCH(VLOOKUP('RES Veda input'!CQ$3,'RES Assumptions T15'!$V$3:$W$35,2,FALSE),'RES Techs T15'!$G$3:$U$3,0))=0,"",OFFSET('RES Techs T15'!$AO8,0,MATCH(VLOOKUP('RES Veda input'!CQ$3,'RES Assumptions T15'!$V$3:$W$35,2,FALSE),'RES Techs T15'!$G$3:$U$3,0)))</f>
        <v/>
      </c>
      <c r="CR8" s="9" t="str">
        <f ca="1">IF(OFFSET('RES Techs T15'!$AO8,0,MATCH(VLOOKUP('RES Veda input'!CR$3,'RES Assumptions T15'!$V$3:$W$35,2,FALSE),'RES Techs T15'!$G$3:$U$3,0))=0,"",OFFSET('RES Techs T15'!$AO8,0,MATCH(VLOOKUP('RES Veda input'!CR$3,'RES Assumptions T15'!$V$3:$W$35,2,FALSE),'RES Techs T15'!$G$3:$U$3,0)))</f>
        <v/>
      </c>
      <c r="CS8" s="9">
        <f ca="1">IF(OFFSET('RES Techs T15'!$AO8,0,MATCH(VLOOKUP('RES Veda input'!CS$3,'RES Assumptions T15'!$V$3:$W$35,2,FALSE),'RES Techs T15'!$G$3:$U$3,0))=0,"",OFFSET('RES Techs T15'!$AO8,0,MATCH(VLOOKUP('RES Veda input'!CS$3,'RES Assumptions T15'!$V$3:$W$35,2,FALSE),'RES Techs T15'!$G$3:$U$3,0)))</f>
        <v>9.8000000000000007</v>
      </c>
      <c r="CT8" s="9" t="str">
        <f ca="1">IF(OFFSET('RES Techs T15'!$AO8,0,MATCH(VLOOKUP('RES Veda input'!CT$3,'RES Assumptions T15'!$V$3:$W$35,2,FALSE),'RES Techs T15'!$G$3:$U$3,0))=0,"",OFFSET('RES Techs T15'!$AO8,0,MATCH(VLOOKUP('RES Veda input'!CT$3,'RES Assumptions T15'!$V$3:$W$35,2,FALSE),'RES Techs T15'!$G$3:$U$3,0)))</f>
        <v/>
      </c>
      <c r="CU8" s="9" t="str">
        <f ca="1">IF(OFFSET('RES Techs T15'!$AO8,0,MATCH(VLOOKUP('RES Veda input'!CU$3,'RES Assumptions T15'!$V$3:$W$35,2,FALSE),'RES Techs T15'!$G$3:$U$3,0))=0,"",OFFSET('RES Techs T15'!$AO8,0,MATCH(VLOOKUP('RES Veda input'!CU$3,'RES Assumptions T15'!$V$3:$W$35,2,FALSE),'RES Techs T15'!$G$3:$U$3,0)))</f>
        <v/>
      </c>
      <c r="CV8" s="9">
        <f ca="1">IF(OFFSET('RES Techs T15'!$AO8,0,MATCH(VLOOKUP('RES Veda input'!CV$3,'RES Assumptions T15'!$V$3:$W$35,2,FALSE),'RES Techs T15'!$G$3:$U$3,0))=0,"",OFFSET('RES Techs T15'!$AO8,0,MATCH(VLOOKUP('RES Veda input'!CV$3,'RES Assumptions T15'!$V$3:$W$35,2,FALSE),'RES Techs T15'!$G$3:$U$3,0)))</f>
        <v>2</v>
      </c>
      <c r="CW8" s="9">
        <f ca="1">IF(OFFSET('RES Techs T15'!$AO8,0,MATCH(VLOOKUP('RES Veda input'!CW$3,'RES Assumptions T15'!$V$3:$W$35,2,FALSE),'RES Techs T15'!$G$3:$U$3,0))=0,"",OFFSET('RES Techs T15'!$AO8,0,MATCH(VLOOKUP('RES Veda input'!CW$3,'RES Assumptions T15'!$V$3:$W$35,2,FALSE),'RES Techs T15'!$G$3:$U$3,0)))</f>
        <v>2</v>
      </c>
      <c r="CY8" s="8" t="str">
        <f t="shared" si="63"/>
        <v>RSCRAE000</v>
      </c>
      <c r="CZ8" s="10">
        <f ca="1">ROUND('RES Assumptions'!E91*'RES Veda input'!G8/'RES Veda input'!AM8,3)</f>
        <v>648.49900000000002</v>
      </c>
      <c r="DA8" s="10">
        <f ca="1">ROUND('RES Assumptions'!F91*'RES Veda input'!H8/'RES Veda input'!AN8,3)</f>
        <v>436.12700000000001</v>
      </c>
      <c r="DB8" s="10">
        <f ca="1">ROUND('RES Assumptions'!G91*'RES Veda input'!I8/'RES Veda input'!AO8,3)</f>
        <v>415.30799999999999</v>
      </c>
      <c r="DC8" s="10">
        <f ca="1">ROUND('RES Assumptions'!H91*'RES Veda input'!J8/'RES Veda input'!AP8,3)</f>
        <v>52.488999999999997</v>
      </c>
      <c r="DD8" s="10">
        <f ca="1">ROUND('RES Assumptions'!I91*'RES Veda input'!K8/'RES Veda input'!AQ8,3)</f>
        <v>365.96300000000002</v>
      </c>
      <c r="DE8" s="10">
        <f ca="1">ROUND('RES Assumptions'!J91*'RES Veda input'!L8/'RES Veda input'!AR8,3)</f>
        <v>2076.884</v>
      </c>
      <c r="DF8" s="10">
        <f ca="1">ROUND('RES Assumptions'!K91*'RES Veda input'!M8/'RES Veda input'!AS8,3)</f>
        <v>521.66200000000003</v>
      </c>
      <c r="DG8" s="10">
        <f ca="1">ROUND('RES Assumptions'!L91*'RES Veda input'!N8/'RES Veda input'!AT8,3)</f>
        <v>1043.04</v>
      </c>
      <c r="DH8" s="10">
        <f ca="1">ROUND('RES Assumptions'!M91*'RES Veda input'!O8/'RES Veda input'!AU8,3)</f>
        <v>881.37099999999998</v>
      </c>
      <c r="DI8" s="10">
        <f ca="1">ROUND('RES Assumptions'!N91*'RES Veda input'!P8/'RES Veda input'!AV8,3)</f>
        <v>1672.4349999999999</v>
      </c>
      <c r="DJ8" s="10">
        <f ca="1">ROUND('RES Assumptions'!O91*'RES Veda input'!Q8/'RES Veda input'!AW8,3)</f>
        <v>53.584000000000003</v>
      </c>
      <c r="DK8" s="10">
        <f ca="1">ROUND('RES Assumptions'!P91*'RES Veda input'!R8/'RES Veda input'!AX8,3)</f>
        <v>51.170999999999999</v>
      </c>
      <c r="DL8" s="10">
        <f ca="1">ROUND('RES Assumptions'!Q91*'RES Veda input'!S8/'RES Veda input'!AY8,3)</f>
        <v>35.523000000000003</v>
      </c>
      <c r="DM8" s="10">
        <f ca="1">ROUND('RES Assumptions'!R91*'RES Veda input'!T8/'RES Veda input'!AZ8,3)</f>
        <v>59.84</v>
      </c>
      <c r="DN8" s="10">
        <f ca="1">ROUND('RES Assumptions'!S91*'RES Veda input'!U8/'RES Veda input'!BA8,3)</f>
        <v>30.722000000000001</v>
      </c>
      <c r="DO8" s="10">
        <f ca="1">ROUND('RES Assumptions'!T91*'RES Veda input'!V8/'RES Veda input'!BB8,3)</f>
        <v>60.265999999999998</v>
      </c>
      <c r="DP8" s="10">
        <f ca="1">ROUND('RES Assumptions'!U91*'RES Veda input'!W8/'RES Veda input'!BC8,3)</f>
        <v>2018.921</v>
      </c>
      <c r="DQ8" s="10">
        <f ca="1">ROUND('RES Assumptions'!V91*'RES Veda input'!X8/'RES Veda input'!BD8,3)</f>
        <v>111.663</v>
      </c>
      <c r="DR8" s="10">
        <f ca="1">ROUND('RES Assumptions'!W91*'RES Veda input'!Y8/'RES Veda input'!BE8,3)</f>
        <v>88.463999999999999</v>
      </c>
      <c r="DS8" s="10">
        <f ca="1">ROUND('RES Assumptions'!X91*'RES Veda input'!Z8/'RES Veda input'!BF8,3)</f>
        <v>2775.8870000000002</v>
      </c>
      <c r="DT8" s="10">
        <f ca="1">ROUND('RES Assumptions'!Y91*'RES Veda input'!AA8/'RES Veda input'!BG8,3)</f>
        <v>833.26300000000003</v>
      </c>
      <c r="DU8" s="10">
        <f ca="1">ROUND('RES Assumptions'!Z91*'RES Veda input'!AB8/'RES Veda input'!BH8,3)</f>
        <v>802.83199999999999</v>
      </c>
      <c r="DV8" s="10">
        <f ca="1">ROUND('RES Assumptions'!AA91*'RES Veda input'!AC8/'RES Veda input'!BI8,3)</f>
        <v>3673.11</v>
      </c>
      <c r="DW8" s="10">
        <f ca="1">ROUND('RES Assumptions'!AB91*'RES Veda input'!AD8/'RES Veda input'!BJ8,3)</f>
        <v>28.623999999999999</v>
      </c>
      <c r="DX8" s="10">
        <f ca="1">ROUND('RES Assumptions'!AC91*'RES Veda input'!AE8/'RES Veda input'!BK8,3)</f>
        <v>147.696</v>
      </c>
      <c r="DY8" s="10">
        <f ca="1">ROUND('RES Assumptions'!AD91*'RES Veda input'!AF8/'RES Veda input'!BL8,3)</f>
        <v>1763.537</v>
      </c>
      <c r="DZ8" s="10">
        <f ca="1">ROUND('RES Assumptions'!AE91*'RES Veda input'!AG8/'RES Veda input'!BM8,3)</f>
        <v>276.42399999999998</v>
      </c>
      <c r="EA8" s="10">
        <f ca="1">ROUND('RES Assumptions'!AF91*'RES Veda input'!AH8/'RES Veda input'!BN8,3)</f>
        <v>72.584999999999994</v>
      </c>
      <c r="EB8" s="10">
        <f ca="1">ROUND('RES Assumptions'!AG91*'RES Veda input'!AI8/'RES Veda input'!BO8,3)</f>
        <v>5065.2650000000003</v>
      </c>
      <c r="EC8" s="10">
        <f ca="1">ROUND('RES Assumptions'!AH91*'RES Veda input'!AJ8/'RES Veda input'!BP8,3)</f>
        <v>0</v>
      </c>
      <c r="ED8">
        <v>15</v>
      </c>
      <c r="EG8" t="s">
        <v>281</v>
      </c>
      <c r="EH8" t="str">
        <f t="shared" si="64"/>
        <v>RSCRAE000</v>
      </c>
      <c r="EJ8" t="s">
        <v>282</v>
      </c>
      <c r="EK8" t="s">
        <v>283</v>
      </c>
    </row>
    <row r="9" spans="1:144" x14ac:dyDescent="0.45">
      <c r="A9" s="37" t="str">
        <f>'RES Assumptions'!B92</f>
        <v>RCD</v>
      </c>
      <c r="B9" s="37" t="s">
        <v>123</v>
      </c>
      <c r="D9" s="51" t="s">
        <v>406</v>
      </c>
      <c r="E9" s="8" t="str">
        <f>'RES Assumptions'!A92</f>
        <v>RESELC</v>
      </c>
      <c r="F9" s="8" t="str">
        <f>VLOOKUP(A9,'RES Assumptions'!$AN$87:$AO$97,2,FALSE)</f>
        <v>RCD</v>
      </c>
      <c r="G9" s="9">
        <f ca="1">OFFSET('RES Techs T15'!$F9,0,MATCH(VLOOKUP('RES Veda input'!G$3,'RES Assumptions T15'!$V$3:$W$35,2,FALSE),'RES Techs T15'!$G$3:$U$3,0))</f>
        <v>1</v>
      </c>
      <c r="H9" s="9">
        <f ca="1">OFFSET('RES Techs T15'!$F9,0,MATCH(VLOOKUP('RES Veda input'!H$3,'RES Assumptions T15'!$V$3:$W$35,2,FALSE),'RES Techs T15'!$G$3:$U$3,0))</f>
        <v>1</v>
      </c>
      <c r="I9" s="9">
        <f ca="1">OFFSET('RES Techs T15'!$F9,0,MATCH(VLOOKUP('RES Veda input'!I$3,'RES Assumptions T15'!$V$3:$W$35,2,FALSE),'RES Techs T15'!$G$3:$U$3,0))</f>
        <v>1</v>
      </c>
      <c r="J9" s="9">
        <f ca="1">OFFSET('RES Techs T15'!$F9,0,MATCH(VLOOKUP('RES Veda input'!J$3,'RES Assumptions T15'!$V$3:$W$35,2,FALSE),'RES Techs T15'!$G$3:$U$3,0))</f>
        <v>1</v>
      </c>
      <c r="K9" s="9">
        <f ca="1">OFFSET('RES Techs T15'!$F9,0,MATCH(VLOOKUP('RES Veda input'!K$3,'RES Assumptions T15'!$V$3:$W$35,2,FALSE),'RES Techs T15'!$G$3:$U$3,0))</f>
        <v>1</v>
      </c>
      <c r="L9" s="9">
        <f ca="1">OFFSET('RES Techs T15'!$F9,0,MATCH(VLOOKUP('RES Veda input'!L$3,'RES Assumptions T15'!$V$3:$W$35,2,FALSE),'RES Techs T15'!$G$3:$U$3,0))</f>
        <v>1</v>
      </c>
      <c r="M9" s="9">
        <f ca="1">OFFSET('RES Techs T15'!$F9,0,MATCH(VLOOKUP('RES Veda input'!M$3,'RES Assumptions T15'!$V$3:$W$35,2,FALSE),'RES Techs T15'!$G$3:$U$3,0))</f>
        <v>1</v>
      </c>
      <c r="N9" s="9">
        <f ca="1">OFFSET('RES Techs T15'!$F9,0,MATCH(VLOOKUP('RES Veda input'!N$3,'RES Assumptions T15'!$V$3:$W$35,2,FALSE),'RES Techs T15'!$G$3:$U$3,0))</f>
        <v>1</v>
      </c>
      <c r="O9" s="9">
        <f ca="1">OFFSET('RES Techs T15'!$F9,0,MATCH(VLOOKUP('RES Veda input'!O$3,'RES Assumptions T15'!$V$3:$W$35,2,FALSE),'RES Techs T15'!$G$3:$U$3,0))</f>
        <v>1</v>
      </c>
      <c r="P9" s="9">
        <f ca="1">OFFSET('RES Techs T15'!$F9,0,MATCH(VLOOKUP('RES Veda input'!P$3,'RES Assumptions T15'!$V$3:$W$35,2,FALSE),'RES Techs T15'!$G$3:$U$3,0))</f>
        <v>1</v>
      </c>
      <c r="Q9" s="9">
        <f ca="1">OFFSET('RES Techs T15'!$F9,0,MATCH(VLOOKUP('RES Veda input'!Q$3,'RES Assumptions T15'!$V$3:$W$35,2,FALSE),'RES Techs T15'!$G$3:$U$3,0))</f>
        <v>1</v>
      </c>
      <c r="R9" s="9">
        <f ca="1">OFFSET('RES Techs T15'!$F9,0,MATCH(VLOOKUP('RES Veda input'!R$3,'RES Assumptions T15'!$V$3:$W$35,2,FALSE),'RES Techs T15'!$G$3:$U$3,0))</f>
        <v>1</v>
      </c>
      <c r="S9" s="9">
        <f ca="1">OFFSET('RES Techs T15'!$F9,0,MATCH(VLOOKUP('RES Veda input'!S$3,'RES Assumptions T15'!$V$3:$W$35,2,FALSE),'RES Techs T15'!$G$3:$U$3,0))</f>
        <v>1</v>
      </c>
      <c r="T9" s="9">
        <f ca="1">OFFSET('RES Techs T15'!$F9,0,MATCH(VLOOKUP('RES Veda input'!T$3,'RES Assumptions T15'!$V$3:$W$35,2,FALSE),'RES Techs T15'!$G$3:$U$3,0))</f>
        <v>1</v>
      </c>
      <c r="U9" s="9">
        <f ca="1">OFFSET('RES Techs T15'!$F9,0,MATCH(VLOOKUP('RES Veda input'!U$3,'RES Assumptions T15'!$V$3:$W$35,2,FALSE),'RES Techs T15'!$G$3:$U$3,0))</f>
        <v>1</v>
      </c>
      <c r="V9" s="9">
        <f ca="1">OFFSET('RES Techs T15'!$F9,0,MATCH(VLOOKUP('RES Veda input'!V$3,'RES Assumptions T15'!$V$3:$W$35,2,FALSE),'RES Techs T15'!$G$3:$U$3,0))</f>
        <v>1</v>
      </c>
      <c r="W9" s="9">
        <f ca="1">OFFSET('RES Techs T15'!$F9,0,MATCH(VLOOKUP('RES Veda input'!W$3,'RES Assumptions T15'!$V$3:$W$35,2,FALSE),'RES Techs T15'!$G$3:$U$3,0))</f>
        <v>1</v>
      </c>
      <c r="X9" s="9">
        <f ca="1">OFFSET('RES Techs T15'!$F9,0,MATCH(VLOOKUP('RES Veda input'!X$3,'RES Assumptions T15'!$V$3:$W$35,2,FALSE),'RES Techs T15'!$G$3:$U$3,0))</f>
        <v>1</v>
      </c>
      <c r="Y9" s="9">
        <f ca="1">OFFSET('RES Techs T15'!$F9,0,MATCH(VLOOKUP('RES Veda input'!Y$3,'RES Assumptions T15'!$V$3:$W$35,2,FALSE),'RES Techs T15'!$G$3:$U$3,0))</f>
        <v>1</v>
      </c>
      <c r="Z9" s="9">
        <f ca="1">OFFSET('RES Techs T15'!$F9,0,MATCH(VLOOKUP('RES Veda input'!Z$3,'RES Assumptions T15'!$V$3:$W$35,2,FALSE),'RES Techs T15'!$G$3:$U$3,0))</f>
        <v>1</v>
      </c>
      <c r="AA9" s="9">
        <f ca="1">OFFSET('RES Techs T15'!$F9,0,MATCH(VLOOKUP('RES Veda input'!AA$3,'RES Assumptions T15'!$V$3:$W$35,2,FALSE),'RES Techs T15'!$G$3:$U$3,0))</f>
        <v>1</v>
      </c>
      <c r="AB9" s="9">
        <f ca="1">OFFSET('RES Techs T15'!$F9,0,MATCH(VLOOKUP('RES Veda input'!AB$3,'RES Assumptions T15'!$V$3:$W$35,2,FALSE),'RES Techs T15'!$G$3:$U$3,0))</f>
        <v>1</v>
      </c>
      <c r="AC9" s="9">
        <f ca="1">OFFSET('RES Techs T15'!$F9,0,MATCH(VLOOKUP('RES Veda input'!AC$3,'RES Assumptions T15'!$V$3:$W$35,2,FALSE),'RES Techs T15'!$G$3:$U$3,0))</f>
        <v>1</v>
      </c>
      <c r="AD9" s="9">
        <f ca="1">OFFSET('RES Techs T15'!$F9,0,MATCH(VLOOKUP('RES Veda input'!AD$3,'RES Assumptions T15'!$V$3:$W$35,2,FALSE),'RES Techs T15'!$G$3:$U$3,0))</f>
        <v>1</v>
      </c>
      <c r="AE9" s="9">
        <f ca="1">OFFSET('RES Techs T15'!$F9,0,MATCH(VLOOKUP('RES Veda input'!AE$3,'RES Assumptions T15'!$V$3:$W$35,2,FALSE),'RES Techs T15'!$G$3:$U$3,0))</f>
        <v>1</v>
      </c>
      <c r="AF9" s="9">
        <f ca="1">OFFSET('RES Techs T15'!$F9,0,MATCH(VLOOKUP('RES Veda input'!AF$3,'RES Assumptions T15'!$V$3:$W$35,2,FALSE),'RES Techs T15'!$G$3:$U$3,0))</f>
        <v>1</v>
      </c>
      <c r="AG9" s="9">
        <f ca="1">OFFSET('RES Techs T15'!$F9,0,MATCH(VLOOKUP('RES Veda input'!AG$3,'RES Assumptions T15'!$V$3:$W$35,2,FALSE),'RES Techs T15'!$G$3:$U$3,0))</f>
        <v>1</v>
      </c>
      <c r="AH9" s="9">
        <f ca="1">OFFSET('RES Techs T15'!$F9,0,MATCH(VLOOKUP('RES Veda input'!AH$3,'RES Assumptions T15'!$V$3:$W$35,2,FALSE),'RES Techs T15'!$G$3:$U$3,0))</f>
        <v>1</v>
      </c>
      <c r="AI9" s="9">
        <f ca="1">OFFSET('RES Techs T15'!$F9,0,MATCH(VLOOKUP('RES Veda input'!AI$3,'RES Assumptions T15'!$V$3:$W$35,2,FALSE),'RES Techs T15'!$G$3:$U$3,0))</f>
        <v>1</v>
      </c>
      <c r="AJ9" s="9">
        <f ca="1">OFFSET('RES Techs T15'!$F9,0,MATCH(VLOOKUP('RES Veda input'!AJ$3,'RES Assumptions T15'!$V$3:$W$35,2,FALSE),'RES Techs T15'!$G$3:$U$3,0))</f>
        <v>1</v>
      </c>
      <c r="AL9" s="8" t="str">
        <f t="shared" si="60"/>
        <v>\I: RCDELC000</v>
      </c>
      <c r="AM9" s="9">
        <f ca="1">OFFSET('RES Techs T15'!$W9,0,MATCH(VLOOKUP('RES Veda input'!AM$3,'RES Assumptions T15'!$V$3:$W$35,2,FALSE),'RES Techs T15'!$G$3:$U$3,0))</f>
        <v>1</v>
      </c>
      <c r="AN9" s="9">
        <f ca="1">OFFSET('RES Techs T15'!$W9,0,MATCH(VLOOKUP('RES Veda input'!AN$3,'RES Assumptions T15'!$V$3:$W$35,2,FALSE),'RES Techs T15'!$G$3:$U$3,0))</f>
        <v>1</v>
      </c>
      <c r="AO9" s="9">
        <f ca="1">OFFSET('RES Techs T15'!$W9,0,MATCH(VLOOKUP('RES Veda input'!AO$3,'RES Assumptions T15'!$V$3:$W$35,2,FALSE),'RES Techs T15'!$G$3:$U$3,0))</f>
        <v>1</v>
      </c>
      <c r="AP9" s="9">
        <f ca="1">OFFSET('RES Techs T15'!$W9,0,MATCH(VLOOKUP('RES Veda input'!AP$3,'RES Assumptions T15'!$V$3:$W$35,2,FALSE),'RES Techs T15'!$G$3:$U$3,0))</f>
        <v>1</v>
      </c>
      <c r="AQ9" s="9">
        <f ca="1">OFFSET('RES Techs T15'!$W9,0,MATCH(VLOOKUP('RES Veda input'!AQ$3,'RES Assumptions T15'!$V$3:$W$35,2,FALSE),'RES Techs T15'!$G$3:$U$3,0))</f>
        <v>1</v>
      </c>
      <c r="AR9" s="9">
        <f ca="1">OFFSET('RES Techs T15'!$W9,0,MATCH(VLOOKUP('RES Veda input'!AR$3,'RES Assumptions T15'!$V$3:$W$35,2,FALSE),'RES Techs T15'!$G$3:$U$3,0))</f>
        <v>1</v>
      </c>
      <c r="AS9" s="9">
        <f ca="1">OFFSET('RES Techs T15'!$W9,0,MATCH(VLOOKUP('RES Veda input'!AS$3,'RES Assumptions T15'!$V$3:$W$35,2,FALSE),'RES Techs T15'!$G$3:$U$3,0))</f>
        <v>1</v>
      </c>
      <c r="AT9" s="9">
        <f ca="1">OFFSET('RES Techs T15'!$W9,0,MATCH(VLOOKUP('RES Veda input'!AT$3,'RES Assumptions T15'!$V$3:$W$35,2,FALSE),'RES Techs T15'!$G$3:$U$3,0))</f>
        <v>1</v>
      </c>
      <c r="AU9" s="9">
        <f ca="1">OFFSET('RES Techs T15'!$W9,0,MATCH(VLOOKUP('RES Veda input'!AU$3,'RES Assumptions T15'!$V$3:$W$35,2,FALSE),'RES Techs T15'!$G$3:$U$3,0))</f>
        <v>1</v>
      </c>
      <c r="AV9" s="9">
        <f ca="1">OFFSET('RES Techs T15'!$W9,0,MATCH(VLOOKUP('RES Veda input'!AV$3,'RES Assumptions T15'!$V$3:$W$35,2,FALSE),'RES Techs T15'!$G$3:$U$3,0))</f>
        <v>1</v>
      </c>
      <c r="AW9" s="9">
        <f ca="1">OFFSET('RES Techs T15'!$W9,0,MATCH(VLOOKUP('RES Veda input'!AW$3,'RES Assumptions T15'!$V$3:$W$35,2,FALSE),'RES Techs T15'!$G$3:$U$3,0))</f>
        <v>1</v>
      </c>
      <c r="AX9" s="9">
        <f ca="1">OFFSET('RES Techs T15'!$W9,0,MATCH(VLOOKUP('RES Veda input'!AX$3,'RES Assumptions T15'!$V$3:$W$35,2,FALSE),'RES Techs T15'!$G$3:$U$3,0))</f>
        <v>1</v>
      </c>
      <c r="AY9" s="9">
        <f ca="1">OFFSET('RES Techs T15'!$W9,0,MATCH(VLOOKUP('RES Veda input'!AY$3,'RES Assumptions T15'!$V$3:$W$35,2,FALSE),'RES Techs T15'!$G$3:$U$3,0))</f>
        <v>1</v>
      </c>
      <c r="AZ9" s="9">
        <f ca="1">OFFSET('RES Techs T15'!$W9,0,MATCH(VLOOKUP('RES Veda input'!AZ$3,'RES Assumptions T15'!$V$3:$W$35,2,FALSE),'RES Techs T15'!$G$3:$U$3,0))</f>
        <v>1</v>
      </c>
      <c r="BA9" s="9">
        <f ca="1">OFFSET('RES Techs T15'!$W9,0,MATCH(VLOOKUP('RES Veda input'!BA$3,'RES Assumptions T15'!$V$3:$W$35,2,FALSE),'RES Techs T15'!$G$3:$U$3,0))</f>
        <v>1</v>
      </c>
      <c r="BB9" s="9">
        <f ca="1">OFFSET('RES Techs T15'!$W9,0,MATCH(VLOOKUP('RES Veda input'!BB$3,'RES Assumptions T15'!$V$3:$W$35,2,FALSE),'RES Techs T15'!$G$3:$U$3,0))</f>
        <v>1</v>
      </c>
      <c r="BC9" s="9">
        <f ca="1">OFFSET('RES Techs T15'!$W9,0,MATCH(VLOOKUP('RES Veda input'!BC$3,'RES Assumptions T15'!$V$3:$W$35,2,FALSE),'RES Techs T15'!$G$3:$U$3,0))</f>
        <v>1</v>
      </c>
      <c r="BD9" s="9">
        <f ca="1">OFFSET('RES Techs T15'!$W9,0,MATCH(VLOOKUP('RES Veda input'!BD$3,'RES Assumptions T15'!$V$3:$W$35,2,FALSE),'RES Techs T15'!$G$3:$U$3,0))</f>
        <v>1</v>
      </c>
      <c r="BE9" s="9">
        <f ca="1">OFFSET('RES Techs T15'!$W9,0,MATCH(VLOOKUP('RES Veda input'!BE$3,'RES Assumptions T15'!$V$3:$W$35,2,FALSE),'RES Techs T15'!$G$3:$U$3,0))</f>
        <v>1</v>
      </c>
      <c r="BF9" s="9">
        <f ca="1">OFFSET('RES Techs T15'!$W9,0,MATCH(VLOOKUP('RES Veda input'!BF$3,'RES Assumptions T15'!$V$3:$W$35,2,FALSE),'RES Techs T15'!$G$3:$U$3,0))</f>
        <v>1</v>
      </c>
      <c r="BG9" s="9">
        <f ca="1">OFFSET('RES Techs T15'!$W9,0,MATCH(VLOOKUP('RES Veda input'!BG$3,'RES Assumptions T15'!$V$3:$W$35,2,FALSE),'RES Techs T15'!$G$3:$U$3,0))</f>
        <v>1</v>
      </c>
      <c r="BH9" s="9">
        <f ca="1">OFFSET('RES Techs T15'!$W9,0,MATCH(VLOOKUP('RES Veda input'!BH$3,'RES Assumptions T15'!$V$3:$W$35,2,FALSE),'RES Techs T15'!$G$3:$U$3,0))</f>
        <v>1</v>
      </c>
      <c r="BI9" s="9">
        <f ca="1">OFFSET('RES Techs T15'!$W9,0,MATCH(VLOOKUP('RES Veda input'!BI$3,'RES Assumptions T15'!$V$3:$W$35,2,FALSE),'RES Techs T15'!$G$3:$U$3,0))</f>
        <v>1</v>
      </c>
      <c r="BJ9" s="9">
        <f ca="1">OFFSET('RES Techs T15'!$W9,0,MATCH(VLOOKUP('RES Veda input'!BJ$3,'RES Assumptions T15'!$V$3:$W$35,2,FALSE),'RES Techs T15'!$G$3:$U$3,0))</f>
        <v>1</v>
      </c>
      <c r="BK9" s="9">
        <f ca="1">OFFSET('RES Techs T15'!$W9,0,MATCH(VLOOKUP('RES Veda input'!BK$3,'RES Assumptions T15'!$V$3:$W$35,2,FALSE),'RES Techs T15'!$G$3:$U$3,0))</f>
        <v>1</v>
      </c>
      <c r="BL9" s="9">
        <f ca="1">OFFSET('RES Techs T15'!$W9,0,MATCH(VLOOKUP('RES Veda input'!BL$3,'RES Assumptions T15'!$V$3:$W$35,2,FALSE),'RES Techs T15'!$G$3:$U$3,0))</f>
        <v>1</v>
      </c>
      <c r="BM9" s="9">
        <f ca="1">OFFSET('RES Techs T15'!$W9,0,MATCH(VLOOKUP('RES Veda input'!BM$3,'RES Assumptions T15'!$V$3:$W$35,2,FALSE),'RES Techs T15'!$G$3:$U$3,0))</f>
        <v>1</v>
      </c>
      <c r="BN9" s="9">
        <f ca="1">OFFSET('RES Techs T15'!$W9,0,MATCH(VLOOKUP('RES Veda input'!BN$3,'RES Assumptions T15'!$V$3:$W$35,2,FALSE),'RES Techs T15'!$G$3:$U$3,0))</f>
        <v>1</v>
      </c>
      <c r="BO9" s="9">
        <f ca="1">OFFSET('RES Techs T15'!$W9,0,MATCH(VLOOKUP('RES Veda input'!BO$3,'RES Assumptions T15'!$V$3:$W$35,2,FALSE),'RES Techs T15'!$G$3:$U$3,0))</f>
        <v>1</v>
      </c>
      <c r="BP9" s="9">
        <f ca="1">OFFSET('RES Techs T15'!$W9,0,MATCH(VLOOKUP('RES Veda input'!BP$3,'RES Assumptions T15'!$V$3:$W$35,2,FALSE),'RES Techs T15'!$G$3:$U$3,0))</f>
        <v>1</v>
      </c>
      <c r="BR9" s="8" t="str">
        <f t="shared" si="61"/>
        <v>\I: RCDELC000</v>
      </c>
      <c r="BS9" s="9">
        <f t="shared" ca="1" si="62"/>
        <v>8.4</v>
      </c>
      <c r="BT9" s="9" t="str">
        <f ca="1">IF(OFFSET('RES Techs T15'!$AO9,0,MATCH(VLOOKUP('RES Veda input'!BT$3,'RES Assumptions T15'!$V$3:$W$35,2,FALSE),'RES Techs T15'!$G$3:$U$3,0))=0,"",OFFSET('RES Techs T15'!$AO9,0,MATCH(VLOOKUP('RES Veda input'!BT$3,'RES Assumptions T15'!$V$3:$W$35,2,FALSE),'RES Techs T15'!$G$3:$U$3,0)))</f>
        <v/>
      </c>
      <c r="BU9" s="9" t="str">
        <f ca="1">IF(OFFSET('RES Techs T15'!$AO9,0,MATCH(VLOOKUP('RES Veda input'!BU$3,'RES Assumptions T15'!$V$3:$W$35,2,FALSE),'RES Techs T15'!$G$3:$U$3,0))=0,"",OFFSET('RES Techs T15'!$AO9,0,MATCH(VLOOKUP('RES Veda input'!BU$3,'RES Assumptions T15'!$V$3:$W$35,2,FALSE),'RES Techs T15'!$G$3:$U$3,0)))</f>
        <v/>
      </c>
      <c r="BV9" s="9">
        <f ca="1">IF(OFFSET('RES Techs T15'!$AO9,0,MATCH(VLOOKUP('RES Veda input'!BV$3,'RES Assumptions T15'!$V$3:$W$35,2,FALSE),'RES Techs T15'!$G$3:$U$3,0))=0,"",OFFSET('RES Techs T15'!$AO9,0,MATCH(VLOOKUP('RES Veda input'!BV$3,'RES Assumptions T15'!$V$3:$W$35,2,FALSE),'RES Techs T15'!$G$3:$U$3,0)))</f>
        <v>9.8000000000000007</v>
      </c>
      <c r="BW9" s="9" t="str">
        <f ca="1">IF(OFFSET('RES Techs T15'!$AO9,0,MATCH(VLOOKUP('RES Veda input'!BW$3,'RES Assumptions T15'!$V$3:$W$35,2,FALSE),'RES Techs T15'!$G$3:$U$3,0))=0,"",OFFSET('RES Techs T15'!$AO9,0,MATCH(VLOOKUP('RES Veda input'!BW$3,'RES Assumptions T15'!$V$3:$W$35,2,FALSE),'RES Techs T15'!$G$3:$U$3,0)))</f>
        <v/>
      </c>
      <c r="BX9" s="9">
        <f ca="1">IF(OFFSET('RES Techs T15'!$AO9,0,MATCH(VLOOKUP('RES Veda input'!BX$3,'RES Assumptions T15'!$V$3:$W$35,2,FALSE),'RES Techs T15'!$G$3:$U$3,0))=0,"",OFFSET('RES Techs T15'!$AO9,0,MATCH(VLOOKUP('RES Veda input'!BX$3,'RES Assumptions T15'!$V$3:$W$35,2,FALSE),'RES Techs T15'!$G$3:$U$3,0)))</f>
        <v>14</v>
      </c>
      <c r="BY9" s="9">
        <f ca="1">IF(OFFSET('RES Techs T15'!$AO9,0,MATCH(VLOOKUP('RES Veda input'!BY$3,'RES Assumptions T15'!$V$3:$W$35,2,FALSE),'RES Techs T15'!$G$3:$U$3,0))=0,"",OFFSET('RES Techs T15'!$AO9,0,MATCH(VLOOKUP('RES Veda input'!BY$3,'RES Assumptions T15'!$V$3:$W$35,2,FALSE),'RES Techs T15'!$G$3:$U$3,0)))</f>
        <v>8.4</v>
      </c>
      <c r="BZ9" s="9" t="str">
        <f ca="1">IF(OFFSET('RES Techs T15'!$AO9,0,MATCH(VLOOKUP('RES Veda input'!BZ$3,'RES Assumptions T15'!$V$3:$W$35,2,FALSE),'RES Techs T15'!$G$3:$U$3,0))=0,"",OFFSET('RES Techs T15'!$AO9,0,MATCH(VLOOKUP('RES Veda input'!BZ$3,'RES Assumptions T15'!$V$3:$W$35,2,FALSE),'RES Techs T15'!$G$3:$U$3,0)))</f>
        <v/>
      </c>
      <c r="CA9" s="9">
        <f ca="1">IF(OFFSET('RES Techs T15'!$AO9,0,MATCH(VLOOKUP('RES Veda input'!CA$3,'RES Assumptions T15'!$V$3:$W$35,2,FALSE),'RES Techs T15'!$G$3:$U$3,0))=0,"",OFFSET('RES Techs T15'!$AO9,0,MATCH(VLOOKUP('RES Veda input'!CA$3,'RES Assumptions T15'!$V$3:$W$35,2,FALSE),'RES Techs T15'!$G$3:$U$3,0)))</f>
        <v>9.8000000000000007</v>
      </c>
      <c r="CB9" s="9" t="str">
        <f ca="1">IF(OFFSET('RES Techs T15'!$AO9,0,MATCH(VLOOKUP('RES Veda input'!CB$3,'RES Assumptions T15'!$V$3:$W$35,2,FALSE),'RES Techs T15'!$G$3:$U$3,0))=0,"",OFFSET('RES Techs T15'!$AO9,0,MATCH(VLOOKUP('RES Veda input'!CB$3,'RES Assumptions T15'!$V$3:$W$35,2,FALSE),'RES Techs T15'!$G$3:$U$3,0)))</f>
        <v/>
      </c>
      <c r="CC9" s="9" t="str">
        <f ca="1">IF(OFFSET('RES Techs T15'!$AO9,0,MATCH(VLOOKUP('RES Veda input'!CC$3,'RES Assumptions T15'!$V$3:$W$35,2,FALSE),'RES Techs T15'!$G$3:$U$3,0))=0,"",OFFSET('RES Techs T15'!$AO9,0,MATCH(VLOOKUP('RES Veda input'!CC$3,'RES Assumptions T15'!$V$3:$W$35,2,FALSE),'RES Techs T15'!$G$3:$U$3,0)))</f>
        <v/>
      </c>
      <c r="CD9" s="9" t="str">
        <f ca="1">IF(OFFSET('RES Techs T15'!$AO9,0,MATCH(VLOOKUP('RES Veda input'!CD$3,'RES Assumptions T15'!$V$3:$W$35,2,FALSE),'RES Techs T15'!$G$3:$U$3,0))=0,"",OFFSET('RES Techs T15'!$AO9,0,MATCH(VLOOKUP('RES Veda input'!CD$3,'RES Assumptions T15'!$V$3:$W$35,2,FALSE),'RES Techs T15'!$G$3:$U$3,0)))</f>
        <v/>
      </c>
      <c r="CE9" s="9" t="str">
        <f ca="1">IF(OFFSET('RES Techs T15'!$AO9,0,MATCH(VLOOKUP('RES Veda input'!CE$3,'RES Assumptions T15'!$V$3:$W$35,2,FALSE),'RES Techs T15'!$G$3:$U$3,0))=0,"",OFFSET('RES Techs T15'!$AO9,0,MATCH(VLOOKUP('RES Veda input'!CE$3,'RES Assumptions T15'!$V$3:$W$35,2,FALSE),'RES Techs T15'!$G$3:$U$3,0)))</f>
        <v/>
      </c>
      <c r="CF9" s="9" t="str">
        <f ca="1">IF(OFFSET('RES Techs T15'!$AO9,0,MATCH(VLOOKUP('RES Veda input'!CF$3,'RES Assumptions T15'!$V$3:$W$35,2,FALSE),'RES Techs T15'!$G$3:$U$3,0))=0,"",OFFSET('RES Techs T15'!$AO9,0,MATCH(VLOOKUP('RES Veda input'!CF$3,'RES Assumptions T15'!$V$3:$W$35,2,FALSE),'RES Techs T15'!$G$3:$U$3,0)))</f>
        <v/>
      </c>
      <c r="CG9" s="9" t="str">
        <f ca="1">IF(OFFSET('RES Techs T15'!$AO9,0,MATCH(VLOOKUP('RES Veda input'!CG$3,'RES Assumptions T15'!$V$3:$W$35,2,FALSE),'RES Techs T15'!$G$3:$U$3,0))=0,"",OFFSET('RES Techs T15'!$AO9,0,MATCH(VLOOKUP('RES Veda input'!CG$3,'RES Assumptions T15'!$V$3:$W$35,2,FALSE),'RES Techs T15'!$G$3:$U$3,0)))</f>
        <v/>
      </c>
      <c r="CH9" s="9" t="str">
        <f ca="1">IF(OFFSET('RES Techs T15'!$AO9,0,MATCH(VLOOKUP('RES Veda input'!CH$3,'RES Assumptions T15'!$V$3:$W$35,2,FALSE),'RES Techs T15'!$G$3:$U$3,0))=0,"",OFFSET('RES Techs T15'!$AO9,0,MATCH(VLOOKUP('RES Veda input'!CH$3,'RES Assumptions T15'!$V$3:$W$35,2,FALSE),'RES Techs T15'!$G$3:$U$3,0)))</f>
        <v/>
      </c>
      <c r="CI9" s="9" t="str">
        <f ca="1">IF(OFFSET('RES Techs T15'!$AO9,0,MATCH(VLOOKUP('RES Veda input'!CI$3,'RES Assumptions T15'!$V$3:$W$35,2,FALSE),'RES Techs T15'!$G$3:$U$3,0))=0,"",OFFSET('RES Techs T15'!$AO9,0,MATCH(VLOOKUP('RES Veda input'!CI$3,'RES Assumptions T15'!$V$3:$W$35,2,FALSE),'RES Techs T15'!$G$3:$U$3,0)))</f>
        <v/>
      </c>
      <c r="CJ9" s="9">
        <f ca="1">IF(OFFSET('RES Techs T15'!$AO9,0,MATCH(VLOOKUP('RES Veda input'!CJ$3,'RES Assumptions T15'!$V$3:$W$35,2,FALSE),'RES Techs T15'!$G$3:$U$3,0))=0,"",OFFSET('RES Techs T15'!$AO9,0,MATCH(VLOOKUP('RES Veda input'!CJ$3,'RES Assumptions T15'!$V$3:$W$35,2,FALSE),'RES Techs T15'!$G$3:$U$3,0)))</f>
        <v>9.8000000000000007</v>
      </c>
      <c r="CK9" s="9" t="str">
        <f ca="1">IF(OFFSET('RES Techs T15'!$AO9,0,MATCH(VLOOKUP('RES Veda input'!CK$3,'RES Assumptions T15'!$V$3:$W$35,2,FALSE),'RES Techs T15'!$G$3:$U$3,0))=0,"",OFFSET('RES Techs T15'!$AO9,0,MATCH(VLOOKUP('RES Veda input'!CK$3,'RES Assumptions T15'!$V$3:$W$35,2,FALSE),'RES Techs T15'!$G$3:$U$3,0)))</f>
        <v/>
      </c>
      <c r="CL9" s="9" t="str">
        <f ca="1">IF(OFFSET('RES Techs T15'!$AO9,0,MATCH(VLOOKUP('RES Veda input'!CL$3,'RES Assumptions T15'!$V$3:$W$35,2,FALSE),'RES Techs T15'!$G$3:$U$3,0))=0,"",OFFSET('RES Techs T15'!$AO9,0,MATCH(VLOOKUP('RES Veda input'!CL$3,'RES Assumptions T15'!$V$3:$W$35,2,FALSE),'RES Techs T15'!$G$3:$U$3,0)))</f>
        <v/>
      </c>
      <c r="CM9" s="9">
        <f ca="1">IF(OFFSET('RES Techs T15'!$AO9,0,MATCH(VLOOKUP('RES Veda input'!CM$3,'RES Assumptions T15'!$V$3:$W$35,2,FALSE),'RES Techs T15'!$G$3:$U$3,0))=0,"",OFFSET('RES Techs T15'!$AO9,0,MATCH(VLOOKUP('RES Veda input'!CM$3,'RES Assumptions T15'!$V$3:$W$35,2,FALSE),'RES Techs T15'!$G$3:$U$3,0)))</f>
        <v>8.4</v>
      </c>
      <c r="CN9" s="9">
        <f ca="1">IF(OFFSET('RES Techs T15'!$AO9,0,MATCH(VLOOKUP('RES Veda input'!CN$3,'RES Assumptions T15'!$V$3:$W$35,2,FALSE),'RES Techs T15'!$G$3:$U$3,0))=0,"",OFFSET('RES Techs T15'!$AO9,0,MATCH(VLOOKUP('RES Veda input'!CN$3,'RES Assumptions T15'!$V$3:$W$35,2,FALSE),'RES Techs T15'!$G$3:$U$3,0)))</f>
        <v>9.8000000000000007</v>
      </c>
      <c r="CO9" s="9">
        <f ca="1">IF(OFFSET('RES Techs T15'!$AO9,0,MATCH(VLOOKUP('RES Veda input'!CO$3,'RES Assumptions T15'!$V$3:$W$35,2,FALSE),'RES Techs T15'!$G$3:$U$3,0))=0,"",OFFSET('RES Techs T15'!$AO9,0,MATCH(VLOOKUP('RES Veda input'!CO$3,'RES Assumptions T15'!$V$3:$W$35,2,FALSE),'RES Techs T15'!$G$3:$U$3,0)))</f>
        <v>11.2</v>
      </c>
      <c r="CP9" s="9">
        <f ca="1">IF(OFFSET('RES Techs T15'!$AO9,0,MATCH(VLOOKUP('RES Veda input'!CP$3,'RES Assumptions T15'!$V$3:$W$35,2,FALSE),'RES Techs T15'!$G$3:$U$3,0))=0,"",OFFSET('RES Techs T15'!$AO9,0,MATCH(VLOOKUP('RES Veda input'!CP$3,'RES Assumptions T15'!$V$3:$W$35,2,FALSE),'RES Techs T15'!$G$3:$U$3,0)))</f>
        <v>9.8000000000000007</v>
      </c>
      <c r="CQ9" s="9" t="str">
        <f ca="1">IF(OFFSET('RES Techs T15'!$AO9,0,MATCH(VLOOKUP('RES Veda input'!CQ$3,'RES Assumptions T15'!$V$3:$W$35,2,FALSE),'RES Techs T15'!$G$3:$U$3,0))=0,"",OFFSET('RES Techs T15'!$AO9,0,MATCH(VLOOKUP('RES Veda input'!CQ$3,'RES Assumptions T15'!$V$3:$W$35,2,FALSE),'RES Techs T15'!$G$3:$U$3,0)))</f>
        <v/>
      </c>
      <c r="CR9" s="9" t="str">
        <f ca="1">IF(OFFSET('RES Techs T15'!$AO9,0,MATCH(VLOOKUP('RES Veda input'!CR$3,'RES Assumptions T15'!$V$3:$W$35,2,FALSE),'RES Techs T15'!$G$3:$U$3,0))=0,"",OFFSET('RES Techs T15'!$AO9,0,MATCH(VLOOKUP('RES Veda input'!CR$3,'RES Assumptions T15'!$V$3:$W$35,2,FALSE),'RES Techs T15'!$G$3:$U$3,0)))</f>
        <v/>
      </c>
      <c r="CS9" s="9">
        <f ca="1">IF(OFFSET('RES Techs T15'!$AO9,0,MATCH(VLOOKUP('RES Veda input'!CS$3,'RES Assumptions T15'!$V$3:$W$35,2,FALSE),'RES Techs T15'!$G$3:$U$3,0))=0,"",OFFSET('RES Techs T15'!$AO9,0,MATCH(VLOOKUP('RES Veda input'!CS$3,'RES Assumptions T15'!$V$3:$W$35,2,FALSE),'RES Techs T15'!$G$3:$U$3,0)))</f>
        <v>9.8000000000000007</v>
      </c>
      <c r="CT9" s="9" t="str">
        <f ca="1">IF(OFFSET('RES Techs T15'!$AO9,0,MATCH(VLOOKUP('RES Veda input'!CT$3,'RES Assumptions T15'!$V$3:$W$35,2,FALSE),'RES Techs T15'!$G$3:$U$3,0))=0,"",OFFSET('RES Techs T15'!$AO9,0,MATCH(VLOOKUP('RES Veda input'!CT$3,'RES Assumptions T15'!$V$3:$W$35,2,FALSE),'RES Techs T15'!$G$3:$U$3,0)))</f>
        <v/>
      </c>
      <c r="CU9" s="9" t="str">
        <f ca="1">IF(OFFSET('RES Techs T15'!$AO9,0,MATCH(VLOOKUP('RES Veda input'!CU$3,'RES Assumptions T15'!$V$3:$W$35,2,FALSE),'RES Techs T15'!$G$3:$U$3,0))=0,"",OFFSET('RES Techs T15'!$AO9,0,MATCH(VLOOKUP('RES Veda input'!CU$3,'RES Assumptions T15'!$V$3:$W$35,2,FALSE),'RES Techs T15'!$G$3:$U$3,0)))</f>
        <v/>
      </c>
      <c r="CV9" s="9">
        <f ca="1">IF(OFFSET('RES Techs T15'!$AO9,0,MATCH(VLOOKUP('RES Veda input'!CV$3,'RES Assumptions T15'!$V$3:$W$35,2,FALSE),'RES Techs T15'!$G$3:$U$3,0))=0,"",OFFSET('RES Techs T15'!$AO9,0,MATCH(VLOOKUP('RES Veda input'!CV$3,'RES Assumptions T15'!$V$3:$W$35,2,FALSE),'RES Techs T15'!$G$3:$U$3,0)))</f>
        <v>14</v>
      </c>
      <c r="CW9" s="9">
        <f ca="1">IF(OFFSET('RES Techs T15'!$AO9,0,MATCH(VLOOKUP('RES Veda input'!CW$3,'RES Assumptions T15'!$V$3:$W$35,2,FALSE),'RES Techs T15'!$G$3:$U$3,0))=0,"",OFFSET('RES Techs T15'!$AO9,0,MATCH(VLOOKUP('RES Veda input'!CW$3,'RES Assumptions T15'!$V$3:$W$35,2,FALSE),'RES Techs T15'!$G$3:$U$3,0)))</f>
        <v>14</v>
      </c>
      <c r="CY9" s="8" t="str">
        <f t="shared" si="63"/>
        <v>\I: RCDELC000</v>
      </c>
      <c r="CZ9" s="10">
        <f ca="1">ROUND('RES Assumptions'!E92*'RES Veda input'!G9/'RES Veda input'!AM9,3)</f>
        <v>0</v>
      </c>
      <c r="DA9" s="10">
        <f ca="1">ROUND('RES Assumptions'!F92*'RES Veda input'!H9/'RES Veda input'!AN9,3)</f>
        <v>0</v>
      </c>
      <c r="DB9" s="10">
        <f ca="1">ROUND('RES Assumptions'!G92*'RES Veda input'!I9/'RES Veda input'!AO9,3)</f>
        <v>0</v>
      </c>
      <c r="DC9" s="10">
        <f ca="1">ROUND('RES Assumptions'!H92*'RES Veda input'!J9/'RES Veda input'!AP9,3)</f>
        <v>0</v>
      </c>
      <c r="DD9" s="10">
        <f ca="1">ROUND('RES Assumptions'!I92*'RES Veda input'!K9/'RES Veda input'!AQ9,3)</f>
        <v>0</v>
      </c>
      <c r="DE9" s="10">
        <f ca="1">ROUND('RES Assumptions'!J92*'RES Veda input'!L9/'RES Veda input'!AR9,3)</f>
        <v>0</v>
      </c>
      <c r="DF9" s="10">
        <f ca="1">ROUND('RES Assumptions'!K92*'RES Veda input'!M9/'RES Veda input'!AS9,3)</f>
        <v>0</v>
      </c>
      <c r="DG9" s="10">
        <f ca="1">ROUND('RES Assumptions'!L92*'RES Veda input'!N9/'RES Veda input'!AT9,3)</f>
        <v>0</v>
      </c>
      <c r="DH9" s="10">
        <f ca="1">ROUND('RES Assumptions'!M92*'RES Veda input'!O9/'RES Veda input'!AU9,3)</f>
        <v>0</v>
      </c>
      <c r="DI9" s="10">
        <f ca="1">ROUND('RES Assumptions'!N92*'RES Veda input'!P9/'RES Veda input'!AV9,3)</f>
        <v>0</v>
      </c>
      <c r="DJ9" s="10">
        <f ca="1">ROUND('RES Assumptions'!O92*'RES Veda input'!Q9/'RES Veda input'!AW9,3)</f>
        <v>0</v>
      </c>
      <c r="DK9" s="10">
        <f ca="1">ROUND('RES Assumptions'!P92*'RES Veda input'!R9/'RES Veda input'!AX9,3)</f>
        <v>0</v>
      </c>
      <c r="DL9" s="10">
        <f ca="1">ROUND('RES Assumptions'!Q92*'RES Veda input'!S9/'RES Veda input'!AY9,3)</f>
        <v>0</v>
      </c>
      <c r="DM9" s="10">
        <f ca="1">ROUND('RES Assumptions'!R92*'RES Veda input'!T9/'RES Veda input'!AZ9,3)</f>
        <v>0</v>
      </c>
      <c r="DN9" s="10">
        <f ca="1">ROUND('RES Assumptions'!S92*'RES Veda input'!U9/'RES Veda input'!BA9,3)</f>
        <v>0</v>
      </c>
      <c r="DO9" s="10">
        <f ca="1">ROUND('RES Assumptions'!T92*'RES Veda input'!V9/'RES Veda input'!BB9,3)</f>
        <v>0</v>
      </c>
      <c r="DP9" s="10">
        <f ca="1">ROUND('RES Assumptions'!U92*'RES Veda input'!W9/'RES Veda input'!BC9,3)</f>
        <v>0</v>
      </c>
      <c r="DQ9" s="10">
        <f ca="1">ROUND('RES Assumptions'!V92*'RES Veda input'!X9/'RES Veda input'!BD9,3)</f>
        <v>0</v>
      </c>
      <c r="DR9" s="10">
        <f ca="1">ROUND('RES Assumptions'!W92*'RES Veda input'!Y9/'RES Veda input'!BE9,3)</f>
        <v>0</v>
      </c>
      <c r="DS9" s="10">
        <f ca="1">ROUND('RES Assumptions'!X92*'RES Veda input'!Z9/'RES Veda input'!BF9,3)</f>
        <v>0</v>
      </c>
      <c r="DT9" s="10">
        <f ca="1">ROUND('RES Assumptions'!Y92*'RES Veda input'!AA9/'RES Veda input'!BG9,3)</f>
        <v>0</v>
      </c>
      <c r="DU9" s="10">
        <f ca="1">ROUND('RES Assumptions'!Z92*'RES Veda input'!AB9/'RES Veda input'!BH9,3)</f>
        <v>0</v>
      </c>
      <c r="DV9" s="10">
        <f ca="1">ROUND('RES Assumptions'!AA92*'RES Veda input'!AC9/'RES Veda input'!BI9,3)</f>
        <v>0</v>
      </c>
      <c r="DW9" s="10">
        <f ca="1">ROUND('RES Assumptions'!AB92*'RES Veda input'!AD9/'RES Veda input'!BJ9,3)</f>
        <v>0</v>
      </c>
      <c r="DX9" s="10">
        <f ca="1">ROUND('RES Assumptions'!AC92*'RES Veda input'!AE9/'RES Veda input'!BK9,3)</f>
        <v>0</v>
      </c>
      <c r="DY9" s="10">
        <f ca="1">ROUND('RES Assumptions'!AD92*'RES Veda input'!AF9/'RES Veda input'!BL9,3)</f>
        <v>0</v>
      </c>
      <c r="DZ9" s="10">
        <f ca="1">ROUND('RES Assumptions'!AE92*'RES Veda input'!AG9/'RES Veda input'!BM9,3)</f>
        <v>0</v>
      </c>
      <c r="EA9" s="10">
        <f ca="1">ROUND('RES Assumptions'!AF92*'RES Veda input'!AH9/'RES Veda input'!BN9,3)</f>
        <v>0</v>
      </c>
      <c r="EB9" s="10">
        <f ca="1">ROUND('RES Assumptions'!AG92*'RES Veda input'!AI9/'RES Veda input'!BO9,3)</f>
        <v>0</v>
      </c>
      <c r="EC9" s="10">
        <f ca="1">ROUND('RES Assumptions'!AH92*'RES Veda input'!AJ9/'RES Veda input'!BP9,3)</f>
        <v>0</v>
      </c>
      <c r="ED9">
        <v>15</v>
      </c>
      <c r="EG9" t="s">
        <v>281</v>
      </c>
      <c r="EH9" t="str">
        <f t="shared" si="64"/>
        <v>\I: RCDELC000</v>
      </c>
      <c r="EJ9" t="s">
        <v>282</v>
      </c>
      <c r="EK9" t="s">
        <v>283</v>
      </c>
    </row>
    <row r="10" spans="1:144" x14ac:dyDescent="0.45">
      <c r="A10" s="37" t="str">
        <f>'RES Assumptions'!B93</f>
        <v>RCD</v>
      </c>
      <c r="B10" s="37" t="s">
        <v>124</v>
      </c>
      <c r="D10" s="51" t="s">
        <v>407</v>
      </c>
      <c r="E10" s="8" t="str">
        <f>'RES Assumptions'!A93</f>
        <v>RESNGA</v>
      </c>
      <c r="F10" s="8" t="str">
        <f>VLOOKUP(A10,'RES Assumptions'!$AN$87:$AO$97,2,FALSE)</f>
        <v>RCD</v>
      </c>
      <c r="G10" s="9">
        <f ca="1">OFFSET('RES Techs T15'!$F10,0,MATCH(VLOOKUP('RES Veda input'!G$3,'RES Assumptions T15'!$V$3:$W$35,2,FALSE),'RES Techs T15'!$G$3:$U$3,0))</f>
        <v>1</v>
      </c>
      <c r="H10" s="9">
        <f ca="1">OFFSET('RES Techs T15'!$F10,0,MATCH(VLOOKUP('RES Veda input'!H$3,'RES Assumptions T15'!$V$3:$W$35,2,FALSE),'RES Techs T15'!$G$3:$U$3,0))</f>
        <v>1</v>
      </c>
      <c r="I10" s="9">
        <f ca="1">OFFSET('RES Techs T15'!$F10,0,MATCH(VLOOKUP('RES Veda input'!I$3,'RES Assumptions T15'!$V$3:$W$35,2,FALSE),'RES Techs T15'!$G$3:$U$3,0))</f>
        <v>1</v>
      </c>
      <c r="J10" s="9">
        <f ca="1">OFFSET('RES Techs T15'!$F10,0,MATCH(VLOOKUP('RES Veda input'!J$3,'RES Assumptions T15'!$V$3:$W$35,2,FALSE),'RES Techs T15'!$G$3:$U$3,0))</f>
        <v>1</v>
      </c>
      <c r="K10" s="9">
        <f ca="1">OFFSET('RES Techs T15'!$F10,0,MATCH(VLOOKUP('RES Veda input'!K$3,'RES Assumptions T15'!$V$3:$W$35,2,FALSE),'RES Techs T15'!$G$3:$U$3,0))</f>
        <v>1</v>
      </c>
      <c r="L10" s="9">
        <f ca="1">OFFSET('RES Techs T15'!$F10,0,MATCH(VLOOKUP('RES Veda input'!L$3,'RES Assumptions T15'!$V$3:$W$35,2,FALSE),'RES Techs T15'!$G$3:$U$3,0))</f>
        <v>1</v>
      </c>
      <c r="M10" s="9">
        <f ca="1">OFFSET('RES Techs T15'!$F10,0,MATCH(VLOOKUP('RES Veda input'!M$3,'RES Assumptions T15'!$V$3:$W$35,2,FALSE),'RES Techs T15'!$G$3:$U$3,0))</f>
        <v>1</v>
      </c>
      <c r="N10" s="9">
        <f ca="1">OFFSET('RES Techs T15'!$F10,0,MATCH(VLOOKUP('RES Veda input'!N$3,'RES Assumptions T15'!$V$3:$W$35,2,FALSE),'RES Techs T15'!$G$3:$U$3,0))</f>
        <v>1</v>
      </c>
      <c r="O10" s="9">
        <f ca="1">OFFSET('RES Techs T15'!$F10,0,MATCH(VLOOKUP('RES Veda input'!O$3,'RES Assumptions T15'!$V$3:$W$35,2,FALSE),'RES Techs T15'!$G$3:$U$3,0))</f>
        <v>1</v>
      </c>
      <c r="P10" s="9">
        <f ca="1">OFFSET('RES Techs T15'!$F10,0,MATCH(VLOOKUP('RES Veda input'!P$3,'RES Assumptions T15'!$V$3:$W$35,2,FALSE),'RES Techs T15'!$G$3:$U$3,0))</f>
        <v>1</v>
      </c>
      <c r="Q10" s="9">
        <f ca="1">OFFSET('RES Techs T15'!$F10,0,MATCH(VLOOKUP('RES Veda input'!Q$3,'RES Assumptions T15'!$V$3:$W$35,2,FALSE),'RES Techs T15'!$G$3:$U$3,0))</f>
        <v>1</v>
      </c>
      <c r="R10" s="9">
        <f ca="1">OFFSET('RES Techs T15'!$F10,0,MATCH(VLOOKUP('RES Veda input'!R$3,'RES Assumptions T15'!$V$3:$W$35,2,FALSE),'RES Techs T15'!$G$3:$U$3,0))</f>
        <v>1</v>
      </c>
      <c r="S10" s="9">
        <f ca="1">OFFSET('RES Techs T15'!$F10,0,MATCH(VLOOKUP('RES Veda input'!S$3,'RES Assumptions T15'!$V$3:$W$35,2,FALSE),'RES Techs T15'!$G$3:$U$3,0))</f>
        <v>1</v>
      </c>
      <c r="T10" s="9">
        <f ca="1">OFFSET('RES Techs T15'!$F10,0,MATCH(VLOOKUP('RES Veda input'!T$3,'RES Assumptions T15'!$V$3:$W$35,2,FALSE),'RES Techs T15'!$G$3:$U$3,0))</f>
        <v>1</v>
      </c>
      <c r="U10" s="9">
        <f ca="1">OFFSET('RES Techs T15'!$F10,0,MATCH(VLOOKUP('RES Veda input'!U$3,'RES Assumptions T15'!$V$3:$W$35,2,FALSE),'RES Techs T15'!$G$3:$U$3,0))</f>
        <v>1</v>
      </c>
      <c r="V10" s="9">
        <f ca="1">OFFSET('RES Techs T15'!$F10,0,MATCH(VLOOKUP('RES Veda input'!V$3,'RES Assumptions T15'!$V$3:$W$35,2,FALSE),'RES Techs T15'!$G$3:$U$3,0))</f>
        <v>1</v>
      </c>
      <c r="W10" s="9">
        <f ca="1">OFFSET('RES Techs T15'!$F10,0,MATCH(VLOOKUP('RES Veda input'!W$3,'RES Assumptions T15'!$V$3:$W$35,2,FALSE),'RES Techs T15'!$G$3:$U$3,0))</f>
        <v>1</v>
      </c>
      <c r="X10" s="9">
        <f ca="1">OFFSET('RES Techs T15'!$F10,0,MATCH(VLOOKUP('RES Veda input'!X$3,'RES Assumptions T15'!$V$3:$W$35,2,FALSE),'RES Techs T15'!$G$3:$U$3,0))</f>
        <v>1</v>
      </c>
      <c r="Y10" s="9">
        <f ca="1">OFFSET('RES Techs T15'!$F10,0,MATCH(VLOOKUP('RES Veda input'!Y$3,'RES Assumptions T15'!$V$3:$W$35,2,FALSE),'RES Techs T15'!$G$3:$U$3,0))</f>
        <v>1</v>
      </c>
      <c r="Z10" s="9">
        <f ca="1">OFFSET('RES Techs T15'!$F10,0,MATCH(VLOOKUP('RES Veda input'!Z$3,'RES Assumptions T15'!$V$3:$W$35,2,FALSE),'RES Techs T15'!$G$3:$U$3,0))</f>
        <v>1</v>
      </c>
      <c r="AA10" s="9">
        <f ca="1">OFFSET('RES Techs T15'!$F10,0,MATCH(VLOOKUP('RES Veda input'!AA$3,'RES Assumptions T15'!$V$3:$W$35,2,FALSE),'RES Techs T15'!$G$3:$U$3,0))</f>
        <v>1</v>
      </c>
      <c r="AB10" s="9">
        <f ca="1">OFFSET('RES Techs T15'!$F10,0,MATCH(VLOOKUP('RES Veda input'!AB$3,'RES Assumptions T15'!$V$3:$W$35,2,FALSE),'RES Techs T15'!$G$3:$U$3,0))</f>
        <v>1</v>
      </c>
      <c r="AC10" s="9">
        <f ca="1">OFFSET('RES Techs T15'!$F10,0,MATCH(VLOOKUP('RES Veda input'!AC$3,'RES Assumptions T15'!$V$3:$W$35,2,FALSE),'RES Techs T15'!$G$3:$U$3,0))</f>
        <v>1</v>
      </c>
      <c r="AD10" s="9">
        <f ca="1">OFFSET('RES Techs T15'!$F10,0,MATCH(VLOOKUP('RES Veda input'!AD$3,'RES Assumptions T15'!$V$3:$W$35,2,FALSE),'RES Techs T15'!$G$3:$U$3,0))</f>
        <v>1</v>
      </c>
      <c r="AE10" s="9">
        <f ca="1">OFFSET('RES Techs T15'!$F10,0,MATCH(VLOOKUP('RES Veda input'!AE$3,'RES Assumptions T15'!$V$3:$W$35,2,FALSE),'RES Techs T15'!$G$3:$U$3,0))</f>
        <v>1</v>
      </c>
      <c r="AF10" s="9">
        <f ca="1">OFFSET('RES Techs T15'!$F10,0,MATCH(VLOOKUP('RES Veda input'!AF$3,'RES Assumptions T15'!$V$3:$W$35,2,FALSE),'RES Techs T15'!$G$3:$U$3,0))</f>
        <v>1</v>
      </c>
      <c r="AG10" s="9">
        <f ca="1">OFFSET('RES Techs T15'!$F10,0,MATCH(VLOOKUP('RES Veda input'!AG$3,'RES Assumptions T15'!$V$3:$W$35,2,FALSE),'RES Techs T15'!$G$3:$U$3,0))</f>
        <v>1</v>
      </c>
      <c r="AH10" s="9">
        <f ca="1">OFFSET('RES Techs T15'!$F10,0,MATCH(VLOOKUP('RES Veda input'!AH$3,'RES Assumptions T15'!$V$3:$W$35,2,FALSE),'RES Techs T15'!$G$3:$U$3,0))</f>
        <v>1</v>
      </c>
      <c r="AI10" s="9">
        <f ca="1">OFFSET('RES Techs T15'!$F10,0,MATCH(VLOOKUP('RES Veda input'!AI$3,'RES Assumptions T15'!$V$3:$W$35,2,FALSE),'RES Techs T15'!$G$3:$U$3,0))</f>
        <v>1</v>
      </c>
      <c r="AJ10" s="9">
        <f ca="1">OFFSET('RES Techs T15'!$F10,0,MATCH(VLOOKUP('RES Veda input'!AJ$3,'RES Assumptions T15'!$V$3:$W$35,2,FALSE),'RES Techs T15'!$G$3:$U$3,0))</f>
        <v>1</v>
      </c>
      <c r="AL10" s="8" t="str">
        <f t="shared" si="60"/>
        <v>\I: RCDNGA000</v>
      </c>
      <c r="AM10" s="9">
        <f ca="1">OFFSET('RES Techs T15'!$W10,0,MATCH(VLOOKUP('RES Veda input'!AM$3,'RES Assumptions T15'!$V$3:$W$35,2,FALSE),'RES Techs T15'!$G$3:$U$3,0))</f>
        <v>1</v>
      </c>
      <c r="AN10" s="9">
        <f ca="1">OFFSET('RES Techs T15'!$W10,0,MATCH(VLOOKUP('RES Veda input'!AN$3,'RES Assumptions T15'!$V$3:$W$35,2,FALSE),'RES Techs T15'!$G$3:$U$3,0))</f>
        <v>1</v>
      </c>
      <c r="AO10" s="9">
        <f ca="1">OFFSET('RES Techs T15'!$W10,0,MATCH(VLOOKUP('RES Veda input'!AO$3,'RES Assumptions T15'!$V$3:$W$35,2,FALSE),'RES Techs T15'!$G$3:$U$3,0))</f>
        <v>1</v>
      </c>
      <c r="AP10" s="9">
        <f ca="1">OFFSET('RES Techs T15'!$W10,0,MATCH(VLOOKUP('RES Veda input'!AP$3,'RES Assumptions T15'!$V$3:$W$35,2,FALSE),'RES Techs T15'!$G$3:$U$3,0))</f>
        <v>1</v>
      </c>
      <c r="AQ10" s="9">
        <f ca="1">OFFSET('RES Techs T15'!$W10,0,MATCH(VLOOKUP('RES Veda input'!AQ$3,'RES Assumptions T15'!$V$3:$W$35,2,FALSE),'RES Techs T15'!$G$3:$U$3,0))</f>
        <v>1</v>
      </c>
      <c r="AR10" s="9">
        <f ca="1">OFFSET('RES Techs T15'!$W10,0,MATCH(VLOOKUP('RES Veda input'!AR$3,'RES Assumptions T15'!$V$3:$W$35,2,FALSE),'RES Techs T15'!$G$3:$U$3,0))</f>
        <v>1</v>
      </c>
      <c r="AS10" s="9">
        <f ca="1">OFFSET('RES Techs T15'!$W10,0,MATCH(VLOOKUP('RES Veda input'!AS$3,'RES Assumptions T15'!$V$3:$W$35,2,FALSE),'RES Techs T15'!$G$3:$U$3,0))</f>
        <v>1</v>
      </c>
      <c r="AT10" s="9">
        <f ca="1">OFFSET('RES Techs T15'!$W10,0,MATCH(VLOOKUP('RES Veda input'!AT$3,'RES Assumptions T15'!$V$3:$W$35,2,FALSE),'RES Techs T15'!$G$3:$U$3,0))</f>
        <v>1</v>
      </c>
      <c r="AU10" s="9">
        <f ca="1">OFFSET('RES Techs T15'!$W10,0,MATCH(VLOOKUP('RES Veda input'!AU$3,'RES Assumptions T15'!$V$3:$W$35,2,FALSE),'RES Techs T15'!$G$3:$U$3,0))</f>
        <v>1</v>
      </c>
      <c r="AV10" s="9">
        <f ca="1">OFFSET('RES Techs T15'!$W10,0,MATCH(VLOOKUP('RES Veda input'!AV$3,'RES Assumptions T15'!$V$3:$W$35,2,FALSE),'RES Techs T15'!$G$3:$U$3,0))</f>
        <v>1</v>
      </c>
      <c r="AW10" s="9">
        <f ca="1">OFFSET('RES Techs T15'!$W10,0,MATCH(VLOOKUP('RES Veda input'!AW$3,'RES Assumptions T15'!$V$3:$W$35,2,FALSE),'RES Techs T15'!$G$3:$U$3,0))</f>
        <v>1</v>
      </c>
      <c r="AX10" s="9">
        <f ca="1">OFFSET('RES Techs T15'!$W10,0,MATCH(VLOOKUP('RES Veda input'!AX$3,'RES Assumptions T15'!$V$3:$W$35,2,FALSE),'RES Techs T15'!$G$3:$U$3,0))</f>
        <v>1</v>
      </c>
      <c r="AY10" s="9">
        <f ca="1">OFFSET('RES Techs T15'!$W10,0,MATCH(VLOOKUP('RES Veda input'!AY$3,'RES Assumptions T15'!$V$3:$W$35,2,FALSE),'RES Techs T15'!$G$3:$U$3,0))</f>
        <v>1</v>
      </c>
      <c r="AZ10" s="9">
        <f ca="1">OFFSET('RES Techs T15'!$W10,0,MATCH(VLOOKUP('RES Veda input'!AZ$3,'RES Assumptions T15'!$V$3:$W$35,2,FALSE),'RES Techs T15'!$G$3:$U$3,0))</f>
        <v>1</v>
      </c>
      <c r="BA10" s="9">
        <f ca="1">OFFSET('RES Techs T15'!$W10,0,MATCH(VLOOKUP('RES Veda input'!BA$3,'RES Assumptions T15'!$V$3:$W$35,2,FALSE),'RES Techs T15'!$G$3:$U$3,0))</f>
        <v>1</v>
      </c>
      <c r="BB10" s="9">
        <f ca="1">OFFSET('RES Techs T15'!$W10,0,MATCH(VLOOKUP('RES Veda input'!BB$3,'RES Assumptions T15'!$V$3:$W$35,2,FALSE),'RES Techs T15'!$G$3:$U$3,0))</f>
        <v>1</v>
      </c>
      <c r="BC10" s="9">
        <f ca="1">OFFSET('RES Techs T15'!$W10,0,MATCH(VLOOKUP('RES Veda input'!BC$3,'RES Assumptions T15'!$V$3:$W$35,2,FALSE),'RES Techs T15'!$G$3:$U$3,0))</f>
        <v>1</v>
      </c>
      <c r="BD10" s="9">
        <f ca="1">OFFSET('RES Techs T15'!$W10,0,MATCH(VLOOKUP('RES Veda input'!BD$3,'RES Assumptions T15'!$V$3:$W$35,2,FALSE),'RES Techs T15'!$G$3:$U$3,0))</f>
        <v>1</v>
      </c>
      <c r="BE10" s="9">
        <f ca="1">OFFSET('RES Techs T15'!$W10,0,MATCH(VLOOKUP('RES Veda input'!BE$3,'RES Assumptions T15'!$V$3:$W$35,2,FALSE),'RES Techs T15'!$G$3:$U$3,0))</f>
        <v>1</v>
      </c>
      <c r="BF10" s="9">
        <f ca="1">OFFSET('RES Techs T15'!$W10,0,MATCH(VLOOKUP('RES Veda input'!BF$3,'RES Assumptions T15'!$V$3:$W$35,2,FALSE),'RES Techs T15'!$G$3:$U$3,0))</f>
        <v>1</v>
      </c>
      <c r="BG10" s="9">
        <f ca="1">OFFSET('RES Techs T15'!$W10,0,MATCH(VLOOKUP('RES Veda input'!BG$3,'RES Assumptions T15'!$V$3:$W$35,2,FALSE),'RES Techs T15'!$G$3:$U$3,0))</f>
        <v>1</v>
      </c>
      <c r="BH10" s="9">
        <f ca="1">OFFSET('RES Techs T15'!$W10,0,MATCH(VLOOKUP('RES Veda input'!BH$3,'RES Assumptions T15'!$V$3:$W$35,2,FALSE),'RES Techs T15'!$G$3:$U$3,0))</f>
        <v>1</v>
      </c>
      <c r="BI10" s="9">
        <f ca="1">OFFSET('RES Techs T15'!$W10,0,MATCH(VLOOKUP('RES Veda input'!BI$3,'RES Assumptions T15'!$V$3:$W$35,2,FALSE),'RES Techs T15'!$G$3:$U$3,0))</f>
        <v>1</v>
      </c>
      <c r="BJ10" s="9">
        <f ca="1">OFFSET('RES Techs T15'!$W10,0,MATCH(VLOOKUP('RES Veda input'!BJ$3,'RES Assumptions T15'!$V$3:$W$35,2,FALSE),'RES Techs T15'!$G$3:$U$3,0))</f>
        <v>1</v>
      </c>
      <c r="BK10" s="9">
        <f ca="1">OFFSET('RES Techs T15'!$W10,0,MATCH(VLOOKUP('RES Veda input'!BK$3,'RES Assumptions T15'!$V$3:$W$35,2,FALSE),'RES Techs T15'!$G$3:$U$3,0))</f>
        <v>1</v>
      </c>
      <c r="BL10" s="9">
        <f ca="1">OFFSET('RES Techs T15'!$W10,0,MATCH(VLOOKUP('RES Veda input'!BL$3,'RES Assumptions T15'!$V$3:$W$35,2,FALSE),'RES Techs T15'!$G$3:$U$3,0))</f>
        <v>1</v>
      </c>
      <c r="BM10" s="9">
        <f ca="1">OFFSET('RES Techs T15'!$W10,0,MATCH(VLOOKUP('RES Veda input'!BM$3,'RES Assumptions T15'!$V$3:$W$35,2,FALSE),'RES Techs T15'!$G$3:$U$3,0))</f>
        <v>1</v>
      </c>
      <c r="BN10" s="9">
        <f ca="1">OFFSET('RES Techs T15'!$W10,0,MATCH(VLOOKUP('RES Veda input'!BN$3,'RES Assumptions T15'!$V$3:$W$35,2,FALSE),'RES Techs T15'!$G$3:$U$3,0))</f>
        <v>1</v>
      </c>
      <c r="BO10" s="9">
        <f ca="1">OFFSET('RES Techs T15'!$W10,0,MATCH(VLOOKUP('RES Veda input'!BO$3,'RES Assumptions T15'!$V$3:$W$35,2,FALSE),'RES Techs T15'!$G$3:$U$3,0))</f>
        <v>1</v>
      </c>
      <c r="BP10" s="9">
        <f ca="1">OFFSET('RES Techs T15'!$W10,0,MATCH(VLOOKUP('RES Veda input'!BP$3,'RES Assumptions T15'!$V$3:$W$35,2,FALSE),'RES Techs T15'!$G$3:$U$3,0))</f>
        <v>1</v>
      </c>
      <c r="BR10" s="8" t="str">
        <f t="shared" si="61"/>
        <v>\I: RCDNGA000</v>
      </c>
      <c r="BS10" s="9">
        <f t="shared" ca="1" si="62"/>
        <v>3.6</v>
      </c>
      <c r="BT10" s="9" t="str">
        <f ca="1">IF(OFFSET('RES Techs T15'!$AO10,0,MATCH(VLOOKUP('RES Veda input'!BT$3,'RES Assumptions T15'!$V$3:$W$35,2,FALSE),'RES Techs T15'!$G$3:$U$3,0))=0,"",OFFSET('RES Techs T15'!$AO10,0,MATCH(VLOOKUP('RES Veda input'!BT$3,'RES Assumptions T15'!$V$3:$W$35,2,FALSE),'RES Techs T15'!$G$3:$U$3,0)))</f>
        <v/>
      </c>
      <c r="BU10" s="9" t="str">
        <f ca="1">IF(OFFSET('RES Techs T15'!$AO10,0,MATCH(VLOOKUP('RES Veda input'!BU$3,'RES Assumptions T15'!$V$3:$W$35,2,FALSE),'RES Techs T15'!$G$3:$U$3,0))=0,"",OFFSET('RES Techs T15'!$AO10,0,MATCH(VLOOKUP('RES Veda input'!BU$3,'RES Assumptions T15'!$V$3:$W$35,2,FALSE),'RES Techs T15'!$G$3:$U$3,0)))</f>
        <v/>
      </c>
      <c r="BV10" s="9">
        <f ca="1">IF(OFFSET('RES Techs T15'!$AO10,0,MATCH(VLOOKUP('RES Veda input'!BV$3,'RES Assumptions T15'!$V$3:$W$35,2,FALSE),'RES Techs T15'!$G$3:$U$3,0))=0,"",OFFSET('RES Techs T15'!$AO10,0,MATCH(VLOOKUP('RES Veda input'!BV$3,'RES Assumptions T15'!$V$3:$W$35,2,FALSE),'RES Techs T15'!$G$3:$U$3,0)))</f>
        <v>4.2</v>
      </c>
      <c r="BW10" s="9" t="str">
        <f ca="1">IF(OFFSET('RES Techs T15'!$AO10,0,MATCH(VLOOKUP('RES Veda input'!BW$3,'RES Assumptions T15'!$V$3:$W$35,2,FALSE),'RES Techs T15'!$G$3:$U$3,0))=0,"",OFFSET('RES Techs T15'!$AO10,0,MATCH(VLOOKUP('RES Veda input'!BW$3,'RES Assumptions T15'!$V$3:$W$35,2,FALSE),'RES Techs T15'!$G$3:$U$3,0)))</f>
        <v/>
      </c>
      <c r="BX10" s="9">
        <f ca="1">IF(OFFSET('RES Techs T15'!$AO10,0,MATCH(VLOOKUP('RES Veda input'!BX$3,'RES Assumptions T15'!$V$3:$W$35,2,FALSE),'RES Techs T15'!$G$3:$U$3,0))=0,"",OFFSET('RES Techs T15'!$AO10,0,MATCH(VLOOKUP('RES Veda input'!BX$3,'RES Assumptions T15'!$V$3:$W$35,2,FALSE),'RES Techs T15'!$G$3:$U$3,0)))</f>
        <v>6</v>
      </c>
      <c r="BY10" s="9">
        <f ca="1">IF(OFFSET('RES Techs T15'!$AO10,0,MATCH(VLOOKUP('RES Veda input'!BY$3,'RES Assumptions T15'!$V$3:$W$35,2,FALSE),'RES Techs T15'!$G$3:$U$3,0))=0,"",OFFSET('RES Techs T15'!$AO10,0,MATCH(VLOOKUP('RES Veda input'!BY$3,'RES Assumptions T15'!$V$3:$W$35,2,FALSE),'RES Techs T15'!$G$3:$U$3,0)))</f>
        <v>3.6</v>
      </c>
      <c r="BZ10" s="9" t="str">
        <f ca="1">IF(OFFSET('RES Techs T15'!$AO10,0,MATCH(VLOOKUP('RES Veda input'!BZ$3,'RES Assumptions T15'!$V$3:$W$35,2,FALSE),'RES Techs T15'!$G$3:$U$3,0))=0,"",OFFSET('RES Techs T15'!$AO10,0,MATCH(VLOOKUP('RES Veda input'!BZ$3,'RES Assumptions T15'!$V$3:$W$35,2,FALSE),'RES Techs T15'!$G$3:$U$3,0)))</f>
        <v/>
      </c>
      <c r="CA10" s="9">
        <f ca="1">IF(OFFSET('RES Techs T15'!$AO10,0,MATCH(VLOOKUP('RES Veda input'!CA$3,'RES Assumptions T15'!$V$3:$W$35,2,FALSE),'RES Techs T15'!$G$3:$U$3,0))=0,"",OFFSET('RES Techs T15'!$AO10,0,MATCH(VLOOKUP('RES Veda input'!CA$3,'RES Assumptions T15'!$V$3:$W$35,2,FALSE),'RES Techs T15'!$G$3:$U$3,0)))</f>
        <v>4.2</v>
      </c>
      <c r="CB10" s="9" t="str">
        <f ca="1">IF(OFFSET('RES Techs T15'!$AO10,0,MATCH(VLOOKUP('RES Veda input'!CB$3,'RES Assumptions T15'!$V$3:$W$35,2,FALSE),'RES Techs T15'!$G$3:$U$3,0))=0,"",OFFSET('RES Techs T15'!$AO10,0,MATCH(VLOOKUP('RES Veda input'!CB$3,'RES Assumptions T15'!$V$3:$W$35,2,FALSE),'RES Techs T15'!$G$3:$U$3,0)))</f>
        <v/>
      </c>
      <c r="CC10" s="9" t="str">
        <f ca="1">IF(OFFSET('RES Techs T15'!$AO10,0,MATCH(VLOOKUP('RES Veda input'!CC$3,'RES Assumptions T15'!$V$3:$W$35,2,FALSE),'RES Techs T15'!$G$3:$U$3,0))=0,"",OFFSET('RES Techs T15'!$AO10,0,MATCH(VLOOKUP('RES Veda input'!CC$3,'RES Assumptions T15'!$V$3:$W$35,2,FALSE),'RES Techs T15'!$G$3:$U$3,0)))</f>
        <v/>
      </c>
      <c r="CD10" s="9" t="str">
        <f ca="1">IF(OFFSET('RES Techs T15'!$AO10,0,MATCH(VLOOKUP('RES Veda input'!CD$3,'RES Assumptions T15'!$V$3:$W$35,2,FALSE),'RES Techs T15'!$G$3:$U$3,0))=0,"",OFFSET('RES Techs T15'!$AO10,0,MATCH(VLOOKUP('RES Veda input'!CD$3,'RES Assumptions T15'!$V$3:$W$35,2,FALSE),'RES Techs T15'!$G$3:$U$3,0)))</f>
        <v/>
      </c>
      <c r="CE10" s="9" t="str">
        <f ca="1">IF(OFFSET('RES Techs T15'!$AO10,0,MATCH(VLOOKUP('RES Veda input'!CE$3,'RES Assumptions T15'!$V$3:$W$35,2,FALSE),'RES Techs T15'!$G$3:$U$3,0))=0,"",OFFSET('RES Techs T15'!$AO10,0,MATCH(VLOOKUP('RES Veda input'!CE$3,'RES Assumptions T15'!$V$3:$W$35,2,FALSE),'RES Techs T15'!$G$3:$U$3,0)))</f>
        <v/>
      </c>
      <c r="CF10" s="9" t="str">
        <f ca="1">IF(OFFSET('RES Techs T15'!$AO10,0,MATCH(VLOOKUP('RES Veda input'!CF$3,'RES Assumptions T15'!$V$3:$W$35,2,FALSE),'RES Techs T15'!$G$3:$U$3,0))=0,"",OFFSET('RES Techs T15'!$AO10,0,MATCH(VLOOKUP('RES Veda input'!CF$3,'RES Assumptions T15'!$V$3:$W$35,2,FALSE),'RES Techs T15'!$G$3:$U$3,0)))</f>
        <v/>
      </c>
      <c r="CG10" s="9" t="str">
        <f ca="1">IF(OFFSET('RES Techs T15'!$AO10,0,MATCH(VLOOKUP('RES Veda input'!CG$3,'RES Assumptions T15'!$V$3:$W$35,2,FALSE),'RES Techs T15'!$G$3:$U$3,0))=0,"",OFFSET('RES Techs T15'!$AO10,0,MATCH(VLOOKUP('RES Veda input'!CG$3,'RES Assumptions T15'!$V$3:$W$35,2,FALSE),'RES Techs T15'!$G$3:$U$3,0)))</f>
        <v/>
      </c>
      <c r="CH10" s="9" t="str">
        <f ca="1">IF(OFFSET('RES Techs T15'!$AO10,0,MATCH(VLOOKUP('RES Veda input'!CH$3,'RES Assumptions T15'!$V$3:$W$35,2,FALSE),'RES Techs T15'!$G$3:$U$3,0))=0,"",OFFSET('RES Techs T15'!$AO10,0,MATCH(VLOOKUP('RES Veda input'!CH$3,'RES Assumptions T15'!$V$3:$W$35,2,FALSE),'RES Techs T15'!$G$3:$U$3,0)))</f>
        <v/>
      </c>
      <c r="CI10" s="9" t="str">
        <f ca="1">IF(OFFSET('RES Techs T15'!$AO10,0,MATCH(VLOOKUP('RES Veda input'!CI$3,'RES Assumptions T15'!$V$3:$W$35,2,FALSE),'RES Techs T15'!$G$3:$U$3,0))=0,"",OFFSET('RES Techs T15'!$AO10,0,MATCH(VLOOKUP('RES Veda input'!CI$3,'RES Assumptions T15'!$V$3:$W$35,2,FALSE),'RES Techs T15'!$G$3:$U$3,0)))</f>
        <v/>
      </c>
      <c r="CJ10" s="9">
        <f ca="1">IF(OFFSET('RES Techs T15'!$AO10,0,MATCH(VLOOKUP('RES Veda input'!CJ$3,'RES Assumptions T15'!$V$3:$W$35,2,FALSE),'RES Techs T15'!$G$3:$U$3,0))=0,"",OFFSET('RES Techs T15'!$AO10,0,MATCH(VLOOKUP('RES Veda input'!CJ$3,'RES Assumptions T15'!$V$3:$W$35,2,FALSE),'RES Techs T15'!$G$3:$U$3,0)))</f>
        <v>4.2</v>
      </c>
      <c r="CK10" s="9" t="str">
        <f ca="1">IF(OFFSET('RES Techs T15'!$AO10,0,MATCH(VLOOKUP('RES Veda input'!CK$3,'RES Assumptions T15'!$V$3:$W$35,2,FALSE),'RES Techs T15'!$G$3:$U$3,0))=0,"",OFFSET('RES Techs T15'!$AO10,0,MATCH(VLOOKUP('RES Veda input'!CK$3,'RES Assumptions T15'!$V$3:$W$35,2,FALSE),'RES Techs T15'!$G$3:$U$3,0)))</f>
        <v/>
      </c>
      <c r="CL10" s="9" t="str">
        <f ca="1">IF(OFFSET('RES Techs T15'!$AO10,0,MATCH(VLOOKUP('RES Veda input'!CL$3,'RES Assumptions T15'!$V$3:$W$35,2,FALSE),'RES Techs T15'!$G$3:$U$3,0))=0,"",OFFSET('RES Techs T15'!$AO10,0,MATCH(VLOOKUP('RES Veda input'!CL$3,'RES Assumptions T15'!$V$3:$W$35,2,FALSE),'RES Techs T15'!$G$3:$U$3,0)))</f>
        <v/>
      </c>
      <c r="CM10" s="9">
        <f ca="1">IF(OFFSET('RES Techs T15'!$AO10,0,MATCH(VLOOKUP('RES Veda input'!CM$3,'RES Assumptions T15'!$V$3:$W$35,2,FALSE),'RES Techs T15'!$G$3:$U$3,0))=0,"",OFFSET('RES Techs T15'!$AO10,0,MATCH(VLOOKUP('RES Veda input'!CM$3,'RES Assumptions T15'!$V$3:$W$35,2,FALSE),'RES Techs T15'!$G$3:$U$3,0)))</f>
        <v>3.6</v>
      </c>
      <c r="CN10" s="9">
        <f ca="1">IF(OFFSET('RES Techs T15'!$AO10,0,MATCH(VLOOKUP('RES Veda input'!CN$3,'RES Assumptions T15'!$V$3:$W$35,2,FALSE),'RES Techs T15'!$G$3:$U$3,0))=0,"",OFFSET('RES Techs T15'!$AO10,0,MATCH(VLOOKUP('RES Veda input'!CN$3,'RES Assumptions T15'!$V$3:$W$35,2,FALSE),'RES Techs T15'!$G$3:$U$3,0)))</f>
        <v>4.2</v>
      </c>
      <c r="CO10" s="9">
        <f ca="1">IF(OFFSET('RES Techs T15'!$AO10,0,MATCH(VLOOKUP('RES Veda input'!CO$3,'RES Assumptions T15'!$V$3:$W$35,2,FALSE),'RES Techs T15'!$G$3:$U$3,0))=0,"",OFFSET('RES Techs T15'!$AO10,0,MATCH(VLOOKUP('RES Veda input'!CO$3,'RES Assumptions T15'!$V$3:$W$35,2,FALSE),'RES Techs T15'!$G$3:$U$3,0)))</f>
        <v>4.8</v>
      </c>
      <c r="CP10" s="9">
        <f ca="1">IF(OFFSET('RES Techs T15'!$AO10,0,MATCH(VLOOKUP('RES Veda input'!CP$3,'RES Assumptions T15'!$V$3:$W$35,2,FALSE),'RES Techs T15'!$G$3:$U$3,0))=0,"",OFFSET('RES Techs T15'!$AO10,0,MATCH(VLOOKUP('RES Veda input'!CP$3,'RES Assumptions T15'!$V$3:$W$35,2,FALSE),'RES Techs T15'!$G$3:$U$3,0)))</f>
        <v>4.2</v>
      </c>
      <c r="CQ10" s="9" t="str">
        <f ca="1">IF(OFFSET('RES Techs T15'!$AO10,0,MATCH(VLOOKUP('RES Veda input'!CQ$3,'RES Assumptions T15'!$V$3:$W$35,2,FALSE),'RES Techs T15'!$G$3:$U$3,0))=0,"",OFFSET('RES Techs T15'!$AO10,0,MATCH(VLOOKUP('RES Veda input'!CQ$3,'RES Assumptions T15'!$V$3:$W$35,2,FALSE),'RES Techs T15'!$G$3:$U$3,0)))</f>
        <v/>
      </c>
      <c r="CR10" s="9" t="str">
        <f ca="1">IF(OFFSET('RES Techs T15'!$AO10,0,MATCH(VLOOKUP('RES Veda input'!CR$3,'RES Assumptions T15'!$V$3:$W$35,2,FALSE),'RES Techs T15'!$G$3:$U$3,0))=0,"",OFFSET('RES Techs T15'!$AO10,0,MATCH(VLOOKUP('RES Veda input'!CR$3,'RES Assumptions T15'!$V$3:$W$35,2,FALSE),'RES Techs T15'!$G$3:$U$3,0)))</f>
        <v/>
      </c>
      <c r="CS10" s="9">
        <f ca="1">IF(OFFSET('RES Techs T15'!$AO10,0,MATCH(VLOOKUP('RES Veda input'!CS$3,'RES Assumptions T15'!$V$3:$W$35,2,FALSE),'RES Techs T15'!$G$3:$U$3,0))=0,"",OFFSET('RES Techs T15'!$AO10,0,MATCH(VLOOKUP('RES Veda input'!CS$3,'RES Assumptions T15'!$V$3:$W$35,2,FALSE),'RES Techs T15'!$G$3:$U$3,0)))</f>
        <v>4.2</v>
      </c>
      <c r="CT10" s="9" t="str">
        <f ca="1">IF(OFFSET('RES Techs T15'!$AO10,0,MATCH(VLOOKUP('RES Veda input'!CT$3,'RES Assumptions T15'!$V$3:$W$35,2,FALSE),'RES Techs T15'!$G$3:$U$3,0))=0,"",OFFSET('RES Techs T15'!$AO10,0,MATCH(VLOOKUP('RES Veda input'!CT$3,'RES Assumptions T15'!$V$3:$W$35,2,FALSE),'RES Techs T15'!$G$3:$U$3,0)))</f>
        <v/>
      </c>
      <c r="CU10" s="9" t="str">
        <f ca="1">IF(OFFSET('RES Techs T15'!$AO10,0,MATCH(VLOOKUP('RES Veda input'!CU$3,'RES Assumptions T15'!$V$3:$W$35,2,FALSE),'RES Techs T15'!$G$3:$U$3,0))=0,"",OFFSET('RES Techs T15'!$AO10,0,MATCH(VLOOKUP('RES Veda input'!CU$3,'RES Assumptions T15'!$V$3:$W$35,2,FALSE),'RES Techs T15'!$G$3:$U$3,0)))</f>
        <v/>
      </c>
      <c r="CV10" s="9">
        <f ca="1">IF(OFFSET('RES Techs T15'!$AO10,0,MATCH(VLOOKUP('RES Veda input'!CV$3,'RES Assumptions T15'!$V$3:$W$35,2,FALSE),'RES Techs T15'!$G$3:$U$3,0))=0,"",OFFSET('RES Techs T15'!$AO10,0,MATCH(VLOOKUP('RES Veda input'!CV$3,'RES Assumptions T15'!$V$3:$W$35,2,FALSE),'RES Techs T15'!$G$3:$U$3,0)))</f>
        <v>6</v>
      </c>
      <c r="CW10" s="9">
        <f ca="1">IF(OFFSET('RES Techs T15'!$AO10,0,MATCH(VLOOKUP('RES Veda input'!CW$3,'RES Assumptions T15'!$V$3:$W$35,2,FALSE),'RES Techs T15'!$G$3:$U$3,0))=0,"",OFFSET('RES Techs T15'!$AO10,0,MATCH(VLOOKUP('RES Veda input'!CW$3,'RES Assumptions T15'!$V$3:$W$35,2,FALSE),'RES Techs T15'!$G$3:$U$3,0)))</f>
        <v>6</v>
      </c>
      <c r="CY10" s="8" t="str">
        <f t="shared" si="63"/>
        <v>\I: RCDNGA000</v>
      </c>
      <c r="CZ10" s="10">
        <f ca="1">ROUND('RES Assumptions'!E93*'RES Veda input'!G10/'RES Veda input'!AM10,3)</f>
        <v>0</v>
      </c>
      <c r="DA10" s="10">
        <f ca="1">ROUND('RES Assumptions'!F93*'RES Veda input'!H10/'RES Veda input'!AN10,3)</f>
        <v>0</v>
      </c>
      <c r="DB10" s="10">
        <f ca="1">ROUND('RES Assumptions'!G93*'RES Veda input'!I10/'RES Veda input'!AO10,3)</f>
        <v>0</v>
      </c>
      <c r="DC10" s="10">
        <f ca="1">ROUND('RES Assumptions'!H93*'RES Veda input'!J10/'RES Veda input'!AP10,3)</f>
        <v>0</v>
      </c>
      <c r="DD10" s="10">
        <f ca="1">ROUND('RES Assumptions'!I93*'RES Veda input'!K10/'RES Veda input'!AQ10,3)</f>
        <v>0</v>
      </c>
      <c r="DE10" s="10">
        <f ca="1">ROUND('RES Assumptions'!J93*'RES Veda input'!L10/'RES Veda input'!AR10,3)</f>
        <v>0</v>
      </c>
      <c r="DF10" s="10">
        <f ca="1">ROUND('RES Assumptions'!K93*'RES Veda input'!M10/'RES Veda input'!AS10,3)</f>
        <v>0</v>
      </c>
      <c r="DG10" s="10">
        <f ca="1">ROUND('RES Assumptions'!L93*'RES Veda input'!N10/'RES Veda input'!AT10,3)</f>
        <v>0</v>
      </c>
      <c r="DH10" s="10">
        <f ca="1">ROUND('RES Assumptions'!M93*'RES Veda input'!O10/'RES Veda input'!AU10,3)</f>
        <v>0</v>
      </c>
      <c r="DI10" s="10">
        <f ca="1">ROUND('RES Assumptions'!N93*'RES Veda input'!P10/'RES Veda input'!AV10,3)</f>
        <v>0</v>
      </c>
      <c r="DJ10" s="10">
        <f ca="1">ROUND('RES Assumptions'!O93*'RES Veda input'!Q10/'RES Veda input'!AW10,3)</f>
        <v>0</v>
      </c>
      <c r="DK10" s="10">
        <f ca="1">ROUND('RES Assumptions'!P93*'RES Veda input'!R10/'RES Veda input'!AX10,3)</f>
        <v>0</v>
      </c>
      <c r="DL10" s="10">
        <f ca="1">ROUND('RES Assumptions'!Q93*'RES Veda input'!S10/'RES Veda input'!AY10,3)</f>
        <v>0</v>
      </c>
      <c r="DM10" s="10">
        <f ca="1">ROUND('RES Assumptions'!R93*'RES Veda input'!T10/'RES Veda input'!AZ10,3)</f>
        <v>0</v>
      </c>
      <c r="DN10" s="10">
        <f ca="1">ROUND('RES Assumptions'!S93*'RES Veda input'!U10/'RES Veda input'!BA10,3)</f>
        <v>0</v>
      </c>
      <c r="DO10" s="10">
        <f ca="1">ROUND('RES Assumptions'!T93*'RES Veda input'!V10/'RES Veda input'!BB10,3)</f>
        <v>0</v>
      </c>
      <c r="DP10" s="10">
        <f ca="1">ROUND('RES Assumptions'!U93*'RES Veda input'!W10/'RES Veda input'!BC10,3)</f>
        <v>0</v>
      </c>
      <c r="DQ10" s="10">
        <f ca="1">ROUND('RES Assumptions'!V93*'RES Veda input'!X10/'RES Veda input'!BD10,3)</f>
        <v>0</v>
      </c>
      <c r="DR10" s="10">
        <f ca="1">ROUND('RES Assumptions'!W93*'RES Veda input'!Y10/'RES Veda input'!BE10,3)</f>
        <v>0</v>
      </c>
      <c r="DS10" s="10">
        <f ca="1">ROUND('RES Assumptions'!X93*'RES Veda input'!Z10/'RES Veda input'!BF10,3)</f>
        <v>0</v>
      </c>
      <c r="DT10" s="10">
        <f ca="1">ROUND('RES Assumptions'!Y93*'RES Veda input'!AA10/'RES Veda input'!BG10,3)</f>
        <v>0</v>
      </c>
      <c r="DU10" s="10">
        <f ca="1">ROUND('RES Assumptions'!Z93*'RES Veda input'!AB10/'RES Veda input'!BH10,3)</f>
        <v>0</v>
      </c>
      <c r="DV10" s="10">
        <f ca="1">ROUND('RES Assumptions'!AA93*'RES Veda input'!AC10/'RES Veda input'!BI10,3)</f>
        <v>0</v>
      </c>
      <c r="DW10" s="10">
        <f ca="1">ROUND('RES Assumptions'!AB93*'RES Veda input'!AD10/'RES Veda input'!BJ10,3)</f>
        <v>0</v>
      </c>
      <c r="DX10" s="10">
        <f ca="1">ROUND('RES Assumptions'!AC93*'RES Veda input'!AE10/'RES Veda input'!BK10,3)</f>
        <v>0</v>
      </c>
      <c r="DY10" s="10">
        <f ca="1">ROUND('RES Assumptions'!AD93*'RES Veda input'!AF10/'RES Veda input'!BL10,3)</f>
        <v>0</v>
      </c>
      <c r="DZ10" s="10">
        <f ca="1">ROUND('RES Assumptions'!AE93*'RES Veda input'!AG10/'RES Veda input'!BM10,3)</f>
        <v>0</v>
      </c>
      <c r="EA10" s="10">
        <f ca="1">ROUND('RES Assumptions'!AF93*'RES Veda input'!AH10/'RES Veda input'!BN10,3)</f>
        <v>0</v>
      </c>
      <c r="EB10" s="10">
        <f ca="1">ROUND('RES Assumptions'!AG93*'RES Veda input'!AI10/'RES Veda input'!BO10,3)</f>
        <v>0</v>
      </c>
      <c r="EC10" s="10">
        <f ca="1">ROUND('RES Assumptions'!AH93*'RES Veda input'!AJ10/'RES Veda input'!BP10,3)</f>
        <v>0</v>
      </c>
      <c r="ED10">
        <v>15</v>
      </c>
      <c r="EG10" t="s">
        <v>281</v>
      </c>
      <c r="EH10" t="str">
        <f t="shared" si="64"/>
        <v>\I: RCDNGA000</v>
      </c>
      <c r="EJ10" t="s">
        <v>282</v>
      </c>
      <c r="EK10" t="s">
        <v>283</v>
      </c>
    </row>
    <row r="11" spans="1:144" x14ac:dyDescent="0.45">
      <c r="A11" s="37" t="str">
        <f>'RES Assumptions'!B94</f>
        <v>RCW</v>
      </c>
      <c r="B11" s="37" t="s">
        <v>125</v>
      </c>
      <c r="D11" s="51" t="s">
        <v>408</v>
      </c>
      <c r="E11" s="8" t="str">
        <f>'RES Assumptions'!A94</f>
        <v>RESELC</v>
      </c>
      <c r="F11" s="8" t="str">
        <f>VLOOKUP(A11,'RES Assumptions'!$AN$87:$AO$97,2,FALSE)</f>
        <v>RCW</v>
      </c>
      <c r="G11" s="9">
        <f ca="1">OFFSET('RES Techs T15'!$F11,0,MATCH(VLOOKUP('RES Veda input'!G$3,'RES Assumptions T15'!$V$3:$W$35,2,FALSE),'RES Techs T15'!$G$3:$U$3,0))</f>
        <v>1</v>
      </c>
      <c r="H11" s="9">
        <f ca="1">OFFSET('RES Techs T15'!$F11,0,MATCH(VLOOKUP('RES Veda input'!H$3,'RES Assumptions T15'!$V$3:$W$35,2,FALSE),'RES Techs T15'!$G$3:$U$3,0))</f>
        <v>1</v>
      </c>
      <c r="I11" s="9">
        <f ca="1">OFFSET('RES Techs T15'!$F11,0,MATCH(VLOOKUP('RES Veda input'!I$3,'RES Assumptions T15'!$V$3:$W$35,2,FALSE),'RES Techs T15'!$G$3:$U$3,0))</f>
        <v>1</v>
      </c>
      <c r="J11" s="9">
        <f ca="1">OFFSET('RES Techs T15'!$F11,0,MATCH(VLOOKUP('RES Veda input'!J$3,'RES Assumptions T15'!$V$3:$W$35,2,FALSE),'RES Techs T15'!$G$3:$U$3,0))</f>
        <v>1</v>
      </c>
      <c r="K11" s="9">
        <f ca="1">OFFSET('RES Techs T15'!$F11,0,MATCH(VLOOKUP('RES Veda input'!K$3,'RES Assumptions T15'!$V$3:$W$35,2,FALSE),'RES Techs T15'!$G$3:$U$3,0))</f>
        <v>1</v>
      </c>
      <c r="L11" s="9">
        <f ca="1">OFFSET('RES Techs T15'!$F11,0,MATCH(VLOOKUP('RES Veda input'!L$3,'RES Assumptions T15'!$V$3:$W$35,2,FALSE),'RES Techs T15'!$G$3:$U$3,0))</f>
        <v>1</v>
      </c>
      <c r="M11" s="9">
        <f ca="1">OFFSET('RES Techs T15'!$F11,0,MATCH(VLOOKUP('RES Veda input'!M$3,'RES Assumptions T15'!$V$3:$W$35,2,FALSE),'RES Techs T15'!$G$3:$U$3,0))</f>
        <v>1</v>
      </c>
      <c r="N11" s="9">
        <f ca="1">OFFSET('RES Techs T15'!$F11,0,MATCH(VLOOKUP('RES Veda input'!N$3,'RES Assumptions T15'!$V$3:$W$35,2,FALSE),'RES Techs T15'!$G$3:$U$3,0))</f>
        <v>1</v>
      </c>
      <c r="O11" s="9">
        <f ca="1">OFFSET('RES Techs T15'!$F11,0,MATCH(VLOOKUP('RES Veda input'!O$3,'RES Assumptions T15'!$V$3:$W$35,2,FALSE),'RES Techs T15'!$G$3:$U$3,0))</f>
        <v>1</v>
      </c>
      <c r="P11" s="9">
        <f ca="1">OFFSET('RES Techs T15'!$F11,0,MATCH(VLOOKUP('RES Veda input'!P$3,'RES Assumptions T15'!$V$3:$W$35,2,FALSE),'RES Techs T15'!$G$3:$U$3,0))</f>
        <v>1</v>
      </c>
      <c r="Q11" s="9">
        <f ca="1">OFFSET('RES Techs T15'!$F11,0,MATCH(VLOOKUP('RES Veda input'!Q$3,'RES Assumptions T15'!$V$3:$W$35,2,FALSE),'RES Techs T15'!$G$3:$U$3,0))</f>
        <v>1</v>
      </c>
      <c r="R11" s="9">
        <f ca="1">OFFSET('RES Techs T15'!$F11,0,MATCH(VLOOKUP('RES Veda input'!R$3,'RES Assumptions T15'!$V$3:$W$35,2,FALSE),'RES Techs T15'!$G$3:$U$3,0))</f>
        <v>1</v>
      </c>
      <c r="S11" s="9">
        <f ca="1">OFFSET('RES Techs T15'!$F11,0,MATCH(VLOOKUP('RES Veda input'!S$3,'RES Assumptions T15'!$V$3:$W$35,2,FALSE),'RES Techs T15'!$G$3:$U$3,0))</f>
        <v>1</v>
      </c>
      <c r="T11" s="9">
        <f ca="1">OFFSET('RES Techs T15'!$F11,0,MATCH(VLOOKUP('RES Veda input'!T$3,'RES Assumptions T15'!$V$3:$W$35,2,FALSE),'RES Techs T15'!$G$3:$U$3,0))</f>
        <v>1</v>
      </c>
      <c r="U11" s="9">
        <f ca="1">OFFSET('RES Techs T15'!$F11,0,MATCH(VLOOKUP('RES Veda input'!U$3,'RES Assumptions T15'!$V$3:$W$35,2,FALSE),'RES Techs T15'!$G$3:$U$3,0))</f>
        <v>1</v>
      </c>
      <c r="V11" s="9">
        <f ca="1">OFFSET('RES Techs T15'!$F11,0,MATCH(VLOOKUP('RES Veda input'!V$3,'RES Assumptions T15'!$V$3:$W$35,2,FALSE),'RES Techs T15'!$G$3:$U$3,0))</f>
        <v>1</v>
      </c>
      <c r="W11" s="9">
        <f ca="1">OFFSET('RES Techs T15'!$F11,0,MATCH(VLOOKUP('RES Veda input'!W$3,'RES Assumptions T15'!$V$3:$W$35,2,FALSE),'RES Techs T15'!$G$3:$U$3,0))</f>
        <v>1</v>
      </c>
      <c r="X11" s="9">
        <f ca="1">OFFSET('RES Techs T15'!$F11,0,MATCH(VLOOKUP('RES Veda input'!X$3,'RES Assumptions T15'!$V$3:$W$35,2,FALSE),'RES Techs T15'!$G$3:$U$3,0))</f>
        <v>1</v>
      </c>
      <c r="Y11" s="9">
        <f ca="1">OFFSET('RES Techs T15'!$F11,0,MATCH(VLOOKUP('RES Veda input'!Y$3,'RES Assumptions T15'!$V$3:$W$35,2,FALSE),'RES Techs T15'!$G$3:$U$3,0))</f>
        <v>1</v>
      </c>
      <c r="Z11" s="9">
        <f ca="1">OFFSET('RES Techs T15'!$F11,0,MATCH(VLOOKUP('RES Veda input'!Z$3,'RES Assumptions T15'!$V$3:$W$35,2,FALSE),'RES Techs T15'!$G$3:$U$3,0))</f>
        <v>1</v>
      </c>
      <c r="AA11" s="9">
        <f ca="1">OFFSET('RES Techs T15'!$F11,0,MATCH(VLOOKUP('RES Veda input'!AA$3,'RES Assumptions T15'!$V$3:$W$35,2,FALSE),'RES Techs T15'!$G$3:$U$3,0))</f>
        <v>1</v>
      </c>
      <c r="AB11" s="9">
        <f ca="1">OFFSET('RES Techs T15'!$F11,0,MATCH(VLOOKUP('RES Veda input'!AB$3,'RES Assumptions T15'!$V$3:$W$35,2,FALSE),'RES Techs T15'!$G$3:$U$3,0))</f>
        <v>1</v>
      </c>
      <c r="AC11" s="9">
        <f ca="1">OFFSET('RES Techs T15'!$F11,0,MATCH(VLOOKUP('RES Veda input'!AC$3,'RES Assumptions T15'!$V$3:$W$35,2,FALSE),'RES Techs T15'!$G$3:$U$3,0))</f>
        <v>1</v>
      </c>
      <c r="AD11" s="9">
        <f ca="1">OFFSET('RES Techs T15'!$F11,0,MATCH(VLOOKUP('RES Veda input'!AD$3,'RES Assumptions T15'!$V$3:$W$35,2,FALSE),'RES Techs T15'!$G$3:$U$3,0))</f>
        <v>1</v>
      </c>
      <c r="AE11" s="9">
        <f ca="1">OFFSET('RES Techs T15'!$F11,0,MATCH(VLOOKUP('RES Veda input'!AE$3,'RES Assumptions T15'!$V$3:$W$35,2,FALSE),'RES Techs T15'!$G$3:$U$3,0))</f>
        <v>1</v>
      </c>
      <c r="AF11" s="9">
        <f ca="1">OFFSET('RES Techs T15'!$F11,0,MATCH(VLOOKUP('RES Veda input'!AF$3,'RES Assumptions T15'!$V$3:$W$35,2,FALSE),'RES Techs T15'!$G$3:$U$3,0))</f>
        <v>1</v>
      </c>
      <c r="AG11" s="9">
        <f ca="1">OFFSET('RES Techs T15'!$F11,0,MATCH(VLOOKUP('RES Veda input'!AG$3,'RES Assumptions T15'!$V$3:$W$35,2,FALSE),'RES Techs T15'!$G$3:$U$3,0))</f>
        <v>1</v>
      </c>
      <c r="AH11" s="9">
        <f ca="1">OFFSET('RES Techs T15'!$F11,0,MATCH(VLOOKUP('RES Veda input'!AH$3,'RES Assumptions T15'!$V$3:$W$35,2,FALSE),'RES Techs T15'!$G$3:$U$3,0))</f>
        <v>1</v>
      </c>
      <c r="AI11" s="9">
        <f ca="1">OFFSET('RES Techs T15'!$F11,0,MATCH(VLOOKUP('RES Veda input'!AI$3,'RES Assumptions T15'!$V$3:$W$35,2,FALSE),'RES Techs T15'!$G$3:$U$3,0))</f>
        <v>1</v>
      </c>
      <c r="AJ11" s="9">
        <f ca="1">OFFSET('RES Techs T15'!$F11,0,MATCH(VLOOKUP('RES Veda input'!AJ$3,'RES Assumptions T15'!$V$3:$W$35,2,FALSE),'RES Techs T15'!$G$3:$U$3,0))</f>
        <v>1</v>
      </c>
      <c r="AL11" s="8" t="str">
        <f t="shared" si="60"/>
        <v>\I: RCWELC000</v>
      </c>
      <c r="AM11" s="9">
        <f ca="1">OFFSET('RES Techs T15'!$W11,0,MATCH(VLOOKUP('RES Veda input'!AM$3,'RES Assumptions T15'!$V$3:$W$35,2,FALSE),'RES Techs T15'!$G$3:$U$3,0))</f>
        <v>1</v>
      </c>
      <c r="AN11" s="9">
        <f ca="1">OFFSET('RES Techs T15'!$W11,0,MATCH(VLOOKUP('RES Veda input'!AN$3,'RES Assumptions T15'!$V$3:$W$35,2,FALSE),'RES Techs T15'!$G$3:$U$3,0))</f>
        <v>1</v>
      </c>
      <c r="AO11" s="9">
        <f ca="1">OFFSET('RES Techs T15'!$W11,0,MATCH(VLOOKUP('RES Veda input'!AO$3,'RES Assumptions T15'!$V$3:$W$35,2,FALSE),'RES Techs T15'!$G$3:$U$3,0))</f>
        <v>1</v>
      </c>
      <c r="AP11" s="9">
        <f ca="1">OFFSET('RES Techs T15'!$W11,0,MATCH(VLOOKUP('RES Veda input'!AP$3,'RES Assumptions T15'!$V$3:$W$35,2,FALSE),'RES Techs T15'!$G$3:$U$3,0))</f>
        <v>1</v>
      </c>
      <c r="AQ11" s="9">
        <f ca="1">OFFSET('RES Techs T15'!$W11,0,MATCH(VLOOKUP('RES Veda input'!AQ$3,'RES Assumptions T15'!$V$3:$W$35,2,FALSE),'RES Techs T15'!$G$3:$U$3,0))</f>
        <v>1</v>
      </c>
      <c r="AR11" s="9">
        <f ca="1">OFFSET('RES Techs T15'!$W11,0,MATCH(VLOOKUP('RES Veda input'!AR$3,'RES Assumptions T15'!$V$3:$W$35,2,FALSE),'RES Techs T15'!$G$3:$U$3,0))</f>
        <v>1</v>
      </c>
      <c r="AS11" s="9">
        <f ca="1">OFFSET('RES Techs T15'!$W11,0,MATCH(VLOOKUP('RES Veda input'!AS$3,'RES Assumptions T15'!$V$3:$W$35,2,FALSE),'RES Techs T15'!$G$3:$U$3,0))</f>
        <v>1</v>
      </c>
      <c r="AT11" s="9">
        <f ca="1">OFFSET('RES Techs T15'!$W11,0,MATCH(VLOOKUP('RES Veda input'!AT$3,'RES Assumptions T15'!$V$3:$W$35,2,FALSE),'RES Techs T15'!$G$3:$U$3,0))</f>
        <v>1</v>
      </c>
      <c r="AU11" s="9">
        <f ca="1">OFFSET('RES Techs T15'!$W11,0,MATCH(VLOOKUP('RES Veda input'!AU$3,'RES Assumptions T15'!$V$3:$W$35,2,FALSE),'RES Techs T15'!$G$3:$U$3,0))</f>
        <v>1</v>
      </c>
      <c r="AV11" s="9">
        <f ca="1">OFFSET('RES Techs T15'!$W11,0,MATCH(VLOOKUP('RES Veda input'!AV$3,'RES Assumptions T15'!$V$3:$W$35,2,FALSE),'RES Techs T15'!$G$3:$U$3,0))</f>
        <v>1</v>
      </c>
      <c r="AW11" s="9">
        <f ca="1">OFFSET('RES Techs T15'!$W11,0,MATCH(VLOOKUP('RES Veda input'!AW$3,'RES Assumptions T15'!$V$3:$W$35,2,FALSE),'RES Techs T15'!$G$3:$U$3,0))</f>
        <v>1</v>
      </c>
      <c r="AX11" s="9">
        <f ca="1">OFFSET('RES Techs T15'!$W11,0,MATCH(VLOOKUP('RES Veda input'!AX$3,'RES Assumptions T15'!$V$3:$W$35,2,FALSE),'RES Techs T15'!$G$3:$U$3,0))</f>
        <v>1</v>
      </c>
      <c r="AY11" s="9">
        <f ca="1">OFFSET('RES Techs T15'!$W11,0,MATCH(VLOOKUP('RES Veda input'!AY$3,'RES Assumptions T15'!$V$3:$W$35,2,FALSE),'RES Techs T15'!$G$3:$U$3,0))</f>
        <v>1</v>
      </c>
      <c r="AZ11" s="9">
        <f ca="1">OFFSET('RES Techs T15'!$W11,0,MATCH(VLOOKUP('RES Veda input'!AZ$3,'RES Assumptions T15'!$V$3:$W$35,2,FALSE),'RES Techs T15'!$G$3:$U$3,0))</f>
        <v>1</v>
      </c>
      <c r="BA11" s="9">
        <f ca="1">OFFSET('RES Techs T15'!$W11,0,MATCH(VLOOKUP('RES Veda input'!BA$3,'RES Assumptions T15'!$V$3:$W$35,2,FALSE),'RES Techs T15'!$G$3:$U$3,0))</f>
        <v>1</v>
      </c>
      <c r="BB11" s="9">
        <f ca="1">OFFSET('RES Techs T15'!$W11,0,MATCH(VLOOKUP('RES Veda input'!BB$3,'RES Assumptions T15'!$V$3:$W$35,2,FALSE),'RES Techs T15'!$G$3:$U$3,0))</f>
        <v>1</v>
      </c>
      <c r="BC11" s="9">
        <f ca="1">OFFSET('RES Techs T15'!$W11,0,MATCH(VLOOKUP('RES Veda input'!BC$3,'RES Assumptions T15'!$V$3:$W$35,2,FALSE),'RES Techs T15'!$G$3:$U$3,0))</f>
        <v>1</v>
      </c>
      <c r="BD11" s="9">
        <f ca="1">OFFSET('RES Techs T15'!$W11,0,MATCH(VLOOKUP('RES Veda input'!BD$3,'RES Assumptions T15'!$V$3:$W$35,2,FALSE),'RES Techs T15'!$G$3:$U$3,0))</f>
        <v>1</v>
      </c>
      <c r="BE11" s="9">
        <f ca="1">OFFSET('RES Techs T15'!$W11,0,MATCH(VLOOKUP('RES Veda input'!BE$3,'RES Assumptions T15'!$V$3:$W$35,2,FALSE),'RES Techs T15'!$G$3:$U$3,0))</f>
        <v>1</v>
      </c>
      <c r="BF11" s="9">
        <f ca="1">OFFSET('RES Techs T15'!$W11,0,MATCH(VLOOKUP('RES Veda input'!BF$3,'RES Assumptions T15'!$V$3:$W$35,2,FALSE),'RES Techs T15'!$G$3:$U$3,0))</f>
        <v>1</v>
      </c>
      <c r="BG11" s="9">
        <f ca="1">OFFSET('RES Techs T15'!$W11,0,MATCH(VLOOKUP('RES Veda input'!BG$3,'RES Assumptions T15'!$V$3:$W$35,2,FALSE),'RES Techs T15'!$G$3:$U$3,0))</f>
        <v>1</v>
      </c>
      <c r="BH11" s="9">
        <f ca="1">OFFSET('RES Techs T15'!$W11,0,MATCH(VLOOKUP('RES Veda input'!BH$3,'RES Assumptions T15'!$V$3:$W$35,2,FALSE),'RES Techs T15'!$G$3:$U$3,0))</f>
        <v>1</v>
      </c>
      <c r="BI11" s="9">
        <f ca="1">OFFSET('RES Techs T15'!$W11,0,MATCH(VLOOKUP('RES Veda input'!BI$3,'RES Assumptions T15'!$V$3:$W$35,2,FALSE),'RES Techs T15'!$G$3:$U$3,0))</f>
        <v>1</v>
      </c>
      <c r="BJ11" s="9">
        <f ca="1">OFFSET('RES Techs T15'!$W11,0,MATCH(VLOOKUP('RES Veda input'!BJ$3,'RES Assumptions T15'!$V$3:$W$35,2,FALSE),'RES Techs T15'!$G$3:$U$3,0))</f>
        <v>1</v>
      </c>
      <c r="BK11" s="9">
        <f ca="1">OFFSET('RES Techs T15'!$W11,0,MATCH(VLOOKUP('RES Veda input'!BK$3,'RES Assumptions T15'!$V$3:$W$35,2,FALSE),'RES Techs T15'!$G$3:$U$3,0))</f>
        <v>1</v>
      </c>
      <c r="BL11" s="9">
        <f ca="1">OFFSET('RES Techs T15'!$W11,0,MATCH(VLOOKUP('RES Veda input'!BL$3,'RES Assumptions T15'!$V$3:$W$35,2,FALSE),'RES Techs T15'!$G$3:$U$3,0))</f>
        <v>1</v>
      </c>
      <c r="BM11" s="9">
        <f ca="1">OFFSET('RES Techs T15'!$W11,0,MATCH(VLOOKUP('RES Veda input'!BM$3,'RES Assumptions T15'!$V$3:$W$35,2,FALSE),'RES Techs T15'!$G$3:$U$3,0))</f>
        <v>1</v>
      </c>
      <c r="BN11" s="9">
        <f ca="1">OFFSET('RES Techs T15'!$W11,0,MATCH(VLOOKUP('RES Veda input'!BN$3,'RES Assumptions T15'!$V$3:$W$35,2,FALSE),'RES Techs T15'!$G$3:$U$3,0))</f>
        <v>1</v>
      </c>
      <c r="BO11" s="9">
        <f ca="1">OFFSET('RES Techs T15'!$W11,0,MATCH(VLOOKUP('RES Veda input'!BO$3,'RES Assumptions T15'!$V$3:$W$35,2,FALSE),'RES Techs T15'!$G$3:$U$3,0))</f>
        <v>1</v>
      </c>
      <c r="BP11" s="9">
        <f ca="1">OFFSET('RES Techs T15'!$W11,0,MATCH(VLOOKUP('RES Veda input'!BP$3,'RES Assumptions T15'!$V$3:$W$35,2,FALSE),'RES Techs T15'!$G$3:$U$3,0))</f>
        <v>1</v>
      </c>
      <c r="BR11" s="8" t="str">
        <f t="shared" si="61"/>
        <v>\I: RCWELC000</v>
      </c>
      <c r="BS11" s="9">
        <f t="shared" ca="1" si="62"/>
        <v>8.4</v>
      </c>
      <c r="BT11" s="9" t="str">
        <f ca="1">IF(OFFSET('RES Techs T15'!$AO11,0,MATCH(VLOOKUP('RES Veda input'!BT$3,'RES Assumptions T15'!$V$3:$W$35,2,FALSE),'RES Techs T15'!$G$3:$U$3,0))=0,"",OFFSET('RES Techs T15'!$AO11,0,MATCH(VLOOKUP('RES Veda input'!BT$3,'RES Assumptions T15'!$V$3:$W$35,2,FALSE),'RES Techs T15'!$G$3:$U$3,0)))</f>
        <v/>
      </c>
      <c r="BU11" s="9" t="str">
        <f ca="1">IF(OFFSET('RES Techs T15'!$AO11,0,MATCH(VLOOKUP('RES Veda input'!BU$3,'RES Assumptions T15'!$V$3:$W$35,2,FALSE),'RES Techs T15'!$G$3:$U$3,0))=0,"",OFFSET('RES Techs T15'!$AO11,0,MATCH(VLOOKUP('RES Veda input'!BU$3,'RES Assumptions T15'!$V$3:$W$35,2,FALSE),'RES Techs T15'!$G$3:$U$3,0)))</f>
        <v/>
      </c>
      <c r="BV11" s="9">
        <f ca="1">IF(OFFSET('RES Techs T15'!$AO11,0,MATCH(VLOOKUP('RES Veda input'!BV$3,'RES Assumptions T15'!$V$3:$W$35,2,FALSE),'RES Techs T15'!$G$3:$U$3,0))=0,"",OFFSET('RES Techs T15'!$AO11,0,MATCH(VLOOKUP('RES Veda input'!BV$3,'RES Assumptions T15'!$V$3:$W$35,2,FALSE),'RES Techs T15'!$G$3:$U$3,0)))</f>
        <v>9.8000000000000007</v>
      </c>
      <c r="BW11" s="9" t="str">
        <f ca="1">IF(OFFSET('RES Techs T15'!$AO11,0,MATCH(VLOOKUP('RES Veda input'!BW$3,'RES Assumptions T15'!$V$3:$W$35,2,FALSE),'RES Techs T15'!$G$3:$U$3,0))=0,"",OFFSET('RES Techs T15'!$AO11,0,MATCH(VLOOKUP('RES Veda input'!BW$3,'RES Assumptions T15'!$V$3:$W$35,2,FALSE),'RES Techs T15'!$G$3:$U$3,0)))</f>
        <v/>
      </c>
      <c r="BX11" s="9">
        <f ca="1">IF(OFFSET('RES Techs T15'!$AO11,0,MATCH(VLOOKUP('RES Veda input'!BX$3,'RES Assumptions T15'!$V$3:$W$35,2,FALSE),'RES Techs T15'!$G$3:$U$3,0))=0,"",OFFSET('RES Techs T15'!$AO11,0,MATCH(VLOOKUP('RES Veda input'!BX$3,'RES Assumptions T15'!$V$3:$W$35,2,FALSE),'RES Techs T15'!$G$3:$U$3,0)))</f>
        <v>14</v>
      </c>
      <c r="BY11" s="9">
        <f ca="1">IF(OFFSET('RES Techs T15'!$AO11,0,MATCH(VLOOKUP('RES Veda input'!BY$3,'RES Assumptions T15'!$V$3:$W$35,2,FALSE),'RES Techs T15'!$G$3:$U$3,0))=0,"",OFFSET('RES Techs T15'!$AO11,0,MATCH(VLOOKUP('RES Veda input'!BY$3,'RES Assumptions T15'!$V$3:$W$35,2,FALSE),'RES Techs T15'!$G$3:$U$3,0)))</f>
        <v>8.4</v>
      </c>
      <c r="BZ11" s="9" t="str">
        <f ca="1">IF(OFFSET('RES Techs T15'!$AO11,0,MATCH(VLOOKUP('RES Veda input'!BZ$3,'RES Assumptions T15'!$V$3:$W$35,2,FALSE),'RES Techs T15'!$G$3:$U$3,0))=0,"",OFFSET('RES Techs T15'!$AO11,0,MATCH(VLOOKUP('RES Veda input'!BZ$3,'RES Assumptions T15'!$V$3:$W$35,2,FALSE),'RES Techs T15'!$G$3:$U$3,0)))</f>
        <v/>
      </c>
      <c r="CA11" s="9">
        <f ca="1">IF(OFFSET('RES Techs T15'!$AO11,0,MATCH(VLOOKUP('RES Veda input'!CA$3,'RES Assumptions T15'!$V$3:$W$35,2,FALSE),'RES Techs T15'!$G$3:$U$3,0))=0,"",OFFSET('RES Techs T15'!$AO11,0,MATCH(VLOOKUP('RES Veda input'!CA$3,'RES Assumptions T15'!$V$3:$W$35,2,FALSE),'RES Techs T15'!$G$3:$U$3,0)))</f>
        <v>9.8000000000000007</v>
      </c>
      <c r="CB11" s="9" t="str">
        <f ca="1">IF(OFFSET('RES Techs T15'!$AO11,0,MATCH(VLOOKUP('RES Veda input'!CB$3,'RES Assumptions T15'!$V$3:$W$35,2,FALSE),'RES Techs T15'!$G$3:$U$3,0))=0,"",OFFSET('RES Techs T15'!$AO11,0,MATCH(VLOOKUP('RES Veda input'!CB$3,'RES Assumptions T15'!$V$3:$W$35,2,FALSE),'RES Techs T15'!$G$3:$U$3,0)))</f>
        <v/>
      </c>
      <c r="CC11" s="9">
        <f ca="1">IF(OFFSET('RES Techs T15'!$AO11,0,MATCH(VLOOKUP('RES Veda input'!CC$3,'RES Assumptions T15'!$V$3:$W$35,2,FALSE),'RES Techs T15'!$G$3:$U$3,0))=0,"",OFFSET('RES Techs T15'!$AO11,0,MATCH(VLOOKUP('RES Veda input'!CC$3,'RES Assumptions T15'!$V$3:$W$35,2,FALSE),'RES Techs T15'!$G$3:$U$3,0)))</f>
        <v>8.4</v>
      </c>
      <c r="CD11" s="9" t="str">
        <f ca="1">IF(OFFSET('RES Techs T15'!$AO11,0,MATCH(VLOOKUP('RES Veda input'!CD$3,'RES Assumptions T15'!$V$3:$W$35,2,FALSE),'RES Techs T15'!$G$3:$U$3,0))=0,"",OFFSET('RES Techs T15'!$AO11,0,MATCH(VLOOKUP('RES Veda input'!CD$3,'RES Assumptions T15'!$V$3:$W$35,2,FALSE),'RES Techs T15'!$G$3:$U$3,0)))</f>
        <v/>
      </c>
      <c r="CE11" s="9" t="str">
        <f ca="1">IF(OFFSET('RES Techs T15'!$AO11,0,MATCH(VLOOKUP('RES Veda input'!CE$3,'RES Assumptions T15'!$V$3:$W$35,2,FALSE),'RES Techs T15'!$G$3:$U$3,0))=0,"",OFFSET('RES Techs T15'!$AO11,0,MATCH(VLOOKUP('RES Veda input'!CE$3,'RES Assumptions T15'!$V$3:$W$35,2,FALSE),'RES Techs T15'!$G$3:$U$3,0)))</f>
        <v/>
      </c>
      <c r="CF11" s="9" t="str">
        <f ca="1">IF(OFFSET('RES Techs T15'!$AO11,0,MATCH(VLOOKUP('RES Veda input'!CF$3,'RES Assumptions T15'!$V$3:$W$35,2,FALSE),'RES Techs T15'!$G$3:$U$3,0))=0,"",OFFSET('RES Techs T15'!$AO11,0,MATCH(VLOOKUP('RES Veda input'!CF$3,'RES Assumptions T15'!$V$3:$W$35,2,FALSE),'RES Techs T15'!$G$3:$U$3,0)))</f>
        <v/>
      </c>
      <c r="CG11" s="9" t="str">
        <f ca="1">IF(OFFSET('RES Techs T15'!$AO11,0,MATCH(VLOOKUP('RES Veda input'!CG$3,'RES Assumptions T15'!$V$3:$W$35,2,FALSE),'RES Techs T15'!$G$3:$U$3,0))=0,"",OFFSET('RES Techs T15'!$AO11,0,MATCH(VLOOKUP('RES Veda input'!CG$3,'RES Assumptions T15'!$V$3:$W$35,2,FALSE),'RES Techs T15'!$G$3:$U$3,0)))</f>
        <v/>
      </c>
      <c r="CH11" s="9" t="str">
        <f ca="1">IF(OFFSET('RES Techs T15'!$AO11,0,MATCH(VLOOKUP('RES Veda input'!CH$3,'RES Assumptions T15'!$V$3:$W$35,2,FALSE),'RES Techs T15'!$G$3:$U$3,0))=0,"",OFFSET('RES Techs T15'!$AO11,0,MATCH(VLOOKUP('RES Veda input'!CH$3,'RES Assumptions T15'!$V$3:$W$35,2,FALSE),'RES Techs T15'!$G$3:$U$3,0)))</f>
        <v/>
      </c>
      <c r="CI11" s="9" t="str">
        <f ca="1">IF(OFFSET('RES Techs T15'!$AO11,0,MATCH(VLOOKUP('RES Veda input'!CI$3,'RES Assumptions T15'!$V$3:$W$35,2,FALSE),'RES Techs T15'!$G$3:$U$3,0))=0,"",OFFSET('RES Techs T15'!$AO11,0,MATCH(VLOOKUP('RES Veda input'!CI$3,'RES Assumptions T15'!$V$3:$W$35,2,FALSE),'RES Techs T15'!$G$3:$U$3,0)))</f>
        <v/>
      </c>
      <c r="CJ11" s="9">
        <f ca="1">IF(OFFSET('RES Techs T15'!$AO11,0,MATCH(VLOOKUP('RES Veda input'!CJ$3,'RES Assumptions T15'!$V$3:$W$35,2,FALSE),'RES Techs T15'!$G$3:$U$3,0))=0,"",OFFSET('RES Techs T15'!$AO11,0,MATCH(VLOOKUP('RES Veda input'!CJ$3,'RES Assumptions T15'!$V$3:$W$35,2,FALSE),'RES Techs T15'!$G$3:$U$3,0)))</f>
        <v>9.8000000000000007</v>
      </c>
      <c r="CK11" s="9" t="str">
        <f ca="1">IF(OFFSET('RES Techs T15'!$AO11,0,MATCH(VLOOKUP('RES Veda input'!CK$3,'RES Assumptions T15'!$V$3:$W$35,2,FALSE),'RES Techs T15'!$G$3:$U$3,0))=0,"",OFFSET('RES Techs T15'!$AO11,0,MATCH(VLOOKUP('RES Veda input'!CK$3,'RES Assumptions T15'!$V$3:$W$35,2,FALSE),'RES Techs T15'!$G$3:$U$3,0)))</f>
        <v/>
      </c>
      <c r="CL11" s="9" t="str">
        <f ca="1">IF(OFFSET('RES Techs T15'!$AO11,0,MATCH(VLOOKUP('RES Veda input'!CL$3,'RES Assumptions T15'!$V$3:$W$35,2,FALSE),'RES Techs T15'!$G$3:$U$3,0))=0,"",OFFSET('RES Techs T15'!$AO11,0,MATCH(VLOOKUP('RES Veda input'!CL$3,'RES Assumptions T15'!$V$3:$W$35,2,FALSE),'RES Techs T15'!$G$3:$U$3,0)))</f>
        <v/>
      </c>
      <c r="CM11" s="9">
        <f ca="1">IF(OFFSET('RES Techs T15'!$AO11,0,MATCH(VLOOKUP('RES Veda input'!CM$3,'RES Assumptions T15'!$V$3:$W$35,2,FALSE),'RES Techs T15'!$G$3:$U$3,0))=0,"",OFFSET('RES Techs T15'!$AO11,0,MATCH(VLOOKUP('RES Veda input'!CM$3,'RES Assumptions T15'!$V$3:$W$35,2,FALSE),'RES Techs T15'!$G$3:$U$3,0)))</f>
        <v>8.4</v>
      </c>
      <c r="CN11" s="9">
        <f ca="1">IF(OFFSET('RES Techs T15'!$AO11,0,MATCH(VLOOKUP('RES Veda input'!CN$3,'RES Assumptions T15'!$V$3:$W$35,2,FALSE),'RES Techs T15'!$G$3:$U$3,0))=0,"",OFFSET('RES Techs T15'!$AO11,0,MATCH(VLOOKUP('RES Veda input'!CN$3,'RES Assumptions T15'!$V$3:$W$35,2,FALSE),'RES Techs T15'!$G$3:$U$3,0)))</f>
        <v>9.8000000000000007</v>
      </c>
      <c r="CO11" s="9">
        <f ca="1">IF(OFFSET('RES Techs T15'!$AO11,0,MATCH(VLOOKUP('RES Veda input'!CO$3,'RES Assumptions T15'!$V$3:$W$35,2,FALSE),'RES Techs T15'!$G$3:$U$3,0))=0,"",OFFSET('RES Techs T15'!$AO11,0,MATCH(VLOOKUP('RES Veda input'!CO$3,'RES Assumptions T15'!$V$3:$W$35,2,FALSE),'RES Techs T15'!$G$3:$U$3,0)))</f>
        <v>11.2</v>
      </c>
      <c r="CP11" s="9">
        <f ca="1">IF(OFFSET('RES Techs T15'!$AO11,0,MATCH(VLOOKUP('RES Veda input'!CP$3,'RES Assumptions T15'!$V$3:$W$35,2,FALSE),'RES Techs T15'!$G$3:$U$3,0))=0,"",OFFSET('RES Techs T15'!$AO11,0,MATCH(VLOOKUP('RES Veda input'!CP$3,'RES Assumptions T15'!$V$3:$W$35,2,FALSE),'RES Techs T15'!$G$3:$U$3,0)))</f>
        <v>9.8000000000000007</v>
      </c>
      <c r="CQ11" s="9" t="str">
        <f ca="1">IF(OFFSET('RES Techs T15'!$AO11,0,MATCH(VLOOKUP('RES Veda input'!CQ$3,'RES Assumptions T15'!$V$3:$W$35,2,FALSE),'RES Techs T15'!$G$3:$U$3,0))=0,"",OFFSET('RES Techs T15'!$AO11,0,MATCH(VLOOKUP('RES Veda input'!CQ$3,'RES Assumptions T15'!$V$3:$W$35,2,FALSE),'RES Techs T15'!$G$3:$U$3,0)))</f>
        <v/>
      </c>
      <c r="CR11" s="9" t="str">
        <f ca="1">IF(OFFSET('RES Techs T15'!$AO11,0,MATCH(VLOOKUP('RES Veda input'!CR$3,'RES Assumptions T15'!$V$3:$W$35,2,FALSE),'RES Techs T15'!$G$3:$U$3,0))=0,"",OFFSET('RES Techs T15'!$AO11,0,MATCH(VLOOKUP('RES Veda input'!CR$3,'RES Assumptions T15'!$V$3:$W$35,2,FALSE),'RES Techs T15'!$G$3:$U$3,0)))</f>
        <v/>
      </c>
      <c r="CS11" s="9">
        <f ca="1">IF(OFFSET('RES Techs T15'!$AO11,0,MATCH(VLOOKUP('RES Veda input'!CS$3,'RES Assumptions T15'!$V$3:$W$35,2,FALSE),'RES Techs T15'!$G$3:$U$3,0))=0,"",OFFSET('RES Techs T15'!$AO11,0,MATCH(VLOOKUP('RES Veda input'!CS$3,'RES Assumptions T15'!$V$3:$W$35,2,FALSE),'RES Techs T15'!$G$3:$U$3,0)))</f>
        <v>9.8000000000000007</v>
      </c>
      <c r="CT11" s="9" t="str">
        <f ca="1">IF(OFFSET('RES Techs T15'!$AO11,0,MATCH(VLOOKUP('RES Veda input'!CT$3,'RES Assumptions T15'!$V$3:$W$35,2,FALSE),'RES Techs T15'!$G$3:$U$3,0))=0,"",OFFSET('RES Techs T15'!$AO11,0,MATCH(VLOOKUP('RES Veda input'!CT$3,'RES Assumptions T15'!$V$3:$W$35,2,FALSE),'RES Techs T15'!$G$3:$U$3,0)))</f>
        <v/>
      </c>
      <c r="CU11" s="9" t="str">
        <f ca="1">IF(OFFSET('RES Techs T15'!$AO11,0,MATCH(VLOOKUP('RES Veda input'!CU$3,'RES Assumptions T15'!$V$3:$W$35,2,FALSE),'RES Techs T15'!$G$3:$U$3,0))=0,"",OFFSET('RES Techs T15'!$AO11,0,MATCH(VLOOKUP('RES Veda input'!CU$3,'RES Assumptions T15'!$V$3:$W$35,2,FALSE),'RES Techs T15'!$G$3:$U$3,0)))</f>
        <v/>
      </c>
      <c r="CV11" s="9">
        <f ca="1">IF(OFFSET('RES Techs T15'!$AO11,0,MATCH(VLOOKUP('RES Veda input'!CV$3,'RES Assumptions T15'!$V$3:$W$35,2,FALSE),'RES Techs T15'!$G$3:$U$3,0))=0,"",OFFSET('RES Techs T15'!$AO11,0,MATCH(VLOOKUP('RES Veda input'!CV$3,'RES Assumptions T15'!$V$3:$W$35,2,FALSE),'RES Techs T15'!$G$3:$U$3,0)))</f>
        <v>8.1999999999999993</v>
      </c>
      <c r="CW11" s="9">
        <f ca="1">IF(OFFSET('RES Techs T15'!$AO11,0,MATCH(VLOOKUP('RES Veda input'!CW$3,'RES Assumptions T15'!$V$3:$W$35,2,FALSE),'RES Techs T15'!$G$3:$U$3,0))=0,"",OFFSET('RES Techs T15'!$AO11,0,MATCH(VLOOKUP('RES Veda input'!CW$3,'RES Assumptions T15'!$V$3:$W$35,2,FALSE),'RES Techs T15'!$G$3:$U$3,0)))</f>
        <v>8.1999999999999993</v>
      </c>
      <c r="CY11" s="8" t="str">
        <f t="shared" si="63"/>
        <v>\I: RCWELC000</v>
      </c>
      <c r="CZ11" s="10">
        <f ca="1">ROUND('RES Assumptions'!E94*'RES Veda input'!G11/'RES Veda input'!AM11,3)</f>
        <v>0</v>
      </c>
      <c r="DA11" s="10">
        <f ca="1">ROUND('RES Assumptions'!F94*'RES Veda input'!H11/'RES Veda input'!AN11,3)</f>
        <v>0</v>
      </c>
      <c r="DB11" s="10">
        <f ca="1">ROUND('RES Assumptions'!G94*'RES Veda input'!I11/'RES Veda input'!AO11,3)</f>
        <v>0</v>
      </c>
      <c r="DC11" s="10">
        <f ca="1">ROUND('RES Assumptions'!H94*'RES Veda input'!J11/'RES Veda input'!AP11,3)</f>
        <v>0</v>
      </c>
      <c r="DD11" s="10">
        <f ca="1">ROUND('RES Assumptions'!I94*'RES Veda input'!K11/'RES Veda input'!AQ11,3)</f>
        <v>0</v>
      </c>
      <c r="DE11" s="10">
        <f ca="1">ROUND('RES Assumptions'!J94*'RES Veda input'!L11/'RES Veda input'!AR11,3)</f>
        <v>0</v>
      </c>
      <c r="DF11" s="10">
        <f ca="1">ROUND('RES Assumptions'!K94*'RES Veda input'!M11/'RES Veda input'!AS11,3)</f>
        <v>0</v>
      </c>
      <c r="DG11" s="10">
        <f ca="1">ROUND('RES Assumptions'!L94*'RES Veda input'!N11/'RES Veda input'!AT11,3)</f>
        <v>0</v>
      </c>
      <c r="DH11" s="10">
        <f ca="1">ROUND('RES Assumptions'!M94*'RES Veda input'!O11/'RES Veda input'!AU11,3)</f>
        <v>0</v>
      </c>
      <c r="DI11" s="10">
        <f ca="1">ROUND('RES Assumptions'!N94*'RES Veda input'!P11/'RES Veda input'!AV11,3)</f>
        <v>0</v>
      </c>
      <c r="DJ11" s="10">
        <f ca="1">ROUND('RES Assumptions'!O94*'RES Veda input'!Q11/'RES Veda input'!AW11,3)</f>
        <v>0</v>
      </c>
      <c r="DK11" s="10">
        <f ca="1">ROUND('RES Assumptions'!P94*'RES Veda input'!R11/'RES Veda input'!AX11,3)</f>
        <v>0</v>
      </c>
      <c r="DL11" s="10">
        <f ca="1">ROUND('RES Assumptions'!Q94*'RES Veda input'!S11/'RES Veda input'!AY11,3)</f>
        <v>0</v>
      </c>
      <c r="DM11" s="10">
        <f ca="1">ROUND('RES Assumptions'!R94*'RES Veda input'!T11/'RES Veda input'!AZ11,3)</f>
        <v>0</v>
      </c>
      <c r="DN11" s="10">
        <f ca="1">ROUND('RES Assumptions'!S94*'RES Veda input'!U11/'RES Veda input'!BA11,3)</f>
        <v>0</v>
      </c>
      <c r="DO11" s="10">
        <f ca="1">ROUND('RES Assumptions'!T94*'RES Veda input'!V11/'RES Veda input'!BB11,3)</f>
        <v>0</v>
      </c>
      <c r="DP11" s="10">
        <f ca="1">ROUND('RES Assumptions'!U94*'RES Veda input'!W11/'RES Veda input'!BC11,3)</f>
        <v>0</v>
      </c>
      <c r="DQ11" s="10">
        <f ca="1">ROUND('RES Assumptions'!V94*'RES Veda input'!X11/'RES Veda input'!BD11,3)</f>
        <v>0</v>
      </c>
      <c r="DR11" s="10">
        <f ca="1">ROUND('RES Assumptions'!W94*'RES Veda input'!Y11/'RES Veda input'!BE11,3)</f>
        <v>0</v>
      </c>
      <c r="DS11" s="10">
        <f ca="1">ROUND('RES Assumptions'!X94*'RES Veda input'!Z11/'RES Veda input'!BF11,3)</f>
        <v>0</v>
      </c>
      <c r="DT11" s="10">
        <f ca="1">ROUND('RES Assumptions'!Y94*'RES Veda input'!AA11/'RES Veda input'!BG11,3)</f>
        <v>0</v>
      </c>
      <c r="DU11" s="10">
        <f ca="1">ROUND('RES Assumptions'!Z94*'RES Veda input'!AB11/'RES Veda input'!BH11,3)</f>
        <v>0</v>
      </c>
      <c r="DV11" s="10">
        <f ca="1">ROUND('RES Assumptions'!AA94*'RES Veda input'!AC11/'RES Veda input'!BI11,3)</f>
        <v>0</v>
      </c>
      <c r="DW11" s="10">
        <f ca="1">ROUND('RES Assumptions'!AB94*'RES Veda input'!AD11/'RES Veda input'!BJ11,3)</f>
        <v>0</v>
      </c>
      <c r="DX11" s="10">
        <f ca="1">ROUND('RES Assumptions'!AC94*'RES Veda input'!AE11/'RES Veda input'!BK11,3)</f>
        <v>0</v>
      </c>
      <c r="DY11" s="10">
        <f ca="1">ROUND('RES Assumptions'!AD94*'RES Veda input'!AF11/'RES Veda input'!BL11,3)</f>
        <v>0</v>
      </c>
      <c r="DZ11" s="10">
        <f ca="1">ROUND('RES Assumptions'!AE94*'RES Veda input'!AG11/'RES Veda input'!BM11,3)</f>
        <v>0</v>
      </c>
      <c r="EA11" s="10">
        <f ca="1">ROUND('RES Assumptions'!AF94*'RES Veda input'!AH11/'RES Veda input'!BN11,3)</f>
        <v>0</v>
      </c>
      <c r="EB11" s="10">
        <f ca="1">ROUND('RES Assumptions'!AG94*'RES Veda input'!AI11/'RES Veda input'!BO11,3)</f>
        <v>0</v>
      </c>
      <c r="EC11" s="10">
        <f ca="1">ROUND('RES Assumptions'!AH94*'RES Veda input'!AJ11/'RES Veda input'!BP11,3)</f>
        <v>0</v>
      </c>
      <c r="ED11">
        <v>15</v>
      </c>
      <c r="EG11" t="s">
        <v>281</v>
      </c>
      <c r="EH11" t="str">
        <f t="shared" si="64"/>
        <v>\I: RCWELC000</v>
      </c>
      <c r="EJ11" t="s">
        <v>282</v>
      </c>
      <c r="EK11" t="s">
        <v>283</v>
      </c>
    </row>
    <row r="12" spans="1:144" x14ac:dyDescent="0.45">
      <c r="A12" s="37" t="str">
        <f>'RES Assumptions'!B95</f>
        <v>RDW</v>
      </c>
      <c r="B12" s="37" t="s">
        <v>126</v>
      </c>
      <c r="D12" s="51" t="s">
        <v>409</v>
      </c>
      <c r="E12" s="8" t="str">
        <f>'RES Assumptions'!A95</f>
        <v>RESELC</v>
      </c>
      <c r="F12" s="8" t="str">
        <f>VLOOKUP(A12,'RES Assumptions'!$AN$87:$AO$97,2,FALSE)</f>
        <v>RDW</v>
      </c>
      <c r="G12" s="9">
        <f ca="1">OFFSET('RES Techs T15'!$F12,0,MATCH(VLOOKUP('RES Veda input'!G$3,'RES Assumptions T15'!$V$3:$W$35,2,FALSE),'RES Techs T15'!$G$3:$U$3,0))</f>
        <v>1</v>
      </c>
      <c r="H12" s="9">
        <f ca="1">OFFSET('RES Techs T15'!$F12,0,MATCH(VLOOKUP('RES Veda input'!H$3,'RES Assumptions T15'!$V$3:$W$35,2,FALSE),'RES Techs T15'!$G$3:$U$3,0))</f>
        <v>1</v>
      </c>
      <c r="I12" s="9">
        <f ca="1">OFFSET('RES Techs T15'!$F12,0,MATCH(VLOOKUP('RES Veda input'!I$3,'RES Assumptions T15'!$V$3:$W$35,2,FALSE),'RES Techs T15'!$G$3:$U$3,0))</f>
        <v>1</v>
      </c>
      <c r="J12" s="9">
        <f ca="1">OFFSET('RES Techs T15'!$F12,0,MATCH(VLOOKUP('RES Veda input'!J$3,'RES Assumptions T15'!$V$3:$W$35,2,FALSE),'RES Techs T15'!$G$3:$U$3,0))</f>
        <v>1</v>
      </c>
      <c r="K12" s="9">
        <f ca="1">OFFSET('RES Techs T15'!$F12,0,MATCH(VLOOKUP('RES Veda input'!K$3,'RES Assumptions T15'!$V$3:$W$35,2,FALSE),'RES Techs T15'!$G$3:$U$3,0))</f>
        <v>1</v>
      </c>
      <c r="L12" s="9">
        <f ca="1">OFFSET('RES Techs T15'!$F12,0,MATCH(VLOOKUP('RES Veda input'!L$3,'RES Assumptions T15'!$V$3:$W$35,2,FALSE),'RES Techs T15'!$G$3:$U$3,0))</f>
        <v>1</v>
      </c>
      <c r="M12" s="9">
        <f ca="1">OFFSET('RES Techs T15'!$F12,0,MATCH(VLOOKUP('RES Veda input'!M$3,'RES Assumptions T15'!$V$3:$W$35,2,FALSE),'RES Techs T15'!$G$3:$U$3,0))</f>
        <v>1</v>
      </c>
      <c r="N12" s="9">
        <f ca="1">OFFSET('RES Techs T15'!$F12,0,MATCH(VLOOKUP('RES Veda input'!N$3,'RES Assumptions T15'!$V$3:$W$35,2,FALSE),'RES Techs T15'!$G$3:$U$3,0))</f>
        <v>1</v>
      </c>
      <c r="O12" s="9">
        <f ca="1">OFFSET('RES Techs T15'!$F12,0,MATCH(VLOOKUP('RES Veda input'!O$3,'RES Assumptions T15'!$V$3:$W$35,2,FALSE),'RES Techs T15'!$G$3:$U$3,0))</f>
        <v>1</v>
      </c>
      <c r="P12" s="9">
        <f ca="1">OFFSET('RES Techs T15'!$F12,0,MATCH(VLOOKUP('RES Veda input'!P$3,'RES Assumptions T15'!$V$3:$W$35,2,FALSE),'RES Techs T15'!$G$3:$U$3,0))</f>
        <v>1</v>
      </c>
      <c r="Q12" s="9">
        <f ca="1">OFFSET('RES Techs T15'!$F12,0,MATCH(VLOOKUP('RES Veda input'!Q$3,'RES Assumptions T15'!$V$3:$W$35,2,FALSE),'RES Techs T15'!$G$3:$U$3,0))</f>
        <v>1</v>
      </c>
      <c r="R12" s="9">
        <f ca="1">OFFSET('RES Techs T15'!$F12,0,MATCH(VLOOKUP('RES Veda input'!R$3,'RES Assumptions T15'!$V$3:$W$35,2,FALSE),'RES Techs T15'!$G$3:$U$3,0))</f>
        <v>1</v>
      </c>
      <c r="S12" s="9">
        <f ca="1">OFFSET('RES Techs T15'!$F12,0,MATCH(VLOOKUP('RES Veda input'!S$3,'RES Assumptions T15'!$V$3:$W$35,2,FALSE),'RES Techs T15'!$G$3:$U$3,0))</f>
        <v>1</v>
      </c>
      <c r="T12" s="9">
        <f ca="1">OFFSET('RES Techs T15'!$F12,0,MATCH(VLOOKUP('RES Veda input'!T$3,'RES Assumptions T15'!$V$3:$W$35,2,FALSE),'RES Techs T15'!$G$3:$U$3,0))</f>
        <v>1</v>
      </c>
      <c r="U12" s="9">
        <f ca="1">OFFSET('RES Techs T15'!$F12,0,MATCH(VLOOKUP('RES Veda input'!U$3,'RES Assumptions T15'!$V$3:$W$35,2,FALSE),'RES Techs T15'!$G$3:$U$3,0))</f>
        <v>1</v>
      </c>
      <c r="V12" s="9">
        <f ca="1">OFFSET('RES Techs T15'!$F12,0,MATCH(VLOOKUP('RES Veda input'!V$3,'RES Assumptions T15'!$V$3:$W$35,2,FALSE),'RES Techs T15'!$G$3:$U$3,0))</f>
        <v>1</v>
      </c>
      <c r="W12" s="9">
        <f ca="1">OFFSET('RES Techs T15'!$F12,0,MATCH(VLOOKUP('RES Veda input'!W$3,'RES Assumptions T15'!$V$3:$W$35,2,FALSE),'RES Techs T15'!$G$3:$U$3,0))</f>
        <v>1</v>
      </c>
      <c r="X12" s="9">
        <f ca="1">OFFSET('RES Techs T15'!$F12,0,MATCH(VLOOKUP('RES Veda input'!X$3,'RES Assumptions T15'!$V$3:$W$35,2,FALSE),'RES Techs T15'!$G$3:$U$3,0))</f>
        <v>1</v>
      </c>
      <c r="Y12" s="9">
        <f ca="1">OFFSET('RES Techs T15'!$F12,0,MATCH(VLOOKUP('RES Veda input'!Y$3,'RES Assumptions T15'!$V$3:$W$35,2,FALSE),'RES Techs T15'!$G$3:$U$3,0))</f>
        <v>1</v>
      </c>
      <c r="Z12" s="9">
        <f ca="1">OFFSET('RES Techs T15'!$F12,0,MATCH(VLOOKUP('RES Veda input'!Z$3,'RES Assumptions T15'!$V$3:$W$35,2,FALSE),'RES Techs T15'!$G$3:$U$3,0))</f>
        <v>1</v>
      </c>
      <c r="AA12" s="9">
        <f ca="1">OFFSET('RES Techs T15'!$F12,0,MATCH(VLOOKUP('RES Veda input'!AA$3,'RES Assumptions T15'!$V$3:$W$35,2,FALSE),'RES Techs T15'!$G$3:$U$3,0))</f>
        <v>1</v>
      </c>
      <c r="AB12" s="9">
        <f ca="1">OFFSET('RES Techs T15'!$F12,0,MATCH(VLOOKUP('RES Veda input'!AB$3,'RES Assumptions T15'!$V$3:$W$35,2,FALSE),'RES Techs T15'!$G$3:$U$3,0))</f>
        <v>1</v>
      </c>
      <c r="AC12" s="9">
        <f ca="1">OFFSET('RES Techs T15'!$F12,0,MATCH(VLOOKUP('RES Veda input'!AC$3,'RES Assumptions T15'!$V$3:$W$35,2,FALSE),'RES Techs T15'!$G$3:$U$3,0))</f>
        <v>1</v>
      </c>
      <c r="AD12" s="9">
        <f ca="1">OFFSET('RES Techs T15'!$F12,0,MATCH(VLOOKUP('RES Veda input'!AD$3,'RES Assumptions T15'!$V$3:$W$35,2,FALSE),'RES Techs T15'!$G$3:$U$3,0))</f>
        <v>1</v>
      </c>
      <c r="AE12" s="9">
        <f ca="1">OFFSET('RES Techs T15'!$F12,0,MATCH(VLOOKUP('RES Veda input'!AE$3,'RES Assumptions T15'!$V$3:$W$35,2,FALSE),'RES Techs T15'!$G$3:$U$3,0))</f>
        <v>1</v>
      </c>
      <c r="AF12" s="9">
        <f ca="1">OFFSET('RES Techs T15'!$F12,0,MATCH(VLOOKUP('RES Veda input'!AF$3,'RES Assumptions T15'!$V$3:$W$35,2,FALSE),'RES Techs T15'!$G$3:$U$3,0))</f>
        <v>1</v>
      </c>
      <c r="AG12" s="9">
        <f ca="1">OFFSET('RES Techs T15'!$F12,0,MATCH(VLOOKUP('RES Veda input'!AG$3,'RES Assumptions T15'!$V$3:$W$35,2,FALSE),'RES Techs T15'!$G$3:$U$3,0))</f>
        <v>1</v>
      </c>
      <c r="AH12" s="9">
        <f ca="1">OFFSET('RES Techs T15'!$F12,0,MATCH(VLOOKUP('RES Veda input'!AH$3,'RES Assumptions T15'!$V$3:$W$35,2,FALSE),'RES Techs T15'!$G$3:$U$3,0))</f>
        <v>1</v>
      </c>
      <c r="AI12" s="9">
        <f ca="1">OFFSET('RES Techs T15'!$F12,0,MATCH(VLOOKUP('RES Veda input'!AI$3,'RES Assumptions T15'!$V$3:$W$35,2,FALSE),'RES Techs T15'!$G$3:$U$3,0))</f>
        <v>1</v>
      </c>
      <c r="AJ12" s="9">
        <f ca="1">OFFSET('RES Techs T15'!$F12,0,MATCH(VLOOKUP('RES Veda input'!AJ$3,'RES Assumptions T15'!$V$3:$W$35,2,FALSE),'RES Techs T15'!$G$3:$U$3,0))</f>
        <v>1</v>
      </c>
      <c r="AL12" s="8" t="str">
        <f t="shared" si="60"/>
        <v>\I: RDWELC000</v>
      </c>
      <c r="AM12" s="9">
        <f ca="1">OFFSET('RES Techs T15'!$W12,0,MATCH(VLOOKUP('RES Veda input'!AM$3,'RES Assumptions T15'!$V$3:$W$35,2,FALSE),'RES Techs T15'!$G$3:$U$3,0))</f>
        <v>1</v>
      </c>
      <c r="AN12" s="9">
        <f ca="1">OFFSET('RES Techs T15'!$W12,0,MATCH(VLOOKUP('RES Veda input'!AN$3,'RES Assumptions T15'!$V$3:$W$35,2,FALSE),'RES Techs T15'!$G$3:$U$3,0))</f>
        <v>1</v>
      </c>
      <c r="AO12" s="9">
        <f ca="1">OFFSET('RES Techs T15'!$W12,0,MATCH(VLOOKUP('RES Veda input'!AO$3,'RES Assumptions T15'!$V$3:$W$35,2,FALSE),'RES Techs T15'!$G$3:$U$3,0))</f>
        <v>1</v>
      </c>
      <c r="AP12" s="9">
        <f ca="1">OFFSET('RES Techs T15'!$W12,0,MATCH(VLOOKUP('RES Veda input'!AP$3,'RES Assumptions T15'!$V$3:$W$35,2,FALSE),'RES Techs T15'!$G$3:$U$3,0))</f>
        <v>1</v>
      </c>
      <c r="AQ12" s="9">
        <f ca="1">OFFSET('RES Techs T15'!$W12,0,MATCH(VLOOKUP('RES Veda input'!AQ$3,'RES Assumptions T15'!$V$3:$W$35,2,FALSE),'RES Techs T15'!$G$3:$U$3,0))</f>
        <v>1</v>
      </c>
      <c r="AR12" s="9">
        <f ca="1">OFFSET('RES Techs T15'!$W12,0,MATCH(VLOOKUP('RES Veda input'!AR$3,'RES Assumptions T15'!$V$3:$W$35,2,FALSE),'RES Techs T15'!$G$3:$U$3,0))</f>
        <v>1</v>
      </c>
      <c r="AS12" s="9">
        <f ca="1">OFFSET('RES Techs T15'!$W12,0,MATCH(VLOOKUP('RES Veda input'!AS$3,'RES Assumptions T15'!$V$3:$W$35,2,FALSE),'RES Techs T15'!$G$3:$U$3,0))</f>
        <v>1</v>
      </c>
      <c r="AT12" s="9">
        <f ca="1">OFFSET('RES Techs T15'!$W12,0,MATCH(VLOOKUP('RES Veda input'!AT$3,'RES Assumptions T15'!$V$3:$W$35,2,FALSE),'RES Techs T15'!$G$3:$U$3,0))</f>
        <v>1</v>
      </c>
      <c r="AU12" s="9">
        <f ca="1">OFFSET('RES Techs T15'!$W12,0,MATCH(VLOOKUP('RES Veda input'!AU$3,'RES Assumptions T15'!$V$3:$W$35,2,FALSE),'RES Techs T15'!$G$3:$U$3,0))</f>
        <v>1</v>
      </c>
      <c r="AV12" s="9">
        <f ca="1">OFFSET('RES Techs T15'!$W12,0,MATCH(VLOOKUP('RES Veda input'!AV$3,'RES Assumptions T15'!$V$3:$W$35,2,FALSE),'RES Techs T15'!$G$3:$U$3,0))</f>
        <v>1</v>
      </c>
      <c r="AW12" s="9">
        <f ca="1">OFFSET('RES Techs T15'!$W12,0,MATCH(VLOOKUP('RES Veda input'!AW$3,'RES Assumptions T15'!$V$3:$W$35,2,FALSE),'RES Techs T15'!$G$3:$U$3,0))</f>
        <v>1</v>
      </c>
      <c r="AX12" s="9">
        <f ca="1">OFFSET('RES Techs T15'!$W12,0,MATCH(VLOOKUP('RES Veda input'!AX$3,'RES Assumptions T15'!$V$3:$W$35,2,FALSE),'RES Techs T15'!$G$3:$U$3,0))</f>
        <v>1</v>
      </c>
      <c r="AY12" s="9">
        <f ca="1">OFFSET('RES Techs T15'!$W12,0,MATCH(VLOOKUP('RES Veda input'!AY$3,'RES Assumptions T15'!$V$3:$W$35,2,FALSE),'RES Techs T15'!$G$3:$U$3,0))</f>
        <v>1</v>
      </c>
      <c r="AZ12" s="9">
        <f ca="1">OFFSET('RES Techs T15'!$W12,0,MATCH(VLOOKUP('RES Veda input'!AZ$3,'RES Assumptions T15'!$V$3:$W$35,2,FALSE),'RES Techs T15'!$G$3:$U$3,0))</f>
        <v>1</v>
      </c>
      <c r="BA12" s="9">
        <f ca="1">OFFSET('RES Techs T15'!$W12,0,MATCH(VLOOKUP('RES Veda input'!BA$3,'RES Assumptions T15'!$V$3:$W$35,2,FALSE),'RES Techs T15'!$G$3:$U$3,0))</f>
        <v>1</v>
      </c>
      <c r="BB12" s="9">
        <f ca="1">OFFSET('RES Techs T15'!$W12,0,MATCH(VLOOKUP('RES Veda input'!BB$3,'RES Assumptions T15'!$V$3:$W$35,2,FALSE),'RES Techs T15'!$G$3:$U$3,0))</f>
        <v>1</v>
      </c>
      <c r="BC12" s="9">
        <f ca="1">OFFSET('RES Techs T15'!$W12,0,MATCH(VLOOKUP('RES Veda input'!BC$3,'RES Assumptions T15'!$V$3:$W$35,2,FALSE),'RES Techs T15'!$G$3:$U$3,0))</f>
        <v>1</v>
      </c>
      <c r="BD12" s="9">
        <f ca="1">OFFSET('RES Techs T15'!$W12,0,MATCH(VLOOKUP('RES Veda input'!BD$3,'RES Assumptions T15'!$V$3:$W$35,2,FALSE),'RES Techs T15'!$G$3:$U$3,0))</f>
        <v>1</v>
      </c>
      <c r="BE12" s="9">
        <f ca="1">OFFSET('RES Techs T15'!$W12,0,MATCH(VLOOKUP('RES Veda input'!BE$3,'RES Assumptions T15'!$V$3:$W$35,2,FALSE),'RES Techs T15'!$G$3:$U$3,0))</f>
        <v>1</v>
      </c>
      <c r="BF12" s="9">
        <f ca="1">OFFSET('RES Techs T15'!$W12,0,MATCH(VLOOKUP('RES Veda input'!BF$3,'RES Assumptions T15'!$V$3:$W$35,2,FALSE),'RES Techs T15'!$G$3:$U$3,0))</f>
        <v>1</v>
      </c>
      <c r="BG12" s="9">
        <f ca="1">OFFSET('RES Techs T15'!$W12,0,MATCH(VLOOKUP('RES Veda input'!BG$3,'RES Assumptions T15'!$V$3:$W$35,2,FALSE),'RES Techs T15'!$G$3:$U$3,0))</f>
        <v>1</v>
      </c>
      <c r="BH12" s="9">
        <f ca="1">OFFSET('RES Techs T15'!$W12,0,MATCH(VLOOKUP('RES Veda input'!BH$3,'RES Assumptions T15'!$V$3:$W$35,2,FALSE),'RES Techs T15'!$G$3:$U$3,0))</f>
        <v>1</v>
      </c>
      <c r="BI12" s="9">
        <f ca="1">OFFSET('RES Techs T15'!$W12,0,MATCH(VLOOKUP('RES Veda input'!BI$3,'RES Assumptions T15'!$V$3:$W$35,2,FALSE),'RES Techs T15'!$G$3:$U$3,0))</f>
        <v>1</v>
      </c>
      <c r="BJ12" s="9">
        <f ca="1">OFFSET('RES Techs T15'!$W12,0,MATCH(VLOOKUP('RES Veda input'!BJ$3,'RES Assumptions T15'!$V$3:$W$35,2,FALSE),'RES Techs T15'!$G$3:$U$3,0))</f>
        <v>1</v>
      </c>
      <c r="BK12" s="9">
        <f ca="1">OFFSET('RES Techs T15'!$W12,0,MATCH(VLOOKUP('RES Veda input'!BK$3,'RES Assumptions T15'!$V$3:$W$35,2,FALSE),'RES Techs T15'!$G$3:$U$3,0))</f>
        <v>1</v>
      </c>
      <c r="BL12" s="9">
        <f ca="1">OFFSET('RES Techs T15'!$W12,0,MATCH(VLOOKUP('RES Veda input'!BL$3,'RES Assumptions T15'!$V$3:$W$35,2,FALSE),'RES Techs T15'!$G$3:$U$3,0))</f>
        <v>1</v>
      </c>
      <c r="BM12" s="9">
        <f ca="1">OFFSET('RES Techs T15'!$W12,0,MATCH(VLOOKUP('RES Veda input'!BM$3,'RES Assumptions T15'!$V$3:$W$35,2,FALSE),'RES Techs T15'!$G$3:$U$3,0))</f>
        <v>1</v>
      </c>
      <c r="BN12" s="9">
        <f ca="1">OFFSET('RES Techs T15'!$W12,0,MATCH(VLOOKUP('RES Veda input'!BN$3,'RES Assumptions T15'!$V$3:$W$35,2,FALSE),'RES Techs T15'!$G$3:$U$3,0))</f>
        <v>1</v>
      </c>
      <c r="BO12" s="9">
        <f ca="1">OFFSET('RES Techs T15'!$W12,0,MATCH(VLOOKUP('RES Veda input'!BO$3,'RES Assumptions T15'!$V$3:$W$35,2,FALSE),'RES Techs T15'!$G$3:$U$3,0))</f>
        <v>1</v>
      </c>
      <c r="BP12" s="9">
        <f ca="1">OFFSET('RES Techs T15'!$W12,0,MATCH(VLOOKUP('RES Veda input'!BP$3,'RES Assumptions T15'!$V$3:$W$35,2,FALSE),'RES Techs T15'!$G$3:$U$3,0))</f>
        <v>1</v>
      </c>
      <c r="BR12" s="8" t="str">
        <f t="shared" si="61"/>
        <v>\I: RDWELC000</v>
      </c>
      <c r="BS12" s="9">
        <f t="shared" ca="1" si="62"/>
        <v>8.4</v>
      </c>
      <c r="BT12" s="9" t="str">
        <f ca="1">IF(OFFSET('RES Techs T15'!$AO12,0,MATCH(VLOOKUP('RES Veda input'!BT$3,'RES Assumptions T15'!$V$3:$W$35,2,FALSE),'RES Techs T15'!$G$3:$U$3,0))=0,"",OFFSET('RES Techs T15'!$AO12,0,MATCH(VLOOKUP('RES Veda input'!BT$3,'RES Assumptions T15'!$V$3:$W$35,2,FALSE),'RES Techs T15'!$G$3:$U$3,0)))</f>
        <v/>
      </c>
      <c r="BU12" s="9" t="str">
        <f ca="1">IF(OFFSET('RES Techs T15'!$AO12,0,MATCH(VLOOKUP('RES Veda input'!BU$3,'RES Assumptions T15'!$V$3:$W$35,2,FALSE),'RES Techs T15'!$G$3:$U$3,0))=0,"",OFFSET('RES Techs T15'!$AO12,0,MATCH(VLOOKUP('RES Veda input'!BU$3,'RES Assumptions T15'!$V$3:$W$35,2,FALSE),'RES Techs T15'!$G$3:$U$3,0)))</f>
        <v/>
      </c>
      <c r="BV12" s="9">
        <f ca="1">IF(OFFSET('RES Techs T15'!$AO12,0,MATCH(VLOOKUP('RES Veda input'!BV$3,'RES Assumptions T15'!$V$3:$W$35,2,FALSE),'RES Techs T15'!$G$3:$U$3,0))=0,"",OFFSET('RES Techs T15'!$AO12,0,MATCH(VLOOKUP('RES Veda input'!BV$3,'RES Assumptions T15'!$V$3:$W$35,2,FALSE),'RES Techs T15'!$G$3:$U$3,0)))</f>
        <v>9.8000000000000007</v>
      </c>
      <c r="BW12" s="9" t="str">
        <f ca="1">IF(OFFSET('RES Techs T15'!$AO12,0,MATCH(VLOOKUP('RES Veda input'!BW$3,'RES Assumptions T15'!$V$3:$W$35,2,FALSE),'RES Techs T15'!$G$3:$U$3,0))=0,"",OFFSET('RES Techs T15'!$AO12,0,MATCH(VLOOKUP('RES Veda input'!BW$3,'RES Assumptions T15'!$V$3:$W$35,2,FALSE),'RES Techs T15'!$G$3:$U$3,0)))</f>
        <v/>
      </c>
      <c r="BX12" s="9">
        <f ca="1">IF(OFFSET('RES Techs T15'!$AO12,0,MATCH(VLOOKUP('RES Veda input'!BX$3,'RES Assumptions T15'!$V$3:$W$35,2,FALSE),'RES Techs T15'!$G$3:$U$3,0))=0,"",OFFSET('RES Techs T15'!$AO12,0,MATCH(VLOOKUP('RES Veda input'!BX$3,'RES Assumptions T15'!$V$3:$W$35,2,FALSE),'RES Techs T15'!$G$3:$U$3,0)))</f>
        <v>14</v>
      </c>
      <c r="BY12" s="9">
        <f ca="1">IF(OFFSET('RES Techs T15'!$AO12,0,MATCH(VLOOKUP('RES Veda input'!BY$3,'RES Assumptions T15'!$V$3:$W$35,2,FALSE),'RES Techs T15'!$G$3:$U$3,0))=0,"",OFFSET('RES Techs T15'!$AO12,0,MATCH(VLOOKUP('RES Veda input'!BY$3,'RES Assumptions T15'!$V$3:$W$35,2,FALSE),'RES Techs T15'!$G$3:$U$3,0)))</f>
        <v>8.4</v>
      </c>
      <c r="BZ12" s="9" t="str">
        <f ca="1">IF(OFFSET('RES Techs T15'!$AO12,0,MATCH(VLOOKUP('RES Veda input'!BZ$3,'RES Assumptions T15'!$V$3:$W$35,2,FALSE),'RES Techs T15'!$G$3:$U$3,0))=0,"",OFFSET('RES Techs T15'!$AO12,0,MATCH(VLOOKUP('RES Veda input'!BZ$3,'RES Assumptions T15'!$V$3:$W$35,2,FALSE),'RES Techs T15'!$G$3:$U$3,0)))</f>
        <v/>
      </c>
      <c r="CA12" s="9">
        <f ca="1">IF(OFFSET('RES Techs T15'!$AO12,0,MATCH(VLOOKUP('RES Veda input'!CA$3,'RES Assumptions T15'!$V$3:$W$35,2,FALSE),'RES Techs T15'!$G$3:$U$3,0))=0,"",OFFSET('RES Techs T15'!$AO12,0,MATCH(VLOOKUP('RES Veda input'!CA$3,'RES Assumptions T15'!$V$3:$W$35,2,FALSE),'RES Techs T15'!$G$3:$U$3,0)))</f>
        <v>9.8000000000000007</v>
      </c>
      <c r="CB12" s="9" t="str">
        <f ca="1">IF(OFFSET('RES Techs T15'!$AO12,0,MATCH(VLOOKUP('RES Veda input'!CB$3,'RES Assumptions T15'!$V$3:$W$35,2,FALSE),'RES Techs T15'!$G$3:$U$3,0))=0,"",OFFSET('RES Techs T15'!$AO12,0,MATCH(VLOOKUP('RES Veda input'!CB$3,'RES Assumptions T15'!$V$3:$W$35,2,FALSE),'RES Techs T15'!$G$3:$U$3,0)))</f>
        <v/>
      </c>
      <c r="CC12" s="9" t="str">
        <f ca="1">IF(OFFSET('RES Techs T15'!$AO12,0,MATCH(VLOOKUP('RES Veda input'!CC$3,'RES Assumptions T15'!$V$3:$W$35,2,FALSE),'RES Techs T15'!$G$3:$U$3,0))=0,"",OFFSET('RES Techs T15'!$AO12,0,MATCH(VLOOKUP('RES Veda input'!CC$3,'RES Assumptions T15'!$V$3:$W$35,2,FALSE),'RES Techs T15'!$G$3:$U$3,0)))</f>
        <v/>
      </c>
      <c r="CD12" s="9" t="str">
        <f ca="1">IF(OFFSET('RES Techs T15'!$AO12,0,MATCH(VLOOKUP('RES Veda input'!CD$3,'RES Assumptions T15'!$V$3:$W$35,2,FALSE),'RES Techs T15'!$G$3:$U$3,0))=0,"",OFFSET('RES Techs T15'!$AO12,0,MATCH(VLOOKUP('RES Veda input'!CD$3,'RES Assumptions T15'!$V$3:$W$35,2,FALSE),'RES Techs T15'!$G$3:$U$3,0)))</f>
        <v/>
      </c>
      <c r="CE12" s="9" t="str">
        <f ca="1">IF(OFFSET('RES Techs T15'!$AO12,0,MATCH(VLOOKUP('RES Veda input'!CE$3,'RES Assumptions T15'!$V$3:$W$35,2,FALSE),'RES Techs T15'!$G$3:$U$3,0))=0,"",OFFSET('RES Techs T15'!$AO12,0,MATCH(VLOOKUP('RES Veda input'!CE$3,'RES Assumptions T15'!$V$3:$W$35,2,FALSE),'RES Techs T15'!$G$3:$U$3,0)))</f>
        <v/>
      </c>
      <c r="CF12" s="9" t="str">
        <f ca="1">IF(OFFSET('RES Techs T15'!$AO12,0,MATCH(VLOOKUP('RES Veda input'!CF$3,'RES Assumptions T15'!$V$3:$W$35,2,FALSE),'RES Techs T15'!$G$3:$U$3,0))=0,"",OFFSET('RES Techs T15'!$AO12,0,MATCH(VLOOKUP('RES Veda input'!CF$3,'RES Assumptions T15'!$V$3:$W$35,2,FALSE),'RES Techs T15'!$G$3:$U$3,0)))</f>
        <v/>
      </c>
      <c r="CG12" s="9" t="str">
        <f ca="1">IF(OFFSET('RES Techs T15'!$AO12,0,MATCH(VLOOKUP('RES Veda input'!CG$3,'RES Assumptions T15'!$V$3:$W$35,2,FALSE),'RES Techs T15'!$G$3:$U$3,0))=0,"",OFFSET('RES Techs T15'!$AO12,0,MATCH(VLOOKUP('RES Veda input'!CG$3,'RES Assumptions T15'!$V$3:$W$35,2,FALSE),'RES Techs T15'!$G$3:$U$3,0)))</f>
        <v/>
      </c>
      <c r="CH12" s="9" t="str">
        <f ca="1">IF(OFFSET('RES Techs T15'!$AO12,0,MATCH(VLOOKUP('RES Veda input'!CH$3,'RES Assumptions T15'!$V$3:$W$35,2,FALSE),'RES Techs T15'!$G$3:$U$3,0))=0,"",OFFSET('RES Techs T15'!$AO12,0,MATCH(VLOOKUP('RES Veda input'!CH$3,'RES Assumptions T15'!$V$3:$W$35,2,FALSE),'RES Techs T15'!$G$3:$U$3,0)))</f>
        <v/>
      </c>
      <c r="CI12" s="9" t="str">
        <f ca="1">IF(OFFSET('RES Techs T15'!$AO12,0,MATCH(VLOOKUP('RES Veda input'!CI$3,'RES Assumptions T15'!$V$3:$W$35,2,FALSE),'RES Techs T15'!$G$3:$U$3,0))=0,"",OFFSET('RES Techs T15'!$AO12,0,MATCH(VLOOKUP('RES Veda input'!CI$3,'RES Assumptions T15'!$V$3:$W$35,2,FALSE),'RES Techs T15'!$G$3:$U$3,0)))</f>
        <v/>
      </c>
      <c r="CJ12" s="9">
        <f ca="1">IF(OFFSET('RES Techs T15'!$AO12,0,MATCH(VLOOKUP('RES Veda input'!CJ$3,'RES Assumptions T15'!$V$3:$W$35,2,FALSE),'RES Techs T15'!$G$3:$U$3,0))=0,"",OFFSET('RES Techs T15'!$AO12,0,MATCH(VLOOKUP('RES Veda input'!CJ$3,'RES Assumptions T15'!$V$3:$W$35,2,FALSE),'RES Techs T15'!$G$3:$U$3,0)))</f>
        <v>9.8000000000000007</v>
      </c>
      <c r="CK12" s="9" t="str">
        <f ca="1">IF(OFFSET('RES Techs T15'!$AO12,0,MATCH(VLOOKUP('RES Veda input'!CK$3,'RES Assumptions T15'!$V$3:$W$35,2,FALSE),'RES Techs T15'!$G$3:$U$3,0))=0,"",OFFSET('RES Techs T15'!$AO12,0,MATCH(VLOOKUP('RES Veda input'!CK$3,'RES Assumptions T15'!$V$3:$W$35,2,FALSE),'RES Techs T15'!$G$3:$U$3,0)))</f>
        <v/>
      </c>
      <c r="CL12" s="9" t="str">
        <f ca="1">IF(OFFSET('RES Techs T15'!$AO12,0,MATCH(VLOOKUP('RES Veda input'!CL$3,'RES Assumptions T15'!$V$3:$W$35,2,FALSE),'RES Techs T15'!$G$3:$U$3,0))=0,"",OFFSET('RES Techs T15'!$AO12,0,MATCH(VLOOKUP('RES Veda input'!CL$3,'RES Assumptions T15'!$V$3:$W$35,2,FALSE),'RES Techs T15'!$G$3:$U$3,0)))</f>
        <v/>
      </c>
      <c r="CM12" s="9">
        <f ca="1">IF(OFFSET('RES Techs T15'!$AO12,0,MATCH(VLOOKUP('RES Veda input'!CM$3,'RES Assumptions T15'!$V$3:$W$35,2,FALSE),'RES Techs T15'!$G$3:$U$3,0))=0,"",OFFSET('RES Techs T15'!$AO12,0,MATCH(VLOOKUP('RES Veda input'!CM$3,'RES Assumptions T15'!$V$3:$W$35,2,FALSE),'RES Techs T15'!$G$3:$U$3,0)))</f>
        <v>8.4</v>
      </c>
      <c r="CN12" s="9">
        <f ca="1">IF(OFFSET('RES Techs T15'!$AO12,0,MATCH(VLOOKUP('RES Veda input'!CN$3,'RES Assumptions T15'!$V$3:$W$35,2,FALSE),'RES Techs T15'!$G$3:$U$3,0))=0,"",OFFSET('RES Techs T15'!$AO12,0,MATCH(VLOOKUP('RES Veda input'!CN$3,'RES Assumptions T15'!$V$3:$W$35,2,FALSE),'RES Techs T15'!$G$3:$U$3,0)))</f>
        <v>9.8000000000000007</v>
      </c>
      <c r="CO12" s="9">
        <f ca="1">IF(OFFSET('RES Techs T15'!$AO12,0,MATCH(VLOOKUP('RES Veda input'!CO$3,'RES Assumptions T15'!$V$3:$W$35,2,FALSE),'RES Techs T15'!$G$3:$U$3,0))=0,"",OFFSET('RES Techs T15'!$AO12,0,MATCH(VLOOKUP('RES Veda input'!CO$3,'RES Assumptions T15'!$V$3:$W$35,2,FALSE),'RES Techs T15'!$G$3:$U$3,0)))</f>
        <v>11.2</v>
      </c>
      <c r="CP12" s="9">
        <f ca="1">IF(OFFSET('RES Techs T15'!$AO12,0,MATCH(VLOOKUP('RES Veda input'!CP$3,'RES Assumptions T15'!$V$3:$W$35,2,FALSE),'RES Techs T15'!$G$3:$U$3,0))=0,"",OFFSET('RES Techs T15'!$AO12,0,MATCH(VLOOKUP('RES Veda input'!CP$3,'RES Assumptions T15'!$V$3:$W$35,2,FALSE),'RES Techs T15'!$G$3:$U$3,0)))</f>
        <v>9.8000000000000007</v>
      </c>
      <c r="CQ12" s="9" t="str">
        <f ca="1">IF(OFFSET('RES Techs T15'!$AO12,0,MATCH(VLOOKUP('RES Veda input'!CQ$3,'RES Assumptions T15'!$V$3:$W$35,2,FALSE),'RES Techs T15'!$G$3:$U$3,0))=0,"",OFFSET('RES Techs T15'!$AO12,0,MATCH(VLOOKUP('RES Veda input'!CQ$3,'RES Assumptions T15'!$V$3:$W$35,2,FALSE),'RES Techs T15'!$G$3:$U$3,0)))</f>
        <v/>
      </c>
      <c r="CR12" s="9" t="str">
        <f ca="1">IF(OFFSET('RES Techs T15'!$AO12,0,MATCH(VLOOKUP('RES Veda input'!CR$3,'RES Assumptions T15'!$V$3:$W$35,2,FALSE),'RES Techs T15'!$G$3:$U$3,0))=0,"",OFFSET('RES Techs T15'!$AO12,0,MATCH(VLOOKUP('RES Veda input'!CR$3,'RES Assumptions T15'!$V$3:$W$35,2,FALSE),'RES Techs T15'!$G$3:$U$3,0)))</f>
        <v/>
      </c>
      <c r="CS12" s="9">
        <f ca="1">IF(OFFSET('RES Techs T15'!$AO12,0,MATCH(VLOOKUP('RES Veda input'!CS$3,'RES Assumptions T15'!$V$3:$W$35,2,FALSE),'RES Techs T15'!$G$3:$U$3,0))=0,"",OFFSET('RES Techs T15'!$AO12,0,MATCH(VLOOKUP('RES Veda input'!CS$3,'RES Assumptions T15'!$V$3:$W$35,2,FALSE),'RES Techs T15'!$G$3:$U$3,0)))</f>
        <v>9.8000000000000007</v>
      </c>
      <c r="CT12" s="9" t="str">
        <f ca="1">IF(OFFSET('RES Techs T15'!$AO12,0,MATCH(VLOOKUP('RES Veda input'!CT$3,'RES Assumptions T15'!$V$3:$W$35,2,FALSE),'RES Techs T15'!$G$3:$U$3,0))=0,"",OFFSET('RES Techs T15'!$AO12,0,MATCH(VLOOKUP('RES Veda input'!CT$3,'RES Assumptions T15'!$V$3:$W$35,2,FALSE),'RES Techs T15'!$G$3:$U$3,0)))</f>
        <v/>
      </c>
      <c r="CU12" s="9" t="str">
        <f ca="1">IF(OFFSET('RES Techs T15'!$AO12,0,MATCH(VLOOKUP('RES Veda input'!CU$3,'RES Assumptions T15'!$V$3:$W$35,2,FALSE),'RES Techs T15'!$G$3:$U$3,0))=0,"",OFFSET('RES Techs T15'!$AO12,0,MATCH(VLOOKUP('RES Veda input'!CU$3,'RES Assumptions T15'!$V$3:$W$35,2,FALSE),'RES Techs T15'!$G$3:$U$3,0)))</f>
        <v/>
      </c>
      <c r="CV12" s="9">
        <f ca="1">IF(OFFSET('RES Techs T15'!$AO12,0,MATCH(VLOOKUP('RES Veda input'!CV$3,'RES Assumptions T15'!$V$3:$W$35,2,FALSE),'RES Techs T15'!$G$3:$U$3,0))=0,"",OFFSET('RES Techs T15'!$AO12,0,MATCH(VLOOKUP('RES Veda input'!CV$3,'RES Assumptions T15'!$V$3:$W$35,2,FALSE),'RES Techs T15'!$G$3:$U$3,0)))</f>
        <v>10.199999999999999</v>
      </c>
      <c r="CW12" s="9">
        <f ca="1">IF(OFFSET('RES Techs T15'!$AO12,0,MATCH(VLOOKUP('RES Veda input'!CW$3,'RES Assumptions T15'!$V$3:$W$35,2,FALSE),'RES Techs T15'!$G$3:$U$3,0))=0,"",OFFSET('RES Techs T15'!$AO12,0,MATCH(VLOOKUP('RES Veda input'!CW$3,'RES Assumptions T15'!$V$3:$W$35,2,FALSE),'RES Techs T15'!$G$3:$U$3,0)))</f>
        <v>10.199999999999999</v>
      </c>
      <c r="CY12" s="8" t="str">
        <f t="shared" si="63"/>
        <v>\I: RDWELC000</v>
      </c>
      <c r="CZ12" s="10">
        <f ca="1">ROUND('RES Assumptions'!E95*'RES Veda input'!G12/'RES Veda input'!AM12,3)</f>
        <v>0</v>
      </c>
      <c r="DA12" s="10">
        <f ca="1">ROUND('RES Assumptions'!F95*'RES Veda input'!H12/'RES Veda input'!AN12,3)</f>
        <v>0</v>
      </c>
      <c r="DB12" s="10">
        <f ca="1">ROUND('RES Assumptions'!G95*'RES Veda input'!I12/'RES Veda input'!AO12,3)</f>
        <v>0</v>
      </c>
      <c r="DC12" s="10">
        <f ca="1">ROUND('RES Assumptions'!H95*'RES Veda input'!J12/'RES Veda input'!AP12,3)</f>
        <v>0</v>
      </c>
      <c r="DD12" s="10">
        <f ca="1">ROUND('RES Assumptions'!I95*'RES Veda input'!K12/'RES Veda input'!AQ12,3)</f>
        <v>0</v>
      </c>
      <c r="DE12" s="10">
        <f ca="1">ROUND('RES Assumptions'!J95*'RES Veda input'!L12/'RES Veda input'!AR12,3)</f>
        <v>0</v>
      </c>
      <c r="DF12" s="10">
        <f ca="1">ROUND('RES Assumptions'!K95*'RES Veda input'!M12/'RES Veda input'!AS12,3)</f>
        <v>0</v>
      </c>
      <c r="DG12" s="10">
        <f ca="1">ROUND('RES Assumptions'!L95*'RES Veda input'!N12/'RES Veda input'!AT12,3)</f>
        <v>0</v>
      </c>
      <c r="DH12" s="10">
        <f ca="1">ROUND('RES Assumptions'!M95*'RES Veda input'!O12/'RES Veda input'!AU12,3)</f>
        <v>0</v>
      </c>
      <c r="DI12" s="10">
        <f ca="1">ROUND('RES Assumptions'!N95*'RES Veda input'!P12/'RES Veda input'!AV12,3)</f>
        <v>0</v>
      </c>
      <c r="DJ12" s="10">
        <f ca="1">ROUND('RES Assumptions'!O95*'RES Veda input'!Q12/'RES Veda input'!AW12,3)</f>
        <v>0</v>
      </c>
      <c r="DK12" s="10">
        <f ca="1">ROUND('RES Assumptions'!P95*'RES Veda input'!R12/'RES Veda input'!AX12,3)</f>
        <v>0</v>
      </c>
      <c r="DL12" s="10">
        <f ca="1">ROUND('RES Assumptions'!Q95*'RES Veda input'!S12/'RES Veda input'!AY12,3)</f>
        <v>0</v>
      </c>
      <c r="DM12" s="10">
        <f ca="1">ROUND('RES Assumptions'!R95*'RES Veda input'!T12/'RES Veda input'!AZ12,3)</f>
        <v>0</v>
      </c>
      <c r="DN12" s="10">
        <f ca="1">ROUND('RES Assumptions'!S95*'RES Veda input'!U12/'RES Veda input'!BA12,3)</f>
        <v>0</v>
      </c>
      <c r="DO12" s="10">
        <f ca="1">ROUND('RES Assumptions'!T95*'RES Veda input'!V12/'RES Veda input'!BB12,3)</f>
        <v>0</v>
      </c>
      <c r="DP12" s="10">
        <f ca="1">ROUND('RES Assumptions'!U95*'RES Veda input'!W12/'RES Veda input'!BC12,3)</f>
        <v>0</v>
      </c>
      <c r="DQ12" s="10">
        <f ca="1">ROUND('RES Assumptions'!V95*'RES Veda input'!X12/'RES Veda input'!BD12,3)</f>
        <v>0</v>
      </c>
      <c r="DR12" s="10">
        <f ca="1">ROUND('RES Assumptions'!W95*'RES Veda input'!Y12/'RES Veda input'!BE12,3)</f>
        <v>0</v>
      </c>
      <c r="DS12" s="10">
        <f ca="1">ROUND('RES Assumptions'!X95*'RES Veda input'!Z12/'RES Veda input'!BF12,3)</f>
        <v>0</v>
      </c>
      <c r="DT12" s="10">
        <f ca="1">ROUND('RES Assumptions'!Y95*'RES Veda input'!AA12/'RES Veda input'!BG12,3)</f>
        <v>0</v>
      </c>
      <c r="DU12" s="10">
        <f ca="1">ROUND('RES Assumptions'!Z95*'RES Veda input'!AB12/'RES Veda input'!BH12,3)</f>
        <v>0</v>
      </c>
      <c r="DV12" s="10">
        <f ca="1">ROUND('RES Assumptions'!AA95*'RES Veda input'!AC12/'RES Veda input'!BI12,3)</f>
        <v>0</v>
      </c>
      <c r="DW12" s="10">
        <f ca="1">ROUND('RES Assumptions'!AB95*'RES Veda input'!AD12/'RES Veda input'!BJ12,3)</f>
        <v>0</v>
      </c>
      <c r="DX12" s="10">
        <f ca="1">ROUND('RES Assumptions'!AC95*'RES Veda input'!AE12/'RES Veda input'!BK12,3)</f>
        <v>0</v>
      </c>
      <c r="DY12" s="10">
        <f ca="1">ROUND('RES Assumptions'!AD95*'RES Veda input'!AF12/'RES Veda input'!BL12,3)</f>
        <v>0</v>
      </c>
      <c r="DZ12" s="10">
        <f ca="1">ROUND('RES Assumptions'!AE95*'RES Veda input'!AG12/'RES Veda input'!BM12,3)</f>
        <v>0</v>
      </c>
      <c r="EA12" s="10">
        <f ca="1">ROUND('RES Assumptions'!AF95*'RES Veda input'!AH12/'RES Veda input'!BN12,3)</f>
        <v>0</v>
      </c>
      <c r="EB12" s="10">
        <f ca="1">ROUND('RES Assumptions'!AG95*'RES Veda input'!AI12/'RES Veda input'!BO12,3)</f>
        <v>0</v>
      </c>
      <c r="EC12" s="10">
        <f ca="1">ROUND('RES Assumptions'!AH95*'RES Veda input'!AJ12/'RES Veda input'!BP12,3)</f>
        <v>0</v>
      </c>
      <c r="ED12">
        <v>10</v>
      </c>
      <c r="EG12" t="s">
        <v>281</v>
      </c>
      <c r="EH12" t="str">
        <f t="shared" si="64"/>
        <v>\I: RDWELC000</v>
      </c>
      <c r="EJ12" t="s">
        <v>282</v>
      </c>
      <c r="EK12" t="s">
        <v>283</v>
      </c>
    </row>
    <row r="13" spans="1:144" x14ac:dyDescent="0.45">
      <c r="A13" s="37" t="str">
        <f>'RES Assumptions'!B96</f>
        <v>REA</v>
      </c>
      <c r="B13" s="37" t="s">
        <v>127</v>
      </c>
      <c r="D13" s="51" t="s">
        <v>127</v>
      </c>
      <c r="E13" s="8" t="str">
        <f>'RES Assumptions'!A96</f>
        <v>RESELC</v>
      </c>
      <c r="F13" s="8" t="str">
        <f>VLOOKUP(A13,'RES Assumptions'!$AN$87:$AO$97,2,FALSE)</f>
        <v>REA</v>
      </c>
      <c r="G13" s="9">
        <f ca="1">OFFSET('RES Techs T15'!$F13,0,MATCH(VLOOKUP('RES Veda input'!G$3,'RES Assumptions T15'!$V$3:$W$35,2,FALSE),'RES Techs T15'!$G$3:$U$3,0))</f>
        <v>1</v>
      </c>
      <c r="H13" s="9">
        <f ca="1">OFFSET('RES Techs T15'!$F13,0,MATCH(VLOOKUP('RES Veda input'!H$3,'RES Assumptions T15'!$V$3:$W$35,2,FALSE),'RES Techs T15'!$G$3:$U$3,0))</f>
        <v>1</v>
      </c>
      <c r="I13" s="9">
        <f ca="1">OFFSET('RES Techs T15'!$F13,0,MATCH(VLOOKUP('RES Veda input'!I$3,'RES Assumptions T15'!$V$3:$W$35,2,FALSE),'RES Techs T15'!$G$3:$U$3,0))</f>
        <v>1</v>
      </c>
      <c r="J13" s="9">
        <f ca="1">OFFSET('RES Techs T15'!$F13,0,MATCH(VLOOKUP('RES Veda input'!J$3,'RES Assumptions T15'!$V$3:$W$35,2,FALSE),'RES Techs T15'!$G$3:$U$3,0))</f>
        <v>1</v>
      </c>
      <c r="K13" s="9">
        <f ca="1">OFFSET('RES Techs T15'!$F13,0,MATCH(VLOOKUP('RES Veda input'!K$3,'RES Assumptions T15'!$V$3:$W$35,2,FALSE),'RES Techs T15'!$G$3:$U$3,0))</f>
        <v>1</v>
      </c>
      <c r="L13" s="9">
        <f ca="1">OFFSET('RES Techs T15'!$F13,0,MATCH(VLOOKUP('RES Veda input'!L$3,'RES Assumptions T15'!$V$3:$W$35,2,FALSE),'RES Techs T15'!$G$3:$U$3,0))</f>
        <v>1</v>
      </c>
      <c r="M13" s="9">
        <f ca="1">OFFSET('RES Techs T15'!$F13,0,MATCH(VLOOKUP('RES Veda input'!M$3,'RES Assumptions T15'!$V$3:$W$35,2,FALSE),'RES Techs T15'!$G$3:$U$3,0))</f>
        <v>1</v>
      </c>
      <c r="N13" s="9">
        <f ca="1">OFFSET('RES Techs T15'!$F13,0,MATCH(VLOOKUP('RES Veda input'!N$3,'RES Assumptions T15'!$V$3:$W$35,2,FALSE),'RES Techs T15'!$G$3:$U$3,0))</f>
        <v>1</v>
      </c>
      <c r="O13" s="9">
        <f ca="1">OFFSET('RES Techs T15'!$F13,0,MATCH(VLOOKUP('RES Veda input'!O$3,'RES Assumptions T15'!$V$3:$W$35,2,FALSE),'RES Techs T15'!$G$3:$U$3,0))</f>
        <v>1</v>
      </c>
      <c r="P13" s="9">
        <f ca="1">OFFSET('RES Techs T15'!$F13,0,MATCH(VLOOKUP('RES Veda input'!P$3,'RES Assumptions T15'!$V$3:$W$35,2,FALSE),'RES Techs T15'!$G$3:$U$3,0))</f>
        <v>1</v>
      </c>
      <c r="Q13" s="9">
        <f ca="1">OFFSET('RES Techs T15'!$F13,0,MATCH(VLOOKUP('RES Veda input'!Q$3,'RES Assumptions T15'!$V$3:$W$35,2,FALSE),'RES Techs T15'!$G$3:$U$3,0))</f>
        <v>1</v>
      </c>
      <c r="R13" s="9">
        <f ca="1">OFFSET('RES Techs T15'!$F13,0,MATCH(VLOOKUP('RES Veda input'!R$3,'RES Assumptions T15'!$V$3:$W$35,2,FALSE),'RES Techs T15'!$G$3:$U$3,0))</f>
        <v>1</v>
      </c>
      <c r="S13" s="9">
        <f ca="1">OFFSET('RES Techs T15'!$F13,0,MATCH(VLOOKUP('RES Veda input'!S$3,'RES Assumptions T15'!$V$3:$W$35,2,FALSE),'RES Techs T15'!$G$3:$U$3,0))</f>
        <v>1</v>
      </c>
      <c r="T13" s="9">
        <f ca="1">OFFSET('RES Techs T15'!$F13,0,MATCH(VLOOKUP('RES Veda input'!T$3,'RES Assumptions T15'!$V$3:$W$35,2,FALSE),'RES Techs T15'!$G$3:$U$3,0))</f>
        <v>1</v>
      </c>
      <c r="U13" s="9">
        <f ca="1">OFFSET('RES Techs T15'!$F13,0,MATCH(VLOOKUP('RES Veda input'!U$3,'RES Assumptions T15'!$V$3:$W$35,2,FALSE),'RES Techs T15'!$G$3:$U$3,0))</f>
        <v>1</v>
      </c>
      <c r="V13" s="9">
        <f ca="1">OFFSET('RES Techs T15'!$F13,0,MATCH(VLOOKUP('RES Veda input'!V$3,'RES Assumptions T15'!$V$3:$W$35,2,FALSE),'RES Techs T15'!$G$3:$U$3,0))</f>
        <v>1</v>
      </c>
      <c r="W13" s="9">
        <f ca="1">OFFSET('RES Techs T15'!$F13,0,MATCH(VLOOKUP('RES Veda input'!W$3,'RES Assumptions T15'!$V$3:$W$35,2,FALSE),'RES Techs T15'!$G$3:$U$3,0))</f>
        <v>1</v>
      </c>
      <c r="X13" s="9">
        <f ca="1">OFFSET('RES Techs T15'!$F13,0,MATCH(VLOOKUP('RES Veda input'!X$3,'RES Assumptions T15'!$V$3:$W$35,2,FALSE),'RES Techs T15'!$G$3:$U$3,0))</f>
        <v>1</v>
      </c>
      <c r="Y13" s="9">
        <f ca="1">OFFSET('RES Techs T15'!$F13,0,MATCH(VLOOKUP('RES Veda input'!Y$3,'RES Assumptions T15'!$V$3:$W$35,2,FALSE),'RES Techs T15'!$G$3:$U$3,0))</f>
        <v>1</v>
      </c>
      <c r="Z13" s="9">
        <f ca="1">OFFSET('RES Techs T15'!$F13,0,MATCH(VLOOKUP('RES Veda input'!Z$3,'RES Assumptions T15'!$V$3:$W$35,2,FALSE),'RES Techs T15'!$G$3:$U$3,0))</f>
        <v>1</v>
      </c>
      <c r="AA13" s="9">
        <f ca="1">OFFSET('RES Techs T15'!$F13,0,MATCH(VLOOKUP('RES Veda input'!AA$3,'RES Assumptions T15'!$V$3:$W$35,2,FALSE),'RES Techs T15'!$G$3:$U$3,0))</f>
        <v>1</v>
      </c>
      <c r="AB13" s="9">
        <f ca="1">OFFSET('RES Techs T15'!$F13,0,MATCH(VLOOKUP('RES Veda input'!AB$3,'RES Assumptions T15'!$V$3:$W$35,2,FALSE),'RES Techs T15'!$G$3:$U$3,0))</f>
        <v>1</v>
      </c>
      <c r="AC13" s="9">
        <f ca="1">OFFSET('RES Techs T15'!$F13,0,MATCH(VLOOKUP('RES Veda input'!AC$3,'RES Assumptions T15'!$V$3:$W$35,2,FALSE),'RES Techs T15'!$G$3:$U$3,0))</f>
        <v>1</v>
      </c>
      <c r="AD13" s="9">
        <f ca="1">OFFSET('RES Techs T15'!$F13,0,MATCH(VLOOKUP('RES Veda input'!AD$3,'RES Assumptions T15'!$V$3:$W$35,2,FALSE),'RES Techs T15'!$G$3:$U$3,0))</f>
        <v>1</v>
      </c>
      <c r="AE13" s="9">
        <f ca="1">OFFSET('RES Techs T15'!$F13,0,MATCH(VLOOKUP('RES Veda input'!AE$3,'RES Assumptions T15'!$V$3:$W$35,2,FALSE),'RES Techs T15'!$G$3:$U$3,0))</f>
        <v>1</v>
      </c>
      <c r="AF13" s="9">
        <f ca="1">OFFSET('RES Techs T15'!$F13,0,MATCH(VLOOKUP('RES Veda input'!AF$3,'RES Assumptions T15'!$V$3:$W$35,2,FALSE),'RES Techs T15'!$G$3:$U$3,0))</f>
        <v>1</v>
      </c>
      <c r="AG13" s="9">
        <f ca="1">OFFSET('RES Techs T15'!$F13,0,MATCH(VLOOKUP('RES Veda input'!AG$3,'RES Assumptions T15'!$V$3:$W$35,2,FALSE),'RES Techs T15'!$G$3:$U$3,0))</f>
        <v>1</v>
      </c>
      <c r="AH13" s="9">
        <f ca="1">OFFSET('RES Techs T15'!$F13,0,MATCH(VLOOKUP('RES Veda input'!AH$3,'RES Assumptions T15'!$V$3:$W$35,2,FALSE),'RES Techs T15'!$G$3:$U$3,0))</f>
        <v>1</v>
      </c>
      <c r="AI13" s="9">
        <f ca="1">OFFSET('RES Techs T15'!$F13,0,MATCH(VLOOKUP('RES Veda input'!AI$3,'RES Assumptions T15'!$V$3:$W$35,2,FALSE),'RES Techs T15'!$G$3:$U$3,0))</f>
        <v>1</v>
      </c>
      <c r="AJ13" s="9">
        <f ca="1">OFFSET('RES Techs T15'!$F13,0,MATCH(VLOOKUP('RES Veda input'!AJ$3,'RES Assumptions T15'!$V$3:$W$35,2,FALSE),'RES Techs T15'!$G$3:$U$3,0))</f>
        <v>1</v>
      </c>
      <c r="AL13" s="8" t="str">
        <f t="shared" si="60"/>
        <v>REAELC000</v>
      </c>
      <c r="AM13" s="9">
        <f ca="1">OFFSET('RES Techs T15'!$W13,0,MATCH(VLOOKUP('RES Veda input'!AM$3,'RES Assumptions T15'!$V$3:$W$35,2,FALSE),'RES Techs T15'!$G$3:$U$3,0))</f>
        <v>1</v>
      </c>
      <c r="AN13" s="9">
        <f ca="1">OFFSET('RES Techs T15'!$W13,0,MATCH(VLOOKUP('RES Veda input'!AN$3,'RES Assumptions T15'!$V$3:$W$35,2,FALSE),'RES Techs T15'!$G$3:$U$3,0))</f>
        <v>1</v>
      </c>
      <c r="AO13" s="9">
        <f ca="1">OFFSET('RES Techs T15'!$W13,0,MATCH(VLOOKUP('RES Veda input'!AO$3,'RES Assumptions T15'!$V$3:$W$35,2,FALSE),'RES Techs T15'!$G$3:$U$3,0))</f>
        <v>1</v>
      </c>
      <c r="AP13" s="9">
        <f ca="1">OFFSET('RES Techs T15'!$W13,0,MATCH(VLOOKUP('RES Veda input'!AP$3,'RES Assumptions T15'!$V$3:$W$35,2,FALSE),'RES Techs T15'!$G$3:$U$3,0))</f>
        <v>1</v>
      </c>
      <c r="AQ13" s="9">
        <f ca="1">OFFSET('RES Techs T15'!$W13,0,MATCH(VLOOKUP('RES Veda input'!AQ$3,'RES Assumptions T15'!$V$3:$W$35,2,FALSE),'RES Techs T15'!$G$3:$U$3,0))</f>
        <v>1</v>
      </c>
      <c r="AR13" s="9">
        <f ca="1">OFFSET('RES Techs T15'!$W13,0,MATCH(VLOOKUP('RES Veda input'!AR$3,'RES Assumptions T15'!$V$3:$W$35,2,FALSE),'RES Techs T15'!$G$3:$U$3,0))</f>
        <v>1</v>
      </c>
      <c r="AS13" s="9">
        <f ca="1">OFFSET('RES Techs T15'!$W13,0,MATCH(VLOOKUP('RES Veda input'!AS$3,'RES Assumptions T15'!$V$3:$W$35,2,FALSE),'RES Techs T15'!$G$3:$U$3,0))</f>
        <v>1</v>
      </c>
      <c r="AT13" s="9">
        <f ca="1">OFFSET('RES Techs T15'!$W13,0,MATCH(VLOOKUP('RES Veda input'!AT$3,'RES Assumptions T15'!$V$3:$W$35,2,FALSE),'RES Techs T15'!$G$3:$U$3,0))</f>
        <v>1</v>
      </c>
      <c r="AU13" s="9">
        <f ca="1">OFFSET('RES Techs T15'!$W13,0,MATCH(VLOOKUP('RES Veda input'!AU$3,'RES Assumptions T15'!$V$3:$W$35,2,FALSE),'RES Techs T15'!$G$3:$U$3,0))</f>
        <v>1</v>
      </c>
      <c r="AV13" s="9">
        <f ca="1">OFFSET('RES Techs T15'!$W13,0,MATCH(VLOOKUP('RES Veda input'!AV$3,'RES Assumptions T15'!$V$3:$W$35,2,FALSE),'RES Techs T15'!$G$3:$U$3,0))</f>
        <v>1</v>
      </c>
      <c r="AW13" s="9">
        <f ca="1">OFFSET('RES Techs T15'!$W13,0,MATCH(VLOOKUP('RES Veda input'!AW$3,'RES Assumptions T15'!$V$3:$W$35,2,FALSE),'RES Techs T15'!$G$3:$U$3,0))</f>
        <v>1</v>
      </c>
      <c r="AX13" s="9">
        <f ca="1">OFFSET('RES Techs T15'!$W13,0,MATCH(VLOOKUP('RES Veda input'!AX$3,'RES Assumptions T15'!$V$3:$W$35,2,FALSE),'RES Techs T15'!$G$3:$U$3,0))</f>
        <v>1</v>
      </c>
      <c r="AY13" s="9">
        <f ca="1">OFFSET('RES Techs T15'!$W13,0,MATCH(VLOOKUP('RES Veda input'!AY$3,'RES Assumptions T15'!$V$3:$W$35,2,FALSE),'RES Techs T15'!$G$3:$U$3,0))</f>
        <v>1</v>
      </c>
      <c r="AZ13" s="9">
        <f ca="1">OFFSET('RES Techs T15'!$W13,0,MATCH(VLOOKUP('RES Veda input'!AZ$3,'RES Assumptions T15'!$V$3:$W$35,2,FALSE),'RES Techs T15'!$G$3:$U$3,0))</f>
        <v>1</v>
      </c>
      <c r="BA13" s="9">
        <f ca="1">OFFSET('RES Techs T15'!$W13,0,MATCH(VLOOKUP('RES Veda input'!BA$3,'RES Assumptions T15'!$V$3:$W$35,2,FALSE),'RES Techs T15'!$G$3:$U$3,0))</f>
        <v>1</v>
      </c>
      <c r="BB13" s="9">
        <f ca="1">OFFSET('RES Techs T15'!$W13,0,MATCH(VLOOKUP('RES Veda input'!BB$3,'RES Assumptions T15'!$V$3:$W$35,2,FALSE),'RES Techs T15'!$G$3:$U$3,0))</f>
        <v>1</v>
      </c>
      <c r="BC13" s="9">
        <f ca="1">OFFSET('RES Techs T15'!$W13,0,MATCH(VLOOKUP('RES Veda input'!BC$3,'RES Assumptions T15'!$V$3:$W$35,2,FALSE),'RES Techs T15'!$G$3:$U$3,0))</f>
        <v>1</v>
      </c>
      <c r="BD13" s="9">
        <f ca="1">OFFSET('RES Techs T15'!$W13,0,MATCH(VLOOKUP('RES Veda input'!BD$3,'RES Assumptions T15'!$V$3:$W$35,2,FALSE),'RES Techs T15'!$G$3:$U$3,0))</f>
        <v>1</v>
      </c>
      <c r="BE13" s="9">
        <f ca="1">OFFSET('RES Techs T15'!$W13,0,MATCH(VLOOKUP('RES Veda input'!BE$3,'RES Assumptions T15'!$V$3:$W$35,2,FALSE),'RES Techs T15'!$G$3:$U$3,0))</f>
        <v>1</v>
      </c>
      <c r="BF13" s="9">
        <f ca="1">OFFSET('RES Techs T15'!$W13,0,MATCH(VLOOKUP('RES Veda input'!BF$3,'RES Assumptions T15'!$V$3:$W$35,2,FALSE),'RES Techs T15'!$G$3:$U$3,0))</f>
        <v>1</v>
      </c>
      <c r="BG13" s="9">
        <f ca="1">OFFSET('RES Techs T15'!$W13,0,MATCH(VLOOKUP('RES Veda input'!BG$3,'RES Assumptions T15'!$V$3:$W$35,2,FALSE),'RES Techs T15'!$G$3:$U$3,0))</f>
        <v>1</v>
      </c>
      <c r="BH13" s="9">
        <f ca="1">OFFSET('RES Techs T15'!$W13,0,MATCH(VLOOKUP('RES Veda input'!BH$3,'RES Assumptions T15'!$V$3:$W$35,2,FALSE),'RES Techs T15'!$G$3:$U$3,0))</f>
        <v>1</v>
      </c>
      <c r="BI13" s="9">
        <f ca="1">OFFSET('RES Techs T15'!$W13,0,MATCH(VLOOKUP('RES Veda input'!BI$3,'RES Assumptions T15'!$V$3:$W$35,2,FALSE),'RES Techs T15'!$G$3:$U$3,0))</f>
        <v>1</v>
      </c>
      <c r="BJ13" s="9">
        <f ca="1">OFFSET('RES Techs T15'!$W13,0,MATCH(VLOOKUP('RES Veda input'!BJ$3,'RES Assumptions T15'!$V$3:$W$35,2,FALSE),'RES Techs T15'!$G$3:$U$3,0))</f>
        <v>1</v>
      </c>
      <c r="BK13" s="9">
        <f ca="1">OFFSET('RES Techs T15'!$W13,0,MATCH(VLOOKUP('RES Veda input'!BK$3,'RES Assumptions T15'!$V$3:$W$35,2,FALSE),'RES Techs T15'!$G$3:$U$3,0))</f>
        <v>1</v>
      </c>
      <c r="BL13" s="9">
        <f ca="1">OFFSET('RES Techs T15'!$W13,0,MATCH(VLOOKUP('RES Veda input'!BL$3,'RES Assumptions T15'!$V$3:$W$35,2,FALSE),'RES Techs T15'!$G$3:$U$3,0))</f>
        <v>1</v>
      </c>
      <c r="BM13" s="9">
        <f ca="1">OFFSET('RES Techs T15'!$W13,0,MATCH(VLOOKUP('RES Veda input'!BM$3,'RES Assumptions T15'!$V$3:$W$35,2,FALSE),'RES Techs T15'!$G$3:$U$3,0))</f>
        <v>1</v>
      </c>
      <c r="BN13" s="9">
        <f ca="1">OFFSET('RES Techs T15'!$W13,0,MATCH(VLOOKUP('RES Veda input'!BN$3,'RES Assumptions T15'!$V$3:$W$35,2,FALSE),'RES Techs T15'!$G$3:$U$3,0))</f>
        <v>1</v>
      </c>
      <c r="BO13" s="9">
        <f ca="1">OFFSET('RES Techs T15'!$W13,0,MATCH(VLOOKUP('RES Veda input'!BO$3,'RES Assumptions T15'!$V$3:$W$35,2,FALSE),'RES Techs T15'!$G$3:$U$3,0))</f>
        <v>1</v>
      </c>
      <c r="BP13" s="9">
        <f ca="1">OFFSET('RES Techs T15'!$W13,0,MATCH(VLOOKUP('RES Veda input'!BP$3,'RES Assumptions T15'!$V$3:$W$35,2,FALSE),'RES Techs T15'!$G$3:$U$3,0))</f>
        <v>1</v>
      </c>
      <c r="BR13" s="8" t="str">
        <f t="shared" si="61"/>
        <v>REAELC000</v>
      </c>
      <c r="BS13" s="9">
        <f t="shared" ca="1" si="62"/>
        <v>8.4</v>
      </c>
      <c r="BT13" s="9" t="str">
        <f ca="1">IF(OFFSET('RES Techs T15'!$AO13,0,MATCH(VLOOKUP('RES Veda input'!BT$3,'RES Assumptions T15'!$V$3:$W$35,2,FALSE),'RES Techs T15'!$G$3:$U$3,0))=0,"",OFFSET('RES Techs T15'!$AO13,0,MATCH(VLOOKUP('RES Veda input'!BT$3,'RES Assumptions T15'!$V$3:$W$35,2,FALSE),'RES Techs T15'!$G$3:$U$3,0)))</f>
        <v/>
      </c>
      <c r="BU13" s="9" t="str">
        <f ca="1">IF(OFFSET('RES Techs T15'!$AO13,0,MATCH(VLOOKUP('RES Veda input'!BU$3,'RES Assumptions T15'!$V$3:$W$35,2,FALSE),'RES Techs T15'!$G$3:$U$3,0))=0,"",OFFSET('RES Techs T15'!$AO13,0,MATCH(VLOOKUP('RES Veda input'!BU$3,'RES Assumptions T15'!$V$3:$W$35,2,FALSE),'RES Techs T15'!$G$3:$U$3,0)))</f>
        <v/>
      </c>
      <c r="BV13" s="9">
        <f ca="1">IF(OFFSET('RES Techs T15'!$AO13,0,MATCH(VLOOKUP('RES Veda input'!BV$3,'RES Assumptions T15'!$V$3:$W$35,2,FALSE),'RES Techs T15'!$G$3:$U$3,0))=0,"",OFFSET('RES Techs T15'!$AO13,0,MATCH(VLOOKUP('RES Veda input'!BV$3,'RES Assumptions T15'!$V$3:$W$35,2,FALSE),'RES Techs T15'!$G$3:$U$3,0)))</f>
        <v>9.8000000000000007</v>
      </c>
      <c r="BW13" s="9" t="str">
        <f ca="1">IF(OFFSET('RES Techs T15'!$AO13,0,MATCH(VLOOKUP('RES Veda input'!BW$3,'RES Assumptions T15'!$V$3:$W$35,2,FALSE),'RES Techs T15'!$G$3:$U$3,0))=0,"",OFFSET('RES Techs T15'!$AO13,0,MATCH(VLOOKUP('RES Veda input'!BW$3,'RES Assumptions T15'!$V$3:$W$35,2,FALSE),'RES Techs T15'!$G$3:$U$3,0)))</f>
        <v/>
      </c>
      <c r="BX13" s="9">
        <f ca="1">IF(OFFSET('RES Techs T15'!$AO13,0,MATCH(VLOOKUP('RES Veda input'!BX$3,'RES Assumptions T15'!$V$3:$W$35,2,FALSE),'RES Techs T15'!$G$3:$U$3,0))=0,"",OFFSET('RES Techs T15'!$AO13,0,MATCH(VLOOKUP('RES Veda input'!BX$3,'RES Assumptions T15'!$V$3:$W$35,2,FALSE),'RES Techs T15'!$G$3:$U$3,0)))</f>
        <v>14</v>
      </c>
      <c r="BY13" s="9">
        <f ca="1">IF(OFFSET('RES Techs T15'!$AO13,0,MATCH(VLOOKUP('RES Veda input'!BY$3,'RES Assumptions T15'!$V$3:$W$35,2,FALSE),'RES Techs T15'!$G$3:$U$3,0))=0,"",OFFSET('RES Techs T15'!$AO13,0,MATCH(VLOOKUP('RES Veda input'!BY$3,'RES Assumptions T15'!$V$3:$W$35,2,FALSE),'RES Techs T15'!$G$3:$U$3,0)))</f>
        <v>8.4</v>
      </c>
      <c r="BZ13" s="9" t="str">
        <f ca="1">IF(OFFSET('RES Techs T15'!$AO13,0,MATCH(VLOOKUP('RES Veda input'!BZ$3,'RES Assumptions T15'!$V$3:$W$35,2,FALSE),'RES Techs T15'!$G$3:$U$3,0))=0,"",OFFSET('RES Techs T15'!$AO13,0,MATCH(VLOOKUP('RES Veda input'!BZ$3,'RES Assumptions T15'!$V$3:$W$35,2,FALSE),'RES Techs T15'!$G$3:$U$3,0)))</f>
        <v/>
      </c>
      <c r="CA13" s="9">
        <f ca="1">IF(OFFSET('RES Techs T15'!$AO13,0,MATCH(VLOOKUP('RES Veda input'!CA$3,'RES Assumptions T15'!$V$3:$W$35,2,FALSE),'RES Techs T15'!$G$3:$U$3,0))=0,"",OFFSET('RES Techs T15'!$AO13,0,MATCH(VLOOKUP('RES Veda input'!CA$3,'RES Assumptions T15'!$V$3:$W$35,2,FALSE),'RES Techs T15'!$G$3:$U$3,0)))</f>
        <v>9.8000000000000007</v>
      </c>
      <c r="CB13" s="9" t="str">
        <f ca="1">IF(OFFSET('RES Techs T15'!$AO13,0,MATCH(VLOOKUP('RES Veda input'!CB$3,'RES Assumptions T15'!$V$3:$W$35,2,FALSE),'RES Techs T15'!$G$3:$U$3,0))=0,"",OFFSET('RES Techs T15'!$AO13,0,MATCH(VLOOKUP('RES Veda input'!CB$3,'RES Assumptions T15'!$V$3:$W$35,2,FALSE),'RES Techs T15'!$G$3:$U$3,0)))</f>
        <v/>
      </c>
      <c r="CC13" s="9">
        <f ca="1">IF(OFFSET('RES Techs T15'!$AO13,0,MATCH(VLOOKUP('RES Veda input'!CC$3,'RES Assumptions T15'!$V$3:$W$35,2,FALSE),'RES Techs T15'!$G$3:$U$3,0))=0,"",OFFSET('RES Techs T15'!$AO13,0,MATCH(VLOOKUP('RES Veda input'!CC$3,'RES Assumptions T15'!$V$3:$W$35,2,FALSE),'RES Techs T15'!$G$3:$U$3,0)))</f>
        <v>8.4</v>
      </c>
      <c r="CD13" s="9" t="str">
        <f ca="1">IF(OFFSET('RES Techs T15'!$AO13,0,MATCH(VLOOKUP('RES Veda input'!CD$3,'RES Assumptions T15'!$V$3:$W$35,2,FALSE),'RES Techs T15'!$G$3:$U$3,0))=0,"",OFFSET('RES Techs T15'!$AO13,0,MATCH(VLOOKUP('RES Veda input'!CD$3,'RES Assumptions T15'!$V$3:$W$35,2,FALSE),'RES Techs T15'!$G$3:$U$3,0)))</f>
        <v/>
      </c>
      <c r="CE13" s="9" t="str">
        <f ca="1">IF(OFFSET('RES Techs T15'!$AO13,0,MATCH(VLOOKUP('RES Veda input'!CE$3,'RES Assumptions T15'!$V$3:$W$35,2,FALSE),'RES Techs T15'!$G$3:$U$3,0))=0,"",OFFSET('RES Techs T15'!$AO13,0,MATCH(VLOOKUP('RES Veda input'!CE$3,'RES Assumptions T15'!$V$3:$W$35,2,FALSE),'RES Techs T15'!$G$3:$U$3,0)))</f>
        <v/>
      </c>
      <c r="CF13" s="9" t="str">
        <f ca="1">IF(OFFSET('RES Techs T15'!$AO13,0,MATCH(VLOOKUP('RES Veda input'!CF$3,'RES Assumptions T15'!$V$3:$W$35,2,FALSE),'RES Techs T15'!$G$3:$U$3,0))=0,"",OFFSET('RES Techs T15'!$AO13,0,MATCH(VLOOKUP('RES Veda input'!CF$3,'RES Assumptions T15'!$V$3:$W$35,2,FALSE),'RES Techs T15'!$G$3:$U$3,0)))</f>
        <v/>
      </c>
      <c r="CG13" s="9" t="str">
        <f ca="1">IF(OFFSET('RES Techs T15'!$AO13,0,MATCH(VLOOKUP('RES Veda input'!CG$3,'RES Assumptions T15'!$V$3:$W$35,2,FALSE),'RES Techs T15'!$G$3:$U$3,0))=0,"",OFFSET('RES Techs T15'!$AO13,0,MATCH(VLOOKUP('RES Veda input'!CG$3,'RES Assumptions T15'!$V$3:$W$35,2,FALSE),'RES Techs T15'!$G$3:$U$3,0)))</f>
        <v/>
      </c>
      <c r="CH13" s="9" t="str">
        <f ca="1">IF(OFFSET('RES Techs T15'!$AO13,0,MATCH(VLOOKUP('RES Veda input'!CH$3,'RES Assumptions T15'!$V$3:$W$35,2,FALSE),'RES Techs T15'!$G$3:$U$3,0))=0,"",OFFSET('RES Techs T15'!$AO13,0,MATCH(VLOOKUP('RES Veda input'!CH$3,'RES Assumptions T15'!$V$3:$W$35,2,FALSE),'RES Techs T15'!$G$3:$U$3,0)))</f>
        <v/>
      </c>
      <c r="CI13" s="9" t="str">
        <f ca="1">IF(OFFSET('RES Techs T15'!$AO13,0,MATCH(VLOOKUP('RES Veda input'!CI$3,'RES Assumptions T15'!$V$3:$W$35,2,FALSE),'RES Techs T15'!$G$3:$U$3,0))=0,"",OFFSET('RES Techs T15'!$AO13,0,MATCH(VLOOKUP('RES Veda input'!CI$3,'RES Assumptions T15'!$V$3:$W$35,2,FALSE),'RES Techs T15'!$G$3:$U$3,0)))</f>
        <v/>
      </c>
      <c r="CJ13" s="9">
        <f ca="1">IF(OFFSET('RES Techs T15'!$AO13,0,MATCH(VLOOKUP('RES Veda input'!CJ$3,'RES Assumptions T15'!$V$3:$W$35,2,FALSE),'RES Techs T15'!$G$3:$U$3,0))=0,"",OFFSET('RES Techs T15'!$AO13,0,MATCH(VLOOKUP('RES Veda input'!CJ$3,'RES Assumptions T15'!$V$3:$W$35,2,FALSE),'RES Techs T15'!$G$3:$U$3,0)))</f>
        <v>9.8000000000000007</v>
      </c>
      <c r="CK13" s="9" t="str">
        <f ca="1">IF(OFFSET('RES Techs T15'!$AO13,0,MATCH(VLOOKUP('RES Veda input'!CK$3,'RES Assumptions T15'!$V$3:$W$35,2,FALSE),'RES Techs T15'!$G$3:$U$3,0))=0,"",OFFSET('RES Techs T15'!$AO13,0,MATCH(VLOOKUP('RES Veda input'!CK$3,'RES Assumptions T15'!$V$3:$W$35,2,FALSE),'RES Techs T15'!$G$3:$U$3,0)))</f>
        <v/>
      </c>
      <c r="CL13" s="9" t="str">
        <f ca="1">IF(OFFSET('RES Techs T15'!$AO13,0,MATCH(VLOOKUP('RES Veda input'!CL$3,'RES Assumptions T15'!$V$3:$W$35,2,FALSE),'RES Techs T15'!$G$3:$U$3,0))=0,"",OFFSET('RES Techs T15'!$AO13,0,MATCH(VLOOKUP('RES Veda input'!CL$3,'RES Assumptions T15'!$V$3:$W$35,2,FALSE),'RES Techs T15'!$G$3:$U$3,0)))</f>
        <v/>
      </c>
      <c r="CM13" s="9">
        <f ca="1">IF(OFFSET('RES Techs T15'!$AO13,0,MATCH(VLOOKUP('RES Veda input'!CM$3,'RES Assumptions T15'!$V$3:$W$35,2,FALSE),'RES Techs T15'!$G$3:$U$3,0))=0,"",OFFSET('RES Techs T15'!$AO13,0,MATCH(VLOOKUP('RES Veda input'!CM$3,'RES Assumptions T15'!$V$3:$W$35,2,FALSE),'RES Techs T15'!$G$3:$U$3,0)))</f>
        <v>8.4</v>
      </c>
      <c r="CN13" s="9">
        <f ca="1">IF(OFFSET('RES Techs T15'!$AO13,0,MATCH(VLOOKUP('RES Veda input'!CN$3,'RES Assumptions T15'!$V$3:$W$35,2,FALSE),'RES Techs T15'!$G$3:$U$3,0))=0,"",OFFSET('RES Techs T15'!$AO13,0,MATCH(VLOOKUP('RES Veda input'!CN$3,'RES Assumptions T15'!$V$3:$W$35,2,FALSE),'RES Techs T15'!$G$3:$U$3,0)))</f>
        <v>9.8000000000000007</v>
      </c>
      <c r="CO13" s="9">
        <f ca="1">IF(OFFSET('RES Techs T15'!$AO13,0,MATCH(VLOOKUP('RES Veda input'!CO$3,'RES Assumptions T15'!$V$3:$W$35,2,FALSE),'RES Techs T15'!$G$3:$U$3,0))=0,"",OFFSET('RES Techs T15'!$AO13,0,MATCH(VLOOKUP('RES Veda input'!CO$3,'RES Assumptions T15'!$V$3:$W$35,2,FALSE),'RES Techs T15'!$G$3:$U$3,0)))</f>
        <v>11.2</v>
      </c>
      <c r="CP13" s="9">
        <f ca="1">IF(OFFSET('RES Techs T15'!$AO13,0,MATCH(VLOOKUP('RES Veda input'!CP$3,'RES Assumptions T15'!$V$3:$W$35,2,FALSE),'RES Techs T15'!$G$3:$U$3,0))=0,"",OFFSET('RES Techs T15'!$AO13,0,MATCH(VLOOKUP('RES Veda input'!CP$3,'RES Assumptions T15'!$V$3:$W$35,2,FALSE),'RES Techs T15'!$G$3:$U$3,0)))</f>
        <v>9.8000000000000007</v>
      </c>
      <c r="CQ13" s="9" t="str">
        <f ca="1">IF(OFFSET('RES Techs T15'!$AO13,0,MATCH(VLOOKUP('RES Veda input'!CQ$3,'RES Assumptions T15'!$V$3:$W$35,2,FALSE),'RES Techs T15'!$G$3:$U$3,0))=0,"",OFFSET('RES Techs T15'!$AO13,0,MATCH(VLOOKUP('RES Veda input'!CQ$3,'RES Assumptions T15'!$V$3:$W$35,2,FALSE),'RES Techs T15'!$G$3:$U$3,0)))</f>
        <v/>
      </c>
      <c r="CR13" s="9" t="str">
        <f ca="1">IF(OFFSET('RES Techs T15'!$AO13,0,MATCH(VLOOKUP('RES Veda input'!CR$3,'RES Assumptions T15'!$V$3:$W$35,2,FALSE),'RES Techs T15'!$G$3:$U$3,0))=0,"",OFFSET('RES Techs T15'!$AO13,0,MATCH(VLOOKUP('RES Veda input'!CR$3,'RES Assumptions T15'!$V$3:$W$35,2,FALSE),'RES Techs T15'!$G$3:$U$3,0)))</f>
        <v/>
      </c>
      <c r="CS13" s="9">
        <f ca="1">IF(OFFSET('RES Techs T15'!$AO13,0,MATCH(VLOOKUP('RES Veda input'!CS$3,'RES Assumptions T15'!$V$3:$W$35,2,FALSE),'RES Techs T15'!$G$3:$U$3,0))=0,"",OFFSET('RES Techs T15'!$AO13,0,MATCH(VLOOKUP('RES Veda input'!CS$3,'RES Assumptions T15'!$V$3:$W$35,2,FALSE),'RES Techs T15'!$G$3:$U$3,0)))</f>
        <v>9.8000000000000007</v>
      </c>
      <c r="CT13" s="9" t="str">
        <f ca="1">IF(OFFSET('RES Techs T15'!$AO13,0,MATCH(VLOOKUP('RES Veda input'!CT$3,'RES Assumptions T15'!$V$3:$W$35,2,FALSE),'RES Techs T15'!$G$3:$U$3,0))=0,"",OFFSET('RES Techs T15'!$AO13,0,MATCH(VLOOKUP('RES Veda input'!CT$3,'RES Assumptions T15'!$V$3:$W$35,2,FALSE),'RES Techs T15'!$G$3:$U$3,0)))</f>
        <v/>
      </c>
      <c r="CU13" s="9" t="str">
        <f ca="1">IF(OFFSET('RES Techs T15'!$AO13,0,MATCH(VLOOKUP('RES Veda input'!CU$3,'RES Assumptions T15'!$V$3:$W$35,2,FALSE),'RES Techs T15'!$G$3:$U$3,0))=0,"",OFFSET('RES Techs T15'!$AO13,0,MATCH(VLOOKUP('RES Veda input'!CU$3,'RES Assumptions T15'!$V$3:$W$35,2,FALSE),'RES Techs T15'!$G$3:$U$3,0)))</f>
        <v/>
      </c>
      <c r="CV13" s="9">
        <f ca="1">IF(OFFSET('RES Techs T15'!$AO13,0,MATCH(VLOOKUP('RES Veda input'!CV$3,'RES Assumptions T15'!$V$3:$W$35,2,FALSE),'RES Techs T15'!$G$3:$U$3,0))=0,"",OFFSET('RES Techs T15'!$AO13,0,MATCH(VLOOKUP('RES Veda input'!CV$3,'RES Assumptions T15'!$V$3:$W$35,2,FALSE),'RES Techs T15'!$G$3:$U$3,0)))</f>
        <v>14</v>
      </c>
      <c r="CW13" s="9">
        <f ca="1">IF(OFFSET('RES Techs T15'!$AO13,0,MATCH(VLOOKUP('RES Veda input'!CW$3,'RES Assumptions T15'!$V$3:$W$35,2,FALSE),'RES Techs T15'!$G$3:$U$3,0))=0,"",OFFSET('RES Techs T15'!$AO13,0,MATCH(VLOOKUP('RES Veda input'!CW$3,'RES Assumptions T15'!$V$3:$W$35,2,FALSE),'RES Techs T15'!$G$3:$U$3,0)))</f>
        <v>14</v>
      </c>
      <c r="CY13" s="8" t="str">
        <f t="shared" si="63"/>
        <v>REAELC000</v>
      </c>
      <c r="CZ13" s="10">
        <f ca="1">ROUND('RES Assumptions'!E96*'RES Veda input'!G13/'RES Veda input'!AM13,3)</f>
        <v>143.851</v>
      </c>
      <c r="DA13" s="10">
        <f ca="1">ROUND('RES Assumptions'!F96*'RES Veda input'!H13/'RES Veda input'!AN13,3)</f>
        <v>96.742000000000004</v>
      </c>
      <c r="DB13" s="10">
        <f ca="1">ROUND('RES Assumptions'!G96*'RES Veda input'!I13/'RES Veda input'!AO13,3)</f>
        <v>86.741</v>
      </c>
      <c r="DC13" s="10">
        <f ca="1">ROUND('RES Assumptions'!H96*'RES Veda input'!J13/'RES Veda input'!AP13,3)</f>
        <v>90.203000000000003</v>
      </c>
      <c r="DD13" s="10">
        <f ca="1">ROUND('RES Assumptions'!I96*'RES Veda input'!K13/'RES Veda input'!AQ13,3)</f>
        <v>614.33399999999995</v>
      </c>
      <c r="DE13" s="10">
        <f ca="1">ROUND('RES Assumptions'!J96*'RES Veda input'!L13/'RES Veda input'!AR13,3)</f>
        <v>822.43799999999999</v>
      </c>
      <c r="DF13" s="10">
        <f ca="1">ROUND('RES Assumptions'!K96*'RES Veda input'!M13/'RES Veda input'!AS13,3)</f>
        <v>75.277000000000001</v>
      </c>
      <c r="DG13" s="10">
        <f ca="1">ROUND('RES Assumptions'!L96*'RES Veda input'!N13/'RES Veda input'!AT13,3)</f>
        <v>217.85</v>
      </c>
      <c r="DH13" s="10">
        <f ca="1">ROUND('RES Assumptions'!M96*'RES Veda input'!O13/'RES Veda input'!AU13,3)</f>
        <v>76.058000000000007</v>
      </c>
      <c r="DI13" s="10">
        <f ca="1">ROUND('RES Assumptions'!N96*'RES Veda input'!P13/'RES Veda input'!AV13,3)</f>
        <v>1600.8910000000001</v>
      </c>
      <c r="DJ13" s="10">
        <f ca="1">ROUND('RES Assumptions'!O96*'RES Veda input'!Q13/'RES Veda input'!AW13,3)</f>
        <v>110.432</v>
      </c>
      <c r="DK13" s="10">
        <f ca="1">ROUND('RES Assumptions'!P96*'RES Veda input'!R13/'RES Veda input'!AX13,3)</f>
        <v>120.47199999999999</v>
      </c>
      <c r="DL13" s="10">
        <f ca="1">ROUND('RES Assumptions'!Q96*'RES Veda input'!S13/'RES Veda input'!AY13,3)</f>
        <v>73.209000000000003</v>
      </c>
      <c r="DM13" s="10">
        <f ca="1">ROUND('RES Assumptions'!R96*'RES Veda input'!T13/'RES Veda input'!AZ13,3)</f>
        <v>123.325</v>
      </c>
      <c r="DN13" s="10">
        <f ca="1">ROUND('RES Assumptions'!S96*'RES Veda input'!U13/'RES Veda input'!BA13,3)</f>
        <v>72.328000000000003</v>
      </c>
      <c r="DO13" s="10">
        <f ca="1">ROUND('RES Assumptions'!T96*'RES Veda input'!V13/'RES Veda input'!BB13,3)</f>
        <v>124.203</v>
      </c>
      <c r="DP13" s="10">
        <f ca="1">ROUND('RES Assumptions'!U96*'RES Veda input'!W13/'RES Veda input'!BC13,3)</f>
        <v>122.685</v>
      </c>
      <c r="DQ13" s="10">
        <f ca="1">ROUND('RES Assumptions'!V96*'RES Veda input'!X13/'RES Veda input'!BD13,3)</f>
        <v>230.12700000000001</v>
      </c>
      <c r="DR13" s="10">
        <f ca="1">ROUND('RES Assumptions'!W96*'RES Veda input'!Y13/'RES Veda input'!BE13,3)</f>
        <v>182.31700000000001</v>
      </c>
      <c r="DS13" s="10">
        <f ca="1">ROUND('RES Assumptions'!X96*'RES Veda input'!Z13/'RES Veda input'!BF13,3)</f>
        <v>503.02</v>
      </c>
      <c r="DT13" s="10">
        <f ca="1">ROUND('RES Assumptions'!Y96*'RES Veda input'!AA13/'RES Veda input'!BG13,3)</f>
        <v>174.036</v>
      </c>
      <c r="DU13" s="10">
        <f ca="1">ROUND('RES Assumptions'!Z96*'RES Veda input'!AB13/'RES Veda input'!BH13,3)</f>
        <v>77.247</v>
      </c>
      <c r="DV13" s="10">
        <f ca="1">ROUND('RES Assumptions'!AA96*'RES Veda input'!AC13/'RES Veda input'!BI13,3)</f>
        <v>223.20599999999999</v>
      </c>
      <c r="DW13" s="10">
        <f ca="1">ROUND('RES Assumptions'!AB96*'RES Veda input'!AD13/'RES Veda input'!BJ13,3)</f>
        <v>58.991999999999997</v>
      </c>
      <c r="DX13" s="10">
        <f ca="1">ROUND('RES Assumptions'!AC96*'RES Veda input'!AE13/'RES Veda input'!BK13,3)</f>
        <v>253.81899999999999</v>
      </c>
      <c r="DY13" s="10">
        <f ca="1">ROUND('RES Assumptions'!AD96*'RES Veda input'!AF13/'RES Veda input'!BL13,3)</f>
        <v>107.166</v>
      </c>
      <c r="DZ13" s="10">
        <f ca="1">ROUND('RES Assumptions'!AE96*'RES Veda input'!AG13/'RES Veda input'!BM13,3)</f>
        <v>61.317</v>
      </c>
      <c r="EA13" s="10">
        <f ca="1">ROUND('RES Assumptions'!AF96*'RES Veda input'!AH13/'RES Veda input'!BN13,3)</f>
        <v>149.59</v>
      </c>
      <c r="EB13" s="10">
        <f ca="1">ROUND('RES Assumptions'!AG96*'RES Veda input'!AI13/'RES Veda input'!BO13,3)</f>
        <v>1259.511</v>
      </c>
      <c r="EC13" s="10">
        <f ca="1">ROUND('RES Assumptions'!AH96*'RES Veda input'!AJ13/'RES Veda input'!BP13,3)</f>
        <v>0</v>
      </c>
      <c r="ED13">
        <v>10</v>
      </c>
      <c r="EG13" t="s">
        <v>281</v>
      </c>
      <c r="EH13" t="str">
        <f t="shared" si="64"/>
        <v>REAELC000</v>
      </c>
      <c r="EJ13" t="s">
        <v>282</v>
      </c>
      <c r="EK13" t="s">
        <v>283</v>
      </c>
    </row>
    <row r="14" spans="1:144" x14ac:dyDescent="0.45">
      <c r="A14" s="37" t="str">
        <f>'RES Assumptions'!B97</f>
        <v>RH</v>
      </c>
      <c r="B14" s="37" t="s">
        <v>128</v>
      </c>
      <c r="D14" s="51" t="s">
        <v>290</v>
      </c>
      <c r="E14" s="8" t="str">
        <f>'RES Assumptions'!A97</f>
        <v>RESBIO</v>
      </c>
      <c r="F14" s="8" t="str">
        <f>VLOOKUP(A14,'RES Assumptions'!$AN$87:$AO$97,2,FALSE)</f>
        <v>RSH</v>
      </c>
      <c r="G14" s="9">
        <f ca="1">OFFSET('RES Techs T15'!$F14,0,MATCH(VLOOKUP('RES Veda input'!G$3,'RES Assumptions T15'!$V$3:$W$35,2,FALSE),'RES Techs T15'!$G$3:$U$3,0))</f>
        <v>0.25</v>
      </c>
      <c r="H14" s="9">
        <f ca="1">OFFSET('RES Techs T15'!$F14,0,MATCH(VLOOKUP('RES Veda input'!H$3,'RES Assumptions T15'!$V$3:$W$35,2,FALSE),'RES Techs T15'!$G$3:$U$3,0))</f>
        <v>0.25</v>
      </c>
      <c r="I14" s="9">
        <f ca="1">OFFSET('RES Techs T15'!$F14,0,MATCH(VLOOKUP('RES Veda input'!I$3,'RES Assumptions T15'!$V$3:$W$35,2,FALSE),'RES Techs T15'!$G$3:$U$3,0))</f>
        <v>0.25</v>
      </c>
      <c r="J14" s="9">
        <f ca="1">OFFSET('RES Techs T15'!$F14,0,MATCH(VLOOKUP('RES Veda input'!J$3,'RES Assumptions T15'!$V$3:$W$35,2,FALSE),'RES Techs T15'!$G$3:$U$3,0))</f>
        <v>0.25</v>
      </c>
      <c r="K14" s="9">
        <f ca="1">OFFSET('RES Techs T15'!$F14,0,MATCH(VLOOKUP('RES Veda input'!K$3,'RES Assumptions T15'!$V$3:$W$35,2,FALSE),'RES Techs T15'!$G$3:$U$3,0))</f>
        <v>0.25</v>
      </c>
      <c r="L14" s="9">
        <f ca="1">OFFSET('RES Techs T15'!$F14,0,MATCH(VLOOKUP('RES Veda input'!L$3,'RES Assumptions T15'!$V$3:$W$35,2,FALSE),'RES Techs T15'!$G$3:$U$3,0))</f>
        <v>0.25</v>
      </c>
      <c r="M14" s="9">
        <f ca="1">OFFSET('RES Techs T15'!$F14,0,MATCH(VLOOKUP('RES Veda input'!M$3,'RES Assumptions T15'!$V$3:$W$35,2,FALSE),'RES Techs T15'!$G$3:$U$3,0))</f>
        <v>0.25</v>
      </c>
      <c r="N14" s="9">
        <f ca="1">OFFSET('RES Techs T15'!$F14,0,MATCH(VLOOKUP('RES Veda input'!N$3,'RES Assumptions T15'!$V$3:$W$35,2,FALSE),'RES Techs T15'!$G$3:$U$3,0))</f>
        <v>0.25</v>
      </c>
      <c r="O14" s="9">
        <f ca="1">OFFSET('RES Techs T15'!$F14,0,MATCH(VLOOKUP('RES Veda input'!O$3,'RES Assumptions T15'!$V$3:$W$35,2,FALSE),'RES Techs T15'!$G$3:$U$3,0))</f>
        <v>0.25</v>
      </c>
      <c r="P14" s="9">
        <f ca="1">OFFSET('RES Techs T15'!$F14,0,MATCH(VLOOKUP('RES Veda input'!P$3,'RES Assumptions T15'!$V$3:$W$35,2,FALSE),'RES Techs T15'!$G$3:$U$3,0))</f>
        <v>0.25</v>
      </c>
      <c r="Q14" s="9">
        <f ca="1">OFFSET('RES Techs T15'!$F14,0,MATCH(VLOOKUP('RES Veda input'!Q$3,'RES Assumptions T15'!$V$3:$W$35,2,FALSE),'RES Techs T15'!$G$3:$U$3,0))</f>
        <v>0.25</v>
      </c>
      <c r="R14" s="9">
        <f ca="1">OFFSET('RES Techs T15'!$F14,0,MATCH(VLOOKUP('RES Veda input'!R$3,'RES Assumptions T15'!$V$3:$W$35,2,FALSE),'RES Techs T15'!$G$3:$U$3,0))</f>
        <v>0.25</v>
      </c>
      <c r="S14" s="9">
        <f ca="1">OFFSET('RES Techs T15'!$F14,0,MATCH(VLOOKUP('RES Veda input'!S$3,'RES Assumptions T15'!$V$3:$W$35,2,FALSE),'RES Techs T15'!$G$3:$U$3,0))</f>
        <v>0.25</v>
      </c>
      <c r="T14" s="9">
        <f ca="1">OFFSET('RES Techs T15'!$F14,0,MATCH(VLOOKUP('RES Veda input'!T$3,'RES Assumptions T15'!$V$3:$W$35,2,FALSE),'RES Techs T15'!$G$3:$U$3,0))</f>
        <v>0.25</v>
      </c>
      <c r="U14" s="9">
        <f ca="1">OFFSET('RES Techs T15'!$F14,0,MATCH(VLOOKUP('RES Veda input'!U$3,'RES Assumptions T15'!$V$3:$W$35,2,FALSE),'RES Techs T15'!$G$3:$U$3,0))</f>
        <v>0.25</v>
      </c>
      <c r="V14" s="9">
        <f ca="1">OFFSET('RES Techs T15'!$F14,0,MATCH(VLOOKUP('RES Veda input'!V$3,'RES Assumptions T15'!$V$3:$W$35,2,FALSE),'RES Techs T15'!$G$3:$U$3,0))</f>
        <v>0.25</v>
      </c>
      <c r="W14" s="9">
        <f ca="1">OFFSET('RES Techs T15'!$F14,0,MATCH(VLOOKUP('RES Veda input'!W$3,'RES Assumptions T15'!$V$3:$W$35,2,FALSE),'RES Techs T15'!$G$3:$U$3,0))</f>
        <v>0.25</v>
      </c>
      <c r="X14" s="9">
        <f ca="1">OFFSET('RES Techs T15'!$F14,0,MATCH(VLOOKUP('RES Veda input'!X$3,'RES Assumptions T15'!$V$3:$W$35,2,FALSE),'RES Techs T15'!$G$3:$U$3,0))</f>
        <v>0.25</v>
      </c>
      <c r="Y14" s="9">
        <f ca="1">OFFSET('RES Techs T15'!$F14,0,MATCH(VLOOKUP('RES Veda input'!Y$3,'RES Assumptions T15'!$V$3:$W$35,2,FALSE),'RES Techs T15'!$G$3:$U$3,0))</f>
        <v>0.25</v>
      </c>
      <c r="Z14" s="9">
        <f ca="1">OFFSET('RES Techs T15'!$F14,0,MATCH(VLOOKUP('RES Veda input'!Z$3,'RES Assumptions T15'!$V$3:$W$35,2,FALSE),'RES Techs T15'!$G$3:$U$3,0))</f>
        <v>0.25</v>
      </c>
      <c r="AA14" s="9">
        <f ca="1">OFFSET('RES Techs T15'!$F14,0,MATCH(VLOOKUP('RES Veda input'!AA$3,'RES Assumptions T15'!$V$3:$W$35,2,FALSE),'RES Techs T15'!$G$3:$U$3,0))</f>
        <v>0.25</v>
      </c>
      <c r="AB14" s="9">
        <f ca="1">OFFSET('RES Techs T15'!$F14,0,MATCH(VLOOKUP('RES Veda input'!AB$3,'RES Assumptions T15'!$V$3:$W$35,2,FALSE),'RES Techs T15'!$G$3:$U$3,0))</f>
        <v>0.25</v>
      </c>
      <c r="AC14" s="9">
        <f ca="1">OFFSET('RES Techs T15'!$F14,0,MATCH(VLOOKUP('RES Veda input'!AC$3,'RES Assumptions T15'!$V$3:$W$35,2,FALSE),'RES Techs T15'!$G$3:$U$3,0))</f>
        <v>0.25</v>
      </c>
      <c r="AD14" s="9">
        <f ca="1">OFFSET('RES Techs T15'!$F14,0,MATCH(VLOOKUP('RES Veda input'!AD$3,'RES Assumptions T15'!$V$3:$W$35,2,FALSE),'RES Techs T15'!$G$3:$U$3,0))</f>
        <v>0.25</v>
      </c>
      <c r="AE14" s="9">
        <f ca="1">OFFSET('RES Techs T15'!$F14,0,MATCH(VLOOKUP('RES Veda input'!AE$3,'RES Assumptions T15'!$V$3:$W$35,2,FALSE),'RES Techs T15'!$G$3:$U$3,0))</f>
        <v>0.25</v>
      </c>
      <c r="AF14" s="9">
        <f ca="1">OFFSET('RES Techs T15'!$F14,0,MATCH(VLOOKUP('RES Veda input'!AF$3,'RES Assumptions T15'!$V$3:$W$35,2,FALSE),'RES Techs T15'!$G$3:$U$3,0))</f>
        <v>0.25</v>
      </c>
      <c r="AG14" s="9">
        <f ca="1">OFFSET('RES Techs T15'!$F14,0,MATCH(VLOOKUP('RES Veda input'!AG$3,'RES Assumptions T15'!$V$3:$W$35,2,FALSE),'RES Techs T15'!$G$3:$U$3,0))</f>
        <v>0.25</v>
      </c>
      <c r="AH14" s="9">
        <f ca="1">OFFSET('RES Techs T15'!$F14,0,MATCH(VLOOKUP('RES Veda input'!AH$3,'RES Assumptions T15'!$V$3:$W$35,2,FALSE),'RES Techs T15'!$G$3:$U$3,0))</f>
        <v>0.25</v>
      </c>
      <c r="AI14" s="9">
        <f ca="1">OFFSET('RES Techs T15'!$F14,0,MATCH(VLOOKUP('RES Veda input'!AI$3,'RES Assumptions T15'!$V$3:$W$35,2,FALSE),'RES Techs T15'!$G$3:$U$3,0))</f>
        <v>0.25</v>
      </c>
      <c r="AJ14" s="9">
        <f ca="1">OFFSET('RES Techs T15'!$F14,0,MATCH(VLOOKUP('RES Veda input'!AJ$3,'RES Assumptions T15'!$V$3:$W$35,2,FALSE),'RES Techs T15'!$G$3:$U$3,0))</f>
        <v>0.25</v>
      </c>
      <c r="AL14" s="8" t="str">
        <f t="shared" si="60"/>
        <v>RSHBIO000</v>
      </c>
      <c r="AM14" s="9">
        <f ca="1">OFFSET('RES Techs T15'!$W14,0,MATCH(VLOOKUP('RES Veda input'!AM$3,'RES Assumptions T15'!$V$3:$W$35,2,FALSE),'RES Techs T15'!$G$3:$U$3,0))</f>
        <v>0.18</v>
      </c>
      <c r="AN14" s="9">
        <f ca="1">OFFSET('RES Techs T15'!$W14,0,MATCH(VLOOKUP('RES Veda input'!AN$3,'RES Assumptions T15'!$V$3:$W$35,2,FALSE),'RES Techs T15'!$G$3:$U$3,0))</f>
        <v>0.18</v>
      </c>
      <c r="AO14" s="9">
        <f ca="1">OFFSET('RES Techs T15'!$W14,0,MATCH(VLOOKUP('RES Veda input'!AO$3,'RES Assumptions T15'!$V$3:$W$35,2,FALSE),'RES Techs T15'!$G$3:$U$3,0))</f>
        <v>0.18</v>
      </c>
      <c r="AP14" s="9">
        <f ca="1">OFFSET('RES Techs T15'!$W14,0,MATCH(VLOOKUP('RES Veda input'!AP$3,'RES Assumptions T15'!$V$3:$W$35,2,FALSE),'RES Techs T15'!$G$3:$U$3,0))</f>
        <v>0.18</v>
      </c>
      <c r="AQ14" s="9">
        <f ca="1">OFFSET('RES Techs T15'!$W14,0,MATCH(VLOOKUP('RES Veda input'!AQ$3,'RES Assumptions T15'!$V$3:$W$35,2,FALSE),'RES Techs T15'!$G$3:$U$3,0))</f>
        <v>0.18</v>
      </c>
      <c r="AR14" s="9">
        <f ca="1">OFFSET('RES Techs T15'!$W14,0,MATCH(VLOOKUP('RES Veda input'!AR$3,'RES Assumptions T15'!$V$3:$W$35,2,FALSE),'RES Techs T15'!$G$3:$U$3,0))</f>
        <v>0.11</v>
      </c>
      <c r="AS14" s="9">
        <f ca="1">OFFSET('RES Techs T15'!$W14,0,MATCH(VLOOKUP('RES Veda input'!AS$3,'RES Assumptions T15'!$V$3:$W$35,2,FALSE),'RES Techs T15'!$G$3:$U$3,0))</f>
        <v>0.21</v>
      </c>
      <c r="AT14" s="9">
        <f ca="1">OFFSET('RES Techs T15'!$W14,0,MATCH(VLOOKUP('RES Veda input'!AT$3,'RES Assumptions T15'!$V$3:$W$35,2,FALSE),'RES Techs T15'!$G$3:$U$3,0))</f>
        <v>0.18</v>
      </c>
      <c r="AU14" s="9">
        <f ca="1">OFFSET('RES Techs T15'!$W14,0,MATCH(VLOOKUP('RES Veda input'!AU$3,'RES Assumptions T15'!$V$3:$W$35,2,FALSE),'RES Techs T15'!$G$3:$U$3,0))</f>
        <v>0.24</v>
      </c>
      <c r="AV14" s="9">
        <f ca="1">OFFSET('RES Techs T15'!$W14,0,MATCH(VLOOKUP('RES Veda input'!AV$3,'RES Assumptions T15'!$V$3:$W$35,2,FALSE),'RES Techs T15'!$G$3:$U$3,0))</f>
        <v>0.18</v>
      </c>
      <c r="AW14" s="9">
        <f ca="1">OFFSET('RES Techs T15'!$W14,0,MATCH(VLOOKUP('RES Veda input'!AW$3,'RES Assumptions T15'!$V$3:$W$35,2,FALSE),'RES Techs T15'!$G$3:$U$3,0))</f>
        <v>0.18</v>
      </c>
      <c r="AX14" s="9">
        <f ca="1">OFFSET('RES Techs T15'!$W14,0,MATCH(VLOOKUP('RES Veda input'!AX$3,'RES Assumptions T15'!$V$3:$W$35,2,FALSE),'RES Techs T15'!$G$3:$U$3,0))</f>
        <v>0.18</v>
      </c>
      <c r="AY14" s="9">
        <f ca="1">OFFSET('RES Techs T15'!$W14,0,MATCH(VLOOKUP('RES Veda input'!AY$3,'RES Assumptions T15'!$V$3:$W$35,2,FALSE),'RES Techs T15'!$G$3:$U$3,0))</f>
        <v>0.18</v>
      </c>
      <c r="AZ14" s="9">
        <f ca="1">OFFSET('RES Techs T15'!$W14,0,MATCH(VLOOKUP('RES Veda input'!AZ$3,'RES Assumptions T15'!$V$3:$W$35,2,FALSE),'RES Techs T15'!$G$3:$U$3,0))</f>
        <v>0.18</v>
      </c>
      <c r="BA14" s="9">
        <f ca="1">OFFSET('RES Techs T15'!$W14,0,MATCH(VLOOKUP('RES Veda input'!BA$3,'RES Assumptions T15'!$V$3:$W$35,2,FALSE),'RES Techs T15'!$G$3:$U$3,0))</f>
        <v>0.18</v>
      </c>
      <c r="BB14" s="9">
        <f ca="1">OFFSET('RES Techs T15'!$W14,0,MATCH(VLOOKUP('RES Veda input'!BB$3,'RES Assumptions T15'!$V$3:$W$35,2,FALSE),'RES Techs T15'!$G$3:$U$3,0))</f>
        <v>0.18</v>
      </c>
      <c r="BC14" s="9">
        <f ca="1">OFFSET('RES Techs T15'!$W14,0,MATCH(VLOOKUP('RES Veda input'!BC$3,'RES Assumptions T15'!$V$3:$W$35,2,FALSE),'RES Techs T15'!$G$3:$U$3,0))</f>
        <v>0.18</v>
      </c>
      <c r="BD14" s="9">
        <f ca="1">OFFSET('RES Techs T15'!$W14,0,MATCH(VLOOKUP('RES Veda input'!BD$3,'RES Assumptions T15'!$V$3:$W$35,2,FALSE),'RES Techs T15'!$G$3:$U$3,0))</f>
        <v>0.18</v>
      </c>
      <c r="BE14" s="9">
        <f ca="1">OFFSET('RES Techs T15'!$W14,0,MATCH(VLOOKUP('RES Veda input'!BE$3,'RES Assumptions T15'!$V$3:$W$35,2,FALSE),'RES Techs T15'!$G$3:$U$3,0))</f>
        <v>0.18</v>
      </c>
      <c r="BF14" s="9">
        <f ca="1">OFFSET('RES Techs T15'!$W14,0,MATCH(VLOOKUP('RES Veda input'!BF$3,'RES Assumptions T15'!$V$3:$W$35,2,FALSE),'RES Techs T15'!$G$3:$U$3,0))</f>
        <v>0.18</v>
      </c>
      <c r="BG14" s="9">
        <f ca="1">OFFSET('RES Techs T15'!$W14,0,MATCH(VLOOKUP('RES Veda input'!BG$3,'RES Assumptions T15'!$V$3:$W$35,2,FALSE),'RES Techs T15'!$G$3:$U$3,0))</f>
        <v>0.18</v>
      </c>
      <c r="BH14" s="9">
        <f ca="1">OFFSET('RES Techs T15'!$W14,0,MATCH(VLOOKUP('RES Veda input'!BH$3,'RES Assumptions T15'!$V$3:$W$35,2,FALSE),'RES Techs T15'!$G$3:$U$3,0))</f>
        <v>0.18</v>
      </c>
      <c r="BI14" s="9">
        <f ca="1">OFFSET('RES Techs T15'!$W14,0,MATCH(VLOOKUP('RES Veda input'!BI$3,'RES Assumptions T15'!$V$3:$W$35,2,FALSE),'RES Techs T15'!$G$3:$U$3,0))</f>
        <v>0.18</v>
      </c>
      <c r="BJ14" s="9">
        <f ca="1">OFFSET('RES Techs T15'!$W14,0,MATCH(VLOOKUP('RES Veda input'!BJ$3,'RES Assumptions T15'!$V$3:$W$35,2,FALSE),'RES Techs T15'!$G$3:$U$3,0))</f>
        <v>0.18</v>
      </c>
      <c r="BK14" s="9">
        <f ca="1">OFFSET('RES Techs T15'!$W14,0,MATCH(VLOOKUP('RES Veda input'!BK$3,'RES Assumptions T15'!$V$3:$W$35,2,FALSE),'RES Techs T15'!$G$3:$U$3,0))</f>
        <v>0.18</v>
      </c>
      <c r="BL14" s="9">
        <f ca="1">OFFSET('RES Techs T15'!$W14,0,MATCH(VLOOKUP('RES Veda input'!BL$3,'RES Assumptions T15'!$V$3:$W$35,2,FALSE),'RES Techs T15'!$G$3:$U$3,0))</f>
        <v>0.18</v>
      </c>
      <c r="BM14" s="9">
        <f ca="1">OFFSET('RES Techs T15'!$W14,0,MATCH(VLOOKUP('RES Veda input'!BM$3,'RES Assumptions T15'!$V$3:$W$35,2,FALSE),'RES Techs T15'!$G$3:$U$3,0))</f>
        <v>0.18</v>
      </c>
      <c r="BN14" s="9">
        <f ca="1">OFFSET('RES Techs T15'!$W14,0,MATCH(VLOOKUP('RES Veda input'!BN$3,'RES Assumptions T15'!$V$3:$W$35,2,FALSE),'RES Techs T15'!$G$3:$U$3,0))</f>
        <v>0.18</v>
      </c>
      <c r="BO14" s="9">
        <f ca="1">OFFSET('RES Techs T15'!$W14,0,MATCH(VLOOKUP('RES Veda input'!BO$3,'RES Assumptions T15'!$V$3:$W$35,2,FALSE),'RES Techs T15'!$G$3:$U$3,0))</f>
        <v>0.3</v>
      </c>
      <c r="BP14" s="9">
        <f ca="1">OFFSET('RES Techs T15'!$W14,0,MATCH(VLOOKUP('RES Veda input'!BP$3,'RES Assumptions T15'!$V$3:$W$35,2,FALSE),'RES Techs T15'!$G$3:$U$3,0))</f>
        <v>0.3</v>
      </c>
      <c r="BR14" s="8" t="str">
        <f t="shared" si="61"/>
        <v>RSHBIO000</v>
      </c>
      <c r="BS14" s="9">
        <f t="shared" ca="1" si="62"/>
        <v>4.2</v>
      </c>
      <c r="BT14" s="9" t="str">
        <f ca="1">IF(OFFSET('RES Techs T15'!$AO14,0,MATCH(VLOOKUP('RES Veda input'!BT$3,'RES Assumptions T15'!$V$3:$W$35,2,FALSE),'RES Techs T15'!$G$3:$U$3,0))=0,"",OFFSET('RES Techs T15'!$AO14,0,MATCH(VLOOKUP('RES Veda input'!BT$3,'RES Assumptions T15'!$V$3:$W$35,2,FALSE),'RES Techs T15'!$G$3:$U$3,0)))</f>
        <v/>
      </c>
      <c r="BU14" s="9" t="str">
        <f ca="1">IF(OFFSET('RES Techs T15'!$AO14,0,MATCH(VLOOKUP('RES Veda input'!BU$3,'RES Assumptions T15'!$V$3:$W$35,2,FALSE),'RES Techs T15'!$G$3:$U$3,0))=0,"",OFFSET('RES Techs T15'!$AO14,0,MATCH(VLOOKUP('RES Veda input'!BU$3,'RES Assumptions T15'!$V$3:$W$35,2,FALSE),'RES Techs T15'!$G$3:$U$3,0)))</f>
        <v/>
      </c>
      <c r="BV14" s="9">
        <f ca="1">IF(OFFSET('RES Techs T15'!$AO14,0,MATCH(VLOOKUP('RES Veda input'!BV$3,'RES Assumptions T15'!$V$3:$W$35,2,FALSE),'RES Techs T15'!$G$3:$U$3,0))=0,"",OFFSET('RES Techs T15'!$AO14,0,MATCH(VLOOKUP('RES Veda input'!BV$3,'RES Assumptions T15'!$V$3:$W$35,2,FALSE),'RES Techs T15'!$G$3:$U$3,0)))</f>
        <v>7</v>
      </c>
      <c r="BW14" s="9" t="str">
        <f ca="1">IF(OFFSET('RES Techs T15'!$AO14,0,MATCH(VLOOKUP('RES Veda input'!BW$3,'RES Assumptions T15'!$V$3:$W$35,2,FALSE),'RES Techs T15'!$G$3:$U$3,0))=0,"",OFFSET('RES Techs T15'!$AO14,0,MATCH(VLOOKUP('RES Veda input'!BW$3,'RES Assumptions T15'!$V$3:$W$35,2,FALSE),'RES Techs T15'!$G$3:$U$3,0)))</f>
        <v/>
      </c>
      <c r="BX14" s="9">
        <f ca="1">IF(OFFSET('RES Techs T15'!$AO14,0,MATCH(VLOOKUP('RES Veda input'!BX$3,'RES Assumptions T15'!$V$3:$W$35,2,FALSE),'RES Techs T15'!$G$3:$U$3,0))=0,"",OFFSET('RES Techs T15'!$AO14,0,MATCH(VLOOKUP('RES Veda input'!BX$3,'RES Assumptions T15'!$V$3:$W$35,2,FALSE),'RES Techs T15'!$G$3:$U$3,0)))</f>
        <v>10</v>
      </c>
      <c r="BY14" s="9">
        <f ca="1">IF(OFFSET('RES Techs T15'!$AO14,0,MATCH(VLOOKUP('RES Veda input'!BY$3,'RES Assumptions T15'!$V$3:$W$35,2,FALSE),'RES Techs T15'!$G$3:$U$3,0))=0,"",OFFSET('RES Techs T15'!$AO14,0,MATCH(VLOOKUP('RES Veda input'!BY$3,'RES Assumptions T15'!$V$3:$W$35,2,FALSE),'RES Techs T15'!$G$3:$U$3,0)))</f>
        <v>6</v>
      </c>
      <c r="BZ14" s="9" t="str">
        <f ca="1">IF(OFFSET('RES Techs T15'!$AO14,0,MATCH(VLOOKUP('RES Veda input'!BZ$3,'RES Assumptions T15'!$V$3:$W$35,2,FALSE),'RES Techs T15'!$G$3:$U$3,0))=0,"",OFFSET('RES Techs T15'!$AO14,0,MATCH(VLOOKUP('RES Veda input'!BZ$3,'RES Assumptions T15'!$V$3:$W$35,2,FALSE),'RES Techs T15'!$G$3:$U$3,0)))</f>
        <v/>
      </c>
      <c r="CA14" s="9">
        <f ca="1">IF(OFFSET('RES Techs T15'!$AO14,0,MATCH(VLOOKUP('RES Veda input'!CA$3,'RES Assumptions T15'!$V$3:$W$35,2,FALSE),'RES Techs T15'!$G$3:$U$3,0))=0,"",OFFSET('RES Techs T15'!$AO14,0,MATCH(VLOOKUP('RES Veda input'!CA$3,'RES Assumptions T15'!$V$3:$W$35,2,FALSE),'RES Techs T15'!$G$3:$U$3,0)))</f>
        <v>7</v>
      </c>
      <c r="CB14" s="9">
        <f ca="1">IF(OFFSET('RES Techs T15'!$AO14,0,MATCH(VLOOKUP('RES Veda input'!CB$3,'RES Assumptions T15'!$V$3:$W$35,2,FALSE),'RES Techs T15'!$G$3:$U$3,0))=0,"",OFFSET('RES Techs T15'!$AO14,0,MATCH(VLOOKUP('RES Veda input'!CB$3,'RES Assumptions T15'!$V$3:$W$35,2,FALSE),'RES Techs T15'!$G$3:$U$3,0)))</f>
        <v>4.2</v>
      </c>
      <c r="CC14" s="9" t="str">
        <f ca="1">IF(OFFSET('RES Techs T15'!$AO14,0,MATCH(VLOOKUP('RES Veda input'!CC$3,'RES Assumptions T15'!$V$3:$W$35,2,FALSE),'RES Techs T15'!$G$3:$U$3,0))=0,"",OFFSET('RES Techs T15'!$AO14,0,MATCH(VLOOKUP('RES Veda input'!CC$3,'RES Assumptions T15'!$V$3:$W$35,2,FALSE),'RES Techs T15'!$G$3:$U$3,0)))</f>
        <v/>
      </c>
      <c r="CD14" s="9" t="str">
        <f ca="1">IF(OFFSET('RES Techs T15'!$AO14,0,MATCH(VLOOKUP('RES Veda input'!CD$3,'RES Assumptions T15'!$V$3:$W$35,2,FALSE),'RES Techs T15'!$G$3:$U$3,0))=0,"",OFFSET('RES Techs T15'!$AO14,0,MATCH(VLOOKUP('RES Veda input'!CD$3,'RES Assumptions T15'!$V$3:$W$35,2,FALSE),'RES Techs T15'!$G$3:$U$3,0)))</f>
        <v/>
      </c>
      <c r="CE14" s="9" t="str">
        <f ca="1">IF(OFFSET('RES Techs T15'!$AO14,0,MATCH(VLOOKUP('RES Veda input'!CE$3,'RES Assumptions T15'!$V$3:$W$35,2,FALSE),'RES Techs T15'!$G$3:$U$3,0))=0,"",OFFSET('RES Techs T15'!$AO14,0,MATCH(VLOOKUP('RES Veda input'!CE$3,'RES Assumptions T15'!$V$3:$W$35,2,FALSE),'RES Techs T15'!$G$3:$U$3,0)))</f>
        <v/>
      </c>
      <c r="CF14" s="9" t="str">
        <f ca="1">IF(OFFSET('RES Techs T15'!$AO14,0,MATCH(VLOOKUP('RES Veda input'!CF$3,'RES Assumptions T15'!$V$3:$W$35,2,FALSE),'RES Techs T15'!$G$3:$U$3,0))=0,"",OFFSET('RES Techs T15'!$AO14,0,MATCH(VLOOKUP('RES Veda input'!CF$3,'RES Assumptions T15'!$V$3:$W$35,2,FALSE),'RES Techs T15'!$G$3:$U$3,0)))</f>
        <v/>
      </c>
      <c r="CG14" s="9" t="str">
        <f ca="1">IF(OFFSET('RES Techs T15'!$AO14,0,MATCH(VLOOKUP('RES Veda input'!CG$3,'RES Assumptions T15'!$V$3:$W$35,2,FALSE),'RES Techs T15'!$G$3:$U$3,0))=0,"",OFFSET('RES Techs T15'!$AO14,0,MATCH(VLOOKUP('RES Veda input'!CG$3,'RES Assumptions T15'!$V$3:$W$35,2,FALSE),'RES Techs T15'!$G$3:$U$3,0)))</f>
        <v/>
      </c>
      <c r="CH14" s="9" t="str">
        <f ca="1">IF(OFFSET('RES Techs T15'!$AO14,0,MATCH(VLOOKUP('RES Veda input'!CH$3,'RES Assumptions T15'!$V$3:$W$35,2,FALSE),'RES Techs T15'!$G$3:$U$3,0))=0,"",OFFSET('RES Techs T15'!$AO14,0,MATCH(VLOOKUP('RES Veda input'!CH$3,'RES Assumptions T15'!$V$3:$W$35,2,FALSE),'RES Techs T15'!$G$3:$U$3,0)))</f>
        <v/>
      </c>
      <c r="CI14" s="9" t="str">
        <f ca="1">IF(OFFSET('RES Techs T15'!$AO14,0,MATCH(VLOOKUP('RES Veda input'!CI$3,'RES Assumptions T15'!$V$3:$W$35,2,FALSE),'RES Techs T15'!$G$3:$U$3,0))=0,"",OFFSET('RES Techs T15'!$AO14,0,MATCH(VLOOKUP('RES Veda input'!CI$3,'RES Assumptions T15'!$V$3:$W$35,2,FALSE),'RES Techs T15'!$G$3:$U$3,0)))</f>
        <v/>
      </c>
      <c r="CJ14" s="9">
        <f ca="1">IF(OFFSET('RES Techs T15'!$AO14,0,MATCH(VLOOKUP('RES Veda input'!CJ$3,'RES Assumptions T15'!$V$3:$W$35,2,FALSE),'RES Techs T15'!$G$3:$U$3,0))=0,"",OFFSET('RES Techs T15'!$AO14,0,MATCH(VLOOKUP('RES Veda input'!CJ$3,'RES Assumptions T15'!$V$3:$W$35,2,FALSE),'RES Techs T15'!$G$3:$U$3,0)))</f>
        <v>7</v>
      </c>
      <c r="CK14" s="9" t="str">
        <f ca="1">IF(OFFSET('RES Techs T15'!$AO14,0,MATCH(VLOOKUP('RES Veda input'!CK$3,'RES Assumptions T15'!$V$3:$W$35,2,FALSE),'RES Techs T15'!$G$3:$U$3,0))=0,"",OFFSET('RES Techs T15'!$AO14,0,MATCH(VLOOKUP('RES Veda input'!CK$3,'RES Assumptions T15'!$V$3:$W$35,2,FALSE),'RES Techs T15'!$G$3:$U$3,0)))</f>
        <v/>
      </c>
      <c r="CL14" s="9" t="str">
        <f ca="1">IF(OFFSET('RES Techs T15'!$AO14,0,MATCH(VLOOKUP('RES Veda input'!CL$3,'RES Assumptions T15'!$V$3:$W$35,2,FALSE),'RES Techs T15'!$G$3:$U$3,0))=0,"",OFFSET('RES Techs T15'!$AO14,0,MATCH(VLOOKUP('RES Veda input'!CL$3,'RES Assumptions T15'!$V$3:$W$35,2,FALSE),'RES Techs T15'!$G$3:$U$3,0)))</f>
        <v/>
      </c>
      <c r="CM14" s="9">
        <f ca="1">IF(OFFSET('RES Techs T15'!$AO14,0,MATCH(VLOOKUP('RES Veda input'!CM$3,'RES Assumptions T15'!$V$3:$W$35,2,FALSE),'RES Techs T15'!$G$3:$U$3,0))=0,"",OFFSET('RES Techs T15'!$AO14,0,MATCH(VLOOKUP('RES Veda input'!CM$3,'RES Assumptions T15'!$V$3:$W$35,2,FALSE),'RES Techs T15'!$G$3:$U$3,0)))</f>
        <v>6</v>
      </c>
      <c r="CN14" s="9">
        <f ca="1">IF(OFFSET('RES Techs T15'!$AO14,0,MATCH(VLOOKUP('RES Veda input'!CN$3,'RES Assumptions T15'!$V$3:$W$35,2,FALSE),'RES Techs T15'!$G$3:$U$3,0))=0,"",OFFSET('RES Techs T15'!$AO14,0,MATCH(VLOOKUP('RES Veda input'!CN$3,'RES Assumptions T15'!$V$3:$W$35,2,FALSE),'RES Techs T15'!$G$3:$U$3,0)))</f>
        <v>7</v>
      </c>
      <c r="CO14" s="9">
        <f ca="1">IF(OFFSET('RES Techs T15'!$AO14,0,MATCH(VLOOKUP('RES Veda input'!CO$3,'RES Assumptions T15'!$V$3:$W$35,2,FALSE),'RES Techs T15'!$G$3:$U$3,0))=0,"",OFFSET('RES Techs T15'!$AO14,0,MATCH(VLOOKUP('RES Veda input'!CO$3,'RES Assumptions T15'!$V$3:$W$35,2,FALSE),'RES Techs T15'!$G$3:$U$3,0)))</f>
        <v>8</v>
      </c>
      <c r="CP14" s="9">
        <f ca="1">IF(OFFSET('RES Techs T15'!$AO14,0,MATCH(VLOOKUP('RES Veda input'!CP$3,'RES Assumptions T15'!$V$3:$W$35,2,FALSE),'RES Techs T15'!$G$3:$U$3,0))=0,"",OFFSET('RES Techs T15'!$AO14,0,MATCH(VLOOKUP('RES Veda input'!CP$3,'RES Assumptions T15'!$V$3:$W$35,2,FALSE),'RES Techs T15'!$G$3:$U$3,0)))</f>
        <v>7</v>
      </c>
      <c r="CQ14" s="9" t="str">
        <f ca="1">IF(OFFSET('RES Techs T15'!$AO14,0,MATCH(VLOOKUP('RES Veda input'!CQ$3,'RES Assumptions T15'!$V$3:$W$35,2,FALSE),'RES Techs T15'!$G$3:$U$3,0))=0,"",OFFSET('RES Techs T15'!$AO14,0,MATCH(VLOOKUP('RES Veda input'!CQ$3,'RES Assumptions T15'!$V$3:$W$35,2,FALSE),'RES Techs T15'!$G$3:$U$3,0)))</f>
        <v/>
      </c>
      <c r="CR14" s="9" t="str">
        <f ca="1">IF(OFFSET('RES Techs T15'!$AO14,0,MATCH(VLOOKUP('RES Veda input'!CR$3,'RES Assumptions T15'!$V$3:$W$35,2,FALSE),'RES Techs T15'!$G$3:$U$3,0))=0,"",OFFSET('RES Techs T15'!$AO14,0,MATCH(VLOOKUP('RES Veda input'!CR$3,'RES Assumptions T15'!$V$3:$W$35,2,FALSE),'RES Techs T15'!$G$3:$U$3,0)))</f>
        <v/>
      </c>
      <c r="CS14" s="9">
        <f ca="1">IF(OFFSET('RES Techs T15'!$AO14,0,MATCH(VLOOKUP('RES Veda input'!CS$3,'RES Assumptions T15'!$V$3:$W$35,2,FALSE),'RES Techs T15'!$G$3:$U$3,0))=0,"",OFFSET('RES Techs T15'!$AO14,0,MATCH(VLOOKUP('RES Veda input'!CS$3,'RES Assumptions T15'!$V$3:$W$35,2,FALSE),'RES Techs T15'!$G$3:$U$3,0)))</f>
        <v>7</v>
      </c>
      <c r="CT14" s="9" t="str">
        <f ca="1">IF(OFFSET('RES Techs T15'!$AO14,0,MATCH(VLOOKUP('RES Veda input'!CT$3,'RES Assumptions T15'!$V$3:$W$35,2,FALSE),'RES Techs T15'!$G$3:$U$3,0))=0,"",OFFSET('RES Techs T15'!$AO14,0,MATCH(VLOOKUP('RES Veda input'!CT$3,'RES Assumptions T15'!$V$3:$W$35,2,FALSE),'RES Techs T15'!$G$3:$U$3,0)))</f>
        <v/>
      </c>
      <c r="CU14" s="9" t="str">
        <f ca="1">IF(OFFSET('RES Techs T15'!$AO14,0,MATCH(VLOOKUP('RES Veda input'!CU$3,'RES Assumptions T15'!$V$3:$W$35,2,FALSE),'RES Techs T15'!$G$3:$U$3,0))=0,"",OFFSET('RES Techs T15'!$AO14,0,MATCH(VLOOKUP('RES Veda input'!CU$3,'RES Assumptions T15'!$V$3:$W$35,2,FALSE),'RES Techs T15'!$G$3:$U$3,0)))</f>
        <v/>
      </c>
      <c r="CV14" s="9">
        <f ca="1">IF(OFFSET('RES Techs T15'!$AO14,0,MATCH(VLOOKUP('RES Veda input'!CV$3,'RES Assumptions T15'!$V$3:$W$35,2,FALSE),'RES Techs T15'!$G$3:$U$3,0))=0,"",OFFSET('RES Techs T15'!$AO14,0,MATCH(VLOOKUP('RES Veda input'!CV$3,'RES Assumptions T15'!$V$3:$W$35,2,FALSE),'RES Techs T15'!$G$3:$U$3,0)))</f>
        <v>0.3</v>
      </c>
      <c r="CW14" s="9">
        <f ca="1">IF(OFFSET('RES Techs T15'!$AO14,0,MATCH(VLOOKUP('RES Veda input'!CW$3,'RES Assumptions T15'!$V$3:$W$35,2,FALSE),'RES Techs T15'!$G$3:$U$3,0))=0,"",OFFSET('RES Techs T15'!$AO14,0,MATCH(VLOOKUP('RES Veda input'!CW$3,'RES Assumptions T15'!$V$3:$W$35,2,FALSE),'RES Techs T15'!$G$3:$U$3,0)))</f>
        <v>0.3</v>
      </c>
      <c r="CY14" s="8" t="str">
        <f t="shared" si="63"/>
        <v>RSHBIO000</v>
      </c>
      <c r="CZ14" s="10">
        <f ca="1">ROUND('RES Assumptions'!E97*'RES Veda input'!G14/'RES Veda input'!AM14,3)</f>
        <v>0</v>
      </c>
      <c r="DA14" s="10">
        <f ca="1">ROUND('RES Assumptions'!F97*'RES Veda input'!H14/'RES Veda input'!AN14,3)</f>
        <v>0</v>
      </c>
      <c r="DB14" s="10">
        <f ca="1">ROUND('RES Assumptions'!G97*'RES Veda input'!I14/'RES Veda input'!AO14,3)</f>
        <v>26.207999999999998</v>
      </c>
      <c r="DC14" s="10">
        <f ca="1">ROUND('RES Assumptions'!H97*'RES Veda input'!J14/'RES Veda input'!AP14,3)</f>
        <v>20.149000000000001</v>
      </c>
      <c r="DD14" s="10">
        <f ca="1">ROUND('RES Assumptions'!I97*'RES Veda input'!K14/'RES Veda input'!AQ14,3)</f>
        <v>8.0630000000000006</v>
      </c>
      <c r="DE14" s="10">
        <f ca="1">ROUND('RES Assumptions'!J97*'RES Veda input'!L14/'RES Veda input'!AR14,3)</f>
        <v>0</v>
      </c>
      <c r="DF14" s="10">
        <f ca="1">ROUND('RES Assumptions'!K97*'RES Veda input'!M14/'RES Veda input'!AS14,3)</f>
        <v>66.888000000000005</v>
      </c>
      <c r="DG14" s="10">
        <f ca="1">ROUND('RES Assumptions'!L97*'RES Veda input'!N14/'RES Veda input'!AT14,3)</f>
        <v>92.465000000000003</v>
      </c>
      <c r="DH14" s="10">
        <f ca="1">ROUND('RES Assumptions'!M97*'RES Veda input'!O14/'RES Veda input'!AU14,3)</f>
        <v>113.971</v>
      </c>
      <c r="DI14" s="10">
        <f ca="1">ROUND('RES Assumptions'!N97*'RES Veda input'!P14/'RES Veda input'!AV14,3)</f>
        <v>773.83600000000001</v>
      </c>
      <c r="DJ14" s="10">
        <f ca="1">ROUND('RES Assumptions'!O97*'RES Veda input'!Q14/'RES Veda input'!AW14,3)</f>
        <v>152.744</v>
      </c>
      <c r="DK14" s="10">
        <f ca="1">ROUND('RES Assumptions'!P97*'RES Veda input'!R14/'RES Veda input'!AX14,3)</f>
        <v>576.95699999999999</v>
      </c>
      <c r="DL14" s="10">
        <f ca="1">ROUND('RES Assumptions'!Q97*'RES Veda input'!S14/'RES Veda input'!AY14,3)</f>
        <v>53.41</v>
      </c>
      <c r="DM14" s="10">
        <f ca="1">ROUND('RES Assumptions'!R97*'RES Veda input'!T14/'RES Veda input'!AZ14,3)</f>
        <v>371.73700000000002</v>
      </c>
      <c r="DN14" s="10">
        <f ca="1">ROUND('RES Assumptions'!S97*'RES Veda input'!U14/'RES Veda input'!BA14,3)</f>
        <v>341.16199999999998</v>
      </c>
      <c r="DO14" s="10">
        <f ca="1">ROUND('RES Assumptions'!T97*'RES Veda input'!V14/'RES Veda input'!BB14,3)</f>
        <v>138.98400000000001</v>
      </c>
      <c r="DP14" s="10">
        <f ca="1">ROUND('RES Assumptions'!U97*'RES Veda input'!W14/'RES Veda input'!BC14,3)</f>
        <v>397.09100000000001</v>
      </c>
      <c r="DQ14" s="10">
        <f ca="1">ROUND('RES Assumptions'!V97*'RES Veda input'!X14/'RES Veda input'!BD14,3)</f>
        <v>344.79300000000001</v>
      </c>
      <c r="DR14" s="10">
        <f ca="1">ROUND('RES Assumptions'!W97*'RES Veda input'!Y14/'RES Veda input'!BE14,3)</f>
        <v>328.48899999999998</v>
      </c>
      <c r="DS14" s="10">
        <f ca="1">ROUND('RES Assumptions'!X97*'RES Veda input'!Z14/'RES Veda input'!BF14,3)</f>
        <v>0</v>
      </c>
      <c r="DT14" s="10">
        <f ca="1">ROUND('RES Assumptions'!Y97*'RES Veda input'!AA14/'RES Veda input'!BG14,3)</f>
        <v>234.012</v>
      </c>
      <c r="DU14" s="10">
        <f ca="1">ROUND('RES Assumptions'!Z97*'RES Veda input'!AB14/'RES Veda input'!BH14,3)</f>
        <v>112.473</v>
      </c>
      <c r="DV14" s="10">
        <f ca="1">ROUND('RES Assumptions'!AA97*'RES Veda input'!AC14/'RES Veda input'!BI14,3)</f>
        <v>22.495000000000001</v>
      </c>
      <c r="DW14" s="10">
        <f ca="1">ROUND('RES Assumptions'!AB97*'RES Veda input'!AD14/'RES Veda input'!BJ14,3)</f>
        <v>24.942</v>
      </c>
      <c r="DX14" s="10">
        <f ca="1">ROUND('RES Assumptions'!AC97*'RES Veda input'!AE14/'RES Veda input'!BK14,3)</f>
        <v>55.372</v>
      </c>
      <c r="DY14" s="10">
        <f ca="1">ROUND('RES Assumptions'!AD97*'RES Veda input'!AF14/'RES Veda input'!BL14,3)</f>
        <v>0.40300000000000002</v>
      </c>
      <c r="DZ14" s="10">
        <f ca="1">ROUND('RES Assumptions'!AE97*'RES Veda input'!AG14/'RES Veda input'!BM14,3)</f>
        <v>0</v>
      </c>
      <c r="EA14" s="10">
        <f ca="1">ROUND('RES Assumptions'!AF97*'RES Veda input'!AH14/'RES Veda input'!BN14,3)</f>
        <v>35.423999999999999</v>
      </c>
      <c r="EB14" s="10">
        <f ca="1">ROUND('RES Assumptions'!AG97*'RES Veda input'!AI14/'RES Veda input'!BO14,3)</f>
        <v>454.61500000000001</v>
      </c>
      <c r="EC14" s="10">
        <f ca="1">ROUND('RES Assumptions'!AH97*'RES Veda input'!AJ14/'RES Veda input'!BP14,3)</f>
        <v>0</v>
      </c>
      <c r="ED14">
        <v>30</v>
      </c>
      <c r="EG14" t="s">
        <v>281</v>
      </c>
      <c r="EH14" t="str">
        <f t="shared" si="64"/>
        <v>RSHBIO000</v>
      </c>
      <c r="EJ14" t="s">
        <v>282</v>
      </c>
      <c r="EK14" t="s">
        <v>283</v>
      </c>
    </row>
    <row r="15" spans="1:144" x14ac:dyDescent="0.45">
      <c r="A15" s="37" t="str">
        <f>'RES Assumptions'!B98</f>
        <v>RH</v>
      </c>
      <c r="B15" s="37" t="s">
        <v>129</v>
      </c>
      <c r="D15" s="51" t="s">
        <v>291</v>
      </c>
      <c r="E15" s="8" t="str">
        <f>'RES Assumptions'!A98</f>
        <v>RESCOA</v>
      </c>
      <c r="F15" s="8" t="str">
        <f>VLOOKUP(A15,'RES Assumptions'!$AN$87:$AO$97,2,FALSE)</f>
        <v>RSH</v>
      </c>
      <c r="G15" s="9">
        <f ca="1">OFFSET('RES Techs T15'!$F15,0,MATCH(VLOOKUP('RES Veda input'!G$3,'RES Assumptions T15'!$V$3:$W$35,2,FALSE),'RES Techs T15'!$G$3:$U$3,0))</f>
        <v>0.6</v>
      </c>
      <c r="H15" s="9">
        <f ca="1">OFFSET('RES Techs T15'!$F15,0,MATCH(VLOOKUP('RES Veda input'!H$3,'RES Assumptions T15'!$V$3:$W$35,2,FALSE),'RES Techs T15'!$G$3:$U$3,0))</f>
        <v>0.6</v>
      </c>
      <c r="I15" s="9">
        <f ca="1">OFFSET('RES Techs T15'!$F15,0,MATCH(VLOOKUP('RES Veda input'!I$3,'RES Assumptions T15'!$V$3:$W$35,2,FALSE),'RES Techs T15'!$G$3:$U$3,0))</f>
        <v>0.6</v>
      </c>
      <c r="J15" s="9">
        <f ca="1">OFFSET('RES Techs T15'!$F15,0,MATCH(VLOOKUP('RES Veda input'!J$3,'RES Assumptions T15'!$V$3:$W$35,2,FALSE),'RES Techs T15'!$G$3:$U$3,0))</f>
        <v>0.6</v>
      </c>
      <c r="K15" s="9">
        <f ca="1">OFFSET('RES Techs T15'!$F15,0,MATCH(VLOOKUP('RES Veda input'!K$3,'RES Assumptions T15'!$V$3:$W$35,2,FALSE),'RES Techs T15'!$G$3:$U$3,0))</f>
        <v>0.6</v>
      </c>
      <c r="L15" s="9">
        <f ca="1">OFFSET('RES Techs T15'!$F15,0,MATCH(VLOOKUP('RES Veda input'!L$3,'RES Assumptions T15'!$V$3:$W$35,2,FALSE),'RES Techs T15'!$G$3:$U$3,0))</f>
        <v>0.6</v>
      </c>
      <c r="M15" s="9">
        <f ca="1">OFFSET('RES Techs T15'!$F15,0,MATCH(VLOOKUP('RES Veda input'!M$3,'RES Assumptions T15'!$V$3:$W$35,2,FALSE),'RES Techs T15'!$G$3:$U$3,0))</f>
        <v>0.6</v>
      </c>
      <c r="N15" s="9">
        <f ca="1">OFFSET('RES Techs T15'!$F15,0,MATCH(VLOOKUP('RES Veda input'!N$3,'RES Assumptions T15'!$V$3:$W$35,2,FALSE),'RES Techs T15'!$G$3:$U$3,0))</f>
        <v>0.6</v>
      </c>
      <c r="O15" s="9">
        <f ca="1">OFFSET('RES Techs T15'!$F15,0,MATCH(VLOOKUP('RES Veda input'!O$3,'RES Assumptions T15'!$V$3:$W$35,2,FALSE),'RES Techs T15'!$G$3:$U$3,0))</f>
        <v>0.6</v>
      </c>
      <c r="P15" s="9">
        <f ca="1">OFFSET('RES Techs T15'!$F15,0,MATCH(VLOOKUP('RES Veda input'!P$3,'RES Assumptions T15'!$V$3:$W$35,2,FALSE),'RES Techs T15'!$G$3:$U$3,0))</f>
        <v>0.6</v>
      </c>
      <c r="Q15" s="9">
        <f ca="1">OFFSET('RES Techs T15'!$F15,0,MATCH(VLOOKUP('RES Veda input'!Q$3,'RES Assumptions T15'!$V$3:$W$35,2,FALSE),'RES Techs T15'!$G$3:$U$3,0))</f>
        <v>0.6</v>
      </c>
      <c r="R15" s="9">
        <f ca="1">OFFSET('RES Techs T15'!$F15,0,MATCH(VLOOKUP('RES Veda input'!R$3,'RES Assumptions T15'!$V$3:$W$35,2,FALSE),'RES Techs T15'!$G$3:$U$3,0))</f>
        <v>0.6</v>
      </c>
      <c r="S15" s="9">
        <f ca="1">OFFSET('RES Techs T15'!$F15,0,MATCH(VLOOKUP('RES Veda input'!S$3,'RES Assumptions T15'!$V$3:$W$35,2,FALSE),'RES Techs T15'!$G$3:$U$3,0))</f>
        <v>0.6</v>
      </c>
      <c r="T15" s="9">
        <f ca="1">OFFSET('RES Techs T15'!$F15,0,MATCH(VLOOKUP('RES Veda input'!T$3,'RES Assumptions T15'!$V$3:$W$35,2,FALSE),'RES Techs T15'!$G$3:$U$3,0))</f>
        <v>0.6</v>
      </c>
      <c r="U15" s="9">
        <f ca="1">OFFSET('RES Techs T15'!$F15,0,MATCH(VLOOKUP('RES Veda input'!U$3,'RES Assumptions T15'!$V$3:$W$35,2,FALSE),'RES Techs T15'!$G$3:$U$3,0))</f>
        <v>0.6</v>
      </c>
      <c r="V15" s="9">
        <f ca="1">OFFSET('RES Techs T15'!$F15,0,MATCH(VLOOKUP('RES Veda input'!V$3,'RES Assumptions T15'!$V$3:$W$35,2,FALSE),'RES Techs T15'!$G$3:$U$3,0))</f>
        <v>0.6</v>
      </c>
      <c r="W15" s="9">
        <f ca="1">OFFSET('RES Techs T15'!$F15,0,MATCH(VLOOKUP('RES Veda input'!W$3,'RES Assumptions T15'!$V$3:$W$35,2,FALSE),'RES Techs T15'!$G$3:$U$3,0))</f>
        <v>0.6</v>
      </c>
      <c r="X15" s="9">
        <f ca="1">OFFSET('RES Techs T15'!$F15,0,MATCH(VLOOKUP('RES Veda input'!X$3,'RES Assumptions T15'!$V$3:$W$35,2,FALSE),'RES Techs T15'!$G$3:$U$3,0))</f>
        <v>0.6</v>
      </c>
      <c r="Y15" s="9">
        <f ca="1">OFFSET('RES Techs T15'!$F15,0,MATCH(VLOOKUP('RES Veda input'!Y$3,'RES Assumptions T15'!$V$3:$W$35,2,FALSE),'RES Techs T15'!$G$3:$U$3,0))</f>
        <v>0.6</v>
      </c>
      <c r="Z15" s="9">
        <f ca="1">OFFSET('RES Techs T15'!$F15,0,MATCH(VLOOKUP('RES Veda input'!Z$3,'RES Assumptions T15'!$V$3:$W$35,2,FALSE),'RES Techs T15'!$G$3:$U$3,0))</f>
        <v>0.6</v>
      </c>
      <c r="AA15" s="9">
        <f ca="1">OFFSET('RES Techs T15'!$F15,0,MATCH(VLOOKUP('RES Veda input'!AA$3,'RES Assumptions T15'!$V$3:$W$35,2,FALSE),'RES Techs T15'!$G$3:$U$3,0))</f>
        <v>0.6</v>
      </c>
      <c r="AB15" s="9">
        <f ca="1">OFFSET('RES Techs T15'!$F15,0,MATCH(VLOOKUP('RES Veda input'!AB$3,'RES Assumptions T15'!$V$3:$W$35,2,FALSE),'RES Techs T15'!$G$3:$U$3,0))</f>
        <v>0.6</v>
      </c>
      <c r="AC15" s="9">
        <f ca="1">OFFSET('RES Techs T15'!$F15,0,MATCH(VLOOKUP('RES Veda input'!AC$3,'RES Assumptions T15'!$V$3:$W$35,2,FALSE),'RES Techs T15'!$G$3:$U$3,0))</f>
        <v>0.6</v>
      </c>
      <c r="AD15" s="9">
        <f ca="1">OFFSET('RES Techs T15'!$F15,0,MATCH(VLOOKUP('RES Veda input'!AD$3,'RES Assumptions T15'!$V$3:$W$35,2,FALSE),'RES Techs T15'!$G$3:$U$3,0))</f>
        <v>0.6</v>
      </c>
      <c r="AE15" s="9">
        <f ca="1">OFFSET('RES Techs T15'!$F15,0,MATCH(VLOOKUP('RES Veda input'!AE$3,'RES Assumptions T15'!$V$3:$W$35,2,FALSE),'RES Techs T15'!$G$3:$U$3,0))</f>
        <v>0.6</v>
      </c>
      <c r="AF15" s="9">
        <f ca="1">OFFSET('RES Techs T15'!$F15,0,MATCH(VLOOKUP('RES Veda input'!AF$3,'RES Assumptions T15'!$V$3:$W$35,2,FALSE),'RES Techs T15'!$G$3:$U$3,0))</f>
        <v>0.6</v>
      </c>
      <c r="AG15" s="9">
        <f ca="1">OFFSET('RES Techs T15'!$F15,0,MATCH(VLOOKUP('RES Veda input'!AG$3,'RES Assumptions T15'!$V$3:$W$35,2,FALSE),'RES Techs T15'!$G$3:$U$3,0))</f>
        <v>0.6</v>
      </c>
      <c r="AH15" s="9">
        <f ca="1">OFFSET('RES Techs T15'!$F15,0,MATCH(VLOOKUP('RES Veda input'!AH$3,'RES Assumptions T15'!$V$3:$W$35,2,FALSE),'RES Techs T15'!$G$3:$U$3,0))</f>
        <v>0.6</v>
      </c>
      <c r="AI15" s="9">
        <f ca="1">OFFSET('RES Techs T15'!$F15,0,MATCH(VLOOKUP('RES Veda input'!AI$3,'RES Assumptions T15'!$V$3:$W$35,2,FALSE),'RES Techs T15'!$G$3:$U$3,0))</f>
        <v>0.6</v>
      </c>
      <c r="AJ15" s="9">
        <f ca="1">OFFSET('RES Techs T15'!$F15,0,MATCH(VLOOKUP('RES Veda input'!AJ$3,'RES Assumptions T15'!$V$3:$W$35,2,FALSE),'RES Techs T15'!$G$3:$U$3,0))</f>
        <v>0.6</v>
      </c>
      <c r="AL15" s="8" t="str">
        <f t="shared" si="60"/>
        <v>RSHCOA000</v>
      </c>
      <c r="AM15" s="9">
        <f ca="1">OFFSET('RES Techs T15'!$W15,0,MATCH(VLOOKUP('RES Veda input'!AM$3,'RES Assumptions T15'!$V$3:$W$35,2,FALSE),'RES Techs T15'!$G$3:$U$3,0))</f>
        <v>0.18</v>
      </c>
      <c r="AN15" s="9">
        <f ca="1">OFFSET('RES Techs T15'!$W15,0,MATCH(VLOOKUP('RES Veda input'!AN$3,'RES Assumptions T15'!$V$3:$W$35,2,FALSE),'RES Techs T15'!$G$3:$U$3,0))</f>
        <v>0.18</v>
      </c>
      <c r="AO15" s="9">
        <f ca="1">OFFSET('RES Techs T15'!$W15,0,MATCH(VLOOKUP('RES Veda input'!AO$3,'RES Assumptions T15'!$V$3:$W$35,2,FALSE),'RES Techs T15'!$G$3:$U$3,0))</f>
        <v>0.18</v>
      </c>
      <c r="AP15" s="9">
        <f ca="1">OFFSET('RES Techs T15'!$W15,0,MATCH(VLOOKUP('RES Veda input'!AP$3,'RES Assumptions T15'!$V$3:$W$35,2,FALSE),'RES Techs T15'!$G$3:$U$3,0))</f>
        <v>0.18</v>
      </c>
      <c r="AQ15" s="9">
        <f ca="1">OFFSET('RES Techs T15'!$W15,0,MATCH(VLOOKUP('RES Veda input'!AQ$3,'RES Assumptions T15'!$V$3:$W$35,2,FALSE),'RES Techs T15'!$G$3:$U$3,0))</f>
        <v>0.18</v>
      </c>
      <c r="AR15" s="9">
        <f ca="1">OFFSET('RES Techs T15'!$W15,0,MATCH(VLOOKUP('RES Veda input'!AR$3,'RES Assumptions T15'!$V$3:$W$35,2,FALSE),'RES Techs T15'!$G$3:$U$3,0))</f>
        <v>0.11</v>
      </c>
      <c r="AS15" s="9">
        <f ca="1">OFFSET('RES Techs T15'!$W15,0,MATCH(VLOOKUP('RES Veda input'!AS$3,'RES Assumptions T15'!$V$3:$W$35,2,FALSE),'RES Techs T15'!$G$3:$U$3,0))</f>
        <v>0.21</v>
      </c>
      <c r="AT15" s="9">
        <f ca="1">OFFSET('RES Techs T15'!$W15,0,MATCH(VLOOKUP('RES Veda input'!AT$3,'RES Assumptions T15'!$V$3:$W$35,2,FALSE),'RES Techs T15'!$G$3:$U$3,0))</f>
        <v>0.18</v>
      </c>
      <c r="AU15" s="9">
        <f ca="1">OFFSET('RES Techs T15'!$W15,0,MATCH(VLOOKUP('RES Veda input'!AU$3,'RES Assumptions T15'!$V$3:$W$35,2,FALSE),'RES Techs T15'!$G$3:$U$3,0))</f>
        <v>0.24</v>
      </c>
      <c r="AV15" s="9">
        <f ca="1">OFFSET('RES Techs T15'!$W15,0,MATCH(VLOOKUP('RES Veda input'!AV$3,'RES Assumptions T15'!$V$3:$W$35,2,FALSE),'RES Techs T15'!$G$3:$U$3,0))</f>
        <v>0.18</v>
      </c>
      <c r="AW15" s="9">
        <f ca="1">OFFSET('RES Techs T15'!$W15,0,MATCH(VLOOKUP('RES Veda input'!AW$3,'RES Assumptions T15'!$V$3:$W$35,2,FALSE),'RES Techs T15'!$G$3:$U$3,0))</f>
        <v>0.18</v>
      </c>
      <c r="AX15" s="9">
        <f ca="1">OFFSET('RES Techs T15'!$W15,0,MATCH(VLOOKUP('RES Veda input'!AX$3,'RES Assumptions T15'!$V$3:$W$35,2,FALSE),'RES Techs T15'!$G$3:$U$3,0))</f>
        <v>0.18</v>
      </c>
      <c r="AY15" s="9">
        <f ca="1">OFFSET('RES Techs T15'!$W15,0,MATCH(VLOOKUP('RES Veda input'!AY$3,'RES Assumptions T15'!$V$3:$W$35,2,FALSE),'RES Techs T15'!$G$3:$U$3,0))</f>
        <v>0.18</v>
      </c>
      <c r="AZ15" s="9">
        <f ca="1">OFFSET('RES Techs T15'!$W15,0,MATCH(VLOOKUP('RES Veda input'!AZ$3,'RES Assumptions T15'!$V$3:$W$35,2,FALSE),'RES Techs T15'!$G$3:$U$3,0))</f>
        <v>0.18</v>
      </c>
      <c r="BA15" s="9">
        <f ca="1">OFFSET('RES Techs T15'!$W15,0,MATCH(VLOOKUP('RES Veda input'!BA$3,'RES Assumptions T15'!$V$3:$W$35,2,FALSE),'RES Techs T15'!$G$3:$U$3,0))</f>
        <v>0.18</v>
      </c>
      <c r="BB15" s="9">
        <f ca="1">OFFSET('RES Techs T15'!$W15,0,MATCH(VLOOKUP('RES Veda input'!BB$3,'RES Assumptions T15'!$V$3:$W$35,2,FALSE),'RES Techs T15'!$G$3:$U$3,0))</f>
        <v>0.18</v>
      </c>
      <c r="BC15" s="9">
        <f ca="1">OFFSET('RES Techs T15'!$W15,0,MATCH(VLOOKUP('RES Veda input'!BC$3,'RES Assumptions T15'!$V$3:$W$35,2,FALSE),'RES Techs T15'!$G$3:$U$3,0))</f>
        <v>0.18</v>
      </c>
      <c r="BD15" s="9">
        <f ca="1">OFFSET('RES Techs T15'!$W15,0,MATCH(VLOOKUP('RES Veda input'!BD$3,'RES Assumptions T15'!$V$3:$W$35,2,FALSE),'RES Techs T15'!$G$3:$U$3,0))</f>
        <v>0.18</v>
      </c>
      <c r="BE15" s="9">
        <f ca="1">OFFSET('RES Techs T15'!$W15,0,MATCH(VLOOKUP('RES Veda input'!BE$3,'RES Assumptions T15'!$V$3:$W$35,2,FALSE),'RES Techs T15'!$G$3:$U$3,0))</f>
        <v>0.18</v>
      </c>
      <c r="BF15" s="9">
        <f ca="1">OFFSET('RES Techs T15'!$W15,0,MATCH(VLOOKUP('RES Veda input'!BF$3,'RES Assumptions T15'!$V$3:$W$35,2,FALSE),'RES Techs T15'!$G$3:$U$3,0))</f>
        <v>0.18</v>
      </c>
      <c r="BG15" s="9">
        <f ca="1">OFFSET('RES Techs T15'!$W15,0,MATCH(VLOOKUP('RES Veda input'!BG$3,'RES Assumptions T15'!$V$3:$W$35,2,FALSE),'RES Techs T15'!$G$3:$U$3,0))</f>
        <v>0.18</v>
      </c>
      <c r="BH15" s="9">
        <f ca="1">OFFSET('RES Techs T15'!$W15,0,MATCH(VLOOKUP('RES Veda input'!BH$3,'RES Assumptions T15'!$V$3:$W$35,2,FALSE),'RES Techs T15'!$G$3:$U$3,0))</f>
        <v>0.18</v>
      </c>
      <c r="BI15" s="9">
        <f ca="1">OFFSET('RES Techs T15'!$W15,0,MATCH(VLOOKUP('RES Veda input'!BI$3,'RES Assumptions T15'!$V$3:$W$35,2,FALSE),'RES Techs T15'!$G$3:$U$3,0))</f>
        <v>0.18</v>
      </c>
      <c r="BJ15" s="9">
        <f ca="1">OFFSET('RES Techs T15'!$W15,0,MATCH(VLOOKUP('RES Veda input'!BJ$3,'RES Assumptions T15'!$V$3:$W$35,2,FALSE),'RES Techs T15'!$G$3:$U$3,0))</f>
        <v>0.18</v>
      </c>
      <c r="BK15" s="9">
        <f ca="1">OFFSET('RES Techs T15'!$W15,0,MATCH(VLOOKUP('RES Veda input'!BK$3,'RES Assumptions T15'!$V$3:$W$35,2,FALSE),'RES Techs T15'!$G$3:$U$3,0))</f>
        <v>0.18</v>
      </c>
      <c r="BL15" s="9">
        <f ca="1">OFFSET('RES Techs T15'!$W15,0,MATCH(VLOOKUP('RES Veda input'!BL$3,'RES Assumptions T15'!$V$3:$W$35,2,FALSE),'RES Techs T15'!$G$3:$U$3,0))</f>
        <v>0.18</v>
      </c>
      <c r="BM15" s="9">
        <f ca="1">OFFSET('RES Techs T15'!$W15,0,MATCH(VLOOKUP('RES Veda input'!BM$3,'RES Assumptions T15'!$V$3:$W$35,2,FALSE),'RES Techs T15'!$G$3:$U$3,0))</f>
        <v>0.18</v>
      </c>
      <c r="BN15" s="9">
        <f ca="1">OFFSET('RES Techs T15'!$W15,0,MATCH(VLOOKUP('RES Veda input'!BN$3,'RES Assumptions T15'!$V$3:$W$35,2,FALSE),'RES Techs T15'!$G$3:$U$3,0))</f>
        <v>0.18</v>
      </c>
      <c r="BO15" s="9">
        <f ca="1">OFFSET('RES Techs T15'!$W15,0,MATCH(VLOOKUP('RES Veda input'!BO$3,'RES Assumptions T15'!$V$3:$W$35,2,FALSE),'RES Techs T15'!$G$3:$U$3,0))</f>
        <v>0.3</v>
      </c>
      <c r="BP15" s="9">
        <f ca="1">OFFSET('RES Techs T15'!$W15,0,MATCH(VLOOKUP('RES Veda input'!BP$3,'RES Assumptions T15'!$V$3:$W$35,2,FALSE),'RES Techs T15'!$G$3:$U$3,0))</f>
        <v>0.3</v>
      </c>
      <c r="BR15" s="8" t="str">
        <f t="shared" si="61"/>
        <v>RSHCOA000</v>
      </c>
      <c r="BS15" s="9">
        <f t="shared" ca="1" si="62"/>
        <v>4.8</v>
      </c>
      <c r="BT15" s="9" t="str">
        <f ca="1">IF(OFFSET('RES Techs T15'!$AO15,0,MATCH(VLOOKUP('RES Veda input'!BT$3,'RES Assumptions T15'!$V$3:$W$35,2,FALSE),'RES Techs T15'!$G$3:$U$3,0))=0,"",OFFSET('RES Techs T15'!$AO15,0,MATCH(VLOOKUP('RES Veda input'!BT$3,'RES Assumptions T15'!$V$3:$W$35,2,FALSE),'RES Techs T15'!$G$3:$U$3,0)))</f>
        <v/>
      </c>
      <c r="BU15" s="9" t="str">
        <f ca="1">IF(OFFSET('RES Techs T15'!$AO15,0,MATCH(VLOOKUP('RES Veda input'!BU$3,'RES Assumptions T15'!$V$3:$W$35,2,FALSE),'RES Techs T15'!$G$3:$U$3,0))=0,"",OFFSET('RES Techs T15'!$AO15,0,MATCH(VLOOKUP('RES Veda input'!BU$3,'RES Assumptions T15'!$V$3:$W$35,2,FALSE),'RES Techs T15'!$G$3:$U$3,0)))</f>
        <v/>
      </c>
      <c r="BV15" s="9">
        <f ca="1">IF(OFFSET('RES Techs T15'!$AO15,0,MATCH(VLOOKUP('RES Veda input'!BV$3,'RES Assumptions T15'!$V$3:$W$35,2,FALSE),'RES Techs T15'!$G$3:$U$3,0))=0,"",OFFSET('RES Techs T15'!$AO15,0,MATCH(VLOOKUP('RES Veda input'!BV$3,'RES Assumptions T15'!$V$3:$W$35,2,FALSE),'RES Techs T15'!$G$3:$U$3,0)))</f>
        <v>5.6</v>
      </c>
      <c r="BW15" s="9" t="str">
        <f ca="1">IF(OFFSET('RES Techs T15'!$AO15,0,MATCH(VLOOKUP('RES Veda input'!BW$3,'RES Assumptions T15'!$V$3:$W$35,2,FALSE),'RES Techs T15'!$G$3:$U$3,0))=0,"",OFFSET('RES Techs T15'!$AO15,0,MATCH(VLOOKUP('RES Veda input'!BW$3,'RES Assumptions T15'!$V$3:$W$35,2,FALSE),'RES Techs T15'!$G$3:$U$3,0)))</f>
        <v/>
      </c>
      <c r="BX15" s="9">
        <f ca="1">IF(OFFSET('RES Techs T15'!$AO15,0,MATCH(VLOOKUP('RES Veda input'!BX$3,'RES Assumptions T15'!$V$3:$W$35,2,FALSE),'RES Techs T15'!$G$3:$U$3,0))=0,"",OFFSET('RES Techs T15'!$AO15,0,MATCH(VLOOKUP('RES Veda input'!BX$3,'RES Assumptions T15'!$V$3:$W$35,2,FALSE),'RES Techs T15'!$G$3:$U$3,0)))</f>
        <v>8</v>
      </c>
      <c r="BY15" s="9">
        <f ca="1">IF(OFFSET('RES Techs T15'!$AO15,0,MATCH(VLOOKUP('RES Veda input'!BY$3,'RES Assumptions T15'!$V$3:$W$35,2,FALSE),'RES Techs T15'!$G$3:$U$3,0))=0,"",OFFSET('RES Techs T15'!$AO15,0,MATCH(VLOOKUP('RES Veda input'!BY$3,'RES Assumptions T15'!$V$3:$W$35,2,FALSE),'RES Techs T15'!$G$3:$U$3,0)))</f>
        <v>4.8</v>
      </c>
      <c r="BZ15" s="9" t="str">
        <f ca="1">IF(OFFSET('RES Techs T15'!$AO15,0,MATCH(VLOOKUP('RES Veda input'!BZ$3,'RES Assumptions T15'!$V$3:$W$35,2,FALSE),'RES Techs T15'!$G$3:$U$3,0))=0,"",OFFSET('RES Techs T15'!$AO15,0,MATCH(VLOOKUP('RES Veda input'!BZ$3,'RES Assumptions T15'!$V$3:$W$35,2,FALSE),'RES Techs T15'!$G$3:$U$3,0)))</f>
        <v/>
      </c>
      <c r="CA15" s="9">
        <f ca="1">IF(OFFSET('RES Techs T15'!$AO15,0,MATCH(VLOOKUP('RES Veda input'!CA$3,'RES Assumptions T15'!$V$3:$W$35,2,FALSE),'RES Techs T15'!$G$3:$U$3,0))=0,"",OFFSET('RES Techs T15'!$AO15,0,MATCH(VLOOKUP('RES Veda input'!CA$3,'RES Assumptions T15'!$V$3:$W$35,2,FALSE),'RES Techs T15'!$G$3:$U$3,0)))</f>
        <v>5.6</v>
      </c>
      <c r="CB15" s="9" t="str">
        <f ca="1">IF(OFFSET('RES Techs T15'!$AO15,0,MATCH(VLOOKUP('RES Veda input'!CB$3,'RES Assumptions T15'!$V$3:$W$35,2,FALSE),'RES Techs T15'!$G$3:$U$3,0))=0,"",OFFSET('RES Techs T15'!$AO15,0,MATCH(VLOOKUP('RES Veda input'!CB$3,'RES Assumptions T15'!$V$3:$W$35,2,FALSE),'RES Techs T15'!$G$3:$U$3,0)))</f>
        <v/>
      </c>
      <c r="CC15" s="9" t="str">
        <f ca="1">IF(OFFSET('RES Techs T15'!$AO15,0,MATCH(VLOOKUP('RES Veda input'!CC$3,'RES Assumptions T15'!$V$3:$W$35,2,FALSE),'RES Techs T15'!$G$3:$U$3,0))=0,"",OFFSET('RES Techs T15'!$AO15,0,MATCH(VLOOKUP('RES Veda input'!CC$3,'RES Assumptions T15'!$V$3:$W$35,2,FALSE),'RES Techs T15'!$G$3:$U$3,0)))</f>
        <v/>
      </c>
      <c r="CD15" s="9" t="str">
        <f ca="1">IF(OFFSET('RES Techs T15'!$AO15,0,MATCH(VLOOKUP('RES Veda input'!CD$3,'RES Assumptions T15'!$V$3:$W$35,2,FALSE),'RES Techs T15'!$G$3:$U$3,0))=0,"",OFFSET('RES Techs T15'!$AO15,0,MATCH(VLOOKUP('RES Veda input'!CD$3,'RES Assumptions T15'!$V$3:$W$35,2,FALSE),'RES Techs T15'!$G$3:$U$3,0)))</f>
        <v/>
      </c>
      <c r="CE15" s="9" t="str">
        <f ca="1">IF(OFFSET('RES Techs T15'!$AO15,0,MATCH(VLOOKUP('RES Veda input'!CE$3,'RES Assumptions T15'!$V$3:$W$35,2,FALSE),'RES Techs T15'!$G$3:$U$3,0))=0,"",OFFSET('RES Techs T15'!$AO15,0,MATCH(VLOOKUP('RES Veda input'!CE$3,'RES Assumptions T15'!$V$3:$W$35,2,FALSE),'RES Techs T15'!$G$3:$U$3,0)))</f>
        <v/>
      </c>
      <c r="CF15" s="9" t="str">
        <f ca="1">IF(OFFSET('RES Techs T15'!$AO15,0,MATCH(VLOOKUP('RES Veda input'!CF$3,'RES Assumptions T15'!$V$3:$W$35,2,FALSE),'RES Techs T15'!$G$3:$U$3,0))=0,"",OFFSET('RES Techs T15'!$AO15,0,MATCH(VLOOKUP('RES Veda input'!CF$3,'RES Assumptions T15'!$V$3:$W$35,2,FALSE),'RES Techs T15'!$G$3:$U$3,0)))</f>
        <v/>
      </c>
      <c r="CG15" s="9" t="str">
        <f ca="1">IF(OFFSET('RES Techs T15'!$AO15,0,MATCH(VLOOKUP('RES Veda input'!CG$3,'RES Assumptions T15'!$V$3:$W$35,2,FALSE),'RES Techs T15'!$G$3:$U$3,0))=0,"",OFFSET('RES Techs T15'!$AO15,0,MATCH(VLOOKUP('RES Veda input'!CG$3,'RES Assumptions T15'!$V$3:$W$35,2,FALSE),'RES Techs T15'!$G$3:$U$3,0)))</f>
        <v/>
      </c>
      <c r="CH15" s="9" t="str">
        <f ca="1">IF(OFFSET('RES Techs T15'!$AO15,0,MATCH(VLOOKUP('RES Veda input'!CH$3,'RES Assumptions T15'!$V$3:$W$35,2,FALSE),'RES Techs T15'!$G$3:$U$3,0))=0,"",OFFSET('RES Techs T15'!$AO15,0,MATCH(VLOOKUP('RES Veda input'!CH$3,'RES Assumptions T15'!$V$3:$W$35,2,FALSE),'RES Techs T15'!$G$3:$U$3,0)))</f>
        <v/>
      </c>
      <c r="CI15" s="9" t="str">
        <f ca="1">IF(OFFSET('RES Techs T15'!$AO15,0,MATCH(VLOOKUP('RES Veda input'!CI$3,'RES Assumptions T15'!$V$3:$W$35,2,FALSE),'RES Techs T15'!$G$3:$U$3,0))=0,"",OFFSET('RES Techs T15'!$AO15,0,MATCH(VLOOKUP('RES Veda input'!CI$3,'RES Assumptions T15'!$V$3:$W$35,2,FALSE),'RES Techs T15'!$G$3:$U$3,0)))</f>
        <v/>
      </c>
      <c r="CJ15" s="9">
        <f ca="1">IF(OFFSET('RES Techs T15'!$AO15,0,MATCH(VLOOKUP('RES Veda input'!CJ$3,'RES Assumptions T15'!$V$3:$W$35,2,FALSE),'RES Techs T15'!$G$3:$U$3,0))=0,"",OFFSET('RES Techs T15'!$AO15,0,MATCH(VLOOKUP('RES Veda input'!CJ$3,'RES Assumptions T15'!$V$3:$W$35,2,FALSE),'RES Techs T15'!$G$3:$U$3,0)))</f>
        <v>5.6</v>
      </c>
      <c r="CK15" s="9" t="str">
        <f ca="1">IF(OFFSET('RES Techs T15'!$AO15,0,MATCH(VLOOKUP('RES Veda input'!CK$3,'RES Assumptions T15'!$V$3:$W$35,2,FALSE),'RES Techs T15'!$G$3:$U$3,0))=0,"",OFFSET('RES Techs T15'!$AO15,0,MATCH(VLOOKUP('RES Veda input'!CK$3,'RES Assumptions T15'!$V$3:$W$35,2,FALSE),'RES Techs T15'!$G$3:$U$3,0)))</f>
        <v/>
      </c>
      <c r="CL15" s="9" t="str">
        <f ca="1">IF(OFFSET('RES Techs T15'!$AO15,0,MATCH(VLOOKUP('RES Veda input'!CL$3,'RES Assumptions T15'!$V$3:$W$35,2,FALSE),'RES Techs T15'!$G$3:$U$3,0))=0,"",OFFSET('RES Techs T15'!$AO15,0,MATCH(VLOOKUP('RES Veda input'!CL$3,'RES Assumptions T15'!$V$3:$W$35,2,FALSE),'RES Techs T15'!$G$3:$U$3,0)))</f>
        <v/>
      </c>
      <c r="CM15" s="9">
        <f ca="1">IF(OFFSET('RES Techs T15'!$AO15,0,MATCH(VLOOKUP('RES Veda input'!CM$3,'RES Assumptions T15'!$V$3:$W$35,2,FALSE),'RES Techs T15'!$G$3:$U$3,0))=0,"",OFFSET('RES Techs T15'!$AO15,0,MATCH(VLOOKUP('RES Veda input'!CM$3,'RES Assumptions T15'!$V$3:$W$35,2,FALSE),'RES Techs T15'!$G$3:$U$3,0)))</f>
        <v>4.8</v>
      </c>
      <c r="CN15" s="9">
        <f ca="1">IF(OFFSET('RES Techs T15'!$AO15,0,MATCH(VLOOKUP('RES Veda input'!CN$3,'RES Assumptions T15'!$V$3:$W$35,2,FALSE),'RES Techs T15'!$G$3:$U$3,0))=0,"",OFFSET('RES Techs T15'!$AO15,0,MATCH(VLOOKUP('RES Veda input'!CN$3,'RES Assumptions T15'!$V$3:$W$35,2,FALSE),'RES Techs T15'!$G$3:$U$3,0)))</f>
        <v>5.6</v>
      </c>
      <c r="CO15" s="9">
        <f ca="1">IF(OFFSET('RES Techs T15'!$AO15,0,MATCH(VLOOKUP('RES Veda input'!CO$3,'RES Assumptions T15'!$V$3:$W$35,2,FALSE),'RES Techs T15'!$G$3:$U$3,0))=0,"",OFFSET('RES Techs T15'!$AO15,0,MATCH(VLOOKUP('RES Veda input'!CO$3,'RES Assumptions T15'!$V$3:$W$35,2,FALSE),'RES Techs T15'!$G$3:$U$3,0)))</f>
        <v>6.4</v>
      </c>
      <c r="CP15" s="9">
        <f ca="1">IF(OFFSET('RES Techs T15'!$AO15,0,MATCH(VLOOKUP('RES Veda input'!CP$3,'RES Assumptions T15'!$V$3:$W$35,2,FALSE),'RES Techs T15'!$G$3:$U$3,0))=0,"",OFFSET('RES Techs T15'!$AO15,0,MATCH(VLOOKUP('RES Veda input'!CP$3,'RES Assumptions T15'!$V$3:$W$35,2,FALSE),'RES Techs T15'!$G$3:$U$3,0)))</f>
        <v>5.6</v>
      </c>
      <c r="CQ15" s="9" t="str">
        <f ca="1">IF(OFFSET('RES Techs T15'!$AO15,0,MATCH(VLOOKUP('RES Veda input'!CQ$3,'RES Assumptions T15'!$V$3:$W$35,2,FALSE),'RES Techs T15'!$G$3:$U$3,0))=0,"",OFFSET('RES Techs T15'!$AO15,0,MATCH(VLOOKUP('RES Veda input'!CQ$3,'RES Assumptions T15'!$V$3:$W$35,2,FALSE),'RES Techs T15'!$G$3:$U$3,0)))</f>
        <v/>
      </c>
      <c r="CR15" s="9" t="str">
        <f ca="1">IF(OFFSET('RES Techs T15'!$AO15,0,MATCH(VLOOKUP('RES Veda input'!CR$3,'RES Assumptions T15'!$V$3:$W$35,2,FALSE),'RES Techs T15'!$G$3:$U$3,0))=0,"",OFFSET('RES Techs T15'!$AO15,0,MATCH(VLOOKUP('RES Veda input'!CR$3,'RES Assumptions T15'!$V$3:$W$35,2,FALSE),'RES Techs T15'!$G$3:$U$3,0)))</f>
        <v/>
      </c>
      <c r="CS15" s="9">
        <f ca="1">IF(OFFSET('RES Techs T15'!$AO15,0,MATCH(VLOOKUP('RES Veda input'!CS$3,'RES Assumptions T15'!$V$3:$W$35,2,FALSE),'RES Techs T15'!$G$3:$U$3,0))=0,"",OFFSET('RES Techs T15'!$AO15,0,MATCH(VLOOKUP('RES Veda input'!CS$3,'RES Assumptions T15'!$V$3:$W$35,2,FALSE),'RES Techs T15'!$G$3:$U$3,0)))</f>
        <v>5.6</v>
      </c>
      <c r="CT15" s="9" t="str">
        <f ca="1">IF(OFFSET('RES Techs T15'!$AO15,0,MATCH(VLOOKUP('RES Veda input'!CT$3,'RES Assumptions T15'!$V$3:$W$35,2,FALSE),'RES Techs T15'!$G$3:$U$3,0))=0,"",OFFSET('RES Techs T15'!$AO15,0,MATCH(VLOOKUP('RES Veda input'!CT$3,'RES Assumptions T15'!$V$3:$W$35,2,FALSE),'RES Techs T15'!$G$3:$U$3,0)))</f>
        <v/>
      </c>
      <c r="CU15" s="9" t="str">
        <f ca="1">IF(OFFSET('RES Techs T15'!$AO15,0,MATCH(VLOOKUP('RES Veda input'!CU$3,'RES Assumptions T15'!$V$3:$W$35,2,FALSE),'RES Techs T15'!$G$3:$U$3,0))=0,"",OFFSET('RES Techs T15'!$AO15,0,MATCH(VLOOKUP('RES Veda input'!CU$3,'RES Assumptions T15'!$V$3:$W$35,2,FALSE),'RES Techs T15'!$G$3:$U$3,0)))</f>
        <v/>
      </c>
      <c r="CV15" s="9">
        <f ca="1">IF(OFFSET('RES Techs T15'!$AO15,0,MATCH(VLOOKUP('RES Veda input'!CV$3,'RES Assumptions T15'!$V$3:$W$35,2,FALSE),'RES Techs T15'!$G$3:$U$3,0))=0,"",OFFSET('RES Techs T15'!$AO15,0,MATCH(VLOOKUP('RES Veda input'!CV$3,'RES Assumptions T15'!$V$3:$W$35,2,FALSE),'RES Techs T15'!$G$3:$U$3,0)))</f>
        <v>0.4</v>
      </c>
      <c r="CW15" s="9">
        <f ca="1">IF(OFFSET('RES Techs T15'!$AO15,0,MATCH(VLOOKUP('RES Veda input'!CW$3,'RES Assumptions T15'!$V$3:$W$35,2,FALSE),'RES Techs T15'!$G$3:$U$3,0))=0,"",OFFSET('RES Techs T15'!$AO15,0,MATCH(VLOOKUP('RES Veda input'!CW$3,'RES Assumptions T15'!$V$3:$W$35,2,FALSE),'RES Techs T15'!$G$3:$U$3,0)))</f>
        <v>0.4</v>
      </c>
      <c r="CY15" s="8" t="str">
        <f t="shared" si="63"/>
        <v>RSHCOA000</v>
      </c>
      <c r="CZ15" s="10">
        <f ca="1">ROUND('RES Assumptions'!E98*'RES Veda input'!G15/'RES Veda input'!AM15,3)</f>
        <v>0</v>
      </c>
      <c r="DA15" s="10">
        <f ca="1">ROUND('RES Assumptions'!F98*'RES Veda input'!H15/'RES Veda input'!AN15,3)</f>
        <v>0.20200000000000001</v>
      </c>
      <c r="DB15" s="10">
        <f ca="1">ROUND('RES Assumptions'!G98*'RES Veda input'!I15/'RES Veda input'!AO15,3)</f>
        <v>0</v>
      </c>
      <c r="DC15" s="10">
        <f ca="1">ROUND('RES Assumptions'!H98*'RES Veda input'!J15/'RES Veda input'!AP15,3)</f>
        <v>537.35599999999999</v>
      </c>
      <c r="DD15" s="10">
        <f ca="1">ROUND('RES Assumptions'!I98*'RES Veda input'!K15/'RES Veda input'!AQ15,3)</f>
        <v>31.129000000000001</v>
      </c>
      <c r="DE15" s="10">
        <f ca="1">ROUND('RES Assumptions'!J98*'RES Veda input'!L15/'RES Veda input'!AR15,3)</f>
        <v>0</v>
      </c>
      <c r="DF15" s="10">
        <f ca="1">ROUND('RES Assumptions'!K98*'RES Veda input'!M15/'RES Veda input'!AS15,3)</f>
        <v>0.73799999999999999</v>
      </c>
      <c r="DG15" s="10">
        <f ca="1">ROUND('RES Assumptions'!L98*'RES Veda input'!N15/'RES Veda input'!AT15,3)</f>
        <v>0</v>
      </c>
      <c r="DH15" s="10">
        <f ca="1">ROUND('RES Assumptions'!M98*'RES Veda input'!O15/'RES Veda input'!AU15,3)</f>
        <v>0</v>
      </c>
      <c r="DI15" s="10">
        <f ca="1">ROUND('RES Assumptions'!N98*'RES Veda input'!P15/'RES Veda input'!AV15,3)</f>
        <v>3293.4229999999998</v>
      </c>
      <c r="DJ15" s="10">
        <f ca="1">ROUND('RES Assumptions'!O98*'RES Veda input'!Q15/'RES Veda input'!AW15,3)</f>
        <v>0.497</v>
      </c>
      <c r="DK15" s="10">
        <f ca="1">ROUND('RES Assumptions'!P98*'RES Veda input'!R15/'RES Veda input'!AX15,3)</f>
        <v>724.36099999999999</v>
      </c>
      <c r="DL15" s="10">
        <f ca="1">ROUND('RES Assumptions'!Q98*'RES Veda input'!S15/'RES Veda input'!AY15,3)</f>
        <v>52.088000000000001</v>
      </c>
      <c r="DM15" s="10">
        <f ca="1">ROUND('RES Assumptions'!R98*'RES Veda input'!T15/'RES Veda input'!AZ15,3)</f>
        <v>0.45300000000000001</v>
      </c>
      <c r="DN15" s="10">
        <f ca="1">ROUND('RES Assumptions'!S98*'RES Veda input'!U15/'RES Veda input'!BA15,3)</f>
        <v>27.379000000000001</v>
      </c>
      <c r="DO15" s="10">
        <f ca="1">ROUND('RES Assumptions'!T98*'RES Veda input'!V15/'RES Veda input'!BB15,3)</f>
        <v>8.6259999999999994</v>
      </c>
      <c r="DP15" s="10">
        <f ca="1">ROUND('RES Assumptions'!U98*'RES Veda input'!W15/'RES Veda input'!BC15,3)</f>
        <v>230.11699999999999</v>
      </c>
      <c r="DQ15" s="10">
        <f ca="1">ROUND('RES Assumptions'!V98*'RES Veda input'!X15/'RES Veda input'!BD15,3)</f>
        <v>3.2480000000000002</v>
      </c>
      <c r="DR15" s="10">
        <f ca="1">ROUND('RES Assumptions'!W98*'RES Veda input'!Y15/'RES Veda input'!BE15,3)</f>
        <v>45.884</v>
      </c>
      <c r="DS15" s="10">
        <f ca="1">ROUND('RES Assumptions'!X98*'RES Veda input'!Z15/'RES Veda input'!BF15,3)</f>
        <v>0</v>
      </c>
      <c r="DT15" s="10">
        <f ca="1">ROUND('RES Assumptions'!Y98*'RES Veda input'!AA15/'RES Veda input'!BG15,3)</f>
        <v>3.7040000000000002</v>
      </c>
      <c r="DU15" s="10">
        <f ca="1">ROUND('RES Assumptions'!Z98*'RES Veda input'!AB15/'RES Veda input'!BH15,3)</f>
        <v>0</v>
      </c>
      <c r="DV15" s="10">
        <f ca="1">ROUND('RES Assumptions'!AA98*'RES Veda input'!AC15/'RES Veda input'!BI15,3)</f>
        <v>0.97699999999999998</v>
      </c>
      <c r="DW15" s="10">
        <f ca="1">ROUND('RES Assumptions'!AB98*'RES Veda input'!AD15/'RES Veda input'!BJ15,3)</f>
        <v>0</v>
      </c>
      <c r="DX15" s="10">
        <f ca="1">ROUND('RES Assumptions'!AC98*'RES Veda input'!AE15/'RES Veda input'!BK15,3)</f>
        <v>192.39500000000001</v>
      </c>
      <c r="DY15" s="10">
        <f ca="1">ROUND('RES Assumptions'!AD98*'RES Veda input'!AF15/'RES Veda input'!BL15,3)</f>
        <v>0</v>
      </c>
      <c r="DZ15" s="10">
        <f ca="1">ROUND('RES Assumptions'!AE98*'RES Veda input'!AG15/'RES Veda input'!BM15,3)</f>
        <v>143.92400000000001</v>
      </c>
      <c r="EA15" s="10">
        <f ca="1">ROUND('RES Assumptions'!AF98*'RES Veda input'!AH15/'RES Veda input'!BN15,3)</f>
        <v>60.62</v>
      </c>
      <c r="EB15" s="10">
        <f ca="1">ROUND('RES Assumptions'!AG98*'RES Veda input'!AI15/'RES Veda input'!BO15,3)</f>
        <v>0</v>
      </c>
      <c r="EC15" s="10">
        <f ca="1">ROUND('RES Assumptions'!AH98*'RES Veda input'!AJ15/'RES Veda input'!BP15,3)</f>
        <v>0</v>
      </c>
      <c r="ED15">
        <v>20</v>
      </c>
      <c r="EG15" t="s">
        <v>281</v>
      </c>
      <c r="EH15" t="str">
        <f t="shared" si="64"/>
        <v>RSHCOA000</v>
      </c>
      <c r="EJ15" t="s">
        <v>282</v>
      </c>
      <c r="EK15" t="s">
        <v>283</v>
      </c>
    </row>
    <row r="16" spans="1:144" x14ac:dyDescent="0.45">
      <c r="A16" s="37" t="str">
        <f>'RES Assumptions'!B99</f>
        <v>RH</v>
      </c>
      <c r="B16" s="37" t="s">
        <v>130</v>
      </c>
      <c r="D16" s="51" t="s">
        <v>292</v>
      </c>
      <c r="E16" s="8" t="str">
        <f>'RES Assumptions'!A99</f>
        <v>RESOIL</v>
      </c>
      <c r="F16" s="8" t="str">
        <f>VLOOKUP(A16,'RES Assumptions'!$AN$87:$AO$97,2,FALSE)</f>
        <v>RSH</v>
      </c>
      <c r="G16" s="9">
        <f ca="1">OFFSET('RES Techs T15'!$F16,0,MATCH(VLOOKUP('RES Veda input'!G$3,'RES Assumptions T15'!$V$3:$W$35,2,FALSE),'RES Techs T15'!$G$3:$U$3,0))</f>
        <v>0.75</v>
      </c>
      <c r="H16" s="9">
        <f ca="1">OFFSET('RES Techs T15'!$F16,0,MATCH(VLOOKUP('RES Veda input'!H$3,'RES Assumptions T15'!$V$3:$W$35,2,FALSE),'RES Techs T15'!$G$3:$U$3,0))</f>
        <v>0.75</v>
      </c>
      <c r="I16" s="9">
        <f ca="1">OFFSET('RES Techs T15'!$F16,0,MATCH(VLOOKUP('RES Veda input'!I$3,'RES Assumptions T15'!$V$3:$W$35,2,FALSE),'RES Techs T15'!$G$3:$U$3,0))</f>
        <v>0.75</v>
      </c>
      <c r="J16" s="9">
        <f ca="1">OFFSET('RES Techs T15'!$F16,0,MATCH(VLOOKUP('RES Veda input'!J$3,'RES Assumptions T15'!$V$3:$W$35,2,FALSE),'RES Techs T15'!$G$3:$U$3,0))</f>
        <v>0.75</v>
      </c>
      <c r="K16" s="9">
        <f ca="1">OFFSET('RES Techs T15'!$F16,0,MATCH(VLOOKUP('RES Veda input'!K$3,'RES Assumptions T15'!$V$3:$W$35,2,FALSE),'RES Techs T15'!$G$3:$U$3,0))</f>
        <v>0.75</v>
      </c>
      <c r="L16" s="9">
        <f ca="1">OFFSET('RES Techs T15'!$F16,0,MATCH(VLOOKUP('RES Veda input'!L$3,'RES Assumptions T15'!$V$3:$W$35,2,FALSE),'RES Techs T15'!$G$3:$U$3,0))</f>
        <v>0.75</v>
      </c>
      <c r="M16" s="9">
        <f ca="1">OFFSET('RES Techs T15'!$F16,0,MATCH(VLOOKUP('RES Veda input'!M$3,'RES Assumptions T15'!$V$3:$W$35,2,FALSE),'RES Techs T15'!$G$3:$U$3,0))</f>
        <v>0.75</v>
      </c>
      <c r="N16" s="9">
        <f ca="1">OFFSET('RES Techs T15'!$F16,0,MATCH(VLOOKUP('RES Veda input'!N$3,'RES Assumptions T15'!$V$3:$W$35,2,FALSE),'RES Techs T15'!$G$3:$U$3,0))</f>
        <v>0.75</v>
      </c>
      <c r="O16" s="9">
        <f ca="1">OFFSET('RES Techs T15'!$F16,0,MATCH(VLOOKUP('RES Veda input'!O$3,'RES Assumptions T15'!$V$3:$W$35,2,FALSE),'RES Techs T15'!$G$3:$U$3,0))</f>
        <v>0.75</v>
      </c>
      <c r="P16" s="9">
        <f ca="1">OFFSET('RES Techs T15'!$F16,0,MATCH(VLOOKUP('RES Veda input'!P$3,'RES Assumptions T15'!$V$3:$W$35,2,FALSE),'RES Techs T15'!$G$3:$U$3,0))</f>
        <v>0.75</v>
      </c>
      <c r="Q16" s="9">
        <f ca="1">OFFSET('RES Techs T15'!$F16,0,MATCH(VLOOKUP('RES Veda input'!Q$3,'RES Assumptions T15'!$V$3:$W$35,2,FALSE),'RES Techs T15'!$G$3:$U$3,0))</f>
        <v>0.75</v>
      </c>
      <c r="R16" s="9">
        <f ca="1">OFFSET('RES Techs T15'!$F16,0,MATCH(VLOOKUP('RES Veda input'!R$3,'RES Assumptions T15'!$V$3:$W$35,2,FALSE),'RES Techs T15'!$G$3:$U$3,0))</f>
        <v>0.75</v>
      </c>
      <c r="S16" s="9">
        <f ca="1">OFFSET('RES Techs T15'!$F16,0,MATCH(VLOOKUP('RES Veda input'!S$3,'RES Assumptions T15'!$V$3:$W$35,2,FALSE),'RES Techs T15'!$G$3:$U$3,0))</f>
        <v>0.75</v>
      </c>
      <c r="T16" s="9">
        <f ca="1">OFFSET('RES Techs T15'!$F16,0,MATCH(VLOOKUP('RES Veda input'!T$3,'RES Assumptions T15'!$V$3:$W$35,2,FALSE),'RES Techs T15'!$G$3:$U$3,0))</f>
        <v>0.75</v>
      </c>
      <c r="U16" s="9">
        <f ca="1">OFFSET('RES Techs T15'!$F16,0,MATCH(VLOOKUP('RES Veda input'!U$3,'RES Assumptions T15'!$V$3:$W$35,2,FALSE),'RES Techs T15'!$G$3:$U$3,0))</f>
        <v>0.75</v>
      </c>
      <c r="V16" s="9">
        <f ca="1">OFFSET('RES Techs T15'!$F16,0,MATCH(VLOOKUP('RES Veda input'!V$3,'RES Assumptions T15'!$V$3:$W$35,2,FALSE),'RES Techs T15'!$G$3:$U$3,0))</f>
        <v>0.75</v>
      </c>
      <c r="W16" s="9">
        <f ca="1">OFFSET('RES Techs T15'!$F16,0,MATCH(VLOOKUP('RES Veda input'!W$3,'RES Assumptions T15'!$V$3:$W$35,2,FALSE),'RES Techs T15'!$G$3:$U$3,0))</f>
        <v>0.75</v>
      </c>
      <c r="X16" s="9">
        <f ca="1">OFFSET('RES Techs T15'!$F16,0,MATCH(VLOOKUP('RES Veda input'!X$3,'RES Assumptions T15'!$V$3:$W$35,2,FALSE),'RES Techs T15'!$G$3:$U$3,0))</f>
        <v>0.75</v>
      </c>
      <c r="Y16" s="9">
        <f ca="1">OFFSET('RES Techs T15'!$F16,0,MATCH(VLOOKUP('RES Veda input'!Y$3,'RES Assumptions T15'!$V$3:$W$35,2,FALSE),'RES Techs T15'!$G$3:$U$3,0))</f>
        <v>0.75</v>
      </c>
      <c r="Z16" s="9">
        <f ca="1">OFFSET('RES Techs T15'!$F16,0,MATCH(VLOOKUP('RES Veda input'!Z$3,'RES Assumptions T15'!$V$3:$W$35,2,FALSE),'RES Techs T15'!$G$3:$U$3,0))</f>
        <v>0.75</v>
      </c>
      <c r="AA16" s="9">
        <f ca="1">OFFSET('RES Techs T15'!$F16,0,MATCH(VLOOKUP('RES Veda input'!AA$3,'RES Assumptions T15'!$V$3:$W$35,2,FALSE),'RES Techs T15'!$G$3:$U$3,0))</f>
        <v>0.75</v>
      </c>
      <c r="AB16" s="9">
        <f ca="1">OFFSET('RES Techs T15'!$F16,0,MATCH(VLOOKUP('RES Veda input'!AB$3,'RES Assumptions T15'!$V$3:$W$35,2,FALSE),'RES Techs T15'!$G$3:$U$3,0))</f>
        <v>0.75</v>
      </c>
      <c r="AC16" s="9">
        <f ca="1">OFFSET('RES Techs T15'!$F16,0,MATCH(VLOOKUP('RES Veda input'!AC$3,'RES Assumptions T15'!$V$3:$W$35,2,FALSE),'RES Techs T15'!$G$3:$U$3,0))</f>
        <v>0.75</v>
      </c>
      <c r="AD16" s="9">
        <f ca="1">OFFSET('RES Techs T15'!$F16,0,MATCH(VLOOKUP('RES Veda input'!AD$3,'RES Assumptions T15'!$V$3:$W$35,2,FALSE),'RES Techs T15'!$G$3:$U$3,0))</f>
        <v>0.75</v>
      </c>
      <c r="AE16" s="9">
        <f ca="1">OFFSET('RES Techs T15'!$F16,0,MATCH(VLOOKUP('RES Veda input'!AE$3,'RES Assumptions T15'!$V$3:$W$35,2,FALSE),'RES Techs T15'!$G$3:$U$3,0))</f>
        <v>0.75</v>
      </c>
      <c r="AF16" s="9">
        <f ca="1">OFFSET('RES Techs T15'!$F16,0,MATCH(VLOOKUP('RES Veda input'!AF$3,'RES Assumptions T15'!$V$3:$W$35,2,FALSE),'RES Techs T15'!$G$3:$U$3,0))</f>
        <v>0.75</v>
      </c>
      <c r="AG16" s="9">
        <f ca="1">OFFSET('RES Techs T15'!$F16,0,MATCH(VLOOKUP('RES Veda input'!AG$3,'RES Assumptions T15'!$V$3:$W$35,2,FALSE),'RES Techs T15'!$G$3:$U$3,0))</f>
        <v>0.75</v>
      </c>
      <c r="AH16" s="9">
        <f ca="1">OFFSET('RES Techs T15'!$F16,0,MATCH(VLOOKUP('RES Veda input'!AH$3,'RES Assumptions T15'!$V$3:$W$35,2,FALSE),'RES Techs T15'!$G$3:$U$3,0))</f>
        <v>0.75</v>
      </c>
      <c r="AI16" s="9">
        <f ca="1">OFFSET('RES Techs T15'!$F16,0,MATCH(VLOOKUP('RES Veda input'!AI$3,'RES Assumptions T15'!$V$3:$W$35,2,FALSE),'RES Techs T15'!$G$3:$U$3,0))</f>
        <v>0.75</v>
      </c>
      <c r="AJ16" s="9">
        <f ca="1">OFFSET('RES Techs T15'!$F16,0,MATCH(VLOOKUP('RES Veda input'!AJ$3,'RES Assumptions T15'!$V$3:$W$35,2,FALSE),'RES Techs T15'!$G$3:$U$3,0))</f>
        <v>0.75</v>
      </c>
      <c r="AL16" s="8" t="str">
        <f t="shared" si="60"/>
        <v>RSHDST000</v>
      </c>
      <c r="AM16" s="9">
        <f ca="1">OFFSET('RES Techs T15'!$W16,0,MATCH(VLOOKUP('RES Veda input'!AM$3,'RES Assumptions T15'!$V$3:$W$35,2,FALSE),'RES Techs T15'!$G$3:$U$3,0))</f>
        <v>0.18</v>
      </c>
      <c r="AN16" s="9">
        <f ca="1">OFFSET('RES Techs T15'!$W16,0,MATCH(VLOOKUP('RES Veda input'!AN$3,'RES Assumptions T15'!$V$3:$W$35,2,FALSE),'RES Techs T15'!$G$3:$U$3,0))</f>
        <v>0.18</v>
      </c>
      <c r="AO16" s="9">
        <f ca="1">OFFSET('RES Techs T15'!$W16,0,MATCH(VLOOKUP('RES Veda input'!AO$3,'RES Assumptions T15'!$V$3:$W$35,2,FALSE),'RES Techs T15'!$G$3:$U$3,0))</f>
        <v>0.18</v>
      </c>
      <c r="AP16" s="9">
        <f ca="1">OFFSET('RES Techs T15'!$W16,0,MATCH(VLOOKUP('RES Veda input'!AP$3,'RES Assumptions T15'!$V$3:$W$35,2,FALSE),'RES Techs T15'!$G$3:$U$3,0))</f>
        <v>0.18</v>
      </c>
      <c r="AQ16" s="9">
        <f ca="1">OFFSET('RES Techs T15'!$W16,0,MATCH(VLOOKUP('RES Veda input'!AQ$3,'RES Assumptions T15'!$V$3:$W$35,2,FALSE),'RES Techs T15'!$G$3:$U$3,0))</f>
        <v>0.18</v>
      </c>
      <c r="AR16" s="9">
        <f ca="1">OFFSET('RES Techs T15'!$W16,0,MATCH(VLOOKUP('RES Veda input'!AR$3,'RES Assumptions T15'!$V$3:$W$35,2,FALSE),'RES Techs T15'!$G$3:$U$3,0))</f>
        <v>0.11</v>
      </c>
      <c r="AS16" s="9">
        <f ca="1">OFFSET('RES Techs T15'!$W16,0,MATCH(VLOOKUP('RES Veda input'!AS$3,'RES Assumptions T15'!$V$3:$W$35,2,FALSE),'RES Techs T15'!$G$3:$U$3,0))</f>
        <v>0.21</v>
      </c>
      <c r="AT16" s="9">
        <f ca="1">OFFSET('RES Techs T15'!$W16,0,MATCH(VLOOKUP('RES Veda input'!AT$3,'RES Assumptions T15'!$V$3:$W$35,2,FALSE),'RES Techs T15'!$G$3:$U$3,0))</f>
        <v>0.18</v>
      </c>
      <c r="AU16" s="9">
        <f ca="1">OFFSET('RES Techs T15'!$W16,0,MATCH(VLOOKUP('RES Veda input'!AU$3,'RES Assumptions T15'!$V$3:$W$35,2,FALSE),'RES Techs T15'!$G$3:$U$3,0))</f>
        <v>0.24</v>
      </c>
      <c r="AV16" s="9">
        <f ca="1">OFFSET('RES Techs T15'!$W16,0,MATCH(VLOOKUP('RES Veda input'!AV$3,'RES Assumptions T15'!$V$3:$W$35,2,FALSE),'RES Techs T15'!$G$3:$U$3,0))</f>
        <v>0.18</v>
      </c>
      <c r="AW16" s="9">
        <f ca="1">OFFSET('RES Techs T15'!$W16,0,MATCH(VLOOKUP('RES Veda input'!AW$3,'RES Assumptions T15'!$V$3:$W$35,2,FALSE),'RES Techs T15'!$G$3:$U$3,0))</f>
        <v>0.18</v>
      </c>
      <c r="AX16" s="9">
        <f ca="1">OFFSET('RES Techs T15'!$W16,0,MATCH(VLOOKUP('RES Veda input'!AX$3,'RES Assumptions T15'!$V$3:$W$35,2,FALSE),'RES Techs T15'!$G$3:$U$3,0))</f>
        <v>0.18</v>
      </c>
      <c r="AY16" s="9">
        <f ca="1">OFFSET('RES Techs T15'!$W16,0,MATCH(VLOOKUP('RES Veda input'!AY$3,'RES Assumptions T15'!$V$3:$W$35,2,FALSE),'RES Techs T15'!$G$3:$U$3,0))</f>
        <v>0.18</v>
      </c>
      <c r="AZ16" s="9">
        <f ca="1">OFFSET('RES Techs T15'!$W16,0,MATCH(VLOOKUP('RES Veda input'!AZ$3,'RES Assumptions T15'!$V$3:$W$35,2,FALSE),'RES Techs T15'!$G$3:$U$3,0))</f>
        <v>0.18</v>
      </c>
      <c r="BA16" s="9">
        <f ca="1">OFFSET('RES Techs T15'!$W16,0,MATCH(VLOOKUP('RES Veda input'!BA$3,'RES Assumptions T15'!$V$3:$W$35,2,FALSE),'RES Techs T15'!$G$3:$U$3,0))</f>
        <v>0.18</v>
      </c>
      <c r="BB16" s="9">
        <f ca="1">OFFSET('RES Techs T15'!$W16,0,MATCH(VLOOKUP('RES Veda input'!BB$3,'RES Assumptions T15'!$V$3:$W$35,2,FALSE),'RES Techs T15'!$G$3:$U$3,0))</f>
        <v>0.18</v>
      </c>
      <c r="BC16" s="9">
        <f ca="1">OFFSET('RES Techs T15'!$W16,0,MATCH(VLOOKUP('RES Veda input'!BC$3,'RES Assumptions T15'!$V$3:$W$35,2,FALSE),'RES Techs T15'!$G$3:$U$3,0))</f>
        <v>0.18</v>
      </c>
      <c r="BD16" s="9">
        <f ca="1">OFFSET('RES Techs T15'!$W16,0,MATCH(VLOOKUP('RES Veda input'!BD$3,'RES Assumptions T15'!$V$3:$W$35,2,FALSE),'RES Techs T15'!$G$3:$U$3,0))</f>
        <v>0.18</v>
      </c>
      <c r="BE16" s="9">
        <f ca="1">OFFSET('RES Techs T15'!$W16,0,MATCH(VLOOKUP('RES Veda input'!BE$3,'RES Assumptions T15'!$V$3:$W$35,2,FALSE),'RES Techs T15'!$G$3:$U$3,0))</f>
        <v>0.18</v>
      </c>
      <c r="BF16" s="9">
        <f ca="1">OFFSET('RES Techs T15'!$W16,0,MATCH(VLOOKUP('RES Veda input'!BF$3,'RES Assumptions T15'!$V$3:$W$35,2,FALSE),'RES Techs T15'!$G$3:$U$3,0))</f>
        <v>0.18</v>
      </c>
      <c r="BG16" s="9">
        <f ca="1">OFFSET('RES Techs T15'!$W16,0,MATCH(VLOOKUP('RES Veda input'!BG$3,'RES Assumptions T15'!$V$3:$W$35,2,FALSE),'RES Techs T15'!$G$3:$U$3,0))</f>
        <v>0.18</v>
      </c>
      <c r="BH16" s="9">
        <f ca="1">OFFSET('RES Techs T15'!$W16,0,MATCH(VLOOKUP('RES Veda input'!BH$3,'RES Assumptions T15'!$V$3:$W$35,2,FALSE),'RES Techs T15'!$G$3:$U$3,0))</f>
        <v>0.18</v>
      </c>
      <c r="BI16" s="9">
        <f ca="1">OFFSET('RES Techs T15'!$W16,0,MATCH(VLOOKUP('RES Veda input'!BI$3,'RES Assumptions T15'!$V$3:$W$35,2,FALSE),'RES Techs T15'!$G$3:$U$3,0))</f>
        <v>0.18</v>
      </c>
      <c r="BJ16" s="9">
        <f ca="1">OFFSET('RES Techs T15'!$W16,0,MATCH(VLOOKUP('RES Veda input'!BJ$3,'RES Assumptions T15'!$V$3:$W$35,2,FALSE),'RES Techs T15'!$G$3:$U$3,0))</f>
        <v>0.18</v>
      </c>
      <c r="BK16" s="9">
        <f ca="1">OFFSET('RES Techs T15'!$W16,0,MATCH(VLOOKUP('RES Veda input'!BK$3,'RES Assumptions T15'!$V$3:$W$35,2,FALSE),'RES Techs T15'!$G$3:$U$3,0))</f>
        <v>0.18</v>
      </c>
      <c r="BL16" s="9">
        <f ca="1">OFFSET('RES Techs T15'!$W16,0,MATCH(VLOOKUP('RES Veda input'!BL$3,'RES Assumptions T15'!$V$3:$W$35,2,FALSE),'RES Techs T15'!$G$3:$U$3,0))</f>
        <v>0.18</v>
      </c>
      <c r="BM16" s="9">
        <f ca="1">OFFSET('RES Techs T15'!$W16,0,MATCH(VLOOKUP('RES Veda input'!BM$3,'RES Assumptions T15'!$V$3:$W$35,2,FALSE),'RES Techs T15'!$G$3:$U$3,0))</f>
        <v>0.18</v>
      </c>
      <c r="BN16" s="9">
        <f ca="1">OFFSET('RES Techs T15'!$W16,0,MATCH(VLOOKUP('RES Veda input'!BN$3,'RES Assumptions T15'!$V$3:$W$35,2,FALSE),'RES Techs T15'!$G$3:$U$3,0))</f>
        <v>0.18</v>
      </c>
      <c r="BO16" s="9">
        <f ca="1">OFFSET('RES Techs T15'!$W16,0,MATCH(VLOOKUP('RES Veda input'!BO$3,'RES Assumptions T15'!$V$3:$W$35,2,FALSE),'RES Techs T15'!$G$3:$U$3,0))</f>
        <v>0.3</v>
      </c>
      <c r="BP16" s="9">
        <f ca="1">OFFSET('RES Techs T15'!$W16,0,MATCH(VLOOKUP('RES Veda input'!BP$3,'RES Assumptions T15'!$V$3:$W$35,2,FALSE),'RES Techs T15'!$G$3:$U$3,0))</f>
        <v>0.3</v>
      </c>
      <c r="BR16" s="8" t="str">
        <f t="shared" si="61"/>
        <v>RSHDST000</v>
      </c>
      <c r="BS16" s="9">
        <f t="shared" ca="1" si="62"/>
        <v>1.2</v>
      </c>
      <c r="BT16" s="9" t="str">
        <f ca="1">IF(OFFSET('RES Techs T15'!$AO16,0,MATCH(VLOOKUP('RES Veda input'!BT$3,'RES Assumptions T15'!$V$3:$W$35,2,FALSE),'RES Techs T15'!$G$3:$U$3,0))=0,"",OFFSET('RES Techs T15'!$AO16,0,MATCH(VLOOKUP('RES Veda input'!BT$3,'RES Assumptions T15'!$V$3:$W$35,2,FALSE),'RES Techs T15'!$G$3:$U$3,0)))</f>
        <v/>
      </c>
      <c r="BU16" s="9" t="str">
        <f ca="1">IF(OFFSET('RES Techs T15'!$AO16,0,MATCH(VLOOKUP('RES Veda input'!BU$3,'RES Assumptions T15'!$V$3:$W$35,2,FALSE),'RES Techs T15'!$G$3:$U$3,0))=0,"",OFFSET('RES Techs T15'!$AO16,0,MATCH(VLOOKUP('RES Veda input'!BU$3,'RES Assumptions T15'!$V$3:$W$35,2,FALSE),'RES Techs T15'!$G$3:$U$3,0)))</f>
        <v/>
      </c>
      <c r="BV16" s="9">
        <f ca="1">IF(OFFSET('RES Techs T15'!$AO16,0,MATCH(VLOOKUP('RES Veda input'!BV$3,'RES Assumptions T15'!$V$3:$W$35,2,FALSE),'RES Techs T15'!$G$3:$U$3,0))=0,"",OFFSET('RES Techs T15'!$AO16,0,MATCH(VLOOKUP('RES Veda input'!BV$3,'RES Assumptions T15'!$V$3:$W$35,2,FALSE),'RES Techs T15'!$G$3:$U$3,0)))</f>
        <v>1.4</v>
      </c>
      <c r="BW16" s="9" t="str">
        <f ca="1">IF(OFFSET('RES Techs T15'!$AO16,0,MATCH(VLOOKUP('RES Veda input'!BW$3,'RES Assumptions T15'!$V$3:$W$35,2,FALSE),'RES Techs T15'!$G$3:$U$3,0))=0,"",OFFSET('RES Techs T15'!$AO16,0,MATCH(VLOOKUP('RES Veda input'!BW$3,'RES Assumptions T15'!$V$3:$W$35,2,FALSE),'RES Techs T15'!$G$3:$U$3,0)))</f>
        <v/>
      </c>
      <c r="BX16" s="9">
        <f ca="1">IF(OFFSET('RES Techs T15'!$AO16,0,MATCH(VLOOKUP('RES Veda input'!BX$3,'RES Assumptions T15'!$V$3:$W$35,2,FALSE),'RES Techs T15'!$G$3:$U$3,0))=0,"",OFFSET('RES Techs T15'!$AO16,0,MATCH(VLOOKUP('RES Veda input'!BX$3,'RES Assumptions T15'!$V$3:$W$35,2,FALSE),'RES Techs T15'!$G$3:$U$3,0)))</f>
        <v>2</v>
      </c>
      <c r="BY16" s="9">
        <f ca="1">IF(OFFSET('RES Techs T15'!$AO16,0,MATCH(VLOOKUP('RES Veda input'!BY$3,'RES Assumptions T15'!$V$3:$W$35,2,FALSE),'RES Techs T15'!$G$3:$U$3,0))=0,"",OFFSET('RES Techs T15'!$AO16,0,MATCH(VLOOKUP('RES Veda input'!BY$3,'RES Assumptions T15'!$V$3:$W$35,2,FALSE),'RES Techs T15'!$G$3:$U$3,0)))</f>
        <v>1.2</v>
      </c>
      <c r="BZ16" s="9" t="str">
        <f ca="1">IF(OFFSET('RES Techs T15'!$AO16,0,MATCH(VLOOKUP('RES Veda input'!BZ$3,'RES Assumptions T15'!$V$3:$W$35,2,FALSE),'RES Techs T15'!$G$3:$U$3,0))=0,"",OFFSET('RES Techs T15'!$AO16,0,MATCH(VLOOKUP('RES Veda input'!BZ$3,'RES Assumptions T15'!$V$3:$W$35,2,FALSE),'RES Techs T15'!$G$3:$U$3,0)))</f>
        <v/>
      </c>
      <c r="CA16" s="9">
        <f ca="1">IF(OFFSET('RES Techs T15'!$AO16,0,MATCH(VLOOKUP('RES Veda input'!CA$3,'RES Assumptions T15'!$V$3:$W$35,2,FALSE),'RES Techs T15'!$G$3:$U$3,0))=0,"",OFFSET('RES Techs T15'!$AO16,0,MATCH(VLOOKUP('RES Veda input'!CA$3,'RES Assumptions T15'!$V$3:$W$35,2,FALSE),'RES Techs T15'!$G$3:$U$3,0)))</f>
        <v>1.4</v>
      </c>
      <c r="CB16" s="9">
        <f ca="1">IF(OFFSET('RES Techs T15'!$AO16,0,MATCH(VLOOKUP('RES Veda input'!CB$3,'RES Assumptions T15'!$V$3:$W$35,2,FALSE),'RES Techs T15'!$G$3:$U$3,0))=0,"",OFFSET('RES Techs T15'!$AO16,0,MATCH(VLOOKUP('RES Veda input'!CB$3,'RES Assumptions T15'!$V$3:$W$35,2,FALSE),'RES Techs T15'!$G$3:$U$3,0)))</f>
        <v>4.2</v>
      </c>
      <c r="CC16" s="9" t="str">
        <f ca="1">IF(OFFSET('RES Techs T15'!$AO16,0,MATCH(VLOOKUP('RES Veda input'!CC$3,'RES Assumptions T15'!$V$3:$W$35,2,FALSE),'RES Techs T15'!$G$3:$U$3,0))=0,"",OFFSET('RES Techs T15'!$AO16,0,MATCH(VLOOKUP('RES Veda input'!CC$3,'RES Assumptions T15'!$V$3:$W$35,2,FALSE),'RES Techs T15'!$G$3:$U$3,0)))</f>
        <v/>
      </c>
      <c r="CD16" s="9" t="str">
        <f ca="1">IF(OFFSET('RES Techs T15'!$AO16,0,MATCH(VLOOKUP('RES Veda input'!CD$3,'RES Assumptions T15'!$V$3:$W$35,2,FALSE),'RES Techs T15'!$G$3:$U$3,0))=0,"",OFFSET('RES Techs T15'!$AO16,0,MATCH(VLOOKUP('RES Veda input'!CD$3,'RES Assumptions T15'!$V$3:$W$35,2,FALSE),'RES Techs T15'!$G$3:$U$3,0)))</f>
        <v/>
      </c>
      <c r="CE16" s="9" t="str">
        <f ca="1">IF(OFFSET('RES Techs T15'!$AO16,0,MATCH(VLOOKUP('RES Veda input'!CE$3,'RES Assumptions T15'!$V$3:$W$35,2,FALSE),'RES Techs T15'!$G$3:$U$3,0))=0,"",OFFSET('RES Techs T15'!$AO16,0,MATCH(VLOOKUP('RES Veda input'!CE$3,'RES Assumptions T15'!$V$3:$W$35,2,FALSE),'RES Techs T15'!$G$3:$U$3,0)))</f>
        <v/>
      </c>
      <c r="CF16" s="9" t="str">
        <f ca="1">IF(OFFSET('RES Techs T15'!$AO16,0,MATCH(VLOOKUP('RES Veda input'!CF$3,'RES Assumptions T15'!$V$3:$W$35,2,FALSE),'RES Techs T15'!$G$3:$U$3,0))=0,"",OFFSET('RES Techs T15'!$AO16,0,MATCH(VLOOKUP('RES Veda input'!CF$3,'RES Assumptions T15'!$V$3:$W$35,2,FALSE),'RES Techs T15'!$G$3:$U$3,0)))</f>
        <v/>
      </c>
      <c r="CG16" s="9" t="str">
        <f ca="1">IF(OFFSET('RES Techs T15'!$AO16,0,MATCH(VLOOKUP('RES Veda input'!CG$3,'RES Assumptions T15'!$V$3:$W$35,2,FALSE),'RES Techs T15'!$G$3:$U$3,0))=0,"",OFFSET('RES Techs T15'!$AO16,0,MATCH(VLOOKUP('RES Veda input'!CG$3,'RES Assumptions T15'!$V$3:$W$35,2,FALSE),'RES Techs T15'!$G$3:$U$3,0)))</f>
        <v/>
      </c>
      <c r="CH16" s="9" t="str">
        <f ca="1">IF(OFFSET('RES Techs T15'!$AO16,0,MATCH(VLOOKUP('RES Veda input'!CH$3,'RES Assumptions T15'!$V$3:$W$35,2,FALSE),'RES Techs T15'!$G$3:$U$3,0))=0,"",OFFSET('RES Techs T15'!$AO16,0,MATCH(VLOOKUP('RES Veda input'!CH$3,'RES Assumptions T15'!$V$3:$W$35,2,FALSE),'RES Techs T15'!$G$3:$U$3,0)))</f>
        <v/>
      </c>
      <c r="CI16" s="9" t="str">
        <f ca="1">IF(OFFSET('RES Techs T15'!$AO16,0,MATCH(VLOOKUP('RES Veda input'!CI$3,'RES Assumptions T15'!$V$3:$W$35,2,FALSE),'RES Techs T15'!$G$3:$U$3,0))=0,"",OFFSET('RES Techs T15'!$AO16,0,MATCH(VLOOKUP('RES Veda input'!CI$3,'RES Assumptions T15'!$V$3:$W$35,2,FALSE),'RES Techs T15'!$G$3:$U$3,0)))</f>
        <v/>
      </c>
      <c r="CJ16" s="9">
        <f ca="1">IF(OFFSET('RES Techs T15'!$AO16,0,MATCH(VLOOKUP('RES Veda input'!CJ$3,'RES Assumptions T15'!$V$3:$W$35,2,FALSE),'RES Techs T15'!$G$3:$U$3,0))=0,"",OFFSET('RES Techs T15'!$AO16,0,MATCH(VLOOKUP('RES Veda input'!CJ$3,'RES Assumptions T15'!$V$3:$W$35,2,FALSE),'RES Techs T15'!$G$3:$U$3,0)))</f>
        <v>1.4</v>
      </c>
      <c r="CK16" s="9" t="str">
        <f ca="1">IF(OFFSET('RES Techs T15'!$AO16,0,MATCH(VLOOKUP('RES Veda input'!CK$3,'RES Assumptions T15'!$V$3:$W$35,2,FALSE),'RES Techs T15'!$G$3:$U$3,0))=0,"",OFFSET('RES Techs T15'!$AO16,0,MATCH(VLOOKUP('RES Veda input'!CK$3,'RES Assumptions T15'!$V$3:$W$35,2,FALSE),'RES Techs T15'!$G$3:$U$3,0)))</f>
        <v/>
      </c>
      <c r="CL16" s="9" t="str">
        <f ca="1">IF(OFFSET('RES Techs T15'!$AO16,0,MATCH(VLOOKUP('RES Veda input'!CL$3,'RES Assumptions T15'!$V$3:$W$35,2,FALSE),'RES Techs T15'!$G$3:$U$3,0))=0,"",OFFSET('RES Techs T15'!$AO16,0,MATCH(VLOOKUP('RES Veda input'!CL$3,'RES Assumptions T15'!$V$3:$W$35,2,FALSE),'RES Techs T15'!$G$3:$U$3,0)))</f>
        <v/>
      </c>
      <c r="CM16" s="9">
        <f ca="1">IF(OFFSET('RES Techs T15'!$AO16,0,MATCH(VLOOKUP('RES Veda input'!CM$3,'RES Assumptions T15'!$V$3:$W$35,2,FALSE),'RES Techs T15'!$G$3:$U$3,0))=0,"",OFFSET('RES Techs T15'!$AO16,0,MATCH(VLOOKUP('RES Veda input'!CM$3,'RES Assumptions T15'!$V$3:$W$35,2,FALSE),'RES Techs T15'!$G$3:$U$3,0)))</f>
        <v>1.2</v>
      </c>
      <c r="CN16" s="9">
        <f ca="1">IF(OFFSET('RES Techs T15'!$AO16,0,MATCH(VLOOKUP('RES Veda input'!CN$3,'RES Assumptions T15'!$V$3:$W$35,2,FALSE),'RES Techs T15'!$G$3:$U$3,0))=0,"",OFFSET('RES Techs T15'!$AO16,0,MATCH(VLOOKUP('RES Veda input'!CN$3,'RES Assumptions T15'!$V$3:$W$35,2,FALSE),'RES Techs T15'!$G$3:$U$3,0)))</f>
        <v>1.4</v>
      </c>
      <c r="CO16" s="9">
        <f ca="1">IF(OFFSET('RES Techs T15'!$AO16,0,MATCH(VLOOKUP('RES Veda input'!CO$3,'RES Assumptions T15'!$V$3:$W$35,2,FALSE),'RES Techs T15'!$G$3:$U$3,0))=0,"",OFFSET('RES Techs T15'!$AO16,0,MATCH(VLOOKUP('RES Veda input'!CO$3,'RES Assumptions T15'!$V$3:$W$35,2,FALSE),'RES Techs T15'!$G$3:$U$3,0)))</f>
        <v>1.6</v>
      </c>
      <c r="CP16" s="9">
        <f ca="1">IF(OFFSET('RES Techs T15'!$AO16,0,MATCH(VLOOKUP('RES Veda input'!CP$3,'RES Assumptions T15'!$V$3:$W$35,2,FALSE),'RES Techs T15'!$G$3:$U$3,0))=0,"",OFFSET('RES Techs T15'!$AO16,0,MATCH(VLOOKUP('RES Veda input'!CP$3,'RES Assumptions T15'!$V$3:$W$35,2,FALSE),'RES Techs T15'!$G$3:$U$3,0)))</f>
        <v>1.4</v>
      </c>
      <c r="CQ16" s="9" t="str">
        <f ca="1">IF(OFFSET('RES Techs T15'!$AO16,0,MATCH(VLOOKUP('RES Veda input'!CQ$3,'RES Assumptions T15'!$V$3:$W$35,2,FALSE),'RES Techs T15'!$G$3:$U$3,0))=0,"",OFFSET('RES Techs T15'!$AO16,0,MATCH(VLOOKUP('RES Veda input'!CQ$3,'RES Assumptions T15'!$V$3:$W$35,2,FALSE),'RES Techs T15'!$G$3:$U$3,0)))</f>
        <v/>
      </c>
      <c r="CR16" s="9" t="str">
        <f ca="1">IF(OFFSET('RES Techs T15'!$AO16,0,MATCH(VLOOKUP('RES Veda input'!CR$3,'RES Assumptions T15'!$V$3:$W$35,2,FALSE),'RES Techs T15'!$G$3:$U$3,0))=0,"",OFFSET('RES Techs T15'!$AO16,0,MATCH(VLOOKUP('RES Veda input'!CR$3,'RES Assumptions T15'!$V$3:$W$35,2,FALSE),'RES Techs T15'!$G$3:$U$3,0)))</f>
        <v/>
      </c>
      <c r="CS16" s="9">
        <f ca="1">IF(OFFSET('RES Techs T15'!$AO16,0,MATCH(VLOOKUP('RES Veda input'!CS$3,'RES Assumptions T15'!$V$3:$W$35,2,FALSE),'RES Techs T15'!$G$3:$U$3,0))=0,"",OFFSET('RES Techs T15'!$AO16,0,MATCH(VLOOKUP('RES Veda input'!CS$3,'RES Assumptions T15'!$V$3:$W$35,2,FALSE),'RES Techs T15'!$G$3:$U$3,0)))</f>
        <v>1.4</v>
      </c>
      <c r="CT16" s="9" t="str">
        <f ca="1">IF(OFFSET('RES Techs T15'!$AO16,0,MATCH(VLOOKUP('RES Veda input'!CT$3,'RES Assumptions T15'!$V$3:$W$35,2,FALSE),'RES Techs T15'!$G$3:$U$3,0))=0,"",OFFSET('RES Techs T15'!$AO16,0,MATCH(VLOOKUP('RES Veda input'!CT$3,'RES Assumptions T15'!$V$3:$W$35,2,FALSE),'RES Techs T15'!$G$3:$U$3,0)))</f>
        <v/>
      </c>
      <c r="CU16" s="9" t="str">
        <f ca="1">IF(OFFSET('RES Techs T15'!$AO16,0,MATCH(VLOOKUP('RES Veda input'!CU$3,'RES Assumptions T15'!$V$3:$W$35,2,FALSE),'RES Techs T15'!$G$3:$U$3,0))=0,"",OFFSET('RES Techs T15'!$AO16,0,MATCH(VLOOKUP('RES Veda input'!CU$3,'RES Assumptions T15'!$V$3:$W$35,2,FALSE),'RES Techs T15'!$G$3:$U$3,0)))</f>
        <v/>
      </c>
      <c r="CV16" s="9">
        <f ca="1">IF(OFFSET('RES Techs T15'!$AO16,0,MATCH(VLOOKUP('RES Veda input'!CV$3,'RES Assumptions T15'!$V$3:$W$35,2,FALSE),'RES Techs T15'!$G$3:$U$3,0))=0,"",OFFSET('RES Techs T15'!$AO16,0,MATCH(VLOOKUP('RES Veda input'!CV$3,'RES Assumptions T15'!$V$3:$W$35,2,FALSE),'RES Techs T15'!$G$3:$U$3,0)))</f>
        <v>0.811755652744242</v>
      </c>
      <c r="CW16" s="9">
        <f ca="1">IF(OFFSET('RES Techs T15'!$AO16,0,MATCH(VLOOKUP('RES Veda input'!CW$3,'RES Assumptions T15'!$V$3:$W$35,2,FALSE),'RES Techs T15'!$G$3:$U$3,0))=0,"",OFFSET('RES Techs T15'!$AO16,0,MATCH(VLOOKUP('RES Veda input'!CW$3,'RES Assumptions T15'!$V$3:$W$35,2,FALSE),'RES Techs T15'!$G$3:$U$3,0)))</f>
        <v>0.811755652744242</v>
      </c>
      <c r="CY16" s="8" t="str">
        <f t="shared" si="63"/>
        <v>RSHDST000</v>
      </c>
      <c r="CZ16" s="10">
        <f ca="1">ROUND('RES Assumptions'!E99*'RES Veda input'!G16/'RES Veda input'!AM16,3)</f>
        <v>1.7000000000000001E-2</v>
      </c>
      <c r="DA16" s="10">
        <f ca="1">ROUND('RES Assumptions'!F99*'RES Veda input'!H16/'RES Veda input'!AN16,3)</f>
        <v>0.71</v>
      </c>
      <c r="DB16" s="10">
        <f ca="1">ROUND('RES Assumptions'!G99*'RES Veda input'!I16/'RES Veda input'!AO16,3)</f>
        <v>0</v>
      </c>
      <c r="DC16" s="10">
        <f ca="1">ROUND('RES Assumptions'!H99*'RES Veda input'!J16/'RES Veda input'!AP16,3)</f>
        <v>325.92</v>
      </c>
      <c r="DD16" s="10">
        <f ca="1">ROUND('RES Assumptions'!I99*'RES Veda input'!K16/'RES Veda input'!AQ16,3)</f>
        <v>70.796000000000006</v>
      </c>
      <c r="DE16" s="10">
        <f ca="1">ROUND('RES Assumptions'!J99*'RES Veda input'!L16/'RES Veda input'!AR16,3)</f>
        <v>0</v>
      </c>
      <c r="DF16" s="10">
        <f ca="1">ROUND('RES Assumptions'!K99*'RES Veda input'!M16/'RES Veda input'!AS16,3)</f>
        <v>0.126</v>
      </c>
      <c r="DG16" s="10">
        <f ca="1">ROUND('RES Assumptions'!L99*'RES Veda input'!N16/'RES Veda input'!AT16,3)</f>
        <v>0</v>
      </c>
      <c r="DH16" s="10">
        <f ca="1">ROUND('RES Assumptions'!M99*'RES Veda input'!O16/'RES Veda input'!AU16,3)</f>
        <v>134.05600000000001</v>
      </c>
      <c r="DI16" s="10">
        <f ca="1">ROUND('RES Assumptions'!N99*'RES Veda input'!P16/'RES Veda input'!AV16,3)</f>
        <v>0</v>
      </c>
      <c r="DJ16" s="10">
        <f ca="1">ROUND('RES Assumptions'!O99*'RES Veda input'!Q16/'RES Veda input'!AW16,3)</f>
        <v>94.691999999999993</v>
      </c>
      <c r="DK16" s="10">
        <f ca="1">ROUND('RES Assumptions'!P99*'RES Veda input'!R16/'RES Veda input'!AX16,3)</f>
        <v>49.527000000000001</v>
      </c>
      <c r="DL16" s="10">
        <f ca="1">ROUND('RES Assumptions'!Q99*'RES Veda input'!S16/'RES Veda input'!AY16,3)</f>
        <v>368.673</v>
      </c>
      <c r="DM16" s="10">
        <f ca="1">ROUND('RES Assumptions'!R99*'RES Veda input'!T16/'RES Veda input'!AZ16,3)</f>
        <v>285.92599999999999</v>
      </c>
      <c r="DN16" s="10">
        <f ca="1">ROUND('RES Assumptions'!S99*'RES Veda input'!U16/'RES Veda input'!BA16,3)</f>
        <v>8.6940000000000008</v>
      </c>
      <c r="DO16" s="10">
        <f ca="1">ROUND('RES Assumptions'!T99*'RES Veda input'!V16/'RES Veda input'!BB16,3)</f>
        <v>220.22</v>
      </c>
      <c r="DP16" s="10">
        <f ca="1">ROUND('RES Assumptions'!U99*'RES Veda input'!W16/'RES Veda input'!BC16,3)</f>
        <v>101.846</v>
      </c>
      <c r="DQ16" s="10">
        <f ca="1">ROUND('RES Assumptions'!V99*'RES Veda input'!X16/'RES Veda input'!BD16,3)</f>
        <v>483.89400000000001</v>
      </c>
      <c r="DR16" s="10">
        <f ca="1">ROUND('RES Assumptions'!W99*'RES Veda input'!Y16/'RES Veda input'!BE16,3)</f>
        <v>1581.7929999999999</v>
      </c>
      <c r="DS16" s="10">
        <f ca="1">ROUND('RES Assumptions'!X99*'RES Veda input'!Z16/'RES Veda input'!BF16,3)</f>
        <v>0</v>
      </c>
      <c r="DT16" s="10">
        <f ca="1">ROUND('RES Assumptions'!Y99*'RES Veda input'!AA16/'RES Veda input'!BG16,3)</f>
        <v>0.14199999999999999</v>
      </c>
      <c r="DU16" s="10">
        <f ca="1">ROUND('RES Assumptions'!Z99*'RES Veda input'!AB16/'RES Veda input'!BH16,3)</f>
        <v>0</v>
      </c>
      <c r="DV16" s="10">
        <f ca="1">ROUND('RES Assumptions'!AA99*'RES Veda input'!AC16/'RES Veda input'!BI16,3)</f>
        <v>37.734999999999999</v>
      </c>
      <c r="DW16" s="10">
        <f ca="1">ROUND('RES Assumptions'!AB99*'RES Veda input'!AD16/'RES Veda input'!BJ16,3)</f>
        <v>1.3260000000000001</v>
      </c>
      <c r="DX16" s="10">
        <f ca="1">ROUND('RES Assumptions'!AC99*'RES Veda input'!AE16/'RES Veda input'!BK16,3)</f>
        <v>313.69900000000001</v>
      </c>
      <c r="DY16" s="10">
        <f ca="1">ROUND('RES Assumptions'!AD99*'RES Veda input'!AF16/'RES Veda input'!BL16,3)</f>
        <v>0</v>
      </c>
      <c r="DZ16" s="10">
        <f ca="1">ROUND('RES Assumptions'!AE99*'RES Veda input'!AG16/'RES Veda input'!BM16,3)</f>
        <v>1.2E-2</v>
      </c>
      <c r="EA16" s="10">
        <f ca="1">ROUND('RES Assumptions'!AF99*'RES Veda input'!AH16/'RES Veda input'!BN16,3)</f>
        <v>23.873000000000001</v>
      </c>
      <c r="EB16" s="10">
        <f ca="1">ROUND('RES Assumptions'!AG99*'RES Veda input'!AI16/'RES Veda input'!BO16,3)</f>
        <v>861.49300000000005</v>
      </c>
      <c r="EC16" s="10">
        <f ca="1">ROUND('RES Assumptions'!AH99*'RES Veda input'!AJ16/'RES Veda input'!BP16,3)</f>
        <v>0</v>
      </c>
      <c r="ED16">
        <v>20</v>
      </c>
      <c r="EG16" t="s">
        <v>281</v>
      </c>
      <c r="EH16" t="str">
        <f t="shared" si="64"/>
        <v>RSHDST000</v>
      </c>
      <c r="EJ16" t="s">
        <v>282</v>
      </c>
      <c r="EK16" t="s">
        <v>283</v>
      </c>
    </row>
    <row r="17" spans="1:141" x14ac:dyDescent="0.45">
      <c r="A17" s="37" t="str">
        <f>'RES Assumptions'!B100</f>
        <v>RH</v>
      </c>
      <c r="B17" s="37" t="s">
        <v>97</v>
      </c>
      <c r="D17" s="51" t="s">
        <v>293</v>
      </c>
      <c r="E17" s="8" t="str">
        <f>'RES Assumptions'!A100</f>
        <v>RESELC</v>
      </c>
      <c r="F17" s="8" t="str">
        <f>VLOOKUP(A17,'RES Assumptions'!$AN$87:$AO$97,2,FALSE)</f>
        <v>RSH</v>
      </c>
      <c r="G17" s="9">
        <f ca="1">OFFSET('RES Techs T15'!$F17,0,MATCH(VLOOKUP('RES Veda input'!G$3,'RES Assumptions T15'!$V$3:$W$35,2,FALSE),'RES Techs T15'!$G$3:$U$3,0))</f>
        <v>2</v>
      </c>
      <c r="H17" s="9">
        <f ca="1">OFFSET('RES Techs T15'!$F17,0,MATCH(VLOOKUP('RES Veda input'!H$3,'RES Assumptions T15'!$V$3:$W$35,2,FALSE),'RES Techs T15'!$G$3:$U$3,0))</f>
        <v>2</v>
      </c>
      <c r="I17" s="9">
        <f ca="1">OFFSET('RES Techs T15'!$F17,0,MATCH(VLOOKUP('RES Veda input'!I$3,'RES Assumptions T15'!$V$3:$W$35,2,FALSE),'RES Techs T15'!$G$3:$U$3,0))</f>
        <v>2</v>
      </c>
      <c r="J17" s="9">
        <f ca="1">OFFSET('RES Techs T15'!$F17,0,MATCH(VLOOKUP('RES Veda input'!J$3,'RES Assumptions T15'!$V$3:$W$35,2,FALSE),'RES Techs T15'!$G$3:$U$3,0))</f>
        <v>2</v>
      </c>
      <c r="K17" s="9">
        <f ca="1">OFFSET('RES Techs T15'!$F17,0,MATCH(VLOOKUP('RES Veda input'!K$3,'RES Assumptions T15'!$V$3:$W$35,2,FALSE),'RES Techs T15'!$G$3:$U$3,0))</f>
        <v>2</v>
      </c>
      <c r="L17" s="9">
        <f ca="1">OFFSET('RES Techs T15'!$F17,0,MATCH(VLOOKUP('RES Veda input'!L$3,'RES Assumptions T15'!$V$3:$W$35,2,FALSE),'RES Techs T15'!$G$3:$U$3,0))</f>
        <v>2</v>
      </c>
      <c r="M17" s="9">
        <f ca="1">OFFSET('RES Techs T15'!$F17,0,MATCH(VLOOKUP('RES Veda input'!M$3,'RES Assumptions T15'!$V$3:$W$35,2,FALSE),'RES Techs T15'!$G$3:$U$3,0))</f>
        <v>2</v>
      </c>
      <c r="N17" s="9">
        <f ca="1">OFFSET('RES Techs T15'!$F17,0,MATCH(VLOOKUP('RES Veda input'!N$3,'RES Assumptions T15'!$V$3:$W$35,2,FALSE),'RES Techs T15'!$G$3:$U$3,0))</f>
        <v>2</v>
      </c>
      <c r="O17" s="9">
        <f ca="1">OFFSET('RES Techs T15'!$F17,0,MATCH(VLOOKUP('RES Veda input'!O$3,'RES Assumptions T15'!$V$3:$W$35,2,FALSE),'RES Techs T15'!$G$3:$U$3,0))</f>
        <v>2</v>
      </c>
      <c r="P17" s="9">
        <f ca="1">OFFSET('RES Techs T15'!$F17,0,MATCH(VLOOKUP('RES Veda input'!P$3,'RES Assumptions T15'!$V$3:$W$35,2,FALSE),'RES Techs T15'!$G$3:$U$3,0))</f>
        <v>2</v>
      </c>
      <c r="Q17" s="9">
        <f ca="1">OFFSET('RES Techs T15'!$F17,0,MATCH(VLOOKUP('RES Veda input'!Q$3,'RES Assumptions T15'!$V$3:$W$35,2,FALSE),'RES Techs T15'!$G$3:$U$3,0))</f>
        <v>2</v>
      </c>
      <c r="R17" s="9">
        <f ca="1">OFFSET('RES Techs T15'!$F17,0,MATCH(VLOOKUP('RES Veda input'!R$3,'RES Assumptions T15'!$V$3:$W$35,2,FALSE),'RES Techs T15'!$G$3:$U$3,0))</f>
        <v>2</v>
      </c>
      <c r="S17" s="9">
        <f ca="1">OFFSET('RES Techs T15'!$F17,0,MATCH(VLOOKUP('RES Veda input'!S$3,'RES Assumptions T15'!$V$3:$W$35,2,FALSE),'RES Techs T15'!$G$3:$U$3,0))</f>
        <v>2</v>
      </c>
      <c r="T17" s="9">
        <f ca="1">OFFSET('RES Techs T15'!$F17,0,MATCH(VLOOKUP('RES Veda input'!T$3,'RES Assumptions T15'!$V$3:$W$35,2,FALSE),'RES Techs T15'!$G$3:$U$3,0))</f>
        <v>2</v>
      </c>
      <c r="U17" s="9">
        <f ca="1">OFFSET('RES Techs T15'!$F17,0,MATCH(VLOOKUP('RES Veda input'!U$3,'RES Assumptions T15'!$V$3:$W$35,2,FALSE),'RES Techs T15'!$G$3:$U$3,0))</f>
        <v>2</v>
      </c>
      <c r="V17" s="9">
        <f ca="1">OFFSET('RES Techs T15'!$F17,0,MATCH(VLOOKUP('RES Veda input'!V$3,'RES Assumptions T15'!$V$3:$W$35,2,FALSE),'RES Techs T15'!$G$3:$U$3,0))</f>
        <v>2</v>
      </c>
      <c r="W17" s="9">
        <f ca="1">OFFSET('RES Techs T15'!$F17,0,MATCH(VLOOKUP('RES Veda input'!W$3,'RES Assumptions T15'!$V$3:$W$35,2,FALSE),'RES Techs T15'!$G$3:$U$3,0))</f>
        <v>2</v>
      </c>
      <c r="X17" s="9">
        <f ca="1">OFFSET('RES Techs T15'!$F17,0,MATCH(VLOOKUP('RES Veda input'!X$3,'RES Assumptions T15'!$V$3:$W$35,2,FALSE),'RES Techs T15'!$G$3:$U$3,0))</f>
        <v>2</v>
      </c>
      <c r="Y17" s="9">
        <f ca="1">OFFSET('RES Techs T15'!$F17,0,MATCH(VLOOKUP('RES Veda input'!Y$3,'RES Assumptions T15'!$V$3:$W$35,2,FALSE),'RES Techs T15'!$G$3:$U$3,0))</f>
        <v>2</v>
      </c>
      <c r="Z17" s="9">
        <f ca="1">OFFSET('RES Techs T15'!$F17,0,MATCH(VLOOKUP('RES Veda input'!Z$3,'RES Assumptions T15'!$V$3:$W$35,2,FALSE),'RES Techs T15'!$G$3:$U$3,0))</f>
        <v>2</v>
      </c>
      <c r="AA17" s="9">
        <f ca="1">OFFSET('RES Techs T15'!$F17,0,MATCH(VLOOKUP('RES Veda input'!AA$3,'RES Assumptions T15'!$V$3:$W$35,2,FALSE),'RES Techs T15'!$G$3:$U$3,0))</f>
        <v>2</v>
      </c>
      <c r="AB17" s="9">
        <f ca="1">OFFSET('RES Techs T15'!$F17,0,MATCH(VLOOKUP('RES Veda input'!AB$3,'RES Assumptions T15'!$V$3:$W$35,2,FALSE),'RES Techs T15'!$G$3:$U$3,0))</f>
        <v>2</v>
      </c>
      <c r="AC17" s="9">
        <f ca="1">OFFSET('RES Techs T15'!$F17,0,MATCH(VLOOKUP('RES Veda input'!AC$3,'RES Assumptions T15'!$V$3:$W$35,2,FALSE),'RES Techs T15'!$G$3:$U$3,0))</f>
        <v>2</v>
      </c>
      <c r="AD17" s="9">
        <f ca="1">OFFSET('RES Techs T15'!$F17,0,MATCH(VLOOKUP('RES Veda input'!AD$3,'RES Assumptions T15'!$V$3:$W$35,2,FALSE),'RES Techs T15'!$G$3:$U$3,0))</f>
        <v>2</v>
      </c>
      <c r="AE17" s="9">
        <f ca="1">OFFSET('RES Techs T15'!$F17,0,MATCH(VLOOKUP('RES Veda input'!AE$3,'RES Assumptions T15'!$V$3:$W$35,2,FALSE),'RES Techs T15'!$G$3:$U$3,0))</f>
        <v>2</v>
      </c>
      <c r="AF17" s="9">
        <f ca="1">OFFSET('RES Techs T15'!$F17,0,MATCH(VLOOKUP('RES Veda input'!AF$3,'RES Assumptions T15'!$V$3:$W$35,2,FALSE),'RES Techs T15'!$G$3:$U$3,0))</f>
        <v>2</v>
      </c>
      <c r="AG17" s="9">
        <f ca="1">OFFSET('RES Techs T15'!$F17,0,MATCH(VLOOKUP('RES Veda input'!AG$3,'RES Assumptions T15'!$V$3:$W$35,2,FALSE),'RES Techs T15'!$G$3:$U$3,0))</f>
        <v>2</v>
      </c>
      <c r="AH17" s="9">
        <f ca="1">OFFSET('RES Techs T15'!$F17,0,MATCH(VLOOKUP('RES Veda input'!AH$3,'RES Assumptions T15'!$V$3:$W$35,2,FALSE),'RES Techs T15'!$G$3:$U$3,0))</f>
        <v>2</v>
      </c>
      <c r="AI17" s="9">
        <f ca="1">OFFSET('RES Techs T15'!$F17,0,MATCH(VLOOKUP('RES Veda input'!AI$3,'RES Assumptions T15'!$V$3:$W$35,2,FALSE),'RES Techs T15'!$G$3:$U$3,0))</f>
        <v>2</v>
      </c>
      <c r="AJ17" s="9">
        <f ca="1">OFFSET('RES Techs T15'!$F17,0,MATCH(VLOOKUP('RES Veda input'!AJ$3,'RES Assumptions T15'!$V$3:$W$35,2,FALSE),'RES Techs T15'!$G$3:$U$3,0))</f>
        <v>2</v>
      </c>
      <c r="AL17" s="8" t="str">
        <f t="shared" si="60"/>
        <v>RSHEHP000</v>
      </c>
      <c r="AM17" s="9">
        <f ca="1">OFFSET('RES Techs T15'!$W17,0,MATCH(VLOOKUP('RES Veda input'!AM$3,'RES Assumptions T15'!$V$3:$W$35,2,FALSE),'RES Techs T15'!$G$3:$U$3,0))</f>
        <v>0.18</v>
      </c>
      <c r="AN17" s="9">
        <f ca="1">OFFSET('RES Techs T15'!$W17,0,MATCH(VLOOKUP('RES Veda input'!AN$3,'RES Assumptions T15'!$V$3:$W$35,2,FALSE),'RES Techs T15'!$G$3:$U$3,0))</f>
        <v>0.18</v>
      </c>
      <c r="AO17" s="9">
        <f ca="1">OFFSET('RES Techs T15'!$W17,0,MATCH(VLOOKUP('RES Veda input'!AO$3,'RES Assumptions T15'!$V$3:$W$35,2,FALSE),'RES Techs T15'!$G$3:$U$3,0))</f>
        <v>0.18</v>
      </c>
      <c r="AP17" s="9">
        <f ca="1">OFFSET('RES Techs T15'!$W17,0,MATCH(VLOOKUP('RES Veda input'!AP$3,'RES Assumptions T15'!$V$3:$W$35,2,FALSE),'RES Techs T15'!$G$3:$U$3,0))</f>
        <v>0.18</v>
      </c>
      <c r="AQ17" s="9">
        <f ca="1">OFFSET('RES Techs T15'!$W17,0,MATCH(VLOOKUP('RES Veda input'!AQ$3,'RES Assumptions T15'!$V$3:$W$35,2,FALSE),'RES Techs T15'!$G$3:$U$3,0))</f>
        <v>0.18</v>
      </c>
      <c r="AR17" s="9">
        <f ca="1">OFFSET('RES Techs T15'!$W17,0,MATCH(VLOOKUP('RES Veda input'!AR$3,'RES Assumptions T15'!$V$3:$W$35,2,FALSE),'RES Techs T15'!$G$3:$U$3,0))</f>
        <v>0.11</v>
      </c>
      <c r="AS17" s="9">
        <f ca="1">OFFSET('RES Techs T15'!$W17,0,MATCH(VLOOKUP('RES Veda input'!AS$3,'RES Assumptions T15'!$V$3:$W$35,2,FALSE),'RES Techs T15'!$G$3:$U$3,0))</f>
        <v>0.21</v>
      </c>
      <c r="AT17" s="9">
        <f ca="1">OFFSET('RES Techs T15'!$W17,0,MATCH(VLOOKUP('RES Veda input'!AT$3,'RES Assumptions T15'!$V$3:$W$35,2,FALSE),'RES Techs T15'!$G$3:$U$3,0))</f>
        <v>0.18</v>
      </c>
      <c r="AU17" s="9">
        <f ca="1">OFFSET('RES Techs T15'!$W17,0,MATCH(VLOOKUP('RES Veda input'!AU$3,'RES Assumptions T15'!$V$3:$W$35,2,FALSE),'RES Techs T15'!$G$3:$U$3,0))</f>
        <v>0.24</v>
      </c>
      <c r="AV17" s="9">
        <f ca="1">OFFSET('RES Techs T15'!$W17,0,MATCH(VLOOKUP('RES Veda input'!AV$3,'RES Assumptions T15'!$V$3:$W$35,2,FALSE),'RES Techs T15'!$G$3:$U$3,0))</f>
        <v>0.18</v>
      </c>
      <c r="AW17" s="9">
        <f ca="1">OFFSET('RES Techs T15'!$W17,0,MATCH(VLOOKUP('RES Veda input'!AW$3,'RES Assumptions T15'!$V$3:$W$35,2,FALSE),'RES Techs T15'!$G$3:$U$3,0))</f>
        <v>0.18</v>
      </c>
      <c r="AX17" s="9">
        <f ca="1">OFFSET('RES Techs T15'!$W17,0,MATCH(VLOOKUP('RES Veda input'!AX$3,'RES Assumptions T15'!$V$3:$W$35,2,FALSE),'RES Techs T15'!$G$3:$U$3,0))</f>
        <v>0.18</v>
      </c>
      <c r="AY17" s="9">
        <f ca="1">OFFSET('RES Techs T15'!$W17,0,MATCH(VLOOKUP('RES Veda input'!AY$3,'RES Assumptions T15'!$V$3:$W$35,2,FALSE),'RES Techs T15'!$G$3:$U$3,0))</f>
        <v>0.18</v>
      </c>
      <c r="AZ17" s="9">
        <f ca="1">OFFSET('RES Techs T15'!$W17,0,MATCH(VLOOKUP('RES Veda input'!AZ$3,'RES Assumptions T15'!$V$3:$W$35,2,FALSE),'RES Techs T15'!$G$3:$U$3,0))</f>
        <v>0.18</v>
      </c>
      <c r="BA17" s="9">
        <f ca="1">OFFSET('RES Techs T15'!$W17,0,MATCH(VLOOKUP('RES Veda input'!BA$3,'RES Assumptions T15'!$V$3:$W$35,2,FALSE),'RES Techs T15'!$G$3:$U$3,0))</f>
        <v>0.18</v>
      </c>
      <c r="BB17" s="9">
        <f ca="1">OFFSET('RES Techs T15'!$W17,0,MATCH(VLOOKUP('RES Veda input'!BB$3,'RES Assumptions T15'!$V$3:$W$35,2,FALSE),'RES Techs T15'!$G$3:$U$3,0))</f>
        <v>0.18</v>
      </c>
      <c r="BC17" s="9">
        <f ca="1">OFFSET('RES Techs T15'!$W17,0,MATCH(VLOOKUP('RES Veda input'!BC$3,'RES Assumptions T15'!$V$3:$W$35,2,FALSE),'RES Techs T15'!$G$3:$U$3,0))</f>
        <v>0.18</v>
      </c>
      <c r="BD17" s="9">
        <f ca="1">OFFSET('RES Techs T15'!$W17,0,MATCH(VLOOKUP('RES Veda input'!BD$3,'RES Assumptions T15'!$V$3:$W$35,2,FALSE),'RES Techs T15'!$G$3:$U$3,0))</f>
        <v>0.18</v>
      </c>
      <c r="BE17" s="9">
        <f ca="1">OFFSET('RES Techs T15'!$W17,0,MATCH(VLOOKUP('RES Veda input'!BE$3,'RES Assumptions T15'!$V$3:$W$35,2,FALSE),'RES Techs T15'!$G$3:$U$3,0))</f>
        <v>0.18</v>
      </c>
      <c r="BF17" s="9">
        <f ca="1">OFFSET('RES Techs T15'!$W17,0,MATCH(VLOOKUP('RES Veda input'!BF$3,'RES Assumptions T15'!$V$3:$W$35,2,FALSE),'RES Techs T15'!$G$3:$U$3,0))</f>
        <v>0.18</v>
      </c>
      <c r="BG17" s="9">
        <f ca="1">OFFSET('RES Techs T15'!$W17,0,MATCH(VLOOKUP('RES Veda input'!BG$3,'RES Assumptions T15'!$V$3:$W$35,2,FALSE),'RES Techs T15'!$G$3:$U$3,0))</f>
        <v>0.18</v>
      </c>
      <c r="BH17" s="9">
        <f ca="1">OFFSET('RES Techs T15'!$W17,0,MATCH(VLOOKUP('RES Veda input'!BH$3,'RES Assumptions T15'!$V$3:$W$35,2,FALSE),'RES Techs T15'!$G$3:$U$3,0))</f>
        <v>0.18</v>
      </c>
      <c r="BI17" s="9">
        <f ca="1">OFFSET('RES Techs T15'!$W17,0,MATCH(VLOOKUP('RES Veda input'!BI$3,'RES Assumptions T15'!$V$3:$W$35,2,FALSE),'RES Techs T15'!$G$3:$U$3,0))</f>
        <v>0.18</v>
      </c>
      <c r="BJ17" s="9">
        <f ca="1">OFFSET('RES Techs T15'!$W17,0,MATCH(VLOOKUP('RES Veda input'!BJ$3,'RES Assumptions T15'!$V$3:$W$35,2,FALSE),'RES Techs T15'!$G$3:$U$3,0))</f>
        <v>0.18</v>
      </c>
      <c r="BK17" s="9">
        <f ca="1">OFFSET('RES Techs T15'!$W17,0,MATCH(VLOOKUP('RES Veda input'!BK$3,'RES Assumptions T15'!$V$3:$W$35,2,FALSE),'RES Techs T15'!$G$3:$U$3,0))</f>
        <v>0.18</v>
      </c>
      <c r="BL17" s="9">
        <f ca="1">OFFSET('RES Techs T15'!$W17,0,MATCH(VLOOKUP('RES Veda input'!BL$3,'RES Assumptions T15'!$V$3:$W$35,2,FALSE),'RES Techs T15'!$G$3:$U$3,0))</f>
        <v>0.18</v>
      </c>
      <c r="BM17" s="9">
        <f ca="1">OFFSET('RES Techs T15'!$W17,0,MATCH(VLOOKUP('RES Veda input'!BM$3,'RES Assumptions T15'!$V$3:$W$35,2,FALSE),'RES Techs T15'!$G$3:$U$3,0))</f>
        <v>0.18</v>
      </c>
      <c r="BN17" s="9">
        <f ca="1">OFFSET('RES Techs T15'!$W17,0,MATCH(VLOOKUP('RES Veda input'!BN$3,'RES Assumptions T15'!$V$3:$W$35,2,FALSE),'RES Techs T15'!$G$3:$U$3,0))</f>
        <v>0.18</v>
      </c>
      <c r="BO17" s="9">
        <f ca="1">OFFSET('RES Techs T15'!$W17,0,MATCH(VLOOKUP('RES Veda input'!BO$3,'RES Assumptions T15'!$V$3:$W$35,2,FALSE),'RES Techs T15'!$G$3:$U$3,0))</f>
        <v>0.3</v>
      </c>
      <c r="BP17" s="9">
        <f ca="1">OFFSET('RES Techs T15'!$W17,0,MATCH(VLOOKUP('RES Veda input'!BP$3,'RES Assumptions T15'!$V$3:$W$35,2,FALSE),'RES Techs T15'!$G$3:$U$3,0))</f>
        <v>0.3</v>
      </c>
      <c r="BR17" s="8" t="str">
        <f t="shared" si="61"/>
        <v>RSHEHP000</v>
      </c>
      <c r="BS17" s="9">
        <f t="shared" ca="1" si="62"/>
        <v>8.4</v>
      </c>
      <c r="BT17" s="9" t="str">
        <f ca="1">IF(OFFSET('RES Techs T15'!$AO17,0,MATCH(VLOOKUP('RES Veda input'!BT$3,'RES Assumptions T15'!$V$3:$W$35,2,FALSE),'RES Techs T15'!$G$3:$U$3,0))=0,"",OFFSET('RES Techs T15'!$AO17,0,MATCH(VLOOKUP('RES Veda input'!BT$3,'RES Assumptions T15'!$V$3:$W$35,2,FALSE),'RES Techs T15'!$G$3:$U$3,0)))</f>
        <v/>
      </c>
      <c r="BU17" s="9" t="str">
        <f ca="1">IF(OFFSET('RES Techs T15'!$AO17,0,MATCH(VLOOKUP('RES Veda input'!BU$3,'RES Assumptions T15'!$V$3:$W$35,2,FALSE),'RES Techs T15'!$G$3:$U$3,0))=0,"",OFFSET('RES Techs T15'!$AO17,0,MATCH(VLOOKUP('RES Veda input'!BU$3,'RES Assumptions T15'!$V$3:$W$35,2,FALSE),'RES Techs T15'!$G$3:$U$3,0)))</f>
        <v/>
      </c>
      <c r="BV17" s="9">
        <f ca="1">IF(OFFSET('RES Techs T15'!$AO17,0,MATCH(VLOOKUP('RES Veda input'!BV$3,'RES Assumptions T15'!$V$3:$W$35,2,FALSE),'RES Techs T15'!$G$3:$U$3,0))=0,"",OFFSET('RES Techs T15'!$AO17,0,MATCH(VLOOKUP('RES Veda input'!BV$3,'RES Assumptions T15'!$V$3:$W$35,2,FALSE),'RES Techs T15'!$G$3:$U$3,0)))</f>
        <v>9.8000000000000007</v>
      </c>
      <c r="BW17" s="9" t="str">
        <f ca="1">IF(OFFSET('RES Techs T15'!$AO17,0,MATCH(VLOOKUP('RES Veda input'!BW$3,'RES Assumptions T15'!$V$3:$W$35,2,FALSE),'RES Techs T15'!$G$3:$U$3,0))=0,"",OFFSET('RES Techs T15'!$AO17,0,MATCH(VLOOKUP('RES Veda input'!BW$3,'RES Assumptions T15'!$V$3:$W$35,2,FALSE),'RES Techs T15'!$G$3:$U$3,0)))</f>
        <v/>
      </c>
      <c r="BX17" s="9">
        <f ca="1">IF(OFFSET('RES Techs T15'!$AO17,0,MATCH(VLOOKUP('RES Veda input'!BX$3,'RES Assumptions T15'!$V$3:$W$35,2,FALSE),'RES Techs T15'!$G$3:$U$3,0))=0,"",OFFSET('RES Techs T15'!$AO17,0,MATCH(VLOOKUP('RES Veda input'!BX$3,'RES Assumptions T15'!$V$3:$W$35,2,FALSE),'RES Techs T15'!$G$3:$U$3,0)))</f>
        <v>14</v>
      </c>
      <c r="BY17" s="9">
        <f ca="1">IF(OFFSET('RES Techs T15'!$AO17,0,MATCH(VLOOKUP('RES Veda input'!BY$3,'RES Assumptions T15'!$V$3:$W$35,2,FALSE),'RES Techs T15'!$G$3:$U$3,0))=0,"",OFFSET('RES Techs T15'!$AO17,0,MATCH(VLOOKUP('RES Veda input'!BY$3,'RES Assumptions T15'!$V$3:$W$35,2,FALSE),'RES Techs T15'!$G$3:$U$3,0)))</f>
        <v>8.4</v>
      </c>
      <c r="BZ17" s="9" t="str">
        <f ca="1">IF(OFFSET('RES Techs T15'!$AO17,0,MATCH(VLOOKUP('RES Veda input'!BZ$3,'RES Assumptions T15'!$V$3:$W$35,2,FALSE),'RES Techs T15'!$G$3:$U$3,0))=0,"",OFFSET('RES Techs T15'!$AO17,0,MATCH(VLOOKUP('RES Veda input'!BZ$3,'RES Assumptions T15'!$V$3:$W$35,2,FALSE),'RES Techs T15'!$G$3:$U$3,0)))</f>
        <v/>
      </c>
      <c r="CA17" s="9">
        <f ca="1">IF(OFFSET('RES Techs T15'!$AO17,0,MATCH(VLOOKUP('RES Veda input'!CA$3,'RES Assumptions T15'!$V$3:$W$35,2,FALSE),'RES Techs T15'!$G$3:$U$3,0))=0,"",OFFSET('RES Techs T15'!$AO17,0,MATCH(VLOOKUP('RES Veda input'!CA$3,'RES Assumptions T15'!$V$3:$W$35,2,FALSE),'RES Techs T15'!$G$3:$U$3,0)))</f>
        <v>9.8000000000000007</v>
      </c>
      <c r="CB17" s="9" t="str">
        <f ca="1">IF(OFFSET('RES Techs T15'!$AO17,0,MATCH(VLOOKUP('RES Veda input'!CB$3,'RES Assumptions T15'!$V$3:$W$35,2,FALSE),'RES Techs T15'!$G$3:$U$3,0))=0,"",OFFSET('RES Techs T15'!$AO17,0,MATCH(VLOOKUP('RES Veda input'!CB$3,'RES Assumptions T15'!$V$3:$W$35,2,FALSE),'RES Techs T15'!$G$3:$U$3,0)))</f>
        <v/>
      </c>
      <c r="CC17" s="9" t="str">
        <f ca="1">IF(OFFSET('RES Techs T15'!$AO17,0,MATCH(VLOOKUP('RES Veda input'!CC$3,'RES Assumptions T15'!$V$3:$W$35,2,FALSE),'RES Techs T15'!$G$3:$U$3,0))=0,"",OFFSET('RES Techs T15'!$AO17,0,MATCH(VLOOKUP('RES Veda input'!CC$3,'RES Assumptions T15'!$V$3:$W$35,2,FALSE),'RES Techs T15'!$G$3:$U$3,0)))</f>
        <v/>
      </c>
      <c r="CD17" s="9" t="str">
        <f ca="1">IF(OFFSET('RES Techs T15'!$AO17,0,MATCH(VLOOKUP('RES Veda input'!CD$3,'RES Assumptions T15'!$V$3:$W$35,2,FALSE),'RES Techs T15'!$G$3:$U$3,0))=0,"",OFFSET('RES Techs T15'!$AO17,0,MATCH(VLOOKUP('RES Veda input'!CD$3,'RES Assumptions T15'!$V$3:$W$35,2,FALSE),'RES Techs T15'!$G$3:$U$3,0)))</f>
        <v/>
      </c>
      <c r="CE17" s="9" t="str">
        <f ca="1">IF(OFFSET('RES Techs T15'!$AO17,0,MATCH(VLOOKUP('RES Veda input'!CE$3,'RES Assumptions T15'!$V$3:$W$35,2,FALSE),'RES Techs T15'!$G$3:$U$3,0))=0,"",OFFSET('RES Techs T15'!$AO17,0,MATCH(VLOOKUP('RES Veda input'!CE$3,'RES Assumptions T15'!$V$3:$W$35,2,FALSE),'RES Techs T15'!$G$3:$U$3,0)))</f>
        <v/>
      </c>
      <c r="CF17" s="9" t="str">
        <f ca="1">IF(OFFSET('RES Techs T15'!$AO17,0,MATCH(VLOOKUP('RES Veda input'!CF$3,'RES Assumptions T15'!$V$3:$W$35,2,FALSE),'RES Techs T15'!$G$3:$U$3,0))=0,"",OFFSET('RES Techs T15'!$AO17,0,MATCH(VLOOKUP('RES Veda input'!CF$3,'RES Assumptions T15'!$V$3:$W$35,2,FALSE),'RES Techs T15'!$G$3:$U$3,0)))</f>
        <v/>
      </c>
      <c r="CG17" s="9" t="str">
        <f ca="1">IF(OFFSET('RES Techs T15'!$AO17,0,MATCH(VLOOKUP('RES Veda input'!CG$3,'RES Assumptions T15'!$V$3:$W$35,2,FALSE),'RES Techs T15'!$G$3:$U$3,0))=0,"",OFFSET('RES Techs T15'!$AO17,0,MATCH(VLOOKUP('RES Veda input'!CG$3,'RES Assumptions T15'!$V$3:$W$35,2,FALSE),'RES Techs T15'!$G$3:$U$3,0)))</f>
        <v/>
      </c>
      <c r="CH17" s="9" t="str">
        <f ca="1">IF(OFFSET('RES Techs T15'!$AO17,0,MATCH(VLOOKUP('RES Veda input'!CH$3,'RES Assumptions T15'!$V$3:$W$35,2,FALSE),'RES Techs T15'!$G$3:$U$3,0))=0,"",OFFSET('RES Techs T15'!$AO17,0,MATCH(VLOOKUP('RES Veda input'!CH$3,'RES Assumptions T15'!$V$3:$W$35,2,FALSE),'RES Techs T15'!$G$3:$U$3,0)))</f>
        <v/>
      </c>
      <c r="CI17" s="9" t="str">
        <f ca="1">IF(OFFSET('RES Techs T15'!$AO17,0,MATCH(VLOOKUP('RES Veda input'!CI$3,'RES Assumptions T15'!$V$3:$W$35,2,FALSE),'RES Techs T15'!$G$3:$U$3,0))=0,"",OFFSET('RES Techs T15'!$AO17,0,MATCH(VLOOKUP('RES Veda input'!CI$3,'RES Assumptions T15'!$V$3:$W$35,2,FALSE),'RES Techs T15'!$G$3:$U$3,0)))</f>
        <v/>
      </c>
      <c r="CJ17" s="9">
        <f ca="1">IF(OFFSET('RES Techs T15'!$AO17,0,MATCH(VLOOKUP('RES Veda input'!CJ$3,'RES Assumptions T15'!$V$3:$W$35,2,FALSE),'RES Techs T15'!$G$3:$U$3,0))=0,"",OFFSET('RES Techs T15'!$AO17,0,MATCH(VLOOKUP('RES Veda input'!CJ$3,'RES Assumptions T15'!$V$3:$W$35,2,FALSE),'RES Techs T15'!$G$3:$U$3,0)))</f>
        <v>9.8000000000000007</v>
      </c>
      <c r="CK17" s="9" t="str">
        <f ca="1">IF(OFFSET('RES Techs T15'!$AO17,0,MATCH(VLOOKUP('RES Veda input'!CK$3,'RES Assumptions T15'!$V$3:$W$35,2,FALSE),'RES Techs T15'!$G$3:$U$3,0))=0,"",OFFSET('RES Techs T15'!$AO17,0,MATCH(VLOOKUP('RES Veda input'!CK$3,'RES Assumptions T15'!$V$3:$W$35,2,FALSE),'RES Techs T15'!$G$3:$U$3,0)))</f>
        <v/>
      </c>
      <c r="CL17" s="9" t="str">
        <f ca="1">IF(OFFSET('RES Techs T15'!$AO17,0,MATCH(VLOOKUP('RES Veda input'!CL$3,'RES Assumptions T15'!$V$3:$W$35,2,FALSE),'RES Techs T15'!$G$3:$U$3,0))=0,"",OFFSET('RES Techs T15'!$AO17,0,MATCH(VLOOKUP('RES Veda input'!CL$3,'RES Assumptions T15'!$V$3:$W$35,2,FALSE),'RES Techs T15'!$G$3:$U$3,0)))</f>
        <v/>
      </c>
      <c r="CM17" s="9">
        <f ca="1">IF(OFFSET('RES Techs T15'!$AO17,0,MATCH(VLOOKUP('RES Veda input'!CM$3,'RES Assumptions T15'!$V$3:$W$35,2,FALSE),'RES Techs T15'!$G$3:$U$3,0))=0,"",OFFSET('RES Techs T15'!$AO17,0,MATCH(VLOOKUP('RES Veda input'!CM$3,'RES Assumptions T15'!$V$3:$W$35,2,FALSE),'RES Techs T15'!$G$3:$U$3,0)))</f>
        <v>8.4</v>
      </c>
      <c r="CN17" s="9">
        <f ca="1">IF(OFFSET('RES Techs T15'!$AO17,0,MATCH(VLOOKUP('RES Veda input'!CN$3,'RES Assumptions T15'!$V$3:$W$35,2,FALSE),'RES Techs T15'!$G$3:$U$3,0))=0,"",OFFSET('RES Techs T15'!$AO17,0,MATCH(VLOOKUP('RES Veda input'!CN$3,'RES Assumptions T15'!$V$3:$W$35,2,FALSE),'RES Techs T15'!$G$3:$U$3,0)))</f>
        <v>9.8000000000000007</v>
      </c>
      <c r="CO17" s="9">
        <f ca="1">IF(OFFSET('RES Techs T15'!$AO17,0,MATCH(VLOOKUP('RES Veda input'!CO$3,'RES Assumptions T15'!$V$3:$W$35,2,FALSE),'RES Techs T15'!$G$3:$U$3,0))=0,"",OFFSET('RES Techs T15'!$AO17,0,MATCH(VLOOKUP('RES Veda input'!CO$3,'RES Assumptions T15'!$V$3:$W$35,2,FALSE),'RES Techs T15'!$G$3:$U$3,0)))</f>
        <v>11.2</v>
      </c>
      <c r="CP17" s="9">
        <f ca="1">IF(OFFSET('RES Techs T15'!$AO17,0,MATCH(VLOOKUP('RES Veda input'!CP$3,'RES Assumptions T15'!$V$3:$W$35,2,FALSE),'RES Techs T15'!$G$3:$U$3,0))=0,"",OFFSET('RES Techs T15'!$AO17,0,MATCH(VLOOKUP('RES Veda input'!CP$3,'RES Assumptions T15'!$V$3:$W$35,2,FALSE),'RES Techs T15'!$G$3:$U$3,0)))</f>
        <v>9.8000000000000007</v>
      </c>
      <c r="CQ17" s="9" t="str">
        <f ca="1">IF(OFFSET('RES Techs T15'!$AO17,0,MATCH(VLOOKUP('RES Veda input'!CQ$3,'RES Assumptions T15'!$V$3:$W$35,2,FALSE),'RES Techs T15'!$G$3:$U$3,0))=0,"",OFFSET('RES Techs T15'!$AO17,0,MATCH(VLOOKUP('RES Veda input'!CQ$3,'RES Assumptions T15'!$V$3:$W$35,2,FALSE),'RES Techs T15'!$G$3:$U$3,0)))</f>
        <v/>
      </c>
      <c r="CR17" s="9" t="str">
        <f ca="1">IF(OFFSET('RES Techs T15'!$AO17,0,MATCH(VLOOKUP('RES Veda input'!CR$3,'RES Assumptions T15'!$V$3:$W$35,2,FALSE),'RES Techs T15'!$G$3:$U$3,0))=0,"",OFFSET('RES Techs T15'!$AO17,0,MATCH(VLOOKUP('RES Veda input'!CR$3,'RES Assumptions T15'!$V$3:$W$35,2,FALSE),'RES Techs T15'!$G$3:$U$3,0)))</f>
        <v/>
      </c>
      <c r="CS17" s="9">
        <f ca="1">IF(OFFSET('RES Techs T15'!$AO17,0,MATCH(VLOOKUP('RES Veda input'!CS$3,'RES Assumptions T15'!$V$3:$W$35,2,FALSE),'RES Techs T15'!$G$3:$U$3,0))=0,"",OFFSET('RES Techs T15'!$AO17,0,MATCH(VLOOKUP('RES Veda input'!CS$3,'RES Assumptions T15'!$V$3:$W$35,2,FALSE),'RES Techs T15'!$G$3:$U$3,0)))</f>
        <v>9.8000000000000007</v>
      </c>
      <c r="CT17" s="9" t="str">
        <f ca="1">IF(OFFSET('RES Techs T15'!$AO17,0,MATCH(VLOOKUP('RES Veda input'!CT$3,'RES Assumptions T15'!$V$3:$W$35,2,FALSE),'RES Techs T15'!$G$3:$U$3,0))=0,"",OFFSET('RES Techs T15'!$AO17,0,MATCH(VLOOKUP('RES Veda input'!CT$3,'RES Assumptions T15'!$V$3:$W$35,2,FALSE),'RES Techs T15'!$G$3:$U$3,0)))</f>
        <v/>
      </c>
      <c r="CU17" s="9" t="str">
        <f ca="1">IF(OFFSET('RES Techs T15'!$AO17,0,MATCH(VLOOKUP('RES Veda input'!CU$3,'RES Assumptions T15'!$V$3:$W$35,2,FALSE),'RES Techs T15'!$G$3:$U$3,0))=0,"",OFFSET('RES Techs T15'!$AO17,0,MATCH(VLOOKUP('RES Veda input'!CU$3,'RES Assumptions T15'!$V$3:$W$35,2,FALSE),'RES Techs T15'!$G$3:$U$3,0)))</f>
        <v/>
      </c>
      <c r="CV17" s="9">
        <f ca="1">IF(OFFSET('RES Techs T15'!$AO17,0,MATCH(VLOOKUP('RES Veda input'!CV$3,'RES Assumptions T15'!$V$3:$W$35,2,FALSE),'RES Techs T15'!$G$3:$U$3,0))=0,"",OFFSET('RES Techs T15'!$AO17,0,MATCH(VLOOKUP('RES Veda input'!CV$3,'RES Assumptions T15'!$V$3:$W$35,2,FALSE),'RES Techs T15'!$G$3:$U$3,0)))</f>
        <v>2.64</v>
      </c>
      <c r="CW17" s="9">
        <f ca="1">IF(OFFSET('RES Techs T15'!$AO17,0,MATCH(VLOOKUP('RES Veda input'!CW$3,'RES Assumptions T15'!$V$3:$W$35,2,FALSE),'RES Techs T15'!$G$3:$U$3,0))=0,"",OFFSET('RES Techs T15'!$AO17,0,MATCH(VLOOKUP('RES Veda input'!CW$3,'RES Assumptions T15'!$V$3:$W$35,2,FALSE),'RES Techs T15'!$G$3:$U$3,0)))</f>
        <v>2.64</v>
      </c>
      <c r="CY17" s="8" t="str">
        <f t="shared" si="63"/>
        <v>RSHEHP000</v>
      </c>
      <c r="CZ17" s="10">
        <f ca="1">ROUND('RES Assumptions'!E100*'RES Veda input'!G17/'RES Veda input'!AM17,3)</f>
        <v>0</v>
      </c>
      <c r="DA17" s="10">
        <f ca="1">ROUND('RES Assumptions'!F100*'RES Veda input'!H17/'RES Veda input'!AN17,3)</f>
        <v>0</v>
      </c>
      <c r="DB17" s="10">
        <f ca="1">ROUND('RES Assumptions'!G100*'RES Veda input'!I17/'RES Veda input'!AO17,3)</f>
        <v>1.4999999999999999E-2</v>
      </c>
      <c r="DC17" s="10">
        <f ca="1">ROUND('RES Assumptions'!H100*'RES Veda input'!J17/'RES Veda input'!AP17,3)</f>
        <v>1.659</v>
      </c>
      <c r="DD17" s="10">
        <f ca="1">ROUND('RES Assumptions'!I100*'RES Veda input'!K17/'RES Veda input'!AQ17,3)</f>
        <v>831.18499999999995</v>
      </c>
      <c r="DE17" s="10">
        <f ca="1">ROUND('RES Assumptions'!J100*'RES Veda input'!L17/'RES Veda input'!AR17,3)</f>
        <v>0</v>
      </c>
      <c r="DF17" s="10">
        <f ca="1">ROUND('RES Assumptions'!K100*'RES Veda input'!M17/'RES Veda input'!AS17,3)</f>
        <v>12.183</v>
      </c>
      <c r="DG17" s="10">
        <f ca="1">ROUND('RES Assumptions'!L100*'RES Veda input'!N17/'RES Veda input'!AT17,3)</f>
        <v>3.7999999999999999E-2</v>
      </c>
      <c r="DH17" s="10">
        <f ca="1">ROUND('RES Assumptions'!M100*'RES Veda input'!O17/'RES Veda input'!AU17,3)</f>
        <v>106.483</v>
      </c>
      <c r="DI17" s="10">
        <f ca="1">ROUND('RES Assumptions'!N100*'RES Veda input'!P17/'RES Veda input'!AV17,3)</f>
        <v>249.46199999999999</v>
      </c>
      <c r="DJ17" s="10">
        <f ca="1">ROUND('RES Assumptions'!O100*'RES Veda input'!Q17/'RES Veda input'!AW17,3)</f>
        <v>75.594999999999999</v>
      </c>
      <c r="DK17" s="10">
        <f ca="1">ROUND('RES Assumptions'!P100*'RES Veda input'!R17/'RES Veda input'!AX17,3)</f>
        <v>11.932</v>
      </c>
      <c r="DL17" s="10">
        <f ca="1">ROUND('RES Assumptions'!Q100*'RES Veda input'!S17/'RES Veda input'!AY17,3)</f>
        <v>50.113999999999997</v>
      </c>
      <c r="DM17" s="10">
        <f ca="1">ROUND('RES Assumptions'!R100*'RES Veda input'!T17/'RES Veda input'!AZ17,3)</f>
        <v>84.421000000000006</v>
      </c>
      <c r="DN17" s="10">
        <f ca="1">ROUND('RES Assumptions'!S100*'RES Veda input'!U17/'RES Veda input'!BA17,3)</f>
        <v>7.1639999999999997</v>
      </c>
      <c r="DO17" s="10">
        <f ca="1">ROUND('RES Assumptions'!T100*'RES Veda input'!V17/'RES Veda input'!BB17,3)</f>
        <v>85.021000000000001</v>
      </c>
      <c r="DP17" s="10">
        <f ca="1">ROUND('RES Assumptions'!U100*'RES Veda input'!W17/'RES Veda input'!BC17,3)</f>
        <v>10.122999999999999</v>
      </c>
      <c r="DQ17" s="10">
        <f ca="1">ROUND('RES Assumptions'!V100*'RES Veda input'!X17/'RES Veda input'!BD17,3)</f>
        <v>157.53</v>
      </c>
      <c r="DR17" s="10">
        <f ca="1">ROUND('RES Assumptions'!W100*'RES Veda input'!Y17/'RES Veda input'!BE17,3)</f>
        <v>124.80200000000001</v>
      </c>
      <c r="DS17" s="10">
        <f ca="1">ROUND('RES Assumptions'!X100*'RES Veda input'!Z17/'RES Veda input'!BF17,3)</f>
        <v>0</v>
      </c>
      <c r="DT17" s="10">
        <f ca="1">ROUND('RES Assumptions'!Y100*'RES Veda input'!AA17/'RES Veda input'!BG17,3)</f>
        <v>3.1E-2</v>
      </c>
      <c r="DU17" s="10">
        <f ca="1">ROUND('RES Assumptions'!Z100*'RES Veda input'!AB17/'RES Veda input'!BH17,3)</f>
        <v>12.381</v>
      </c>
      <c r="DV17" s="10">
        <f ca="1">ROUND('RES Assumptions'!AA100*'RES Veda input'!AC17/'RES Veda input'!BI17,3)</f>
        <v>18.417999999999999</v>
      </c>
      <c r="DW17" s="10">
        <f ca="1">ROUND('RES Assumptions'!AB100*'RES Veda input'!AD17/'RES Veda input'!BJ17,3)</f>
        <v>40.381999999999998</v>
      </c>
      <c r="DX17" s="10">
        <f ca="1">ROUND('RES Assumptions'!AC100*'RES Veda input'!AE17/'RES Veda input'!BK17,3)</f>
        <v>4.6669999999999998</v>
      </c>
      <c r="DY17" s="10">
        <f ca="1">ROUND('RES Assumptions'!AD100*'RES Veda input'!AF17/'RES Veda input'!BL17,3)</f>
        <v>8.843</v>
      </c>
      <c r="DZ17" s="10">
        <f ca="1">ROUND('RES Assumptions'!AE100*'RES Veda input'!AG17/'RES Veda input'!BM17,3)</f>
        <v>0</v>
      </c>
      <c r="EA17" s="10">
        <f ca="1">ROUND('RES Assumptions'!AF100*'RES Veda input'!AH17/'RES Veda input'!BN17,3)</f>
        <v>102.4</v>
      </c>
      <c r="EB17" s="10">
        <f ca="1">ROUND('RES Assumptions'!AG100*'RES Veda input'!AI17/'RES Veda input'!BO17,3)</f>
        <v>808.596</v>
      </c>
      <c r="EC17" s="10">
        <f ca="1">ROUND('RES Assumptions'!AH100*'RES Veda input'!AJ17/'RES Veda input'!BP17,3)</f>
        <v>0</v>
      </c>
      <c r="ED17">
        <v>15</v>
      </c>
      <c r="EG17" t="s">
        <v>281</v>
      </c>
      <c r="EH17" t="str">
        <f t="shared" si="64"/>
        <v>RSHEHP000</v>
      </c>
      <c r="EJ17" t="s">
        <v>282</v>
      </c>
      <c r="EK17" t="s">
        <v>283</v>
      </c>
    </row>
    <row r="18" spans="1:141" x14ac:dyDescent="0.45">
      <c r="A18" s="37" t="str">
        <f>'RES Assumptions'!B101</f>
        <v>RH</v>
      </c>
      <c r="B18" s="37" t="s">
        <v>95</v>
      </c>
      <c r="D18" s="51" t="s">
        <v>294</v>
      </c>
      <c r="E18" s="8" t="str">
        <f>'RES Assumptions'!A101</f>
        <v>RESELC</v>
      </c>
      <c r="F18" s="8" t="str">
        <f>VLOOKUP(A18,'RES Assumptions'!$AN$87:$AO$97,2,FALSE)</f>
        <v>RSH</v>
      </c>
      <c r="G18" s="9">
        <f ca="1">OFFSET('RES Techs T15'!$F18,0,MATCH(VLOOKUP('RES Veda input'!G$3,'RES Assumptions T15'!$V$3:$W$35,2,FALSE),'RES Techs T15'!$G$3:$U$3,0))</f>
        <v>1</v>
      </c>
      <c r="H18" s="9">
        <f ca="1">OFFSET('RES Techs T15'!$F18,0,MATCH(VLOOKUP('RES Veda input'!H$3,'RES Assumptions T15'!$V$3:$W$35,2,FALSE),'RES Techs T15'!$G$3:$U$3,0))</f>
        <v>1</v>
      </c>
      <c r="I18" s="9">
        <f ca="1">OFFSET('RES Techs T15'!$F18,0,MATCH(VLOOKUP('RES Veda input'!I$3,'RES Assumptions T15'!$V$3:$W$35,2,FALSE),'RES Techs T15'!$G$3:$U$3,0))</f>
        <v>1</v>
      </c>
      <c r="J18" s="9">
        <f ca="1">OFFSET('RES Techs T15'!$F18,0,MATCH(VLOOKUP('RES Veda input'!J$3,'RES Assumptions T15'!$V$3:$W$35,2,FALSE),'RES Techs T15'!$G$3:$U$3,0))</f>
        <v>1</v>
      </c>
      <c r="K18" s="9">
        <f ca="1">OFFSET('RES Techs T15'!$F18,0,MATCH(VLOOKUP('RES Veda input'!K$3,'RES Assumptions T15'!$V$3:$W$35,2,FALSE),'RES Techs T15'!$G$3:$U$3,0))</f>
        <v>1</v>
      </c>
      <c r="L18" s="9">
        <f ca="1">OFFSET('RES Techs T15'!$F18,0,MATCH(VLOOKUP('RES Veda input'!L$3,'RES Assumptions T15'!$V$3:$W$35,2,FALSE),'RES Techs T15'!$G$3:$U$3,0))</f>
        <v>1</v>
      </c>
      <c r="M18" s="9">
        <f ca="1">OFFSET('RES Techs T15'!$F18,0,MATCH(VLOOKUP('RES Veda input'!M$3,'RES Assumptions T15'!$V$3:$W$35,2,FALSE),'RES Techs T15'!$G$3:$U$3,0))</f>
        <v>1</v>
      </c>
      <c r="N18" s="9">
        <f ca="1">OFFSET('RES Techs T15'!$F18,0,MATCH(VLOOKUP('RES Veda input'!N$3,'RES Assumptions T15'!$V$3:$W$35,2,FALSE),'RES Techs T15'!$G$3:$U$3,0))</f>
        <v>1</v>
      </c>
      <c r="O18" s="9">
        <f ca="1">OFFSET('RES Techs T15'!$F18,0,MATCH(VLOOKUP('RES Veda input'!O$3,'RES Assumptions T15'!$V$3:$W$35,2,FALSE),'RES Techs T15'!$G$3:$U$3,0))</f>
        <v>1</v>
      </c>
      <c r="P18" s="9">
        <f ca="1">OFFSET('RES Techs T15'!$F18,0,MATCH(VLOOKUP('RES Veda input'!P$3,'RES Assumptions T15'!$V$3:$W$35,2,FALSE),'RES Techs T15'!$G$3:$U$3,0))</f>
        <v>1</v>
      </c>
      <c r="Q18" s="9">
        <f ca="1">OFFSET('RES Techs T15'!$F18,0,MATCH(VLOOKUP('RES Veda input'!Q$3,'RES Assumptions T15'!$V$3:$W$35,2,FALSE),'RES Techs T15'!$G$3:$U$3,0))</f>
        <v>1</v>
      </c>
      <c r="R18" s="9">
        <f ca="1">OFFSET('RES Techs T15'!$F18,0,MATCH(VLOOKUP('RES Veda input'!R$3,'RES Assumptions T15'!$V$3:$W$35,2,FALSE),'RES Techs T15'!$G$3:$U$3,0))</f>
        <v>1</v>
      </c>
      <c r="S18" s="9">
        <f ca="1">OFFSET('RES Techs T15'!$F18,0,MATCH(VLOOKUP('RES Veda input'!S$3,'RES Assumptions T15'!$V$3:$W$35,2,FALSE),'RES Techs T15'!$G$3:$U$3,0))</f>
        <v>1</v>
      </c>
      <c r="T18" s="9">
        <f ca="1">OFFSET('RES Techs T15'!$F18,0,MATCH(VLOOKUP('RES Veda input'!T$3,'RES Assumptions T15'!$V$3:$W$35,2,FALSE),'RES Techs T15'!$G$3:$U$3,0))</f>
        <v>1</v>
      </c>
      <c r="U18" s="9">
        <f ca="1">OFFSET('RES Techs T15'!$F18,0,MATCH(VLOOKUP('RES Veda input'!U$3,'RES Assumptions T15'!$V$3:$W$35,2,FALSE),'RES Techs T15'!$G$3:$U$3,0))</f>
        <v>1</v>
      </c>
      <c r="V18" s="9">
        <f ca="1">OFFSET('RES Techs T15'!$F18,0,MATCH(VLOOKUP('RES Veda input'!V$3,'RES Assumptions T15'!$V$3:$W$35,2,FALSE),'RES Techs T15'!$G$3:$U$3,0))</f>
        <v>1</v>
      </c>
      <c r="W18" s="9">
        <f ca="1">OFFSET('RES Techs T15'!$F18,0,MATCH(VLOOKUP('RES Veda input'!W$3,'RES Assumptions T15'!$V$3:$W$35,2,FALSE),'RES Techs T15'!$G$3:$U$3,0))</f>
        <v>1</v>
      </c>
      <c r="X18" s="9">
        <f ca="1">OFFSET('RES Techs T15'!$F18,0,MATCH(VLOOKUP('RES Veda input'!X$3,'RES Assumptions T15'!$V$3:$W$35,2,FALSE),'RES Techs T15'!$G$3:$U$3,0))</f>
        <v>1</v>
      </c>
      <c r="Y18" s="9">
        <f ca="1">OFFSET('RES Techs T15'!$F18,0,MATCH(VLOOKUP('RES Veda input'!Y$3,'RES Assumptions T15'!$V$3:$W$35,2,FALSE),'RES Techs T15'!$G$3:$U$3,0))</f>
        <v>1</v>
      </c>
      <c r="Z18" s="9">
        <f ca="1">OFFSET('RES Techs T15'!$F18,0,MATCH(VLOOKUP('RES Veda input'!Z$3,'RES Assumptions T15'!$V$3:$W$35,2,FALSE),'RES Techs T15'!$G$3:$U$3,0))</f>
        <v>1</v>
      </c>
      <c r="AA18" s="9">
        <f ca="1">OFFSET('RES Techs T15'!$F18,0,MATCH(VLOOKUP('RES Veda input'!AA$3,'RES Assumptions T15'!$V$3:$W$35,2,FALSE),'RES Techs T15'!$G$3:$U$3,0))</f>
        <v>1</v>
      </c>
      <c r="AB18" s="9">
        <f ca="1">OFFSET('RES Techs T15'!$F18,0,MATCH(VLOOKUP('RES Veda input'!AB$3,'RES Assumptions T15'!$V$3:$W$35,2,FALSE),'RES Techs T15'!$G$3:$U$3,0))</f>
        <v>1</v>
      </c>
      <c r="AC18" s="9">
        <f ca="1">OFFSET('RES Techs T15'!$F18,0,MATCH(VLOOKUP('RES Veda input'!AC$3,'RES Assumptions T15'!$V$3:$W$35,2,FALSE),'RES Techs T15'!$G$3:$U$3,0))</f>
        <v>1</v>
      </c>
      <c r="AD18" s="9">
        <f ca="1">OFFSET('RES Techs T15'!$F18,0,MATCH(VLOOKUP('RES Veda input'!AD$3,'RES Assumptions T15'!$V$3:$W$35,2,FALSE),'RES Techs T15'!$G$3:$U$3,0))</f>
        <v>1</v>
      </c>
      <c r="AE18" s="9">
        <f ca="1">OFFSET('RES Techs T15'!$F18,0,MATCH(VLOOKUP('RES Veda input'!AE$3,'RES Assumptions T15'!$V$3:$W$35,2,FALSE),'RES Techs T15'!$G$3:$U$3,0))</f>
        <v>1</v>
      </c>
      <c r="AF18" s="9">
        <f ca="1">OFFSET('RES Techs T15'!$F18,0,MATCH(VLOOKUP('RES Veda input'!AF$3,'RES Assumptions T15'!$V$3:$W$35,2,FALSE),'RES Techs T15'!$G$3:$U$3,0))</f>
        <v>1</v>
      </c>
      <c r="AG18" s="9">
        <f ca="1">OFFSET('RES Techs T15'!$F18,0,MATCH(VLOOKUP('RES Veda input'!AG$3,'RES Assumptions T15'!$V$3:$W$35,2,FALSE),'RES Techs T15'!$G$3:$U$3,0))</f>
        <v>1</v>
      </c>
      <c r="AH18" s="9">
        <f ca="1">OFFSET('RES Techs T15'!$F18,0,MATCH(VLOOKUP('RES Veda input'!AH$3,'RES Assumptions T15'!$V$3:$W$35,2,FALSE),'RES Techs T15'!$G$3:$U$3,0))</f>
        <v>1</v>
      </c>
      <c r="AI18" s="9">
        <f ca="1">OFFSET('RES Techs T15'!$F18,0,MATCH(VLOOKUP('RES Veda input'!AI$3,'RES Assumptions T15'!$V$3:$W$35,2,FALSE),'RES Techs T15'!$G$3:$U$3,0))</f>
        <v>1</v>
      </c>
      <c r="AJ18" s="9">
        <f ca="1">OFFSET('RES Techs T15'!$F18,0,MATCH(VLOOKUP('RES Veda input'!AJ$3,'RES Assumptions T15'!$V$3:$W$35,2,FALSE),'RES Techs T15'!$G$3:$U$3,0))</f>
        <v>1</v>
      </c>
      <c r="AL18" s="8" t="str">
        <f t="shared" si="60"/>
        <v>RSHERS000</v>
      </c>
      <c r="AM18" s="9">
        <f ca="1">OFFSET('RES Techs T15'!$W18,0,MATCH(VLOOKUP('RES Veda input'!AM$3,'RES Assumptions T15'!$V$3:$W$35,2,FALSE),'RES Techs T15'!$G$3:$U$3,0))</f>
        <v>0.18</v>
      </c>
      <c r="AN18" s="9">
        <f ca="1">OFFSET('RES Techs T15'!$W18,0,MATCH(VLOOKUP('RES Veda input'!AN$3,'RES Assumptions T15'!$V$3:$W$35,2,FALSE),'RES Techs T15'!$G$3:$U$3,0))</f>
        <v>0.18</v>
      </c>
      <c r="AO18" s="9">
        <f ca="1">OFFSET('RES Techs T15'!$W18,0,MATCH(VLOOKUP('RES Veda input'!AO$3,'RES Assumptions T15'!$V$3:$W$35,2,FALSE),'RES Techs T15'!$G$3:$U$3,0))</f>
        <v>0.18</v>
      </c>
      <c r="AP18" s="9">
        <f ca="1">OFFSET('RES Techs T15'!$W18,0,MATCH(VLOOKUP('RES Veda input'!AP$3,'RES Assumptions T15'!$V$3:$W$35,2,FALSE),'RES Techs T15'!$G$3:$U$3,0))</f>
        <v>0.18</v>
      </c>
      <c r="AQ18" s="9">
        <f ca="1">OFFSET('RES Techs T15'!$W18,0,MATCH(VLOOKUP('RES Veda input'!AQ$3,'RES Assumptions T15'!$V$3:$W$35,2,FALSE),'RES Techs T15'!$G$3:$U$3,0))</f>
        <v>0.18</v>
      </c>
      <c r="AR18" s="9">
        <f ca="1">OFFSET('RES Techs T15'!$W18,0,MATCH(VLOOKUP('RES Veda input'!AR$3,'RES Assumptions T15'!$V$3:$W$35,2,FALSE),'RES Techs T15'!$G$3:$U$3,0))</f>
        <v>0.11</v>
      </c>
      <c r="AS18" s="9">
        <f ca="1">OFFSET('RES Techs T15'!$W18,0,MATCH(VLOOKUP('RES Veda input'!AS$3,'RES Assumptions T15'!$V$3:$W$35,2,FALSE),'RES Techs T15'!$G$3:$U$3,0))</f>
        <v>0.21</v>
      </c>
      <c r="AT18" s="9">
        <f ca="1">OFFSET('RES Techs T15'!$W18,0,MATCH(VLOOKUP('RES Veda input'!AT$3,'RES Assumptions T15'!$V$3:$W$35,2,FALSE),'RES Techs T15'!$G$3:$U$3,0))</f>
        <v>0.18</v>
      </c>
      <c r="AU18" s="9">
        <f ca="1">OFFSET('RES Techs T15'!$W18,0,MATCH(VLOOKUP('RES Veda input'!AU$3,'RES Assumptions T15'!$V$3:$W$35,2,FALSE),'RES Techs T15'!$G$3:$U$3,0))</f>
        <v>0.24</v>
      </c>
      <c r="AV18" s="9">
        <f ca="1">OFFSET('RES Techs T15'!$W18,0,MATCH(VLOOKUP('RES Veda input'!AV$3,'RES Assumptions T15'!$V$3:$W$35,2,FALSE),'RES Techs T15'!$G$3:$U$3,0))</f>
        <v>0.18</v>
      </c>
      <c r="AW18" s="9">
        <f ca="1">OFFSET('RES Techs T15'!$W18,0,MATCH(VLOOKUP('RES Veda input'!AW$3,'RES Assumptions T15'!$V$3:$W$35,2,FALSE),'RES Techs T15'!$G$3:$U$3,0))</f>
        <v>0.18</v>
      </c>
      <c r="AX18" s="9">
        <f ca="1">OFFSET('RES Techs T15'!$W18,0,MATCH(VLOOKUP('RES Veda input'!AX$3,'RES Assumptions T15'!$V$3:$W$35,2,FALSE),'RES Techs T15'!$G$3:$U$3,0))</f>
        <v>0.18</v>
      </c>
      <c r="AY18" s="9">
        <f ca="1">OFFSET('RES Techs T15'!$W18,0,MATCH(VLOOKUP('RES Veda input'!AY$3,'RES Assumptions T15'!$V$3:$W$35,2,FALSE),'RES Techs T15'!$G$3:$U$3,0))</f>
        <v>0.18</v>
      </c>
      <c r="AZ18" s="9">
        <f ca="1">OFFSET('RES Techs T15'!$W18,0,MATCH(VLOOKUP('RES Veda input'!AZ$3,'RES Assumptions T15'!$V$3:$W$35,2,FALSE),'RES Techs T15'!$G$3:$U$3,0))</f>
        <v>0.18</v>
      </c>
      <c r="BA18" s="9">
        <f ca="1">OFFSET('RES Techs T15'!$W18,0,MATCH(VLOOKUP('RES Veda input'!BA$3,'RES Assumptions T15'!$V$3:$W$35,2,FALSE),'RES Techs T15'!$G$3:$U$3,0))</f>
        <v>0.18</v>
      </c>
      <c r="BB18" s="9">
        <f ca="1">OFFSET('RES Techs T15'!$W18,0,MATCH(VLOOKUP('RES Veda input'!BB$3,'RES Assumptions T15'!$V$3:$W$35,2,FALSE),'RES Techs T15'!$G$3:$U$3,0))</f>
        <v>0.18</v>
      </c>
      <c r="BC18" s="9">
        <f ca="1">OFFSET('RES Techs T15'!$W18,0,MATCH(VLOOKUP('RES Veda input'!BC$3,'RES Assumptions T15'!$V$3:$W$35,2,FALSE),'RES Techs T15'!$G$3:$U$3,0))</f>
        <v>0.18</v>
      </c>
      <c r="BD18" s="9">
        <f ca="1">OFFSET('RES Techs T15'!$W18,0,MATCH(VLOOKUP('RES Veda input'!BD$3,'RES Assumptions T15'!$V$3:$W$35,2,FALSE),'RES Techs T15'!$G$3:$U$3,0))</f>
        <v>0.18</v>
      </c>
      <c r="BE18" s="9">
        <f ca="1">OFFSET('RES Techs T15'!$W18,0,MATCH(VLOOKUP('RES Veda input'!BE$3,'RES Assumptions T15'!$V$3:$W$35,2,FALSE),'RES Techs T15'!$G$3:$U$3,0))</f>
        <v>0.18</v>
      </c>
      <c r="BF18" s="9">
        <f ca="1">OFFSET('RES Techs T15'!$W18,0,MATCH(VLOOKUP('RES Veda input'!BF$3,'RES Assumptions T15'!$V$3:$W$35,2,FALSE),'RES Techs T15'!$G$3:$U$3,0))</f>
        <v>0.18</v>
      </c>
      <c r="BG18" s="9">
        <f ca="1">OFFSET('RES Techs T15'!$W18,0,MATCH(VLOOKUP('RES Veda input'!BG$3,'RES Assumptions T15'!$V$3:$W$35,2,FALSE),'RES Techs T15'!$G$3:$U$3,0))</f>
        <v>0.18</v>
      </c>
      <c r="BH18" s="9">
        <f ca="1">OFFSET('RES Techs T15'!$W18,0,MATCH(VLOOKUP('RES Veda input'!BH$3,'RES Assumptions T15'!$V$3:$W$35,2,FALSE),'RES Techs T15'!$G$3:$U$3,0))</f>
        <v>0.18</v>
      </c>
      <c r="BI18" s="9">
        <f ca="1">OFFSET('RES Techs T15'!$W18,0,MATCH(VLOOKUP('RES Veda input'!BI$3,'RES Assumptions T15'!$V$3:$W$35,2,FALSE),'RES Techs T15'!$G$3:$U$3,0))</f>
        <v>0.18</v>
      </c>
      <c r="BJ18" s="9">
        <f ca="1">OFFSET('RES Techs T15'!$W18,0,MATCH(VLOOKUP('RES Veda input'!BJ$3,'RES Assumptions T15'!$V$3:$W$35,2,FALSE),'RES Techs T15'!$G$3:$U$3,0))</f>
        <v>0.18</v>
      </c>
      <c r="BK18" s="9">
        <f ca="1">OFFSET('RES Techs T15'!$W18,0,MATCH(VLOOKUP('RES Veda input'!BK$3,'RES Assumptions T15'!$V$3:$W$35,2,FALSE),'RES Techs T15'!$G$3:$U$3,0))</f>
        <v>0.18</v>
      </c>
      <c r="BL18" s="9">
        <f ca="1">OFFSET('RES Techs T15'!$W18,0,MATCH(VLOOKUP('RES Veda input'!BL$3,'RES Assumptions T15'!$V$3:$W$35,2,FALSE),'RES Techs T15'!$G$3:$U$3,0))</f>
        <v>0.18</v>
      </c>
      <c r="BM18" s="9">
        <f ca="1">OFFSET('RES Techs T15'!$W18,0,MATCH(VLOOKUP('RES Veda input'!BM$3,'RES Assumptions T15'!$V$3:$W$35,2,FALSE),'RES Techs T15'!$G$3:$U$3,0))</f>
        <v>0.18</v>
      </c>
      <c r="BN18" s="9">
        <f ca="1">OFFSET('RES Techs T15'!$W18,0,MATCH(VLOOKUP('RES Veda input'!BN$3,'RES Assumptions T15'!$V$3:$W$35,2,FALSE),'RES Techs T15'!$G$3:$U$3,0))</f>
        <v>0.18</v>
      </c>
      <c r="BO18" s="9">
        <f ca="1">OFFSET('RES Techs T15'!$W18,0,MATCH(VLOOKUP('RES Veda input'!BO$3,'RES Assumptions T15'!$V$3:$W$35,2,FALSE),'RES Techs T15'!$G$3:$U$3,0))</f>
        <v>0.3</v>
      </c>
      <c r="BP18" s="9">
        <f ca="1">OFFSET('RES Techs T15'!$W18,0,MATCH(VLOOKUP('RES Veda input'!BP$3,'RES Assumptions T15'!$V$3:$W$35,2,FALSE),'RES Techs T15'!$G$3:$U$3,0))</f>
        <v>0.3</v>
      </c>
      <c r="BR18" s="8" t="str">
        <f t="shared" si="61"/>
        <v>RSHERS000</v>
      </c>
      <c r="BS18" s="9">
        <f t="shared" ca="1" si="62"/>
        <v>7.2</v>
      </c>
      <c r="BT18" s="9" t="str">
        <f ca="1">IF(OFFSET('RES Techs T15'!$AO18,0,MATCH(VLOOKUP('RES Veda input'!BT$3,'RES Assumptions T15'!$V$3:$W$35,2,FALSE),'RES Techs T15'!$G$3:$U$3,0))=0,"",OFFSET('RES Techs T15'!$AO18,0,MATCH(VLOOKUP('RES Veda input'!BT$3,'RES Assumptions T15'!$V$3:$W$35,2,FALSE),'RES Techs T15'!$G$3:$U$3,0)))</f>
        <v/>
      </c>
      <c r="BU18" s="9" t="str">
        <f ca="1">IF(OFFSET('RES Techs T15'!$AO18,0,MATCH(VLOOKUP('RES Veda input'!BU$3,'RES Assumptions T15'!$V$3:$W$35,2,FALSE),'RES Techs T15'!$G$3:$U$3,0))=0,"",OFFSET('RES Techs T15'!$AO18,0,MATCH(VLOOKUP('RES Veda input'!BU$3,'RES Assumptions T15'!$V$3:$W$35,2,FALSE),'RES Techs T15'!$G$3:$U$3,0)))</f>
        <v/>
      </c>
      <c r="BV18" s="9">
        <f ca="1">IF(OFFSET('RES Techs T15'!$AO18,0,MATCH(VLOOKUP('RES Veda input'!BV$3,'RES Assumptions T15'!$V$3:$W$35,2,FALSE),'RES Techs T15'!$G$3:$U$3,0))=0,"",OFFSET('RES Techs T15'!$AO18,0,MATCH(VLOOKUP('RES Veda input'!BV$3,'RES Assumptions T15'!$V$3:$W$35,2,FALSE),'RES Techs T15'!$G$3:$U$3,0)))</f>
        <v>8.4</v>
      </c>
      <c r="BW18" s="9" t="str">
        <f ca="1">IF(OFFSET('RES Techs T15'!$AO18,0,MATCH(VLOOKUP('RES Veda input'!BW$3,'RES Assumptions T15'!$V$3:$W$35,2,FALSE),'RES Techs T15'!$G$3:$U$3,0))=0,"",OFFSET('RES Techs T15'!$AO18,0,MATCH(VLOOKUP('RES Veda input'!BW$3,'RES Assumptions T15'!$V$3:$W$35,2,FALSE),'RES Techs T15'!$G$3:$U$3,0)))</f>
        <v/>
      </c>
      <c r="BX18" s="9">
        <f ca="1">IF(OFFSET('RES Techs T15'!$AO18,0,MATCH(VLOOKUP('RES Veda input'!BX$3,'RES Assumptions T15'!$V$3:$W$35,2,FALSE),'RES Techs T15'!$G$3:$U$3,0))=0,"",OFFSET('RES Techs T15'!$AO18,0,MATCH(VLOOKUP('RES Veda input'!BX$3,'RES Assumptions T15'!$V$3:$W$35,2,FALSE),'RES Techs T15'!$G$3:$U$3,0)))</f>
        <v>12</v>
      </c>
      <c r="BY18" s="9">
        <f ca="1">IF(OFFSET('RES Techs T15'!$AO18,0,MATCH(VLOOKUP('RES Veda input'!BY$3,'RES Assumptions T15'!$V$3:$W$35,2,FALSE),'RES Techs T15'!$G$3:$U$3,0))=0,"",OFFSET('RES Techs T15'!$AO18,0,MATCH(VLOOKUP('RES Veda input'!BY$3,'RES Assumptions T15'!$V$3:$W$35,2,FALSE),'RES Techs T15'!$G$3:$U$3,0)))</f>
        <v>7.2</v>
      </c>
      <c r="BZ18" s="9" t="str">
        <f ca="1">IF(OFFSET('RES Techs T15'!$AO18,0,MATCH(VLOOKUP('RES Veda input'!BZ$3,'RES Assumptions T15'!$V$3:$W$35,2,FALSE),'RES Techs T15'!$G$3:$U$3,0))=0,"",OFFSET('RES Techs T15'!$AO18,0,MATCH(VLOOKUP('RES Veda input'!BZ$3,'RES Assumptions T15'!$V$3:$W$35,2,FALSE),'RES Techs T15'!$G$3:$U$3,0)))</f>
        <v/>
      </c>
      <c r="CA18" s="9">
        <f ca="1">IF(OFFSET('RES Techs T15'!$AO18,0,MATCH(VLOOKUP('RES Veda input'!CA$3,'RES Assumptions T15'!$V$3:$W$35,2,FALSE),'RES Techs T15'!$G$3:$U$3,0))=0,"",OFFSET('RES Techs T15'!$AO18,0,MATCH(VLOOKUP('RES Veda input'!CA$3,'RES Assumptions T15'!$V$3:$W$35,2,FALSE),'RES Techs T15'!$G$3:$U$3,0)))</f>
        <v>8.4</v>
      </c>
      <c r="CB18" s="9" t="str">
        <f ca="1">IF(OFFSET('RES Techs T15'!$AO18,0,MATCH(VLOOKUP('RES Veda input'!CB$3,'RES Assumptions T15'!$V$3:$W$35,2,FALSE),'RES Techs T15'!$G$3:$U$3,0))=0,"",OFFSET('RES Techs T15'!$AO18,0,MATCH(VLOOKUP('RES Veda input'!CB$3,'RES Assumptions T15'!$V$3:$W$35,2,FALSE),'RES Techs T15'!$G$3:$U$3,0)))</f>
        <v/>
      </c>
      <c r="CC18" s="9" t="str">
        <f ca="1">IF(OFFSET('RES Techs T15'!$AO18,0,MATCH(VLOOKUP('RES Veda input'!CC$3,'RES Assumptions T15'!$V$3:$W$35,2,FALSE),'RES Techs T15'!$G$3:$U$3,0))=0,"",OFFSET('RES Techs T15'!$AO18,0,MATCH(VLOOKUP('RES Veda input'!CC$3,'RES Assumptions T15'!$V$3:$W$35,2,FALSE),'RES Techs T15'!$G$3:$U$3,0)))</f>
        <v/>
      </c>
      <c r="CD18" s="9" t="str">
        <f ca="1">IF(OFFSET('RES Techs T15'!$AO18,0,MATCH(VLOOKUP('RES Veda input'!CD$3,'RES Assumptions T15'!$V$3:$W$35,2,FALSE),'RES Techs T15'!$G$3:$U$3,0))=0,"",OFFSET('RES Techs T15'!$AO18,0,MATCH(VLOOKUP('RES Veda input'!CD$3,'RES Assumptions T15'!$V$3:$W$35,2,FALSE),'RES Techs T15'!$G$3:$U$3,0)))</f>
        <v/>
      </c>
      <c r="CE18" s="9" t="str">
        <f ca="1">IF(OFFSET('RES Techs T15'!$AO18,0,MATCH(VLOOKUP('RES Veda input'!CE$3,'RES Assumptions T15'!$V$3:$W$35,2,FALSE),'RES Techs T15'!$G$3:$U$3,0))=0,"",OFFSET('RES Techs T15'!$AO18,0,MATCH(VLOOKUP('RES Veda input'!CE$3,'RES Assumptions T15'!$V$3:$W$35,2,FALSE),'RES Techs T15'!$G$3:$U$3,0)))</f>
        <v/>
      </c>
      <c r="CF18" s="9" t="str">
        <f ca="1">IF(OFFSET('RES Techs T15'!$AO18,0,MATCH(VLOOKUP('RES Veda input'!CF$3,'RES Assumptions T15'!$V$3:$W$35,2,FALSE),'RES Techs T15'!$G$3:$U$3,0))=0,"",OFFSET('RES Techs T15'!$AO18,0,MATCH(VLOOKUP('RES Veda input'!CF$3,'RES Assumptions T15'!$V$3:$W$35,2,FALSE),'RES Techs T15'!$G$3:$U$3,0)))</f>
        <v/>
      </c>
      <c r="CG18" s="9" t="str">
        <f ca="1">IF(OFFSET('RES Techs T15'!$AO18,0,MATCH(VLOOKUP('RES Veda input'!CG$3,'RES Assumptions T15'!$V$3:$W$35,2,FALSE),'RES Techs T15'!$G$3:$U$3,0))=0,"",OFFSET('RES Techs T15'!$AO18,0,MATCH(VLOOKUP('RES Veda input'!CG$3,'RES Assumptions T15'!$V$3:$W$35,2,FALSE),'RES Techs T15'!$G$3:$U$3,0)))</f>
        <v/>
      </c>
      <c r="CH18" s="9" t="str">
        <f ca="1">IF(OFFSET('RES Techs T15'!$AO18,0,MATCH(VLOOKUP('RES Veda input'!CH$3,'RES Assumptions T15'!$V$3:$W$35,2,FALSE),'RES Techs T15'!$G$3:$U$3,0))=0,"",OFFSET('RES Techs T15'!$AO18,0,MATCH(VLOOKUP('RES Veda input'!CH$3,'RES Assumptions T15'!$V$3:$W$35,2,FALSE),'RES Techs T15'!$G$3:$U$3,0)))</f>
        <v/>
      </c>
      <c r="CI18" s="9" t="str">
        <f ca="1">IF(OFFSET('RES Techs T15'!$AO18,0,MATCH(VLOOKUP('RES Veda input'!CI$3,'RES Assumptions T15'!$V$3:$W$35,2,FALSE),'RES Techs T15'!$G$3:$U$3,0))=0,"",OFFSET('RES Techs T15'!$AO18,0,MATCH(VLOOKUP('RES Veda input'!CI$3,'RES Assumptions T15'!$V$3:$W$35,2,FALSE),'RES Techs T15'!$G$3:$U$3,0)))</f>
        <v/>
      </c>
      <c r="CJ18" s="9">
        <f ca="1">IF(OFFSET('RES Techs T15'!$AO18,0,MATCH(VLOOKUP('RES Veda input'!CJ$3,'RES Assumptions T15'!$V$3:$W$35,2,FALSE),'RES Techs T15'!$G$3:$U$3,0))=0,"",OFFSET('RES Techs T15'!$AO18,0,MATCH(VLOOKUP('RES Veda input'!CJ$3,'RES Assumptions T15'!$V$3:$W$35,2,FALSE),'RES Techs T15'!$G$3:$U$3,0)))</f>
        <v>8.4</v>
      </c>
      <c r="CK18" s="9" t="str">
        <f ca="1">IF(OFFSET('RES Techs T15'!$AO18,0,MATCH(VLOOKUP('RES Veda input'!CK$3,'RES Assumptions T15'!$V$3:$W$35,2,FALSE),'RES Techs T15'!$G$3:$U$3,0))=0,"",OFFSET('RES Techs T15'!$AO18,0,MATCH(VLOOKUP('RES Veda input'!CK$3,'RES Assumptions T15'!$V$3:$W$35,2,FALSE),'RES Techs T15'!$G$3:$U$3,0)))</f>
        <v/>
      </c>
      <c r="CL18" s="9" t="str">
        <f ca="1">IF(OFFSET('RES Techs T15'!$AO18,0,MATCH(VLOOKUP('RES Veda input'!CL$3,'RES Assumptions T15'!$V$3:$W$35,2,FALSE),'RES Techs T15'!$G$3:$U$3,0))=0,"",OFFSET('RES Techs T15'!$AO18,0,MATCH(VLOOKUP('RES Veda input'!CL$3,'RES Assumptions T15'!$V$3:$W$35,2,FALSE),'RES Techs T15'!$G$3:$U$3,0)))</f>
        <v/>
      </c>
      <c r="CM18" s="9">
        <f ca="1">IF(OFFSET('RES Techs T15'!$AO18,0,MATCH(VLOOKUP('RES Veda input'!CM$3,'RES Assumptions T15'!$V$3:$W$35,2,FALSE),'RES Techs T15'!$G$3:$U$3,0))=0,"",OFFSET('RES Techs T15'!$AO18,0,MATCH(VLOOKUP('RES Veda input'!CM$3,'RES Assumptions T15'!$V$3:$W$35,2,FALSE),'RES Techs T15'!$G$3:$U$3,0)))</f>
        <v>7.2</v>
      </c>
      <c r="CN18" s="9">
        <f ca="1">IF(OFFSET('RES Techs T15'!$AO18,0,MATCH(VLOOKUP('RES Veda input'!CN$3,'RES Assumptions T15'!$V$3:$W$35,2,FALSE),'RES Techs T15'!$G$3:$U$3,0))=0,"",OFFSET('RES Techs T15'!$AO18,0,MATCH(VLOOKUP('RES Veda input'!CN$3,'RES Assumptions T15'!$V$3:$W$35,2,FALSE),'RES Techs T15'!$G$3:$U$3,0)))</f>
        <v>8.4</v>
      </c>
      <c r="CO18" s="9">
        <f ca="1">IF(OFFSET('RES Techs T15'!$AO18,0,MATCH(VLOOKUP('RES Veda input'!CO$3,'RES Assumptions T15'!$V$3:$W$35,2,FALSE),'RES Techs T15'!$G$3:$U$3,0))=0,"",OFFSET('RES Techs T15'!$AO18,0,MATCH(VLOOKUP('RES Veda input'!CO$3,'RES Assumptions T15'!$V$3:$W$35,2,FALSE),'RES Techs T15'!$G$3:$U$3,0)))</f>
        <v>9.6</v>
      </c>
      <c r="CP18" s="9">
        <f ca="1">IF(OFFSET('RES Techs T15'!$AO18,0,MATCH(VLOOKUP('RES Veda input'!CP$3,'RES Assumptions T15'!$V$3:$W$35,2,FALSE),'RES Techs T15'!$G$3:$U$3,0))=0,"",OFFSET('RES Techs T15'!$AO18,0,MATCH(VLOOKUP('RES Veda input'!CP$3,'RES Assumptions T15'!$V$3:$W$35,2,FALSE),'RES Techs T15'!$G$3:$U$3,0)))</f>
        <v>8.4</v>
      </c>
      <c r="CQ18" s="9" t="str">
        <f ca="1">IF(OFFSET('RES Techs T15'!$AO18,0,MATCH(VLOOKUP('RES Veda input'!CQ$3,'RES Assumptions T15'!$V$3:$W$35,2,FALSE),'RES Techs T15'!$G$3:$U$3,0))=0,"",OFFSET('RES Techs T15'!$AO18,0,MATCH(VLOOKUP('RES Veda input'!CQ$3,'RES Assumptions T15'!$V$3:$W$35,2,FALSE),'RES Techs T15'!$G$3:$U$3,0)))</f>
        <v/>
      </c>
      <c r="CR18" s="9" t="str">
        <f ca="1">IF(OFFSET('RES Techs T15'!$AO18,0,MATCH(VLOOKUP('RES Veda input'!CR$3,'RES Assumptions T15'!$V$3:$W$35,2,FALSE),'RES Techs T15'!$G$3:$U$3,0))=0,"",OFFSET('RES Techs T15'!$AO18,0,MATCH(VLOOKUP('RES Veda input'!CR$3,'RES Assumptions T15'!$V$3:$W$35,2,FALSE),'RES Techs T15'!$G$3:$U$3,0)))</f>
        <v/>
      </c>
      <c r="CS18" s="9">
        <f ca="1">IF(OFFSET('RES Techs T15'!$AO18,0,MATCH(VLOOKUP('RES Veda input'!CS$3,'RES Assumptions T15'!$V$3:$W$35,2,FALSE),'RES Techs T15'!$G$3:$U$3,0))=0,"",OFFSET('RES Techs T15'!$AO18,0,MATCH(VLOOKUP('RES Veda input'!CS$3,'RES Assumptions T15'!$V$3:$W$35,2,FALSE),'RES Techs T15'!$G$3:$U$3,0)))</f>
        <v>8.4</v>
      </c>
      <c r="CT18" s="9" t="str">
        <f ca="1">IF(OFFSET('RES Techs T15'!$AO18,0,MATCH(VLOOKUP('RES Veda input'!CT$3,'RES Assumptions T15'!$V$3:$W$35,2,FALSE),'RES Techs T15'!$G$3:$U$3,0))=0,"",OFFSET('RES Techs T15'!$AO18,0,MATCH(VLOOKUP('RES Veda input'!CT$3,'RES Assumptions T15'!$V$3:$W$35,2,FALSE),'RES Techs T15'!$G$3:$U$3,0)))</f>
        <v/>
      </c>
      <c r="CU18" s="9" t="str">
        <f ca="1">IF(OFFSET('RES Techs T15'!$AO18,0,MATCH(VLOOKUP('RES Veda input'!CU$3,'RES Assumptions T15'!$V$3:$W$35,2,FALSE),'RES Techs T15'!$G$3:$U$3,0))=0,"",OFFSET('RES Techs T15'!$AO18,0,MATCH(VLOOKUP('RES Veda input'!CU$3,'RES Assumptions T15'!$V$3:$W$35,2,FALSE),'RES Techs T15'!$G$3:$U$3,0)))</f>
        <v/>
      </c>
      <c r="CV18" s="9">
        <f ca="1">IF(OFFSET('RES Techs T15'!$AO18,0,MATCH(VLOOKUP('RES Veda input'!CV$3,'RES Assumptions T15'!$V$3:$W$35,2,FALSE),'RES Techs T15'!$G$3:$U$3,0))=0,"",OFFSET('RES Techs T15'!$AO18,0,MATCH(VLOOKUP('RES Veda input'!CV$3,'RES Assumptions T15'!$V$3:$W$35,2,FALSE),'RES Techs T15'!$G$3:$U$3,0)))</f>
        <v>0.54</v>
      </c>
      <c r="CW18" s="9">
        <f ca="1">IF(OFFSET('RES Techs T15'!$AO18,0,MATCH(VLOOKUP('RES Veda input'!CW$3,'RES Assumptions T15'!$V$3:$W$35,2,FALSE),'RES Techs T15'!$G$3:$U$3,0))=0,"",OFFSET('RES Techs T15'!$AO18,0,MATCH(VLOOKUP('RES Veda input'!CW$3,'RES Assumptions T15'!$V$3:$W$35,2,FALSE),'RES Techs T15'!$G$3:$U$3,0)))</f>
        <v>0.54</v>
      </c>
      <c r="CY18" s="8" t="str">
        <f t="shared" si="63"/>
        <v>RSHERS000</v>
      </c>
      <c r="CZ18" s="10">
        <f ca="1">ROUND('RES Assumptions'!E101*'RES Veda input'!G18/'RES Veda input'!AM18,3)</f>
        <v>0</v>
      </c>
      <c r="DA18" s="10">
        <f ca="1">ROUND('RES Assumptions'!F101*'RES Veda input'!H18/'RES Veda input'!AN18,3)</f>
        <v>0</v>
      </c>
      <c r="DB18" s="10">
        <f ca="1">ROUND('RES Assumptions'!G101*'RES Veda input'!I18/'RES Veda input'!AO18,3)</f>
        <v>7.6029999999999998</v>
      </c>
      <c r="DC18" s="10">
        <f ca="1">ROUND('RES Assumptions'!H101*'RES Veda input'!J18/'RES Veda input'!AP18,3)</f>
        <v>82.102000000000004</v>
      </c>
      <c r="DD18" s="10">
        <f ca="1">ROUND('RES Assumptions'!I101*'RES Veda input'!K18/'RES Veda input'!AQ18,3)</f>
        <v>507.94600000000003</v>
      </c>
      <c r="DE18" s="10">
        <f ca="1">ROUND('RES Assumptions'!J101*'RES Veda input'!L18/'RES Veda input'!AR18,3)</f>
        <v>0</v>
      </c>
      <c r="DF18" s="10">
        <f ca="1">ROUND('RES Assumptions'!K101*'RES Veda input'!M18/'RES Veda input'!AS18,3)</f>
        <v>115.742</v>
      </c>
      <c r="DG18" s="10">
        <f ca="1">ROUND('RES Assumptions'!L101*'RES Veda input'!N18/'RES Veda input'!AT18,3)</f>
        <v>19.094999999999999</v>
      </c>
      <c r="DH18" s="10">
        <f ca="1">ROUND('RES Assumptions'!M101*'RES Veda input'!O18/'RES Veda input'!AU18,3)</f>
        <v>1011.592</v>
      </c>
      <c r="DI18" s="10">
        <f ca="1">ROUND('RES Assumptions'!N101*'RES Veda input'!P18/'RES Veda input'!AV18,3)</f>
        <v>1187.538</v>
      </c>
      <c r="DJ18" s="10">
        <f ca="1">ROUND('RES Assumptions'!O101*'RES Veda input'!Q18/'RES Veda input'!AW18,3)</f>
        <v>198.43600000000001</v>
      </c>
      <c r="DK18" s="10">
        <f ca="1">ROUND('RES Assumptions'!P101*'RES Veda input'!R18/'RES Veda input'!AX18,3)</f>
        <v>113.35599999999999</v>
      </c>
      <c r="DL18" s="10">
        <f ca="1">ROUND('RES Assumptions'!Q101*'RES Veda input'!S18/'RES Veda input'!AY18,3)</f>
        <v>131.55099999999999</v>
      </c>
      <c r="DM18" s="10">
        <f ca="1">ROUND('RES Assumptions'!R101*'RES Veda input'!T18/'RES Veda input'!AZ18,3)</f>
        <v>221.60400000000001</v>
      </c>
      <c r="DN18" s="10">
        <f ca="1">ROUND('RES Assumptions'!S101*'RES Veda input'!U18/'RES Veda input'!BA18,3)</f>
        <v>68.055999999999997</v>
      </c>
      <c r="DO18" s="10">
        <f ca="1">ROUND('RES Assumptions'!T101*'RES Veda input'!V18/'RES Veda input'!BB18,3)</f>
        <v>223.18100000000001</v>
      </c>
      <c r="DP18" s="10">
        <f ca="1">ROUND('RES Assumptions'!U101*'RES Veda input'!W18/'RES Veda input'!BC18,3)</f>
        <v>45.555</v>
      </c>
      <c r="DQ18" s="10">
        <f ca="1">ROUND('RES Assumptions'!V101*'RES Veda input'!X18/'RES Veda input'!BD18,3)</f>
        <v>413.51600000000002</v>
      </c>
      <c r="DR18" s="10">
        <f ca="1">ROUND('RES Assumptions'!W101*'RES Veda input'!Y18/'RES Veda input'!BE18,3)</f>
        <v>327.60599999999999</v>
      </c>
      <c r="DS18" s="10">
        <f ca="1">ROUND('RES Assumptions'!X101*'RES Veda input'!Z18/'RES Veda input'!BF18,3)</f>
        <v>0</v>
      </c>
      <c r="DT18" s="10">
        <f ca="1">ROUND('RES Assumptions'!Y101*'RES Veda input'!AA18/'RES Veda input'!BG18,3)</f>
        <v>15.254</v>
      </c>
      <c r="DU18" s="10">
        <f ca="1">ROUND('RES Assumptions'!Z101*'RES Veda input'!AB18/'RES Veda input'!BH18,3)</f>
        <v>32.500999999999998</v>
      </c>
      <c r="DV18" s="10">
        <f ca="1">ROUND('RES Assumptions'!AA101*'RES Veda input'!AC18/'RES Veda input'!BI18,3)</f>
        <v>82.88</v>
      </c>
      <c r="DW18" s="10">
        <f ca="1">ROUND('RES Assumptions'!AB101*'RES Veda input'!AD18/'RES Veda input'!BJ18,3)</f>
        <v>106.004</v>
      </c>
      <c r="DX18" s="10">
        <f ca="1">ROUND('RES Assumptions'!AC101*'RES Veda input'!AE18/'RES Veda input'!BK18,3)</f>
        <v>231.023</v>
      </c>
      <c r="DY18" s="10">
        <f ca="1">ROUND('RES Assumptions'!AD101*'RES Veda input'!AF18/'RES Veda input'!BL18,3)</f>
        <v>39.792000000000002</v>
      </c>
      <c r="DZ18" s="10">
        <f ca="1">ROUND('RES Assumptions'!AE101*'RES Veda input'!AG18/'RES Veda input'!BM18,3)</f>
        <v>0</v>
      </c>
      <c r="EA18" s="10">
        <f ca="1">ROUND('RES Assumptions'!AF101*'RES Veda input'!AH18/'RES Veda input'!BN18,3)</f>
        <v>268.8</v>
      </c>
      <c r="EB18" s="10">
        <f ca="1">ROUND('RES Assumptions'!AG101*'RES Veda input'!AI18/'RES Veda input'!BO18,3)</f>
        <v>1005.208</v>
      </c>
      <c r="EC18" s="10">
        <f ca="1">ROUND('RES Assumptions'!AH101*'RES Veda input'!AJ18/'RES Veda input'!BP18,3)</f>
        <v>0</v>
      </c>
      <c r="ED18">
        <v>20</v>
      </c>
      <c r="EG18" t="s">
        <v>281</v>
      </c>
      <c r="EH18" t="str">
        <f t="shared" si="64"/>
        <v>RSHERS000</v>
      </c>
      <c r="EJ18" t="s">
        <v>282</v>
      </c>
      <c r="EK18" t="s">
        <v>283</v>
      </c>
    </row>
    <row r="19" spans="1:141" x14ac:dyDescent="0.45">
      <c r="A19" s="37" t="str">
        <f>'RES Assumptions'!B102</f>
        <v>RH</v>
      </c>
      <c r="B19" s="37" t="s">
        <v>131</v>
      </c>
      <c r="D19" s="51" t="s">
        <v>295</v>
      </c>
      <c r="E19" s="8" t="str">
        <f>'RES Assumptions'!A102</f>
        <v>RESGEO</v>
      </c>
      <c r="F19" s="8" t="str">
        <f>VLOOKUP(A19,'RES Assumptions'!$AN$87:$AO$97,2,FALSE)</f>
        <v>RSH</v>
      </c>
      <c r="G19" s="9">
        <f ca="1">OFFSET('RES Techs T15'!$F19,0,MATCH(VLOOKUP('RES Veda input'!G$3,'RES Assumptions T15'!$V$3:$W$35,2,FALSE),'RES Techs T15'!$G$3:$U$3,0))</f>
        <v>0.9</v>
      </c>
      <c r="H19" s="9">
        <f ca="1">OFFSET('RES Techs T15'!$F19,0,MATCH(VLOOKUP('RES Veda input'!H$3,'RES Assumptions T15'!$V$3:$W$35,2,FALSE),'RES Techs T15'!$G$3:$U$3,0))</f>
        <v>0.9</v>
      </c>
      <c r="I19" s="9">
        <f ca="1">OFFSET('RES Techs T15'!$F19,0,MATCH(VLOOKUP('RES Veda input'!I$3,'RES Assumptions T15'!$V$3:$W$35,2,FALSE),'RES Techs T15'!$G$3:$U$3,0))</f>
        <v>0.9</v>
      </c>
      <c r="J19" s="9">
        <f ca="1">OFFSET('RES Techs T15'!$F19,0,MATCH(VLOOKUP('RES Veda input'!J$3,'RES Assumptions T15'!$V$3:$W$35,2,FALSE),'RES Techs T15'!$G$3:$U$3,0))</f>
        <v>0.9</v>
      </c>
      <c r="K19" s="9">
        <f ca="1">OFFSET('RES Techs T15'!$F19,0,MATCH(VLOOKUP('RES Veda input'!K$3,'RES Assumptions T15'!$V$3:$W$35,2,FALSE),'RES Techs T15'!$G$3:$U$3,0))</f>
        <v>0.9</v>
      </c>
      <c r="L19" s="9">
        <f ca="1">OFFSET('RES Techs T15'!$F19,0,MATCH(VLOOKUP('RES Veda input'!L$3,'RES Assumptions T15'!$V$3:$W$35,2,FALSE),'RES Techs T15'!$G$3:$U$3,0))</f>
        <v>0.9</v>
      </c>
      <c r="M19" s="9">
        <f ca="1">OFFSET('RES Techs T15'!$F19,0,MATCH(VLOOKUP('RES Veda input'!M$3,'RES Assumptions T15'!$V$3:$W$35,2,FALSE),'RES Techs T15'!$G$3:$U$3,0))</f>
        <v>0.9</v>
      </c>
      <c r="N19" s="9">
        <f ca="1">OFFSET('RES Techs T15'!$F19,0,MATCH(VLOOKUP('RES Veda input'!N$3,'RES Assumptions T15'!$V$3:$W$35,2,FALSE),'RES Techs T15'!$G$3:$U$3,0))</f>
        <v>0.9</v>
      </c>
      <c r="O19" s="9">
        <f ca="1">OFFSET('RES Techs T15'!$F19,0,MATCH(VLOOKUP('RES Veda input'!O$3,'RES Assumptions T15'!$V$3:$W$35,2,FALSE),'RES Techs T15'!$G$3:$U$3,0))</f>
        <v>0.9</v>
      </c>
      <c r="P19" s="9">
        <f ca="1">OFFSET('RES Techs T15'!$F19,0,MATCH(VLOOKUP('RES Veda input'!P$3,'RES Assumptions T15'!$V$3:$W$35,2,FALSE),'RES Techs T15'!$G$3:$U$3,0))</f>
        <v>0.9</v>
      </c>
      <c r="Q19" s="9">
        <f ca="1">OFFSET('RES Techs T15'!$F19,0,MATCH(VLOOKUP('RES Veda input'!Q$3,'RES Assumptions T15'!$V$3:$W$35,2,FALSE),'RES Techs T15'!$G$3:$U$3,0))</f>
        <v>0.9</v>
      </c>
      <c r="R19" s="9">
        <f ca="1">OFFSET('RES Techs T15'!$F19,0,MATCH(VLOOKUP('RES Veda input'!R$3,'RES Assumptions T15'!$V$3:$W$35,2,FALSE),'RES Techs T15'!$G$3:$U$3,0))</f>
        <v>0.9</v>
      </c>
      <c r="S19" s="9">
        <f ca="1">OFFSET('RES Techs T15'!$F19,0,MATCH(VLOOKUP('RES Veda input'!S$3,'RES Assumptions T15'!$V$3:$W$35,2,FALSE),'RES Techs T15'!$G$3:$U$3,0))</f>
        <v>0.9</v>
      </c>
      <c r="T19" s="9">
        <f ca="1">OFFSET('RES Techs T15'!$F19,0,MATCH(VLOOKUP('RES Veda input'!T$3,'RES Assumptions T15'!$V$3:$W$35,2,FALSE),'RES Techs T15'!$G$3:$U$3,0))</f>
        <v>0.9</v>
      </c>
      <c r="U19" s="9">
        <f ca="1">OFFSET('RES Techs T15'!$F19,0,MATCH(VLOOKUP('RES Veda input'!U$3,'RES Assumptions T15'!$V$3:$W$35,2,FALSE),'RES Techs T15'!$G$3:$U$3,0))</f>
        <v>0.9</v>
      </c>
      <c r="V19" s="9">
        <f ca="1">OFFSET('RES Techs T15'!$F19,0,MATCH(VLOOKUP('RES Veda input'!V$3,'RES Assumptions T15'!$V$3:$W$35,2,FALSE),'RES Techs T15'!$G$3:$U$3,0))</f>
        <v>0.9</v>
      </c>
      <c r="W19" s="9">
        <f ca="1">OFFSET('RES Techs T15'!$F19,0,MATCH(VLOOKUP('RES Veda input'!W$3,'RES Assumptions T15'!$V$3:$W$35,2,FALSE),'RES Techs T15'!$G$3:$U$3,0))</f>
        <v>0.9</v>
      </c>
      <c r="X19" s="9">
        <f ca="1">OFFSET('RES Techs T15'!$F19,0,MATCH(VLOOKUP('RES Veda input'!X$3,'RES Assumptions T15'!$V$3:$W$35,2,FALSE),'RES Techs T15'!$G$3:$U$3,0))</f>
        <v>0.9</v>
      </c>
      <c r="Y19" s="9">
        <f ca="1">OFFSET('RES Techs T15'!$F19,0,MATCH(VLOOKUP('RES Veda input'!Y$3,'RES Assumptions T15'!$V$3:$W$35,2,FALSE),'RES Techs T15'!$G$3:$U$3,0))</f>
        <v>0.9</v>
      </c>
      <c r="Z19" s="9">
        <f ca="1">OFFSET('RES Techs T15'!$F19,0,MATCH(VLOOKUP('RES Veda input'!Z$3,'RES Assumptions T15'!$V$3:$W$35,2,FALSE),'RES Techs T15'!$G$3:$U$3,0))</f>
        <v>0.9</v>
      </c>
      <c r="AA19" s="9">
        <f ca="1">OFFSET('RES Techs T15'!$F19,0,MATCH(VLOOKUP('RES Veda input'!AA$3,'RES Assumptions T15'!$V$3:$W$35,2,FALSE),'RES Techs T15'!$G$3:$U$3,0))</f>
        <v>0.9</v>
      </c>
      <c r="AB19" s="9">
        <f ca="1">OFFSET('RES Techs T15'!$F19,0,MATCH(VLOOKUP('RES Veda input'!AB$3,'RES Assumptions T15'!$V$3:$W$35,2,FALSE),'RES Techs T15'!$G$3:$U$3,0))</f>
        <v>0.9</v>
      </c>
      <c r="AC19" s="9">
        <f ca="1">OFFSET('RES Techs T15'!$F19,0,MATCH(VLOOKUP('RES Veda input'!AC$3,'RES Assumptions T15'!$V$3:$W$35,2,FALSE),'RES Techs T15'!$G$3:$U$3,0))</f>
        <v>0.9</v>
      </c>
      <c r="AD19" s="9">
        <f ca="1">OFFSET('RES Techs T15'!$F19,0,MATCH(VLOOKUP('RES Veda input'!AD$3,'RES Assumptions T15'!$V$3:$W$35,2,FALSE),'RES Techs T15'!$G$3:$U$3,0))</f>
        <v>0.9</v>
      </c>
      <c r="AE19" s="9">
        <f ca="1">OFFSET('RES Techs T15'!$F19,0,MATCH(VLOOKUP('RES Veda input'!AE$3,'RES Assumptions T15'!$V$3:$W$35,2,FALSE),'RES Techs T15'!$G$3:$U$3,0))</f>
        <v>0.9</v>
      </c>
      <c r="AF19" s="9">
        <f ca="1">OFFSET('RES Techs T15'!$F19,0,MATCH(VLOOKUP('RES Veda input'!AF$3,'RES Assumptions T15'!$V$3:$W$35,2,FALSE),'RES Techs T15'!$G$3:$U$3,0))</f>
        <v>0.9</v>
      </c>
      <c r="AG19" s="9">
        <f ca="1">OFFSET('RES Techs T15'!$F19,0,MATCH(VLOOKUP('RES Veda input'!AG$3,'RES Assumptions T15'!$V$3:$W$35,2,FALSE),'RES Techs T15'!$G$3:$U$3,0))</f>
        <v>0.9</v>
      </c>
      <c r="AH19" s="9">
        <f ca="1">OFFSET('RES Techs T15'!$F19,0,MATCH(VLOOKUP('RES Veda input'!AH$3,'RES Assumptions T15'!$V$3:$W$35,2,FALSE),'RES Techs T15'!$G$3:$U$3,0))</f>
        <v>0.9</v>
      </c>
      <c r="AI19" s="9">
        <f ca="1">OFFSET('RES Techs T15'!$F19,0,MATCH(VLOOKUP('RES Veda input'!AI$3,'RES Assumptions T15'!$V$3:$W$35,2,FALSE),'RES Techs T15'!$G$3:$U$3,0))</f>
        <v>0.9</v>
      </c>
      <c r="AJ19" s="9">
        <f ca="1">OFFSET('RES Techs T15'!$F19,0,MATCH(VLOOKUP('RES Veda input'!AJ$3,'RES Assumptions T15'!$V$3:$W$35,2,FALSE),'RES Techs T15'!$G$3:$U$3,0))</f>
        <v>0.9</v>
      </c>
      <c r="AL19" s="8" t="str">
        <f t="shared" si="60"/>
        <v>RSHGEO000</v>
      </c>
      <c r="AM19" s="9">
        <f ca="1">OFFSET('RES Techs T15'!$W19,0,MATCH(VLOOKUP('RES Veda input'!AM$3,'RES Assumptions T15'!$V$3:$W$35,2,FALSE),'RES Techs T15'!$G$3:$U$3,0))</f>
        <v>0.18</v>
      </c>
      <c r="AN19" s="9">
        <f ca="1">OFFSET('RES Techs T15'!$W19,0,MATCH(VLOOKUP('RES Veda input'!AN$3,'RES Assumptions T15'!$V$3:$W$35,2,FALSE),'RES Techs T15'!$G$3:$U$3,0))</f>
        <v>0.18</v>
      </c>
      <c r="AO19" s="9">
        <f ca="1">OFFSET('RES Techs T15'!$W19,0,MATCH(VLOOKUP('RES Veda input'!AO$3,'RES Assumptions T15'!$V$3:$W$35,2,FALSE),'RES Techs T15'!$G$3:$U$3,0))</f>
        <v>0.18</v>
      </c>
      <c r="AP19" s="9">
        <f ca="1">OFFSET('RES Techs T15'!$W19,0,MATCH(VLOOKUP('RES Veda input'!AP$3,'RES Assumptions T15'!$V$3:$W$35,2,FALSE),'RES Techs T15'!$G$3:$U$3,0))</f>
        <v>0.18</v>
      </c>
      <c r="AQ19" s="9">
        <f ca="1">OFFSET('RES Techs T15'!$W19,0,MATCH(VLOOKUP('RES Veda input'!AQ$3,'RES Assumptions T15'!$V$3:$W$35,2,FALSE),'RES Techs T15'!$G$3:$U$3,0))</f>
        <v>0.18</v>
      </c>
      <c r="AR19" s="9">
        <f ca="1">OFFSET('RES Techs T15'!$W19,0,MATCH(VLOOKUP('RES Veda input'!AR$3,'RES Assumptions T15'!$V$3:$W$35,2,FALSE),'RES Techs T15'!$G$3:$U$3,0))</f>
        <v>0.11</v>
      </c>
      <c r="AS19" s="9">
        <f ca="1">OFFSET('RES Techs T15'!$W19,0,MATCH(VLOOKUP('RES Veda input'!AS$3,'RES Assumptions T15'!$V$3:$W$35,2,FALSE),'RES Techs T15'!$G$3:$U$3,0))</f>
        <v>0.21</v>
      </c>
      <c r="AT19" s="9">
        <f ca="1">OFFSET('RES Techs T15'!$W19,0,MATCH(VLOOKUP('RES Veda input'!AT$3,'RES Assumptions T15'!$V$3:$W$35,2,FALSE),'RES Techs T15'!$G$3:$U$3,0))</f>
        <v>0.18</v>
      </c>
      <c r="AU19" s="9">
        <f ca="1">OFFSET('RES Techs T15'!$W19,0,MATCH(VLOOKUP('RES Veda input'!AU$3,'RES Assumptions T15'!$V$3:$W$35,2,FALSE),'RES Techs T15'!$G$3:$U$3,0))</f>
        <v>0.24</v>
      </c>
      <c r="AV19" s="9">
        <f ca="1">OFFSET('RES Techs T15'!$W19,0,MATCH(VLOOKUP('RES Veda input'!AV$3,'RES Assumptions T15'!$V$3:$W$35,2,FALSE),'RES Techs T15'!$G$3:$U$3,0))</f>
        <v>0.18</v>
      </c>
      <c r="AW19" s="9">
        <f ca="1">OFFSET('RES Techs T15'!$W19,0,MATCH(VLOOKUP('RES Veda input'!AW$3,'RES Assumptions T15'!$V$3:$W$35,2,FALSE),'RES Techs T15'!$G$3:$U$3,0))</f>
        <v>0.18</v>
      </c>
      <c r="AX19" s="9">
        <f ca="1">OFFSET('RES Techs T15'!$W19,0,MATCH(VLOOKUP('RES Veda input'!AX$3,'RES Assumptions T15'!$V$3:$W$35,2,FALSE),'RES Techs T15'!$G$3:$U$3,0))</f>
        <v>0.18</v>
      </c>
      <c r="AY19" s="9">
        <f ca="1">OFFSET('RES Techs T15'!$W19,0,MATCH(VLOOKUP('RES Veda input'!AY$3,'RES Assumptions T15'!$V$3:$W$35,2,FALSE),'RES Techs T15'!$G$3:$U$3,0))</f>
        <v>0.18</v>
      </c>
      <c r="AZ19" s="9">
        <f ca="1">OFFSET('RES Techs T15'!$W19,0,MATCH(VLOOKUP('RES Veda input'!AZ$3,'RES Assumptions T15'!$V$3:$W$35,2,FALSE),'RES Techs T15'!$G$3:$U$3,0))</f>
        <v>0.18</v>
      </c>
      <c r="BA19" s="9">
        <f ca="1">OFFSET('RES Techs T15'!$W19,0,MATCH(VLOOKUP('RES Veda input'!BA$3,'RES Assumptions T15'!$V$3:$W$35,2,FALSE),'RES Techs T15'!$G$3:$U$3,0))</f>
        <v>0.18</v>
      </c>
      <c r="BB19" s="9">
        <f ca="1">OFFSET('RES Techs T15'!$W19,0,MATCH(VLOOKUP('RES Veda input'!BB$3,'RES Assumptions T15'!$V$3:$W$35,2,FALSE),'RES Techs T15'!$G$3:$U$3,0))</f>
        <v>0.18</v>
      </c>
      <c r="BC19" s="9">
        <f ca="1">OFFSET('RES Techs T15'!$W19,0,MATCH(VLOOKUP('RES Veda input'!BC$3,'RES Assumptions T15'!$V$3:$W$35,2,FALSE),'RES Techs T15'!$G$3:$U$3,0))</f>
        <v>0.18</v>
      </c>
      <c r="BD19" s="9">
        <f ca="1">OFFSET('RES Techs T15'!$W19,0,MATCH(VLOOKUP('RES Veda input'!BD$3,'RES Assumptions T15'!$V$3:$W$35,2,FALSE),'RES Techs T15'!$G$3:$U$3,0))</f>
        <v>0.18</v>
      </c>
      <c r="BE19" s="9">
        <f ca="1">OFFSET('RES Techs T15'!$W19,0,MATCH(VLOOKUP('RES Veda input'!BE$3,'RES Assumptions T15'!$V$3:$W$35,2,FALSE),'RES Techs T15'!$G$3:$U$3,0))</f>
        <v>0.18</v>
      </c>
      <c r="BF19" s="9">
        <f ca="1">OFFSET('RES Techs T15'!$W19,0,MATCH(VLOOKUP('RES Veda input'!BF$3,'RES Assumptions T15'!$V$3:$W$35,2,FALSE),'RES Techs T15'!$G$3:$U$3,0))</f>
        <v>0.18</v>
      </c>
      <c r="BG19" s="9">
        <f ca="1">OFFSET('RES Techs T15'!$W19,0,MATCH(VLOOKUP('RES Veda input'!BG$3,'RES Assumptions T15'!$V$3:$W$35,2,FALSE),'RES Techs T15'!$G$3:$U$3,0))</f>
        <v>0.18</v>
      </c>
      <c r="BH19" s="9">
        <f ca="1">OFFSET('RES Techs T15'!$W19,0,MATCH(VLOOKUP('RES Veda input'!BH$3,'RES Assumptions T15'!$V$3:$W$35,2,FALSE),'RES Techs T15'!$G$3:$U$3,0))</f>
        <v>0.18</v>
      </c>
      <c r="BI19" s="9">
        <f ca="1">OFFSET('RES Techs T15'!$W19,0,MATCH(VLOOKUP('RES Veda input'!BI$3,'RES Assumptions T15'!$V$3:$W$35,2,FALSE),'RES Techs T15'!$G$3:$U$3,0))</f>
        <v>0.18</v>
      </c>
      <c r="BJ19" s="9">
        <f ca="1">OFFSET('RES Techs T15'!$W19,0,MATCH(VLOOKUP('RES Veda input'!BJ$3,'RES Assumptions T15'!$V$3:$W$35,2,FALSE),'RES Techs T15'!$G$3:$U$3,0))</f>
        <v>0.18</v>
      </c>
      <c r="BK19" s="9">
        <f ca="1">OFFSET('RES Techs T15'!$W19,0,MATCH(VLOOKUP('RES Veda input'!BK$3,'RES Assumptions T15'!$V$3:$W$35,2,FALSE),'RES Techs T15'!$G$3:$U$3,0))</f>
        <v>0.18</v>
      </c>
      <c r="BL19" s="9">
        <f ca="1">OFFSET('RES Techs T15'!$W19,0,MATCH(VLOOKUP('RES Veda input'!BL$3,'RES Assumptions T15'!$V$3:$W$35,2,FALSE),'RES Techs T15'!$G$3:$U$3,0))</f>
        <v>0.18</v>
      </c>
      <c r="BM19" s="9">
        <f ca="1">OFFSET('RES Techs T15'!$W19,0,MATCH(VLOOKUP('RES Veda input'!BM$3,'RES Assumptions T15'!$V$3:$W$35,2,FALSE),'RES Techs T15'!$G$3:$U$3,0))</f>
        <v>0.18</v>
      </c>
      <c r="BN19" s="9">
        <f ca="1">OFFSET('RES Techs T15'!$W19,0,MATCH(VLOOKUP('RES Veda input'!BN$3,'RES Assumptions T15'!$V$3:$W$35,2,FALSE),'RES Techs T15'!$G$3:$U$3,0))</f>
        <v>0.18</v>
      </c>
      <c r="BO19" s="9">
        <f ca="1">OFFSET('RES Techs T15'!$W19,0,MATCH(VLOOKUP('RES Veda input'!BO$3,'RES Assumptions T15'!$V$3:$W$35,2,FALSE),'RES Techs T15'!$G$3:$U$3,0))</f>
        <v>0.3</v>
      </c>
      <c r="BP19" s="9">
        <f ca="1">OFFSET('RES Techs T15'!$W19,0,MATCH(VLOOKUP('RES Veda input'!BP$3,'RES Assumptions T15'!$V$3:$W$35,2,FALSE),'RES Techs T15'!$G$3:$U$3,0))</f>
        <v>0.3</v>
      </c>
      <c r="BR19" s="8" t="str">
        <f t="shared" si="61"/>
        <v>RSHGEO000</v>
      </c>
      <c r="BS19" s="9">
        <f t="shared" ca="1" si="62"/>
        <v>10.8</v>
      </c>
      <c r="BT19" s="9" t="str">
        <f ca="1">IF(OFFSET('RES Techs T15'!$AO19,0,MATCH(VLOOKUP('RES Veda input'!BT$3,'RES Assumptions T15'!$V$3:$W$35,2,FALSE),'RES Techs T15'!$G$3:$U$3,0))=0,"",OFFSET('RES Techs T15'!$AO19,0,MATCH(VLOOKUP('RES Veda input'!BT$3,'RES Assumptions T15'!$V$3:$W$35,2,FALSE),'RES Techs T15'!$G$3:$U$3,0)))</f>
        <v/>
      </c>
      <c r="BU19" s="9" t="str">
        <f ca="1">IF(OFFSET('RES Techs T15'!$AO19,0,MATCH(VLOOKUP('RES Veda input'!BU$3,'RES Assumptions T15'!$V$3:$W$35,2,FALSE),'RES Techs T15'!$G$3:$U$3,0))=0,"",OFFSET('RES Techs T15'!$AO19,0,MATCH(VLOOKUP('RES Veda input'!BU$3,'RES Assumptions T15'!$V$3:$W$35,2,FALSE),'RES Techs T15'!$G$3:$U$3,0)))</f>
        <v/>
      </c>
      <c r="BV19" s="9">
        <f ca="1">IF(OFFSET('RES Techs T15'!$AO19,0,MATCH(VLOOKUP('RES Veda input'!BV$3,'RES Assumptions T15'!$V$3:$W$35,2,FALSE),'RES Techs T15'!$G$3:$U$3,0))=0,"",OFFSET('RES Techs T15'!$AO19,0,MATCH(VLOOKUP('RES Veda input'!BV$3,'RES Assumptions T15'!$V$3:$W$35,2,FALSE),'RES Techs T15'!$G$3:$U$3,0)))</f>
        <v>12.6</v>
      </c>
      <c r="BW19" s="9" t="str">
        <f ca="1">IF(OFFSET('RES Techs T15'!$AO19,0,MATCH(VLOOKUP('RES Veda input'!BW$3,'RES Assumptions T15'!$V$3:$W$35,2,FALSE),'RES Techs T15'!$G$3:$U$3,0))=0,"",OFFSET('RES Techs T15'!$AO19,0,MATCH(VLOOKUP('RES Veda input'!BW$3,'RES Assumptions T15'!$V$3:$W$35,2,FALSE),'RES Techs T15'!$G$3:$U$3,0)))</f>
        <v/>
      </c>
      <c r="BX19" s="9">
        <f ca="1">IF(OFFSET('RES Techs T15'!$AO19,0,MATCH(VLOOKUP('RES Veda input'!BX$3,'RES Assumptions T15'!$V$3:$W$35,2,FALSE),'RES Techs T15'!$G$3:$U$3,0))=0,"",OFFSET('RES Techs T15'!$AO19,0,MATCH(VLOOKUP('RES Veda input'!BX$3,'RES Assumptions T15'!$V$3:$W$35,2,FALSE),'RES Techs T15'!$G$3:$U$3,0)))</f>
        <v>18</v>
      </c>
      <c r="BY19" s="9">
        <f ca="1">IF(OFFSET('RES Techs T15'!$AO19,0,MATCH(VLOOKUP('RES Veda input'!BY$3,'RES Assumptions T15'!$V$3:$W$35,2,FALSE),'RES Techs T15'!$G$3:$U$3,0))=0,"",OFFSET('RES Techs T15'!$AO19,0,MATCH(VLOOKUP('RES Veda input'!BY$3,'RES Assumptions T15'!$V$3:$W$35,2,FALSE),'RES Techs T15'!$G$3:$U$3,0)))</f>
        <v>10.8</v>
      </c>
      <c r="BZ19" s="9" t="str">
        <f ca="1">IF(OFFSET('RES Techs T15'!$AO19,0,MATCH(VLOOKUP('RES Veda input'!BZ$3,'RES Assumptions T15'!$V$3:$W$35,2,FALSE),'RES Techs T15'!$G$3:$U$3,0))=0,"",OFFSET('RES Techs T15'!$AO19,0,MATCH(VLOOKUP('RES Veda input'!BZ$3,'RES Assumptions T15'!$V$3:$W$35,2,FALSE),'RES Techs T15'!$G$3:$U$3,0)))</f>
        <v/>
      </c>
      <c r="CA19" s="9">
        <f ca="1">IF(OFFSET('RES Techs T15'!$AO19,0,MATCH(VLOOKUP('RES Veda input'!CA$3,'RES Assumptions T15'!$V$3:$W$35,2,FALSE),'RES Techs T15'!$G$3:$U$3,0))=0,"",OFFSET('RES Techs T15'!$AO19,0,MATCH(VLOOKUP('RES Veda input'!CA$3,'RES Assumptions T15'!$V$3:$W$35,2,FALSE),'RES Techs T15'!$G$3:$U$3,0)))</f>
        <v>12.6</v>
      </c>
      <c r="CB19" s="9" t="str">
        <f ca="1">IF(OFFSET('RES Techs T15'!$AO19,0,MATCH(VLOOKUP('RES Veda input'!CB$3,'RES Assumptions T15'!$V$3:$W$35,2,FALSE),'RES Techs T15'!$G$3:$U$3,0))=0,"",OFFSET('RES Techs T15'!$AO19,0,MATCH(VLOOKUP('RES Veda input'!CB$3,'RES Assumptions T15'!$V$3:$W$35,2,FALSE),'RES Techs T15'!$G$3:$U$3,0)))</f>
        <v/>
      </c>
      <c r="CC19" s="9" t="str">
        <f ca="1">IF(OFFSET('RES Techs T15'!$AO19,0,MATCH(VLOOKUP('RES Veda input'!CC$3,'RES Assumptions T15'!$V$3:$W$35,2,FALSE),'RES Techs T15'!$G$3:$U$3,0))=0,"",OFFSET('RES Techs T15'!$AO19,0,MATCH(VLOOKUP('RES Veda input'!CC$3,'RES Assumptions T15'!$V$3:$W$35,2,FALSE),'RES Techs T15'!$G$3:$U$3,0)))</f>
        <v/>
      </c>
      <c r="CD19" s="9" t="str">
        <f ca="1">IF(OFFSET('RES Techs T15'!$AO19,0,MATCH(VLOOKUP('RES Veda input'!CD$3,'RES Assumptions T15'!$V$3:$W$35,2,FALSE),'RES Techs T15'!$G$3:$U$3,0))=0,"",OFFSET('RES Techs T15'!$AO19,0,MATCH(VLOOKUP('RES Veda input'!CD$3,'RES Assumptions T15'!$V$3:$W$35,2,FALSE),'RES Techs T15'!$G$3:$U$3,0)))</f>
        <v/>
      </c>
      <c r="CE19" s="9" t="str">
        <f ca="1">IF(OFFSET('RES Techs T15'!$AO19,0,MATCH(VLOOKUP('RES Veda input'!CE$3,'RES Assumptions T15'!$V$3:$W$35,2,FALSE),'RES Techs T15'!$G$3:$U$3,0))=0,"",OFFSET('RES Techs T15'!$AO19,0,MATCH(VLOOKUP('RES Veda input'!CE$3,'RES Assumptions T15'!$V$3:$W$35,2,FALSE),'RES Techs T15'!$G$3:$U$3,0)))</f>
        <v/>
      </c>
      <c r="CF19" s="9" t="str">
        <f ca="1">IF(OFFSET('RES Techs T15'!$AO19,0,MATCH(VLOOKUP('RES Veda input'!CF$3,'RES Assumptions T15'!$V$3:$W$35,2,FALSE),'RES Techs T15'!$G$3:$U$3,0))=0,"",OFFSET('RES Techs T15'!$AO19,0,MATCH(VLOOKUP('RES Veda input'!CF$3,'RES Assumptions T15'!$V$3:$W$35,2,FALSE),'RES Techs T15'!$G$3:$U$3,0)))</f>
        <v/>
      </c>
      <c r="CG19" s="9" t="str">
        <f ca="1">IF(OFFSET('RES Techs T15'!$AO19,0,MATCH(VLOOKUP('RES Veda input'!CG$3,'RES Assumptions T15'!$V$3:$W$35,2,FALSE),'RES Techs T15'!$G$3:$U$3,0))=0,"",OFFSET('RES Techs T15'!$AO19,0,MATCH(VLOOKUP('RES Veda input'!CG$3,'RES Assumptions T15'!$V$3:$W$35,2,FALSE),'RES Techs T15'!$G$3:$U$3,0)))</f>
        <v/>
      </c>
      <c r="CH19" s="9" t="str">
        <f ca="1">IF(OFFSET('RES Techs T15'!$AO19,0,MATCH(VLOOKUP('RES Veda input'!CH$3,'RES Assumptions T15'!$V$3:$W$35,2,FALSE),'RES Techs T15'!$G$3:$U$3,0))=0,"",OFFSET('RES Techs T15'!$AO19,0,MATCH(VLOOKUP('RES Veda input'!CH$3,'RES Assumptions T15'!$V$3:$W$35,2,FALSE),'RES Techs T15'!$G$3:$U$3,0)))</f>
        <v/>
      </c>
      <c r="CI19" s="9" t="str">
        <f ca="1">IF(OFFSET('RES Techs T15'!$AO19,0,MATCH(VLOOKUP('RES Veda input'!CI$3,'RES Assumptions T15'!$V$3:$W$35,2,FALSE),'RES Techs T15'!$G$3:$U$3,0))=0,"",OFFSET('RES Techs T15'!$AO19,0,MATCH(VLOOKUP('RES Veda input'!CI$3,'RES Assumptions T15'!$V$3:$W$35,2,FALSE),'RES Techs T15'!$G$3:$U$3,0)))</f>
        <v/>
      </c>
      <c r="CJ19" s="9">
        <f ca="1">IF(OFFSET('RES Techs T15'!$AO19,0,MATCH(VLOOKUP('RES Veda input'!CJ$3,'RES Assumptions T15'!$V$3:$W$35,2,FALSE),'RES Techs T15'!$G$3:$U$3,0))=0,"",OFFSET('RES Techs T15'!$AO19,0,MATCH(VLOOKUP('RES Veda input'!CJ$3,'RES Assumptions T15'!$V$3:$W$35,2,FALSE),'RES Techs T15'!$G$3:$U$3,0)))</f>
        <v>12.6</v>
      </c>
      <c r="CK19" s="9" t="str">
        <f ca="1">IF(OFFSET('RES Techs T15'!$AO19,0,MATCH(VLOOKUP('RES Veda input'!CK$3,'RES Assumptions T15'!$V$3:$W$35,2,FALSE),'RES Techs T15'!$G$3:$U$3,0))=0,"",OFFSET('RES Techs T15'!$AO19,0,MATCH(VLOOKUP('RES Veda input'!CK$3,'RES Assumptions T15'!$V$3:$W$35,2,FALSE),'RES Techs T15'!$G$3:$U$3,0)))</f>
        <v/>
      </c>
      <c r="CL19" s="9" t="str">
        <f ca="1">IF(OFFSET('RES Techs T15'!$AO19,0,MATCH(VLOOKUP('RES Veda input'!CL$3,'RES Assumptions T15'!$V$3:$W$35,2,FALSE),'RES Techs T15'!$G$3:$U$3,0))=0,"",OFFSET('RES Techs T15'!$AO19,0,MATCH(VLOOKUP('RES Veda input'!CL$3,'RES Assumptions T15'!$V$3:$W$35,2,FALSE),'RES Techs T15'!$G$3:$U$3,0)))</f>
        <v/>
      </c>
      <c r="CM19" s="9">
        <f ca="1">IF(OFFSET('RES Techs T15'!$AO19,0,MATCH(VLOOKUP('RES Veda input'!CM$3,'RES Assumptions T15'!$V$3:$W$35,2,FALSE),'RES Techs T15'!$G$3:$U$3,0))=0,"",OFFSET('RES Techs T15'!$AO19,0,MATCH(VLOOKUP('RES Veda input'!CM$3,'RES Assumptions T15'!$V$3:$W$35,2,FALSE),'RES Techs T15'!$G$3:$U$3,0)))</f>
        <v>10.8</v>
      </c>
      <c r="CN19" s="9">
        <f ca="1">IF(OFFSET('RES Techs T15'!$AO19,0,MATCH(VLOOKUP('RES Veda input'!CN$3,'RES Assumptions T15'!$V$3:$W$35,2,FALSE),'RES Techs T15'!$G$3:$U$3,0))=0,"",OFFSET('RES Techs T15'!$AO19,0,MATCH(VLOOKUP('RES Veda input'!CN$3,'RES Assumptions T15'!$V$3:$W$35,2,FALSE),'RES Techs T15'!$G$3:$U$3,0)))</f>
        <v>12.6</v>
      </c>
      <c r="CO19" s="9">
        <f ca="1">IF(OFFSET('RES Techs T15'!$AO19,0,MATCH(VLOOKUP('RES Veda input'!CO$3,'RES Assumptions T15'!$V$3:$W$35,2,FALSE),'RES Techs T15'!$G$3:$U$3,0))=0,"",OFFSET('RES Techs T15'!$AO19,0,MATCH(VLOOKUP('RES Veda input'!CO$3,'RES Assumptions T15'!$V$3:$W$35,2,FALSE),'RES Techs T15'!$G$3:$U$3,0)))</f>
        <v>14.4</v>
      </c>
      <c r="CP19" s="9">
        <f ca="1">IF(OFFSET('RES Techs T15'!$AO19,0,MATCH(VLOOKUP('RES Veda input'!CP$3,'RES Assumptions T15'!$V$3:$W$35,2,FALSE),'RES Techs T15'!$G$3:$U$3,0))=0,"",OFFSET('RES Techs T15'!$AO19,0,MATCH(VLOOKUP('RES Veda input'!CP$3,'RES Assumptions T15'!$V$3:$W$35,2,FALSE),'RES Techs T15'!$G$3:$U$3,0)))</f>
        <v>12.6</v>
      </c>
      <c r="CQ19" s="9" t="str">
        <f ca="1">IF(OFFSET('RES Techs T15'!$AO19,0,MATCH(VLOOKUP('RES Veda input'!CQ$3,'RES Assumptions T15'!$V$3:$W$35,2,FALSE),'RES Techs T15'!$G$3:$U$3,0))=0,"",OFFSET('RES Techs T15'!$AO19,0,MATCH(VLOOKUP('RES Veda input'!CQ$3,'RES Assumptions T15'!$V$3:$W$35,2,FALSE),'RES Techs T15'!$G$3:$U$3,0)))</f>
        <v/>
      </c>
      <c r="CR19" s="9" t="str">
        <f ca="1">IF(OFFSET('RES Techs T15'!$AO19,0,MATCH(VLOOKUP('RES Veda input'!CR$3,'RES Assumptions T15'!$V$3:$W$35,2,FALSE),'RES Techs T15'!$G$3:$U$3,0))=0,"",OFFSET('RES Techs T15'!$AO19,0,MATCH(VLOOKUP('RES Veda input'!CR$3,'RES Assumptions T15'!$V$3:$W$35,2,FALSE),'RES Techs T15'!$G$3:$U$3,0)))</f>
        <v/>
      </c>
      <c r="CS19" s="9">
        <f ca="1">IF(OFFSET('RES Techs T15'!$AO19,0,MATCH(VLOOKUP('RES Veda input'!CS$3,'RES Assumptions T15'!$V$3:$W$35,2,FALSE),'RES Techs T15'!$G$3:$U$3,0))=0,"",OFFSET('RES Techs T15'!$AO19,0,MATCH(VLOOKUP('RES Veda input'!CS$3,'RES Assumptions T15'!$V$3:$W$35,2,FALSE),'RES Techs T15'!$G$3:$U$3,0)))</f>
        <v>12.6</v>
      </c>
      <c r="CT19" s="9" t="str">
        <f ca="1">IF(OFFSET('RES Techs T15'!$AO19,0,MATCH(VLOOKUP('RES Veda input'!CT$3,'RES Assumptions T15'!$V$3:$W$35,2,FALSE),'RES Techs T15'!$G$3:$U$3,0))=0,"",OFFSET('RES Techs T15'!$AO19,0,MATCH(VLOOKUP('RES Veda input'!CT$3,'RES Assumptions T15'!$V$3:$W$35,2,FALSE),'RES Techs T15'!$G$3:$U$3,0)))</f>
        <v/>
      </c>
      <c r="CU19" s="9" t="str">
        <f ca="1">IF(OFFSET('RES Techs T15'!$AO19,0,MATCH(VLOOKUP('RES Veda input'!CU$3,'RES Assumptions T15'!$V$3:$W$35,2,FALSE),'RES Techs T15'!$G$3:$U$3,0))=0,"",OFFSET('RES Techs T15'!$AO19,0,MATCH(VLOOKUP('RES Veda input'!CU$3,'RES Assumptions T15'!$V$3:$W$35,2,FALSE),'RES Techs T15'!$G$3:$U$3,0)))</f>
        <v/>
      </c>
      <c r="CV19" s="9">
        <f ca="1">IF(OFFSET('RES Techs T15'!$AO19,0,MATCH(VLOOKUP('RES Veda input'!CV$3,'RES Assumptions T15'!$V$3:$W$35,2,FALSE),'RES Techs T15'!$G$3:$U$3,0))=0,"",OFFSET('RES Techs T15'!$AO19,0,MATCH(VLOOKUP('RES Veda input'!CV$3,'RES Assumptions T15'!$V$3:$W$35,2,FALSE),'RES Techs T15'!$G$3:$U$3,0)))</f>
        <v>2</v>
      </c>
      <c r="CW19" s="9">
        <f ca="1">IF(OFFSET('RES Techs T15'!$AO19,0,MATCH(VLOOKUP('RES Veda input'!CW$3,'RES Assumptions T15'!$V$3:$W$35,2,FALSE),'RES Techs T15'!$G$3:$U$3,0))=0,"",OFFSET('RES Techs T15'!$AO19,0,MATCH(VLOOKUP('RES Veda input'!CW$3,'RES Assumptions T15'!$V$3:$W$35,2,FALSE),'RES Techs T15'!$G$3:$U$3,0)))</f>
        <v>2</v>
      </c>
      <c r="CY19" s="8" t="str">
        <f t="shared" si="63"/>
        <v>RSHGEO000</v>
      </c>
      <c r="CZ19" s="10">
        <f ca="1">ROUND('RES Assumptions'!E102*'RES Veda input'!G19/'RES Veda input'!AM19,3)</f>
        <v>0</v>
      </c>
      <c r="DA19" s="10">
        <f ca="1">ROUND('RES Assumptions'!F102*'RES Veda input'!H19/'RES Veda input'!AN19,3)</f>
        <v>0</v>
      </c>
      <c r="DB19" s="10">
        <f ca="1">ROUND('RES Assumptions'!G102*'RES Veda input'!I19/'RES Veda input'!AO19,3)</f>
        <v>0</v>
      </c>
      <c r="DC19" s="10">
        <f ca="1">ROUND('RES Assumptions'!H102*'RES Veda input'!J19/'RES Veda input'!AP19,3)</f>
        <v>1.3260000000000001</v>
      </c>
      <c r="DD19" s="10">
        <f ca="1">ROUND('RES Assumptions'!I102*'RES Veda input'!K19/'RES Veda input'!AQ19,3)</f>
        <v>19.904</v>
      </c>
      <c r="DE19" s="10">
        <f ca="1">ROUND('RES Assumptions'!J102*'RES Veda input'!L19/'RES Veda input'!AR19,3)</f>
        <v>0</v>
      </c>
      <c r="DF19" s="10">
        <f ca="1">ROUND('RES Assumptions'!K102*'RES Veda input'!M19/'RES Veda input'!AS19,3)</f>
        <v>0.89600000000000002</v>
      </c>
      <c r="DG19" s="10">
        <f ca="1">ROUND('RES Assumptions'!L102*'RES Veda input'!N19/'RES Veda input'!AT19,3)</f>
        <v>0</v>
      </c>
      <c r="DH19" s="10">
        <f ca="1">ROUND('RES Assumptions'!M102*'RES Veda input'!O19/'RES Veda input'!AU19,3)</f>
        <v>0</v>
      </c>
      <c r="DI19" s="10">
        <f ca="1">ROUND('RES Assumptions'!N102*'RES Veda input'!P19/'RES Veda input'!AV19,3)</f>
        <v>2846.002</v>
      </c>
      <c r="DJ19" s="10">
        <f ca="1">ROUND('RES Assumptions'!O102*'RES Veda input'!Q19/'RES Veda input'!AW19,3)</f>
        <v>0</v>
      </c>
      <c r="DK19" s="10">
        <f ca="1">ROUND('RES Assumptions'!P102*'RES Veda input'!R19/'RES Veda input'!AX19,3)</f>
        <v>3.9390000000000001</v>
      </c>
      <c r="DL19" s="10">
        <f ca="1">ROUND('RES Assumptions'!Q102*'RES Veda input'!S19/'RES Veda input'!AY19,3)</f>
        <v>0</v>
      </c>
      <c r="DM19" s="10">
        <f ca="1">ROUND('RES Assumptions'!R102*'RES Veda input'!T19/'RES Veda input'!AZ19,3)</f>
        <v>0.19900000000000001</v>
      </c>
      <c r="DN19" s="10">
        <f ca="1">ROUND('RES Assumptions'!S102*'RES Veda input'!U19/'RES Veda input'!BA19,3)</f>
        <v>0.746</v>
      </c>
      <c r="DO19" s="10">
        <f ca="1">ROUND('RES Assumptions'!T102*'RES Veda input'!V19/'RES Veda input'!BB19,3)</f>
        <v>1.9E-2</v>
      </c>
      <c r="DP19" s="10">
        <f ca="1">ROUND('RES Assumptions'!U102*'RES Veda input'!W19/'RES Veda input'!BC19,3)</f>
        <v>277.79399999999998</v>
      </c>
      <c r="DQ19" s="10">
        <f ca="1">ROUND('RES Assumptions'!V102*'RES Veda input'!X19/'RES Veda input'!BD19,3)</f>
        <v>0</v>
      </c>
      <c r="DR19" s="10">
        <f ca="1">ROUND('RES Assumptions'!W102*'RES Veda input'!Y19/'RES Veda input'!BE19,3)</f>
        <v>5.3</v>
      </c>
      <c r="DS19" s="10">
        <f ca="1">ROUND('RES Assumptions'!X102*'RES Veda input'!Z19/'RES Veda input'!BF19,3)</f>
        <v>0</v>
      </c>
      <c r="DT19" s="10">
        <f ca="1">ROUND('RES Assumptions'!Y102*'RES Veda input'!AA19/'RES Veda input'!BG19,3)</f>
        <v>0</v>
      </c>
      <c r="DU19" s="10">
        <f ca="1">ROUND('RES Assumptions'!Z102*'RES Veda input'!AB19/'RES Veda input'!BH19,3)</f>
        <v>0</v>
      </c>
      <c r="DV19" s="10">
        <f ca="1">ROUND('RES Assumptions'!AA102*'RES Veda input'!AC19/'RES Veda input'!BI19,3)</f>
        <v>0</v>
      </c>
      <c r="DW19" s="10">
        <f ca="1">ROUND('RES Assumptions'!AB102*'RES Veda input'!AD19/'RES Veda input'!BJ19,3)</f>
        <v>2.4700000000000002</v>
      </c>
      <c r="DX19" s="10">
        <f ca="1">ROUND('RES Assumptions'!AC102*'RES Veda input'!AE19/'RES Veda input'!BK19,3)</f>
        <v>0</v>
      </c>
      <c r="DY19" s="10">
        <f ca="1">ROUND('RES Assumptions'!AD102*'RES Veda input'!AF19/'RES Veda input'!BL19,3)</f>
        <v>0</v>
      </c>
      <c r="DZ19" s="10">
        <f ca="1">ROUND('RES Assumptions'!AE102*'RES Veda input'!AG19/'RES Veda input'!BM19,3)</f>
        <v>0</v>
      </c>
      <c r="EA19" s="10">
        <f ca="1">ROUND('RES Assumptions'!AF102*'RES Veda input'!AH19/'RES Veda input'!BN19,3)</f>
        <v>8.5000000000000006E-2</v>
      </c>
      <c r="EB19" s="10">
        <f ca="1">ROUND('RES Assumptions'!AG102*'RES Veda input'!AI19/'RES Veda input'!BO19,3)</f>
        <v>42.289000000000001</v>
      </c>
      <c r="EC19" s="10">
        <f ca="1">ROUND('RES Assumptions'!AH102*'RES Veda input'!AJ19/'RES Veda input'!BP19,3)</f>
        <v>0</v>
      </c>
      <c r="ED19">
        <v>30</v>
      </c>
      <c r="EG19" t="s">
        <v>281</v>
      </c>
      <c r="EH19" t="str">
        <f t="shared" si="64"/>
        <v>RSHGEO000</v>
      </c>
      <c r="EJ19" t="s">
        <v>282</v>
      </c>
      <c r="EK19" t="s">
        <v>283</v>
      </c>
    </row>
    <row r="20" spans="1:141" x14ac:dyDescent="0.45">
      <c r="A20" s="37" t="str">
        <f>'RES Assumptions'!B103</f>
        <v>RH</v>
      </c>
      <c r="B20" s="37" t="s">
        <v>132</v>
      </c>
      <c r="D20" s="51" t="s">
        <v>296</v>
      </c>
      <c r="E20" s="8" t="str">
        <f>'RES Assumptions'!A103</f>
        <v>RESHET</v>
      </c>
      <c r="F20" s="8" t="str">
        <f>VLOOKUP(A20,'RES Assumptions'!$AN$87:$AO$97,2,FALSE)</f>
        <v>RSH</v>
      </c>
      <c r="G20" s="9">
        <f ca="1">OFFSET('RES Techs T15'!$F20,0,MATCH(VLOOKUP('RES Veda input'!G$3,'RES Assumptions T15'!$V$3:$W$35,2,FALSE),'RES Techs T15'!$G$3:$U$3,0))</f>
        <v>0.9</v>
      </c>
      <c r="H20" s="9">
        <f ca="1">OFFSET('RES Techs T15'!$F20,0,MATCH(VLOOKUP('RES Veda input'!H$3,'RES Assumptions T15'!$V$3:$W$35,2,FALSE),'RES Techs T15'!$G$3:$U$3,0))</f>
        <v>0.9</v>
      </c>
      <c r="I20" s="9">
        <f ca="1">OFFSET('RES Techs T15'!$F20,0,MATCH(VLOOKUP('RES Veda input'!I$3,'RES Assumptions T15'!$V$3:$W$35,2,FALSE),'RES Techs T15'!$G$3:$U$3,0))</f>
        <v>0.9</v>
      </c>
      <c r="J20" s="9">
        <f ca="1">OFFSET('RES Techs T15'!$F20,0,MATCH(VLOOKUP('RES Veda input'!J$3,'RES Assumptions T15'!$V$3:$W$35,2,FALSE),'RES Techs T15'!$G$3:$U$3,0))</f>
        <v>0.9</v>
      </c>
      <c r="K20" s="9">
        <f ca="1">OFFSET('RES Techs T15'!$F20,0,MATCH(VLOOKUP('RES Veda input'!K$3,'RES Assumptions T15'!$V$3:$W$35,2,FALSE),'RES Techs T15'!$G$3:$U$3,0))</f>
        <v>0.9</v>
      </c>
      <c r="L20" s="9">
        <f ca="1">OFFSET('RES Techs T15'!$F20,0,MATCH(VLOOKUP('RES Veda input'!L$3,'RES Assumptions T15'!$V$3:$W$35,2,FALSE),'RES Techs T15'!$G$3:$U$3,0))</f>
        <v>0.9</v>
      </c>
      <c r="M20" s="9">
        <f ca="1">OFFSET('RES Techs T15'!$F20,0,MATCH(VLOOKUP('RES Veda input'!M$3,'RES Assumptions T15'!$V$3:$W$35,2,FALSE),'RES Techs T15'!$G$3:$U$3,0))</f>
        <v>0.9</v>
      </c>
      <c r="N20" s="9">
        <f ca="1">OFFSET('RES Techs T15'!$F20,0,MATCH(VLOOKUP('RES Veda input'!N$3,'RES Assumptions T15'!$V$3:$W$35,2,FALSE),'RES Techs T15'!$G$3:$U$3,0))</f>
        <v>0.9</v>
      </c>
      <c r="O20" s="9">
        <f ca="1">OFFSET('RES Techs T15'!$F20,0,MATCH(VLOOKUP('RES Veda input'!O$3,'RES Assumptions T15'!$V$3:$W$35,2,FALSE),'RES Techs T15'!$G$3:$U$3,0))</f>
        <v>0.9</v>
      </c>
      <c r="P20" s="9">
        <f ca="1">OFFSET('RES Techs T15'!$F20,0,MATCH(VLOOKUP('RES Veda input'!P$3,'RES Assumptions T15'!$V$3:$W$35,2,FALSE),'RES Techs T15'!$G$3:$U$3,0))</f>
        <v>0.9</v>
      </c>
      <c r="Q20" s="9">
        <f ca="1">OFFSET('RES Techs T15'!$F20,0,MATCH(VLOOKUP('RES Veda input'!Q$3,'RES Assumptions T15'!$V$3:$W$35,2,FALSE),'RES Techs T15'!$G$3:$U$3,0))</f>
        <v>0.9</v>
      </c>
      <c r="R20" s="9">
        <f ca="1">OFFSET('RES Techs T15'!$F20,0,MATCH(VLOOKUP('RES Veda input'!R$3,'RES Assumptions T15'!$V$3:$W$35,2,FALSE),'RES Techs T15'!$G$3:$U$3,0))</f>
        <v>0.9</v>
      </c>
      <c r="S20" s="9">
        <f ca="1">OFFSET('RES Techs T15'!$F20,0,MATCH(VLOOKUP('RES Veda input'!S$3,'RES Assumptions T15'!$V$3:$W$35,2,FALSE),'RES Techs T15'!$G$3:$U$3,0))</f>
        <v>0.9</v>
      </c>
      <c r="T20" s="9">
        <f ca="1">OFFSET('RES Techs T15'!$F20,0,MATCH(VLOOKUP('RES Veda input'!T$3,'RES Assumptions T15'!$V$3:$W$35,2,FALSE),'RES Techs T15'!$G$3:$U$3,0))</f>
        <v>0.9</v>
      </c>
      <c r="U20" s="9">
        <f ca="1">OFFSET('RES Techs T15'!$F20,0,MATCH(VLOOKUP('RES Veda input'!U$3,'RES Assumptions T15'!$V$3:$W$35,2,FALSE),'RES Techs T15'!$G$3:$U$3,0))</f>
        <v>0.9</v>
      </c>
      <c r="V20" s="9">
        <f ca="1">OFFSET('RES Techs T15'!$F20,0,MATCH(VLOOKUP('RES Veda input'!V$3,'RES Assumptions T15'!$V$3:$W$35,2,FALSE),'RES Techs T15'!$G$3:$U$3,0))</f>
        <v>0.9</v>
      </c>
      <c r="W20" s="9">
        <f ca="1">OFFSET('RES Techs T15'!$F20,0,MATCH(VLOOKUP('RES Veda input'!W$3,'RES Assumptions T15'!$V$3:$W$35,2,FALSE),'RES Techs T15'!$G$3:$U$3,0))</f>
        <v>0.9</v>
      </c>
      <c r="X20" s="9">
        <f ca="1">OFFSET('RES Techs T15'!$F20,0,MATCH(VLOOKUP('RES Veda input'!X$3,'RES Assumptions T15'!$V$3:$W$35,2,FALSE),'RES Techs T15'!$G$3:$U$3,0))</f>
        <v>0.9</v>
      </c>
      <c r="Y20" s="9">
        <f ca="1">OFFSET('RES Techs T15'!$F20,0,MATCH(VLOOKUP('RES Veda input'!Y$3,'RES Assumptions T15'!$V$3:$W$35,2,FALSE),'RES Techs T15'!$G$3:$U$3,0))</f>
        <v>0.9</v>
      </c>
      <c r="Z20" s="9">
        <f ca="1">OFFSET('RES Techs T15'!$F20,0,MATCH(VLOOKUP('RES Veda input'!Z$3,'RES Assumptions T15'!$V$3:$W$35,2,FALSE),'RES Techs T15'!$G$3:$U$3,0))</f>
        <v>0.9</v>
      </c>
      <c r="AA20" s="9">
        <f ca="1">OFFSET('RES Techs T15'!$F20,0,MATCH(VLOOKUP('RES Veda input'!AA$3,'RES Assumptions T15'!$V$3:$W$35,2,FALSE),'RES Techs T15'!$G$3:$U$3,0))</f>
        <v>0.9</v>
      </c>
      <c r="AB20" s="9">
        <f ca="1">OFFSET('RES Techs T15'!$F20,0,MATCH(VLOOKUP('RES Veda input'!AB$3,'RES Assumptions T15'!$V$3:$W$35,2,FALSE),'RES Techs T15'!$G$3:$U$3,0))</f>
        <v>0.9</v>
      </c>
      <c r="AC20" s="9">
        <f ca="1">OFFSET('RES Techs T15'!$F20,0,MATCH(VLOOKUP('RES Veda input'!AC$3,'RES Assumptions T15'!$V$3:$W$35,2,FALSE),'RES Techs T15'!$G$3:$U$3,0))</f>
        <v>0.9</v>
      </c>
      <c r="AD20" s="9">
        <f ca="1">OFFSET('RES Techs T15'!$F20,0,MATCH(VLOOKUP('RES Veda input'!AD$3,'RES Assumptions T15'!$V$3:$W$35,2,FALSE),'RES Techs T15'!$G$3:$U$3,0))</f>
        <v>0.9</v>
      </c>
      <c r="AE20" s="9">
        <f ca="1">OFFSET('RES Techs T15'!$F20,0,MATCH(VLOOKUP('RES Veda input'!AE$3,'RES Assumptions T15'!$V$3:$W$35,2,FALSE),'RES Techs T15'!$G$3:$U$3,0))</f>
        <v>0.9</v>
      </c>
      <c r="AF20" s="9">
        <f ca="1">OFFSET('RES Techs T15'!$F20,0,MATCH(VLOOKUP('RES Veda input'!AF$3,'RES Assumptions T15'!$V$3:$W$35,2,FALSE),'RES Techs T15'!$G$3:$U$3,0))</f>
        <v>0.9</v>
      </c>
      <c r="AG20" s="9">
        <f ca="1">OFFSET('RES Techs T15'!$F20,0,MATCH(VLOOKUP('RES Veda input'!AG$3,'RES Assumptions T15'!$V$3:$W$35,2,FALSE),'RES Techs T15'!$G$3:$U$3,0))</f>
        <v>0.9</v>
      </c>
      <c r="AH20" s="9">
        <f ca="1">OFFSET('RES Techs T15'!$F20,0,MATCH(VLOOKUP('RES Veda input'!AH$3,'RES Assumptions T15'!$V$3:$W$35,2,FALSE),'RES Techs T15'!$G$3:$U$3,0))</f>
        <v>0.9</v>
      </c>
      <c r="AI20" s="9">
        <f ca="1">OFFSET('RES Techs T15'!$F20,0,MATCH(VLOOKUP('RES Veda input'!AI$3,'RES Assumptions T15'!$V$3:$W$35,2,FALSE),'RES Techs T15'!$G$3:$U$3,0))</f>
        <v>0.9</v>
      </c>
      <c r="AJ20" s="9">
        <f ca="1">OFFSET('RES Techs T15'!$F20,0,MATCH(VLOOKUP('RES Veda input'!AJ$3,'RES Assumptions T15'!$V$3:$W$35,2,FALSE),'RES Techs T15'!$G$3:$U$3,0))</f>
        <v>0.9</v>
      </c>
      <c r="AL20" s="8" t="str">
        <f t="shared" si="60"/>
        <v>RSHHET000</v>
      </c>
      <c r="AM20" s="9">
        <f ca="1">OFFSET('RES Techs T15'!$W20,0,MATCH(VLOOKUP('RES Veda input'!AM$3,'RES Assumptions T15'!$V$3:$W$35,2,FALSE),'RES Techs T15'!$G$3:$U$3,0))</f>
        <v>0.18</v>
      </c>
      <c r="AN20" s="9">
        <f ca="1">OFFSET('RES Techs T15'!$W20,0,MATCH(VLOOKUP('RES Veda input'!AN$3,'RES Assumptions T15'!$V$3:$W$35,2,FALSE),'RES Techs T15'!$G$3:$U$3,0))</f>
        <v>0.18</v>
      </c>
      <c r="AO20" s="9">
        <f ca="1">OFFSET('RES Techs T15'!$W20,0,MATCH(VLOOKUP('RES Veda input'!AO$3,'RES Assumptions T15'!$V$3:$W$35,2,FALSE),'RES Techs T15'!$G$3:$U$3,0))</f>
        <v>0.18</v>
      </c>
      <c r="AP20" s="9">
        <f ca="1">OFFSET('RES Techs T15'!$W20,0,MATCH(VLOOKUP('RES Veda input'!AP$3,'RES Assumptions T15'!$V$3:$W$35,2,FALSE),'RES Techs T15'!$G$3:$U$3,0))</f>
        <v>0.18</v>
      </c>
      <c r="AQ20" s="9">
        <f ca="1">OFFSET('RES Techs T15'!$W20,0,MATCH(VLOOKUP('RES Veda input'!AQ$3,'RES Assumptions T15'!$V$3:$W$35,2,FALSE),'RES Techs T15'!$G$3:$U$3,0))</f>
        <v>0.18</v>
      </c>
      <c r="AR20" s="9">
        <f ca="1">OFFSET('RES Techs T15'!$W20,0,MATCH(VLOOKUP('RES Veda input'!AR$3,'RES Assumptions T15'!$V$3:$W$35,2,FALSE),'RES Techs T15'!$G$3:$U$3,0))</f>
        <v>0.11</v>
      </c>
      <c r="AS20" s="9">
        <f ca="1">OFFSET('RES Techs T15'!$W20,0,MATCH(VLOOKUP('RES Veda input'!AS$3,'RES Assumptions T15'!$V$3:$W$35,2,FALSE),'RES Techs T15'!$G$3:$U$3,0))</f>
        <v>0.21</v>
      </c>
      <c r="AT20" s="9">
        <f ca="1">OFFSET('RES Techs T15'!$W20,0,MATCH(VLOOKUP('RES Veda input'!AT$3,'RES Assumptions T15'!$V$3:$W$35,2,FALSE),'RES Techs T15'!$G$3:$U$3,0))</f>
        <v>0.18</v>
      </c>
      <c r="AU20" s="9">
        <f ca="1">OFFSET('RES Techs T15'!$W20,0,MATCH(VLOOKUP('RES Veda input'!AU$3,'RES Assumptions T15'!$V$3:$W$35,2,FALSE),'RES Techs T15'!$G$3:$U$3,0))</f>
        <v>0.24</v>
      </c>
      <c r="AV20" s="9">
        <f ca="1">OFFSET('RES Techs T15'!$W20,0,MATCH(VLOOKUP('RES Veda input'!AV$3,'RES Assumptions T15'!$V$3:$W$35,2,FALSE),'RES Techs T15'!$G$3:$U$3,0))</f>
        <v>0.18</v>
      </c>
      <c r="AW20" s="9">
        <f ca="1">OFFSET('RES Techs T15'!$W20,0,MATCH(VLOOKUP('RES Veda input'!AW$3,'RES Assumptions T15'!$V$3:$W$35,2,FALSE),'RES Techs T15'!$G$3:$U$3,0))</f>
        <v>0.18</v>
      </c>
      <c r="AX20" s="9">
        <f ca="1">OFFSET('RES Techs T15'!$W20,0,MATCH(VLOOKUP('RES Veda input'!AX$3,'RES Assumptions T15'!$V$3:$W$35,2,FALSE),'RES Techs T15'!$G$3:$U$3,0))</f>
        <v>0.18</v>
      </c>
      <c r="AY20" s="9">
        <f ca="1">OFFSET('RES Techs T15'!$W20,0,MATCH(VLOOKUP('RES Veda input'!AY$3,'RES Assumptions T15'!$V$3:$W$35,2,FALSE),'RES Techs T15'!$G$3:$U$3,0))</f>
        <v>0.18</v>
      </c>
      <c r="AZ20" s="9">
        <f ca="1">OFFSET('RES Techs T15'!$W20,0,MATCH(VLOOKUP('RES Veda input'!AZ$3,'RES Assumptions T15'!$V$3:$W$35,2,FALSE),'RES Techs T15'!$G$3:$U$3,0))</f>
        <v>0.18</v>
      </c>
      <c r="BA20" s="9">
        <f ca="1">OFFSET('RES Techs T15'!$W20,0,MATCH(VLOOKUP('RES Veda input'!BA$3,'RES Assumptions T15'!$V$3:$W$35,2,FALSE),'RES Techs T15'!$G$3:$U$3,0))</f>
        <v>0.18</v>
      </c>
      <c r="BB20" s="9">
        <f ca="1">OFFSET('RES Techs T15'!$W20,0,MATCH(VLOOKUP('RES Veda input'!BB$3,'RES Assumptions T15'!$V$3:$W$35,2,FALSE),'RES Techs T15'!$G$3:$U$3,0))</f>
        <v>0.18</v>
      </c>
      <c r="BC20" s="9">
        <f ca="1">OFFSET('RES Techs T15'!$W20,0,MATCH(VLOOKUP('RES Veda input'!BC$3,'RES Assumptions T15'!$V$3:$W$35,2,FALSE),'RES Techs T15'!$G$3:$U$3,0))</f>
        <v>0.18</v>
      </c>
      <c r="BD20" s="9">
        <f ca="1">OFFSET('RES Techs T15'!$W20,0,MATCH(VLOOKUP('RES Veda input'!BD$3,'RES Assumptions T15'!$V$3:$W$35,2,FALSE),'RES Techs T15'!$G$3:$U$3,0))</f>
        <v>0.18</v>
      </c>
      <c r="BE20" s="9">
        <f ca="1">OFFSET('RES Techs T15'!$W20,0,MATCH(VLOOKUP('RES Veda input'!BE$3,'RES Assumptions T15'!$V$3:$W$35,2,FALSE),'RES Techs T15'!$G$3:$U$3,0))</f>
        <v>0.18</v>
      </c>
      <c r="BF20" s="9">
        <f ca="1">OFFSET('RES Techs T15'!$W20,0,MATCH(VLOOKUP('RES Veda input'!BF$3,'RES Assumptions T15'!$V$3:$W$35,2,FALSE),'RES Techs T15'!$G$3:$U$3,0))</f>
        <v>0.18</v>
      </c>
      <c r="BG20" s="9">
        <f ca="1">OFFSET('RES Techs T15'!$W20,0,MATCH(VLOOKUP('RES Veda input'!BG$3,'RES Assumptions T15'!$V$3:$W$35,2,FALSE),'RES Techs T15'!$G$3:$U$3,0))</f>
        <v>0.18</v>
      </c>
      <c r="BH20" s="9">
        <f ca="1">OFFSET('RES Techs T15'!$W20,0,MATCH(VLOOKUP('RES Veda input'!BH$3,'RES Assumptions T15'!$V$3:$W$35,2,FALSE),'RES Techs T15'!$G$3:$U$3,0))</f>
        <v>0.18</v>
      </c>
      <c r="BI20" s="9">
        <f ca="1">OFFSET('RES Techs T15'!$W20,0,MATCH(VLOOKUP('RES Veda input'!BI$3,'RES Assumptions T15'!$V$3:$W$35,2,FALSE),'RES Techs T15'!$G$3:$U$3,0))</f>
        <v>0.18</v>
      </c>
      <c r="BJ20" s="9">
        <f ca="1">OFFSET('RES Techs T15'!$W20,0,MATCH(VLOOKUP('RES Veda input'!BJ$3,'RES Assumptions T15'!$V$3:$W$35,2,FALSE),'RES Techs T15'!$G$3:$U$3,0))</f>
        <v>0.18</v>
      </c>
      <c r="BK20" s="9">
        <f ca="1">OFFSET('RES Techs T15'!$W20,0,MATCH(VLOOKUP('RES Veda input'!BK$3,'RES Assumptions T15'!$V$3:$W$35,2,FALSE),'RES Techs T15'!$G$3:$U$3,0))</f>
        <v>0.18</v>
      </c>
      <c r="BL20" s="9">
        <f ca="1">OFFSET('RES Techs T15'!$W20,0,MATCH(VLOOKUP('RES Veda input'!BL$3,'RES Assumptions T15'!$V$3:$W$35,2,FALSE),'RES Techs T15'!$G$3:$U$3,0))</f>
        <v>0.18</v>
      </c>
      <c r="BM20" s="9">
        <f ca="1">OFFSET('RES Techs T15'!$W20,0,MATCH(VLOOKUP('RES Veda input'!BM$3,'RES Assumptions T15'!$V$3:$W$35,2,FALSE),'RES Techs T15'!$G$3:$U$3,0))</f>
        <v>0.18</v>
      </c>
      <c r="BN20" s="9">
        <f ca="1">OFFSET('RES Techs T15'!$W20,0,MATCH(VLOOKUP('RES Veda input'!BN$3,'RES Assumptions T15'!$V$3:$W$35,2,FALSE),'RES Techs T15'!$G$3:$U$3,0))</f>
        <v>0.18</v>
      </c>
      <c r="BO20" s="9">
        <f ca="1">OFFSET('RES Techs T15'!$W20,0,MATCH(VLOOKUP('RES Veda input'!BO$3,'RES Assumptions T15'!$V$3:$W$35,2,FALSE),'RES Techs T15'!$G$3:$U$3,0))</f>
        <v>0.3</v>
      </c>
      <c r="BP20" s="9">
        <f ca="1">OFFSET('RES Techs T15'!$W20,0,MATCH(VLOOKUP('RES Veda input'!BP$3,'RES Assumptions T15'!$V$3:$W$35,2,FALSE),'RES Techs T15'!$G$3:$U$3,0))</f>
        <v>0.3</v>
      </c>
      <c r="BR20" s="8" t="str">
        <f t="shared" si="61"/>
        <v>RSHHET000</v>
      </c>
      <c r="BS20" s="9">
        <f t="shared" ca="1" si="62"/>
        <v>1.2</v>
      </c>
      <c r="BT20" s="9" t="str">
        <f ca="1">IF(OFFSET('RES Techs T15'!$AO20,0,MATCH(VLOOKUP('RES Veda input'!BT$3,'RES Assumptions T15'!$V$3:$W$35,2,FALSE),'RES Techs T15'!$G$3:$U$3,0))=0,"",OFFSET('RES Techs T15'!$AO20,0,MATCH(VLOOKUP('RES Veda input'!BT$3,'RES Assumptions T15'!$V$3:$W$35,2,FALSE),'RES Techs T15'!$G$3:$U$3,0)))</f>
        <v/>
      </c>
      <c r="BU20" s="9" t="str">
        <f ca="1">IF(OFFSET('RES Techs T15'!$AO20,0,MATCH(VLOOKUP('RES Veda input'!BU$3,'RES Assumptions T15'!$V$3:$W$35,2,FALSE),'RES Techs T15'!$G$3:$U$3,0))=0,"",OFFSET('RES Techs T15'!$AO20,0,MATCH(VLOOKUP('RES Veda input'!BU$3,'RES Assumptions T15'!$V$3:$W$35,2,FALSE),'RES Techs T15'!$G$3:$U$3,0)))</f>
        <v/>
      </c>
      <c r="BV20" s="9">
        <f ca="1">IF(OFFSET('RES Techs T15'!$AO20,0,MATCH(VLOOKUP('RES Veda input'!BV$3,'RES Assumptions T15'!$V$3:$W$35,2,FALSE),'RES Techs T15'!$G$3:$U$3,0))=0,"",OFFSET('RES Techs T15'!$AO20,0,MATCH(VLOOKUP('RES Veda input'!BV$3,'RES Assumptions T15'!$V$3:$W$35,2,FALSE),'RES Techs T15'!$G$3:$U$3,0)))</f>
        <v>1.4</v>
      </c>
      <c r="BW20" s="9" t="str">
        <f ca="1">IF(OFFSET('RES Techs T15'!$AO20,0,MATCH(VLOOKUP('RES Veda input'!BW$3,'RES Assumptions T15'!$V$3:$W$35,2,FALSE),'RES Techs T15'!$G$3:$U$3,0))=0,"",OFFSET('RES Techs T15'!$AO20,0,MATCH(VLOOKUP('RES Veda input'!BW$3,'RES Assumptions T15'!$V$3:$W$35,2,FALSE),'RES Techs T15'!$G$3:$U$3,0)))</f>
        <v/>
      </c>
      <c r="BX20" s="9">
        <f ca="1">IF(OFFSET('RES Techs T15'!$AO20,0,MATCH(VLOOKUP('RES Veda input'!BX$3,'RES Assumptions T15'!$V$3:$W$35,2,FALSE),'RES Techs T15'!$G$3:$U$3,0))=0,"",OFFSET('RES Techs T15'!$AO20,0,MATCH(VLOOKUP('RES Veda input'!BX$3,'RES Assumptions T15'!$V$3:$W$35,2,FALSE),'RES Techs T15'!$G$3:$U$3,0)))</f>
        <v>2</v>
      </c>
      <c r="BY20" s="9">
        <f ca="1">IF(OFFSET('RES Techs T15'!$AO20,0,MATCH(VLOOKUP('RES Veda input'!BY$3,'RES Assumptions T15'!$V$3:$W$35,2,FALSE),'RES Techs T15'!$G$3:$U$3,0))=0,"",OFFSET('RES Techs T15'!$AO20,0,MATCH(VLOOKUP('RES Veda input'!BY$3,'RES Assumptions T15'!$V$3:$W$35,2,FALSE),'RES Techs T15'!$G$3:$U$3,0)))</f>
        <v>1.2</v>
      </c>
      <c r="BZ20" s="9" t="str">
        <f ca="1">IF(OFFSET('RES Techs T15'!$AO20,0,MATCH(VLOOKUP('RES Veda input'!BZ$3,'RES Assumptions T15'!$V$3:$W$35,2,FALSE),'RES Techs T15'!$G$3:$U$3,0))=0,"",OFFSET('RES Techs T15'!$AO20,0,MATCH(VLOOKUP('RES Veda input'!BZ$3,'RES Assumptions T15'!$V$3:$W$35,2,FALSE),'RES Techs T15'!$G$3:$U$3,0)))</f>
        <v/>
      </c>
      <c r="CA20" s="9">
        <f ca="1">IF(OFFSET('RES Techs T15'!$AO20,0,MATCH(VLOOKUP('RES Veda input'!CA$3,'RES Assumptions T15'!$V$3:$W$35,2,FALSE),'RES Techs T15'!$G$3:$U$3,0))=0,"",OFFSET('RES Techs T15'!$AO20,0,MATCH(VLOOKUP('RES Veda input'!CA$3,'RES Assumptions T15'!$V$3:$W$35,2,FALSE),'RES Techs T15'!$G$3:$U$3,0)))</f>
        <v>1.4</v>
      </c>
      <c r="CB20" s="9" t="str">
        <f ca="1">IF(OFFSET('RES Techs T15'!$AO20,0,MATCH(VLOOKUP('RES Veda input'!CB$3,'RES Assumptions T15'!$V$3:$W$35,2,FALSE),'RES Techs T15'!$G$3:$U$3,0))=0,"",OFFSET('RES Techs T15'!$AO20,0,MATCH(VLOOKUP('RES Veda input'!CB$3,'RES Assumptions T15'!$V$3:$W$35,2,FALSE),'RES Techs T15'!$G$3:$U$3,0)))</f>
        <v/>
      </c>
      <c r="CC20" s="9" t="str">
        <f ca="1">IF(OFFSET('RES Techs T15'!$AO20,0,MATCH(VLOOKUP('RES Veda input'!CC$3,'RES Assumptions T15'!$V$3:$W$35,2,FALSE),'RES Techs T15'!$G$3:$U$3,0))=0,"",OFFSET('RES Techs T15'!$AO20,0,MATCH(VLOOKUP('RES Veda input'!CC$3,'RES Assumptions T15'!$V$3:$W$35,2,FALSE),'RES Techs T15'!$G$3:$U$3,0)))</f>
        <v/>
      </c>
      <c r="CD20" s="9" t="str">
        <f ca="1">IF(OFFSET('RES Techs T15'!$AO20,0,MATCH(VLOOKUP('RES Veda input'!CD$3,'RES Assumptions T15'!$V$3:$W$35,2,FALSE),'RES Techs T15'!$G$3:$U$3,0))=0,"",OFFSET('RES Techs T15'!$AO20,0,MATCH(VLOOKUP('RES Veda input'!CD$3,'RES Assumptions T15'!$V$3:$W$35,2,FALSE),'RES Techs T15'!$G$3:$U$3,0)))</f>
        <v/>
      </c>
      <c r="CE20" s="9" t="str">
        <f ca="1">IF(OFFSET('RES Techs T15'!$AO20,0,MATCH(VLOOKUP('RES Veda input'!CE$3,'RES Assumptions T15'!$V$3:$W$35,2,FALSE),'RES Techs T15'!$G$3:$U$3,0))=0,"",OFFSET('RES Techs T15'!$AO20,0,MATCH(VLOOKUP('RES Veda input'!CE$3,'RES Assumptions T15'!$V$3:$W$35,2,FALSE),'RES Techs T15'!$G$3:$U$3,0)))</f>
        <v/>
      </c>
      <c r="CF20" s="9" t="str">
        <f ca="1">IF(OFFSET('RES Techs T15'!$AO20,0,MATCH(VLOOKUP('RES Veda input'!CF$3,'RES Assumptions T15'!$V$3:$W$35,2,FALSE),'RES Techs T15'!$G$3:$U$3,0))=0,"",OFFSET('RES Techs T15'!$AO20,0,MATCH(VLOOKUP('RES Veda input'!CF$3,'RES Assumptions T15'!$V$3:$W$35,2,FALSE),'RES Techs T15'!$G$3:$U$3,0)))</f>
        <v/>
      </c>
      <c r="CG20" s="9" t="str">
        <f ca="1">IF(OFFSET('RES Techs T15'!$AO20,0,MATCH(VLOOKUP('RES Veda input'!CG$3,'RES Assumptions T15'!$V$3:$W$35,2,FALSE),'RES Techs T15'!$G$3:$U$3,0))=0,"",OFFSET('RES Techs T15'!$AO20,0,MATCH(VLOOKUP('RES Veda input'!CG$3,'RES Assumptions T15'!$V$3:$W$35,2,FALSE),'RES Techs T15'!$G$3:$U$3,0)))</f>
        <v/>
      </c>
      <c r="CH20" s="9" t="str">
        <f ca="1">IF(OFFSET('RES Techs T15'!$AO20,0,MATCH(VLOOKUP('RES Veda input'!CH$3,'RES Assumptions T15'!$V$3:$W$35,2,FALSE),'RES Techs T15'!$G$3:$U$3,0))=0,"",OFFSET('RES Techs T15'!$AO20,0,MATCH(VLOOKUP('RES Veda input'!CH$3,'RES Assumptions T15'!$V$3:$W$35,2,FALSE),'RES Techs T15'!$G$3:$U$3,0)))</f>
        <v/>
      </c>
      <c r="CI20" s="9" t="str">
        <f ca="1">IF(OFFSET('RES Techs T15'!$AO20,0,MATCH(VLOOKUP('RES Veda input'!CI$3,'RES Assumptions T15'!$V$3:$W$35,2,FALSE),'RES Techs T15'!$G$3:$U$3,0))=0,"",OFFSET('RES Techs T15'!$AO20,0,MATCH(VLOOKUP('RES Veda input'!CI$3,'RES Assumptions T15'!$V$3:$W$35,2,FALSE),'RES Techs T15'!$G$3:$U$3,0)))</f>
        <v/>
      </c>
      <c r="CJ20" s="9">
        <f ca="1">IF(OFFSET('RES Techs T15'!$AO20,0,MATCH(VLOOKUP('RES Veda input'!CJ$3,'RES Assumptions T15'!$V$3:$W$35,2,FALSE),'RES Techs T15'!$G$3:$U$3,0))=0,"",OFFSET('RES Techs T15'!$AO20,0,MATCH(VLOOKUP('RES Veda input'!CJ$3,'RES Assumptions T15'!$V$3:$W$35,2,FALSE),'RES Techs T15'!$G$3:$U$3,0)))</f>
        <v>1.4</v>
      </c>
      <c r="CK20" s="9" t="str">
        <f ca="1">IF(OFFSET('RES Techs T15'!$AO20,0,MATCH(VLOOKUP('RES Veda input'!CK$3,'RES Assumptions T15'!$V$3:$W$35,2,FALSE),'RES Techs T15'!$G$3:$U$3,0))=0,"",OFFSET('RES Techs T15'!$AO20,0,MATCH(VLOOKUP('RES Veda input'!CK$3,'RES Assumptions T15'!$V$3:$W$35,2,FALSE),'RES Techs T15'!$G$3:$U$3,0)))</f>
        <v/>
      </c>
      <c r="CL20" s="9" t="str">
        <f ca="1">IF(OFFSET('RES Techs T15'!$AO20,0,MATCH(VLOOKUP('RES Veda input'!CL$3,'RES Assumptions T15'!$V$3:$W$35,2,FALSE),'RES Techs T15'!$G$3:$U$3,0))=0,"",OFFSET('RES Techs T15'!$AO20,0,MATCH(VLOOKUP('RES Veda input'!CL$3,'RES Assumptions T15'!$V$3:$W$35,2,FALSE),'RES Techs T15'!$G$3:$U$3,0)))</f>
        <v/>
      </c>
      <c r="CM20" s="9">
        <f ca="1">IF(OFFSET('RES Techs T15'!$AO20,0,MATCH(VLOOKUP('RES Veda input'!CM$3,'RES Assumptions T15'!$V$3:$W$35,2,FALSE),'RES Techs T15'!$G$3:$U$3,0))=0,"",OFFSET('RES Techs T15'!$AO20,0,MATCH(VLOOKUP('RES Veda input'!CM$3,'RES Assumptions T15'!$V$3:$W$35,2,FALSE),'RES Techs T15'!$G$3:$U$3,0)))</f>
        <v>1.2</v>
      </c>
      <c r="CN20" s="9">
        <f ca="1">IF(OFFSET('RES Techs T15'!$AO20,0,MATCH(VLOOKUP('RES Veda input'!CN$3,'RES Assumptions T15'!$V$3:$W$35,2,FALSE),'RES Techs T15'!$G$3:$U$3,0))=0,"",OFFSET('RES Techs T15'!$AO20,0,MATCH(VLOOKUP('RES Veda input'!CN$3,'RES Assumptions T15'!$V$3:$W$35,2,FALSE),'RES Techs T15'!$G$3:$U$3,0)))</f>
        <v>1.4</v>
      </c>
      <c r="CO20" s="9">
        <f ca="1">IF(OFFSET('RES Techs T15'!$AO20,0,MATCH(VLOOKUP('RES Veda input'!CO$3,'RES Assumptions T15'!$V$3:$W$35,2,FALSE),'RES Techs T15'!$G$3:$U$3,0))=0,"",OFFSET('RES Techs T15'!$AO20,0,MATCH(VLOOKUP('RES Veda input'!CO$3,'RES Assumptions T15'!$V$3:$W$35,2,FALSE),'RES Techs T15'!$G$3:$U$3,0)))</f>
        <v>1.6</v>
      </c>
      <c r="CP20" s="9">
        <f ca="1">IF(OFFSET('RES Techs T15'!$AO20,0,MATCH(VLOOKUP('RES Veda input'!CP$3,'RES Assumptions T15'!$V$3:$W$35,2,FALSE),'RES Techs T15'!$G$3:$U$3,0))=0,"",OFFSET('RES Techs T15'!$AO20,0,MATCH(VLOOKUP('RES Veda input'!CP$3,'RES Assumptions T15'!$V$3:$W$35,2,FALSE),'RES Techs T15'!$G$3:$U$3,0)))</f>
        <v>1.4</v>
      </c>
      <c r="CQ20" s="9" t="str">
        <f ca="1">IF(OFFSET('RES Techs T15'!$AO20,0,MATCH(VLOOKUP('RES Veda input'!CQ$3,'RES Assumptions T15'!$V$3:$W$35,2,FALSE),'RES Techs T15'!$G$3:$U$3,0))=0,"",OFFSET('RES Techs T15'!$AO20,0,MATCH(VLOOKUP('RES Veda input'!CQ$3,'RES Assumptions T15'!$V$3:$W$35,2,FALSE),'RES Techs T15'!$G$3:$U$3,0)))</f>
        <v/>
      </c>
      <c r="CR20" s="9" t="str">
        <f ca="1">IF(OFFSET('RES Techs T15'!$AO20,0,MATCH(VLOOKUP('RES Veda input'!CR$3,'RES Assumptions T15'!$V$3:$W$35,2,FALSE),'RES Techs T15'!$G$3:$U$3,0))=0,"",OFFSET('RES Techs T15'!$AO20,0,MATCH(VLOOKUP('RES Veda input'!CR$3,'RES Assumptions T15'!$V$3:$W$35,2,FALSE),'RES Techs T15'!$G$3:$U$3,0)))</f>
        <v/>
      </c>
      <c r="CS20" s="9">
        <f ca="1">IF(OFFSET('RES Techs T15'!$AO20,0,MATCH(VLOOKUP('RES Veda input'!CS$3,'RES Assumptions T15'!$V$3:$W$35,2,FALSE),'RES Techs T15'!$G$3:$U$3,0))=0,"",OFFSET('RES Techs T15'!$AO20,0,MATCH(VLOOKUP('RES Veda input'!CS$3,'RES Assumptions T15'!$V$3:$W$35,2,FALSE),'RES Techs T15'!$G$3:$U$3,0)))</f>
        <v>1.4</v>
      </c>
      <c r="CT20" s="9" t="str">
        <f ca="1">IF(OFFSET('RES Techs T15'!$AO20,0,MATCH(VLOOKUP('RES Veda input'!CT$3,'RES Assumptions T15'!$V$3:$W$35,2,FALSE),'RES Techs T15'!$G$3:$U$3,0))=0,"",OFFSET('RES Techs T15'!$AO20,0,MATCH(VLOOKUP('RES Veda input'!CT$3,'RES Assumptions T15'!$V$3:$W$35,2,FALSE),'RES Techs T15'!$G$3:$U$3,0)))</f>
        <v/>
      </c>
      <c r="CU20" s="9" t="str">
        <f ca="1">IF(OFFSET('RES Techs T15'!$AO20,0,MATCH(VLOOKUP('RES Veda input'!CU$3,'RES Assumptions T15'!$V$3:$W$35,2,FALSE),'RES Techs T15'!$G$3:$U$3,0))=0,"",OFFSET('RES Techs T15'!$AO20,0,MATCH(VLOOKUP('RES Veda input'!CU$3,'RES Assumptions T15'!$V$3:$W$35,2,FALSE),'RES Techs T15'!$G$3:$U$3,0)))</f>
        <v/>
      </c>
      <c r="CV20" s="9">
        <f ca="1">IF(OFFSET('RES Techs T15'!$AO20,0,MATCH(VLOOKUP('RES Veda input'!CV$3,'RES Assumptions T15'!$V$3:$W$35,2,FALSE),'RES Techs T15'!$G$3:$U$3,0))=0,"",OFFSET('RES Techs T15'!$AO20,0,MATCH(VLOOKUP('RES Veda input'!CV$3,'RES Assumptions T15'!$V$3:$W$35,2,FALSE),'RES Techs T15'!$G$3:$U$3,0)))</f>
        <v>2</v>
      </c>
      <c r="CW20" s="9">
        <f ca="1">IF(OFFSET('RES Techs T15'!$AO20,0,MATCH(VLOOKUP('RES Veda input'!CW$3,'RES Assumptions T15'!$V$3:$W$35,2,FALSE),'RES Techs T15'!$G$3:$U$3,0))=0,"",OFFSET('RES Techs T15'!$AO20,0,MATCH(VLOOKUP('RES Veda input'!CW$3,'RES Assumptions T15'!$V$3:$W$35,2,FALSE),'RES Techs T15'!$G$3:$U$3,0)))</f>
        <v>2</v>
      </c>
      <c r="CY20" s="8" t="str">
        <f t="shared" si="63"/>
        <v>RSHHET000</v>
      </c>
      <c r="CZ20" s="10">
        <f ca="1">ROUND('RES Assumptions'!E103*'RES Veda input'!G20/'RES Veda input'!AM20,3)</f>
        <v>0</v>
      </c>
      <c r="DA20" s="10">
        <f ca="1">ROUND('RES Assumptions'!F103*'RES Veda input'!H20/'RES Veda input'!AN20,3)</f>
        <v>0</v>
      </c>
      <c r="DB20" s="10">
        <f ca="1">ROUND('RES Assumptions'!G103*'RES Veda input'!I20/'RES Veda input'!AO20,3)</f>
        <v>0</v>
      </c>
      <c r="DC20" s="10">
        <f ca="1">ROUND('RES Assumptions'!H103*'RES Veda input'!J20/'RES Veda input'!AP20,3)</f>
        <v>384.62200000000001</v>
      </c>
      <c r="DD20" s="10">
        <f ca="1">ROUND('RES Assumptions'!I103*'RES Veda input'!K20/'RES Veda input'!AQ20,3)</f>
        <v>0</v>
      </c>
      <c r="DE20" s="10">
        <f ca="1">ROUND('RES Assumptions'!J103*'RES Veda input'!L20/'RES Veda input'!AR20,3)</f>
        <v>0</v>
      </c>
      <c r="DF20" s="10">
        <f ca="1">ROUND('RES Assumptions'!K103*'RES Veda input'!M20/'RES Veda input'!AS20,3)</f>
        <v>0</v>
      </c>
      <c r="DG20" s="10">
        <f ca="1">ROUND('RES Assumptions'!L103*'RES Veda input'!N20/'RES Veda input'!AT20,3)</f>
        <v>0</v>
      </c>
      <c r="DH20" s="10">
        <f ca="1">ROUND('RES Assumptions'!M103*'RES Veda input'!O20/'RES Veda input'!AU20,3)</f>
        <v>0</v>
      </c>
      <c r="DI20" s="10">
        <f ca="1">ROUND('RES Assumptions'!N103*'RES Veda input'!P20/'RES Veda input'!AV20,3)</f>
        <v>6441.6030000000001</v>
      </c>
      <c r="DJ20" s="10">
        <f ca="1">ROUND('RES Assumptions'!O103*'RES Veda input'!Q20/'RES Veda input'!AW20,3)</f>
        <v>1038.7170000000001</v>
      </c>
      <c r="DK20" s="10">
        <f ca="1">ROUND('RES Assumptions'!P103*'RES Veda input'!R20/'RES Veda input'!AX20,3)</f>
        <v>981.84299999999996</v>
      </c>
      <c r="DL20" s="10">
        <f ca="1">ROUND('RES Assumptions'!Q103*'RES Veda input'!S20/'RES Veda input'!AY20,3)</f>
        <v>53.954999999999998</v>
      </c>
      <c r="DM20" s="10">
        <f ca="1">ROUND('RES Assumptions'!R103*'RES Veda input'!T20/'RES Veda input'!AZ20,3)</f>
        <v>168.48400000000001</v>
      </c>
      <c r="DN20" s="10">
        <f ca="1">ROUND('RES Assumptions'!S103*'RES Veda input'!U20/'RES Veda input'!BA20,3)</f>
        <v>234.43100000000001</v>
      </c>
      <c r="DO20" s="10">
        <f ca="1">ROUND('RES Assumptions'!T103*'RES Veda input'!V20/'RES Veda input'!BB20,3)</f>
        <v>0.154</v>
      </c>
      <c r="DP20" s="10">
        <f ca="1">ROUND('RES Assumptions'!U103*'RES Veda input'!W20/'RES Veda input'!BC20,3)</f>
        <v>865.31299999999999</v>
      </c>
      <c r="DQ20" s="10">
        <f ca="1">ROUND('RES Assumptions'!V103*'RES Veda input'!X20/'RES Veda input'!BD20,3)</f>
        <v>230.75700000000001</v>
      </c>
      <c r="DR20" s="10">
        <f ca="1">ROUND('RES Assumptions'!W103*'RES Veda input'!Y20/'RES Veda input'!BE20,3)</f>
        <v>710.69500000000005</v>
      </c>
      <c r="DS20" s="10">
        <f ca="1">ROUND('RES Assumptions'!X103*'RES Veda input'!Z20/'RES Veda input'!BF20,3)</f>
        <v>0</v>
      </c>
      <c r="DT20" s="10">
        <f ca="1">ROUND('RES Assumptions'!Y103*'RES Veda input'!AA20/'RES Veda input'!BG20,3)</f>
        <v>0</v>
      </c>
      <c r="DU20" s="10">
        <f ca="1">ROUND('RES Assumptions'!Z103*'RES Veda input'!AB20/'RES Veda input'!BH20,3)</f>
        <v>0</v>
      </c>
      <c r="DV20" s="10">
        <f ca="1">ROUND('RES Assumptions'!AA103*'RES Veda input'!AC20/'RES Veda input'!BI20,3)</f>
        <v>0</v>
      </c>
      <c r="DW20" s="10">
        <f ca="1">ROUND('RES Assumptions'!AB103*'RES Veda input'!AD20/'RES Veda input'!BJ20,3)</f>
        <v>90.771000000000001</v>
      </c>
      <c r="DX20" s="10">
        <f ca="1">ROUND('RES Assumptions'!AC103*'RES Veda input'!AE20/'RES Veda input'!BK20,3)</f>
        <v>6890.3680000000004</v>
      </c>
      <c r="DY20" s="10">
        <f ca="1">ROUND('RES Assumptions'!AD103*'RES Veda input'!AF20/'RES Veda input'!BL20,3)</f>
        <v>0</v>
      </c>
      <c r="DZ20" s="10">
        <f ca="1">ROUND('RES Assumptions'!AE103*'RES Veda input'!AG20/'RES Veda input'!BM20,3)</f>
        <v>0</v>
      </c>
      <c r="EA20" s="10">
        <f ca="1">ROUND('RES Assumptions'!AF103*'RES Veda input'!AH20/'RES Veda input'!BN20,3)</f>
        <v>48.277999999999999</v>
      </c>
      <c r="EB20" s="10">
        <f ca="1">ROUND('RES Assumptions'!AG103*'RES Veda input'!AI20/'RES Veda input'!BO20,3)</f>
        <v>0</v>
      </c>
      <c r="EC20" s="10">
        <f ca="1">ROUND('RES Assumptions'!AH103*'RES Veda input'!AJ20/'RES Veda input'!BP20,3)</f>
        <v>0</v>
      </c>
      <c r="ED20">
        <v>30</v>
      </c>
      <c r="EG20" t="s">
        <v>281</v>
      </c>
      <c r="EH20" t="str">
        <f t="shared" si="64"/>
        <v>RSHHET000</v>
      </c>
      <c r="EJ20" t="s">
        <v>282</v>
      </c>
      <c r="EK20" t="s">
        <v>283</v>
      </c>
    </row>
    <row r="21" spans="1:141" x14ac:dyDescent="0.45">
      <c r="A21" s="37" t="str">
        <f>'RES Assumptions'!B104</f>
        <v>RH</v>
      </c>
      <c r="B21" s="37" t="s">
        <v>133</v>
      </c>
      <c r="D21" s="51" t="s">
        <v>297</v>
      </c>
      <c r="E21" s="8" t="str">
        <f>'RES Assumptions'!A104</f>
        <v>RESHFO</v>
      </c>
      <c r="F21" s="8" t="str">
        <f>VLOOKUP(A21,'RES Assumptions'!$AN$87:$AO$97,2,FALSE)</f>
        <v>RSH</v>
      </c>
      <c r="G21" s="9">
        <f ca="1">OFFSET('RES Techs T15'!$F21,0,MATCH(VLOOKUP('RES Veda input'!G$3,'RES Assumptions T15'!$V$3:$W$35,2,FALSE),'RES Techs T15'!$G$3:$U$3,0))</f>
        <v>0.75</v>
      </c>
      <c r="H21" s="9">
        <f ca="1">OFFSET('RES Techs T15'!$F21,0,MATCH(VLOOKUP('RES Veda input'!H$3,'RES Assumptions T15'!$V$3:$W$35,2,FALSE),'RES Techs T15'!$G$3:$U$3,0))</f>
        <v>0.75</v>
      </c>
      <c r="I21" s="9">
        <f ca="1">OFFSET('RES Techs T15'!$F21,0,MATCH(VLOOKUP('RES Veda input'!I$3,'RES Assumptions T15'!$V$3:$W$35,2,FALSE),'RES Techs T15'!$G$3:$U$3,0))</f>
        <v>0.75</v>
      </c>
      <c r="J21" s="9">
        <f ca="1">OFFSET('RES Techs T15'!$F21,0,MATCH(VLOOKUP('RES Veda input'!J$3,'RES Assumptions T15'!$V$3:$W$35,2,FALSE),'RES Techs T15'!$G$3:$U$3,0))</f>
        <v>0.75</v>
      </c>
      <c r="K21" s="9">
        <f ca="1">OFFSET('RES Techs T15'!$F21,0,MATCH(VLOOKUP('RES Veda input'!K$3,'RES Assumptions T15'!$V$3:$W$35,2,FALSE),'RES Techs T15'!$G$3:$U$3,0))</f>
        <v>0.75</v>
      </c>
      <c r="L21" s="9">
        <f ca="1">OFFSET('RES Techs T15'!$F21,0,MATCH(VLOOKUP('RES Veda input'!L$3,'RES Assumptions T15'!$V$3:$W$35,2,FALSE),'RES Techs T15'!$G$3:$U$3,0))</f>
        <v>0.75</v>
      </c>
      <c r="M21" s="9">
        <f ca="1">OFFSET('RES Techs T15'!$F21,0,MATCH(VLOOKUP('RES Veda input'!M$3,'RES Assumptions T15'!$V$3:$W$35,2,FALSE),'RES Techs T15'!$G$3:$U$3,0))</f>
        <v>0.75</v>
      </c>
      <c r="N21" s="9">
        <f ca="1">OFFSET('RES Techs T15'!$F21,0,MATCH(VLOOKUP('RES Veda input'!N$3,'RES Assumptions T15'!$V$3:$W$35,2,FALSE),'RES Techs T15'!$G$3:$U$3,0))</f>
        <v>0.75</v>
      </c>
      <c r="O21" s="9">
        <f ca="1">OFFSET('RES Techs T15'!$F21,0,MATCH(VLOOKUP('RES Veda input'!O$3,'RES Assumptions T15'!$V$3:$W$35,2,FALSE),'RES Techs T15'!$G$3:$U$3,0))</f>
        <v>0.75</v>
      </c>
      <c r="P21" s="9">
        <f ca="1">OFFSET('RES Techs T15'!$F21,0,MATCH(VLOOKUP('RES Veda input'!P$3,'RES Assumptions T15'!$V$3:$W$35,2,FALSE),'RES Techs T15'!$G$3:$U$3,0))</f>
        <v>0.75</v>
      </c>
      <c r="Q21" s="9">
        <f ca="1">OFFSET('RES Techs T15'!$F21,0,MATCH(VLOOKUP('RES Veda input'!Q$3,'RES Assumptions T15'!$V$3:$W$35,2,FALSE),'RES Techs T15'!$G$3:$U$3,0))</f>
        <v>0.75</v>
      </c>
      <c r="R21" s="9">
        <f ca="1">OFFSET('RES Techs T15'!$F21,0,MATCH(VLOOKUP('RES Veda input'!R$3,'RES Assumptions T15'!$V$3:$W$35,2,FALSE),'RES Techs T15'!$G$3:$U$3,0))</f>
        <v>0.75</v>
      </c>
      <c r="S21" s="9">
        <f ca="1">OFFSET('RES Techs T15'!$F21,0,MATCH(VLOOKUP('RES Veda input'!S$3,'RES Assumptions T15'!$V$3:$W$35,2,FALSE),'RES Techs T15'!$G$3:$U$3,0))</f>
        <v>0.75</v>
      </c>
      <c r="T21" s="9">
        <f ca="1">OFFSET('RES Techs T15'!$F21,0,MATCH(VLOOKUP('RES Veda input'!T$3,'RES Assumptions T15'!$V$3:$W$35,2,FALSE),'RES Techs T15'!$G$3:$U$3,0))</f>
        <v>0.75</v>
      </c>
      <c r="U21" s="9">
        <f ca="1">OFFSET('RES Techs T15'!$F21,0,MATCH(VLOOKUP('RES Veda input'!U$3,'RES Assumptions T15'!$V$3:$W$35,2,FALSE),'RES Techs T15'!$G$3:$U$3,0))</f>
        <v>0.75</v>
      </c>
      <c r="V21" s="9">
        <f ca="1">OFFSET('RES Techs T15'!$F21,0,MATCH(VLOOKUP('RES Veda input'!V$3,'RES Assumptions T15'!$V$3:$W$35,2,FALSE),'RES Techs T15'!$G$3:$U$3,0))</f>
        <v>0.75</v>
      </c>
      <c r="W21" s="9">
        <f ca="1">OFFSET('RES Techs T15'!$F21,0,MATCH(VLOOKUP('RES Veda input'!W$3,'RES Assumptions T15'!$V$3:$W$35,2,FALSE),'RES Techs T15'!$G$3:$U$3,0))</f>
        <v>0.75</v>
      </c>
      <c r="X21" s="9">
        <f ca="1">OFFSET('RES Techs T15'!$F21,0,MATCH(VLOOKUP('RES Veda input'!X$3,'RES Assumptions T15'!$V$3:$W$35,2,FALSE),'RES Techs T15'!$G$3:$U$3,0))</f>
        <v>0.75</v>
      </c>
      <c r="Y21" s="9">
        <f ca="1">OFFSET('RES Techs T15'!$F21,0,MATCH(VLOOKUP('RES Veda input'!Y$3,'RES Assumptions T15'!$V$3:$W$35,2,FALSE),'RES Techs T15'!$G$3:$U$3,0))</f>
        <v>0.75</v>
      </c>
      <c r="Z21" s="9">
        <f ca="1">OFFSET('RES Techs T15'!$F21,0,MATCH(VLOOKUP('RES Veda input'!Z$3,'RES Assumptions T15'!$V$3:$W$35,2,FALSE),'RES Techs T15'!$G$3:$U$3,0))</f>
        <v>0.75</v>
      </c>
      <c r="AA21" s="9">
        <f ca="1">OFFSET('RES Techs T15'!$F21,0,MATCH(VLOOKUP('RES Veda input'!AA$3,'RES Assumptions T15'!$V$3:$W$35,2,FALSE),'RES Techs T15'!$G$3:$U$3,0))</f>
        <v>0.75</v>
      </c>
      <c r="AB21" s="9">
        <f ca="1">OFFSET('RES Techs T15'!$F21,0,MATCH(VLOOKUP('RES Veda input'!AB$3,'RES Assumptions T15'!$V$3:$W$35,2,FALSE),'RES Techs T15'!$G$3:$U$3,0))</f>
        <v>0.75</v>
      </c>
      <c r="AC21" s="9">
        <f ca="1">OFFSET('RES Techs T15'!$F21,0,MATCH(VLOOKUP('RES Veda input'!AC$3,'RES Assumptions T15'!$V$3:$W$35,2,FALSE),'RES Techs T15'!$G$3:$U$3,0))</f>
        <v>0.75</v>
      </c>
      <c r="AD21" s="9">
        <f ca="1">OFFSET('RES Techs T15'!$F21,0,MATCH(VLOOKUP('RES Veda input'!AD$3,'RES Assumptions T15'!$V$3:$W$35,2,FALSE),'RES Techs T15'!$G$3:$U$3,0))</f>
        <v>0.75</v>
      </c>
      <c r="AE21" s="9">
        <f ca="1">OFFSET('RES Techs T15'!$F21,0,MATCH(VLOOKUP('RES Veda input'!AE$3,'RES Assumptions T15'!$V$3:$W$35,2,FALSE),'RES Techs T15'!$G$3:$U$3,0))</f>
        <v>0.75</v>
      </c>
      <c r="AF21" s="9">
        <f ca="1">OFFSET('RES Techs T15'!$F21,0,MATCH(VLOOKUP('RES Veda input'!AF$3,'RES Assumptions T15'!$V$3:$W$35,2,FALSE),'RES Techs T15'!$G$3:$U$3,0))</f>
        <v>0.75</v>
      </c>
      <c r="AG21" s="9">
        <f ca="1">OFFSET('RES Techs T15'!$F21,0,MATCH(VLOOKUP('RES Veda input'!AG$3,'RES Assumptions T15'!$V$3:$W$35,2,FALSE),'RES Techs T15'!$G$3:$U$3,0))</f>
        <v>0.75</v>
      </c>
      <c r="AH21" s="9">
        <f ca="1">OFFSET('RES Techs T15'!$F21,0,MATCH(VLOOKUP('RES Veda input'!AH$3,'RES Assumptions T15'!$V$3:$W$35,2,FALSE),'RES Techs T15'!$G$3:$U$3,0))</f>
        <v>0.75</v>
      </c>
      <c r="AI21" s="9">
        <f ca="1">OFFSET('RES Techs T15'!$F21,0,MATCH(VLOOKUP('RES Veda input'!AI$3,'RES Assumptions T15'!$V$3:$W$35,2,FALSE),'RES Techs T15'!$G$3:$U$3,0))</f>
        <v>0.75</v>
      </c>
      <c r="AJ21" s="9">
        <f ca="1">OFFSET('RES Techs T15'!$F21,0,MATCH(VLOOKUP('RES Veda input'!AJ$3,'RES Assumptions T15'!$V$3:$W$35,2,FALSE),'RES Techs T15'!$G$3:$U$3,0))</f>
        <v>0.75</v>
      </c>
      <c r="AL21" s="8" t="str">
        <f t="shared" si="60"/>
        <v>RSHHFO000</v>
      </c>
      <c r="AM21" s="9">
        <f ca="1">OFFSET('RES Techs T15'!$W21,0,MATCH(VLOOKUP('RES Veda input'!AM$3,'RES Assumptions T15'!$V$3:$W$35,2,FALSE),'RES Techs T15'!$G$3:$U$3,0))</f>
        <v>0.18</v>
      </c>
      <c r="AN21" s="9">
        <f ca="1">OFFSET('RES Techs T15'!$W21,0,MATCH(VLOOKUP('RES Veda input'!AN$3,'RES Assumptions T15'!$V$3:$W$35,2,FALSE),'RES Techs T15'!$G$3:$U$3,0))</f>
        <v>0.18</v>
      </c>
      <c r="AO21" s="9">
        <f ca="1">OFFSET('RES Techs T15'!$W21,0,MATCH(VLOOKUP('RES Veda input'!AO$3,'RES Assumptions T15'!$V$3:$W$35,2,FALSE),'RES Techs T15'!$G$3:$U$3,0))</f>
        <v>0.18</v>
      </c>
      <c r="AP21" s="9">
        <f ca="1">OFFSET('RES Techs T15'!$W21,0,MATCH(VLOOKUP('RES Veda input'!AP$3,'RES Assumptions T15'!$V$3:$W$35,2,FALSE),'RES Techs T15'!$G$3:$U$3,0))</f>
        <v>0.18</v>
      </c>
      <c r="AQ21" s="9">
        <f ca="1">OFFSET('RES Techs T15'!$W21,0,MATCH(VLOOKUP('RES Veda input'!AQ$3,'RES Assumptions T15'!$V$3:$W$35,2,FALSE),'RES Techs T15'!$G$3:$U$3,0))</f>
        <v>0.18</v>
      </c>
      <c r="AR21" s="9">
        <f ca="1">OFFSET('RES Techs T15'!$W21,0,MATCH(VLOOKUP('RES Veda input'!AR$3,'RES Assumptions T15'!$V$3:$W$35,2,FALSE),'RES Techs T15'!$G$3:$U$3,0))</f>
        <v>0.11</v>
      </c>
      <c r="AS21" s="9">
        <f ca="1">OFFSET('RES Techs T15'!$W21,0,MATCH(VLOOKUP('RES Veda input'!AS$3,'RES Assumptions T15'!$V$3:$W$35,2,FALSE),'RES Techs T15'!$G$3:$U$3,0))</f>
        <v>0.21</v>
      </c>
      <c r="AT21" s="9">
        <f ca="1">OFFSET('RES Techs T15'!$W21,0,MATCH(VLOOKUP('RES Veda input'!AT$3,'RES Assumptions T15'!$V$3:$W$35,2,FALSE),'RES Techs T15'!$G$3:$U$3,0))</f>
        <v>0.18</v>
      </c>
      <c r="AU21" s="9">
        <f ca="1">OFFSET('RES Techs T15'!$W21,0,MATCH(VLOOKUP('RES Veda input'!AU$3,'RES Assumptions T15'!$V$3:$W$35,2,FALSE),'RES Techs T15'!$G$3:$U$3,0))</f>
        <v>0.24</v>
      </c>
      <c r="AV21" s="9">
        <f ca="1">OFFSET('RES Techs T15'!$W21,0,MATCH(VLOOKUP('RES Veda input'!AV$3,'RES Assumptions T15'!$V$3:$W$35,2,FALSE),'RES Techs T15'!$G$3:$U$3,0))</f>
        <v>0.18</v>
      </c>
      <c r="AW21" s="9">
        <f ca="1">OFFSET('RES Techs T15'!$W21,0,MATCH(VLOOKUP('RES Veda input'!AW$3,'RES Assumptions T15'!$V$3:$W$35,2,FALSE),'RES Techs T15'!$G$3:$U$3,0))</f>
        <v>0.18</v>
      </c>
      <c r="AX21" s="9">
        <f ca="1">OFFSET('RES Techs T15'!$W21,0,MATCH(VLOOKUP('RES Veda input'!AX$3,'RES Assumptions T15'!$V$3:$W$35,2,FALSE),'RES Techs T15'!$G$3:$U$3,0))</f>
        <v>0.18</v>
      </c>
      <c r="AY21" s="9">
        <f ca="1">OFFSET('RES Techs T15'!$W21,0,MATCH(VLOOKUP('RES Veda input'!AY$3,'RES Assumptions T15'!$V$3:$W$35,2,FALSE),'RES Techs T15'!$G$3:$U$3,0))</f>
        <v>0.18</v>
      </c>
      <c r="AZ21" s="9">
        <f ca="1">OFFSET('RES Techs T15'!$W21,0,MATCH(VLOOKUP('RES Veda input'!AZ$3,'RES Assumptions T15'!$V$3:$W$35,2,FALSE),'RES Techs T15'!$G$3:$U$3,0))</f>
        <v>0.18</v>
      </c>
      <c r="BA21" s="9">
        <f ca="1">OFFSET('RES Techs T15'!$W21,0,MATCH(VLOOKUP('RES Veda input'!BA$3,'RES Assumptions T15'!$V$3:$W$35,2,FALSE),'RES Techs T15'!$G$3:$U$3,0))</f>
        <v>0.18</v>
      </c>
      <c r="BB21" s="9">
        <f ca="1">OFFSET('RES Techs T15'!$W21,0,MATCH(VLOOKUP('RES Veda input'!BB$3,'RES Assumptions T15'!$V$3:$W$35,2,FALSE),'RES Techs T15'!$G$3:$U$3,0))</f>
        <v>0.18</v>
      </c>
      <c r="BC21" s="9">
        <f ca="1">OFFSET('RES Techs T15'!$W21,0,MATCH(VLOOKUP('RES Veda input'!BC$3,'RES Assumptions T15'!$V$3:$W$35,2,FALSE),'RES Techs T15'!$G$3:$U$3,0))</f>
        <v>0.18</v>
      </c>
      <c r="BD21" s="9">
        <f ca="1">OFFSET('RES Techs T15'!$W21,0,MATCH(VLOOKUP('RES Veda input'!BD$3,'RES Assumptions T15'!$V$3:$W$35,2,FALSE),'RES Techs T15'!$G$3:$U$3,0))</f>
        <v>0.18</v>
      </c>
      <c r="BE21" s="9">
        <f ca="1">OFFSET('RES Techs T15'!$W21,0,MATCH(VLOOKUP('RES Veda input'!BE$3,'RES Assumptions T15'!$V$3:$W$35,2,FALSE),'RES Techs T15'!$G$3:$U$3,0))</f>
        <v>0.18</v>
      </c>
      <c r="BF21" s="9">
        <f ca="1">OFFSET('RES Techs T15'!$W21,0,MATCH(VLOOKUP('RES Veda input'!BF$3,'RES Assumptions T15'!$V$3:$W$35,2,FALSE),'RES Techs T15'!$G$3:$U$3,0))</f>
        <v>0.18</v>
      </c>
      <c r="BG21" s="9">
        <f ca="1">OFFSET('RES Techs T15'!$W21,0,MATCH(VLOOKUP('RES Veda input'!BG$3,'RES Assumptions T15'!$V$3:$W$35,2,FALSE),'RES Techs T15'!$G$3:$U$3,0))</f>
        <v>0.18</v>
      </c>
      <c r="BH21" s="9">
        <f ca="1">OFFSET('RES Techs T15'!$W21,0,MATCH(VLOOKUP('RES Veda input'!BH$3,'RES Assumptions T15'!$V$3:$W$35,2,FALSE),'RES Techs T15'!$G$3:$U$3,0))</f>
        <v>0.18</v>
      </c>
      <c r="BI21" s="9">
        <f ca="1">OFFSET('RES Techs T15'!$W21,0,MATCH(VLOOKUP('RES Veda input'!BI$3,'RES Assumptions T15'!$V$3:$W$35,2,FALSE),'RES Techs T15'!$G$3:$U$3,0))</f>
        <v>0.18</v>
      </c>
      <c r="BJ21" s="9">
        <f ca="1">OFFSET('RES Techs T15'!$W21,0,MATCH(VLOOKUP('RES Veda input'!BJ$3,'RES Assumptions T15'!$V$3:$W$35,2,FALSE),'RES Techs T15'!$G$3:$U$3,0))</f>
        <v>0.18</v>
      </c>
      <c r="BK21" s="9">
        <f ca="1">OFFSET('RES Techs T15'!$W21,0,MATCH(VLOOKUP('RES Veda input'!BK$3,'RES Assumptions T15'!$V$3:$W$35,2,FALSE),'RES Techs T15'!$G$3:$U$3,0))</f>
        <v>0.18</v>
      </c>
      <c r="BL21" s="9">
        <f ca="1">OFFSET('RES Techs T15'!$W21,0,MATCH(VLOOKUP('RES Veda input'!BL$3,'RES Assumptions T15'!$V$3:$W$35,2,FALSE),'RES Techs T15'!$G$3:$U$3,0))</f>
        <v>0.18</v>
      </c>
      <c r="BM21" s="9">
        <f ca="1">OFFSET('RES Techs T15'!$W21,0,MATCH(VLOOKUP('RES Veda input'!BM$3,'RES Assumptions T15'!$V$3:$W$35,2,FALSE),'RES Techs T15'!$G$3:$U$3,0))</f>
        <v>0.18</v>
      </c>
      <c r="BN21" s="9">
        <f ca="1">OFFSET('RES Techs T15'!$W21,0,MATCH(VLOOKUP('RES Veda input'!BN$3,'RES Assumptions T15'!$V$3:$W$35,2,FALSE),'RES Techs T15'!$G$3:$U$3,0))</f>
        <v>0.18</v>
      </c>
      <c r="BO21" s="9">
        <f ca="1">OFFSET('RES Techs T15'!$W21,0,MATCH(VLOOKUP('RES Veda input'!BO$3,'RES Assumptions T15'!$V$3:$W$35,2,FALSE),'RES Techs T15'!$G$3:$U$3,0))</f>
        <v>0.3</v>
      </c>
      <c r="BP21" s="9">
        <f ca="1">OFFSET('RES Techs T15'!$W21,0,MATCH(VLOOKUP('RES Veda input'!BP$3,'RES Assumptions T15'!$V$3:$W$35,2,FALSE),'RES Techs T15'!$G$3:$U$3,0))</f>
        <v>0.3</v>
      </c>
      <c r="BR21" s="8" t="str">
        <f t="shared" si="61"/>
        <v>RSHHFO000</v>
      </c>
      <c r="BS21" s="9">
        <f t="shared" ca="1" si="62"/>
        <v>4.2</v>
      </c>
      <c r="BT21" s="9" t="str">
        <f ca="1">IF(OFFSET('RES Techs T15'!$AO21,0,MATCH(VLOOKUP('RES Veda input'!BT$3,'RES Assumptions T15'!$V$3:$W$35,2,FALSE),'RES Techs T15'!$G$3:$U$3,0))=0,"",OFFSET('RES Techs T15'!$AO21,0,MATCH(VLOOKUP('RES Veda input'!BT$3,'RES Assumptions T15'!$V$3:$W$35,2,FALSE),'RES Techs T15'!$G$3:$U$3,0)))</f>
        <v/>
      </c>
      <c r="BU21" s="9" t="str">
        <f ca="1">IF(OFFSET('RES Techs T15'!$AO21,0,MATCH(VLOOKUP('RES Veda input'!BU$3,'RES Assumptions T15'!$V$3:$W$35,2,FALSE),'RES Techs T15'!$G$3:$U$3,0))=0,"",OFFSET('RES Techs T15'!$AO21,0,MATCH(VLOOKUP('RES Veda input'!BU$3,'RES Assumptions T15'!$V$3:$W$35,2,FALSE),'RES Techs T15'!$G$3:$U$3,0)))</f>
        <v/>
      </c>
      <c r="BV21" s="9">
        <f ca="1">IF(OFFSET('RES Techs T15'!$AO21,0,MATCH(VLOOKUP('RES Veda input'!BV$3,'RES Assumptions T15'!$V$3:$W$35,2,FALSE),'RES Techs T15'!$G$3:$U$3,0))=0,"",OFFSET('RES Techs T15'!$AO21,0,MATCH(VLOOKUP('RES Veda input'!BV$3,'RES Assumptions T15'!$V$3:$W$35,2,FALSE),'RES Techs T15'!$G$3:$U$3,0)))</f>
        <v>11.2</v>
      </c>
      <c r="BW21" s="9" t="str">
        <f ca="1">IF(OFFSET('RES Techs T15'!$AO21,0,MATCH(VLOOKUP('RES Veda input'!BW$3,'RES Assumptions T15'!$V$3:$W$35,2,FALSE),'RES Techs T15'!$G$3:$U$3,0))=0,"",OFFSET('RES Techs T15'!$AO21,0,MATCH(VLOOKUP('RES Veda input'!BW$3,'RES Assumptions T15'!$V$3:$W$35,2,FALSE),'RES Techs T15'!$G$3:$U$3,0)))</f>
        <v/>
      </c>
      <c r="BX21" s="9">
        <f ca="1">IF(OFFSET('RES Techs T15'!$AO21,0,MATCH(VLOOKUP('RES Veda input'!BX$3,'RES Assumptions T15'!$V$3:$W$35,2,FALSE),'RES Techs T15'!$G$3:$U$3,0))=0,"",OFFSET('RES Techs T15'!$AO21,0,MATCH(VLOOKUP('RES Veda input'!BX$3,'RES Assumptions T15'!$V$3:$W$35,2,FALSE),'RES Techs T15'!$G$3:$U$3,0)))</f>
        <v>16</v>
      </c>
      <c r="BY21" s="9">
        <f ca="1">IF(OFFSET('RES Techs T15'!$AO21,0,MATCH(VLOOKUP('RES Veda input'!BY$3,'RES Assumptions T15'!$V$3:$W$35,2,FALSE),'RES Techs T15'!$G$3:$U$3,0))=0,"",OFFSET('RES Techs T15'!$AO21,0,MATCH(VLOOKUP('RES Veda input'!BY$3,'RES Assumptions T15'!$V$3:$W$35,2,FALSE),'RES Techs T15'!$G$3:$U$3,0)))</f>
        <v>9.6</v>
      </c>
      <c r="BZ21" s="9" t="str">
        <f ca="1">IF(OFFSET('RES Techs T15'!$AO21,0,MATCH(VLOOKUP('RES Veda input'!BZ$3,'RES Assumptions T15'!$V$3:$W$35,2,FALSE),'RES Techs T15'!$G$3:$U$3,0))=0,"",OFFSET('RES Techs T15'!$AO21,0,MATCH(VLOOKUP('RES Veda input'!BZ$3,'RES Assumptions T15'!$V$3:$W$35,2,FALSE),'RES Techs T15'!$G$3:$U$3,0)))</f>
        <v/>
      </c>
      <c r="CA21" s="9">
        <f ca="1">IF(OFFSET('RES Techs T15'!$AO21,0,MATCH(VLOOKUP('RES Veda input'!CA$3,'RES Assumptions T15'!$V$3:$W$35,2,FALSE),'RES Techs T15'!$G$3:$U$3,0))=0,"",OFFSET('RES Techs T15'!$AO21,0,MATCH(VLOOKUP('RES Veda input'!CA$3,'RES Assumptions T15'!$V$3:$W$35,2,FALSE),'RES Techs T15'!$G$3:$U$3,0)))</f>
        <v>11.2</v>
      </c>
      <c r="CB21" s="9">
        <f ca="1">IF(OFFSET('RES Techs T15'!$AO21,0,MATCH(VLOOKUP('RES Veda input'!CB$3,'RES Assumptions T15'!$V$3:$W$35,2,FALSE),'RES Techs T15'!$G$3:$U$3,0))=0,"",OFFSET('RES Techs T15'!$AO21,0,MATCH(VLOOKUP('RES Veda input'!CB$3,'RES Assumptions T15'!$V$3:$W$35,2,FALSE),'RES Techs T15'!$G$3:$U$3,0)))</f>
        <v>4.2</v>
      </c>
      <c r="CC21" s="9" t="str">
        <f ca="1">IF(OFFSET('RES Techs T15'!$AO21,0,MATCH(VLOOKUP('RES Veda input'!CC$3,'RES Assumptions T15'!$V$3:$W$35,2,FALSE),'RES Techs T15'!$G$3:$U$3,0))=0,"",OFFSET('RES Techs T15'!$AO21,0,MATCH(VLOOKUP('RES Veda input'!CC$3,'RES Assumptions T15'!$V$3:$W$35,2,FALSE),'RES Techs T15'!$G$3:$U$3,0)))</f>
        <v/>
      </c>
      <c r="CD21" s="9" t="str">
        <f ca="1">IF(OFFSET('RES Techs T15'!$AO21,0,MATCH(VLOOKUP('RES Veda input'!CD$3,'RES Assumptions T15'!$V$3:$W$35,2,FALSE),'RES Techs T15'!$G$3:$U$3,0))=0,"",OFFSET('RES Techs T15'!$AO21,0,MATCH(VLOOKUP('RES Veda input'!CD$3,'RES Assumptions T15'!$V$3:$W$35,2,FALSE),'RES Techs T15'!$G$3:$U$3,0)))</f>
        <v/>
      </c>
      <c r="CE21" s="9" t="str">
        <f ca="1">IF(OFFSET('RES Techs T15'!$AO21,0,MATCH(VLOOKUP('RES Veda input'!CE$3,'RES Assumptions T15'!$V$3:$W$35,2,FALSE),'RES Techs T15'!$G$3:$U$3,0))=0,"",OFFSET('RES Techs T15'!$AO21,0,MATCH(VLOOKUP('RES Veda input'!CE$3,'RES Assumptions T15'!$V$3:$W$35,2,FALSE),'RES Techs T15'!$G$3:$U$3,0)))</f>
        <v/>
      </c>
      <c r="CF21" s="9" t="str">
        <f ca="1">IF(OFFSET('RES Techs T15'!$AO21,0,MATCH(VLOOKUP('RES Veda input'!CF$3,'RES Assumptions T15'!$V$3:$W$35,2,FALSE),'RES Techs T15'!$G$3:$U$3,0))=0,"",OFFSET('RES Techs T15'!$AO21,0,MATCH(VLOOKUP('RES Veda input'!CF$3,'RES Assumptions T15'!$V$3:$W$35,2,FALSE),'RES Techs T15'!$G$3:$U$3,0)))</f>
        <v/>
      </c>
      <c r="CG21" s="9" t="str">
        <f ca="1">IF(OFFSET('RES Techs T15'!$AO21,0,MATCH(VLOOKUP('RES Veda input'!CG$3,'RES Assumptions T15'!$V$3:$W$35,2,FALSE),'RES Techs T15'!$G$3:$U$3,0))=0,"",OFFSET('RES Techs T15'!$AO21,0,MATCH(VLOOKUP('RES Veda input'!CG$3,'RES Assumptions T15'!$V$3:$W$35,2,FALSE),'RES Techs T15'!$G$3:$U$3,0)))</f>
        <v/>
      </c>
      <c r="CH21" s="9" t="str">
        <f ca="1">IF(OFFSET('RES Techs T15'!$AO21,0,MATCH(VLOOKUP('RES Veda input'!CH$3,'RES Assumptions T15'!$V$3:$W$35,2,FALSE),'RES Techs T15'!$G$3:$U$3,0))=0,"",OFFSET('RES Techs T15'!$AO21,0,MATCH(VLOOKUP('RES Veda input'!CH$3,'RES Assumptions T15'!$V$3:$W$35,2,FALSE),'RES Techs T15'!$G$3:$U$3,0)))</f>
        <v/>
      </c>
      <c r="CI21" s="9" t="str">
        <f ca="1">IF(OFFSET('RES Techs T15'!$AO21,0,MATCH(VLOOKUP('RES Veda input'!CI$3,'RES Assumptions T15'!$V$3:$W$35,2,FALSE),'RES Techs T15'!$G$3:$U$3,0))=0,"",OFFSET('RES Techs T15'!$AO21,0,MATCH(VLOOKUP('RES Veda input'!CI$3,'RES Assumptions T15'!$V$3:$W$35,2,FALSE),'RES Techs T15'!$G$3:$U$3,0)))</f>
        <v/>
      </c>
      <c r="CJ21" s="9">
        <f ca="1">IF(OFFSET('RES Techs T15'!$AO21,0,MATCH(VLOOKUP('RES Veda input'!CJ$3,'RES Assumptions T15'!$V$3:$W$35,2,FALSE),'RES Techs T15'!$G$3:$U$3,0))=0,"",OFFSET('RES Techs T15'!$AO21,0,MATCH(VLOOKUP('RES Veda input'!CJ$3,'RES Assumptions T15'!$V$3:$W$35,2,FALSE),'RES Techs T15'!$G$3:$U$3,0)))</f>
        <v>11.2</v>
      </c>
      <c r="CK21" s="9" t="str">
        <f ca="1">IF(OFFSET('RES Techs T15'!$AO21,0,MATCH(VLOOKUP('RES Veda input'!CK$3,'RES Assumptions T15'!$V$3:$W$35,2,FALSE),'RES Techs T15'!$G$3:$U$3,0))=0,"",OFFSET('RES Techs T15'!$AO21,0,MATCH(VLOOKUP('RES Veda input'!CK$3,'RES Assumptions T15'!$V$3:$W$35,2,FALSE),'RES Techs T15'!$G$3:$U$3,0)))</f>
        <v/>
      </c>
      <c r="CL21" s="9" t="str">
        <f ca="1">IF(OFFSET('RES Techs T15'!$AO21,0,MATCH(VLOOKUP('RES Veda input'!CL$3,'RES Assumptions T15'!$V$3:$W$35,2,FALSE),'RES Techs T15'!$G$3:$U$3,0))=0,"",OFFSET('RES Techs T15'!$AO21,0,MATCH(VLOOKUP('RES Veda input'!CL$3,'RES Assumptions T15'!$V$3:$W$35,2,FALSE),'RES Techs T15'!$G$3:$U$3,0)))</f>
        <v/>
      </c>
      <c r="CM21" s="9">
        <f ca="1">IF(OFFSET('RES Techs T15'!$AO21,0,MATCH(VLOOKUP('RES Veda input'!CM$3,'RES Assumptions T15'!$V$3:$W$35,2,FALSE),'RES Techs T15'!$G$3:$U$3,0))=0,"",OFFSET('RES Techs T15'!$AO21,0,MATCH(VLOOKUP('RES Veda input'!CM$3,'RES Assumptions T15'!$V$3:$W$35,2,FALSE),'RES Techs T15'!$G$3:$U$3,0)))</f>
        <v>9.6</v>
      </c>
      <c r="CN21" s="9">
        <f ca="1">IF(OFFSET('RES Techs T15'!$AO21,0,MATCH(VLOOKUP('RES Veda input'!CN$3,'RES Assumptions T15'!$V$3:$W$35,2,FALSE),'RES Techs T15'!$G$3:$U$3,0))=0,"",OFFSET('RES Techs T15'!$AO21,0,MATCH(VLOOKUP('RES Veda input'!CN$3,'RES Assumptions T15'!$V$3:$W$35,2,FALSE),'RES Techs T15'!$G$3:$U$3,0)))</f>
        <v>11.2</v>
      </c>
      <c r="CO21" s="9">
        <f ca="1">IF(OFFSET('RES Techs T15'!$AO21,0,MATCH(VLOOKUP('RES Veda input'!CO$3,'RES Assumptions T15'!$V$3:$W$35,2,FALSE),'RES Techs T15'!$G$3:$U$3,0))=0,"",OFFSET('RES Techs T15'!$AO21,0,MATCH(VLOOKUP('RES Veda input'!CO$3,'RES Assumptions T15'!$V$3:$W$35,2,FALSE),'RES Techs T15'!$G$3:$U$3,0)))</f>
        <v>12.8</v>
      </c>
      <c r="CP21" s="9">
        <f ca="1">IF(OFFSET('RES Techs T15'!$AO21,0,MATCH(VLOOKUP('RES Veda input'!CP$3,'RES Assumptions T15'!$V$3:$W$35,2,FALSE),'RES Techs T15'!$G$3:$U$3,0))=0,"",OFFSET('RES Techs T15'!$AO21,0,MATCH(VLOOKUP('RES Veda input'!CP$3,'RES Assumptions T15'!$V$3:$W$35,2,FALSE),'RES Techs T15'!$G$3:$U$3,0)))</f>
        <v>11.2</v>
      </c>
      <c r="CQ21" s="9" t="str">
        <f ca="1">IF(OFFSET('RES Techs T15'!$AO21,0,MATCH(VLOOKUP('RES Veda input'!CQ$3,'RES Assumptions T15'!$V$3:$W$35,2,FALSE),'RES Techs T15'!$G$3:$U$3,0))=0,"",OFFSET('RES Techs T15'!$AO21,0,MATCH(VLOOKUP('RES Veda input'!CQ$3,'RES Assumptions T15'!$V$3:$W$35,2,FALSE),'RES Techs T15'!$G$3:$U$3,0)))</f>
        <v/>
      </c>
      <c r="CR21" s="9" t="str">
        <f ca="1">IF(OFFSET('RES Techs T15'!$AO21,0,MATCH(VLOOKUP('RES Veda input'!CR$3,'RES Assumptions T15'!$V$3:$W$35,2,FALSE),'RES Techs T15'!$G$3:$U$3,0))=0,"",OFFSET('RES Techs T15'!$AO21,0,MATCH(VLOOKUP('RES Veda input'!CR$3,'RES Assumptions T15'!$V$3:$W$35,2,FALSE),'RES Techs T15'!$G$3:$U$3,0)))</f>
        <v/>
      </c>
      <c r="CS21" s="9">
        <f ca="1">IF(OFFSET('RES Techs T15'!$AO21,0,MATCH(VLOOKUP('RES Veda input'!CS$3,'RES Assumptions T15'!$V$3:$W$35,2,FALSE),'RES Techs T15'!$G$3:$U$3,0))=0,"",OFFSET('RES Techs T15'!$AO21,0,MATCH(VLOOKUP('RES Veda input'!CS$3,'RES Assumptions T15'!$V$3:$W$35,2,FALSE),'RES Techs T15'!$G$3:$U$3,0)))</f>
        <v>11.2</v>
      </c>
      <c r="CT21" s="9" t="str">
        <f ca="1">IF(OFFSET('RES Techs T15'!$AO21,0,MATCH(VLOOKUP('RES Veda input'!CT$3,'RES Assumptions T15'!$V$3:$W$35,2,FALSE),'RES Techs T15'!$G$3:$U$3,0))=0,"",OFFSET('RES Techs T15'!$AO21,0,MATCH(VLOOKUP('RES Veda input'!CT$3,'RES Assumptions T15'!$V$3:$W$35,2,FALSE),'RES Techs T15'!$G$3:$U$3,0)))</f>
        <v/>
      </c>
      <c r="CU21" s="9" t="str">
        <f ca="1">IF(OFFSET('RES Techs T15'!$AO21,0,MATCH(VLOOKUP('RES Veda input'!CU$3,'RES Assumptions T15'!$V$3:$W$35,2,FALSE),'RES Techs T15'!$G$3:$U$3,0))=0,"",OFFSET('RES Techs T15'!$AO21,0,MATCH(VLOOKUP('RES Veda input'!CU$3,'RES Assumptions T15'!$V$3:$W$35,2,FALSE),'RES Techs T15'!$G$3:$U$3,0)))</f>
        <v/>
      </c>
      <c r="CV21" s="9">
        <f ca="1">IF(OFFSET('RES Techs T15'!$AO21,0,MATCH(VLOOKUP('RES Veda input'!CV$3,'RES Assumptions T15'!$V$3:$W$35,2,FALSE),'RES Techs T15'!$G$3:$U$3,0))=0,"",OFFSET('RES Techs T15'!$AO21,0,MATCH(VLOOKUP('RES Veda input'!CV$3,'RES Assumptions T15'!$V$3:$W$35,2,FALSE),'RES Techs T15'!$G$3:$U$3,0)))</f>
        <v>0.82</v>
      </c>
      <c r="CW21" s="9">
        <f ca="1">IF(OFFSET('RES Techs T15'!$AO21,0,MATCH(VLOOKUP('RES Veda input'!CW$3,'RES Assumptions T15'!$V$3:$W$35,2,FALSE),'RES Techs T15'!$G$3:$U$3,0))=0,"",OFFSET('RES Techs T15'!$AO21,0,MATCH(VLOOKUP('RES Veda input'!CW$3,'RES Assumptions T15'!$V$3:$W$35,2,FALSE),'RES Techs T15'!$G$3:$U$3,0)))</f>
        <v>0.82</v>
      </c>
      <c r="CY21" s="8" t="str">
        <f t="shared" si="63"/>
        <v>RSHHFO000</v>
      </c>
      <c r="CZ21" s="10">
        <f ca="1">ROUND('RES Assumptions'!E104*'RES Veda input'!G21/'RES Veda input'!AM21,3)</f>
        <v>0</v>
      </c>
      <c r="DA21" s="10">
        <f ca="1">ROUND('RES Assumptions'!F104*'RES Veda input'!H21/'RES Veda input'!AN21,3)</f>
        <v>0</v>
      </c>
      <c r="DB21" s="10">
        <f ca="1">ROUND('RES Assumptions'!G104*'RES Veda input'!I21/'RES Veda input'!AO21,3)</f>
        <v>0</v>
      </c>
      <c r="DC21" s="10">
        <f ca="1">ROUND('RES Assumptions'!H104*'RES Veda input'!J21/'RES Veda input'!AP21,3)</f>
        <v>0</v>
      </c>
      <c r="DD21" s="10">
        <f ca="1">ROUND('RES Assumptions'!I104*'RES Veda input'!K21/'RES Veda input'!AQ21,3)</f>
        <v>0</v>
      </c>
      <c r="DE21" s="10">
        <f ca="1">ROUND('RES Assumptions'!J104*'RES Veda input'!L21/'RES Veda input'!AR21,3)</f>
        <v>0</v>
      </c>
      <c r="DF21" s="10">
        <f ca="1">ROUND('RES Assumptions'!K104*'RES Veda input'!M21/'RES Veda input'!AS21,3)</f>
        <v>0</v>
      </c>
      <c r="DG21" s="10">
        <f ca="1">ROUND('RES Assumptions'!L104*'RES Veda input'!N21/'RES Veda input'!AT21,3)</f>
        <v>0</v>
      </c>
      <c r="DH21" s="10">
        <f ca="1">ROUND('RES Assumptions'!M104*'RES Veda input'!O21/'RES Veda input'!AU21,3)</f>
        <v>0</v>
      </c>
      <c r="DI21" s="10">
        <f ca="1">ROUND('RES Assumptions'!N104*'RES Veda input'!P21/'RES Veda input'!AV21,3)</f>
        <v>0</v>
      </c>
      <c r="DJ21" s="10">
        <f ca="1">ROUND('RES Assumptions'!O104*'RES Veda input'!Q21/'RES Veda input'!AW21,3)</f>
        <v>0</v>
      </c>
      <c r="DK21" s="10">
        <f ca="1">ROUND('RES Assumptions'!P104*'RES Veda input'!R21/'RES Veda input'!AX21,3)</f>
        <v>0</v>
      </c>
      <c r="DL21" s="10">
        <f ca="1">ROUND('RES Assumptions'!Q104*'RES Veda input'!S21/'RES Veda input'!AY21,3)</f>
        <v>0</v>
      </c>
      <c r="DM21" s="10">
        <f ca="1">ROUND('RES Assumptions'!R104*'RES Veda input'!T21/'RES Veda input'!AZ21,3)</f>
        <v>0</v>
      </c>
      <c r="DN21" s="10">
        <f ca="1">ROUND('RES Assumptions'!S104*'RES Veda input'!U21/'RES Veda input'!BA21,3)</f>
        <v>0</v>
      </c>
      <c r="DO21" s="10">
        <f ca="1">ROUND('RES Assumptions'!T104*'RES Veda input'!V21/'RES Veda input'!BB21,3)</f>
        <v>0</v>
      </c>
      <c r="DP21" s="10">
        <f ca="1">ROUND('RES Assumptions'!U104*'RES Veda input'!W21/'RES Veda input'!BC21,3)</f>
        <v>0</v>
      </c>
      <c r="DQ21" s="10">
        <f ca="1">ROUND('RES Assumptions'!V104*'RES Veda input'!X21/'RES Veda input'!BD21,3)</f>
        <v>0</v>
      </c>
      <c r="DR21" s="10">
        <f ca="1">ROUND('RES Assumptions'!W104*'RES Veda input'!Y21/'RES Veda input'!BE21,3)</f>
        <v>0</v>
      </c>
      <c r="DS21" s="10">
        <f ca="1">ROUND('RES Assumptions'!X104*'RES Veda input'!Z21/'RES Veda input'!BF21,3)</f>
        <v>0</v>
      </c>
      <c r="DT21" s="10">
        <f ca="1">ROUND('RES Assumptions'!Y104*'RES Veda input'!AA21/'RES Veda input'!BG21,3)</f>
        <v>0</v>
      </c>
      <c r="DU21" s="10">
        <f ca="1">ROUND('RES Assumptions'!Z104*'RES Veda input'!AB21/'RES Veda input'!BH21,3)</f>
        <v>0</v>
      </c>
      <c r="DV21" s="10">
        <f ca="1">ROUND('RES Assumptions'!AA104*'RES Veda input'!AC21/'RES Veda input'!BI21,3)</f>
        <v>0</v>
      </c>
      <c r="DW21" s="10">
        <f ca="1">ROUND('RES Assumptions'!AB104*'RES Veda input'!AD21/'RES Veda input'!BJ21,3)</f>
        <v>0</v>
      </c>
      <c r="DX21" s="10">
        <f ca="1">ROUND('RES Assumptions'!AC104*'RES Veda input'!AE21/'RES Veda input'!BK21,3)</f>
        <v>0</v>
      </c>
      <c r="DY21" s="10">
        <f ca="1">ROUND('RES Assumptions'!AD104*'RES Veda input'!AF21/'RES Veda input'!BL21,3)</f>
        <v>0</v>
      </c>
      <c r="DZ21" s="10">
        <f ca="1">ROUND('RES Assumptions'!AE104*'RES Veda input'!AG21/'RES Veda input'!BM21,3)</f>
        <v>0</v>
      </c>
      <c r="EA21" s="10">
        <f ca="1">ROUND('RES Assumptions'!AF104*'RES Veda input'!AH21/'RES Veda input'!BN21,3)</f>
        <v>0</v>
      </c>
      <c r="EB21" s="10">
        <f ca="1">ROUND('RES Assumptions'!AG104*'RES Veda input'!AI21/'RES Veda input'!BO21,3)</f>
        <v>0</v>
      </c>
      <c r="EC21" s="10">
        <f ca="1">ROUND('RES Assumptions'!AH104*'RES Veda input'!AJ21/'RES Veda input'!BP21,3)</f>
        <v>0</v>
      </c>
      <c r="ED21">
        <v>20</v>
      </c>
      <c r="EG21" t="s">
        <v>281</v>
      </c>
      <c r="EH21" t="str">
        <f t="shared" si="64"/>
        <v>RSHHFO000</v>
      </c>
      <c r="EJ21" t="s">
        <v>282</v>
      </c>
      <c r="EK21" t="s">
        <v>283</v>
      </c>
    </row>
    <row r="22" spans="1:141" x14ac:dyDescent="0.45">
      <c r="A22" s="37" t="str">
        <f>'RES Assumptions'!B105</f>
        <v>RH</v>
      </c>
      <c r="B22" s="37" t="s">
        <v>134</v>
      </c>
      <c r="D22" s="51" t="s">
        <v>298</v>
      </c>
      <c r="E22" s="8" t="str">
        <f>'RES Assumptions'!A105</f>
        <v>RESKER</v>
      </c>
      <c r="F22" s="8" t="str">
        <f>VLOOKUP(A22,'RES Assumptions'!$AN$87:$AO$97,2,FALSE)</f>
        <v>RSH</v>
      </c>
      <c r="G22" s="9">
        <f ca="1">OFFSET('RES Techs T15'!$F22,0,MATCH(VLOOKUP('RES Veda input'!G$3,'RES Assumptions T15'!$V$3:$W$35,2,FALSE),'RES Techs T15'!$G$3:$U$3,0))</f>
        <v>0.7</v>
      </c>
      <c r="H22" s="9">
        <f ca="1">OFFSET('RES Techs T15'!$F22,0,MATCH(VLOOKUP('RES Veda input'!H$3,'RES Assumptions T15'!$V$3:$W$35,2,FALSE),'RES Techs T15'!$G$3:$U$3,0))</f>
        <v>0.7</v>
      </c>
      <c r="I22" s="9">
        <f ca="1">OFFSET('RES Techs T15'!$F22,0,MATCH(VLOOKUP('RES Veda input'!I$3,'RES Assumptions T15'!$V$3:$W$35,2,FALSE),'RES Techs T15'!$G$3:$U$3,0))</f>
        <v>0.7</v>
      </c>
      <c r="J22" s="9">
        <f ca="1">OFFSET('RES Techs T15'!$F22,0,MATCH(VLOOKUP('RES Veda input'!J$3,'RES Assumptions T15'!$V$3:$W$35,2,FALSE),'RES Techs T15'!$G$3:$U$3,0))</f>
        <v>0.7</v>
      </c>
      <c r="K22" s="9">
        <f ca="1">OFFSET('RES Techs T15'!$F22,0,MATCH(VLOOKUP('RES Veda input'!K$3,'RES Assumptions T15'!$V$3:$W$35,2,FALSE),'RES Techs T15'!$G$3:$U$3,0))</f>
        <v>0.7</v>
      </c>
      <c r="L22" s="9">
        <f ca="1">OFFSET('RES Techs T15'!$F22,0,MATCH(VLOOKUP('RES Veda input'!L$3,'RES Assumptions T15'!$V$3:$W$35,2,FALSE),'RES Techs T15'!$G$3:$U$3,0))</f>
        <v>0.7</v>
      </c>
      <c r="M22" s="9">
        <f ca="1">OFFSET('RES Techs T15'!$F22,0,MATCH(VLOOKUP('RES Veda input'!M$3,'RES Assumptions T15'!$V$3:$W$35,2,FALSE),'RES Techs T15'!$G$3:$U$3,0))</f>
        <v>0.7</v>
      </c>
      <c r="N22" s="9">
        <f ca="1">OFFSET('RES Techs T15'!$F22,0,MATCH(VLOOKUP('RES Veda input'!N$3,'RES Assumptions T15'!$V$3:$W$35,2,FALSE),'RES Techs T15'!$G$3:$U$3,0))</f>
        <v>0.7</v>
      </c>
      <c r="O22" s="9">
        <f ca="1">OFFSET('RES Techs T15'!$F22,0,MATCH(VLOOKUP('RES Veda input'!O$3,'RES Assumptions T15'!$V$3:$W$35,2,FALSE),'RES Techs T15'!$G$3:$U$3,0))</f>
        <v>0.7</v>
      </c>
      <c r="P22" s="9">
        <f ca="1">OFFSET('RES Techs T15'!$F22,0,MATCH(VLOOKUP('RES Veda input'!P$3,'RES Assumptions T15'!$V$3:$W$35,2,FALSE),'RES Techs T15'!$G$3:$U$3,0))</f>
        <v>0.7</v>
      </c>
      <c r="Q22" s="9">
        <f ca="1">OFFSET('RES Techs T15'!$F22,0,MATCH(VLOOKUP('RES Veda input'!Q$3,'RES Assumptions T15'!$V$3:$W$35,2,FALSE),'RES Techs T15'!$G$3:$U$3,0))</f>
        <v>0.7</v>
      </c>
      <c r="R22" s="9">
        <f ca="1">OFFSET('RES Techs T15'!$F22,0,MATCH(VLOOKUP('RES Veda input'!R$3,'RES Assumptions T15'!$V$3:$W$35,2,FALSE),'RES Techs T15'!$G$3:$U$3,0))</f>
        <v>0.7</v>
      </c>
      <c r="S22" s="9">
        <f ca="1">OFFSET('RES Techs T15'!$F22,0,MATCH(VLOOKUP('RES Veda input'!S$3,'RES Assumptions T15'!$V$3:$W$35,2,FALSE),'RES Techs T15'!$G$3:$U$3,0))</f>
        <v>0.7</v>
      </c>
      <c r="T22" s="9">
        <f ca="1">OFFSET('RES Techs T15'!$F22,0,MATCH(VLOOKUP('RES Veda input'!T$3,'RES Assumptions T15'!$V$3:$W$35,2,FALSE),'RES Techs T15'!$G$3:$U$3,0))</f>
        <v>0.7</v>
      </c>
      <c r="U22" s="9">
        <f ca="1">OFFSET('RES Techs T15'!$F22,0,MATCH(VLOOKUP('RES Veda input'!U$3,'RES Assumptions T15'!$V$3:$W$35,2,FALSE),'RES Techs T15'!$G$3:$U$3,0))</f>
        <v>0.7</v>
      </c>
      <c r="V22" s="9">
        <f ca="1">OFFSET('RES Techs T15'!$F22,0,MATCH(VLOOKUP('RES Veda input'!V$3,'RES Assumptions T15'!$V$3:$W$35,2,FALSE),'RES Techs T15'!$G$3:$U$3,0))</f>
        <v>0.7</v>
      </c>
      <c r="W22" s="9">
        <f ca="1">OFFSET('RES Techs T15'!$F22,0,MATCH(VLOOKUP('RES Veda input'!W$3,'RES Assumptions T15'!$V$3:$W$35,2,FALSE),'RES Techs T15'!$G$3:$U$3,0))</f>
        <v>0.7</v>
      </c>
      <c r="X22" s="9">
        <f ca="1">OFFSET('RES Techs T15'!$F22,0,MATCH(VLOOKUP('RES Veda input'!X$3,'RES Assumptions T15'!$V$3:$W$35,2,FALSE),'RES Techs T15'!$G$3:$U$3,0))</f>
        <v>0.7</v>
      </c>
      <c r="Y22" s="9">
        <f ca="1">OFFSET('RES Techs T15'!$F22,0,MATCH(VLOOKUP('RES Veda input'!Y$3,'RES Assumptions T15'!$V$3:$W$35,2,FALSE),'RES Techs T15'!$G$3:$U$3,0))</f>
        <v>0.7</v>
      </c>
      <c r="Z22" s="9">
        <f ca="1">OFFSET('RES Techs T15'!$F22,0,MATCH(VLOOKUP('RES Veda input'!Z$3,'RES Assumptions T15'!$V$3:$W$35,2,FALSE),'RES Techs T15'!$G$3:$U$3,0))</f>
        <v>0.7</v>
      </c>
      <c r="AA22" s="9">
        <f ca="1">OFFSET('RES Techs T15'!$F22,0,MATCH(VLOOKUP('RES Veda input'!AA$3,'RES Assumptions T15'!$V$3:$W$35,2,FALSE),'RES Techs T15'!$G$3:$U$3,0))</f>
        <v>0.7</v>
      </c>
      <c r="AB22" s="9">
        <f ca="1">OFFSET('RES Techs T15'!$F22,0,MATCH(VLOOKUP('RES Veda input'!AB$3,'RES Assumptions T15'!$V$3:$W$35,2,FALSE),'RES Techs T15'!$G$3:$U$3,0))</f>
        <v>0.7</v>
      </c>
      <c r="AC22" s="9">
        <f ca="1">OFFSET('RES Techs T15'!$F22,0,MATCH(VLOOKUP('RES Veda input'!AC$3,'RES Assumptions T15'!$V$3:$W$35,2,FALSE),'RES Techs T15'!$G$3:$U$3,0))</f>
        <v>0.7</v>
      </c>
      <c r="AD22" s="9">
        <f ca="1">OFFSET('RES Techs T15'!$F22,0,MATCH(VLOOKUP('RES Veda input'!AD$3,'RES Assumptions T15'!$V$3:$W$35,2,FALSE),'RES Techs T15'!$G$3:$U$3,0))</f>
        <v>0.7</v>
      </c>
      <c r="AE22" s="9">
        <f ca="1">OFFSET('RES Techs T15'!$F22,0,MATCH(VLOOKUP('RES Veda input'!AE$3,'RES Assumptions T15'!$V$3:$W$35,2,FALSE),'RES Techs T15'!$G$3:$U$3,0))</f>
        <v>0.7</v>
      </c>
      <c r="AF22" s="9">
        <f ca="1">OFFSET('RES Techs T15'!$F22,0,MATCH(VLOOKUP('RES Veda input'!AF$3,'RES Assumptions T15'!$V$3:$W$35,2,FALSE),'RES Techs T15'!$G$3:$U$3,0))</f>
        <v>0.7</v>
      </c>
      <c r="AG22" s="9">
        <f ca="1">OFFSET('RES Techs T15'!$F22,0,MATCH(VLOOKUP('RES Veda input'!AG$3,'RES Assumptions T15'!$V$3:$W$35,2,FALSE),'RES Techs T15'!$G$3:$U$3,0))</f>
        <v>0.7</v>
      </c>
      <c r="AH22" s="9">
        <f ca="1">OFFSET('RES Techs T15'!$F22,0,MATCH(VLOOKUP('RES Veda input'!AH$3,'RES Assumptions T15'!$V$3:$W$35,2,FALSE),'RES Techs T15'!$G$3:$U$3,0))</f>
        <v>0.7</v>
      </c>
      <c r="AI22" s="9">
        <f ca="1">OFFSET('RES Techs T15'!$F22,0,MATCH(VLOOKUP('RES Veda input'!AI$3,'RES Assumptions T15'!$V$3:$W$35,2,FALSE),'RES Techs T15'!$G$3:$U$3,0))</f>
        <v>0.7</v>
      </c>
      <c r="AJ22" s="9">
        <f ca="1">OFFSET('RES Techs T15'!$F22,0,MATCH(VLOOKUP('RES Veda input'!AJ$3,'RES Assumptions T15'!$V$3:$W$35,2,FALSE),'RES Techs T15'!$G$3:$U$3,0))</f>
        <v>0.7</v>
      </c>
      <c r="AL22" s="8" t="str">
        <f t="shared" si="60"/>
        <v>RSHKER000</v>
      </c>
      <c r="AM22" s="9">
        <f ca="1">OFFSET('RES Techs T15'!$W22,0,MATCH(VLOOKUP('RES Veda input'!AM$3,'RES Assumptions T15'!$V$3:$W$35,2,FALSE),'RES Techs T15'!$G$3:$U$3,0))</f>
        <v>0.18</v>
      </c>
      <c r="AN22" s="9">
        <f ca="1">OFFSET('RES Techs T15'!$W22,0,MATCH(VLOOKUP('RES Veda input'!AN$3,'RES Assumptions T15'!$V$3:$W$35,2,FALSE),'RES Techs T15'!$G$3:$U$3,0))</f>
        <v>0.18</v>
      </c>
      <c r="AO22" s="9">
        <f ca="1">OFFSET('RES Techs T15'!$W22,0,MATCH(VLOOKUP('RES Veda input'!AO$3,'RES Assumptions T15'!$V$3:$W$35,2,FALSE),'RES Techs T15'!$G$3:$U$3,0))</f>
        <v>0.18</v>
      </c>
      <c r="AP22" s="9">
        <f ca="1">OFFSET('RES Techs T15'!$W22,0,MATCH(VLOOKUP('RES Veda input'!AP$3,'RES Assumptions T15'!$V$3:$W$35,2,FALSE),'RES Techs T15'!$G$3:$U$3,0))</f>
        <v>0.18</v>
      </c>
      <c r="AQ22" s="9">
        <f ca="1">OFFSET('RES Techs T15'!$W22,0,MATCH(VLOOKUP('RES Veda input'!AQ$3,'RES Assumptions T15'!$V$3:$W$35,2,FALSE),'RES Techs T15'!$G$3:$U$3,0))</f>
        <v>0.18</v>
      </c>
      <c r="AR22" s="9">
        <f ca="1">OFFSET('RES Techs T15'!$W22,0,MATCH(VLOOKUP('RES Veda input'!AR$3,'RES Assumptions T15'!$V$3:$W$35,2,FALSE),'RES Techs T15'!$G$3:$U$3,0))</f>
        <v>0.11</v>
      </c>
      <c r="AS22" s="9">
        <f ca="1">OFFSET('RES Techs T15'!$W22,0,MATCH(VLOOKUP('RES Veda input'!AS$3,'RES Assumptions T15'!$V$3:$W$35,2,FALSE),'RES Techs T15'!$G$3:$U$3,0))</f>
        <v>0.21</v>
      </c>
      <c r="AT22" s="9">
        <f ca="1">OFFSET('RES Techs T15'!$W22,0,MATCH(VLOOKUP('RES Veda input'!AT$3,'RES Assumptions T15'!$V$3:$W$35,2,FALSE),'RES Techs T15'!$G$3:$U$3,0))</f>
        <v>0.18</v>
      </c>
      <c r="AU22" s="9">
        <f ca="1">OFFSET('RES Techs T15'!$W22,0,MATCH(VLOOKUP('RES Veda input'!AU$3,'RES Assumptions T15'!$V$3:$W$35,2,FALSE),'RES Techs T15'!$G$3:$U$3,0))</f>
        <v>0.24</v>
      </c>
      <c r="AV22" s="9">
        <f ca="1">OFFSET('RES Techs T15'!$W22,0,MATCH(VLOOKUP('RES Veda input'!AV$3,'RES Assumptions T15'!$V$3:$W$35,2,FALSE),'RES Techs T15'!$G$3:$U$3,0))</f>
        <v>0.18</v>
      </c>
      <c r="AW22" s="9">
        <f ca="1">OFFSET('RES Techs T15'!$W22,0,MATCH(VLOOKUP('RES Veda input'!AW$3,'RES Assumptions T15'!$V$3:$W$35,2,FALSE),'RES Techs T15'!$G$3:$U$3,0))</f>
        <v>0.18</v>
      </c>
      <c r="AX22" s="9">
        <f ca="1">OFFSET('RES Techs T15'!$W22,0,MATCH(VLOOKUP('RES Veda input'!AX$3,'RES Assumptions T15'!$V$3:$W$35,2,FALSE),'RES Techs T15'!$G$3:$U$3,0))</f>
        <v>0.18</v>
      </c>
      <c r="AY22" s="9">
        <f ca="1">OFFSET('RES Techs T15'!$W22,0,MATCH(VLOOKUP('RES Veda input'!AY$3,'RES Assumptions T15'!$V$3:$W$35,2,FALSE),'RES Techs T15'!$G$3:$U$3,0))</f>
        <v>0.18</v>
      </c>
      <c r="AZ22" s="9">
        <f ca="1">OFFSET('RES Techs T15'!$W22,0,MATCH(VLOOKUP('RES Veda input'!AZ$3,'RES Assumptions T15'!$V$3:$W$35,2,FALSE),'RES Techs T15'!$G$3:$U$3,0))</f>
        <v>0.18</v>
      </c>
      <c r="BA22" s="9">
        <f ca="1">OFFSET('RES Techs T15'!$W22,0,MATCH(VLOOKUP('RES Veda input'!BA$3,'RES Assumptions T15'!$V$3:$W$35,2,FALSE),'RES Techs T15'!$G$3:$U$3,0))</f>
        <v>0.18</v>
      </c>
      <c r="BB22" s="9">
        <f ca="1">OFFSET('RES Techs T15'!$W22,0,MATCH(VLOOKUP('RES Veda input'!BB$3,'RES Assumptions T15'!$V$3:$W$35,2,FALSE),'RES Techs T15'!$G$3:$U$3,0))</f>
        <v>0.18</v>
      </c>
      <c r="BC22" s="9">
        <f ca="1">OFFSET('RES Techs T15'!$W22,0,MATCH(VLOOKUP('RES Veda input'!BC$3,'RES Assumptions T15'!$V$3:$W$35,2,FALSE),'RES Techs T15'!$G$3:$U$3,0))</f>
        <v>0.18</v>
      </c>
      <c r="BD22" s="9">
        <f ca="1">OFFSET('RES Techs T15'!$W22,0,MATCH(VLOOKUP('RES Veda input'!BD$3,'RES Assumptions T15'!$V$3:$W$35,2,FALSE),'RES Techs T15'!$G$3:$U$3,0))</f>
        <v>0.18</v>
      </c>
      <c r="BE22" s="9">
        <f ca="1">OFFSET('RES Techs T15'!$W22,0,MATCH(VLOOKUP('RES Veda input'!BE$3,'RES Assumptions T15'!$V$3:$W$35,2,FALSE),'RES Techs T15'!$G$3:$U$3,0))</f>
        <v>0.18</v>
      </c>
      <c r="BF22" s="9">
        <f ca="1">OFFSET('RES Techs T15'!$W22,0,MATCH(VLOOKUP('RES Veda input'!BF$3,'RES Assumptions T15'!$V$3:$W$35,2,FALSE),'RES Techs T15'!$G$3:$U$3,0))</f>
        <v>0.18</v>
      </c>
      <c r="BG22" s="9">
        <f ca="1">OFFSET('RES Techs T15'!$W22,0,MATCH(VLOOKUP('RES Veda input'!BG$3,'RES Assumptions T15'!$V$3:$W$35,2,FALSE),'RES Techs T15'!$G$3:$U$3,0))</f>
        <v>0.18</v>
      </c>
      <c r="BH22" s="9">
        <f ca="1">OFFSET('RES Techs T15'!$W22,0,MATCH(VLOOKUP('RES Veda input'!BH$3,'RES Assumptions T15'!$V$3:$W$35,2,FALSE),'RES Techs T15'!$G$3:$U$3,0))</f>
        <v>0.18</v>
      </c>
      <c r="BI22" s="9">
        <f ca="1">OFFSET('RES Techs T15'!$W22,0,MATCH(VLOOKUP('RES Veda input'!BI$3,'RES Assumptions T15'!$V$3:$W$35,2,FALSE),'RES Techs T15'!$G$3:$U$3,0))</f>
        <v>0.18</v>
      </c>
      <c r="BJ22" s="9">
        <f ca="1">OFFSET('RES Techs T15'!$W22,0,MATCH(VLOOKUP('RES Veda input'!BJ$3,'RES Assumptions T15'!$V$3:$W$35,2,FALSE),'RES Techs T15'!$G$3:$U$3,0))</f>
        <v>0.18</v>
      </c>
      <c r="BK22" s="9">
        <f ca="1">OFFSET('RES Techs T15'!$W22,0,MATCH(VLOOKUP('RES Veda input'!BK$3,'RES Assumptions T15'!$V$3:$W$35,2,FALSE),'RES Techs T15'!$G$3:$U$3,0))</f>
        <v>0.18</v>
      </c>
      <c r="BL22" s="9">
        <f ca="1">OFFSET('RES Techs T15'!$W22,0,MATCH(VLOOKUP('RES Veda input'!BL$3,'RES Assumptions T15'!$V$3:$W$35,2,FALSE),'RES Techs T15'!$G$3:$U$3,0))</f>
        <v>0.18</v>
      </c>
      <c r="BM22" s="9">
        <f ca="1">OFFSET('RES Techs T15'!$W22,0,MATCH(VLOOKUP('RES Veda input'!BM$3,'RES Assumptions T15'!$V$3:$W$35,2,FALSE),'RES Techs T15'!$G$3:$U$3,0))</f>
        <v>0.18</v>
      </c>
      <c r="BN22" s="9">
        <f ca="1">OFFSET('RES Techs T15'!$W22,0,MATCH(VLOOKUP('RES Veda input'!BN$3,'RES Assumptions T15'!$V$3:$W$35,2,FALSE),'RES Techs T15'!$G$3:$U$3,0))</f>
        <v>0.18</v>
      </c>
      <c r="BO22" s="9">
        <f ca="1">OFFSET('RES Techs T15'!$W22,0,MATCH(VLOOKUP('RES Veda input'!BO$3,'RES Assumptions T15'!$V$3:$W$35,2,FALSE),'RES Techs T15'!$G$3:$U$3,0))</f>
        <v>0.3</v>
      </c>
      <c r="BP22" s="9">
        <f ca="1">OFFSET('RES Techs T15'!$W22,0,MATCH(VLOOKUP('RES Veda input'!BP$3,'RES Assumptions T15'!$V$3:$W$35,2,FALSE),'RES Techs T15'!$G$3:$U$3,0))</f>
        <v>0.3</v>
      </c>
      <c r="BR22" s="8" t="str">
        <f t="shared" si="61"/>
        <v>RSHKER000</v>
      </c>
      <c r="BS22" s="9">
        <f t="shared" ca="1" si="62"/>
        <v>9.6</v>
      </c>
      <c r="BT22" s="9" t="str">
        <f ca="1">IF(OFFSET('RES Techs T15'!$AO22,0,MATCH(VLOOKUP('RES Veda input'!BT$3,'RES Assumptions T15'!$V$3:$W$35,2,FALSE),'RES Techs T15'!$G$3:$U$3,0))=0,"",OFFSET('RES Techs T15'!$AO22,0,MATCH(VLOOKUP('RES Veda input'!BT$3,'RES Assumptions T15'!$V$3:$W$35,2,FALSE),'RES Techs T15'!$G$3:$U$3,0)))</f>
        <v/>
      </c>
      <c r="BU22" s="9" t="str">
        <f ca="1">IF(OFFSET('RES Techs T15'!$AO22,0,MATCH(VLOOKUP('RES Veda input'!BU$3,'RES Assumptions T15'!$V$3:$W$35,2,FALSE),'RES Techs T15'!$G$3:$U$3,0))=0,"",OFFSET('RES Techs T15'!$AO22,0,MATCH(VLOOKUP('RES Veda input'!BU$3,'RES Assumptions T15'!$V$3:$W$35,2,FALSE),'RES Techs T15'!$G$3:$U$3,0)))</f>
        <v/>
      </c>
      <c r="BV22" s="9">
        <f ca="1">IF(OFFSET('RES Techs T15'!$AO22,0,MATCH(VLOOKUP('RES Veda input'!BV$3,'RES Assumptions T15'!$V$3:$W$35,2,FALSE),'RES Techs T15'!$G$3:$U$3,0))=0,"",OFFSET('RES Techs T15'!$AO22,0,MATCH(VLOOKUP('RES Veda input'!BV$3,'RES Assumptions T15'!$V$3:$W$35,2,FALSE),'RES Techs T15'!$G$3:$U$3,0)))</f>
        <v>11.2</v>
      </c>
      <c r="BW22" s="9" t="str">
        <f ca="1">IF(OFFSET('RES Techs T15'!$AO22,0,MATCH(VLOOKUP('RES Veda input'!BW$3,'RES Assumptions T15'!$V$3:$W$35,2,FALSE),'RES Techs T15'!$G$3:$U$3,0))=0,"",OFFSET('RES Techs T15'!$AO22,0,MATCH(VLOOKUP('RES Veda input'!BW$3,'RES Assumptions T15'!$V$3:$W$35,2,FALSE),'RES Techs T15'!$G$3:$U$3,0)))</f>
        <v/>
      </c>
      <c r="BX22" s="9">
        <f ca="1">IF(OFFSET('RES Techs T15'!$AO22,0,MATCH(VLOOKUP('RES Veda input'!BX$3,'RES Assumptions T15'!$V$3:$W$35,2,FALSE),'RES Techs T15'!$G$3:$U$3,0))=0,"",OFFSET('RES Techs T15'!$AO22,0,MATCH(VLOOKUP('RES Veda input'!BX$3,'RES Assumptions T15'!$V$3:$W$35,2,FALSE),'RES Techs T15'!$G$3:$U$3,0)))</f>
        <v>16</v>
      </c>
      <c r="BY22" s="9">
        <f ca="1">IF(OFFSET('RES Techs T15'!$AO22,0,MATCH(VLOOKUP('RES Veda input'!BY$3,'RES Assumptions T15'!$V$3:$W$35,2,FALSE),'RES Techs T15'!$G$3:$U$3,0))=0,"",OFFSET('RES Techs T15'!$AO22,0,MATCH(VLOOKUP('RES Veda input'!BY$3,'RES Assumptions T15'!$V$3:$W$35,2,FALSE),'RES Techs T15'!$G$3:$U$3,0)))</f>
        <v>9.6</v>
      </c>
      <c r="BZ22" s="9" t="str">
        <f ca="1">IF(OFFSET('RES Techs T15'!$AO22,0,MATCH(VLOOKUP('RES Veda input'!BZ$3,'RES Assumptions T15'!$V$3:$W$35,2,FALSE),'RES Techs T15'!$G$3:$U$3,0))=0,"",OFFSET('RES Techs T15'!$AO22,0,MATCH(VLOOKUP('RES Veda input'!BZ$3,'RES Assumptions T15'!$V$3:$W$35,2,FALSE),'RES Techs T15'!$G$3:$U$3,0)))</f>
        <v/>
      </c>
      <c r="CA22" s="9">
        <f ca="1">IF(OFFSET('RES Techs T15'!$AO22,0,MATCH(VLOOKUP('RES Veda input'!CA$3,'RES Assumptions T15'!$V$3:$W$35,2,FALSE),'RES Techs T15'!$G$3:$U$3,0))=0,"",OFFSET('RES Techs T15'!$AO22,0,MATCH(VLOOKUP('RES Veda input'!CA$3,'RES Assumptions T15'!$V$3:$W$35,2,FALSE),'RES Techs T15'!$G$3:$U$3,0)))</f>
        <v>11.2</v>
      </c>
      <c r="CB22" s="9" t="str">
        <f ca="1">IF(OFFSET('RES Techs T15'!$AO22,0,MATCH(VLOOKUP('RES Veda input'!CB$3,'RES Assumptions T15'!$V$3:$W$35,2,FALSE),'RES Techs T15'!$G$3:$U$3,0))=0,"",OFFSET('RES Techs T15'!$AO22,0,MATCH(VLOOKUP('RES Veda input'!CB$3,'RES Assumptions T15'!$V$3:$W$35,2,FALSE),'RES Techs T15'!$G$3:$U$3,0)))</f>
        <v/>
      </c>
      <c r="CC22" s="9" t="str">
        <f ca="1">IF(OFFSET('RES Techs T15'!$AO22,0,MATCH(VLOOKUP('RES Veda input'!CC$3,'RES Assumptions T15'!$V$3:$W$35,2,FALSE),'RES Techs T15'!$G$3:$U$3,0))=0,"",OFFSET('RES Techs T15'!$AO22,0,MATCH(VLOOKUP('RES Veda input'!CC$3,'RES Assumptions T15'!$V$3:$W$35,2,FALSE),'RES Techs T15'!$G$3:$U$3,0)))</f>
        <v/>
      </c>
      <c r="CD22" s="9" t="str">
        <f ca="1">IF(OFFSET('RES Techs T15'!$AO22,0,MATCH(VLOOKUP('RES Veda input'!CD$3,'RES Assumptions T15'!$V$3:$W$35,2,FALSE),'RES Techs T15'!$G$3:$U$3,0))=0,"",OFFSET('RES Techs T15'!$AO22,0,MATCH(VLOOKUP('RES Veda input'!CD$3,'RES Assumptions T15'!$V$3:$W$35,2,FALSE),'RES Techs T15'!$G$3:$U$3,0)))</f>
        <v/>
      </c>
      <c r="CE22" s="9" t="str">
        <f ca="1">IF(OFFSET('RES Techs T15'!$AO22,0,MATCH(VLOOKUP('RES Veda input'!CE$3,'RES Assumptions T15'!$V$3:$W$35,2,FALSE),'RES Techs T15'!$G$3:$U$3,0))=0,"",OFFSET('RES Techs T15'!$AO22,0,MATCH(VLOOKUP('RES Veda input'!CE$3,'RES Assumptions T15'!$V$3:$W$35,2,FALSE),'RES Techs T15'!$G$3:$U$3,0)))</f>
        <v/>
      </c>
      <c r="CF22" s="9" t="str">
        <f ca="1">IF(OFFSET('RES Techs T15'!$AO22,0,MATCH(VLOOKUP('RES Veda input'!CF$3,'RES Assumptions T15'!$V$3:$W$35,2,FALSE),'RES Techs T15'!$G$3:$U$3,0))=0,"",OFFSET('RES Techs T15'!$AO22,0,MATCH(VLOOKUP('RES Veda input'!CF$3,'RES Assumptions T15'!$V$3:$W$35,2,FALSE),'RES Techs T15'!$G$3:$U$3,0)))</f>
        <v/>
      </c>
      <c r="CG22" s="9" t="str">
        <f ca="1">IF(OFFSET('RES Techs T15'!$AO22,0,MATCH(VLOOKUP('RES Veda input'!CG$3,'RES Assumptions T15'!$V$3:$W$35,2,FALSE),'RES Techs T15'!$G$3:$U$3,0))=0,"",OFFSET('RES Techs T15'!$AO22,0,MATCH(VLOOKUP('RES Veda input'!CG$3,'RES Assumptions T15'!$V$3:$W$35,2,FALSE),'RES Techs T15'!$G$3:$U$3,0)))</f>
        <v/>
      </c>
      <c r="CH22" s="9" t="str">
        <f ca="1">IF(OFFSET('RES Techs T15'!$AO22,0,MATCH(VLOOKUP('RES Veda input'!CH$3,'RES Assumptions T15'!$V$3:$W$35,2,FALSE),'RES Techs T15'!$G$3:$U$3,0))=0,"",OFFSET('RES Techs T15'!$AO22,0,MATCH(VLOOKUP('RES Veda input'!CH$3,'RES Assumptions T15'!$V$3:$W$35,2,FALSE),'RES Techs T15'!$G$3:$U$3,0)))</f>
        <v/>
      </c>
      <c r="CI22" s="9" t="str">
        <f ca="1">IF(OFFSET('RES Techs T15'!$AO22,0,MATCH(VLOOKUP('RES Veda input'!CI$3,'RES Assumptions T15'!$V$3:$W$35,2,FALSE),'RES Techs T15'!$G$3:$U$3,0))=0,"",OFFSET('RES Techs T15'!$AO22,0,MATCH(VLOOKUP('RES Veda input'!CI$3,'RES Assumptions T15'!$V$3:$W$35,2,FALSE),'RES Techs T15'!$G$3:$U$3,0)))</f>
        <v/>
      </c>
      <c r="CJ22" s="9">
        <f ca="1">IF(OFFSET('RES Techs T15'!$AO22,0,MATCH(VLOOKUP('RES Veda input'!CJ$3,'RES Assumptions T15'!$V$3:$W$35,2,FALSE),'RES Techs T15'!$G$3:$U$3,0))=0,"",OFFSET('RES Techs T15'!$AO22,0,MATCH(VLOOKUP('RES Veda input'!CJ$3,'RES Assumptions T15'!$V$3:$W$35,2,FALSE),'RES Techs T15'!$G$3:$U$3,0)))</f>
        <v>11.2</v>
      </c>
      <c r="CK22" s="9" t="str">
        <f ca="1">IF(OFFSET('RES Techs T15'!$AO22,0,MATCH(VLOOKUP('RES Veda input'!CK$3,'RES Assumptions T15'!$V$3:$W$35,2,FALSE),'RES Techs T15'!$G$3:$U$3,0))=0,"",OFFSET('RES Techs T15'!$AO22,0,MATCH(VLOOKUP('RES Veda input'!CK$3,'RES Assumptions T15'!$V$3:$W$35,2,FALSE),'RES Techs T15'!$G$3:$U$3,0)))</f>
        <v/>
      </c>
      <c r="CL22" s="9" t="str">
        <f ca="1">IF(OFFSET('RES Techs T15'!$AO22,0,MATCH(VLOOKUP('RES Veda input'!CL$3,'RES Assumptions T15'!$V$3:$W$35,2,FALSE),'RES Techs T15'!$G$3:$U$3,0))=0,"",OFFSET('RES Techs T15'!$AO22,0,MATCH(VLOOKUP('RES Veda input'!CL$3,'RES Assumptions T15'!$V$3:$W$35,2,FALSE),'RES Techs T15'!$G$3:$U$3,0)))</f>
        <v/>
      </c>
      <c r="CM22" s="9">
        <f ca="1">IF(OFFSET('RES Techs T15'!$AO22,0,MATCH(VLOOKUP('RES Veda input'!CM$3,'RES Assumptions T15'!$V$3:$W$35,2,FALSE),'RES Techs T15'!$G$3:$U$3,0))=0,"",OFFSET('RES Techs T15'!$AO22,0,MATCH(VLOOKUP('RES Veda input'!CM$3,'RES Assumptions T15'!$V$3:$W$35,2,FALSE),'RES Techs T15'!$G$3:$U$3,0)))</f>
        <v>9.6</v>
      </c>
      <c r="CN22" s="9">
        <f ca="1">IF(OFFSET('RES Techs T15'!$AO22,0,MATCH(VLOOKUP('RES Veda input'!CN$3,'RES Assumptions T15'!$V$3:$W$35,2,FALSE),'RES Techs T15'!$G$3:$U$3,0))=0,"",OFFSET('RES Techs T15'!$AO22,0,MATCH(VLOOKUP('RES Veda input'!CN$3,'RES Assumptions T15'!$V$3:$W$35,2,FALSE),'RES Techs T15'!$G$3:$U$3,0)))</f>
        <v>11.2</v>
      </c>
      <c r="CO22" s="9">
        <f ca="1">IF(OFFSET('RES Techs T15'!$AO22,0,MATCH(VLOOKUP('RES Veda input'!CO$3,'RES Assumptions T15'!$V$3:$W$35,2,FALSE),'RES Techs T15'!$G$3:$U$3,0))=0,"",OFFSET('RES Techs T15'!$AO22,0,MATCH(VLOOKUP('RES Veda input'!CO$3,'RES Assumptions T15'!$V$3:$W$35,2,FALSE),'RES Techs T15'!$G$3:$U$3,0)))</f>
        <v>12.8</v>
      </c>
      <c r="CP22" s="9">
        <f ca="1">IF(OFFSET('RES Techs T15'!$AO22,0,MATCH(VLOOKUP('RES Veda input'!CP$3,'RES Assumptions T15'!$V$3:$W$35,2,FALSE),'RES Techs T15'!$G$3:$U$3,0))=0,"",OFFSET('RES Techs T15'!$AO22,0,MATCH(VLOOKUP('RES Veda input'!CP$3,'RES Assumptions T15'!$V$3:$W$35,2,FALSE),'RES Techs T15'!$G$3:$U$3,0)))</f>
        <v>11.2</v>
      </c>
      <c r="CQ22" s="9" t="str">
        <f ca="1">IF(OFFSET('RES Techs T15'!$AO22,0,MATCH(VLOOKUP('RES Veda input'!CQ$3,'RES Assumptions T15'!$V$3:$W$35,2,FALSE),'RES Techs T15'!$G$3:$U$3,0))=0,"",OFFSET('RES Techs T15'!$AO22,0,MATCH(VLOOKUP('RES Veda input'!CQ$3,'RES Assumptions T15'!$V$3:$W$35,2,FALSE),'RES Techs T15'!$G$3:$U$3,0)))</f>
        <v/>
      </c>
      <c r="CR22" s="9" t="str">
        <f ca="1">IF(OFFSET('RES Techs T15'!$AO22,0,MATCH(VLOOKUP('RES Veda input'!CR$3,'RES Assumptions T15'!$V$3:$W$35,2,FALSE),'RES Techs T15'!$G$3:$U$3,0))=0,"",OFFSET('RES Techs T15'!$AO22,0,MATCH(VLOOKUP('RES Veda input'!CR$3,'RES Assumptions T15'!$V$3:$W$35,2,FALSE),'RES Techs T15'!$G$3:$U$3,0)))</f>
        <v/>
      </c>
      <c r="CS22" s="9">
        <f ca="1">IF(OFFSET('RES Techs T15'!$AO22,0,MATCH(VLOOKUP('RES Veda input'!CS$3,'RES Assumptions T15'!$V$3:$W$35,2,FALSE),'RES Techs T15'!$G$3:$U$3,0))=0,"",OFFSET('RES Techs T15'!$AO22,0,MATCH(VLOOKUP('RES Veda input'!CS$3,'RES Assumptions T15'!$V$3:$W$35,2,FALSE),'RES Techs T15'!$G$3:$U$3,0)))</f>
        <v>11.2</v>
      </c>
      <c r="CT22" s="9" t="str">
        <f ca="1">IF(OFFSET('RES Techs T15'!$AO22,0,MATCH(VLOOKUP('RES Veda input'!CT$3,'RES Assumptions T15'!$V$3:$W$35,2,FALSE),'RES Techs T15'!$G$3:$U$3,0))=0,"",OFFSET('RES Techs T15'!$AO22,0,MATCH(VLOOKUP('RES Veda input'!CT$3,'RES Assumptions T15'!$V$3:$W$35,2,FALSE),'RES Techs T15'!$G$3:$U$3,0)))</f>
        <v/>
      </c>
      <c r="CU22" s="9" t="str">
        <f ca="1">IF(OFFSET('RES Techs T15'!$AO22,0,MATCH(VLOOKUP('RES Veda input'!CU$3,'RES Assumptions T15'!$V$3:$W$35,2,FALSE),'RES Techs T15'!$G$3:$U$3,0))=0,"",OFFSET('RES Techs T15'!$AO22,0,MATCH(VLOOKUP('RES Veda input'!CU$3,'RES Assumptions T15'!$V$3:$W$35,2,FALSE),'RES Techs T15'!$G$3:$U$3,0)))</f>
        <v/>
      </c>
      <c r="CV22" s="9">
        <f ca="1">IF(OFFSET('RES Techs T15'!$AO22,0,MATCH(VLOOKUP('RES Veda input'!CV$3,'RES Assumptions T15'!$V$3:$W$35,2,FALSE),'RES Techs T15'!$G$3:$U$3,0))=0,"",OFFSET('RES Techs T15'!$AO22,0,MATCH(VLOOKUP('RES Veda input'!CV$3,'RES Assumptions T15'!$V$3:$W$35,2,FALSE),'RES Techs T15'!$G$3:$U$3,0)))</f>
        <v>0.36</v>
      </c>
      <c r="CW22" s="9">
        <f ca="1">IF(OFFSET('RES Techs T15'!$AO22,0,MATCH(VLOOKUP('RES Veda input'!CW$3,'RES Assumptions T15'!$V$3:$W$35,2,FALSE),'RES Techs T15'!$G$3:$U$3,0))=0,"",OFFSET('RES Techs T15'!$AO22,0,MATCH(VLOOKUP('RES Veda input'!CW$3,'RES Assumptions T15'!$V$3:$W$35,2,FALSE),'RES Techs T15'!$G$3:$U$3,0)))</f>
        <v>0.36</v>
      </c>
      <c r="CY22" s="8" t="str">
        <f t="shared" si="63"/>
        <v>RSHKER000</v>
      </c>
      <c r="CZ22" s="10">
        <f ca="1">ROUND('RES Assumptions'!E105*'RES Veda input'!G22/'RES Veda input'!AM22,3)</f>
        <v>0.2</v>
      </c>
      <c r="DA22" s="10">
        <f ca="1">ROUND('RES Assumptions'!F105*'RES Veda input'!H22/'RES Veda input'!AN22,3)</f>
        <v>2.2120000000000002</v>
      </c>
      <c r="DB22" s="10">
        <f ca="1">ROUND('RES Assumptions'!G105*'RES Veda input'!I22/'RES Veda input'!AO22,3)</f>
        <v>0.501</v>
      </c>
      <c r="DC22" s="10">
        <f ca="1">ROUND('RES Assumptions'!H105*'RES Veda input'!J22/'RES Veda input'!AP22,3)</f>
        <v>18.681000000000001</v>
      </c>
      <c r="DD22" s="10">
        <f ca="1">ROUND('RES Assumptions'!I105*'RES Veda input'!K22/'RES Veda input'!AQ22,3)</f>
        <v>738.14200000000005</v>
      </c>
      <c r="DE22" s="10">
        <f ca="1">ROUND('RES Assumptions'!J105*'RES Veda input'!L22/'RES Veda input'!AR22,3)</f>
        <v>0</v>
      </c>
      <c r="DF22" s="10">
        <f ca="1">ROUND('RES Assumptions'!K105*'RES Veda input'!M22/'RES Veda input'!AS22,3)</f>
        <v>0</v>
      </c>
      <c r="DG22" s="10">
        <f ca="1">ROUND('RES Assumptions'!L105*'RES Veda input'!N22/'RES Veda input'!AT22,3)</f>
        <v>8.9999999999999993E-3</v>
      </c>
      <c r="DH22" s="10">
        <f ca="1">ROUND('RES Assumptions'!M105*'RES Veda input'!O22/'RES Veda input'!AU22,3)</f>
        <v>5.7869999999999999</v>
      </c>
      <c r="DI22" s="10">
        <f ca="1">ROUND('RES Assumptions'!N105*'RES Veda input'!P22/'RES Veda input'!AV22,3)</f>
        <v>0</v>
      </c>
      <c r="DJ22" s="10">
        <f ca="1">ROUND('RES Assumptions'!O105*'RES Veda input'!Q22/'RES Veda input'!AW22,3)</f>
        <v>0.499</v>
      </c>
      <c r="DK22" s="10">
        <f ca="1">ROUND('RES Assumptions'!P105*'RES Veda input'!R22/'RES Veda input'!AX22,3)</f>
        <v>0</v>
      </c>
      <c r="DL22" s="10">
        <f ca="1">ROUND('RES Assumptions'!Q105*'RES Veda input'!S22/'RES Veda input'!AY22,3)</f>
        <v>111.51300000000001</v>
      </c>
      <c r="DM22" s="10">
        <f ca="1">ROUND('RES Assumptions'!R105*'RES Veda input'!T22/'RES Veda input'!AZ22,3)</f>
        <v>2.4119999999999999</v>
      </c>
      <c r="DN22" s="10">
        <f ca="1">ROUND('RES Assumptions'!S105*'RES Veda input'!U22/'RES Veda input'!BA22,3)</f>
        <v>0</v>
      </c>
      <c r="DO22" s="10">
        <f ca="1">ROUND('RES Assumptions'!T105*'RES Veda input'!V22/'RES Veda input'!BB22,3)</f>
        <v>1.4E-2</v>
      </c>
      <c r="DP22" s="10">
        <f ca="1">ROUND('RES Assumptions'!U105*'RES Veda input'!W22/'RES Veda input'!BC22,3)</f>
        <v>0.54800000000000004</v>
      </c>
      <c r="DQ22" s="10">
        <f ca="1">ROUND('RES Assumptions'!V105*'RES Veda input'!X22/'RES Veda input'!BD22,3)</f>
        <v>23.568999999999999</v>
      </c>
      <c r="DR22" s="10">
        <f ca="1">ROUND('RES Assumptions'!W105*'RES Veda input'!Y22/'RES Veda input'!BE22,3)</f>
        <v>0.82699999999999996</v>
      </c>
      <c r="DS22" s="10">
        <f ca="1">ROUND('RES Assumptions'!X105*'RES Veda input'!Z22/'RES Veda input'!BF22,3)</f>
        <v>0</v>
      </c>
      <c r="DT22" s="10">
        <f ca="1">ROUND('RES Assumptions'!Y105*'RES Veda input'!AA22/'RES Veda input'!BG22,3)</f>
        <v>1.2010000000000001</v>
      </c>
      <c r="DU22" s="10">
        <f ca="1">ROUND('RES Assumptions'!Z105*'RES Veda input'!AB22/'RES Veda input'!BH22,3)</f>
        <v>0</v>
      </c>
      <c r="DV22" s="10">
        <f ca="1">ROUND('RES Assumptions'!AA105*'RES Veda input'!AC22/'RES Veda input'!BI22,3)</f>
        <v>225.238</v>
      </c>
      <c r="DW22" s="10">
        <f ca="1">ROUND('RES Assumptions'!AB105*'RES Veda input'!AD22/'RES Veda input'!BJ22,3)</f>
        <v>7.8E-2</v>
      </c>
      <c r="DX22" s="10">
        <f ca="1">ROUND('RES Assumptions'!AC105*'RES Veda input'!AE22/'RES Veda input'!BK22,3)</f>
        <v>0</v>
      </c>
      <c r="DY22" s="10">
        <f ca="1">ROUND('RES Assumptions'!AD105*'RES Veda input'!AF22/'RES Veda input'!BL22,3)</f>
        <v>31.934000000000001</v>
      </c>
      <c r="DZ22" s="10">
        <f ca="1">ROUND('RES Assumptions'!AE105*'RES Veda input'!AG22/'RES Veda input'!BM22,3)</f>
        <v>0.49</v>
      </c>
      <c r="EA22" s="10">
        <f ca="1">ROUND('RES Assumptions'!AF105*'RES Veda input'!AH22/'RES Veda input'!BN22,3)</f>
        <v>247.357</v>
      </c>
      <c r="EB22" s="10">
        <f ca="1">ROUND('RES Assumptions'!AG105*'RES Veda input'!AI22/'RES Veda input'!BO22,3)</f>
        <v>22.32</v>
      </c>
      <c r="EC22" s="10">
        <f ca="1">ROUND('RES Assumptions'!AH105*'RES Veda input'!AJ22/'RES Veda input'!BP22,3)</f>
        <v>0</v>
      </c>
      <c r="ED22">
        <v>10</v>
      </c>
      <c r="EG22" t="s">
        <v>281</v>
      </c>
      <c r="EH22" t="str">
        <f t="shared" si="64"/>
        <v>RSHKER000</v>
      </c>
      <c r="EJ22" t="s">
        <v>282</v>
      </c>
      <c r="EK22" t="s">
        <v>283</v>
      </c>
    </row>
    <row r="23" spans="1:141" x14ac:dyDescent="0.45">
      <c r="A23" s="37" t="str">
        <f>'RES Assumptions'!B106</f>
        <v>RH</v>
      </c>
      <c r="B23" s="37" t="s">
        <v>135</v>
      </c>
      <c r="D23" s="51" t="s">
        <v>299</v>
      </c>
      <c r="E23" s="8" t="str">
        <f>'RES Assumptions'!A106</f>
        <v>RESLPG</v>
      </c>
      <c r="F23" s="8" t="str">
        <f>VLOOKUP(A23,'RES Assumptions'!$AN$87:$AO$97,2,FALSE)</f>
        <v>RSH</v>
      </c>
      <c r="G23" s="9">
        <f ca="1">OFFSET('RES Techs T15'!$F23,0,MATCH(VLOOKUP('RES Veda input'!G$3,'RES Assumptions T15'!$V$3:$W$35,2,FALSE),'RES Techs T15'!$G$3:$U$3,0))</f>
        <v>0.7</v>
      </c>
      <c r="H23" s="9">
        <f ca="1">OFFSET('RES Techs T15'!$F23,0,MATCH(VLOOKUP('RES Veda input'!H$3,'RES Assumptions T15'!$V$3:$W$35,2,FALSE),'RES Techs T15'!$G$3:$U$3,0))</f>
        <v>0.7</v>
      </c>
      <c r="I23" s="9">
        <f ca="1">OFFSET('RES Techs T15'!$F23,0,MATCH(VLOOKUP('RES Veda input'!I$3,'RES Assumptions T15'!$V$3:$W$35,2,FALSE),'RES Techs T15'!$G$3:$U$3,0))</f>
        <v>0.7</v>
      </c>
      <c r="J23" s="9">
        <f ca="1">OFFSET('RES Techs T15'!$F23,0,MATCH(VLOOKUP('RES Veda input'!J$3,'RES Assumptions T15'!$V$3:$W$35,2,FALSE),'RES Techs T15'!$G$3:$U$3,0))</f>
        <v>0.7</v>
      </c>
      <c r="K23" s="9">
        <f ca="1">OFFSET('RES Techs T15'!$F23,0,MATCH(VLOOKUP('RES Veda input'!K$3,'RES Assumptions T15'!$V$3:$W$35,2,FALSE),'RES Techs T15'!$G$3:$U$3,0))</f>
        <v>0.7</v>
      </c>
      <c r="L23" s="9">
        <f ca="1">OFFSET('RES Techs T15'!$F23,0,MATCH(VLOOKUP('RES Veda input'!L$3,'RES Assumptions T15'!$V$3:$W$35,2,FALSE),'RES Techs T15'!$G$3:$U$3,0))</f>
        <v>0.7</v>
      </c>
      <c r="M23" s="9">
        <f ca="1">OFFSET('RES Techs T15'!$F23,0,MATCH(VLOOKUP('RES Veda input'!M$3,'RES Assumptions T15'!$V$3:$W$35,2,FALSE),'RES Techs T15'!$G$3:$U$3,0))</f>
        <v>0.7</v>
      </c>
      <c r="N23" s="9">
        <f ca="1">OFFSET('RES Techs T15'!$F23,0,MATCH(VLOOKUP('RES Veda input'!N$3,'RES Assumptions T15'!$V$3:$W$35,2,FALSE),'RES Techs T15'!$G$3:$U$3,0))</f>
        <v>0.7</v>
      </c>
      <c r="O23" s="9">
        <f ca="1">OFFSET('RES Techs T15'!$F23,0,MATCH(VLOOKUP('RES Veda input'!O$3,'RES Assumptions T15'!$V$3:$W$35,2,FALSE),'RES Techs T15'!$G$3:$U$3,0))</f>
        <v>0.7</v>
      </c>
      <c r="P23" s="9">
        <f ca="1">OFFSET('RES Techs T15'!$F23,0,MATCH(VLOOKUP('RES Veda input'!P$3,'RES Assumptions T15'!$V$3:$W$35,2,FALSE),'RES Techs T15'!$G$3:$U$3,0))</f>
        <v>0.7</v>
      </c>
      <c r="Q23" s="9">
        <f ca="1">OFFSET('RES Techs T15'!$F23,0,MATCH(VLOOKUP('RES Veda input'!Q$3,'RES Assumptions T15'!$V$3:$W$35,2,FALSE),'RES Techs T15'!$G$3:$U$3,0))</f>
        <v>0.7</v>
      </c>
      <c r="R23" s="9">
        <f ca="1">OFFSET('RES Techs T15'!$F23,0,MATCH(VLOOKUP('RES Veda input'!R$3,'RES Assumptions T15'!$V$3:$W$35,2,FALSE),'RES Techs T15'!$G$3:$U$3,0))</f>
        <v>0.7</v>
      </c>
      <c r="S23" s="9">
        <f ca="1">OFFSET('RES Techs T15'!$F23,0,MATCH(VLOOKUP('RES Veda input'!S$3,'RES Assumptions T15'!$V$3:$W$35,2,FALSE),'RES Techs T15'!$G$3:$U$3,0))</f>
        <v>0.7</v>
      </c>
      <c r="T23" s="9">
        <f ca="1">OFFSET('RES Techs T15'!$F23,0,MATCH(VLOOKUP('RES Veda input'!T$3,'RES Assumptions T15'!$V$3:$W$35,2,FALSE),'RES Techs T15'!$G$3:$U$3,0))</f>
        <v>0.7</v>
      </c>
      <c r="U23" s="9">
        <f ca="1">OFFSET('RES Techs T15'!$F23,0,MATCH(VLOOKUP('RES Veda input'!U$3,'RES Assumptions T15'!$V$3:$W$35,2,FALSE),'RES Techs T15'!$G$3:$U$3,0))</f>
        <v>0.7</v>
      </c>
      <c r="V23" s="9">
        <f ca="1">OFFSET('RES Techs T15'!$F23,0,MATCH(VLOOKUP('RES Veda input'!V$3,'RES Assumptions T15'!$V$3:$W$35,2,FALSE),'RES Techs T15'!$G$3:$U$3,0))</f>
        <v>0.7</v>
      </c>
      <c r="W23" s="9">
        <f ca="1">OFFSET('RES Techs T15'!$F23,0,MATCH(VLOOKUP('RES Veda input'!W$3,'RES Assumptions T15'!$V$3:$W$35,2,FALSE),'RES Techs T15'!$G$3:$U$3,0))</f>
        <v>0.7</v>
      </c>
      <c r="X23" s="9">
        <f ca="1">OFFSET('RES Techs T15'!$F23,0,MATCH(VLOOKUP('RES Veda input'!X$3,'RES Assumptions T15'!$V$3:$W$35,2,FALSE),'RES Techs T15'!$G$3:$U$3,0))</f>
        <v>0.7</v>
      </c>
      <c r="Y23" s="9">
        <f ca="1">OFFSET('RES Techs T15'!$F23,0,MATCH(VLOOKUP('RES Veda input'!Y$3,'RES Assumptions T15'!$V$3:$W$35,2,FALSE),'RES Techs T15'!$G$3:$U$3,0))</f>
        <v>0.7</v>
      </c>
      <c r="Z23" s="9">
        <f ca="1">OFFSET('RES Techs T15'!$F23,0,MATCH(VLOOKUP('RES Veda input'!Z$3,'RES Assumptions T15'!$V$3:$W$35,2,FALSE),'RES Techs T15'!$G$3:$U$3,0))</f>
        <v>0.7</v>
      </c>
      <c r="AA23" s="9">
        <f ca="1">OFFSET('RES Techs T15'!$F23,0,MATCH(VLOOKUP('RES Veda input'!AA$3,'RES Assumptions T15'!$V$3:$W$35,2,FALSE),'RES Techs T15'!$G$3:$U$3,0))</f>
        <v>0.7</v>
      </c>
      <c r="AB23" s="9">
        <f ca="1">OFFSET('RES Techs T15'!$F23,0,MATCH(VLOOKUP('RES Veda input'!AB$3,'RES Assumptions T15'!$V$3:$W$35,2,FALSE),'RES Techs T15'!$G$3:$U$3,0))</f>
        <v>0.7</v>
      </c>
      <c r="AC23" s="9">
        <f ca="1">OFFSET('RES Techs T15'!$F23,0,MATCH(VLOOKUP('RES Veda input'!AC$3,'RES Assumptions T15'!$V$3:$W$35,2,FALSE),'RES Techs T15'!$G$3:$U$3,0))</f>
        <v>0.7</v>
      </c>
      <c r="AD23" s="9">
        <f ca="1">OFFSET('RES Techs T15'!$F23,0,MATCH(VLOOKUP('RES Veda input'!AD$3,'RES Assumptions T15'!$V$3:$W$35,2,FALSE),'RES Techs T15'!$G$3:$U$3,0))</f>
        <v>0.7</v>
      </c>
      <c r="AE23" s="9">
        <f ca="1">OFFSET('RES Techs T15'!$F23,0,MATCH(VLOOKUP('RES Veda input'!AE$3,'RES Assumptions T15'!$V$3:$W$35,2,FALSE),'RES Techs T15'!$G$3:$U$3,0))</f>
        <v>0.7</v>
      </c>
      <c r="AF23" s="9">
        <f ca="1">OFFSET('RES Techs T15'!$F23,0,MATCH(VLOOKUP('RES Veda input'!AF$3,'RES Assumptions T15'!$V$3:$W$35,2,FALSE),'RES Techs T15'!$G$3:$U$3,0))</f>
        <v>0.7</v>
      </c>
      <c r="AG23" s="9">
        <f ca="1">OFFSET('RES Techs T15'!$F23,0,MATCH(VLOOKUP('RES Veda input'!AG$3,'RES Assumptions T15'!$V$3:$W$35,2,FALSE),'RES Techs T15'!$G$3:$U$3,0))</f>
        <v>0.7</v>
      </c>
      <c r="AH23" s="9">
        <f ca="1">OFFSET('RES Techs T15'!$F23,0,MATCH(VLOOKUP('RES Veda input'!AH$3,'RES Assumptions T15'!$V$3:$W$35,2,FALSE),'RES Techs T15'!$G$3:$U$3,0))</f>
        <v>0.7</v>
      </c>
      <c r="AI23" s="9">
        <f ca="1">OFFSET('RES Techs T15'!$F23,0,MATCH(VLOOKUP('RES Veda input'!AI$3,'RES Assumptions T15'!$V$3:$W$35,2,FALSE),'RES Techs T15'!$G$3:$U$3,0))</f>
        <v>0.7</v>
      </c>
      <c r="AJ23" s="9">
        <f ca="1">OFFSET('RES Techs T15'!$F23,0,MATCH(VLOOKUP('RES Veda input'!AJ$3,'RES Assumptions T15'!$V$3:$W$35,2,FALSE),'RES Techs T15'!$G$3:$U$3,0))</f>
        <v>0.7</v>
      </c>
      <c r="AL23" s="8" t="str">
        <f t="shared" si="60"/>
        <v>RSHLPG000</v>
      </c>
      <c r="AM23" s="9">
        <f ca="1">OFFSET('RES Techs T15'!$W23,0,MATCH(VLOOKUP('RES Veda input'!AM$3,'RES Assumptions T15'!$V$3:$W$35,2,FALSE),'RES Techs T15'!$G$3:$U$3,0))</f>
        <v>0.18</v>
      </c>
      <c r="AN23" s="9">
        <f ca="1">OFFSET('RES Techs T15'!$W23,0,MATCH(VLOOKUP('RES Veda input'!AN$3,'RES Assumptions T15'!$V$3:$W$35,2,FALSE),'RES Techs T15'!$G$3:$U$3,0))</f>
        <v>0.18</v>
      </c>
      <c r="AO23" s="9">
        <f ca="1">OFFSET('RES Techs T15'!$W23,0,MATCH(VLOOKUP('RES Veda input'!AO$3,'RES Assumptions T15'!$V$3:$W$35,2,FALSE),'RES Techs T15'!$G$3:$U$3,0))</f>
        <v>0.18</v>
      </c>
      <c r="AP23" s="9">
        <f ca="1">OFFSET('RES Techs T15'!$W23,0,MATCH(VLOOKUP('RES Veda input'!AP$3,'RES Assumptions T15'!$V$3:$W$35,2,FALSE),'RES Techs T15'!$G$3:$U$3,0))</f>
        <v>0.18</v>
      </c>
      <c r="AQ23" s="9">
        <f ca="1">OFFSET('RES Techs T15'!$W23,0,MATCH(VLOOKUP('RES Veda input'!AQ$3,'RES Assumptions T15'!$V$3:$W$35,2,FALSE),'RES Techs T15'!$G$3:$U$3,0))</f>
        <v>0.18</v>
      </c>
      <c r="AR23" s="9">
        <f ca="1">OFFSET('RES Techs T15'!$W23,0,MATCH(VLOOKUP('RES Veda input'!AR$3,'RES Assumptions T15'!$V$3:$W$35,2,FALSE),'RES Techs T15'!$G$3:$U$3,0))</f>
        <v>0.11</v>
      </c>
      <c r="AS23" s="9">
        <f ca="1">OFFSET('RES Techs T15'!$W23,0,MATCH(VLOOKUP('RES Veda input'!AS$3,'RES Assumptions T15'!$V$3:$W$35,2,FALSE),'RES Techs T15'!$G$3:$U$3,0))</f>
        <v>0.21</v>
      </c>
      <c r="AT23" s="9">
        <f ca="1">OFFSET('RES Techs T15'!$W23,0,MATCH(VLOOKUP('RES Veda input'!AT$3,'RES Assumptions T15'!$V$3:$W$35,2,FALSE),'RES Techs T15'!$G$3:$U$3,0))</f>
        <v>0.18</v>
      </c>
      <c r="AU23" s="9">
        <f ca="1">OFFSET('RES Techs T15'!$W23,0,MATCH(VLOOKUP('RES Veda input'!AU$3,'RES Assumptions T15'!$V$3:$W$35,2,FALSE),'RES Techs T15'!$G$3:$U$3,0))</f>
        <v>0.24</v>
      </c>
      <c r="AV23" s="9">
        <f ca="1">OFFSET('RES Techs T15'!$W23,0,MATCH(VLOOKUP('RES Veda input'!AV$3,'RES Assumptions T15'!$V$3:$W$35,2,FALSE),'RES Techs T15'!$G$3:$U$3,0))</f>
        <v>0.18</v>
      </c>
      <c r="AW23" s="9">
        <f ca="1">OFFSET('RES Techs T15'!$W23,0,MATCH(VLOOKUP('RES Veda input'!AW$3,'RES Assumptions T15'!$V$3:$W$35,2,FALSE),'RES Techs T15'!$G$3:$U$3,0))</f>
        <v>0.18</v>
      </c>
      <c r="AX23" s="9">
        <f ca="1">OFFSET('RES Techs T15'!$W23,0,MATCH(VLOOKUP('RES Veda input'!AX$3,'RES Assumptions T15'!$V$3:$W$35,2,FALSE),'RES Techs T15'!$G$3:$U$3,0))</f>
        <v>0.18</v>
      </c>
      <c r="AY23" s="9">
        <f ca="1">OFFSET('RES Techs T15'!$W23,0,MATCH(VLOOKUP('RES Veda input'!AY$3,'RES Assumptions T15'!$V$3:$W$35,2,FALSE),'RES Techs T15'!$G$3:$U$3,0))</f>
        <v>0.18</v>
      </c>
      <c r="AZ23" s="9">
        <f ca="1">OFFSET('RES Techs T15'!$W23,0,MATCH(VLOOKUP('RES Veda input'!AZ$3,'RES Assumptions T15'!$V$3:$W$35,2,FALSE),'RES Techs T15'!$G$3:$U$3,0))</f>
        <v>0.18</v>
      </c>
      <c r="BA23" s="9">
        <f ca="1">OFFSET('RES Techs T15'!$W23,0,MATCH(VLOOKUP('RES Veda input'!BA$3,'RES Assumptions T15'!$V$3:$W$35,2,FALSE),'RES Techs T15'!$G$3:$U$3,0))</f>
        <v>0.18</v>
      </c>
      <c r="BB23" s="9">
        <f ca="1">OFFSET('RES Techs T15'!$W23,0,MATCH(VLOOKUP('RES Veda input'!BB$3,'RES Assumptions T15'!$V$3:$W$35,2,FALSE),'RES Techs T15'!$G$3:$U$3,0))</f>
        <v>0.18</v>
      </c>
      <c r="BC23" s="9">
        <f ca="1">OFFSET('RES Techs T15'!$W23,0,MATCH(VLOOKUP('RES Veda input'!BC$3,'RES Assumptions T15'!$V$3:$W$35,2,FALSE),'RES Techs T15'!$G$3:$U$3,0))</f>
        <v>0.18</v>
      </c>
      <c r="BD23" s="9">
        <f ca="1">OFFSET('RES Techs T15'!$W23,0,MATCH(VLOOKUP('RES Veda input'!BD$3,'RES Assumptions T15'!$V$3:$W$35,2,FALSE),'RES Techs T15'!$G$3:$U$3,0))</f>
        <v>0.18</v>
      </c>
      <c r="BE23" s="9">
        <f ca="1">OFFSET('RES Techs T15'!$W23,0,MATCH(VLOOKUP('RES Veda input'!BE$3,'RES Assumptions T15'!$V$3:$W$35,2,FALSE),'RES Techs T15'!$G$3:$U$3,0))</f>
        <v>0.18</v>
      </c>
      <c r="BF23" s="9">
        <f ca="1">OFFSET('RES Techs T15'!$W23,0,MATCH(VLOOKUP('RES Veda input'!BF$3,'RES Assumptions T15'!$V$3:$W$35,2,FALSE),'RES Techs T15'!$G$3:$U$3,0))</f>
        <v>0.18</v>
      </c>
      <c r="BG23" s="9">
        <f ca="1">OFFSET('RES Techs T15'!$W23,0,MATCH(VLOOKUP('RES Veda input'!BG$3,'RES Assumptions T15'!$V$3:$W$35,2,FALSE),'RES Techs T15'!$G$3:$U$3,0))</f>
        <v>0.18</v>
      </c>
      <c r="BH23" s="9">
        <f ca="1">OFFSET('RES Techs T15'!$W23,0,MATCH(VLOOKUP('RES Veda input'!BH$3,'RES Assumptions T15'!$V$3:$W$35,2,FALSE),'RES Techs T15'!$G$3:$U$3,0))</f>
        <v>0.18</v>
      </c>
      <c r="BI23" s="9">
        <f ca="1">OFFSET('RES Techs T15'!$W23,0,MATCH(VLOOKUP('RES Veda input'!BI$3,'RES Assumptions T15'!$V$3:$W$35,2,FALSE),'RES Techs T15'!$G$3:$U$3,0))</f>
        <v>0.18</v>
      </c>
      <c r="BJ23" s="9">
        <f ca="1">OFFSET('RES Techs T15'!$W23,0,MATCH(VLOOKUP('RES Veda input'!BJ$3,'RES Assumptions T15'!$V$3:$W$35,2,FALSE),'RES Techs T15'!$G$3:$U$3,0))</f>
        <v>0.18</v>
      </c>
      <c r="BK23" s="9">
        <f ca="1">OFFSET('RES Techs T15'!$W23,0,MATCH(VLOOKUP('RES Veda input'!BK$3,'RES Assumptions T15'!$V$3:$W$35,2,FALSE),'RES Techs T15'!$G$3:$U$3,0))</f>
        <v>0.18</v>
      </c>
      <c r="BL23" s="9">
        <f ca="1">OFFSET('RES Techs T15'!$W23,0,MATCH(VLOOKUP('RES Veda input'!BL$3,'RES Assumptions T15'!$V$3:$W$35,2,FALSE),'RES Techs T15'!$G$3:$U$3,0))</f>
        <v>0.18</v>
      </c>
      <c r="BM23" s="9">
        <f ca="1">OFFSET('RES Techs T15'!$W23,0,MATCH(VLOOKUP('RES Veda input'!BM$3,'RES Assumptions T15'!$V$3:$W$35,2,FALSE),'RES Techs T15'!$G$3:$U$3,0))</f>
        <v>0.18</v>
      </c>
      <c r="BN23" s="9">
        <f ca="1">OFFSET('RES Techs T15'!$W23,0,MATCH(VLOOKUP('RES Veda input'!BN$3,'RES Assumptions T15'!$V$3:$W$35,2,FALSE),'RES Techs T15'!$G$3:$U$3,0))</f>
        <v>0.18</v>
      </c>
      <c r="BO23" s="9">
        <f ca="1">OFFSET('RES Techs T15'!$W23,0,MATCH(VLOOKUP('RES Veda input'!BO$3,'RES Assumptions T15'!$V$3:$W$35,2,FALSE),'RES Techs T15'!$G$3:$U$3,0))</f>
        <v>0.3</v>
      </c>
      <c r="BP23" s="9">
        <f ca="1">OFFSET('RES Techs T15'!$W23,0,MATCH(VLOOKUP('RES Veda input'!BP$3,'RES Assumptions T15'!$V$3:$W$35,2,FALSE),'RES Techs T15'!$G$3:$U$3,0))</f>
        <v>0.3</v>
      </c>
      <c r="BR23" s="8" t="str">
        <f t="shared" si="61"/>
        <v>RSHLPG000</v>
      </c>
      <c r="BS23" s="9">
        <f t="shared" ca="1" si="62"/>
        <v>2.4</v>
      </c>
      <c r="BT23" s="9" t="str">
        <f ca="1">IF(OFFSET('RES Techs T15'!$AO23,0,MATCH(VLOOKUP('RES Veda input'!BT$3,'RES Assumptions T15'!$V$3:$W$35,2,FALSE),'RES Techs T15'!$G$3:$U$3,0))=0,"",OFFSET('RES Techs T15'!$AO23,0,MATCH(VLOOKUP('RES Veda input'!BT$3,'RES Assumptions T15'!$V$3:$W$35,2,FALSE),'RES Techs T15'!$G$3:$U$3,0)))</f>
        <v/>
      </c>
      <c r="BU23" s="9" t="str">
        <f ca="1">IF(OFFSET('RES Techs T15'!$AO23,0,MATCH(VLOOKUP('RES Veda input'!BU$3,'RES Assumptions T15'!$V$3:$W$35,2,FALSE),'RES Techs T15'!$G$3:$U$3,0))=0,"",OFFSET('RES Techs T15'!$AO23,0,MATCH(VLOOKUP('RES Veda input'!BU$3,'RES Assumptions T15'!$V$3:$W$35,2,FALSE),'RES Techs T15'!$G$3:$U$3,0)))</f>
        <v/>
      </c>
      <c r="BV23" s="9">
        <f ca="1">IF(OFFSET('RES Techs T15'!$AO23,0,MATCH(VLOOKUP('RES Veda input'!BV$3,'RES Assumptions T15'!$V$3:$W$35,2,FALSE),'RES Techs T15'!$G$3:$U$3,0))=0,"",OFFSET('RES Techs T15'!$AO23,0,MATCH(VLOOKUP('RES Veda input'!BV$3,'RES Assumptions T15'!$V$3:$W$35,2,FALSE),'RES Techs T15'!$G$3:$U$3,0)))</f>
        <v>2.8</v>
      </c>
      <c r="BW23" s="9" t="str">
        <f ca="1">IF(OFFSET('RES Techs T15'!$AO23,0,MATCH(VLOOKUP('RES Veda input'!BW$3,'RES Assumptions T15'!$V$3:$W$35,2,FALSE),'RES Techs T15'!$G$3:$U$3,0))=0,"",OFFSET('RES Techs T15'!$AO23,0,MATCH(VLOOKUP('RES Veda input'!BW$3,'RES Assumptions T15'!$V$3:$W$35,2,FALSE),'RES Techs T15'!$G$3:$U$3,0)))</f>
        <v/>
      </c>
      <c r="BX23" s="9">
        <f ca="1">IF(OFFSET('RES Techs T15'!$AO23,0,MATCH(VLOOKUP('RES Veda input'!BX$3,'RES Assumptions T15'!$V$3:$W$35,2,FALSE),'RES Techs T15'!$G$3:$U$3,0))=0,"",OFFSET('RES Techs T15'!$AO23,0,MATCH(VLOOKUP('RES Veda input'!BX$3,'RES Assumptions T15'!$V$3:$W$35,2,FALSE),'RES Techs T15'!$G$3:$U$3,0)))</f>
        <v>4</v>
      </c>
      <c r="BY23" s="9">
        <f ca="1">IF(OFFSET('RES Techs T15'!$AO23,0,MATCH(VLOOKUP('RES Veda input'!BY$3,'RES Assumptions T15'!$V$3:$W$35,2,FALSE),'RES Techs T15'!$G$3:$U$3,0))=0,"",OFFSET('RES Techs T15'!$AO23,0,MATCH(VLOOKUP('RES Veda input'!BY$3,'RES Assumptions T15'!$V$3:$W$35,2,FALSE),'RES Techs T15'!$G$3:$U$3,0)))</f>
        <v>2.4</v>
      </c>
      <c r="BZ23" s="9" t="str">
        <f ca="1">IF(OFFSET('RES Techs T15'!$AO23,0,MATCH(VLOOKUP('RES Veda input'!BZ$3,'RES Assumptions T15'!$V$3:$W$35,2,FALSE),'RES Techs T15'!$G$3:$U$3,0))=0,"",OFFSET('RES Techs T15'!$AO23,0,MATCH(VLOOKUP('RES Veda input'!BZ$3,'RES Assumptions T15'!$V$3:$W$35,2,FALSE),'RES Techs T15'!$G$3:$U$3,0)))</f>
        <v/>
      </c>
      <c r="CA23" s="9">
        <f ca="1">IF(OFFSET('RES Techs T15'!$AO23,0,MATCH(VLOOKUP('RES Veda input'!CA$3,'RES Assumptions T15'!$V$3:$W$35,2,FALSE),'RES Techs T15'!$G$3:$U$3,0))=0,"",OFFSET('RES Techs T15'!$AO23,0,MATCH(VLOOKUP('RES Veda input'!CA$3,'RES Assumptions T15'!$V$3:$W$35,2,FALSE),'RES Techs T15'!$G$3:$U$3,0)))</f>
        <v>2.8</v>
      </c>
      <c r="CB23" s="9">
        <f ca="1">IF(OFFSET('RES Techs T15'!$AO23,0,MATCH(VLOOKUP('RES Veda input'!CB$3,'RES Assumptions T15'!$V$3:$W$35,2,FALSE),'RES Techs T15'!$G$3:$U$3,0))=0,"",OFFSET('RES Techs T15'!$AO23,0,MATCH(VLOOKUP('RES Veda input'!CB$3,'RES Assumptions T15'!$V$3:$W$35,2,FALSE),'RES Techs T15'!$G$3:$U$3,0)))</f>
        <v>3.64</v>
      </c>
      <c r="CC23" s="9" t="str">
        <f ca="1">IF(OFFSET('RES Techs T15'!$AO23,0,MATCH(VLOOKUP('RES Veda input'!CC$3,'RES Assumptions T15'!$V$3:$W$35,2,FALSE),'RES Techs T15'!$G$3:$U$3,0))=0,"",OFFSET('RES Techs T15'!$AO23,0,MATCH(VLOOKUP('RES Veda input'!CC$3,'RES Assumptions T15'!$V$3:$W$35,2,FALSE),'RES Techs T15'!$G$3:$U$3,0)))</f>
        <v/>
      </c>
      <c r="CD23" s="9" t="str">
        <f ca="1">IF(OFFSET('RES Techs T15'!$AO23,0,MATCH(VLOOKUP('RES Veda input'!CD$3,'RES Assumptions T15'!$V$3:$W$35,2,FALSE),'RES Techs T15'!$G$3:$U$3,0))=0,"",OFFSET('RES Techs T15'!$AO23,0,MATCH(VLOOKUP('RES Veda input'!CD$3,'RES Assumptions T15'!$V$3:$W$35,2,FALSE),'RES Techs T15'!$G$3:$U$3,0)))</f>
        <v/>
      </c>
      <c r="CE23" s="9" t="str">
        <f ca="1">IF(OFFSET('RES Techs T15'!$AO23,0,MATCH(VLOOKUP('RES Veda input'!CE$3,'RES Assumptions T15'!$V$3:$W$35,2,FALSE),'RES Techs T15'!$G$3:$U$3,0))=0,"",OFFSET('RES Techs T15'!$AO23,0,MATCH(VLOOKUP('RES Veda input'!CE$3,'RES Assumptions T15'!$V$3:$W$35,2,FALSE),'RES Techs T15'!$G$3:$U$3,0)))</f>
        <v/>
      </c>
      <c r="CF23" s="9" t="str">
        <f ca="1">IF(OFFSET('RES Techs T15'!$AO23,0,MATCH(VLOOKUP('RES Veda input'!CF$3,'RES Assumptions T15'!$V$3:$W$35,2,FALSE),'RES Techs T15'!$G$3:$U$3,0))=0,"",OFFSET('RES Techs T15'!$AO23,0,MATCH(VLOOKUP('RES Veda input'!CF$3,'RES Assumptions T15'!$V$3:$W$35,2,FALSE),'RES Techs T15'!$G$3:$U$3,0)))</f>
        <v/>
      </c>
      <c r="CG23" s="9" t="str">
        <f ca="1">IF(OFFSET('RES Techs T15'!$AO23,0,MATCH(VLOOKUP('RES Veda input'!CG$3,'RES Assumptions T15'!$V$3:$W$35,2,FALSE),'RES Techs T15'!$G$3:$U$3,0))=0,"",OFFSET('RES Techs T15'!$AO23,0,MATCH(VLOOKUP('RES Veda input'!CG$3,'RES Assumptions T15'!$V$3:$W$35,2,FALSE),'RES Techs T15'!$G$3:$U$3,0)))</f>
        <v/>
      </c>
      <c r="CH23" s="9" t="str">
        <f ca="1">IF(OFFSET('RES Techs T15'!$AO23,0,MATCH(VLOOKUP('RES Veda input'!CH$3,'RES Assumptions T15'!$V$3:$W$35,2,FALSE),'RES Techs T15'!$G$3:$U$3,0))=0,"",OFFSET('RES Techs T15'!$AO23,0,MATCH(VLOOKUP('RES Veda input'!CH$3,'RES Assumptions T15'!$V$3:$W$35,2,FALSE),'RES Techs T15'!$G$3:$U$3,0)))</f>
        <v/>
      </c>
      <c r="CI23" s="9" t="str">
        <f ca="1">IF(OFFSET('RES Techs T15'!$AO23,0,MATCH(VLOOKUP('RES Veda input'!CI$3,'RES Assumptions T15'!$V$3:$W$35,2,FALSE),'RES Techs T15'!$G$3:$U$3,0))=0,"",OFFSET('RES Techs T15'!$AO23,0,MATCH(VLOOKUP('RES Veda input'!CI$3,'RES Assumptions T15'!$V$3:$W$35,2,FALSE),'RES Techs T15'!$G$3:$U$3,0)))</f>
        <v/>
      </c>
      <c r="CJ23" s="9">
        <f ca="1">IF(OFFSET('RES Techs T15'!$AO23,0,MATCH(VLOOKUP('RES Veda input'!CJ$3,'RES Assumptions T15'!$V$3:$W$35,2,FALSE),'RES Techs T15'!$G$3:$U$3,0))=0,"",OFFSET('RES Techs T15'!$AO23,0,MATCH(VLOOKUP('RES Veda input'!CJ$3,'RES Assumptions T15'!$V$3:$W$35,2,FALSE),'RES Techs T15'!$G$3:$U$3,0)))</f>
        <v>2.8</v>
      </c>
      <c r="CK23" s="9" t="str">
        <f ca="1">IF(OFFSET('RES Techs T15'!$AO23,0,MATCH(VLOOKUP('RES Veda input'!CK$3,'RES Assumptions T15'!$V$3:$W$35,2,FALSE),'RES Techs T15'!$G$3:$U$3,0))=0,"",OFFSET('RES Techs T15'!$AO23,0,MATCH(VLOOKUP('RES Veda input'!CK$3,'RES Assumptions T15'!$V$3:$W$35,2,FALSE),'RES Techs T15'!$G$3:$U$3,0)))</f>
        <v/>
      </c>
      <c r="CL23" s="9" t="str">
        <f ca="1">IF(OFFSET('RES Techs T15'!$AO23,0,MATCH(VLOOKUP('RES Veda input'!CL$3,'RES Assumptions T15'!$V$3:$W$35,2,FALSE),'RES Techs T15'!$G$3:$U$3,0))=0,"",OFFSET('RES Techs T15'!$AO23,0,MATCH(VLOOKUP('RES Veda input'!CL$3,'RES Assumptions T15'!$V$3:$W$35,2,FALSE),'RES Techs T15'!$G$3:$U$3,0)))</f>
        <v/>
      </c>
      <c r="CM23" s="9">
        <f ca="1">IF(OFFSET('RES Techs T15'!$AO23,0,MATCH(VLOOKUP('RES Veda input'!CM$3,'RES Assumptions T15'!$V$3:$W$35,2,FALSE),'RES Techs T15'!$G$3:$U$3,0))=0,"",OFFSET('RES Techs T15'!$AO23,0,MATCH(VLOOKUP('RES Veda input'!CM$3,'RES Assumptions T15'!$V$3:$W$35,2,FALSE),'RES Techs T15'!$G$3:$U$3,0)))</f>
        <v>2.4</v>
      </c>
      <c r="CN23" s="9">
        <f ca="1">IF(OFFSET('RES Techs T15'!$AO23,0,MATCH(VLOOKUP('RES Veda input'!CN$3,'RES Assumptions T15'!$V$3:$W$35,2,FALSE),'RES Techs T15'!$G$3:$U$3,0))=0,"",OFFSET('RES Techs T15'!$AO23,0,MATCH(VLOOKUP('RES Veda input'!CN$3,'RES Assumptions T15'!$V$3:$W$35,2,FALSE),'RES Techs T15'!$G$3:$U$3,0)))</f>
        <v>2.8</v>
      </c>
      <c r="CO23" s="9">
        <f ca="1">IF(OFFSET('RES Techs T15'!$AO23,0,MATCH(VLOOKUP('RES Veda input'!CO$3,'RES Assumptions T15'!$V$3:$W$35,2,FALSE),'RES Techs T15'!$G$3:$U$3,0))=0,"",OFFSET('RES Techs T15'!$AO23,0,MATCH(VLOOKUP('RES Veda input'!CO$3,'RES Assumptions T15'!$V$3:$W$35,2,FALSE),'RES Techs T15'!$G$3:$U$3,0)))</f>
        <v>3.2</v>
      </c>
      <c r="CP23" s="9">
        <f ca="1">IF(OFFSET('RES Techs T15'!$AO23,0,MATCH(VLOOKUP('RES Veda input'!CP$3,'RES Assumptions T15'!$V$3:$W$35,2,FALSE),'RES Techs T15'!$G$3:$U$3,0))=0,"",OFFSET('RES Techs T15'!$AO23,0,MATCH(VLOOKUP('RES Veda input'!CP$3,'RES Assumptions T15'!$V$3:$W$35,2,FALSE),'RES Techs T15'!$G$3:$U$3,0)))</f>
        <v>2.8</v>
      </c>
      <c r="CQ23" s="9" t="str">
        <f ca="1">IF(OFFSET('RES Techs T15'!$AO23,0,MATCH(VLOOKUP('RES Veda input'!CQ$3,'RES Assumptions T15'!$V$3:$W$35,2,FALSE),'RES Techs T15'!$G$3:$U$3,0))=0,"",OFFSET('RES Techs T15'!$AO23,0,MATCH(VLOOKUP('RES Veda input'!CQ$3,'RES Assumptions T15'!$V$3:$W$35,2,FALSE),'RES Techs T15'!$G$3:$U$3,0)))</f>
        <v/>
      </c>
      <c r="CR23" s="9" t="str">
        <f ca="1">IF(OFFSET('RES Techs T15'!$AO23,0,MATCH(VLOOKUP('RES Veda input'!CR$3,'RES Assumptions T15'!$V$3:$W$35,2,FALSE),'RES Techs T15'!$G$3:$U$3,0))=0,"",OFFSET('RES Techs T15'!$AO23,0,MATCH(VLOOKUP('RES Veda input'!CR$3,'RES Assumptions T15'!$V$3:$W$35,2,FALSE),'RES Techs T15'!$G$3:$U$3,0)))</f>
        <v/>
      </c>
      <c r="CS23" s="9">
        <f ca="1">IF(OFFSET('RES Techs T15'!$AO23,0,MATCH(VLOOKUP('RES Veda input'!CS$3,'RES Assumptions T15'!$V$3:$W$35,2,FALSE),'RES Techs T15'!$G$3:$U$3,0))=0,"",OFFSET('RES Techs T15'!$AO23,0,MATCH(VLOOKUP('RES Veda input'!CS$3,'RES Assumptions T15'!$V$3:$W$35,2,FALSE),'RES Techs T15'!$G$3:$U$3,0)))</f>
        <v>2.8</v>
      </c>
      <c r="CT23" s="9" t="str">
        <f ca="1">IF(OFFSET('RES Techs T15'!$AO23,0,MATCH(VLOOKUP('RES Veda input'!CT$3,'RES Assumptions T15'!$V$3:$W$35,2,FALSE),'RES Techs T15'!$G$3:$U$3,0))=0,"",OFFSET('RES Techs T15'!$AO23,0,MATCH(VLOOKUP('RES Veda input'!CT$3,'RES Assumptions T15'!$V$3:$W$35,2,FALSE),'RES Techs T15'!$G$3:$U$3,0)))</f>
        <v/>
      </c>
      <c r="CU23" s="9" t="str">
        <f ca="1">IF(OFFSET('RES Techs T15'!$AO23,0,MATCH(VLOOKUP('RES Veda input'!CU$3,'RES Assumptions T15'!$V$3:$W$35,2,FALSE),'RES Techs T15'!$G$3:$U$3,0))=0,"",OFFSET('RES Techs T15'!$AO23,0,MATCH(VLOOKUP('RES Veda input'!CU$3,'RES Assumptions T15'!$V$3:$W$35,2,FALSE),'RES Techs T15'!$G$3:$U$3,0)))</f>
        <v/>
      </c>
      <c r="CV23" s="9">
        <f ca="1">IF(OFFSET('RES Techs T15'!$AO23,0,MATCH(VLOOKUP('RES Veda input'!CV$3,'RES Assumptions T15'!$V$3:$W$35,2,FALSE),'RES Techs T15'!$G$3:$U$3,0))=0,"",OFFSET('RES Techs T15'!$AO23,0,MATCH(VLOOKUP('RES Veda input'!CV$3,'RES Assumptions T15'!$V$3:$W$35,2,FALSE),'RES Techs T15'!$G$3:$U$3,0)))</f>
        <v>0.4</v>
      </c>
      <c r="CW23" s="9">
        <f ca="1">IF(OFFSET('RES Techs T15'!$AO23,0,MATCH(VLOOKUP('RES Veda input'!CW$3,'RES Assumptions T15'!$V$3:$W$35,2,FALSE),'RES Techs T15'!$G$3:$U$3,0))=0,"",OFFSET('RES Techs T15'!$AO23,0,MATCH(VLOOKUP('RES Veda input'!CW$3,'RES Assumptions T15'!$V$3:$W$35,2,FALSE),'RES Techs T15'!$G$3:$U$3,0)))</f>
        <v>0.4</v>
      </c>
      <c r="CY23" s="8" t="str">
        <f t="shared" si="63"/>
        <v>RSHLPG000</v>
      </c>
      <c r="CZ23" s="10">
        <f ca="1">ROUND('RES Assumptions'!E106*'RES Veda input'!G23/'RES Veda input'!AM23,3)</f>
        <v>17.105</v>
      </c>
      <c r="DA23" s="10">
        <f ca="1">ROUND('RES Assumptions'!F106*'RES Veda input'!H23/'RES Veda input'!AN23,3)</f>
        <v>5.3179999999999996</v>
      </c>
      <c r="DB23" s="10">
        <f ca="1">ROUND('RES Assumptions'!G106*'RES Veda input'!I23/'RES Veda input'!AO23,3)</f>
        <v>3.9809999999999999</v>
      </c>
      <c r="DC23" s="10">
        <f ca="1">ROUND('RES Assumptions'!H106*'RES Veda input'!J23/'RES Veda input'!AP23,3)</f>
        <v>187.76300000000001</v>
      </c>
      <c r="DD23" s="10">
        <f ca="1">ROUND('RES Assumptions'!I106*'RES Veda input'!K23/'RES Veda input'!AQ23,3)</f>
        <v>477.26799999999997</v>
      </c>
      <c r="DE23" s="10">
        <f ca="1">ROUND('RES Assumptions'!J106*'RES Veda input'!L23/'RES Veda input'!AR23,3)</f>
        <v>0</v>
      </c>
      <c r="DF23" s="10">
        <f ca="1">ROUND('RES Assumptions'!K106*'RES Veda input'!M23/'RES Veda input'!AS23,3)</f>
        <v>18.329999999999998</v>
      </c>
      <c r="DG23" s="10">
        <f ca="1">ROUND('RES Assumptions'!L106*'RES Veda input'!N23/'RES Veda input'!AT23,3)</f>
        <v>11.85</v>
      </c>
      <c r="DH23" s="10">
        <f ca="1">ROUND('RES Assumptions'!M106*'RES Veda input'!O23/'RES Veda input'!AU23,3)</f>
        <v>38.817</v>
      </c>
      <c r="DI23" s="10">
        <f ca="1">ROUND('RES Assumptions'!N106*'RES Veda input'!P23/'RES Veda input'!AV23,3)</f>
        <v>0</v>
      </c>
      <c r="DJ23" s="10">
        <f ca="1">ROUND('RES Assumptions'!O106*'RES Veda input'!Q23/'RES Veda input'!AW23,3)</f>
        <v>3.847</v>
      </c>
      <c r="DK23" s="10">
        <f ca="1">ROUND('RES Assumptions'!P106*'RES Veda input'!R23/'RES Veda input'!AX23,3)</f>
        <v>32.914999999999999</v>
      </c>
      <c r="DL23" s="10">
        <f ca="1">ROUND('RES Assumptions'!Q106*'RES Veda input'!S23/'RES Veda input'!AY23,3)</f>
        <v>25.361000000000001</v>
      </c>
      <c r="DM23" s="10">
        <f ca="1">ROUND('RES Assumptions'!R106*'RES Veda input'!T23/'RES Veda input'!AZ23,3)</f>
        <v>167.899</v>
      </c>
      <c r="DN23" s="10">
        <f ca="1">ROUND('RES Assumptions'!S106*'RES Veda input'!U23/'RES Veda input'!BA23,3)</f>
        <v>20.61</v>
      </c>
      <c r="DO23" s="10">
        <f ca="1">ROUND('RES Assumptions'!T106*'RES Veda input'!V23/'RES Veda input'!BB23,3)</f>
        <v>165.809</v>
      </c>
      <c r="DP23" s="10">
        <f ca="1">ROUND('RES Assumptions'!U106*'RES Veda input'!W23/'RES Veda input'!BC23,3)</f>
        <v>30.263999999999999</v>
      </c>
      <c r="DQ23" s="10">
        <f ca="1">ROUND('RES Assumptions'!V106*'RES Veda input'!X23/'RES Veda input'!BD23,3)</f>
        <v>109.43899999999999</v>
      </c>
      <c r="DR23" s="10">
        <f ca="1">ROUND('RES Assumptions'!W106*'RES Veda input'!Y23/'RES Veda input'!BE23,3)</f>
        <v>112.84399999999999</v>
      </c>
      <c r="DS23" s="10">
        <f ca="1">ROUND('RES Assumptions'!X106*'RES Veda input'!Z23/'RES Veda input'!BF23,3)</f>
        <v>0</v>
      </c>
      <c r="DT23" s="10">
        <f ca="1">ROUND('RES Assumptions'!Y106*'RES Veda input'!AA23/'RES Veda input'!BG23,3)</f>
        <v>9.8810000000000002</v>
      </c>
      <c r="DU23" s="10">
        <f ca="1">ROUND('RES Assumptions'!Z106*'RES Veda input'!AB23/'RES Veda input'!BH23,3)</f>
        <v>16.068999999999999</v>
      </c>
      <c r="DV23" s="10">
        <f ca="1">ROUND('RES Assumptions'!AA106*'RES Veda input'!AC23/'RES Veda input'!BI23,3)</f>
        <v>423.41300000000001</v>
      </c>
      <c r="DW23" s="10">
        <f ca="1">ROUND('RES Assumptions'!AB106*'RES Veda input'!AD23/'RES Veda input'!BJ23,3)</f>
        <v>0.77400000000000002</v>
      </c>
      <c r="DX23" s="10">
        <f ca="1">ROUND('RES Assumptions'!AC106*'RES Veda input'!AE23/'RES Veda input'!BK23,3)</f>
        <v>1461.1769999999999</v>
      </c>
      <c r="DY23" s="10">
        <f ca="1">ROUND('RES Assumptions'!AD106*'RES Veda input'!AF23/'RES Veda input'!BL23,3)</f>
        <v>72.757999999999996</v>
      </c>
      <c r="DZ23" s="10">
        <f ca="1">ROUND('RES Assumptions'!AE106*'RES Veda input'!AG23/'RES Veda input'!BM23,3)</f>
        <v>0.439</v>
      </c>
      <c r="EA23" s="10">
        <f ca="1">ROUND('RES Assumptions'!AF106*'RES Veda input'!AH23/'RES Veda input'!BN23,3)</f>
        <v>31.433</v>
      </c>
      <c r="EB23" s="10">
        <f ca="1">ROUND('RES Assumptions'!AG106*'RES Veda input'!AI23/'RES Veda input'!BO23,3)</f>
        <v>380.125</v>
      </c>
      <c r="EC23" s="10">
        <f ca="1">ROUND('RES Assumptions'!AH106*'RES Veda input'!AJ23/'RES Veda input'!BP23,3)</f>
        <v>0</v>
      </c>
      <c r="ED23">
        <v>20</v>
      </c>
      <c r="EG23" t="s">
        <v>281</v>
      </c>
      <c r="EH23" t="str">
        <f t="shared" si="64"/>
        <v>RSHLPG000</v>
      </c>
      <c r="EJ23" t="s">
        <v>282</v>
      </c>
      <c r="EK23" t="s">
        <v>283</v>
      </c>
    </row>
    <row r="24" spans="1:141" x14ac:dyDescent="0.45">
      <c r="A24" s="37" t="str">
        <f>'RES Assumptions'!B107</f>
        <v>RH</v>
      </c>
      <c r="B24" s="37" t="s">
        <v>91</v>
      </c>
      <c r="D24" s="51" t="s">
        <v>300</v>
      </c>
      <c r="E24" s="8" t="str">
        <f>'RES Assumptions'!A107</f>
        <v>RESNGA</v>
      </c>
      <c r="F24" s="8" t="str">
        <f>VLOOKUP(A24,'RES Assumptions'!$AN$87:$AO$97,2,FALSE)</f>
        <v>RSH</v>
      </c>
      <c r="G24" s="9">
        <f ca="1">OFFSET('RES Techs T15'!$F24,0,MATCH(VLOOKUP('RES Veda input'!G$3,'RES Assumptions T15'!$V$3:$W$35,2,FALSE),'RES Techs T15'!$G$3:$U$3,0))</f>
        <v>0.74</v>
      </c>
      <c r="H24" s="9">
        <f ca="1">OFFSET('RES Techs T15'!$F24,0,MATCH(VLOOKUP('RES Veda input'!H$3,'RES Assumptions T15'!$V$3:$W$35,2,FALSE),'RES Techs T15'!$G$3:$U$3,0))</f>
        <v>0.74</v>
      </c>
      <c r="I24" s="9">
        <f ca="1">OFFSET('RES Techs T15'!$F24,0,MATCH(VLOOKUP('RES Veda input'!I$3,'RES Assumptions T15'!$V$3:$W$35,2,FALSE),'RES Techs T15'!$G$3:$U$3,0))</f>
        <v>0.74</v>
      </c>
      <c r="J24" s="9">
        <f ca="1">OFFSET('RES Techs T15'!$F24,0,MATCH(VLOOKUP('RES Veda input'!J$3,'RES Assumptions T15'!$V$3:$W$35,2,FALSE),'RES Techs T15'!$G$3:$U$3,0))</f>
        <v>0.74</v>
      </c>
      <c r="K24" s="9">
        <f ca="1">OFFSET('RES Techs T15'!$F24,0,MATCH(VLOOKUP('RES Veda input'!K$3,'RES Assumptions T15'!$V$3:$W$35,2,FALSE),'RES Techs T15'!$G$3:$U$3,0))</f>
        <v>0.74</v>
      </c>
      <c r="L24" s="9">
        <f ca="1">OFFSET('RES Techs T15'!$F24,0,MATCH(VLOOKUP('RES Veda input'!L$3,'RES Assumptions T15'!$V$3:$W$35,2,FALSE),'RES Techs T15'!$G$3:$U$3,0))</f>
        <v>0.74</v>
      </c>
      <c r="M24" s="9">
        <f ca="1">OFFSET('RES Techs T15'!$F24,0,MATCH(VLOOKUP('RES Veda input'!M$3,'RES Assumptions T15'!$V$3:$W$35,2,FALSE),'RES Techs T15'!$G$3:$U$3,0))</f>
        <v>0.74</v>
      </c>
      <c r="N24" s="9">
        <f ca="1">OFFSET('RES Techs T15'!$F24,0,MATCH(VLOOKUP('RES Veda input'!N$3,'RES Assumptions T15'!$V$3:$W$35,2,FALSE),'RES Techs T15'!$G$3:$U$3,0))</f>
        <v>0.74</v>
      </c>
      <c r="O24" s="9">
        <f ca="1">OFFSET('RES Techs T15'!$F24,0,MATCH(VLOOKUP('RES Veda input'!O$3,'RES Assumptions T15'!$V$3:$W$35,2,FALSE),'RES Techs T15'!$G$3:$U$3,0))</f>
        <v>0.74</v>
      </c>
      <c r="P24" s="9">
        <f ca="1">OFFSET('RES Techs T15'!$F24,0,MATCH(VLOOKUP('RES Veda input'!P$3,'RES Assumptions T15'!$V$3:$W$35,2,FALSE),'RES Techs T15'!$G$3:$U$3,0))</f>
        <v>0.74</v>
      </c>
      <c r="Q24" s="9">
        <f ca="1">OFFSET('RES Techs T15'!$F24,0,MATCH(VLOOKUP('RES Veda input'!Q$3,'RES Assumptions T15'!$V$3:$W$35,2,FALSE),'RES Techs T15'!$G$3:$U$3,0))</f>
        <v>0.74</v>
      </c>
      <c r="R24" s="9">
        <f ca="1">OFFSET('RES Techs T15'!$F24,0,MATCH(VLOOKUP('RES Veda input'!R$3,'RES Assumptions T15'!$V$3:$W$35,2,FALSE),'RES Techs T15'!$G$3:$U$3,0))</f>
        <v>0.74</v>
      </c>
      <c r="S24" s="9">
        <f ca="1">OFFSET('RES Techs T15'!$F24,0,MATCH(VLOOKUP('RES Veda input'!S$3,'RES Assumptions T15'!$V$3:$W$35,2,FALSE),'RES Techs T15'!$G$3:$U$3,0))</f>
        <v>0.74</v>
      </c>
      <c r="T24" s="9">
        <f ca="1">OFFSET('RES Techs T15'!$F24,0,MATCH(VLOOKUP('RES Veda input'!T$3,'RES Assumptions T15'!$V$3:$W$35,2,FALSE),'RES Techs T15'!$G$3:$U$3,0))</f>
        <v>0.74</v>
      </c>
      <c r="U24" s="9">
        <f ca="1">OFFSET('RES Techs T15'!$F24,0,MATCH(VLOOKUP('RES Veda input'!U$3,'RES Assumptions T15'!$V$3:$W$35,2,FALSE),'RES Techs T15'!$G$3:$U$3,0))</f>
        <v>0.74</v>
      </c>
      <c r="V24" s="9">
        <f ca="1">OFFSET('RES Techs T15'!$F24,0,MATCH(VLOOKUP('RES Veda input'!V$3,'RES Assumptions T15'!$V$3:$W$35,2,FALSE),'RES Techs T15'!$G$3:$U$3,0))</f>
        <v>0.74</v>
      </c>
      <c r="W24" s="9">
        <f ca="1">OFFSET('RES Techs T15'!$F24,0,MATCH(VLOOKUP('RES Veda input'!W$3,'RES Assumptions T15'!$V$3:$W$35,2,FALSE),'RES Techs T15'!$G$3:$U$3,0))</f>
        <v>0.74</v>
      </c>
      <c r="X24" s="9">
        <f ca="1">OFFSET('RES Techs T15'!$F24,0,MATCH(VLOOKUP('RES Veda input'!X$3,'RES Assumptions T15'!$V$3:$W$35,2,FALSE),'RES Techs T15'!$G$3:$U$3,0))</f>
        <v>0.74</v>
      </c>
      <c r="Y24" s="9">
        <f ca="1">OFFSET('RES Techs T15'!$F24,0,MATCH(VLOOKUP('RES Veda input'!Y$3,'RES Assumptions T15'!$V$3:$W$35,2,FALSE),'RES Techs T15'!$G$3:$U$3,0))</f>
        <v>0.74</v>
      </c>
      <c r="Z24" s="9">
        <f ca="1">OFFSET('RES Techs T15'!$F24,0,MATCH(VLOOKUP('RES Veda input'!Z$3,'RES Assumptions T15'!$V$3:$W$35,2,FALSE),'RES Techs T15'!$G$3:$U$3,0))</f>
        <v>0.74</v>
      </c>
      <c r="AA24" s="9">
        <f ca="1">OFFSET('RES Techs T15'!$F24,0,MATCH(VLOOKUP('RES Veda input'!AA$3,'RES Assumptions T15'!$V$3:$W$35,2,FALSE),'RES Techs T15'!$G$3:$U$3,0))</f>
        <v>0.74</v>
      </c>
      <c r="AB24" s="9">
        <f ca="1">OFFSET('RES Techs T15'!$F24,0,MATCH(VLOOKUP('RES Veda input'!AB$3,'RES Assumptions T15'!$V$3:$W$35,2,FALSE),'RES Techs T15'!$G$3:$U$3,0))</f>
        <v>0.74</v>
      </c>
      <c r="AC24" s="9">
        <f ca="1">OFFSET('RES Techs T15'!$F24,0,MATCH(VLOOKUP('RES Veda input'!AC$3,'RES Assumptions T15'!$V$3:$W$35,2,FALSE),'RES Techs T15'!$G$3:$U$3,0))</f>
        <v>0.74</v>
      </c>
      <c r="AD24" s="9">
        <f ca="1">OFFSET('RES Techs T15'!$F24,0,MATCH(VLOOKUP('RES Veda input'!AD$3,'RES Assumptions T15'!$V$3:$W$35,2,FALSE),'RES Techs T15'!$G$3:$U$3,0))</f>
        <v>0.74</v>
      </c>
      <c r="AE24" s="9">
        <f ca="1">OFFSET('RES Techs T15'!$F24,0,MATCH(VLOOKUP('RES Veda input'!AE$3,'RES Assumptions T15'!$V$3:$W$35,2,FALSE),'RES Techs T15'!$G$3:$U$3,0))</f>
        <v>0.74</v>
      </c>
      <c r="AF24" s="9">
        <f ca="1">OFFSET('RES Techs T15'!$F24,0,MATCH(VLOOKUP('RES Veda input'!AF$3,'RES Assumptions T15'!$V$3:$W$35,2,FALSE),'RES Techs T15'!$G$3:$U$3,0))</f>
        <v>0.74</v>
      </c>
      <c r="AG24" s="9">
        <f ca="1">OFFSET('RES Techs T15'!$F24,0,MATCH(VLOOKUP('RES Veda input'!AG$3,'RES Assumptions T15'!$V$3:$W$35,2,FALSE),'RES Techs T15'!$G$3:$U$3,0))</f>
        <v>0.74</v>
      </c>
      <c r="AH24" s="9">
        <f ca="1">OFFSET('RES Techs T15'!$F24,0,MATCH(VLOOKUP('RES Veda input'!AH$3,'RES Assumptions T15'!$V$3:$W$35,2,FALSE),'RES Techs T15'!$G$3:$U$3,0))</f>
        <v>0.74</v>
      </c>
      <c r="AI24" s="9">
        <f ca="1">OFFSET('RES Techs T15'!$F24,0,MATCH(VLOOKUP('RES Veda input'!AI$3,'RES Assumptions T15'!$V$3:$W$35,2,FALSE),'RES Techs T15'!$G$3:$U$3,0))</f>
        <v>0.74</v>
      </c>
      <c r="AJ24" s="9">
        <f ca="1">OFFSET('RES Techs T15'!$F24,0,MATCH(VLOOKUP('RES Veda input'!AJ$3,'RES Assumptions T15'!$V$3:$W$35,2,FALSE),'RES Techs T15'!$G$3:$U$3,0))</f>
        <v>0.74</v>
      </c>
      <c r="AL24" s="8" t="str">
        <f t="shared" si="60"/>
        <v>RSHNGA000</v>
      </c>
      <c r="AM24" s="9">
        <f ca="1">OFFSET('RES Techs T15'!$W24,0,MATCH(VLOOKUP('RES Veda input'!AM$3,'RES Assumptions T15'!$V$3:$W$35,2,FALSE),'RES Techs T15'!$G$3:$U$3,0))</f>
        <v>0.18</v>
      </c>
      <c r="AN24" s="9">
        <f ca="1">OFFSET('RES Techs T15'!$W24,0,MATCH(VLOOKUP('RES Veda input'!AN$3,'RES Assumptions T15'!$V$3:$W$35,2,FALSE),'RES Techs T15'!$G$3:$U$3,0))</f>
        <v>0.18</v>
      </c>
      <c r="AO24" s="9">
        <f ca="1">OFFSET('RES Techs T15'!$W24,0,MATCH(VLOOKUP('RES Veda input'!AO$3,'RES Assumptions T15'!$V$3:$W$35,2,FALSE),'RES Techs T15'!$G$3:$U$3,0))</f>
        <v>0.18</v>
      </c>
      <c r="AP24" s="9">
        <f ca="1">OFFSET('RES Techs T15'!$W24,0,MATCH(VLOOKUP('RES Veda input'!AP$3,'RES Assumptions T15'!$V$3:$W$35,2,FALSE),'RES Techs T15'!$G$3:$U$3,0))</f>
        <v>0.18</v>
      </c>
      <c r="AQ24" s="9">
        <f ca="1">OFFSET('RES Techs T15'!$W24,0,MATCH(VLOOKUP('RES Veda input'!AQ$3,'RES Assumptions T15'!$V$3:$W$35,2,FALSE),'RES Techs T15'!$G$3:$U$3,0))</f>
        <v>0.18</v>
      </c>
      <c r="AR24" s="9">
        <f ca="1">OFFSET('RES Techs T15'!$W24,0,MATCH(VLOOKUP('RES Veda input'!AR$3,'RES Assumptions T15'!$V$3:$W$35,2,FALSE),'RES Techs T15'!$G$3:$U$3,0))</f>
        <v>0.11</v>
      </c>
      <c r="AS24" s="9">
        <f ca="1">OFFSET('RES Techs T15'!$W24,0,MATCH(VLOOKUP('RES Veda input'!AS$3,'RES Assumptions T15'!$V$3:$W$35,2,FALSE),'RES Techs T15'!$G$3:$U$3,0))</f>
        <v>0.21</v>
      </c>
      <c r="AT24" s="9">
        <f ca="1">OFFSET('RES Techs T15'!$W24,0,MATCH(VLOOKUP('RES Veda input'!AT$3,'RES Assumptions T15'!$V$3:$W$35,2,FALSE),'RES Techs T15'!$G$3:$U$3,0))</f>
        <v>0.18</v>
      </c>
      <c r="AU24" s="9">
        <f ca="1">OFFSET('RES Techs T15'!$W24,0,MATCH(VLOOKUP('RES Veda input'!AU$3,'RES Assumptions T15'!$V$3:$W$35,2,FALSE),'RES Techs T15'!$G$3:$U$3,0))</f>
        <v>0.24</v>
      </c>
      <c r="AV24" s="9">
        <f ca="1">OFFSET('RES Techs T15'!$W24,0,MATCH(VLOOKUP('RES Veda input'!AV$3,'RES Assumptions T15'!$V$3:$W$35,2,FALSE),'RES Techs T15'!$G$3:$U$3,0))</f>
        <v>0.18</v>
      </c>
      <c r="AW24" s="9">
        <f ca="1">OFFSET('RES Techs T15'!$W24,0,MATCH(VLOOKUP('RES Veda input'!AW$3,'RES Assumptions T15'!$V$3:$W$35,2,FALSE),'RES Techs T15'!$G$3:$U$3,0))</f>
        <v>0.18</v>
      </c>
      <c r="AX24" s="9">
        <f ca="1">OFFSET('RES Techs T15'!$W24,0,MATCH(VLOOKUP('RES Veda input'!AX$3,'RES Assumptions T15'!$V$3:$W$35,2,FALSE),'RES Techs T15'!$G$3:$U$3,0))</f>
        <v>0.18</v>
      </c>
      <c r="AY24" s="9">
        <f ca="1">OFFSET('RES Techs T15'!$W24,0,MATCH(VLOOKUP('RES Veda input'!AY$3,'RES Assumptions T15'!$V$3:$W$35,2,FALSE),'RES Techs T15'!$G$3:$U$3,0))</f>
        <v>0.18</v>
      </c>
      <c r="AZ24" s="9">
        <f ca="1">OFFSET('RES Techs T15'!$W24,0,MATCH(VLOOKUP('RES Veda input'!AZ$3,'RES Assumptions T15'!$V$3:$W$35,2,FALSE),'RES Techs T15'!$G$3:$U$3,0))</f>
        <v>0.18</v>
      </c>
      <c r="BA24" s="9">
        <f ca="1">OFFSET('RES Techs T15'!$W24,0,MATCH(VLOOKUP('RES Veda input'!BA$3,'RES Assumptions T15'!$V$3:$W$35,2,FALSE),'RES Techs T15'!$G$3:$U$3,0))</f>
        <v>0.18</v>
      </c>
      <c r="BB24" s="9">
        <f ca="1">OFFSET('RES Techs T15'!$W24,0,MATCH(VLOOKUP('RES Veda input'!BB$3,'RES Assumptions T15'!$V$3:$W$35,2,FALSE),'RES Techs T15'!$G$3:$U$3,0))</f>
        <v>0.18</v>
      </c>
      <c r="BC24" s="9">
        <f ca="1">OFFSET('RES Techs T15'!$W24,0,MATCH(VLOOKUP('RES Veda input'!BC$3,'RES Assumptions T15'!$V$3:$W$35,2,FALSE),'RES Techs T15'!$G$3:$U$3,0))</f>
        <v>0.18</v>
      </c>
      <c r="BD24" s="9">
        <f ca="1">OFFSET('RES Techs T15'!$W24,0,MATCH(VLOOKUP('RES Veda input'!BD$3,'RES Assumptions T15'!$V$3:$W$35,2,FALSE),'RES Techs T15'!$G$3:$U$3,0))</f>
        <v>0.18</v>
      </c>
      <c r="BE24" s="9">
        <f ca="1">OFFSET('RES Techs T15'!$W24,0,MATCH(VLOOKUP('RES Veda input'!BE$3,'RES Assumptions T15'!$V$3:$W$35,2,FALSE),'RES Techs T15'!$G$3:$U$3,0))</f>
        <v>0.18</v>
      </c>
      <c r="BF24" s="9">
        <f ca="1">OFFSET('RES Techs T15'!$W24,0,MATCH(VLOOKUP('RES Veda input'!BF$3,'RES Assumptions T15'!$V$3:$W$35,2,FALSE),'RES Techs T15'!$G$3:$U$3,0))</f>
        <v>0.18</v>
      </c>
      <c r="BG24" s="9">
        <f ca="1">OFFSET('RES Techs T15'!$W24,0,MATCH(VLOOKUP('RES Veda input'!BG$3,'RES Assumptions T15'!$V$3:$W$35,2,FALSE),'RES Techs T15'!$G$3:$U$3,0))</f>
        <v>0.18</v>
      </c>
      <c r="BH24" s="9">
        <f ca="1">OFFSET('RES Techs T15'!$W24,0,MATCH(VLOOKUP('RES Veda input'!BH$3,'RES Assumptions T15'!$V$3:$W$35,2,FALSE),'RES Techs T15'!$G$3:$U$3,0))</f>
        <v>0.18</v>
      </c>
      <c r="BI24" s="9">
        <f ca="1">OFFSET('RES Techs T15'!$W24,0,MATCH(VLOOKUP('RES Veda input'!BI$3,'RES Assumptions T15'!$V$3:$W$35,2,FALSE),'RES Techs T15'!$G$3:$U$3,0))</f>
        <v>0.18</v>
      </c>
      <c r="BJ24" s="9">
        <f ca="1">OFFSET('RES Techs T15'!$W24,0,MATCH(VLOOKUP('RES Veda input'!BJ$3,'RES Assumptions T15'!$V$3:$W$35,2,FALSE),'RES Techs T15'!$G$3:$U$3,0))</f>
        <v>0.18</v>
      </c>
      <c r="BK24" s="9">
        <f ca="1">OFFSET('RES Techs T15'!$W24,0,MATCH(VLOOKUP('RES Veda input'!BK$3,'RES Assumptions T15'!$V$3:$W$35,2,FALSE),'RES Techs T15'!$G$3:$U$3,0))</f>
        <v>0.18</v>
      </c>
      <c r="BL24" s="9">
        <f ca="1">OFFSET('RES Techs T15'!$W24,0,MATCH(VLOOKUP('RES Veda input'!BL$3,'RES Assumptions T15'!$V$3:$W$35,2,FALSE),'RES Techs T15'!$G$3:$U$3,0))</f>
        <v>0.18</v>
      </c>
      <c r="BM24" s="9">
        <f ca="1">OFFSET('RES Techs T15'!$W24,0,MATCH(VLOOKUP('RES Veda input'!BM$3,'RES Assumptions T15'!$V$3:$W$35,2,FALSE),'RES Techs T15'!$G$3:$U$3,0))</f>
        <v>0.18</v>
      </c>
      <c r="BN24" s="9">
        <f ca="1">OFFSET('RES Techs T15'!$W24,0,MATCH(VLOOKUP('RES Veda input'!BN$3,'RES Assumptions T15'!$V$3:$W$35,2,FALSE),'RES Techs T15'!$G$3:$U$3,0))</f>
        <v>0.18</v>
      </c>
      <c r="BO24" s="9">
        <f ca="1">OFFSET('RES Techs T15'!$W24,0,MATCH(VLOOKUP('RES Veda input'!BO$3,'RES Assumptions T15'!$V$3:$W$35,2,FALSE),'RES Techs T15'!$G$3:$U$3,0))</f>
        <v>0.3</v>
      </c>
      <c r="BP24" s="9">
        <f ca="1">OFFSET('RES Techs T15'!$W24,0,MATCH(VLOOKUP('RES Veda input'!BP$3,'RES Assumptions T15'!$V$3:$W$35,2,FALSE),'RES Techs T15'!$G$3:$U$3,0))</f>
        <v>0.3</v>
      </c>
      <c r="BR24" s="8" t="str">
        <f t="shared" si="61"/>
        <v>RSHNGA000</v>
      </c>
      <c r="BS24" s="9">
        <f t="shared" ca="1" si="62"/>
        <v>3.6</v>
      </c>
      <c r="BT24" s="9" t="str">
        <f ca="1">IF(OFFSET('RES Techs T15'!$AO24,0,MATCH(VLOOKUP('RES Veda input'!BT$3,'RES Assumptions T15'!$V$3:$W$35,2,FALSE),'RES Techs T15'!$G$3:$U$3,0))=0,"",OFFSET('RES Techs T15'!$AO24,0,MATCH(VLOOKUP('RES Veda input'!BT$3,'RES Assumptions T15'!$V$3:$W$35,2,FALSE),'RES Techs T15'!$G$3:$U$3,0)))</f>
        <v/>
      </c>
      <c r="BU24" s="9" t="str">
        <f ca="1">IF(OFFSET('RES Techs T15'!$AO24,0,MATCH(VLOOKUP('RES Veda input'!BU$3,'RES Assumptions T15'!$V$3:$W$35,2,FALSE),'RES Techs T15'!$G$3:$U$3,0))=0,"",OFFSET('RES Techs T15'!$AO24,0,MATCH(VLOOKUP('RES Veda input'!BU$3,'RES Assumptions T15'!$V$3:$W$35,2,FALSE),'RES Techs T15'!$G$3:$U$3,0)))</f>
        <v/>
      </c>
      <c r="BV24" s="9">
        <f ca="1">IF(OFFSET('RES Techs T15'!$AO24,0,MATCH(VLOOKUP('RES Veda input'!BV$3,'RES Assumptions T15'!$V$3:$W$35,2,FALSE),'RES Techs T15'!$G$3:$U$3,0))=0,"",OFFSET('RES Techs T15'!$AO24,0,MATCH(VLOOKUP('RES Veda input'!BV$3,'RES Assumptions T15'!$V$3:$W$35,2,FALSE),'RES Techs T15'!$G$3:$U$3,0)))</f>
        <v>4.2</v>
      </c>
      <c r="BW24" s="9" t="str">
        <f ca="1">IF(OFFSET('RES Techs T15'!$AO24,0,MATCH(VLOOKUP('RES Veda input'!BW$3,'RES Assumptions T15'!$V$3:$W$35,2,FALSE),'RES Techs T15'!$G$3:$U$3,0))=0,"",OFFSET('RES Techs T15'!$AO24,0,MATCH(VLOOKUP('RES Veda input'!BW$3,'RES Assumptions T15'!$V$3:$W$35,2,FALSE),'RES Techs T15'!$G$3:$U$3,0)))</f>
        <v/>
      </c>
      <c r="BX24" s="9">
        <f ca="1">IF(OFFSET('RES Techs T15'!$AO24,0,MATCH(VLOOKUP('RES Veda input'!BX$3,'RES Assumptions T15'!$V$3:$W$35,2,FALSE),'RES Techs T15'!$G$3:$U$3,0))=0,"",OFFSET('RES Techs T15'!$AO24,0,MATCH(VLOOKUP('RES Veda input'!BX$3,'RES Assumptions T15'!$V$3:$W$35,2,FALSE),'RES Techs T15'!$G$3:$U$3,0)))</f>
        <v>6</v>
      </c>
      <c r="BY24" s="9">
        <f ca="1">IF(OFFSET('RES Techs T15'!$AO24,0,MATCH(VLOOKUP('RES Veda input'!BY$3,'RES Assumptions T15'!$V$3:$W$35,2,FALSE),'RES Techs T15'!$G$3:$U$3,0))=0,"",OFFSET('RES Techs T15'!$AO24,0,MATCH(VLOOKUP('RES Veda input'!BY$3,'RES Assumptions T15'!$V$3:$W$35,2,FALSE),'RES Techs T15'!$G$3:$U$3,0)))</f>
        <v>3.6</v>
      </c>
      <c r="BZ24" s="9" t="str">
        <f ca="1">IF(OFFSET('RES Techs T15'!$AO24,0,MATCH(VLOOKUP('RES Veda input'!BZ$3,'RES Assumptions T15'!$V$3:$W$35,2,FALSE),'RES Techs T15'!$G$3:$U$3,0))=0,"",OFFSET('RES Techs T15'!$AO24,0,MATCH(VLOOKUP('RES Veda input'!BZ$3,'RES Assumptions T15'!$V$3:$W$35,2,FALSE),'RES Techs T15'!$G$3:$U$3,0)))</f>
        <v/>
      </c>
      <c r="CA24" s="9">
        <f ca="1">IF(OFFSET('RES Techs T15'!$AO24,0,MATCH(VLOOKUP('RES Veda input'!CA$3,'RES Assumptions T15'!$V$3:$W$35,2,FALSE),'RES Techs T15'!$G$3:$U$3,0))=0,"",OFFSET('RES Techs T15'!$AO24,0,MATCH(VLOOKUP('RES Veda input'!CA$3,'RES Assumptions T15'!$V$3:$W$35,2,FALSE),'RES Techs T15'!$G$3:$U$3,0)))</f>
        <v>4.2</v>
      </c>
      <c r="CB24" s="9">
        <f ca="1">IF(OFFSET('RES Techs T15'!$AO24,0,MATCH(VLOOKUP('RES Veda input'!CB$3,'RES Assumptions T15'!$V$3:$W$35,2,FALSE),'RES Techs T15'!$G$3:$U$3,0))=0,"",OFFSET('RES Techs T15'!$AO24,0,MATCH(VLOOKUP('RES Veda input'!CB$3,'RES Assumptions T15'!$V$3:$W$35,2,FALSE),'RES Techs T15'!$G$3:$U$3,0)))</f>
        <v>3.64</v>
      </c>
      <c r="CC24" s="9" t="str">
        <f ca="1">IF(OFFSET('RES Techs T15'!$AO24,0,MATCH(VLOOKUP('RES Veda input'!CC$3,'RES Assumptions T15'!$V$3:$W$35,2,FALSE),'RES Techs T15'!$G$3:$U$3,0))=0,"",OFFSET('RES Techs T15'!$AO24,0,MATCH(VLOOKUP('RES Veda input'!CC$3,'RES Assumptions T15'!$V$3:$W$35,2,FALSE),'RES Techs T15'!$G$3:$U$3,0)))</f>
        <v/>
      </c>
      <c r="CD24" s="9" t="str">
        <f ca="1">IF(OFFSET('RES Techs T15'!$AO24,0,MATCH(VLOOKUP('RES Veda input'!CD$3,'RES Assumptions T15'!$V$3:$W$35,2,FALSE),'RES Techs T15'!$G$3:$U$3,0))=0,"",OFFSET('RES Techs T15'!$AO24,0,MATCH(VLOOKUP('RES Veda input'!CD$3,'RES Assumptions T15'!$V$3:$W$35,2,FALSE),'RES Techs T15'!$G$3:$U$3,0)))</f>
        <v/>
      </c>
      <c r="CE24" s="9" t="str">
        <f ca="1">IF(OFFSET('RES Techs T15'!$AO24,0,MATCH(VLOOKUP('RES Veda input'!CE$3,'RES Assumptions T15'!$V$3:$W$35,2,FALSE),'RES Techs T15'!$G$3:$U$3,0))=0,"",OFFSET('RES Techs T15'!$AO24,0,MATCH(VLOOKUP('RES Veda input'!CE$3,'RES Assumptions T15'!$V$3:$W$35,2,FALSE),'RES Techs T15'!$G$3:$U$3,0)))</f>
        <v/>
      </c>
      <c r="CF24" s="9" t="str">
        <f ca="1">IF(OFFSET('RES Techs T15'!$AO24,0,MATCH(VLOOKUP('RES Veda input'!CF$3,'RES Assumptions T15'!$V$3:$W$35,2,FALSE),'RES Techs T15'!$G$3:$U$3,0))=0,"",OFFSET('RES Techs T15'!$AO24,0,MATCH(VLOOKUP('RES Veda input'!CF$3,'RES Assumptions T15'!$V$3:$W$35,2,FALSE),'RES Techs T15'!$G$3:$U$3,0)))</f>
        <v/>
      </c>
      <c r="CG24" s="9" t="str">
        <f ca="1">IF(OFFSET('RES Techs T15'!$AO24,0,MATCH(VLOOKUP('RES Veda input'!CG$3,'RES Assumptions T15'!$V$3:$W$35,2,FALSE),'RES Techs T15'!$G$3:$U$3,0))=0,"",OFFSET('RES Techs T15'!$AO24,0,MATCH(VLOOKUP('RES Veda input'!CG$3,'RES Assumptions T15'!$V$3:$W$35,2,FALSE),'RES Techs T15'!$G$3:$U$3,0)))</f>
        <v/>
      </c>
      <c r="CH24" s="9" t="str">
        <f ca="1">IF(OFFSET('RES Techs T15'!$AO24,0,MATCH(VLOOKUP('RES Veda input'!CH$3,'RES Assumptions T15'!$V$3:$W$35,2,FALSE),'RES Techs T15'!$G$3:$U$3,0))=0,"",OFFSET('RES Techs T15'!$AO24,0,MATCH(VLOOKUP('RES Veda input'!CH$3,'RES Assumptions T15'!$V$3:$W$35,2,FALSE),'RES Techs T15'!$G$3:$U$3,0)))</f>
        <v/>
      </c>
      <c r="CI24" s="9" t="str">
        <f ca="1">IF(OFFSET('RES Techs T15'!$AO24,0,MATCH(VLOOKUP('RES Veda input'!CI$3,'RES Assumptions T15'!$V$3:$W$35,2,FALSE),'RES Techs T15'!$G$3:$U$3,0))=0,"",OFFSET('RES Techs T15'!$AO24,0,MATCH(VLOOKUP('RES Veda input'!CI$3,'RES Assumptions T15'!$V$3:$W$35,2,FALSE),'RES Techs T15'!$G$3:$U$3,0)))</f>
        <v/>
      </c>
      <c r="CJ24" s="9">
        <f ca="1">IF(OFFSET('RES Techs T15'!$AO24,0,MATCH(VLOOKUP('RES Veda input'!CJ$3,'RES Assumptions T15'!$V$3:$W$35,2,FALSE),'RES Techs T15'!$G$3:$U$3,0))=0,"",OFFSET('RES Techs T15'!$AO24,0,MATCH(VLOOKUP('RES Veda input'!CJ$3,'RES Assumptions T15'!$V$3:$W$35,2,FALSE),'RES Techs T15'!$G$3:$U$3,0)))</f>
        <v>4.2</v>
      </c>
      <c r="CK24" s="9" t="str">
        <f ca="1">IF(OFFSET('RES Techs T15'!$AO24,0,MATCH(VLOOKUP('RES Veda input'!CK$3,'RES Assumptions T15'!$V$3:$W$35,2,FALSE),'RES Techs T15'!$G$3:$U$3,0))=0,"",OFFSET('RES Techs T15'!$AO24,0,MATCH(VLOOKUP('RES Veda input'!CK$3,'RES Assumptions T15'!$V$3:$W$35,2,FALSE),'RES Techs T15'!$G$3:$U$3,0)))</f>
        <v/>
      </c>
      <c r="CL24" s="9" t="str">
        <f ca="1">IF(OFFSET('RES Techs T15'!$AO24,0,MATCH(VLOOKUP('RES Veda input'!CL$3,'RES Assumptions T15'!$V$3:$W$35,2,FALSE),'RES Techs T15'!$G$3:$U$3,0))=0,"",OFFSET('RES Techs T15'!$AO24,0,MATCH(VLOOKUP('RES Veda input'!CL$3,'RES Assumptions T15'!$V$3:$W$35,2,FALSE),'RES Techs T15'!$G$3:$U$3,0)))</f>
        <v/>
      </c>
      <c r="CM24" s="9">
        <f ca="1">IF(OFFSET('RES Techs T15'!$AO24,0,MATCH(VLOOKUP('RES Veda input'!CM$3,'RES Assumptions T15'!$V$3:$W$35,2,FALSE),'RES Techs T15'!$G$3:$U$3,0))=0,"",OFFSET('RES Techs T15'!$AO24,0,MATCH(VLOOKUP('RES Veda input'!CM$3,'RES Assumptions T15'!$V$3:$W$35,2,FALSE),'RES Techs T15'!$G$3:$U$3,0)))</f>
        <v>3.6</v>
      </c>
      <c r="CN24" s="9">
        <f ca="1">IF(OFFSET('RES Techs T15'!$AO24,0,MATCH(VLOOKUP('RES Veda input'!CN$3,'RES Assumptions T15'!$V$3:$W$35,2,FALSE),'RES Techs T15'!$G$3:$U$3,0))=0,"",OFFSET('RES Techs T15'!$AO24,0,MATCH(VLOOKUP('RES Veda input'!CN$3,'RES Assumptions T15'!$V$3:$W$35,2,FALSE),'RES Techs T15'!$G$3:$U$3,0)))</f>
        <v>4.2</v>
      </c>
      <c r="CO24" s="9">
        <f ca="1">IF(OFFSET('RES Techs T15'!$AO24,0,MATCH(VLOOKUP('RES Veda input'!CO$3,'RES Assumptions T15'!$V$3:$W$35,2,FALSE),'RES Techs T15'!$G$3:$U$3,0))=0,"",OFFSET('RES Techs T15'!$AO24,0,MATCH(VLOOKUP('RES Veda input'!CO$3,'RES Assumptions T15'!$V$3:$W$35,2,FALSE),'RES Techs T15'!$G$3:$U$3,0)))</f>
        <v>4.8</v>
      </c>
      <c r="CP24" s="9">
        <f ca="1">IF(OFFSET('RES Techs T15'!$AO24,0,MATCH(VLOOKUP('RES Veda input'!CP$3,'RES Assumptions T15'!$V$3:$W$35,2,FALSE),'RES Techs T15'!$G$3:$U$3,0))=0,"",OFFSET('RES Techs T15'!$AO24,0,MATCH(VLOOKUP('RES Veda input'!CP$3,'RES Assumptions T15'!$V$3:$W$35,2,FALSE),'RES Techs T15'!$G$3:$U$3,0)))</f>
        <v>4.2</v>
      </c>
      <c r="CQ24" s="9" t="str">
        <f ca="1">IF(OFFSET('RES Techs T15'!$AO24,0,MATCH(VLOOKUP('RES Veda input'!CQ$3,'RES Assumptions T15'!$V$3:$W$35,2,FALSE),'RES Techs T15'!$G$3:$U$3,0))=0,"",OFFSET('RES Techs T15'!$AO24,0,MATCH(VLOOKUP('RES Veda input'!CQ$3,'RES Assumptions T15'!$V$3:$W$35,2,FALSE),'RES Techs T15'!$G$3:$U$3,0)))</f>
        <v/>
      </c>
      <c r="CR24" s="9" t="str">
        <f ca="1">IF(OFFSET('RES Techs T15'!$AO24,0,MATCH(VLOOKUP('RES Veda input'!CR$3,'RES Assumptions T15'!$V$3:$W$35,2,FALSE),'RES Techs T15'!$G$3:$U$3,0))=0,"",OFFSET('RES Techs T15'!$AO24,0,MATCH(VLOOKUP('RES Veda input'!CR$3,'RES Assumptions T15'!$V$3:$W$35,2,FALSE),'RES Techs T15'!$G$3:$U$3,0)))</f>
        <v/>
      </c>
      <c r="CS24" s="9">
        <f ca="1">IF(OFFSET('RES Techs T15'!$AO24,0,MATCH(VLOOKUP('RES Veda input'!CS$3,'RES Assumptions T15'!$V$3:$W$35,2,FALSE),'RES Techs T15'!$G$3:$U$3,0))=0,"",OFFSET('RES Techs T15'!$AO24,0,MATCH(VLOOKUP('RES Veda input'!CS$3,'RES Assumptions T15'!$V$3:$W$35,2,FALSE),'RES Techs T15'!$G$3:$U$3,0)))</f>
        <v>4.2</v>
      </c>
      <c r="CT24" s="9" t="str">
        <f ca="1">IF(OFFSET('RES Techs T15'!$AO24,0,MATCH(VLOOKUP('RES Veda input'!CT$3,'RES Assumptions T15'!$V$3:$W$35,2,FALSE),'RES Techs T15'!$G$3:$U$3,0))=0,"",OFFSET('RES Techs T15'!$AO24,0,MATCH(VLOOKUP('RES Veda input'!CT$3,'RES Assumptions T15'!$V$3:$W$35,2,FALSE),'RES Techs T15'!$G$3:$U$3,0)))</f>
        <v/>
      </c>
      <c r="CU24" s="9" t="str">
        <f ca="1">IF(OFFSET('RES Techs T15'!$AO24,0,MATCH(VLOOKUP('RES Veda input'!CU$3,'RES Assumptions T15'!$V$3:$W$35,2,FALSE),'RES Techs T15'!$G$3:$U$3,0))=0,"",OFFSET('RES Techs T15'!$AO24,0,MATCH(VLOOKUP('RES Veda input'!CU$3,'RES Assumptions T15'!$V$3:$W$35,2,FALSE),'RES Techs T15'!$G$3:$U$3,0)))</f>
        <v/>
      </c>
      <c r="CV24" s="9">
        <f ca="1">IF(OFFSET('RES Techs T15'!$AO24,0,MATCH(VLOOKUP('RES Veda input'!CV$3,'RES Assumptions T15'!$V$3:$W$35,2,FALSE),'RES Techs T15'!$G$3:$U$3,0))=0,"",OFFSET('RES Techs T15'!$AO24,0,MATCH(VLOOKUP('RES Veda input'!CV$3,'RES Assumptions T15'!$V$3:$W$35,2,FALSE),'RES Techs T15'!$G$3:$U$3,0)))</f>
        <v>0.9</v>
      </c>
      <c r="CW24" s="9">
        <f ca="1">IF(OFFSET('RES Techs T15'!$AO24,0,MATCH(VLOOKUP('RES Veda input'!CW$3,'RES Assumptions T15'!$V$3:$W$35,2,FALSE),'RES Techs T15'!$G$3:$U$3,0))=0,"",OFFSET('RES Techs T15'!$AO24,0,MATCH(VLOOKUP('RES Veda input'!CW$3,'RES Assumptions T15'!$V$3:$W$35,2,FALSE),'RES Techs T15'!$G$3:$U$3,0)))</f>
        <v>0.9</v>
      </c>
      <c r="CY24" s="8" t="str">
        <f t="shared" si="63"/>
        <v>RSHNGA000</v>
      </c>
      <c r="CZ24" s="10">
        <f ca="1">ROUND('RES Assumptions'!E107*'RES Veda input'!G24/'RES Veda input'!AM24,3)</f>
        <v>3.0649999999999999</v>
      </c>
      <c r="DA24" s="10">
        <f ca="1">ROUND('RES Assumptions'!F107*'RES Veda input'!H24/'RES Veda input'!AN24,3)</f>
        <v>0</v>
      </c>
      <c r="DB24" s="10">
        <f ca="1">ROUND('RES Assumptions'!G107*'RES Veda input'!I24/'RES Veda input'!AO24,3)</f>
        <v>2.3140000000000001</v>
      </c>
      <c r="DC24" s="10">
        <f ca="1">ROUND('RES Assumptions'!H107*'RES Veda input'!J24/'RES Veda input'!AP24,3)</f>
        <v>1673.364</v>
      </c>
      <c r="DD24" s="10">
        <f ca="1">ROUND('RES Assumptions'!I107*'RES Veda input'!K24/'RES Veda input'!AQ24,3)</f>
        <v>536.98500000000001</v>
      </c>
      <c r="DE24" s="10">
        <f ca="1">ROUND('RES Assumptions'!J107*'RES Veda input'!L24/'RES Veda input'!AR24,3)</f>
        <v>0</v>
      </c>
      <c r="DF24" s="10">
        <f ca="1">ROUND('RES Assumptions'!K107*'RES Veda input'!M24/'RES Veda input'!AS24,3)</f>
        <v>343.38</v>
      </c>
      <c r="DG24" s="10">
        <f ca="1">ROUND('RES Assumptions'!L107*'RES Veda input'!N24/'RES Veda input'!AT24,3)</f>
        <v>0.105</v>
      </c>
      <c r="DH24" s="10">
        <f ca="1">ROUND('RES Assumptions'!M107*'RES Veda input'!O24/'RES Veda input'!AU24,3)</f>
        <v>1245.992</v>
      </c>
      <c r="DI24" s="10">
        <f ca="1">ROUND('RES Assumptions'!N107*'RES Veda input'!P24/'RES Veda input'!AV24,3)</f>
        <v>0</v>
      </c>
      <c r="DJ24" s="10">
        <f ca="1">ROUND('RES Assumptions'!O107*'RES Veda input'!Q24/'RES Veda input'!AW24,3)</f>
        <v>91.031999999999996</v>
      </c>
      <c r="DK24" s="10">
        <f ca="1">ROUND('RES Assumptions'!P107*'RES Veda input'!R24/'RES Veda input'!AX24,3)</f>
        <v>944.28499999999997</v>
      </c>
      <c r="DL24" s="10">
        <f ca="1">ROUND('RES Assumptions'!Q107*'RES Veda input'!S24/'RES Veda input'!AY24,3)</f>
        <v>1412.7619999999999</v>
      </c>
      <c r="DM24" s="10">
        <f ca="1">ROUND('RES Assumptions'!R107*'RES Veda input'!T24/'RES Veda input'!AZ24,3)</f>
        <v>2184.4349999999999</v>
      </c>
      <c r="DN24" s="10">
        <f ca="1">ROUND('RES Assumptions'!S107*'RES Veda input'!U24/'RES Veda input'!BA24,3)</f>
        <v>675.13900000000001</v>
      </c>
      <c r="DO24" s="10">
        <f ca="1">ROUND('RES Assumptions'!T107*'RES Veda input'!V24/'RES Veda input'!BB24,3)</f>
        <v>494.98399999999998</v>
      </c>
      <c r="DP24" s="10">
        <f ca="1">ROUND('RES Assumptions'!U107*'RES Veda input'!W24/'RES Veda input'!BC24,3)</f>
        <v>2429.4369999999999</v>
      </c>
      <c r="DQ24" s="10">
        <f ca="1">ROUND('RES Assumptions'!V107*'RES Veda input'!X24/'RES Veda input'!BD24,3)</f>
        <v>1503.338</v>
      </c>
      <c r="DR24" s="10">
        <f ca="1">ROUND('RES Assumptions'!W107*'RES Veda input'!Y24/'RES Veda input'!BE24,3)</f>
        <v>2999.2910000000002</v>
      </c>
      <c r="DS24" s="10">
        <f ca="1">ROUND('RES Assumptions'!X107*'RES Veda input'!Z24/'RES Veda input'!BF24,3)</f>
        <v>0</v>
      </c>
      <c r="DT24" s="10">
        <f ca="1">ROUND('RES Assumptions'!Y107*'RES Veda input'!AA24/'RES Veda input'!BG24,3)</f>
        <v>0.505</v>
      </c>
      <c r="DU24" s="10">
        <f ca="1">ROUND('RES Assumptions'!Z107*'RES Veda input'!AB24/'RES Veda input'!BH24,3)</f>
        <v>2.3180000000000001</v>
      </c>
      <c r="DV24" s="10">
        <f ca="1">ROUND('RES Assumptions'!AA107*'RES Veda input'!AC24/'RES Veda input'!BI24,3)</f>
        <v>4587.5460000000003</v>
      </c>
      <c r="DW24" s="10">
        <f ca="1">ROUND('RES Assumptions'!AB107*'RES Veda input'!AD24/'RES Veda input'!BJ24,3)</f>
        <v>0.20499999999999999</v>
      </c>
      <c r="DX24" s="10">
        <f ca="1">ROUND('RES Assumptions'!AC107*'RES Veda input'!AE24/'RES Veda input'!BK24,3)</f>
        <v>7385.7749999999996</v>
      </c>
      <c r="DY24" s="10">
        <f ca="1">ROUND('RES Assumptions'!AD107*'RES Veda input'!AF24/'RES Veda input'!BL24,3)</f>
        <v>0</v>
      </c>
      <c r="DZ24" s="10">
        <f ca="1">ROUND('RES Assumptions'!AE107*'RES Veda input'!AG24/'RES Veda input'!BM24,3)</f>
        <v>1E-3</v>
      </c>
      <c r="EA24" s="10">
        <f ca="1">ROUND('RES Assumptions'!AF107*'RES Veda input'!AH24/'RES Veda input'!BN24,3)</f>
        <v>3019.0419999999999</v>
      </c>
      <c r="EB24" s="10">
        <f ca="1">ROUND('RES Assumptions'!AG107*'RES Veda input'!AI24/'RES Veda input'!BO24,3)</f>
        <v>8357.8220000000001</v>
      </c>
      <c r="EC24" s="10">
        <f ca="1">ROUND('RES Assumptions'!AH107*'RES Veda input'!AJ24/'RES Veda input'!BP24,3)</f>
        <v>0</v>
      </c>
      <c r="ED24">
        <v>20</v>
      </c>
      <c r="EG24" t="s">
        <v>281</v>
      </c>
      <c r="EH24" t="str">
        <f t="shared" si="64"/>
        <v>RSHNGA000</v>
      </c>
      <c r="EJ24" t="s">
        <v>282</v>
      </c>
      <c r="EK24" t="s">
        <v>283</v>
      </c>
    </row>
    <row r="25" spans="1:141" x14ac:dyDescent="0.45">
      <c r="A25" s="37" t="str">
        <f>'RES Assumptions'!B108</f>
        <v>RH</v>
      </c>
      <c r="B25" s="37" t="s">
        <v>93</v>
      </c>
      <c r="D25" s="51" t="s">
        <v>301</v>
      </c>
      <c r="E25" s="8" t="str">
        <f>'RES Assumptions'!A108</f>
        <v>RESNGA</v>
      </c>
      <c r="F25" s="8" t="str">
        <f>VLOOKUP(A25,'RES Assumptions'!$AN$87:$AO$97,2,FALSE)</f>
        <v>RSH</v>
      </c>
      <c r="G25" s="9">
        <f ca="1">OFFSET('RES Techs T15'!$F25,0,MATCH(VLOOKUP('RES Veda input'!G$3,'RES Assumptions T15'!$V$3:$W$35,2,FALSE),'RES Techs T15'!$G$3:$U$3,0))</f>
        <v>1.8</v>
      </c>
      <c r="H25" s="9">
        <f ca="1">OFFSET('RES Techs T15'!$F25,0,MATCH(VLOOKUP('RES Veda input'!H$3,'RES Assumptions T15'!$V$3:$W$35,2,FALSE),'RES Techs T15'!$G$3:$U$3,0))</f>
        <v>1.8</v>
      </c>
      <c r="I25" s="9">
        <f ca="1">OFFSET('RES Techs T15'!$F25,0,MATCH(VLOOKUP('RES Veda input'!I$3,'RES Assumptions T15'!$V$3:$W$35,2,FALSE),'RES Techs T15'!$G$3:$U$3,0))</f>
        <v>1.8</v>
      </c>
      <c r="J25" s="9">
        <f ca="1">OFFSET('RES Techs T15'!$F25,0,MATCH(VLOOKUP('RES Veda input'!J$3,'RES Assumptions T15'!$V$3:$W$35,2,FALSE),'RES Techs T15'!$G$3:$U$3,0))</f>
        <v>1.8</v>
      </c>
      <c r="K25" s="9">
        <f ca="1">OFFSET('RES Techs T15'!$F25,0,MATCH(VLOOKUP('RES Veda input'!K$3,'RES Assumptions T15'!$V$3:$W$35,2,FALSE),'RES Techs T15'!$G$3:$U$3,0))</f>
        <v>1.8</v>
      </c>
      <c r="L25" s="9">
        <f ca="1">OFFSET('RES Techs T15'!$F25,0,MATCH(VLOOKUP('RES Veda input'!L$3,'RES Assumptions T15'!$V$3:$W$35,2,FALSE),'RES Techs T15'!$G$3:$U$3,0))</f>
        <v>1.8</v>
      </c>
      <c r="M25" s="9">
        <f ca="1">OFFSET('RES Techs T15'!$F25,0,MATCH(VLOOKUP('RES Veda input'!M$3,'RES Assumptions T15'!$V$3:$W$35,2,FALSE),'RES Techs T15'!$G$3:$U$3,0))</f>
        <v>1.8</v>
      </c>
      <c r="N25" s="9">
        <f ca="1">OFFSET('RES Techs T15'!$F25,0,MATCH(VLOOKUP('RES Veda input'!N$3,'RES Assumptions T15'!$V$3:$W$35,2,FALSE),'RES Techs T15'!$G$3:$U$3,0))</f>
        <v>1.8</v>
      </c>
      <c r="O25" s="9">
        <f ca="1">OFFSET('RES Techs T15'!$F25,0,MATCH(VLOOKUP('RES Veda input'!O$3,'RES Assumptions T15'!$V$3:$W$35,2,FALSE),'RES Techs T15'!$G$3:$U$3,0))</f>
        <v>1.8</v>
      </c>
      <c r="P25" s="9">
        <f ca="1">OFFSET('RES Techs T15'!$F25,0,MATCH(VLOOKUP('RES Veda input'!P$3,'RES Assumptions T15'!$V$3:$W$35,2,FALSE),'RES Techs T15'!$G$3:$U$3,0))</f>
        <v>1.8</v>
      </c>
      <c r="Q25" s="9">
        <f ca="1">OFFSET('RES Techs T15'!$F25,0,MATCH(VLOOKUP('RES Veda input'!Q$3,'RES Assumptions T15'!$V$3:$W$35,2,FALSE),'RES Techs T15'!$G$3:$U$3,0))</f>
        <v>1.8</v>
      </c>
      <c r="R25" s="9">
        <f ca="1">OFFSET('RES Techs T15'!$F25,0,MATCH(VLOOKUP('RES Veda input'!R$3,'RES Assumptions T15'!$V$3:$W$35,2,FALSE),'RES Techs T15'!$G$3:$U$3,0))</f>
        <v>1.8</v>
      </c>
      <c r="S25" s="9">
        <f ca="1">OFFSET('RES Techs T15'!$F25,0,MATCH(VLOOKUP('RES Veda input'!S$3,'RES Assumptions T15'!$V$3:$W$35,2,FALSE),'RES Techs T15'!$G$3:$U$3,0))</f>
        <v>1.8</v>
      </c>
      <c r="T25" s="9">
        <f ca="1">OFFSET('RES Techs T15'!$F25,0,MATCH(VLOOKUP('RES Veda input'!T$3,'RES Assumptions T15'!$V$3:$W$35,2,FALSE),'RES Techs T15'!$G$3:$U$3,0))</f>
        <v>1.8</v>
      </c>
      <c r="U25" s="9">
        <f ca="1">OFFSET('RES Techs T15'!$F25,0,MATCH(VLOOKUP('RES Veda input'!U$3,'RES Assumptions T15'!$V$3:$W$35,2,FALSE),'RES Techs T15'!$G$3:$U$3,0))</f>
        <v>1.8</v>
      </c>
      <c r="V25" s="9">
        <f ca="1">OFFSET('RES Techs T15'!$F25,0,MATCH(VLOOKUP('RES Veda input'!V$3,'RES Assumptions T15'!$V$3:$W$35,2,FALSE),'RES Techs T15'!$G$3:$U$3,0))</f>
        <v>1.8</v>
      </c>
      <c r="W25" s="9">
        <f ca="1">OFFSET('RES Techs T15'!$F25,0,MATCH(VLOOKUP('RES Veda input'!W$3,'RES Assumptions T15'!$V$3:$W$35,2,FALSE),'RES Techs T15'!$G$3:$U$3,0))</f>
        <v>1.8</v>
      </c>
      <c r="X25" s="9">
        <f ca="1">OFFSET('RES Techs T15'!$F25,0,MATCH(VLOOKUP('RES Veda input'!X$3,'RES Assumptions T15'!$V$3:$W$35,2,FALSE),'RES Techs T15'!$G$3:$U$3,0))</f>
        <v>1.8</v>
      </c>
      <c r="Y25" s="9">
        <f ca="1">OFFSET('RES Techs T15'!$F25,0,MATCH(VLOOKUP('RES Veda input'!Y$3,'RES Assumptions T15'!$V$3:$W$35,2,FALSE),'RES Techs T15'!$G$3:$U$3,0))</f>
        <v>1.8</v>
      </c>
      <c r="Z25" s="9">
        <f ca="1">OFFSET('RES Techs T15'!$F25,0,MATCH(VLOOKUP('RES Veda input'!Z$3,'RES Assumptions T15'!$V$3:$W$35,2,FALSE),'RES Techs T15'!$G$3:$U$3,0))</f>
        <v>1.8</v>
      </c>
      <c r="AA25" s="9">
        <f ca="1">OFFSET('RES Techs T15'!$F25,0,MATCH(VLOOKUP('RES Veda input'!AA$3,'RES Assumptions T15'!$V$3:$W$35,2,FALSE),'RES Techs T15'!$G$3:$U$3,0))</f>
        <v>1.8</v>
      </c>
      <c r="AB25" s="9">
        <f ca="1">OFFSET('RES Techs T15'!$F25,0,MATCH(VLOOKUP('RES Veda input'!AB$3,'RES Assumptions T15'!$V$3:$W$35,2,FALSE),'RES Techs T15'!$G$3:$U$3,0))</f>
        <v>1.8</v>
      </c>
      <c r="AC25" s="9">
        <f ca="1">OFFSET('RES Techs T15'!$F25,0,MATCH(VLOOKUP('RES Veda input'!AC$3,'RES Assumptions T15'!$V$3:$W$35,2,FALSE),'RES Techs T15'!$G$3:$U$3,0))</f>
        <v>1.8</v>
      </c>
      <c r="AD25" s="9">
        <f ca="1">OFFSET('RES Techs T15'!$F25,0,MATCH(VLOOKUP('RES Veda input'!AD$3,'RES Assumptions T15'!$V$3:$W$35,2,FALSE),'RES Techs T15'!$G$3:$U$3,0))</f>
        <v>1.8</v>
      </c>
      <c r="AE25" s="9">
        <f ca="1">OFFSET('RES Techs T15'!$F25,0,MATCH(VLOOKUP('RES Veda input'!AE$3,'RES Assumptions T15'!$V$3:$W$35,2,FALSE),'RES Techs T15'!$G$3:$U$3,0))</f>
        <v>1.8</v>
      </c>
      <c r="AF25" s="9">
        <f ca="1">OFFSET('RES Techs T15'!$F25,0,MATCH(VLOOKUP('RES Veda input'!AF$3,'RES Assumptions T15'!$V$3:$W$35,2,FALSE),'RES Techs T15'!$G$3:$U$3,0))</f>
        <v>1.8</v>
      </c>
      <c r="AG25" s="9">
        <f ca="1">OFFSET('RES Techs T15'!$F25,0,MATCH(VLOOKUP('RES Veda input'!AG$3,'RES Assumptions T15'!$V$3:$W$35,2,FALSE),'RES Techs T15'!$G$3:$U$3,0))</f>
        <v>1.8</v>
      </c>
      <c r="AH25" s="9">
        <f ca="1">OFFSET('RES Techs T15'!$F25,0,MATCH(VLOOKUP('RES Veda input'!AH$3,'RES Assumptions T15'!$V$3:$W$35,2,FALSE),'RES Techs T15'!$G$3:$U$3,0))</f>
        <v>1.8</v>
      </c>
      <c r="AI25" s="9">
        <f ca="1">OFFSET('RES Techs T15'!$F25,0,MATCH(VLOOKUP('RES Veda input'!AI$3,'RES Assumptions T15'!$V$3:$W$35,2,FALSE),'RES Techs T15'!$G$3:$U$3,0))</f>
        <v>1.8</v>
      </c>
      <c r="AJ25" s="9">
        <f ca="1">OFFSET('RES Techs T15'!$F25,0,MATCH(VLOOKUP('RES Veda input'!AJ$3,'RES Assumptions T15'!$V$3:$W$35,2,FALSE),'RES Techs T15'!$G$3:$U$3,0))</f>
        <v>1.8</v>
      </c>
      <c r="AL25" s="8" t="str">
        <f t="shared" si="60"/>
        <v>RSHNHP000</v>
      </c>
      <c r="AM25" s="9">
        <f ca="1">OFFSET('RES Techs T15'!$W25,0,MATCH(VLOOKUP('RES Veda input'!AM$3,'RES Assumptions T15'!$V$3:$W$35,2,FALSE),'RES Techs T15'!$G$3:$U$3,0))</f>
        <v>0.18</v>
      </c>
      <c r="AN25" s="9">
        <f ca="1">OFFSET('RES Techs T15'!$W25,0,MATCH(VLOOKUP('RES Veda input'!AN$3,'RES Assumptions T15'!$V$3:$W$35,2,FALSE),'RES Techs T15'!$G$3:$U$3,0))</f>
        <v>0.18</v>
      </c>
      <c r="AO25" s="9">
        <f ca="1">OFFSET('RES Techs T15'!$W25,0,MATCH(VLOOKUP('RES Veda input'!AO$3,'RES Assumptions T15'!$V$3:$W$35,2,FALSE),'RES Techs T15'!$G$3:$U$3,0))</f>
        <v>0.18</v>
      </c>
      <c r="AP25" s="9">
        <f ca="1">OFFSET('RES Techs T15'!$W25,0,MATCH(VLOOKUP('RES Veda input'!AP$3,'RES Assumptions T15'!$V$3:$W$35,2,FALSE),'RES Techs T15'!$G$3:$U$3,0))</f>
        <v>0.18</v>
      </c>
      <c r="AQ25" s="9">
        <f ca="1">OFFSET('RES Techs T15'!$W25,0,MATCH(VLOOKUP('RES Veda input'!AQ$3,'RES Assumptions T15'!$V$3:$W$35,2,FALSE),'RES Techs T15'!$G$3:$U$3,0))</f>
        <v>0.18</v>
      </c>
      <c r="AR25" s="9">
        <f ca="1">OFFSET('RES Techs T15'!$W25,0,MATCH(VLOOKUP('RES Veda input'!AR$3,'RES Assumptions T15'!$V$3:$W$35,2,FALSE),'RES Techs T15'!$G$3:$U$3,0))</f>
        <v>0.11</v>
      </c>
      <c r="AS25" s="9">
        <f ca="1">OFFSET('RES Techs T15'!$W25,0,MATCH(VLOOKUP('RES Veda input'!AS$3,'RES Assumptions T15'!$V$3:$W$35,2,FALSE),'RES Techs T15'!$G$3:$U$3,0))</f>
        <v>0.21</v>
      </c>
      <c r="AT25" s="9">
        <f ca="1">OFFSET('RES Techs T15'!$W25,0,MATCH(VLOOKUP('RES Veda input'!AT$3,'RES Assumptions T15'!$V$3:$W$35,2,FALSE),'RES Techs T15'!$G$3:$U$3,0))</f>
        <v>0.18</v>
      </c>
      <c r="AU25" s="9">
        <f ca="1">OFFSET('RES Techs T15'!$W25,0,MATCH(VLOOKUP('RES Veda input'!AU$3,'RES Assumptions T15'!$V$3:$W$35,2,FALSE),'RES Techs T15'!$G$3:$U$3,0))</f>
        <v>0.24</v>
      </c>
      <c r="AV25" s="9">
        <f ca="1">OFFSET('RES Techs T15'!$W25,0,MATCH(VLOOKUP('RES Veda input'!AV$3,'RES Assumptions T15'!$V$3:$W$35,2,FALSE),'RES Techs T15'!$G$3:$U$3,0))</f>
        <v>0.18</v>
      </c>
      <c r="AW25" s="9">
        <f ca="1">OFFSET('RES Techs T15'!$W25,0,MATCH(VLOOKUP('RES Veda input'!AW$3,'RES Assumptions T15'!$V$3:$W$35,2,FALSE),'RES Techs T15'!$G$3:$U$3,0))</f>
        <v>0.18</v>
      </c>
      <c r="AX25" s="9">
        <f ca="1">OFFSET('RES Techs T15'!$W25,0,MATCH(VLOOKUP('RES Veda input'!AX$3,'RES Assumptions T15'!$V$3:$W$35,2,FALSE),'RES Techs T15'!$G$3:$U$3,0))</f>
        <v>0.18</v>
      </c>
      <c r="AY25" s="9">
        <f ca="1">OFFSET('RES Techs T15'!$W25,0,MATCH(VLOOKUP('RES Veda input'!AY$3,'RES Assumptions T15'!$V$3:$W$35,2,FALSE),'RES Techs T15'!$G$3:$U$3,0))</f>
        <v>0.18</v>
      </c>
      <c r="AZ25" s="9">
        <f ca="1">OFFSET('RES Techs T15'!$W25,0,MATCH(VLOOKUP('RES Veda input'!AZ$3,'RES Assumptions T15'!$V$3:$W$35,2,FALSE),'RES Techs T15'!$G$3:$U$3,0))</f>
        <v>0.18</v>
      </c>
      <c r="BA25" s="9">
        <f ca="1">OFFSET('RES Techs T15'!$W25,0,MATCH(VLOOKUP('RES Veda input'!BA$3,'RES Assumptions T15'!$V$3:$W$35,2,FALSE),'RES Techs T15'!$G$3:$U$3,0))</f>
        <v>0.18</v>
      </c>
      <c r="BB25" s="9">
        <f ca="1">OFFSET('RES Techs T15'!$W25,0,MATCH(VLOOKUP('RES Veda input'!BB$3,'RES Assumptions T15'!$V$3:$W$35,2,FALSE),'RES Techs T15'!$G$3:$U$3,0))</f>
        <v>0.18</v>
      </c>
      <c r="BC25" s="9">
        <f ca="1">OFFSET('RES Techs T15'!$W25,0,MATCH(VLOOKUP('RES Veda input'!BC$3,'RES Assumptions T15'!$V$3:$W$35,2,FALSE),'RES Techs T15'!$G$3:$U$3,0))</f>
        <v>0.18</v>
      </c>
      <c r="BD25" s="9">
        <f ca="1">OFFSET('RES Techs T15'!$W25,0,MATCH(VLOOKUP('RES Veda input'!BD$3,'RES Assumptions T15'!$V$3:$W$35,2,FALSE),'RES Techs T15'!$G$3:$U$3,0))</f>
        <v>0.18</v>
      </c>
      <c r="BE25" s="9">
        <f ca="1">OFFSET('RES Techs T15'!$W25,0,MATCH(VLOOKUP('RES Veda input'!BE$3,'RES Assumptions T15'!$V$3:$W$35,2,FALSE),'RES Techs T15'!$G$3:$U$3,0))</f>
        <v>0.18</v>
      </c>
      <c r="BF25" s="9">
        <f ca="1">OFFSET('RES Techs T15'!$W25,0,MATCH(VLOOKUP('RES Veda input'!BF$3,'RES Assumptions T15'!$V$3:$W$35,2,FALSE),'RES Techs T15'!$G$3:$U$3,0))</f>
        <v>0.18</v>
      </c>
      <c r="BG25" s="9">
        <f ca="1">OFFSET('RES Techs T15'!$W25,0,MATCH(VLOOKUP('RES Veda input'!BG$3,'RES Assumptions T15'!$V$3:$W$35,2,FALSE),'RES Techs T15'!$G$3:$U$3,0))</f>
        <v>0.18</v>
      </c>
      <c r="BH25" s="9">
        <f ca="1">OFFSET('RES Techs T15'!$W25,0,MATCH(VLOOKUP('RES Veda input'!BH$3,'RES Assumptions T15'!$V$3:$W$35,2,FALSE),'RES Techs T15'!$G$3:$U$3,0))</f>
        <v>0.18</v>
      </c>
      <c r="BI25" s="9">
        <f ca="1">OFFSET('RES Techs T15'!$W25,0,MATCH(VLOOKUP('RES Veda input'!BI$3,'RES Assumptions T15'!$V$3:$W$35,2,FALSE),'RES Techs T15'!$G$3:$U$3,0))</f>
        <v>0.18</v>
      </c>
      <c r="BJ25" s="9">
        <f ca="1">OFFSET('RES Techs T15'!$W25,0,MATCH(VLOOKUP('RES Veda input'!BJ$3,'RES Assumptions T15'!$V$3:$W$35,2,FALSE),'RES Techs T15'!$G$3:$U$3,0))</f>
        <v>0.18</v>
      </c>
      <c r="BK25" s="9">
        <f ca="1">OFFSET('RES Techs T15'!$W25,0,MATCH(VLOOKUP('RES Veda input'!BK$3,'RES Assumptions T15'!$V$3:$W$35,2,FALSE),'RES Techs T15'!$G$3:$U$3,0))</f>
        <v>0.18</v>
      </c>
      <c r="BL25" s="9">
        <f ca="1">OFFSET('RES Techs T15'!$W25,0,MATCH(VLOOKUP('RES Veda input'!BL$3,'RES Assumptions T15'!$V$3:$W$35,2,FALSE),'RES Techs T15'!$G$3:$U$3,0))</f>
        <v>0.18</v>
      </c>
      <c r="BM25" s="9">
        <f ca="1">OFFSET('RES Techs T15'!$W25,0,MATCH(VLOOKUP('RES Veda input'!BM$3,'RES Assumptions T15'!$V$3:$W$35,2,FALSE),'RES Techs T15'!$G$3:$U$3,0))</f>
        <v>0.18</v>
      </c>
      <c r="BN25" s="9">
        <f ca="1">OFFSET('RES Techs T15'!$W25,0,MATCH(VLOOKUP('RES Veda input'!BN$3,'RES Assumptions T15'!$V$3:$W$35,2,FALSE),'RES Techs T15'!$G$3:$U$3,0))</f>
        <v>0.18</v>
      </c>
      <c r="BO25" s="9">
        <f ca="1">OFFSET('RES Techs T15'!$W25,0,MATCH(VLOOKUP('RES Veda input'!BO$3,'RES Assumptions T15'!$V$3:$W$35,2,FALSE),'RES Techs T15'!$G$3:$U$3,0))</f>
        <v>0.3</v>
      </c>
      <c r="BP25" s="9">
        <f ca="1">OFFSET('RES Techs T15'!$W25,0,MATCH(VLOOKUP('RES Veda input'!BP$3,'RES Assumptions T15'!$V$3:$W$35,2,FALSE),'RES Techs T15'!$G$3:$U$3,0))</f>
        <v>0.3</v>
      </c>
      <c r="BR25" s="8" t="str">
        <f t="shared" si="61"/>
        <v>RSHNHP000</v>
      </c>
      <c r="BS25" s="9">
        <f t="shared" ca="1" si="62"/>
        <v>3.6</v>
      </c>
      <c r="BT25" s="9" t="str">
        <f ca="1">IF(OFFSET('RES Techs T15'!$AO25,0,MATCH(VLOOKUP('RES Veda input'!BT$3,'RES Assumptions T15'!$V$3:$W$35,2,FALSE),'RES Techs T15'!$G$3:$U$3,0))=0,"",OFFSET('RES Techs T15'!$AO25,0,MATCH(VLOOKUP('RES Veda input'!BT$3,'RES Assumptions T15'!$V$3:$W$35,2,FALSE),'RES Techs T15'!$G$3:$U$3,0)))</f>
        <v/>
      </c>
      <c r="BU25" s="9" t="str">
        <f ca="1">IF(OFFSET('RES Techs T15'!$AO25,0,MATCH(VLOOKUP('RES Veda input'!BU$3,'RES Assumptions T15'!$V$3:$W$35,2,FALSE),'RES Techs T15'!$G$3:$U$3,0))=0,"",OFFSET('RES Techs T15'!$AO25,0,MATCH(VLOOKUP('RES Veda input'!BU$3,'RES Assumptions T15'!$V$3:$W$35,2,FALSE),'RES Techs T15'!$G$3:$U$3,0)))</f>
        <v/>
      </c>
      <c r="BV25" s="9">
        <f ca="1">IF(OFFSET('RES Techs T15'!$AO25,0,MATCH(VLOOKUP('RES Veda input'!BV$3,'RES Assumptions T15'!$V$3:$W$35,2,FALSE),'RES Techs T15'!$G$3:$U$3,0))=0,"",OFFSET('RES Techs T15'!$AO25,0,MATCH(VLOOKUP('RES Veda input'!BV$3,'RES Assumptions T15'!$V$3:$W$35,2,FALSE),'RES Techs T15'!$G$3:$U$3,0)))</f>
        <v>4.2</v>
      </c>
      <c r="BW25" s="9" t="str">
        <f ca="1">IF(OFFSET('RES Techs T15'!$AO25,0,MATCH(VLOOKUP('RES Veda input'!BW$3,'RES Assumptions T15'!$V$3:$W$35,2,FALSE),'RES Techs T15'!$G$3:$U$3,0))=0,"",OFFSET('RES Techs T15'!$AO25,0,MATCH(VLOOKUP('RES Veda input'!BW$3,'RES Assumptions T15'!$V$3:$W$35,2,FALSE),'RES Techs T15'!$G$3:$U$3,0)))</f>
        <v/>
      </c>
      <c r="BX25" s="9">
        <f ca="1">IF(OFFSET('RES Techs T15'!$AO25,0,MATCH(VLOOKUP('RES Veda input'!BX$3,'RES Assumptions T15'!$V$3:$W$35,2,FALSE),'RES Techs T15'!$G$3:$U$3,0))=0,"",OFFSET('RES Techs T15'!$AO25,0,MATCH(VLOOKUP('RES Veda input'!BX$3,'RES Assumptions T15'!$V$3:$W$35,2,FALSE),'RES Techs T15'!$G$3:$U$3,0)))</f>
        <v>6</v>
      </c>
      <c r="BY25" s="9">
        <f ca="1">IF(OFFSET('RES Techs T15'!$AO25,0,MATCH(VLOOKUP('RES Veda input'!BY$3,'RES Assumptions T15'!$V$3:$W$35,2,FALSE),'RES Techs T15'!$G$3:$U$3,0))=0,"",OFFSET('RES Techs T15'!$AO25,0,MATCH(VLOOKUP('RES Veda input'!BY$3,'RES Assumptions T15'!$V$3:$W$35,2,FALSE),'RES Techs T15'!$G$3:$U$3,0)))</f>
        <v>3.6</v>
      </c>
      <c r="BZ25" s="9" t="str">
        <f ca="1">IF(OFFSET('RES Techs T15'!$AO25,0,MATCH(VLOOKUP('RES Veda input'!BZ$3,'RES Assumptions T15'!$V$3:$W$35,2,FALSE),'RES Techs T15'!$G$3:$U$3,0))=0,"",OFFSET('RES Techs T15'!$AO25,0,MATCH(VLOOKUP('RES Veda input'!BZ$3,'RES Assumptions T15'!$V$3:$W$35,2,FALSE),'RES Techs T15'!$G$3:$U$3,0)))</f>
        <v/>
      </c>
      <c r="CA25" s="9">
        <f ca="1">IF(OFFSET('RES Techs T15'!$AO25,0,MATCH(VLOOKUP('RES Veda input'!CA$3,'RES Assumptions T15'!$V$3:$W$35,2,FALSE),'RES Techs T15'!$G$3:$U$3,0))=0,"",OFFSET('RES Techs T15'!$AO25,0,MATCH(VLOOKUP('RES Veda input'!CA$3,'RES Assumptions T15'!$V$3:$W$35,2,FALSE),'RES Techs T15'!$G$3:$U$3,0)))</f>
        <v>4.2</v>
      </c>
      <c r="CB25" s="9" t="str">
        <f ca="1">IF(OFFSET('RES Techs T15'!$AO25,0,MATCH(VLOOKUP('RES Veda input'!CB$3,'RES Assumptions T15'!$V$3:$W$35,2,FALSE),'RES Techs T15'!$G$3:$U$3,0))=0,"",OFFSET('RES Techs T15'!$AO25,0,MATCH(VLOOKUP('RES Veda input'!CB$3,'RES Assumptions T15'!$V$3:$W$35,2,FALSE),'RES Techs T15'!$G$3:$U$3,0)))</f>
        <v/>
      </c>
      <c r="CC25" s="9" t="str">
        <f ca="1">IF(OFFSET('RES Techs T15'!$AO25,0,MATCH(VLOOKUP('RES Veda input'!CC$3,'RES Assumptions T15'!$V$3:$W$35,2,FALSE),'RES Techs T15'!$G$3:$U$3,0))=0,"",OFFSET('RES Techs T15'!$AO25,0,MATCH(VLOOKUP('RES Veda input'!CC$3,'RES Assumptions T15'!$V$3:$W$35,2,FALSE),'RES Techs T15'!$G$3:$U$3,0)))</f>
        <v/>
      </c>
      <c r="CD25" s="9" t="str">
        <f ca="1">IF(OFFSET('RES Techs T15'!$AO25,0,MATCH(VLOOKUP('RES Veda input'!CD$3,'RES Assumptions T15'!$V$3:$W$35,2,FALSE),'RES Techs T15'!$G$3:$U$3,0))=0,"",OFFSET('RES Techs T15'!$AO25,0,MATCH(VLOOKUP('RES Veda input'!CD$3,'RES Assumptions T15'!$V$3:$W$35,2,FALSE),'RES Techs T15'!$G$3:$U$3,0)))</f>
        <v/>
      </c>
      <c r="CE25" s="9" t="str">
        <f ca="1">IF(OFFSET('RES Techs T15'!$AO25,0,MATCH(VLOOKUP('RES Veda input'!CE$3,'RES Assumptions T15'!$V$3:$W$35,2,FALSE),'RES Techs T15'!$G$3:$U$3,0))=0,"",OFFSET('RES Techs T15'!$AO25,0,MATCH(VLOOKUP('RES Veda input'!CE$3,'RES Assumptions T15'!$V$3:$W$35,2,FALSE),'RES Techs T15'!$G$3:$U$3,0)))</f>
        <v/>
      </c>
      <c r="CF25" s="9" t="str">
        <f ca="1">IF(OFFSET('RES Techs T15'!$AO25,0,MATCH(VLOOKUP('RES Veda input'!CF$3,'RES Assumptions T15'!$V$3:$W$35,2,FALSE),'RES Techs T15'!$G$3:$U$3,0))=0,"",OFFSET('RES Techs T15'!$AO25,0,MATCH(VLOOKUP('RES Veda input'!CF$3,'RES Assumptions T15'!$V$3:$W$35,2,FALSE),'RES Techs T15'!$G$3:$U$3,0)))</f>
        <v/>
      </c>
      <c r="CG25" s="9" t="str">
        <f ca="1">IF(OFFSET('RES Techs T15'!$AO25,0,MATCH(VLOOKUP('RES Veda input'!CG$3,'RES Assumptions T15'!$V$3:$W$35,2,FALSE),'RES Techs T15'!$G$3:$U$3,0))=0,"",OFFSET('RES Techs T15'!$AO25,0,MATCH(VLOOKUP('RES Veda input'!CG$3,'RES Assumptions T15'!$V$3:$W$35,2,FALSE),'RES Techs T15'!$G$3:$U$3,0)))</f>
        <v/>
      </c>
      <c r="CH25" s="9" t="str">
        <f ca="1">IF(OFFSET('RES Techs T15'!$AO25,0,MATCH(VLOOKUP('RES Veda input'!CH$3,'RES Assumptions T15'!$V$3:$W$35,2,FALSE),'RES Techs T15'!$G$3:$U$3,0))=0,"",OFFSET('RES Techs T15'!$AO25,0,MATCH(VLOOKUP('RES Veda input'!CH$3,'RES Assumptions T15'!$V$3:$W$35,2,FALSE),'RES Techs T15'!$G$3:$U$3,0)))</f>
        <v/>
      </c>
      <c r="CI25" s="9" t="str">
        <f ca="1">IF(OFFSET('RES Techs T15'!$AO25,0,MATCH(VLOOKUP('RES Veda input'!CI$3,'RES Assumptions T15'!$V$3:$W$35,2,FALSE),'RES Techs T15'!$G$3:$U$3,0))=0,"",OFFSET('RES Techs T15'!$AO25,0,MATCH(VLOOKUP('RES Veda input'!CI$3,'RES Assumptions T15'!$V$3:$W$35,2,FALSE),'RES Techs T15'!$G$3:$U$3,0)))</f>
        <v/>
      </c>
      <c r="CJ25" s="9">
        <f ca="1">IF(OFFSET('RES Techs T15'!$AO25,0,MATCH(VLOOKUP('RES Veda input'!CJ$3,'RES Assumptions T15'!$V$3:$W$35,2,FALSE),'RES Techs T15'!$G$3:$U$3,0))=0,"",OFFSET('RES Techs T15'!$AO25,0,MATCH(VLOOKUP('RES Veda input'!CJ$3,'RES Assumptions T15'!$V$3:$W$35,2,FALSE),'RES Techs T15'!$G$3:$U$3,0)))</f>
        <v>4.2</v>
      </c>
      <c r="CK25" s="9" t="str">
        <f ca="1">IF(OFFSET('RES Techs T15'!$AO25,0,MATCH(VLOOKUP('RES Veda input'!CK$3,'RES Assumptions T15'!$V$3:$W$35,2,FALSE),'RES Techs T15'!$G$3:$U$3,0))=0,"",OFFSET('RES Techs T15'!$AO25,0,MATCH(VLOOKUP('RES Veda input'!CK$3,'RES Assumptions T15'!$V$3:$W$35,2,FALSE),'RES Techs T15'!$G$3:$U$3,0)))</f>
        <v/>
      </c>
      <c r="CL25" s="9" t="str">
        <f ca="1">IF(OFFSET('RES Techs T15'!$AO25,0,MATCH(VLOOKUP('RES Veda input'!CL$3,'RES Assumptions T15'!$V$3:$W$35,2,FALSE),'RES Techs T15'!$G$3:$U$3,0))=0,"",OFFSET('RES Techs T15'!$AO25,0,MATCH(VLOOKUP('RES Veda input'!CL$3,'RES Assumptions T15'!$V$3:$W$35,2,FALSE),'RES Techs T15'!$G$3:$U$3,0)))</f>
        <v/>
      </c>
      <c r="CM25" s="9">
        <f ca="1">IF(OFFSET('RES Techs T15'!$AO25,0,MATCH(VLOOKUP('RES Veda input'!CM$3,'RES Assumptions T15'!$V$3:$W$35,2,FALSE),'RES Techs T15'!$G$3:$U$3,0))=0,"",OFFSET('RES Techs T15'!$AO25,0,MATCH(VLOOKUP('RES Veda input'!CM$3,'RES Assumptions T15'!$V$3:$W$35,2,FALSE),'RES Techs T15'!$G$3:$U$3,0)))</f>
        <v>3.6</v>
      </c>
      <c r="CN25" s="9">
        <f ca="1">IF(OFFSET('RES Techs T15'!$AO25,0,MATCH(VLOOKUP('RES Veda input'!CN$3,'RES Assumptions T15'!$V$3:$W$35,2,FALSE),'RES Techs T15'!$G$3:$U$3,0))=0,"",OFFSET('RES Techs T15'!$AO25,0,MATCH(VLOOKUP('RES Veda input'!CN$3,'RES Assumptions T15'!$V$3:$W$35,2,FALSE),'RES Techs T15'!$G$3:$U$3,0)))</f>
        <v>4.2</v>
      </c>
      <c r="CO25" s="9">
        <f ca="1">IF(OFFSET('RES Techs T15'!$AO25,0,MATCH(VLOOKUP('RES Veda input'!CO$3,'RES Assumptions T15'!$V$3:$W$35,2,FALSE),'RES Techs T15'!$G$3:$U$3,0))=0,"",OFFSET('RES Techs T15'!$AO25,0,MATCH(VLOOKUP('RES Veda input'!CO$3,'RES Assumptions T15'!$V$3:$W$35,2,FALSE),'RES Techs T15'!$G$3:$U$3,0)))</f>
        <v>4.8</v>
      </c>
      <c r="CP25" s="9">
        <f ca="1">IF(OFFSET('RES Techs T15'!$AO25,0,MATCH(VLOOKUP('RES Veda input'!CP$3,'RES Assumptions T15'!$V$3:$W$35,2,FALSE),'RES Techs T15'!$G$3:$U$3,0))=0,"",OFFSET('RES Techs T15'!$AO25,0,MATCH(VLOOKUP('RES Veda input'!CP$3,'RES Assumptions T15'!$V$3:$W$35,2,FALSE),'RES Techs T15'!$G$3:$U$3,0)))</f>
        <v>4.2</v>
      </c>
      <c r="CQ25" s="9" t="str">
        <f ca="1">IF(OFFSET('RES Techs T15'!$AO25,0,MATCH(VLOOKUP('RES Veda input'!CQ$3,'RES Assumptions T15'!$V$3:$W$35,2,FALSE),'RES Techs T15'!$G$3:$U$3,0))=0,"",OFFSET('RES Techs T15'!$AO25,0,MATCH(VLOOKUP('RES Veda input'!CQ$3,'RES Assumptions T15'!$V$3:$W$35,2,FALSE),'RES Techs T15'!$G$3:$U$3,0)))</f>
        <v/>
      </c>
      <c r="CR25" s="9" t="str">
        <f ca="1">IF(OFFSET('RES Techs T15'!$AO25,0,MATCH(VLOOKUP('RES Veda input'!CR$3,'RES Assumptions T15'!$V$3:$W$35,2,FALSE),'RES Techs T15'!$G$3:$U$3,0))=0,"",OFFSET('RES Techs T15'!$AO25,0,MATCH(VLOOKUP('RES Veda input'!CR$3,'RES Assumptions T15'!$V$3:$W$35,2,FALSE),'RES Techs T15'!$G$3:$U$3,0)))</f>
        <v/>
      </c>
      <c r="CS25" s="9">
        <f ca="1">IF(OFFSET('RES Techs T15'!$AO25,0,MATCH(VLOOKUP('RES Veda input'!CS$3,'RES Assumptions T15'!$V$3:$W$35,2,FALSE),'RES Techs T15'!$G$3:$U$3,0))=0,"",OFFSET('RES Techs T15'!$AO25,0,MATCH(VLOOKUP('RES Veda input'!CS$3,'RES Assumptions T15'!$V$3:$W$35,2,FALSE),'RES Techs T15'!$G$3:$U$3,0)))</f>
        <v>4.2</v>
      </c>
      <c r="CT25" s="9" t="str">
        <f ca="1">IF(OFFSET('RES Techs T15'!$AO25,0,MATCH(VLOOKUP('RES Veda input'!CT$3,'RES Assumptions T15'!$V$3:$W$35,2,FALSE),'RES Techs T15'!$G$3:$U$3,0))=0,"",OFFSET('RES Techs T15'!$AO25,0,MATCH(VLOOKUP('RES Veda input'!CT$3,'RES Assumptions T15'!$V$3:$W$35,2,FALSE),'RES Techs T15'!$G$3:$U$3,0)))</f>
        <v/>
      </c>
      <c r="CU25" s="9" t="str">
        <f ca="1">IF(OFFSET('RES Techs T15'!$AO25,0,MATCH(VLOOKUP('RES Veda input'!CU$3,'RES Assumptions T15'!$V$3:$W$35,2,FALSE),'RES Techs T15'!$G$3:$U$3,0))=0,"",OFFSET('RES Techs T15'!$AO25,0,MATCH(VLOOKUP('RES Veda input'!CU$3,'RES Assumptions T15'!$V$3:$W$35,2,FALSE),'RES Techs T15'!$G$3:$U$3,0)))</f>
        <v/>
      </c>
      <c r="CV25" s="9">
        <f ca="1">IF(OFFSET('RES Techs T15'!$AO25,0,MATCH(VLOOKUP('RES Veda input'!CV$3,'RES Assumptions T15'!$V$3:$W$35,2,FALSE),'RES Techs T15'!$G$3:$U$3,0))=0,"",OFFSET('RES Techs T15'!$AO25,0,MATCH(VLOOKUP('RES Veda input'!CV$3,'RES Assumptions T15'!$V$3:$W$35,2,FALSE),'RES Techs T15'!$G$3:$U$3,0)))</f>
        <v>3</v>
      </c>
      <c r="CW25" s="9">
        <f ca="1">IF(OFFSET('RES Techs T15'!$AO25,0,MATCH(VLOOKUP('RES Veda input'!CW$3,'RES Assumptions T15'!$V$3:$W$35,2,FALSE),'RES Techs T15'!$G$3:$U$3,0))=0,"",OFFSET('RES Techs T15'!$AO25,0,MATCH(VLOOKUP('RES Veda input'!CW$3,'RES Assumptions T15'!$V$3:$W$35,2,FALSE),'RES Techs T15'!$G$3:$U$3,0)))</f>
        <v>3</v>
      </c>
      <c r="CY25" s="8" t="str">
        <f t="shared" si="63"/>
        <v>RSHNHP000</v>
      </c>
      <c r="CZ25" s="10">
        <f ca="1">ROUND('RES Assumptions'!E108*'RES Veda input'!G25/'RES Veda input'!AM25,3)</f>
        <v>7.0000000000000001E-3</v>
      </c>
      <c r="DA25" s="10">
        <f ca="1">ROUND('RES Assumptions'!F108*'RES Veda input'!H25/'RES Veda input'!AN25,3)</f>
        <v>0</v>
      </c>
      <c r="DB25" s="10">
        <f ca="1">ROUND('RES Assumptions'!G108*'RES Veda input'!I25/'RES Veda input'!AO25,3)</f>
        <v>1E-3</v>
      </c>
      <c r="DC25" s="10">
        <f ca="1">ROUND('RES Assumptions'!H108*'RES Veda input'!J25/'RES Veda input'!AP25,3)</f>
        <v>4.0739999999999998</v>
      </c>
      <c r="DD25" s="10">
        <f ca="1">ROUND('RES Assumptions'!I108*'RES Veda input'!K25/'RES Veda input'!AQ25,3)</f>
        <v>68.745999999999995</v>
      </c>
      <c r="DE25" s="10">
        <f ca="1">ROUND('RES Assumptions'!J108*'RES Veda input'!L25/'RES Veda input'!AR25,3)</f>
        <v>0</v>
      </c>
      <c r="DF25" s="10">
        <f ca="1">ROUND('RES Assumptions'!K108*'RES Veda input'!M25/'RES Veda input'!AS25,3)</f>
        <v>0.83599999999999997</v>
      </c>
      <c r="DG25" s="10">
        <f ca="1">ROUND('RES Assumptions'!L108*'RES Veda input'!N25/'RES Veda input'!AT25,3)</f>
        <v>0</v>
      </c>
      <c r="DH25" s="10">
        <f ca="1">ROUND('RES Assumptions'!M108*'RES Veda input'!O25/'RES Veda input'!AU25,3)</f>
        <v>159.51499999999999</v>
      </c>
      <c r="DI25" s="10">
        <f ca="1">ROUND('RES Assumptions'!N108*'RES Veda input'!P25/'RES Veda input'!AV25,3)</f>
        <v>0</v>
      </c>
      <c r="DJ25" s="10">
        <f ca="1">ROUND('RES Assumptions'!O108*'RES Veda input'!Q25/'RES Veda input'!AW25,3)</f>
        <v>2.2370000000000001</v>
      </c>
      <c r="DK25" s="10">
        <f ca="1">ROUND('RES Assumptions'!P108*'RES Veda input'!R25/'RES Veda input'!AX25,3)</f>
        <v>2.2989999999999999</v>
      </c>
      <c r="DL25" s="10">
        <f ca="1">ROUND('RES Assumptions'!Q108*'RES Veda input'!S25/'RES Veda input'!AY25,3)</f>
        <v>34.712000000000003</v>
      </c>
      <c r="DM25" s="10">
        <f ca="1">ROUND('RES Assumptions'!R108*'RES Veda input'!T25/'RES Veda input'!AZ25,3)</f>
        <v>53.671999999999997</v>
      </c>
      <c r="DN25" s="10">
        <f ca="1">ROUND('RES Assumptions'!S108*'RES Veda input'!U25/'RES Veda input'!BA25,3)</f>
        <v>1.6439999999999999</v>
      </c>
      <c r="DO25" s="10">
        <f ca="1">ROUND('RES Assumptions'!T108*'RES Veda input'!V25/'RES Veda input'!BB25,3)</f>
        <v>12.162000000000001</v>
      </c>
      <c r="DP25" s="10">
        <f ca="1">ROUND('RES Assumptions'!U108*'RES Veda input'!W25/'RES Veda input'!BC25,3)</f>
        <v>5.915</v>
      </c>
      <c r="DQ25" s="10">
        <f ca="1">ROUND('RES Assumptions'!V108*'RES Veda input'!X25/'RES Veda input'!BD25,3)</f>
        <v>36.936999999999998</v>
      </c>
      <c r="DR25" s="10">
        <f ca="1">ROUND('RES Assumptions'!W108*'RES Veda input'!Y25/'RES Veda input'!BE25,3)</f>
        <v>73.692999999999998</v>
      </c>
      <c r="DS25" s="10">
        <f ca="1">ROUND('RES Assumptions'!X108*'RES Veda input'!Z25/'RES Veda input'!BF25,3)</f>
        <v>0</v>
      </c>
      <c r="DT25" s="10">
        <f ca="1">ROUND('RES Assumptions'!Y108*'RES Veda input'!AA25/'RES Veda input'!BG25,3)</f>
        <v>0</v>
      </c>
      <c r="DU25" s="10">
        <f ca="1">ROUND('RES Assumptions'!Z108*'RES Veda input'!AB25/'RES Veda input'!BH25,3)</f>
        <v>1E-3</v>
      </c>
      <c r="DV25" s="10">
        <f ca="1">ROUND('RES Assumptions'!AA108*'RES Veda input'!AC25/'RES Veda input'!BI25,3)</f>
        <v>11.17</v>
      </c>
      <c r="DW25" s="10">
        <f ca="1">ROUND('RES Assumptions'!AB108*'RES Veda input'!AD25/'RES Veda input'!BJ25,3)</f>
        <v>5.0000000000000001E-3</v>
      </c>
      <c r="DX25" s="10">
        <f ca="1">ROUND('RES Assumptions'!AC108*'RES Veda input'!AE25/'RES Veda input'!BK25,3)</f>
        <v>17.983000000000001</v>
      </c>
      <c r="DY25" s="10">
        <f ca="1">ROUND('RES Assumptions'!AD108*'RES Veda input'!AF25/'RES Veda input'!BL25,3)</f>
        <v>0</v>
      </c>
      <c r="DZ25" s="10">
        <f ca="1">ROUND('RES Assumptions'!AE108*'RES Veda input'!AG25/'RES Veda input'!BM25,3)</f>
        <v>0</v>
      </c>
      <c r="EA25" s="10">
        <f ca="1">ROUND('RES Assumptions'!AF108*'RES Veda input'!AH25/'RES Veda input'!BN25,3)</f>
        <v>74.177999999999997</v>
      </c>
      <c r="EB25" s="10">
        <f ca="1">ROUND('RES Assumptions'!AG108*'RES Veda input'!AI25/'RES Veda input'!BO25,3)</f>
        <v>6.1349999999999998</v>
      </c>
      <c r="EC25" s="10">
        <f ca="1">ROUND('RES Assumptions'!AH108*'RES Veda input'!AJ25/'RES Veda input'!BP25,3)</f>
        <v>0</v>
      </c>
      <c r="ED25">
        <v>15</v>
      </c>
      <c r="EG25" t="s">
        <v>281</v>
      </c>
      <c r="EH25" t="str">
        <f t="shared" si="64"/>
        <v>RSHNHP000</v>
      </c>
      <c r="EJ25" t="s">
        <v>282</v>
      </c>
      <c r="EK25" t="s">
        <v>283</v>
      </c>
    </row>
    <row r="26" spans="1:141" x14ac:dyDescent="0.45">
      <c r="A26" s="37" t="str">
        <f>'RES Assumptions'!B109</f>
        <v>RHW</v>
      </c>
      <c r="B26" s="37" t="s">
        <v>136</v>
      </c>
      <c r="D26" s="51" t="s">
        <v>136</v>
      </c>
      <c r="E26" s="8" t="str">
        <f>'RES Assumptions'!A109</f>
        <v>RESBIO</v>
      </c>
      <c r="F26" s="8" t="str">
        <f>VLOOKUP(A26,'RES Assumptions'!$AN$87:$AO$97,2,FALSE)</f>
        <v>RHW</v>
      </c>
      <c r="G26" s="9">
        <f ca="1">OFFSET('RES Techs T15'!$F26,0,MATCH(VLOOKUP('RES Veda input'!G$3,'RES Assumptions T15'!$V$3:$W$35,2,FALSE),'RES Techs T15'!$G$3:$U$3,0))</f>
        <v>0.15</v>
      </c>
      <c r="H26" s="9">
        <f ca="1">OFFSET('RES Techs T15'!$F26,0,MATCH(VLOOKUP('RES Veda input'!H$3,'RES Assumptions T15'!$V$3:$W$35,2,FALSE),'RES Techs T15'!$G$3:$U$3,0))</f>
        <v>0.15</v>
      </c>
      <c r="I26" s="9">
        <f ca="1">OFFSET('RES Techs T15'!$F26,0,MATCH(VLOOKUP('RES Veda input'!I$3,'RES Assumptions T15'!$V$3:$W$35,2,FALSE),'RES Techs T15'!$G$3:$U$3,0))</f>
        <v>0.15</v>
      </c>
      <c r="J26" s="9">
        <f ca="1">OFFSET('RES Techs T15'!$F26,0,MATCH(VLOOKUP('RES Veda input'!J$3,'RES Assumptions T15'!$V$3:$W$35,2,FALSE),'RES Techs T15'!$G$3:$U$3,0))</f>
        <v>0.15</v>
      </c>
      <c r="K26" s="9">
        <f ca="1">OFFSET('RES Techs T15'!$F26,0,MATCH(VLOOKUP('RES Veda input'!K$3,'RES Assumptions T15'!$V$3:$W$35,2,FALSE),'RES Techs T15'!$G$3:$U$3,0))</f>
        <v>0.15</v>
      </c>
      <c r="L26" s="9">
        <f ca="1">OFFSET('RES Techs T15'!$F26,0,MATCH(VLOOKUP('RES Veda input'!L$3,'RES Assumptions T15'!$V$3:$W$35,2,FALSE),'RES Techs T15'!$G$3:$U$3,0))</f>
        <v>0.15</v>
      </c>
      <c r="M26" s="9">
        <f ca="1">OFFSET('RES Techs T15'!$F26,0,MATCH(VLOOKUP('RES Veda input'!M$3,'RES Assumptions T15'!$V$3:$W$35,2,FALSE),'RES Techs T15'!$G$3:$U$3,0))</f>
        <v>0.15</v>
      </c>
      <c r="N26" s="9">
        <f ca="1">OFFSET('RES Techs T15'!$F26,0,MATCH(VLOOKUP('RES Veda input'!N$3,'RES Assumptions T15'!$V$3:$W$35,2,FALSE),'RES Techs T15'!$G$3:$U$3,0))</f>
        <v>0.15</v>
      </c>
      <c r="O26" s="9">
        <f ca="1">OFFSET('RES Techs T15'!$F26,0,MATCH(VLOOKUP('RES Veda input'!O$3,'RES Assumptions T15'!$V$3:$W$35,2,FALSE),'RES Techs T15'!$G$3:$U$3,0))</f>
        <v>0.15</v>
      </c>
      <c r="P26" s="9">
        <f ca="1">OFFSET('RES Techs T15'!$F26,0,MATCH(VLOOKUP('RES Veda input'!P$3,'RES Assumptions T15'!$V$3:$W$35,2,FALSE),'RES Techs T15'!$G$3:$U$3,0))</f>
        <v>0.15</v>
      </c>
      <c r="Q26" s="9">
        <f ca="1">OFFSET('RES Techs T15'!$F26,0,MATCH(VLOOKUP('RES Veda input'!Q$3,'RES Assumptions T15'!$V$3:$W$35,2,FALSE),'RES Techs T15'!$G$3:$U$3,0))</f>
        <v>0.15</v>
      </c>
      <c r="R26" s="9">
        <f ca="1">OFFSET('RES Techs T15'!$F26,0,MATCH(VLOOKUP('RES Veda input'!R$3,'RES Assumptions T15'!$V$3:$W$35,2,FALSE),'RES Techs T15'!$G$3:$U$3,0))</f>
        <v>0.15</v>
      </c>
      <c r="S26" s="9">
        <f ca="1">OFFSET('RES Techs T15'!$F26,0,MATCH(VLOOKUP('RES Veda input'!S$3,'RES Assumptions T15'!$V$3:$W$35,2,FALSE),'RES Techs T15'!$G$3:$U$3,0))</f>
        <v>0.15</v>
      </c>
      <c r="T26" s="9">
        <f ca="1">OFFSET('RES Techs T15'!$F26,0,MATCH(VLOOKUP('RES Veda input'!T$3,'RES Assumptions T15'!$V$3:$W$35,2,FALSE),'RES Techs T15'!$G$3:$U$3,0))</f>
        <v>0.15</v>
      </c>
      <c r="U26" s="9">
        <f ca="1">OFFSET('RES Techs T15'!$F26,0,MATCH(VLOOKUP('RES Veda input'!U$3,'RES Assumptions T15'!$V$3:$W$35,2,FALSE),'RES Techs T15'!$G$3:$U$3,0))</f>
        <v>0.15</v>
      </c>
      <c r="V26" s="9">
        <f ca="1">OFFSET('RES Techs T15'!$F26,0,MATCH(VLOOKUP('RES Veda input'!V$3,'RES Assumptions T15'!$V$3:$W$35,2,FALSE),'RES Techs T15'!$G$3:$U$3,0))</f>
        <v>0.15</v>
      </c>
      <c r="W26" s="9">
        <f ca="1">OFFSET('RES Techs T15'!$F26,0,MATCH(VLOOKUP('RES Veda input'!W$3,'RES Assumptions T15'!$V$3:$W$35,2,FALSE),'RES Techs T15'!$G$3:$U$3,0))</f>
        <v>0.15</v>
      </c>
      <c r="X26" s="9">
        <f ca="1">OFFSET('RES Techs T15'!$F26,0,MATCH(VLOOKUP('RES Veda input'!X$3,'RES Assumptions T15'!$V$3:$W$35,2,FALSE),'RES Techs T15'!$G$3:$U$3,0))</f>
        <v>0.15</v>
      </c>
      <c r="Y26" s="9">
        <f ca="1">OFFSET('RES Techs T15'!$F26,0,MATCH(VLOOKUP('RES Veda input'!Y$3,'RES Assumptions T15'!$V$3:$W$35,2,FALSE),'RES Techs T15'!$G$3:$U$3,0))</f>
        <v>0.15</v>
      </c>
      <c r="Z26" s="9">
        <f ca="1">OFFSET('RES Techs T15'!$F26,0,MATCH(VLOOKUP('RES Veda input'!Z$3,'RES Assumptions T15'!$V$3:$W$35,2,FALSE),'RES Techs T15'!$G$3:$U$3,0))</f>
        <v>0.15</v>
      </c>
      <c r="AA26" s="9">
        <f ca="1">OFFSET('RES Techs T15'!$F26,0,MATCH(VLOOKUP('RES Veda input'!AA$3,'RES Assumptions T15'!$V$3:$W$35,2,FALSE),'RES Techs T15'!$G$3:$U$3,0))</f>
        <v>0.15</v>
      </c>
      <c r="AB26" s="9">
        <f ca="1">OFFSET('RES Techs T15'!$F26,0,MATCH(VLOOKUP('RES Veda input'!AB$3,'RES Assumptions T15'!$V$3:$W$35,2,FALSE),'RES Techs T15'!$G$3:$U$3,0))</f>
        <v>0.15</v>
      </c>
      <c r="AC26" s="9">
        <f ca="1">OFFSET('RES Techs T15'!$F26,0,MATCH(VLOOKUP('RES Veda input'!AC$3,'RES Assumptions T15'!$V$3:$W$35,2,FALSE),'RES Techs T15'!$G$3:$U$3,0))</f>
        <v>0.15</v>
      </c>
      <c r="AD26" s="9">
        <f ca="1">OFFSET('RES Techs T15'!$F26,0,MATCH(VLOOKUP('RES Veda input'!AD$3,'RES Assumptions T15'!$V$3:$W$35,2,FALSE),'RES Techs T15'!$G$3:$U$3,0))</f>
        <v>0.15</v>
      </c>
      <c r="AE26" s="9">
        <f ca="1">OFFSET('RES Techs T15'!$F26,0,MATCH(VLOOKUP('RES Veda input'!AE$3,'RES Assumptions T15'!$V$3:$W$35,2,FALSE),'RES Techs T15'!$G$3:$U$3,0))</f>
        <v>0.15</v>
      </c>
      <c r="AF26" s="9">
        <f ca="1">OFFSET('RES Techs T15'!$F26,0,MATCH(VLOOKUP('RES Veda input'!AF$3,'RES Assumptions T15'!$V$3:$W$35,2,FALSE),'RES Techs T15'!$G$3:$U$3,0))</f>
        <v>0.15</v>
      </c>
      <c r="AG26" s="9">
        <f ca="1">OFFSET('RES Techs T15'!$F26,0,MATCH(VLOOKUP('RES Veda input'!AG$3,'RES Assumptions T15'!$V$3:$W$35,2,FALSE),'RES Techs T15'!$G$3:$U$3,0))</f>
        <v>0.15</v>
      </c>
      <c r="AH26" s="9">
        <f ca="1">OFFSET('RES Techs T15'!$F26,0,MATCH(VLOOKUP('RES Veda input'!AH$3,'RES Assumptions T15'!$V$3:$W$35,2,FALSE),'RES Techs T15'!$G$3:$U$3,0))</f>
        <v>0.15</v>
      </c>
      <c r="AI26" s="9">
        <f ca="1">OFFSET('RES Techs T15'!$F26,0,MATCH(VLOOKUP('RES Veda input'!AI$3,'RES Assumptions T15'!$V$3:$W$35,2,FALSE),'RES Techs T15'!$G$3:$U$3,0))</f>
        <v>0.15</v>
      </c>
      <c r="AJ26" s="9">
        <f ca="1">OFFSET('RES Techs T15'!$F26,0,MATCH(VLOOKUP('RES Veda input'!AJ$3,'RES Assumptions T15'!$V$3:$W$35,2,FALSE),'RES Techs T15'!$G$3:$U$3,0))</f>
        <v>0.15</v>
      </c>
      <c r="AL26" s="8" t="str">
        <f t="shared" si="60"/>
        <v>RHWBIO000</v>
      </c>
      <c r="AM26" s="9">
        <f ca="1">OFFSET('RES Techs T15'!$W26,0,MATCH(VLOOKUP('RES Veda input'!AM$3,'RES Assumptions T15'!$V$3:$W$35,2,FALSE),'RES Techs T15'!$G$3:$U$3,0))</f>
        <v>0.1</v>
      </c>
      <c r="AN26" s="9">
        <f ca="1">OFFSET('RES Techs T15'!$W26,0,MATCH(VLOOKUP('RES Veda input'!AN$3,'RES Assumptions T15'!$V$3:$W$35,2,FALSE),'RES Techs T15'!$G$3:$U$3,0))</f>
        <v>0.1</v>
      </c>
      <c r="AO26" s="9">
        <f ca="1">OFFSET('RES Techs T15'!$W26,0,MATCH(VLOOKUP('RES Veda input'!AO$3,'RES Assumptions T15'!$V$3:$W$35,2,FALSE),'RES Techs T15'!$G$3:$U$3,0))</f>
        <v>0.1</v>
      </c>
      <c r="AP26" s="9">
        <f ca="1">OFFSET('RES Techs T15'!$W26,0,MATCH(VLOOKUP('RES Veda input'!AP$3,'RES Assumptions T15'!$V$3:$W$35,2,FALSE),'RES Techs T15'!$G$3:$U$3,0))</f>
        <v>0.1</v>
      </c>
      <c r="AQ26" s="9">
        <f ca="1">OFFSET('RES Techs T15'!$W26,0,MATCH(VLOOKUP('RES Veda input'!AQ$3,'RES Assumptions T15'!$V$3:$W$35,2,FALSE),'RES Techs T15'!$G$3:$U$3,0))</f>
        <v>0.1</v>
      </c>
      <c r="AR26" s="9">
        <f ca="1">OFFSET('RES Techs T15'!$W26,0,MATCH(VLOOKUP('RES Veda input'!AR$3,'RES Assumptions T15'!$V$3:$W$35,2,FALSE),'RES Techs T15'!$G$3:$U$3,0))</f>
        <v>0.1</v>
      </c>
      <c r="AS26" s="9">
        <f ca="1">OFFSET('RES Techs T15'!$W26,0,MATCH(VLOOKUP('RES Veda input'!AS$3,'RES Assumptions T15'!$V$3:$W$35,2,FALSE),'RES Techs T15'!$G$3:$U$3,0))</f>
        <v>0.13</v>
      </c>
      <c r="AT26" s="9">
        <f ca="1">OFFSET('RES Techs T15'!$W26,0,MATCH(VLOOKUP('RES Veda input'!AT$3,'RES Assumptions T15'!$V$3:$W$35,2,FALSE),'RES Techs T15'!$G$3:$U$3,0))</f>
        <v>0.1</v>
      </c>
      <c r="AU26" s="9">
        <f ca="1">OFFSET('RES Techs T15'!$W26,0,MATCH(VLOOKUP('RES Veda input'!AU$3,'RES Assumptions T15'!$V$3:$W$35,2,FALSE),'RES Techs T15'!$G$3:$U$3,0))</f>
        <v>0.13</v>
      </c>
      <c r="AV26" s="9">
        <f ca="1">OFFSET('RES Techs T15'!$W26,0,MATCH(VLOOKUP('RES Veda input'!AV$3,'RES Assumptions T15'!$V$3:$W$35,2,FALSE),'RES Techs T15'!$G$3:$U$3,0))</f>
        <v>0.1</v>
      </c>
      <c r="AW26" s="9">
        <f ca="1">OFFSET('RES Techs T15'!$W26,0,MATCH(VLOOKUP('RES Veda input'!AW$3,'RES Assumptions T15'!$V$3:$W$35,2,FALSE),'RES Techs T15'!$G$3:$U$3,0))</f>
        <v>0.1</v>
      </c>
      <c r="AX26" s="9">
        <f ca="1">OFFSET('RES Techs T15'!$W26,0,MATCH(VLOOKUP('RES Veda input'!AX$3,'RES Assumptions T15'!$V$3:$W$35,2,FALSE),'RES Techs T15'!$G$3:$U$3,0))</f>
        <v>0.1</v>
      </c>
      <c r="AY26" s="9">
        <f ca="1">OFFSET('RES Techs T15'!$W26,0,MATCH(VLOOKUP('RES Veda input'!AY$3,'RES Assumptions T15'!$V$3:$W$35,2,FALSE),'RES Techs T15'!$G$3:$U$3,0))</f>
        <v>0.1</v>
      </c>
      <c r="AZ26" s="9">
        <f ca="1">OFFSET('RES Techs T15'!$W26,0,MATCH(VLOOKUP('RES Veda input'!AZ$3,'RES Assumptions T15'!$V$3:$W$35,2,FALSE),'RES Techs T15'!$G$3:$U$3,0))</f>
        <v>0.1</v>
      </c>
      <c r="BA26" s="9">
        <f ca="1">OFFSET('RES Techs T15'!$W26,0,MATCH(VLOOKUP('RES Veda input'!BA$3,'RES Assumptions T15'!$V$3:$W$35,2,FALSE),'RES Techs T15'!$G$3:$U$3,0))</f>
        <v>0.1</v>
      </c>
      <c r="BB26" s="9">
        <f ca="1">OFFSET('RES Techs T15'!$W26,0,MATCH(VLOOKUP('RES Veda input'!BB$3,'RES Assumptions T15'!$V$3:$W$35,2,FALSE),'RES Techs T15'!$G$3:$U$3,0))</f>
        <v>0.1</v>
      </c>
      <c r="BC26" s="9">
        <f ca="1">OFFSET('RES Techs T15'!$W26,0,MATCH(VLOOKUP('RES Veda input'!BC$3,'RES Assumptions T15'!$V$3:$W$35,2,FALSE),'RES Techs T15'!$G$3:$U$3,0))</f>
        <v>0.1</v>
      </c>
      <c r="BD26" s="9">
        <f ca="1">OFFSET('RES Techs T15'!$W26,0,MATCH(VLOOKUP('RES Veda input'!BD$3,'RES Assumptions T15'!$V$3:$W$35,2,FALSE),'RES Techs T15'!$G$3:$U$3,0))</f>
        <v>0.1</v>
      </c>
      <c r="BE26" s="9">
        <f ca="1">OFFSET('RES Techs T15'!$W26,0,MATCH(VLOOKUP('RES Veda input'!BE$3,'RES Assumptions T15'!$V$3:$W$35,2,FALSE),'RES Techs T15'!$G$3:$U$3,0))</f>
        <v>0.1</v>
      </c>
      <c r="BF26" s="9">
        <f ca="1">OFFSET('RES Techs T15'!$W26,0,MATCH(VLOOKUP('RES Veda input'!BF$3,'RES Assumptions T15'!$V$3:$W$35,2,FALSE),'RES Techs T15'!$G$3:$U$3,0))</f>
        <v>0.1</v>
      </c>
      <c r="BG26" s="9">
        <f ca="1">OFFSET('RES Techs T15'!$W26,0,MATCH(VLOOKUP('RES Veda input'!BG$3,'RES Assumptions T15'!$V$3:$W$35,2,FALSE),'RES Techs T15'!$G$3:$U$3,0))</f>
        <v>0.1</v>
      </c>
      <c r="BH26" s="9">
        <f ca="1">OFFSET('RES Techs T15'!$W26,0,MATCH(VLOOKUP('RES Veda input'!BH$3,'RES Assumptions T15'!$V$3:$W$35,2,FALSE),'RES Techs T15'!$G$3:$U$3,0))</f>
        <v>0.1</v>
      </c>
      <c r="BI26" s="9">
        <f ca="1">OFFSET('RES Techs T15'!$W26,0,MATCH(VLOOKUP('RES Veda input'!BI$3,'RES Assumptions T15'!$V$3:$W$35,2,FALSE),'RES Techs T15'!$G$3:$U$3,0))</f>
        <v>0.1</v>
      </c>
      <c r="BJ26" s="9">
        <f ca="1">OFFSET('RES Techs T15'!$W26,0,MATCH(VLOOKUP('RES Veda input'!BJ$3,'RES Assumptions T15'!$V$3:$W$35,2,FALSE),'RES Techs T15'!$G$3:$U$3,0))</f>
        <v>0.1</v>
      </c>
      <c r="BK26" s="9">
        <f ca="1">OFFSET('RES Techs T15'!$W26,0,MATCH(VLOOKUP('RES Veda input'!BK$3,'RES Assumptions T15'!$V$3:$W$35,2,FALSE),'RES Techs T15'!$G$3:$U$3,0))</f>
        <v>0.1</v>
      </c>
      <c r="BL26" s="9">
        <f ca="1">OFFSET('RES Techs T15'!$W26,0,MATCH(VLOOKUP('RES Veda input'!BL$3,'RES Assumptions T15'!$V$3:$W$35,2,FALSE),'RES Techs T15'!$G$3:$U$3,0))</f>
        <v>0.1</v>
      </c>
      <c r="BM26" s="9">
        <f ca="1">OFFSET('RES Techs T15'!$W26,0,MATCH(VLOOKUP('RES Veda input'!BM$3,'RES Assumptions T15'!$V$3:$W$35,2,FALSE),'RES Techs T15'!$G$3:$U$3,0))</f>
        <v>0.1</v>
      </c>
      <c r="BN26" s="9">
        <f ca="1">OFFSET('RES Techs T15'!$W26,0,MATCH(VLOOKUP('RES Veda input'!BN$3,'RES Assumptions T15'!$V$3:$W$35,2,FALSE),'RES Techs T15'!$G$3:$U$3,0))</f>
        <v>0.1</v>
      </c>
      <c r="BO26" s="9">
        <f ca="1">OFFSET('RES Techs T15'!$W26,0,MATCH(VLOOKUP('RES Veda input'!BO$3,'RES Assumptions T15'!$V$3:$W$35,2,FALSE),'RES Techs T15'!$G$3:$U$3,0))</f>
        <v>0.1</v>
      </c>
      <c r="BP26" s="9">
        <f ca="1">OFFSET('RES Techs T15'!$W26,0,MATCH(VLOOKUP('RES Veda input'!BP$3,'RES Assumptions T15'!$V$3:$W$35,2,FALSE),'RES Techs T15'!$G$3:$U$3,0))</f>
        <v>0.1</v>
      </c>
      <c r="BR26" s="8" t="str">
        <f t="shared" si="61"/>
        <v>RHWBIO000</v>
      </c>
      <c r="BS26" s="9">
        <f t="shared" ca="1" si="62"/>
        <v>7.2</v>
      </c>
      <c r="BT26" s="9" t="str">
        <f ca="1">IF(OFFSET('RES Techs T15'!$AO26,0,MATCH(VLOOKUP('RES Veda input'!BT$3,'RES Assumptions T15'!$V$3:$W$35,2,FALSE),'RES Techs T15'!$G$3:$U$3,0))=0,"",OFFSET('RES Techs T15'!$AO26,0,MATCH(VLOOKUP('RES Veda input'!BT$3,'RES Assumptions T15'!$V$3:$W$35,2,FALSE),'RES Techs T15'!$G$3:$U$3,0)))</f>
        <v/>
      </c>
      <c r="BU26" s="9" t="str">
        <f ca="1">IF(OFFSET('RES Techs T15'!$AO26,0,MATCH(VLOOKUP('RES Veda input'!BU$3,'RES Assumptions T15'!$V$3:$W$35,2,FALSE),'RES Techs T15'!$G$3:$U$3,0))=0,"",OFFSET('RES Techs T15'!$AO26,0,MATCH(VLOOKUP('RES Veda input'!BU$3,'RES Assumptions T15'!$V$3:$W$35,2,FALSE),'RES Techs T15'!$G$3:$U$3,0)))</f>
        <v/>
      </c>
      <c r="BV26" s="9">
        <f ca="1">IF(OFFSET('RES Techs T15'!$AO26,0,MATCH(VLOOKUP('RES Veda input'!BV$3,'RES Assumptions T15'!$V$3:$W$35,2,FALSE),'RES Techs T15'!$G$3:$U$3,0))=0,"",OFFSET('RES Techs T15'!$AO26,0,MATCH(VLOOKUP('RES Veda input'!BV$3,'RES Assumptions T15'!$V$3:$W$35,2,FALSE),'RES Techs T15'!$G$3:$U$3,0)))</f>
        <v>8.4</v>
      </c>
      <c r="BW26" s="9" t="str">
        <f ca="1">IF(OFFSET('RES Techs T15'!$AO26,0,MATCH(VLOOKUP('RES Veda input'!BW$3,'RES Assumptions T15'!$V$3:$W$35,2,FALSE),'RES Techs T15'!$G$3:$U$3,0))=0,"",OFFSET('RES Techs T15'!$AO26,0,MATCH(VLOOKUP('RES Veda input'!BW$3,'RES Assumptions T15'!$V$3:$W$35,2,FALSE),'RES Techs T15'!$G$3:$U$3,0)))</f>
        <v/>
      </c>
      <c r="BX26" s="9">
        <f ca="1">IF(OFFSET('RES Techs T15'!$AO26,0,MATCH(VLOOKUP('RES Veda input'!BX$3,'RES Assumptions T15'!$V$3:$W$35,2,FALSE),'RES Techs T15'!$G$3:$U$3,0))=0,"",OFFSET('RES Techs T15'!$AO26,0,MATCH(VLOOKUP('RES Veda input'!BX$3,'RES Assumptions T15'!$V$3:$W$35,2,FALSE),'RES Techs T15'!$G$3:$U$3,0)))</f>
        <v>12</v>
      </c>
      <c r="BY26" s="9">
        <f ca="1">IF(OFFSET('RES Techs T15'!$AO26,0,MATCH(VLOOKUP('RES Veda input'!BY$3,'RES Assumptions T15'!$V$3:$W$35,2,FALSE),'RES Techs T15'!$G$3:$U$3,0))=0,"",OFFSET('RES Techs T15'!$AO26,0,MATCH(VLOOKUP('RES Veda input'!BY$3,'RES Assumptions T15'!$V$3:$W$35,2,FALSE),'RES Techs T15'!$G$3:$U$3,0)))</f>
        <v>7.2</v>
      </c>
      <c r="BZ26" s="9" t="str">
        <f ca="1">IF(OFFSET('RES Techs T15'!$AO26,0,MATCH(VLOOKUP('RES Veda input'!BZ$3,'RES Assumptions T15'!$V$3:$W$35,2,FALSE),'RES Techs T15'!$G$3:$U$3,0))=0,"",OFFSET('RES Techs T15'!$AO26,0,MATCH(VLOOKUP('RES Veda input'!BZ$3,'RES Assumptions T15'!$V$3:$W$35,2,FALSE),'RES Techs T15'!$G$3:$U$3,0)))</f>
        <v/>
      </c>
      <c r="CA26" s="9">
        <f ca="1">IF(OFFSET('RES Techs T15'!$AO26,0,MATCH(VLOOKUP('RES Veda input'!CA$3,'RES Assumptions T15'!$V$3:$W$35,2,FALSE),'RES Techs T15'!$G$3:$U$3,0))=0,"",OFFSET('RES Techs T15'!$AO26,0,MATCH(VLOOKUP('RES Veda input'!CA$3,'RES Assumptions T15'!$V$3:$W$35,2,FALSE),'RES Techs T15'!$G$3:$U$3,0)))</f>
        <v>8.4</v>
      </c>
      <c r="CB26" s="9" t="str">
        <f ca="1">IF(OFFSET('RES Techs T15'!$AO26,0,MATCH(VLOOKUP('RES Veda input'!CB$3,'RES Assumptions T15'!$V$3:$W$35,2,FALSE),'RES Techs T15'!$G$3:$U$3,0))=0,"",OFFSET('RES Techs T15'!$AO26,0,MATCH(VLOOKUP('RES Veda input'!CB$3,'RES Assumptions T15'!$V$3:$W$35,2,FALSE),'RES Techs T15'!$G$3:$U$3,0)))</f>
        <v/>
      </c>
      <c r="CC26" s="9" t="str">
        <f ca="1">IF(OFFSET('RES Techs T15'!$AO26,0,MATCH(VLOOKUP('RES Veda input'!CC$3,'RES Assumptions T15'!$V$3:$W$35,2,FALSE),'RES Techs T15'!$G$3:$U$3,0))=0,"",OFFSET('RES Techs T15'!$AO26,0,MATCH(VLOOKUP('RES Veda input'!CC$3,'RES Assumptions T15'!$V$3:$W$35,2,FALSE),'RES Techs T15'!$G$3:$U$3,0)))</f>
        <v/>
      </c>
      <c r="CD26" s="9" t="str">
        <f ca="1">IF(OFFSET('RES Techs T15'!$AO26,0,MATCH(VLOOKUP('RES Veda input'!CD$3,'RES Assumptions T15'!$V$3:$W$35,2,FALSE),'RES Techs T15'!$G$3:$U$3,0))=0,"",OFFSET('RES Techs T15'!$AO26,0,MATCH(VLOOKUP('RES Veda input'!CD$3,'RES Assumptions T15'!$V$3:$W$35,2,FALSE),'RES Techs T15'!$G$3:$U$3,0)))</f>
        <v/>
      </c>
      <c r="CE26" s="9" t="str">
        <f ca="1">IF(OFFSET('RES Techs T15'!$AO26,0,MATCH(VLOOKUP('RES Veda input'!CE$3,'RES Assumptions T15'!$V$3:$W$35,2,FALSE),'RES Techs T15'!$G$3:$U$3,0))=0,"",OFFSET('RES Techs T15'!$AO26,0,MATCH(VLOOKUP('RES Veda input'!CE$3,'RES Assumptions T15'!$V$3:$W$35,2,FALSE),'RES Techs T15'!$G$3:$U$3,0)))</f>
        <v/>
      </c>
      <c r="CF26" s="9" t="str">
        <f ca="1">IF(OFFSET('RES Techs T15'!$AO26,0,MATCH(VLOOKUP('RES Veda input'!CF$3,'RES Assumptions T15'!$V$3:$W$35,2,FALSE),'RES Techs T15'!$G$3:$U$3,0))=0,"",OFFSET('RES Techs T15'!$AO26,0,MATCH(VLOOKUP('RES Veda input'!CF$3,'RES Assumptions T15'!$V$3:$W$35,2,FALSE),'RES Techs T15'!$G$3:$U$3,0)))</f>
        <v/>
      </c>
      <c r="CG26" s="9" t="str">
        <f ca="1">IF(OFFSET('RES Techs T15'!$AO26,0,MATCH(VLOOKUP('RES Veda input'!CG$3,'RES Assumptions T15'!$V$3:$W$35,2,FALSE),'RES Techs T15'!$G$3:$U$3,0))=0,"",OFFSET('RES Techs T15'!$AO26,0,MATCH(VLOOKUP('RES Veda input'!CG$3,'RES Assumptions T15'!$V$3:$W$35,2,FALSE),'RES Techs T15'!$G$3:$U$3,0)))</f>
        <v/>
      </c>
      <c r="CH26" s="9" t="str">
        <f ca="1">IF(OFFSET('RES Techs T15'!$AO26,0,MATCH(VLOOKUP('RES Veda input'!CH$3,'RES Assumptions T15'!$V$3:$W$35,2,FALSE),'RES Techs T15'!$G$3:$U$3,0))=0,"",OFFSET('RES Techs T15'!$AO26,0,MATCH(VLOOKUP('RES Veda input'!CH$3,'RES Assumptions T15'!$V$3:$W$35,2,FALSE),'RES Techs T15'!$G$3:$U$3,0)))</f>
        <v/>
      </c>
      <c r="CI26" s="9" t="str">
        <f ca="1">IF(OFFSET('RES Techs T15'!$AO26,0,MATCH(VLOOKUP('RES Veda input'!CI$3,'RES Assumptions T15'!$V$3:$W$35,2,FALSE),'RES Techs T15'!$G$3:$U$3,0))=0,"",OFFSET('RES Techs T15'!$AO26,0,MATCH(VLOOKUP('RES Veda input'!CI$3,'RES Assumptions T15'!$V$3:$W$35,2,FALSE),'RES Techs T15'!$G$3:$U$3,0)))</f>
        <v/>
      </c>
      <c r="CJ26" s="9">
        <f ca="1">IF(OFFSET('RES Techs T15'!$AO26,0,MATCH(VLOOKUP('RES Veda input'!CJ$3,'RES Assumptions T15'!$V$3:$W$35,2,FALSE),'RES Techs T15'!$G$3:$U$3,0))=0,"",OFFSET('RES Techs T15'!$AO26,0,MATCH(VLOOKUP('RES Veda input'!CJ$3,'RES Assumptions T15'!$V$3:$W$35,2,FALSE),'RES Techs T15'!$G$3:$U$3,0)))</f>
        <v>8.4</v>
      </c>
      <c r="CK26" s="9" t="str">
        <f ca="1">IF(OFFSET('RES Techs T15'!$AO26,0,MATCH(VLOOKUP('RES Veda input'!CK$3,'RES Assumptions T15'!$V$3:$W$35,2,FALSE),'RES Techs T15'!$G$3:$U$3,0))=0,"",OFFSET('RES Techs T15'!$AO26,0,MATCH(VLOOKUP('RES Veda input'!CK$3,'RES Assumptions T15'!$V$3:$W$35,2,FALSE),'RES Techs T15'!$G$3:$U$3,0)))</f>
        <v/>
      </c>
      <c r="CL26" s="9" t="str">
        <f ca="1">IF(OFFSET('RES Techs T15'!$AO26,0,MATCH(VLOOKUP('RES Veda input'!CL$3,'RES Assumptions T15'!$V$3:$W$35,2,FALSE),'RES Techs T15'!$G$3:$U$3,0))=0,"",OFFSET('RES Techs T15'!$AO26,0,MATCH(VLOOKUP('RES Veda input'!CL$3,'RES Assumptions T15'!$V$3:$W$35,2,FALSE),'RES Techs T15'!$G$3:$U$3,0)))</f>
        <v/>
      </c>
      <c r="CM26" s="9">
        <f ca="1">IF(OFFSET('RES Techs T15'!$AO26,0,MATCH(VLOOKUP('RES Veda input'!CM$3,'RES Assumptions T15'!$V$3:$W$35,2,FALSE),'RES Techs T15'!$G$3:$U$3,0))=0,"",OFFSET('RES Techs T15'!$AO26,0,MATCH(VLOOKUP('RES Veda input'!CM$3,'RES Assumptions T15'!$V$3:$W$35,2,FALSE),'RES Techs T15'!$G$3:$U$3,0)))</f>
        <v>7.2</v>
      </c>
      <c r="CN26" s="9">
        <f ca="1">IF(OFFSET('RES Techs T15'!$AO26,0,MATCH(VLOOKUP('RES Veda input'!CN$3,'RES Assumptions T15'!$V$3:$W$35,2,FALSE),'RES Techs T15'!$G$3:$U$3,0))=0,"",OFFSET('RES Techs T15'!$AO26,0,MATCH(VLOOKUP('RES Veda input'!CN$3,'RES Assumptions T15'!$V$3:$W$35,2,FALSE),'RES Techs T15'!$G$3:$U$3,0)))</f>
        <v>8.4</v>
      </c>
      <c r="CO26" s="9">
        <f ca="1">IF(OFFSET('RES Techs T15'!$AO26,0,MATCH(VLOOKUP('RES Veda input'!CO$3,'RES Assumptions T15'!$V$3:$W$35,2,FALSE),'RES Techs T15'!$G$3:$U$3,0))=0,"",OFFSET('RES Techs T15'!$AO26,0,MATCH(VLOOKUP('RES Veda input'!CO$3,'RES Assumptions T15'!$V$3:$W$35,2,FALSE),'RES Techs T15'!$G$3:$U$3,0)))</f>
        <v>9.6</v>
      </c>
      <c r="CP26" s="9">
        <f ca="1">IF(OFFSET('RES Techs T15'!$AO26,0,MATCH(VLOOKUP('RES Veda input'!CP$3,'RES Assumptions T15'!$V$3:$W$35,2,FALSE),'RES Techs T15'!$G$3:$U$3,0))=0,"",OFFSET('RES Techs T15'!$AO26,0,MATCH(VLOOKUP('RES Veda input'!CP$3,'RES Assumptions T15'!$V$3:$W$35,2,FALSE),'RES Techs T15'!$G$3:$U$3,0)))</f>
        <v>8.4</v>
      </c>
      <c r="CQ26" s="9" t="str">
        <f ca="1">IF(OFFSET('RES Techs T15'!$AO26,0,MATCH(VLOOKUP('RES Veda input'!CQ$3,'RES Assumptions T15'!$V$3:$W$35,2,FALSE),'RES Techs T15'!$G$3:$U$3,0))=0,"",OFFSET('RES Techs T15'!$AO26,0,MATCH(VLOOKUP('RES Veda input'!CQ$3,'RES Assumptions T15'!$V$3:$W$35,2,FALSE),'RES Techs T15'!$G$3:$U$3,0)))</f>
        <v/>
      </c>
      <c r="CR26" s="9" t="str">
        <f ca="1">IF(OFFSET('RES Techs T15'!$AO26,0,MATCH(VLOOKUP('RES Veda input'!CR$3,'RES Assumptions T15'!$V$3:$W$35,2,FALSE),'RES Techs T15'!$G$3:$U$3,0))=0,"",OFFSET('RES Techs T15'!$AO26,0,MATCH(VLOOKUP('RES Veda input'!CR$3,'RES Assumptions T15'!$V$3:$W$35,2,FALSE),'RES Techs T15'!$G$3:$U$3,0)))</f>
        <v/>
      </c>
      <c r="CS26" s="9">
        <f ca="1">IF(OFFSET('RES Techs T15'!$AO26,0,MATCH(VLOOKUP('RES Veda input'!CS$3,'RES Assumptions T15'!$V$3:$W$35,2,FALSE),'RES Techs T15'!$G$3:$U$3,0))=0,"",OFFSET('RES Techs T15'!$AO26,0,MATCH(VLOOKUP('RES Veda input'!CS$3,'RES Assumptions T15'!$V$3:$W$35,2,FALSE),'RES Techs T15'!$G$3:$U$3,0)))</f>
        <v>8.4</v>
      </c>
      <c r="CT26" s="9" t="str">
        <f ca="1">IF(OFFSET('RES Techs T15'!$AO26,0,MATCH(VLOOKUP('RES Veda input'!CT$3,'RES Assumptions T15'!$V$3:$W$35,2,FALSE),'RES Techs T15'!$G$3:$U$3,0))=0,"",OFFSET('RES Techs T15'!$AO26,0,MATCH(VLOOKUP('RES Veda input'!CT$3,'RES Assumptions T15'!$V$3:$W$35,2,FALSE),'RES Techs T15'!$G$3:$U$3,0)))</f>
        <v/>
      </c>
      <c r="CU26" s="9" t="str">
        <f ca="1">IF(OFFSET('RES Techs T15'!$AO26,0,MATCH(VLOOKUP('RES Veda input'!CU$3,'RES Assumptions T15'!$V$3:$W$35,2,FALSE),'RES Techs T15'!$G$3:$U$3,0))=0,"",OFFSET('RES Techs T15'!$AO26,0,MATCH(VLOOKUP('RES Veda input'!CU$3,'RES Assumptions T15'!$V$3:$W$35,2,FALSE),'RES Techs T15'!$G$3:$U$3,0)))</f>
        <v/>
      </c>
      <c r="CV26" s="9">
        <f ca="1">IF(OFFSET('RES Techs T15'!$AO26,0,MATCH(VLOOKUP('RES Veda input'!CV$3,'RES Assumptions T15'!$V$3:$W$35,2,FALSE),'RES Techs T15'!$G$3:$U$3,0))=0,"",OFFSET('RES Techs T15'!$AO26,0,MATCH(VLOOKUP('RES Veda input'!CV$3,'RES Assumptions T15'!$V$3:$W$35,2,FALSE),'RES Techs T15'!$G$3:$U$3,0)))</f>
        <v>1</v>
      </c>
      <c r="CW26" s="9">
        <f ca="1">IF(OFFSET('RES Techs T15'!$AO26,0,MATCH(VLOOKUP('RES Veda input'!CW$3,'RES Assumptions T15'!$V$3:$W$35,2,FALSE),'RES Techs T15'!$G$3:$U$3,0))=0,"",OFFSET('RES Techs T15'!$AO26,0,MATCH(VLOOKUP('RES Veda input'!CW$3,'RES Assumptions T15'!$V$3:$W$35,2,FALSE),'RES Techs T15'!$G$3:$U$3,0)))</f>
        <v>1</v>
      </c>
      <c r="CY26" s="8" t="str">
        <f t="shared" si="63"/>
        <v>RHWBIO000</v>
      </c>
      <c r="CZ26" s="10">
        <f ca="1">ROUND('RES Assumptions'!E109*'RES Veda input'!G26/'RES Veda input'!AM26,3)</f>
        <v>39.936999999999998</v>
      </c>
      <c r="DA26" s="10">
        <f ca="1">ROUND('RES Assumptions'!F109*'RES Veda input'!H26/'RES Veda input'!AN26,3)</f>
        <v>3374.3969999999999</v>
      </c>
      <c r="DB26" s="10">
        <f ca="1">ROUND('RES Assumptions'!G109*'RES Veda input'!I26/'RES Veda input'!AO26,3)</f>
        <v>13.148999999999999</v>
      </c>
      <c r="DC26" s="10">
        <f ca="1">ROUND('RES Assumptions'!H109*'RES Veda input'!J26/'RES Veda input'!AP26,3)</f>
        <v>1.337</v>
      </c>
      <c r="DD26" s="10">
        <f ca="1">ROUND('RES Assumptions'!I109*'RES Veda input'!K26/'RES Veda input'!AQ26,3)</f>
        <v>0</v>
      </c>
      <c r="DE26" s="10">
        <f ca="1">ROUND('RES Assumptions'!J109*'RES Veda input'!L26/'RES Veda input'!AR26,3)</f>
        <v>0</v>
      </c>
      <c r="DF26" s="10">
        <f ca="1">ROUND('RES Assumptions'!K109*'RES Veda input'!M26/'RES Veda input'!AS26,3)</f>
        <v>0.22800000000000001</v>
      </c>
      <c r="DG26" s="10">
        <f ca="1">ROUND('RES Assumptions'!L109*'RES Veda input'!N26/'RES Veda input'!AT26,3)</f>
        <v>46.390999999999998</v>
      </c>
      <c r="DH26" s="10">
        <f ca="1">ROUND('RES Assumptions'!M109*'RES Veda input'!O26/'RES Veda input'!AU26,3)</f>
        <v>4.524</v>
      </c>
      <c r="DI26" s="10">
        <f ca="1">ROUND('RES Assumptions'!N109*'RES Veda input'!P26/'RES Veda input'!AV26,3)</f>
        <v>1102.3340000000001</v>
      </c>
      <c r="DJ26" s="10">
        <f ca="1">ROUND('RES Assumptions'!O109*'RES Veda input'!Q26/'RES Veda input'!AW26,3)</f>
        <v>11.326000000000001</v>
      </c>
      <c r="DK26" s="10">
        <f ca="1">ROUND('RES Assumptions'!P109*'RES Veda input'!R26/'RES Veda input'!AX26,3)</f>
        <v>38.295000000000002</v>
      </c>
      <c r="DL26" s="10">
        <f ca="1">ROUND('RES Assumptions'!Q109*'RES Veda input'!S26/'RES Veda input'!AY26,3)</f>
        <v>3.96</v>
      </c>
      <c r="DM26" s="10">
        <f ca="1">ROUND('RES Assumptions'!R109*'RES Veda input'!T26/'RES Veda input'!AZ26,3)</f>
        <v>27.565000000000001</v>
      </c>
      <c r="DN26" s="10">
        <f ca="1">ROUND('RES Assumptions'!S109*'RES Veda input'!U26/'RES Veda input'!BA26,3)</f>
        <v>22.643999999999998</v>
      </c>
      <c r="DO26" s="10">
        <f ca="1">ROUND('RES Assumptions'!T109*'RES Veda input'!V26/'RES Veda input'!BB26,3)</f>
        <v>10.305999999999999</v>
      </c>
      <c r="DP26" s="10">
        <f ca="1">ROUND('RES Assumptions'!U109*'RES Veda input'!W26/'RES Veda input'!BC26,3)</f>
        <v>32.764000000000003</v>
      </c>
      <c r="DQ26" s="10">
        <f ca="1">ROUND('RES Assumptions'!V109*'RES Veda input'!X26/'RES Veda input'!BD26,3)</f>
        <v>25.567</v>
      </c>
      <c r="DR26" s="10">
        <f ca="1">ROUND('RES Assumptions'!W109*'RES Veda input'!Y26/'RES Veda input'!BE26,3)</f>
        <v>24.358000000000001</v>
      </c>
      <c r="DS26" s="10">
        <f ca="1">ROUND('RES Assumptions'!X109*'RES Veda input'!Z26/'RES Veda input'!BF26,3)</f>
        <v>0</v>
      </c>
      <c r="DT26" s="10">
        <f ca="1">ROUND('RES Assumptions'!Y109*'RES Veda input'!AA26/'RES Veda input'!BG26,3)</f>
        <v>117.40600000000001</v>
      </c>
      <c r="DU26" s="10">
        <f ca="1">ROUND('RES Assumptions'!Z109*'RES Veda input'!AB26/'RES Veda input'!BH26,3)</f>
        <v>0</v>
      </c>
      <c r="DV26" s="10">
        <f ca="1">ROUND('RES Assumptions'!AA109*'RES Veda input'!AC26/'RES Veda input'!BI26,3)</f>
        <v>1.8560000000000001</v>
      </c>
      <c r="DW26" s="10">
        <f ca="1">ROUND('RES Assumptions'!AB109*'RES Veda input'!AD26/'RES Veda input'!BJ26,3)</f>
        <v>1.849</v>
      </c>
      <c r="DX26" s="10">
        <f ca="1">ROUND('RES Assumptions'!AC109*'RES Veda input'!AE26/'RES Veda input'!BK26,3)</f>
        <v>3.6749999999999998</v>
      </c>
      <c r="DY26" s="10">
        <f ca="1">ROUND('RES Assumptions'!AD109*'RES Veda input'!AF26/'RES Veda input'!BL26,3)</f>
        <v>3.3000000000000002E-2</v>
      </c>
      <c r="DZ26" s="10">
        <f ca="1">ROUND('RES Assumptions'!AE109*'RES Veda input'!AG26/'RES Veda input'!BM26,3)</f>
        <v>38.39</v>
      </c>
      <c r="EA26" s="10">
        <f ca="1">ROUND('RES Assumptions'!AF109*'RES Veda input'!AH26/'RES Veda input'!BN26,3)</f>
        <v>2.6269999999999998</v>
      </c>
      <c r="EB26" s="10">
        <f ca="1">ROUND('RES Assumptions'!AG109*'RES Veda input'!AI26/'RES Veda input'!BO26,3)</f>
        <v>0</v>
      </c>
      <c r="EC26" s="10">
        <f ca="1">ROUND('RES Assumptions'!AH109*'RES Veda input'!AJ26/'RES Veda input'!BP26,3)</f>
        <v>0</v>
      </c>
      <c r="ED26">
        <v>20</v>
      </c>
      <c r="EG26" t="s">
        <v>281</v>
      </c>
      <c r="EH26" t="str">
        <f t="shared" si="64"/>
        <v>RHWBIO000</v>
      </c>
      <c r="EJ26" t="s">
        <v>282</v>
      </c>
      <c r="EK26" t="s">
        <v>283</v>
      </c>
    </row>
    <row r="27" spans="1:141" x14ac:dyDescent="0.45">
      <c r="A27" s="37" t="str">
        <f>'RES Assumptions'!B110</f>
        <v>RHW</v>
      </c>
      <c r="B27" s="37" t="s">
        <v>137</v>
      </c>
      <c r="D27" s="51" t="s">
        <v>137</v>
      </c>
      <c r="E27" s="8" t="str">
        <f>'RES Assumptions'!A110</f>
        <v>RESCOA</v>
      </c>
      <c r="F27" s="8" t="str">
        <f>VLOOKUP(A27,'RES Assumptions'!$AN$87:$AO$97,2,FALSE)</f>
        <v>RHW</v>
      </c>
      <c r="G27" s="9">
        <f ca="1">OFFSET('RES Techs T15'!$F27,0,MATCH(VLOOKUP('RES Veda input'!G$3,'RES Assumptions T15'!$V$3:$W$35,2,FALSE),'RES Techs T15'!$G$3:$U$3,0))</f>
        <v>0.5</v>
      </c>
      <c r="H27" s="9">
        <f ca="1">OFFSET('RES Techs T15'!$F27,0,MATCH(VLOOKUP('RES Veda input'!H$3,'RES Assumptions T15'!$V$3:$W$35,2,FALSE),'RES Techs T15'!$G$3:$U$3,0))</f>
        <v>0.5</v>
      </c>
      <c r="I27" s="9">
        <f ca="1">OFFSET('RES Techs T15'!$F27,0,MATCH(VLOOKUP('RES Veda input'!I$3,'RES Assumptions T15'!$V$3:$W$35,2,FALSE),'RES Techs T15'!$G$3:$U$3,0))</f>
        <v>0.5</v>
      </c>
      <c r="J27" s="9">
        <f ca="1">OFFSET('RES Techs T15'!$F27,0,MATCH(VLOOKUP('RES Veda input'!J$3,'RES Assumptions T15'!$V$3:$W$35,2,FALSE),'RES Techs T15'!$G$3:$U$3,0))</f>
        <v>0.5</v>
      </c>
      <c r="K27" s="9">
        <f ca="1">OFFSET('RES Techs T15'!$F27,0,MATCH(VLOOKUP('RES Veda input'!K$3,'RES Assumptions T15'!$V$3:$W$35,2,FALSE),'RES Techs T15'!$G$3:$U$3,0))</f>
        <v>0.5</v>
      </c>
      <c r="L27" s="9">
        <f ca="1">OFFSET('RES Techs T15'!$F27,0,MATCH(VLOOKUP('RES Veda input'!L$3,'RES Assumptions T15'!$V$3:$W$35,2,FALSE),'RES Techs T15'!$G$3:$U$3,0))</f>
        <v>0.5</v>
      </c>
      <c r="M27" s="9">
        <f ca="1">OFFSET('RES Techs T15'!$F27,0,MATCH(VLOOKUP('RES Veda input'!M$3,'RES Assumptions T15'!$V$3:$W$35,2,FALSE),'RES Techs T15'!$G$3:$U$3,0))</f>
        <v>0.5</v>
      </c>
      <c r="N27" s="9">
        <f ca="1">OFFSET('RES Techs T15'!$F27,0,MATCH(VLOOKUP('RES Veda input'!N$3,'RES Assumptions T15'!$V$3:$W$35,2,FALSE),'RES Techs T15'!$G$3:$U$3,0))</f>
        <v>0.5</v>
      </c>
      <c r="O27" s="9">
        <f ca="1">OFFSET('RES Techs T15'!$F27,0,MATCH(VLOOKUP('RES Veda input'!O$3,'RES Assumptions T15'!$V$3:$W$35,2,FALSE),'RES Techs T15'!$G$3:$U$3,0))</f>
        <v>0.5</v>
      </c>
      <c r="P27" s="9">
        <f ca="1">OFFSET('RES Techs T15'!$F27,0,MATCH(VLOOKUP('RES Veda input'!P$3,'RES Assumptions T15'!$V$3:$W$35,2,FALSE),'RES Techs T15'!$G$3:$U$3,0))</f>
        <v>0.5</v>
      </c>
      <c r="Q27" s="9">
        <f ca="1">OFFSET('RES Techs T15'!$F27,0,MATCH(VLOOKUP('RES Veda input'!Q$3,'RES Assumptions T15'!$V$3:$W$35,2,FALSE),'RES Techs T15'!$G$3:$U$3,0))</f>
        <v>0.5</v>
      </c>
      <c r="R27" s="9">
        <f ca="1">OFFSET('RES Techs T15'!$F27,0,MATCH(VLOOKUP('RES Veda input'!R$3,'RES Assumptions T15'!$V$3:$W$35,2,FALSE),'RES Techs T15'!$G$3:$U$3,0))</f>
        <v>0.5</v>
      </c>
      <c r="S27" s="9">
        <f ca="1">OFFSET('RES Techs T15'!$F27,0,MATCH(VLOOKUP('RES Veda input'!S$3,'RES Assumptions T15'!$V$3:$W$35,2,FALSE),'RES Techs T15'!$G$3:$U$3,0))</f>
        <v>0.5</v>
      </c>
      <c r="T27" s="9">
        <f ca="1">OFFSET('RES Techs T15'!$F27,0,MATCH(VLOOKUP('RES Veda input'!T$3,'RES Assumptions T15'!$V$3:$W$35,2,FALSE),'RES Techs T15'!$G$3:$U$3,0))</f>
        <v>0.5</v>
      </c>
      <c r="U27" s="9">
        <f ca="1">OFFSET('RES Techs T15'!$F27,0,MATCH(VLOOKUP('RES Veda input'!U$3,'RES Assumptions T15'!$V$3:$W$35,2,FALSE),'RES Techs T15'!$G$3:$U$3,0))</f>
        <v>0.5</v>
      </c>
      <c r="V27" s="9">
        <f ca="1">OFFSET('RES Techs T15'!$F27,0,MATCH(VLOOKUP('RES Veda input'!V$3,'RES Assumptions T15'!$V$3:$W$35,2,FALSE),'RES Techs T15'!$G$3:$U$3,0))</f>
        <v>0.5</v>
      </c>
      <c r="W27" s="9">
        <f ca="1">OFFSET('RES Techs T15'!$F27,0,MATCH(VLOOKUP('RES Veda input'!W$3,'RES Assumptions T15'!$V$3:$W$35,2,FALSE),'RES Techs T15'!$G$3:$U$3,0))</f>
        <v>0.5</v>
      </c>
      <c r="X27" s="9">
        <f ca="1">OFFSET('RES Techs T15'!$F27,0,MATCH(VLOOKUP('RES Veda input'!X$3,'RES Assumptions T15'!$V$3:$W$35,2,FALSE),'RES Techs T15'!$G$3:$U$3,0))</f>
        <v>0.5</v>
      </c>
      <c r="Y27" s="9">
        <f ca="1">OFFSET('RES Techs T15'!$F27,0,MATCH(VLOOKUP('RES Veda input'!Y$3,'RES Assumptions T15'!$V$3:$W$35,2,FALSE),'RES Techs T15'!$G$3:$U$3,0))</f>
        <v>0.5</v>
      </c>
      <c r="Z27" s="9">
        <f ca="1">OFFSET('RES Techs T15'!$F27,0,MATCH(VLOOKUP('RES Veda input'!Z$3,'RES Assumptions T15'!$V$3:$W$35,2,FALSE),'RES Techs T15'!$G$3:$U$3,0))</f>
        <v>0.5</v>
      </c>
      <c r="AA27" s="9">
        <f ca="1">OFFSET('RES Techs T15'!$F27,0,MATCH(VLOOKUP('RES Veda input'!AA$3,'RES Assumptions T15'!$V$3:$W$35,2,FALSE),'RES Techs T15'!$G$3:$U$3,0))</f>
        <v>0.5</v>
      </c>
      <c r="AB27" s="9">
        <f ca="1">OFFSET('RES Techs T15'!$F27,0,MATCH(VLOOKUP('RES Veda input'!AB$3,'RES Assumptions T15'!$V$3:$W$35,2,FALSE),'RES Techs T15'!$G$3:$U$3,0))</f>
        <v>0.5</v>
      </c>
      <c r="AC27" s="9">
        <f ca="1">OFFSET('RES Techs T15'!$F27,0,MATCH(VLOOKUP('RES Veda input'!AC$3,'RES Assumptions T15'!$V$3:$W$35,2,FALSE),'RES Techs T15'!$G$3:$U$3,0))</f>
        <v>0.5</v>
      </c>
      <c r="AD27" s="9">
        <f ca="1">OFFSET('RES Techs T15'!$F27,0,MATCH(VLOOKUP('RES Veda input'!AD$3,'RES Assumptions T15'!$V$3:$W$35,2,FALSE),'RES Techs T15'!$G$3:$U$3,0))</f>
        <v>0.5</v>
      </c>
      <c r="AE27" s="9">
        <f ca="1">OFFSET('RES Techs T15'!$F27,0,MATCH(VLOOKUP('RES Veda input'!AE$3,'RES Assumptions T15'!$V$3:$W$35,2,FALSE),'RES Techs T15'!$G$3:$U$3,0))</f>
        <v>0.5</v>
      </c>
      <c r="AF27" s="9">
        <f ca="1">OFFSET('RES Techs T15'!$F27,0,MATCH(VLOOKUP('RES Veda input'!AF$3,'RES Assumptions T15'!$V$3:$W$35,2,FALSE),'RES Techs T15'!$G$3:$U$3,0))</f>
        <v>0.5</v>
      </c>
      <c r="AG27" s="9">
        <f ca="1">OFFSET('RES Techs T15'!$F27,0,MATCH(VLOOKUP('RES Veda input'!AG$3,'RES Assumptions T15'!$V$3:$W$35,2,FALSE),'RES Techs T15'!$G$3:$U$3,0))</f>
        <v>0.5</v>
      </c>
      <c r="AH27" s="9">
        <f ca="1">OFFSET('RES Techs T15'!$F27,0,MATCH(VLOOKUP('RES Veda input'!AH$3,'RES Assumptions T15'!$V$3:$W$35,2,FALSE),'RES Techs T15'!$G$3:$U$3,0))</f>
        <v>0.5</v>
      </c>
      <c r="AI27" s="9">
        <f ca="1">OFFSET('RES Techs T15'!$F27,0,MATCH(VLOOKUP('RES Veda input'!AI$3,'RES Assumptions T15'!$V$3:$W$35,2,FALSE),'RES Techs T15'!$G$3:$U$3,0))</f>
        <v>0.5</v>
      </c>
      <c r="AJ27" s="9">
        <f ca="1">OFFSET('RES Techs T15'!$F27,0,MATCH(VLOOKUP('RES Veda input'!AJ$3,'RES Assumptions T15'!$V$3:$W$35,2,FALSE),'RES Techs T15'!$G$3:$U$3,0))</f>
        <v>0.5</v>
      </c>
      <c r="AL27" s="8" t="str">
        <f t="shared" si="60"/>
        <v>RHWCOA000</v>
      </c>
      <c r="AM27" s="9">
        <f ca="1">OFFSET('RES Techs T15'!$W27,0,MATCH(VLOOKUP('RES Veda input'!AM$3,'RES Assumptions T15'!$V$3:$W$35,2,FALSE),'RES Techs T15'!$G$3:$U$3,0))</f>
        <v>0.1</v>
      </c>
      <c r="AN27" s="9">
        <f ca="1">OFFSET('RES Techs T15'!$W27,0,MATCH(VLOOKUP('RES Veda input'!AN$3,'RES Assumptions T15'!$V$3:$W$35,2,FALSE),'RES Techs T15'!$G$3:$U$3,0))</f>
        <v>0.1</v>
      </c>
      <c r="AO27" s="9">
        <f ca="1">OFFSET('RES Techs T15'!$W27,0,MATCH(VLOOKUP('RES Veda input'!AO$3,'RES Assumptions T15'!$V$3:$W$35,2,FALSE),'RES Techs T15'!$G$3:$U$3,0))</f>
        <v>0.1</v>
      </c>
      <c r="AP27" s="9">
        <f ca="1">OFFSET('RES Techs T15'!$W27,0,MATCH(VLOOKUP('RES Veda input'!AP$3,'RES Assumptions T15'!$V$3:$W$35,2,FALSE),'RES Techs T15'!$G$3:$U$3,0))</f>
        <v>0.1</v>
      </c>
      <c r="AQ27" s="9">
        <f ca="1">OFFSET('RES Techs T15'!$W27,0,MATCH(VLOOKUP('RES Veda input'!AQ$3,'RES Assumptions T15'!$V$3:$W$35,2,FALSE),'RES Techs T15'!$G$3:$U$3,0))</f>
        <v>0.1</v>
      </c>
      <c r="AR27" s="9">
        <f ca="1">OFFSET('RES Techs T15'!$W27,0,MATCH(VLOOKUP('RES Veda input'!AR$3,'RES Assumptions T15'!$V$3:$W$35,2,FALSE),'RES Techs T15'!$G$3:$U$3,0))</f>
        <v>0.1</v>
      </c>
      <c r="AS27" s="9">
        <f ca="1">OFFSET('RES Techs T15'!$W27,0,MATCH(VLOOKUP('RES Veda input'!AS$3,'RES Assumptions T15'!$V$3:$W$35,2,FALSE),'RES Techs T15'!$G$3:$U$3,0))</f>
        <v>0.13</v>
      </c>
      <c r="AT27" s="9">
        <f ca="1">OFFSET('RES Techs T15'!$W27,0,MATCH(VLOOKUP('RES Veda input'!AT$3,'RES Assumptions T15'!$V$3:$W$35,2,FALSE),'RES Techs T15'!$G$3:$U$3,0))</f>
        <v>0.1</v>
      </c>
      <c r="AU27" s="9">
        <f ca="1">OFFSET('RES Techs T15'!$W27,0,MATCH(VLOOKUP('RES Veda input'!AU$3,'RES Assumptions T15'!$V$3:$W$35,2,FALSE),'RES Techs T15'!$G$3:$U$3,0))</f>
        <v>0.13</v>
      </c>
      <c r="AV27" s="9">
        <f ca="1">OFFSET('RES Techs T15'!$W27,0,MATCH(VLOOKUP('RES Veda input'!AV$3,'RES Assumptions T15'!$V$3:$W$35,2,FALSE),'RES Techs T15'!$G$3:$U$3,0))</f>
        <v>0.1</v>
      </c>
      <c r="AW27" s="9">
        <f ca="1">OFFSET('RES Techs T15'!$W27,0,MATCH(VLOOKUP('RES Veda input'!AW$3,'RES Assumptions T15'!$V$3:$W$35,2,FALSE),'RES Techs T15'!$G$3:$U$3,0))</f>
        <v>0.1</v>
      </c>
      <c r="AX27" s="9">
        <f ca="1">OFFSET('RES Techs T15'!$W27,0,MATCH(VLOOKUP('RES Veda input'!AX$3,'RES Assumptions T15'!$V$3:$W$35,2,FALSE),'RES Techs T15'!$G$3:$U$3,0))</f>
        <v>0.1</v>
      </c>
      <c r="AY27" s="9">
        <f ca="1">OFFSET('RES Techs T15'!$W27,0,MATCH(VLOOKUP('RES Veda input'!AY$3,'RES Assumptions T15'!$V$3:$W$35,2,FALSE),'RES Techs T15'!$G$3:$U$3,0))</f>
        <v>0.1</v>
      </c>
      <c r="AZ27" s="9">
        <f ca="1">OFFSET('RES Techs T15'!$W27,0,MATCH(VLOOKUP('RES Veda input'!AZ$3,'RES Assumptions T15'!$V$3:$W$35,2,FALSE),'RES Techs T15'!$G$3:$U$3,0))</f>
        <v>0.1</v>
      </c>
      <c r="BA27" s="9">
        <f ca="1">OFFSET('RES Techs T15'!$W27,0,MATCH(VLOOKUP('RES Veda input'!BA$3,'RES Assumptions T15'!$V$3:$W$35,2,FALSE),'RES Techs T15'!$G$3:$U$3,0))</f>
        <v>0.1</v>
      </c>
      <c r="BB27" s="9">
        <f ca="1">OFFSET('RES Techs T15'!$W27,0,MATCH(VLOOKUP('RES Veda input'!BB$3,'RES Assumptions T15'!$V$3:$W$35,2,FALSE),'RES Techs T15'!$G$3:$U$3,0))</f>
        <v>0.1</v>
      </c>
      <c r="BC27" s="9">
        <f ca="1">OFFSET('RES Techs T15'!$W27,0,MATCH(VLOOKUP('RES Veda input'!BC$3,'RES Assumptions T15'!$V$3:$W$35,2,FALSE),'RES Techs T15'!$G$3:$U$3,0))</f>
        <v>0.1</v>
      </c>
      <c r="BD27" s="9">
        <f ca="1">OFFSET('RES Techs T15'!$W27,0,MATCH(VLOOKUP('RES Veda input'!BD$3,'RES Assumptions T15'!$V$3:$W$35,2,FALSE),'RES Techs T15'!$G$3:$U$3,0))</f>
        <v>0.1</v>
      </c>
      <c r="BE27" s="9">
        <f ca="1">OFFSET('RES Techs T15'!$W27,0,MATCH(VLOOKUP('RES Veda input'!BE$3,'RES Assumptions T15'!$V$3:$W$35,2,FALSE),'RES Techs T15'!$G$3:$U$3,0))</f>
        <v>0.1</v>
      </c>
      <c r="BF27" s="9">
        <f ca="1">OFFSET('RES Techs T15'!$W27,0,MATCH(VLOOKUP('RES Veda input'!BF$3,'RES Assumptions T15'!$V$3:$W$35,2,FALSE),'RES Techs T15'!$G$3:$U$3,0))</f>
        <v>0.1</v>
      </c>
      <c r="BG27" s="9">
        <f ca="1">OFFSET('RES Techs T15'!$W27,0,MATCH(VLOOKUP('RES Veda input'!BG$3,'RES Assumptions T15'!$V$3:$W$35,2,FALSE),'RES Techs T15'!$G$3:$U$3,0))</f>
        <v>0.1</v>
      </c>
      <c r="BH27" s="9">
        <f ca="1">OFFSET('RES Techs T15'!$W27,0,MATCH(VLOOKUP('RES Veda input'!BH$3,'RES Assumptions T15'!$V$3:$W$35,2,FALSE),'RES Techs T15'!$G$3:$U$3,0))</f>
        <v>0.1</v>
      </c>
      <c r="BI27" s="9">
        <f ca="1">OFFSET('RES Techs T15'!$W27,0,MATCH(VLOOKUP('RES Veda input'!BI$3,'RES Assumptions T15'!$V$3:$W$35,2,FALSE),'RES Techs T15'!$G$3:$U$3,0))</f>
        <v>0.1</v>
      </c>
      <c r="BJ27" s="9">
        <f ca="1">OFFSET('RES Techs T15'!$W27,0,MATCH(VLOOKUP('RES Veda input'!BJ$3,'RES Assumptions T15'!$V$3:$W$35,2,FALSE),'RES Techs T15'!$G$3:$U$3,0))</f>
        <v>0.1</v>
      </c>
      <c r="BK27" s="9">
        <f ca="1">OFFSET('RES Techs T15'!$W27,0,MATCH(VLOOKUP('RES Veda input'!BK$3,'RES Assumptions T15'!$V$3:$W$35,2,FALSE),'RES Techs T15'!$G$3:$U$3,0))</f>
        <v>0.1</v>
      </c>
      <c r="BL27" s="9">
        <f ca="1">OFFSET('RES Techs T15'!$W27,0,MATCH(VLOOKUP('RES Veda input'!BL$3,'RES Assumptions T15'!$V$3:$W$35,2,FALSE),'RES Techs T15'!$G$3:$U$3,0))</f>
        <v>0.1</v>
      </c>
      <c r="BM27" s="9">
        <f ca="1">OFFSET('RES Techs T15'!$W27,0,MATCH(VLOOKUP('RES Veda input'!BM$3,'RES Assumptions T15'!$V$3:$W$35,2,FALSE),'RES Techs T15'!$G$3:$U$3,0))</f>
        <v>0.1</v>
      </c>
      <c r="BN27" s="9">
        <f ca="1">OFFSET('RES Techs T15'!$W27,0,MATCH(VLOOKUP('RES Veda input'!BN$3,'RES Assumptions T15'!$V$3:$W$35,2,FALSE),'RES Techs T15'!$G$3:$U$3,0))</f>
        <v>0.1</v>
      </c>
      <c r="BO27" s="9">
        <f ca="1">OFFSET('RES Techs T15'!$W27,0,MATCH(VLOOKUP('RES Veda input'!BO$3,'RES Assumptions T15'!$V$3:$W$35,2,FALSE),'RES Techs T15'!$G$3:$U$3,0))</f>
        <v>0.1</v>
      </c>
      <c r="BP27" s="9">
        <f ca="1">OFFSET('RES Techs T15'!$W27,0,MATCH(VLOOKUP('RES Veda input'!BP$3,'RES Assumptions T15'!$V$3:$W$35,2,FALSE),'RES Techs T15'!$G$3:$U$3,0))</f>
        <v>0.1</v>
      </c>
      <c r="BR27" s="8" t="str">
        <f t="shared" si="61"/>
        <v>RHWCOA000</v>
      </c>
      <c r="BS27" s="9">
        <f t="shared" ca="1" si="62"/>
        <v>2.4</v>
      </c>
      <c r="BT27" s="9" t="str">
        <f ca="1">IF(OFFSET('RES Techs T15'!$AO27,0,MATCH(VLOOKUP('RES Veda input'!BT$3,'RES Assumptions T15'!$V$3:$W$35,2,FALSE),'RES Techs T15'!$G$3:$U$3,0))=0,"",OFFSET('RES Techs T15'!$AO27,0,MATCH(VLOOKUP('RES Veda input'!BT$3,'RES Assumptions T15'!$V$3:$W$35,2,FALSE),'RES Techs T15'!$G$3:$U$3,0)))</f>
        <v/>
      </c>
      <c r="BU27" s="9" t="str">
        <f ca="1">IF(OFFSET('RES Techs T15'!$AO27,0,MATCH(VLOOKUP('RES Veda input'!BU$3,'RES Assumptions T15'!$V$3:$W$35,2,FALSE),'RES Techs T15'!$G$3:$U$3,0))=0,"",OFFSET('RES Techs T15'!$AO27,0,MATCH(VLOOKUP('RES Veda input'!BU$3,'RES Assumptions T15'!$V$3:$W$35,2,FALSE),'RES Techs T15'!$G$3:$U$3,0)))</f>
        <v/>
      </c>
      <c r="BV27" s="9">
        <f ca="1">IF(OFFSET('RES Techs T15'!$AO27,0,MATCH(VLOOKUP('RES Veda input'!BV$3,'RES Assumptions T15'!$V$3:$W$35,2,FALSE),'RES Techs T15'!$G$3:$U$3,0))=0,"",OFFSET('RES Techs T15'!$AO27,0,MATCH(VLOOKUP('RES Veda input'!BV$3,'RES Assumptions T15'!$V$3:$W$35,2,FALSE),'RES Techs T15'!$G$3:$U$3,0)))</f>
        <v>2.8</v>
      </c>
      <c r="BW27" s="9" t="str">
        <f ca="1">IF(OFFSET('RES Techs T15'!$AO27,0,MATCH(VLOOKUP('RES Veda input'!BW$3,'RES Assumptions T15'!$V$3:$W$35,2,FALSE),'RES Techs T15'!$G$3:$U$3,0))=0,"",OFFSET('RES Techs T15'!$AO27,0,MATCH(VLOOKUP('RES Veda input'!BW$3,'RES Assumptions T15'!$V$3:$W$35,2,FALSE),'RES Techs T15'!$G$3:$U$3,0)))</f>
        <v/>
      </c>
      <c r="BX27" s="9">
        <f ca="1">IF(OFFSET('RES Techs T15'!$AO27,0,MATCH(VLOOKUP('RES Veda input'!BX$3,'RES Assumptions T15'!$V$3:$W$35,2,FALSE),'RES Techs T15'!$G$3:$U$3,0))=0,"",OFFSET('RES Techs T15'!$AO27,0,MATCH(VLOOKUP('RES Veda input'!BX$3,'RES Assumptions T15'!$V$3:$W$35,2,FALSE),'RES Techs T15'!$G$3:$U$3,0)))</f>
        <v>4</v>
      </c>
      <c r="BY27" s="9">
        <f ca="1">IF(OFFSET('RES Techs T15'!$AO27,0,MATCH(VLOOKUP('RES Veda input'!BY$3,'RES Assumptions T15'!$V$3:$W$35,2,FALSE),'RES Techs T15'!$G$3:$U$3,0))=0,"",OFFSET('RES Techs T15'!$AO27,0,MATCH(VLOOKUP('RES Veda input'!BY$3,'RES Assumptions T15'!$V$3:$W$35,2,FALSE),'RES Techs T15'!$G$3:$U$3,0)))</f>
        <v>2.4</v>
      </c>
      <c r="BZ27" s="9" t="str">
        <f ca="1">IF(OFFSET('RES Techs T15'!$AO27,0,MATCH(VLOOKUP('RES Veda input'!BZ$3,'RES Assumptions T15'!$V$3:$W$35,2,FALSE),'RES Techs T15'!$G$3:$U$3,0))=0,"",OFFSET('RES Techs T15'!$AO27,0,MATCH(VLOOKUP('RES Veda input'!BZ$3,'RES Assumptions T15'!$V$3:$W$35,2,FALSE),'RES Techs T15'!$G$3:$U$3,0)))</f>
        <v/>
      </c>
      <c r="CA27" s="9">
        <f ca="1">IF(OFFSET('RES Techs T15'!$AO27,0,MATCH(VLOOKUP('RES Veda input'!CA$3,'RES Assumptions T15'!$V$3:$W$35,2,FALSE),'RES Techs T15'!$G$3:$U$3,0))=0,"",OFFSET('RES Techs T15'!$AO27,0,MATCH(VLOOKUP('RES Veda input'!CA$3,'RES Assumptions T15'!$V$3:$W$35,2,FALSE),'RES Techs T15'!$G$3:$U$3,0)))</f>
        <v>2.8</v>
      </c>
      <c r="CB27" s="9" t="str">
        <f ca="1">IF(OFFSET('RES Techs T15'!$AO27,0,MATCH(VLOOKUP('RES Veda input'!CB$3,'RES Assumptions T15'!$V$3:$W$35,2,FALSE),'RES Techs T15'!$G$3:$U$3,0))=0,"",OFFSET('RES Techs T15'!$AO27,0,MATCH(VLOOKUP('RES Veda input'!CB$3,'RES Assumptions T15'!$V$3:$W$35,2,FALSE),'RES Techs T15'!$G$3:$U$3,0)))</f>
        <v/>
      </c>
      <c r="CC27" s="9" t="str">
        <f ca="1">IF(OFFSET('RES Techs T15'!$AO27,0,MATCH(VLOOKUP('RES Veda input'!CC$3,'RES Assumptions T15'!$V$3:$W$35,2,FALSE),'RES Techs T15'!$G$3:$U$3,0))=0,"",OFFSET('RES Techs T15'!$AO27,0,MATCH(VLOOKUP('RES Veda input'!CC$3,'RES Assumptions T15'!$V$3:$W$35,2,FALSE),'RES Techs T15'!$G$3:$U$3,0)))</f>
        <v/>
      </c>
      <c r="CD27" s="9" t="str">
        <f ca="1">IF(OFFSET('RES Techs T15'!$AO27,0,MATCH(VLOOKUP('RES Veda input'!CD$3,'RES Assumptions T15'!$V$3:$W$35,2,FALSE),'RES Techs T15'!$G$3:$U$3,0))=0,"",OFFSET('RES Techs T15'!$AO27,0,MATCH(VLOOKUP('RES Veda input'!CD$3,'RES Assumptions T15'!$V$3:$W$35,2,FALSE),'RES Techs T15'!$G$3:$U$3,0)))</f>
        <v/>
      </c>
      <c r="CE27" s="9" t="str">
        <f ca="1">IF(OFFSET('RES Techs T15'!$AO27,0,MATCH(VLOOKUP('RES Veda input'!CE$3,'RES Assumptions T15'!$V$3:$W$35,2,FALSE),'RES Techs T15'!$G$3:$U$3,0))=0,"",OFFSET('RES Techs T15'!$AO27,0,MATCH(VLOOKUP('RES Veda input'!CE$3,'RES Assumptions T15'!$V$3:$W$35,2,FALSE),'RES Techs T15'!$G$3:$U$3,0)))</f>
        <v/>
      </c>
      <c r="CF27" s="9" t="str">
        <f ca="1">IF(OFFSET('RES Techs T15'!$AO27,0,MATCH(VLOOKUP('RES Veda input'!CF$3,'RES Assumptions T15'!$V$3:$W$35,2,FALSE),'RES Techs T15'!$G$3:$U$3,0))=0,"",OFFSET('RES Techs T15'!$AO27,0,MATCH(VLOOKUP('RES Veda input'!CF$3,'RES Assumptions T15'!$V$3:$W$35,2,FALSE),'RES Techs T15'!$G$3:$U$3,0)))</f>
        <v/>
      </c>
      <c r="CG27" s="9" t="str">
        <f ca="1">IF(OFFSET('RES Techs T15'!$AO27,0,MATCH(VLOOKUP('RES Veda input'!CG$3,'RES Assumptions T15'!$V$3:$W$35,2,FALSE),'RES Techs T15'!$G$3:$U$3,0))=0,"",OFFSET('RES Techs T15'!$AO27,0,MATCH(VLOOKUP('RES Veda input'!CG$3,'RES Assumptions T15'!$V$3:$W$35,2,FALSE),'RES Techs T15'!$G$3:$U$3,0)))</f>
        <v/>
      </c>
      <c r="CH27" s="9" t="str">
        <f ca="1">IF(OFFSET('RES Techs T15'!$AO27,0,MATCH(VLOOKUP('RES Veda input'!CH$3,'RES Assumptions T15'!$V$3:$W$35,2,FALSE),'RES Techs T15'!$G$3:$U$3,0))=0,"",OFFSET('RES Techs T15'!$AO27,0,MATCH(VLOOKUP('RES Veda input'!CH$3,'RES Assumptions T15'!$V$3:$W$35,2,FALSE),'RES Techs T15'!$G$3:$U$3,0)))</f>
        <v/>
      </c>
      <c r="CI27" s="9" t="str">
        <f ca="1">IF(OFFSET('RES Techs T15'!$AO27,0,MATCH(VLOOKUP('RES Veda input'!CI$3,'RES Assumptions T15'!$V$3:$W$35,2,FALSE),'RES Techs T15'!$G$3:$U$3,0))=0,"",OFFSET('RES Techs T15'!$AO27,0,MATCH(VLOOKUP('RES Veda input'!CI$3,'RES Assumptions T15'!$V$3:$W$35,2,FALSE),'RES Techs T15'!$G$3:$U$3,0)))</f>
        <v/>
      </c>
      <c r="CJ27" s="9">
        <f ca="1">IF(OFFSET('RES Techs T15'!$AO27,0,MATCH(VLOOKUP('RES Veda input'!CJ$3,'RES Assumptions T15'!$V$3:$W$35,2,FALSE),'RES Techs T15'!$G$3:$U$3,0))=0,"",OFFSET('RES Techs T15'!$AO27,0,MATCH(VLOOKUP('RES Veda input'!CJ$3,'RES Assumptions T15'!$V$3:$W$35,2,FALSE),'RES Techs T15'!$G$3:$U$3,0)))</f>
        <v>2.8</v>
      </c>
      <c r="CK27" s="9" t="str">
        <f ca="1">IF(OFFSET('RES Techs T15'!$AO27,0,MATCH(VLOOKUP('RES Veda input'!CK$3,'RES Assumptions T15'!$V$3:$W$35,2,FALSE),'RES Techs T15'!$G$3:$U$3,0))=0,"",OFFSET('RES Techs T15'!$AO27,0,MATCH(VLOOKUP('RES Veda input'!CK$3,'RES Assumptions T15'!$V$3:$W$35,2,FALSE),'RES Techs T15'!$G$3:$U$3,0)))</f>
        <v/>
      </c>
      <c r="CL27" s="9" t="str">
        <f ca="1">IF(OFFSET('RES Techs T15'!$AO27,0,MATCH(VLOOKUP('RES Veda input'!CL$3,'RES Assumptions T15'!$V$3:$W$35,2,FALSE),'RES Techs T15'!$G$3:$U$3,0))=0,"",OFFSET('RES Techs T15'!$AO27,0,MATCH(VLOOKUP('RES Veda input'!CL$3,'RES Assumptions T15'!$V$3:$W$35,2,FALSE),'RES Techs T15'!$G$3:$U$3,0)))</f>
        <v/>
      </c>
      <c r="CM27" s="9">
        <f ca="1">IF(OFFSET('RES Techs T15'!$AO27,0,MATCH(VLOOKUP('RES Veda input'!CM$3,'RES Assumptions T15'!$V$3:$W$35,2,FALSE),'RES Techs T15'!$G$3:$U$3,0))=0,"",OFFSET('RES Techs T15'!$AO27,0,MATCH(VLOOKUP('RES Veda input'!CM$3,'RES Assumptions T15'!$V$3:$W$35,2,FALSE),'RES Techs T15'!$G$3:$U$3,0)))</f>
        <v>2.4</v>
      </c>
      <c r="CN27" s="9">
        <f ca="1">IF(OFFSET('RES Techs T15'!$AO27,0,MATCH(VLOOKUP('RES Veda input'!CN$3,'RES Assumptions T15'!$V$3:$W$35,2,FALSE),'RES Techs T15'!$G$3:$U$3,0))=0,"",OFFSET('RES Techs T15'!$AO27,0,MATCH(VLOOKUP('RES Veda input'!CN$3,'RES Assumptions T15'!$V$3:$W$35,2,FALSE),'RES Techs T15'!$G$3:$U$3,0)))</f>
        <v>2.8</v>
      </c>
      <c r="CO27" s="9">
        <f ca="1">IF(OFFSET('RES Techs T15'!$AO27,0,MATCH(VLOOKUP('RES Veda input'!CO$3,'RES Assumptions T15'!$V$3:$W$35,2,FALSE),'RES Techs T15'!$G$3:$U$3,0))=0,"",OFFSET('RES Techs T15'!$AO27,0,MATCH(VLOOKUP('RES Veda input'!CO$3,'RES Assumptions T15'!$V$3:$W$35,2,FALSE),'RES Techs T15'!$G$3:$U$3,0)))</f>
        <v>3.2</v>
      </c>
      <c r="CP27" s="9">
        <f ca="1">IF(OFFSET('RES Techs T15'!$AO27,0,MATCH(VLOOKUP('RES Veda input'!CP$3,'RES Assumptions T15'!$V$3:$W$35,2,FALSE),'RES Techs T15'!$G$3:$U$3,0))=0,"",OFFSET('RES Techs T15'!$AO27,0,MATCH(VLOOKUP('RES Veda input'!CP$3,'RES Assumptions T15'!$V$3:$W$35,2,FALSE),'RES Techs T15'!$G$3:$U$3,0)))</f>
        <v>2.8</v>
      </c>
      <c r="CQ27" s="9" t="str">
        <f ca="1">IF(OFFSET('RES Techs T15'!$AO27,0,MATCH(VLOOKUP('RES Veda input'!CQ$3,'RES Assumptions T15'!$V$3:$W$35,2,FALSE),'RES Techs T15'!$G$3:$U$3,0))=0,"",OFFSET('RES Techs T15'!$AO27,0,MATCH(VLOOKUP('RES Veda input'!CQ$3,'RES Assumptions T15'!$V$3:$W$35,2,FALSE),'RES Techs T15'!$G$3:$U$3,0)))</f>
        <v/>
      </c>
      <c r="CR27" s="9" t="str">
        <f ca="1">IF(OFFSET('RES Techs T15'!$AO27,0,MATCH(VLOOKUP('RES Veda input'!CR$3,'RES Assumptions T15'!$V$3:$W$35,2,FALSE),'RES Techs T15'!$G$3:$U$3,0))=0,"",OFFSET('RES Techs T15'!$AO27,0,MATCH(VLOOKUP('RES Veda input'!CR$3,'RES Assumptions T15'!$V$3:$W$35,2,FALSE),'RES Techs T15'!$G$3:$U$3,0)))</f>
        <v/>
      </c>
      <c r="CS27" s="9">
        <f ca="1">IF(OFFSET('RES Techs T15'!$AO27,0,MATCH(VLOOKUP('RES Veda input'!CS$3,'RES Assumptions T15'!$V$3:$W$35,2,FALSE),'RES Techs T15'!$G$3:$U$3,0))=0,"",OFFSET('RES Techs T15'!$AO27,0,MATCH(VLOOKUP('RES Veda input'!CS$3,'RES Assumptions T15'!$V$3:$W$35,2,FALSE),'RES Techs T15'!$G$3:$U$3,0)))</f>
        <v>2.8</v>
      </c>
      <c r="CT27" s="9" t="str">
        <f ca="1">IF(OFFSET('RES Techs T15'!$AO27,0,MATCH(VLOOKUP('RES Veda input'!CT$3,'RES Assumptions T15'!$V$3:$W$35,2,FALSE),'RES Techs T15'!$G$3:$U$3,0))=0,"",OFFSET('RES Techs T15'!$AO27,0,MATCH(VLOOKUP('RES Veda input'!CT$3,'RES Assumptions T15'!$V$3:$W$35,2,FALSE),'RES Techs T15'!$G$3:$U$3,0)))</f>
        <v/>
      </c>
      <c r="CU27" s="9" t="str">
        <f ca="1">IF(OFFSET('RES Techs T15'!$AO27,0,MATCH(VLOOKUP('RES Veda input'!CU$3,'RES Assumptions T15'!$V$3:$W$35,2,FALSE),'RES Techs T15'!$G$3:$U$3,0))=0,"",OFFSET('RES Techs T15'!$AO27,0,MATCH(VLOOKUP('RES Veda input'!CU$3,'RES Assumptions T15'!$V$3:$W$35,2,FALSE),'RES Techs T15'!$G$3:$U$3,0)))</f>
        <v/>
      </c>
      <c r="CV27" s="9">
        <f ca="1">IF(OFFSET('RES Techs T15'!$AO27,0,MATCH(VLOOKUP('RES Veda input'!CV$3,'RES Assumptions T15'!$V$3:$W$35,2,FALSE),'RES Techs T15'!$G$3:$U$3,0))=0,"",OFFSET('RES Techs T15'!$AO27,0,MATCH(VLOOKUP('RES Veda input'!CV$3,'RES Assumptions T15'!$V$3:$W$35,2,FALSE),'RES Techs T15'!$G$3:$U$3,0)))</f>
        <v>0.6</v>
      </c>
      <c r="CW27" s="9">
        <f ca="1">IF(OFFSET('RES Techs T15'!$AO27,0,MATCH(VLOOKUP('RES Veda input'!CW$3,'RES Assumptions T15'!$V$3:$W$35,2,FALSE),'RES Techs T15'!$G$3:$U$3,0))=0,"",OFFSET('RES Techs T15'!$AO27,0,MATCH(VLOOKUP('RES Veda input'!CW$3,'RES Assumptions T15'!$V$3:$W$35,2,FALSE),'RES Techs T15'!$G$3:$U$3,0)))</f>
        <v>0.6</v>
      </c>
      <c r="CY27" s="8" t="str">
        <f t="shared" si="63"/>
        <v>RHWCOA000</v>
      </c>
      <c r="CZ27" s="10">
        <f ca="1">ROUND('RES Assumptions'!E110*'RES Veda input'!G27/'RES Veda input'!AM27,3)</f>
        <v>0</v>
      </c>
      <c r="DA27" s="10">
        <f ca="1">ROUND('RES Assumptions'!F110*'RES Veda input'!H27/'RES Veda input'!AN27,3)</f>
        <v>0.40100000000000002</v>
      </c>
      <c r="DB27" s="10">
        <f ca="1">ROUND('RES Assumptions'!G110*'RES Veda input'!I27/'RES Veda input'!AO27,3)</f>
        <v>0</v>
      </c>
      <c r="DC27" s="10">
        <f ca="1">ROUND('RES Assumptions'!H110*'RES Veda input'!J27/'RES Veda input'!AP27,3)</f>
        <v>123.889</v>
      </c>
      <c r="DD27" s="10">
        <f ca="1">ROUND('RES Assumptions'!I110*'RES Veda input'!K27/'RES Veda input'!AQ27,3)</f>
        <v>15.689</v>
      </c>
      <c r="DE27" s="10">
        <f ca="1">ROUND('RES Assumptions'!J110*'RES Veda input'!L27/'RES Veda input'!AR27,3)</f>
        <v>0</v>
      </c>
      <c r="DF27" s="10">
        <f ca="1">ROUND('RES Assumptions'!K110*'RES Veda input'!M27/'RES Veda input'!AS27,3)</f>
        <v>6.4000000000000001E-2</v>
      </c>
      <c r="DG27" s="10">
        <f ca="1">ROUND('RES Assumptions'!L110*'RES Veda input'!N27/'RES Veda input'!AT27,3)</f>
        <v>0</v>
      </c>
      <c r="DH27" s="10">
        <f ca="1">ROUND('RES Assumptions'!M110*'RES Veda input'!O27/'RES Veda input'!AU27,3)</f>
        <v>0</v>
      </c>
      <c r="DI27" s="10">
        <f ca="1">ROUND('RES Assumptions'!N110*'RES Veda input'!P27/'RES Veda input'!AV27,3)</f>
        <v>1570.008</v>
      </c>
      <c r="DJ27" s="10">
        <f ca="1">ROUND('RES Assumptions'!O110*'RES Veda input'!Q27/'RES Veda input'!AW27,3)</f>
        <v>3.3000000000000002E-2</v>
      </c>
      <c r="DK27" s="10">
        <f ca="1">ROUND('RES Assumptions'!P110*'RES Veda input'!R27/'RES Veda input'!AX27,3)</f>
        <v>97.843999999999994</v>
      </c>
      <c r="DL27" s="10">
        <f ca="1">ROUND('RES Assumptions'!Q110*'RES Veda input'!S27/'RES Veda input'!AY27,3)</f>
        <v>3.4830000000000001</v>
      </c>
      <c r="DM27" s="10">
        <f ca="1">ROUND('RES Assumptions'!R110*'RES Veda input'!T27/'RES Veda input'!AZ27,3)</f>
        <v>0.03</v>
      </c>
      <c r="DN27" s="10">
        <f ca="1">ROUND('RES Assumptions'!S110*'RES Veda input'!U27/'RES Veda input'!BA27,3)</f>
        <v>3.698</v>
      </c>
      <c r="DO27" s="10">
        <f ca="1">ROUND('RES Assumptions'!T110*'RES Veda input'!V27/'RES Veda input'!BB27,3)</f>
        <v>0.57699999999999996</v>
      </c>
      <c r="DP27" s="10">
        <f ca="1">ROUND('RES Assumptions'!U110*'RES Veda input'!W27/'RES Veda input'!BC27,3)</f>
        <v>80.096000000000004</v>
      </c>
      <c r="DQ27" s="10">
        <f ca="1">ROUND('RES Assumptions'!V110*'RES Veda input'!X27/'RES Veda input'!BD27,3)</f>
        <v>0.217</v>
      </c>
      <c r="DR27" s="10">
        <f ca="1">ROUND('RES Assumptions'!W110*'RES Veda input'!Y27/'RES Veda input'!BE27,3)</f>
        <v>3.0680000000000001</v>
      </c>
      <c r="DS27" s="10">
        <f ca="1">ROUND('RES Assumptions'!X110*'RES Veda input'!Z27/'RES Veda input'!BF27,3)</f>
        <v>0</v>
      </c>
      <c r="DT27" s="10">
        <f ca="1">ROUND('RES Assumptions'!Y110*'RES Veda input'!AA27/'RES Veda input'!BG27,3)</f>
        <v>7.3620000000000001</v>
      </c>
      <c r="DU27" s="10">
        <f ca="1">ROUND('RES Assumptions'!Z110*'RES Veda input'!AB27/'RES Veda input'!BH27,3)</f>
        <v>0</v>
      </c>
      <c r="DV27" s="10">
        <f ca="1">ROUND('RES Assumptions'!AA110*'RES Veda input'!AC27/'RES Veda input'!BI27,3)</f>
        <v>0.34</v>
      </c>
      <c r="DW27" s="10">
        <f ca="1">ROUND('RES Assumptions'!AB110*'RES Veda input'!AD27/'RES Veda input'!BJ27,3)</f>
        <v>0</v>
      </c>
      <c r="DX27" s="10">
        <f ca="1">ROUND('RES Assumptions'!AC110*'RES Veda input'!AE27/'RES Veda input'!BK27,3)</f>
        <v>44.356999999999999</v>
      </c>
      <c r="DY27" s="10">
        <f ca="1">ROUND('RES Assumptions'!AD110*'RES Veda input'!AF27/'RES Veda input'!BL27,3)</f>
        <v>0</v>
      </c>
      <c r="DZ27" s="10">
        <f ca="1">ROUND('RES Assumptions'!AE110*'RES Veda input'!AG27/'RES Veda input'!BM27,3)</f>
        <v>286.06</v>
      </c>
      <c r="EA27" s="10">
        <f ca="1">ROUND('RES Assumptions'!AF110*'RES Veda input'!AH27/'RES Veda input'!BN27,3)</f>
        <v>4.0540000000000003</v>
      </c>
      <c r="EB27" s="10">
        <f ca="1">ROUND('RES Assumptions'!AG110*'RES Veda input'!AI27/'RES Veda input'!BO27,3)</f>
        <v>0</v>
      </c>
      <c r="EC27" s="10">
        <f ca="1">ROUND('RES Assumptions'!AH110*'RES Veda input'!AJ27/'RES Veda input'!BP27,3)</f>
        <v>0</v>
      </c>
      <c r="ED27">
        <v>20</v>
      </c>
      <c r="EG27" t="s">
        <v>281</v>
      </c>
      <c r="EH27" t="str">
        <f t="shared" si="64"/>
        <v>RHWCOA000</v>
      </c>
      <c r="EJ27" t="s">
        <v>282</v>
      </c>
      <c r="EK27" t="s">
        <v>283</v>
      </c>
    </row>
    <row r="28" spans="1:141" x14ac:dyDescent="0.45">
      <c r="A28" s="37" t="str">
        <f>'RES Assumptions'!B111</f>
        <v>RHW</v>
      </c>
      <c r="B28" s="37" t="s">
        <v>138</v>
      </c>
      <c r="D28" s="51" t="s">
        <v>138</v>
      </c>
      <c r="E28" s="8" t="str">
        <f>'RES Assumptions'!A111</f>
        <v>RESOIL</v>
      </c>
      <c r="F28" s="8" t="str">
        <f>VLOOKUP(A28,'RES Assumptions'!$AN$87:$AO$97,2,FALSE)</f>
        <v>RHW</v>
      </c>
      <c r="G28" s="9">
        <f ca="1">OFFSET('RES Techs T15'!$F28,0,MATCH(VLOOKUP('RES Veda input'!G$3,'RES Assumptions T15'!$V$3:$W$35,2,FALSE),'RES Techs T15'!$G$3:$U$3,0))</f>
        <v>0.57999999999999996</v>
      </c>
      <c r="H28" s="9">
        <f ca="1">OFFSET('RES Techs T15'!$F28,0,MATCH(VLOOKUP('RES Veda input'!H$3,'RES Assumptions T15'!$V$3:$W$35,2,FALSE),'RES Techs T15'!$G$3:$U$3,0))</f>
        <v>0.57999999999999996</v>
      </c>
      <c r="I28" s="9">
        <f ca="1">OFFSET('RES Techs T15'!$F28,0,MATCH(VLOOKUP('RES Veda input'!I$3,'RES Assumptions T15'!$V$3:$W$35,2,FALSE),'RES Techs T15'!$G$3:$U$3,0))</f>
        <v>0.57999999999999996</v>
      </c>
      <c r="J28" s="9">
        <f ca="1">OFFSET('RES Techs T15'!$F28,0,MATCH(VLOOKUP('RES Veda input'!J$3,'RES Assumptions T15'!$V$3:$W$35,2,FALSE),'RES Techs T15'!$G$3:$U$3,0))</f>
        <v>0.57999999999999996</v>
      </c>
      <c r="K28" s="9">
        <f ca="1">OFFSET('RES Techs T15'!$F28,0,MATCH(VLOOKUP('RES Veda input'!K$3,'RES Assumptions T15'!$V$3:$W$35,2,FALSE),'RES Techs T15'!$G$3:$U$3,0))</f>
        <v>0.57999999999999996</v>
      </c>
      <c r="L28" s="9">
        <f ca="1">OFFSET('RES Techs T15'!$F28,0,MATCH(VLOOKUP('RES Veda input'!L$3,'RES Assumptions T15'!$V$3:$W$35,2,FALSE),'RES Techs T15'!$G$3:$U$3,0))</f>
        <v>0.57999999999999996</v>
      </c>
      <c r="M28" s="9">
        <f ca="1">OFFSET('RES Techs T15'!$F28,0,MATCH(VLOOKUP('RES Veda input'!M$3,'RES Assumptions T15'!$V$3:$W$35,2,FALSE),'RES Techs T15'!$G$3:$U$3,0))</f>
        <v>0.57999999999999996</v>
      </c>
      <c r="N28" s="9">
        <f ca="1">OFFSET('RES Techs T15'!$F28,0,MATCH(VLOOKUP('RES Veda input'!N$3,'RES Assumptions T15'!$V$3:$W$35,2,FALSE),'RES Techs T15'!$G$3:$U$3,0))</f>
        <v>0.57999999999999996</v>
      </c>
      <c r="O28" s="9">
        <f ca="1">OFFSET('RES Techs T15'!$F28,0,MATCH(VLOOKUP('RES Veda input'!O$3,'RES Assumptions T15'!$V$3:$W$35,2,FALSE),'RES Techs T15'!$G$3:$U$3,0))</f>
        <v>0.57999999999999996</v>
      </c>
      <c r="P28" s="9">
        <f ca="1">OFFSET('RES Techs T15'!$F28,0,MATCH(VLOOKUP('RES Veda input'!P$3,'RES Assumptions T15'!$V$3:$W$35,2,FALSE),'RES Techs T15'!$G$3:$U$3,0))</f>
        <v>0.57999999999999996</v>
      </c>
      <c r="Q28" s="9">
        <f ca="1">OFFSET('RES Techs T15'!$F28,0,MATCH(VLOOKUP('RES Veda input'!Q$3,'RES Assumptions T15'!$V$3:$W$35,2,FALSE),'RES Techs T15'!$G$3:$U$3,0))</f>
        <v>0.57999999999999996</v>
      </c>
      <c r="R28" s="9">
        <f ca="1">OFFSET('RES Techs T15'!$F28,0,MATCH(VLOOKUP('RES Veda input'!R$3,'RES Assumptions T15'!$V$3:$W$35,2,FALSE),'RES Techs T15'!$G$3:$U$3,0))</f>
        <v>0.57999999999999996</v>
      </c>
      <c r="S28" s="9">
        <f ca="1">OFFSET('RES Techs T15'!$F28,0,MATCH(VLOOKUP('RES Veda input'!S$3,'RES Assumptions T15'!$V$3:$W$35,2,FALSE),'RES Techs T15'!$G$3:$U$3,0))</f>
        <v>0.57999999999999996</v>
      </c>
      <c r="T28" s="9">
        <f ca="1">OFFSET('RES Techs T15'!$F28,0,MATCH(VLOOKUP('RES Veda input'!T$3,'RES Assumptions T15'!$V$3:$W$35,2,FALSE),'RES Techs T15'!$G$3:$U$3,0))</f>
        <v>0.57999999999999996</v>
      </c>
      <c r="U28" s="9">
        <f ca="1">OFFSET('RES Techs T15'!$F28,0,MATCH(VLOOKUP('RES Veda input'!U$3,'RES Assumptions T15'!$V$3:$W$35,2,FALSE),'RES Techs T15'!$G$3:$U$3,0))</f>
        <v>0.57999999999999996</v>
      </c>
      <c r="V28" s="9">
        <f ca="1">OFFSET('RES Techs T15'!$F28,0,MATCH(VLOOKUP('RES Veda input'!V$3,'RES Assumptions T15'!$V$3:$W$35,2,FALSE),'RES Techs T15'!$G$3:$U$3,0))</f>
        <v>0.57999999999999996</v>
      </c>
      <c r="W28" s="9">
        <f ca="1">OFFSET('RES Techs T15'!$F28,0,MATCH(VLOOKUP('RES Veda input'!W$3,'RES Assumptions T15'!$V$3:$W$35,2,FALSE),'RES Techs T15'!$G$3:$U$3,0))</f>
        <v>0.57999999999999996</v>
      </c>
      <c r="X28" s="9">
        <f ca="1">OFFSET('RES Techs T15'!$F28,0,MATCH(VLOOKUP('RES Veda input'!X$3,'RES Assumptions T15'!$V$3:$W$35,2,FALSE),'RES Techs T15'!$G$3:$U$3,0))</f>
        <v>0.57999999999999996</v>
      </c>
      <c r="Y28" s="9">
        <f ca="1">OFFSET('RES Techs T15'!$F28,0,MATCH(VLOOKUP('RES Veda input'!Y$3,'RES Assumptions T15'!$V$3:$W$35,2,FALSE),'RES Techs T15'!$G$3:$U$3,0))</f>
        <v>0.57999999999999996</v>
      </c>
      <c r="Z28" s="9">
        <f ca="1">OFFSET('RES Techs T15'!$F28,0,MATCH(VLOOKUP('RES Veda input'!Z$3,'RES Assumptions T15'!$V$3:$W$35,2,FALSE),'RES Techs T15'!$G$3:$U$3,0))</f>
        <v>0.57999999999999996</v>
      </c>
      <c r="AA28" s="9">
        <f ca="1">OFFSET('RES Techs T15'!$F28,0,MATCH(VLOOKUP('RES Veda input'!AA$3,'RES Assumptions T15'!$V$3:$W$35,2,FALSE),'RES Techs T15'!$G$3:$U$3,0))</f>
        <v>0.57999999999999996</v>
      </c>
      <c r="AB28" s="9">
        <f ca="1">OFFSET('RES Techs T15'!$F28,0,MATCH(VLOOKUP('RES Veda input'!AB$3,'RES Assumptions T15'!$V$3:$W$35,2,FALSE),'RES Techs T15'!$G$3:$U$3,0))</f>
        <v>0.57999999999999996</v>
      </c>
      <c r="AC28" s="9">
        <f ca="1">OFFSET('RES Techs T15'!$F28,0,MATCH(VLOOKUP('RES Veda input'!AC$3,'RES Assumptions T15'!$V$3:$W$35,2,FALSE),'RES Techs T15'!$G$3:$U$3,0))</f>
        <v>0.57999999999999996</v>
      </c>
      <c r="AD28" s="9">
        <f ca="1">OFFSET('RES Techs T15'!$F28,0,MATCH(VLOOKUP('RES Veda input'!AD$3,'RES Assumptions T15'!$V$3:$W$35,2,FALSE),'RES Techs T15'!$G$3:$U$3,0))</f>
        <v>0.57999999999999996</v>
      </c>
      <c r="AE28" s="9">
        <f ca="1">OFFSET('RES Techs T15'!$F28,0,MATCH(VLOOKUP('RES Veda input'!AE$3,'RES Assumptions T15'!$V$3:$W$35,2,FALSE),'RES Techs T15'!$G$3:$U$3,0))</f>
        <v>0.57999999999999996</v>
      </c>
      <c r="AF28" s="9">
        <f ca="1">OFFSET('RES Techs T15'!$F28,0,MATCH(VLOOKUP('RES Veda input'!AF$3,'RES Assumptions T15'!$V$3:$W$35,2,FALSE),'RES Techs T15'!$G$3:$U$3,0))</f>
        <v>0.57999999999999996</v>
      </c>
      <c r="AG28" s="9">
        <f ca="1">OFFSET('RES Techs T15'!$F28,0,MATCH(VLOOKUP('RES Veda input'!AG$3,'RES Assumptions T15'!$V$3:$W$35,2,FALSE),'RES Techs T15'!$G$3:$U$3,0))</f>
        <v>0.57999999999999996</v>
      </c>
      <c r="AH28" s="9">
        <f ca="1">OFFSET('RES Techs T15'!$F28,0,MATCH(VLOOKUP('RES Veda input'!AH$3,'RES Assumptions T15'!$V$3:$W$35,2,FALSE),'RES Techs T15'!$G$3:$U$3,0))</f>
        <v>0.57999999999999996</v>
      </c>
      <c r="AI28" s="9">
        <f ca="1">OFFSET('RES Techs T15'!$F28,0,MATCH(VLOOKUP('RES Veda input'!AI$3,'RES Assumptions T15'!$V$3:$W$35,2,FALSE),'RES Techs T15'!$G$3:$U$3,0))</f>
        <v>0.57999999999999996</v>
      </c>
      <c r="AJ28" s="9">
        <f ca="1">OFFSET('RES Techs T15'!$F28,0,MATCH(VLOOKUP('RES Veda input'!AJ$3,'RES Assumptions T15'!$V$3:$W$35,2,FALSE),'RES Techs T15'!$G$3:$U$3,0))</f>
        <v>0.57999999999999996</v>
      </c>
      <c r="AL28" s="8" t="str">
        <f t="shared" si="60"/>
        <v>RHWDST000</v>
      </c>
      <c r="AM28" s="9">
        <f ca="1">OFFSET('RES Techs T15'!$W28,0,MATCH(VLOOKUP('RES Veda input'!AM$3,'RES Assumptions T15'!$V$3:$W$35,2,FALSE),'RES Techs T15'!$G$3:$U$3,0))</f>
        <v>0.1</v>
      </c>
      <c r="AN28" s="9">
        <f ca="1">OFFSET('RES Techs T15'!$W28,0,MATCH(VLOOKUP('RES Veda input'!AN$3,'RES Assumptions T15'!$V$3:$W$35,2,FALSE),'RES Techs T15'!$G$3:$U$3,0))</f>
        <v>0.1</v>
      </c>
      <c r="AO28" s="9">
        <f ca="1">OFFSET('RES Techs T15'!$W28,0,MATCH(VLOOKUP('RES Veda input'!AO$3,'RES Assumptions T15'!$V$3:$W$35,2,FALSE),'RES Techs T15'!$G$3:$U$3,0))</f>
        <v>0.1</v>
      </c>
      <c r="AP28" s="9">
        <f ca="1">OFFSET('RES Techs T15'!$W28,0,MATCH(VLOOKUP('RES Veda input'!AP$3,'RES Assumptions T15'!$V$3:$W$35,2,FALSE),'RES Techs T15'!$G$3:$U$3,0))</f>
        <v>0.1</v>
      </c>
      <c r="AQ28" s="9">
        <f ca="1">OFFSET('RES Techs T15'!$W28,0,MATCH(VLOOKUP('RES Veda input'!AQ$3,'RES Assumptions T15'!$V$3:$W$35,2,FALSE),'RES Techs T15'!$G$3:$U$3,0))</f>
        <v>0.1</v>
      </c>
      <c r="AR28" s="9">
        <f ca="1">OFFSET('RES Techs T15'!$W28,0,MATCH(VLOOKUP('RES Veda input'!AR$3,'RES Assumptions T15'!$V$3:$W$35,2,FALSE),'RES Techs T15'!$G$3:$U$3,0))</f>
        <v>0.1</v>
      </c>
      <c r="AS28" s="9">
        <f ca="1">OFFSET('RES Techs T15'!$W28,0,MATCH(VLOOKUP('RES Veda input'!AS$3,'RES Assumptions T15'!$V$3:$W$35,2,FALSE),'RES Techs T15'!$G$3:$U$3,0))</f>
        <v>0.13</v>
      </c>
      <c r="AT28" s="9">
        <f ca="1">OFFSET('RES Techs T15'!$W28,0,MATCH(VLOOKUP('RES Veda input'!AT$3,'RES Assumptions T15'!$V$3:$W$35,2,FALSE),'RES Techs T15'!$G$3:$U$3,0))</f>
        <v>0.1</v>
      </c>
      <c r="AU28" s="9">
        <f ca="1">OFFSET('RES Techs T15'!$W28,0,MATCH(VLOOKUP('RES Veda input'!AU$3,'RES Assumptions T15'!$V$3:$W$35,2,FALSE),'RES Techs T15'!$G$3:$U$3,0))</f>
        <v>0.13</v>
      </c>
      <c r="AV28" s="9">
        <f ca="1">OFFSET('RES Techs T15'!$W28,0,MATCH(VLOOKUP('RES Veda input'!AV$3,'RES Assumptions T15'!$V$3:$W$35,2,FALSE),'RES Techs T15'!$G$3:$U$3,0))</f>
        <v>0.1</v>
      </c>
      <c r="AW28" s="9">
        <f ca="1">OFFSET('RES Techs T15'!$W28,0,MATCH(VLOOKUP('RES Veda input'!AW$3,'RES Assumptions T15'!$V$3:$W$35,2,FALSE),'RES Techs T15'!$G$3:$U$3,0))</f>
        <v>0.1</v>
      </c>
      <c r="AX28" s="9">
        <f ca="1">OFFSET('RES Techs T15'!$W28,0,MATCH(VLOOKUP('RES Veda input'!AX$3,'RES Assumptions T15'!$V$3:$W$35,2,FALSE),'RES Techs T15'!$G$3:$U$3,0))</f>
        <v>0.1</v>
      </c>
      <c r="AY28" s="9">
        <f ca="1">OFFSET('RES Techs T15'!$W28,0,MATCH(VLOOKUP('RES Veda input'!AY$3,'RES Assumptions T15'!$V$3:$W$35,2,FALSE),'RES Techs T15'!$G$3:$U$3,0))</f>
        <v>0.1</v>
      </c>
      <c r="AZ28" s="9">
        <f ca="1">OFFSET('RES Techs T15'!$W28,0,MATCH(VLOOKUP('RES Veda input'!AZ$3,'RES Assumptions T15'!$V$3:$W$35,2,FALSE),'RES Techs T15'!$G$3:$U$3,0))</f>
        <v>0.1</v>
      </c>
      <c r="BA28" s="9">
        <f ca="1">OFFSET('RES Techs T15'!$W28,0,MATCH(VLOOKUP('RES Veda input'!BA$3,'RES Assumptions T15'!$V$3:$W$35,2,FALSE),'RES Techs T15'!$G$3:$U$3,0))</f>
        <v>0.1</v>
      </c>
      <c r="BB28" s="9">
        <f ca="1">OFFSET('RES Techs T15'!$W28,0,MATCH(VLOOKUP('RES Veda input'!BB$3,'RES Assumptions T15'!$V$3:$W$35,2,FALSE),'RES Techs T15'!$G$3:$U$3,0))</f>
        <v>0.1</v>
      </c>
      <c r="BC28" s="9">
        <f ca="1">OFFSET('RES Techs T15'!$W28,0,MATCH(VLOOKUP('RES Veda input'!BC$3,'RES Assumptions T15'!$V$3:$W$35,2,FALSE),'RES Techs T15'!$G$3:$U$3,0))</f>
        <v>0.1</v>
      </c>
      <c r="BD28" s="9">
        <f ca="1">OFFSET('RES Techs T15'!$W28,0,MATCH(VLOOKUP('RES Veda input'!BD$3,'RES Assumptions T15'!$V$3:$W$35,2,FALSE),'RES Techs T15'!$G$3:$U$3,0))</f>
        <v>0.1</v>
      </c>
      <c r="BE28" s="9">
        <f ca="1">OFFSET('RES Techs T15'!$W28,0,MATCH(VLOOKUP('RES Veda input'!BE$3,'RES Assumptions T15'!$V$3:$W$35,2,FALSE),'RES Techs T15'!$G$3:$U$3,0))</f>
        <v>0.1</v>
      </c>
      <c r="BF28" s="9">
        <f ca="1">OFFSET('RES Techs T15'!$W28,0,MATCH(VLOOKUP('RES Veda input'!BF$3,'RES Assumptions T15'!$V$3:$W$35,2,FALSE),'RES Techs T15'!$G$3:$U$3,0))</f>
        <v>0.1</v>
      </c>
      <c r="BG28" s="9">
        <f ca="1">OFFSET('RES Techs T15'!$W28,0,MATCH(VLOOKUP('RES Veda input'!BG$3,'RES Assumptions T15'!$V$3:$W$35,2,FALSE),'RES Techs T15'!$G$3:$U$3,0))</f>
        <v>0.1</v>
      </c>
      <c r="BH28" s="9">
        <f ca="1">OFFSET('RES Techs T15'!$W28,0,MATCH(VLOOKUP('RES Veda input'!BH$3,'RES Assumptions T15'!$V$3:$W$35,2,FALSE),'RES Techs T15'!$G$3:$U$3,0))</f>
        <v>0.1</v>
      </c>
      <c r="BI28" s="9">
        <f ca="1">OFFSET('RES Techs T15'!$W28,0,MATCH(VLOOKUP('RES Veda input'!BI$3,'RES Assumptions T15'!$V$3:$W$35,2,FALSE),'RES Techs T15'!$G$3:$U$3,0))</f>
        <v>0.1</v>
      </c>
      <c r="BJ28" s="9">
        <f ca="1">OFFSET('RES Techs T15'!$W28,0,MATCH(VLOOKUP('RES Veda input'!BJ$3,'RES Assumptions T15'!$V$3:$W$35,2,FALSE),'RES Techs T15'!$G$3:$U$3,0))</f>
        <v>0.1</v>
      </c>
      <c r="BK28" s="9">
        <f ca="1">OFFSET('RES Techs T15'!$W28,0,MATCH(VLOOKUP('RES Veda input'!BK$3,'RES Assumptions T15'!$V$3:$W$35,2,FALSE),'RES Techs T15'!$G$3:$U$3,0))</f>
        <v>0.1</v>
      </c>
      <c r="BL28" s="9">
        <f ca="1">OFFSET('RES Techs T15'!$W28,0,MATCH(VLOOKUP('RES Veda input'!BL$3,'RES Assumptions T15'!$V$3:$W$35,2,FALSE),'RES Techs T15'!$G$3:$U$3,0))</f>
        <v>0.1</v>
      </c>
      <c r="BM28" s="9">
        <f ca="1">OFFSET('RES Techs T15'!$W28,0,MATCH(VLOOKUP('RES Veda input'!BM$3,'RES Assumptions T15'!$V$3:$W$35,2,FALSE),'RES Techs T15'!$G$3:$U$3,0))</f>
        <v>0.1</v>
      </c>
      <c r="BN28" s="9">
        <f ca="1">OFFSET('RES Techs T15'!$W28,0,MATCH(VLOOKUP('RES Veda input'!BN$3,'RES Assumptions T15'!$V$3:$W$35,2,FALSE),'RES Techs T15'!$G$3:$U$3,0))</f>
        <v>0.1</v>
      </c>
      <c r="BO28" s="9">
        <f ca="1">OFFSET('RES Techs T15'!$W28,0,MATCH(VLOOKUP('RES Veda input'!BO$3,'RES Assumptions T15'!$V$3:$W$35,2,FALSE),'RES Techs T15'!$G$3:$U$3,0))</f>
        <v>0.1</v>
      </c>
      <c r="BP28" s="9">
        <f ca="1">OFFSET('RES Techs T15'!$W28,0,MATCH(VLOOKUP('RES Veda input'!BP$3,'RES Assumptions T15'!$V$3:$W$35,2,FALSE),'RES Techs T15'!$G$3:$U$3,0))</f>
        <v>0.1</v>
      </c>
      <c r="BR28" s="8" t="str">
        <f t="shared" si="61"/>
        <v>RHWDST000</v>
      </c>
      <c r="BS28" s="9">
        <f t="shared" ca="1" si="62"/>
        <v>1.2</v>
      </c>
      <c r="BT28" s="9" t="str">
        <f ca="1">IF(OFFSET('RES Techs T15'!$AO28,0,MATCH(VLOOKUP('RES Veda input'!BT$3,'RES Assumptions T15'!$V$3:$W$35,2,FALSE),'RES Techs T15'!$G$3:$U$3,0))=0,"",OFFSET('RES Techs T15'!$AO28,0,MATCH(VLOOKUP('RES Veda input'!BT$3,'RES Assumptions T15'!$V$3:$W$35,2,FALSE),'RES Techs T15'!$G$3:$U$3,0)))</f>
        <v/>
      </c>
      <c r="BU28" s="9" t="str">
        <f ca="1">IF(OFFSET('RES Techs T15'!$AO28,0,MATCH(VLOOKUP('RES Veda input'!BU$3,'RES Assumptions T15'!$V$3:$W$35,2,FALSE),'RES Techs T15'!$G$3:$U$3,0))=0,"",OFFSET('RES Techs T15'!$AO28,0,MATCH(VLOOKUP('RES Veda input'!BU$3,'RES Assumptions T15'!$V$3:$W$35,2,FALSE),'RES Techs T15'!$G$3:$U$3,0)))</f>
        <v/>
      </c>
      <c r="BV28" s="9">
        <f ca="1">IF(OFFSET('RES Techs T15'!$AO28,0,MATCH(VLOOKUP('RES Veda input'!BV$3,'RES Assumptions T15'!$V$3:$W$35,2,FALSE),'RES Techs T15'!$G$3:$U$3,0))=0,"",OFFSET('RES Techs T15'!$AO28,0,MATCH(VLOOKUP('RES Veda input'!BV$3,'RES Assumptions T15'!$V$3:$W$35,2,FALSE),'RES Techs T15'!$G$3:$U$3,0)))</f>
        <v>1.4</v>
      </c>
      <c r="BW28" s="9" t="str">
        <f ca="1">IF(OFFSET('RES Techs T15'!$AO28,0,MATCH(VLOOKUP('RES Veda input'!BW$3,'RES Assumptions T15'!$V$3:$W$35,2,FALSE),'RES Techs T15'!$G$3:$U$3,0))=0,"",OFFSET('RES Techs T15'!$AO28,0,MATCH(VLOOKUP('RES Veda input'!BW$3,'RES Assumptions T15'!$V$3:$W$35,2,FALSE),'RES Techs T15'!$G$3:$U$3,0)))</f>
        <v/>
      </c>
      <c r="BX28" s="9">
        <f ca="1">IF(OFFSET('RES Techs T15'!$AO28,0,MATCH(VLOOKUP('RES Veda input'!BX$3,'RES Assumptions T15'!$V$3:$W$35,2,FALSE),'RES Techs T15'!$G$3:$U$3,0))=0,"",OFFSET('RES Techs T15'!$AO28,0,MATCH(VLOOKUP('RES Veda input'!BX$3,'RES Assumptions T15'!$V$3:$W$35,2,FALSE),'RES Techs T15'!$G$3:$U$3,0)))</f>
        <v>2</v>
      </c>
      <c r="BY28" s="9">
        <f ca="1">IF(OFFSET('RES Techs T15'!$AO28,0,MATCH(VLOOKUP('RES Veda input'!BY$3,'RES Assumptions T15'!$V$3:$W$35,2,FALSE),'RES Techs T15'!$G$3:$U$3,0))=0,"",OFFSET('RES Techs T15'!$AO28,0,MATCH(VLOOKUP('RES Veda input'!BY$3,'RES Assumptions T15'!$V$3:$W$35,2,FALSE),'RES Techs T15'!$G$3:$U$3,0)))</f>
        <v>1.2</v>
      </c>
      <c r="BZ28" s="9" t="str">
        <f ca="1">IF(OFFSET('RES Techs T15'!$AO28,0,MATCH(VLOOKUP('RES Veda input'!BZ$3,'RES Assumptions T15'!$V$3:$W$35,2,FALSE),'RES Techs T15'!$G$3:$U$3,0))=0,"",OFFSET('RES Techs T15'!$AO28,0,MATCH(VLOOKUP('RES Veda input'!BZ$3,'RES Assumptions T15'!$V$3:$W$35,2,FALSE),'RES Techs T15'!$G$3:$U$3,0)))</f>
        <v/>
      </c>
      <c r="CA28" s="9">
        <f ca="1">IF(OFFSET('RES Techs T15'!$AO28,0,MATCH(VLOOKUP('RES Veda input'!CA$3,'RES Assumptions T15'!$V$3:$W$35,2,FALSE),'RES Techs T15'!$G$3:$U$3,0))=0,"",OFFSET('RES Techs T15'!$AO28,0,MATCH(VLOOKUP('RES Veda input'!CA$3,'RES Assumptions T15'!$V$3:$W$35,2,FALSE),'RES Techs T15'!$G$3:$U$3,0)))</f>
        <v>1.4</v>
      </c>
      <c r="CB28" s="9" t="str">
        <f ca="1">IF(OFFSET('RES Techs T15'!$AO28,0,MATCH(VLOOKUP('RES Veda input'!CB$3,'RES Assumptions T15'!$V$3:$W$35,2,FALSE),'RES Techs T15'!$G$3:$U$3,0))=0,"",OFFSET('RES Techs T15'!$AO28,0,MATCH(VLOOKUP('RES Veda input'!CB$3,'RES Assumptions T15'!$V$3:$W$35,2,FALSE),'RES Techs T15'!$G$3:$U$3,0)))</f>
        <v/>
      </c>
      <c r="CC28" s="9" t="str">
        <f ca="1">IF(OFFSET('RES Techs T15'!$AO28,0,MATCH(VLOOKUP('RES Veda input'!CC$3,'RES Assumptions T15'!$V$3:$W$35,2,FALSE),'RES Techs T15'!$G$3:$U$3,0))=0,"",OFFSET('RES Techs T15'!$AO28,0,MATCH(VLOOKUP('RES Veda input'!CC$3,'RES Assumptions T15'!$V$3:$W$35,2,FALSE),'RES Techs T15'!$G$3:$U$3,0)))</f>
        <v/>
      </c>
      <c r="CD28" s="9" t="str">
        <f ca="1">IF(OFFSET('RES Techs T15'!$AO28,0,MATCH(VLOOKUP('RES Veda input'!CD$3,'RES Assumptions T15'!$V$3:$W$35,2,FALSE),'RES Techs T15'!$G$3:$U$3,0))=0,"",OFFSET('RES Techs T15'!$AO28,0,MATCH(VLOOKUP('RES Veda input'!CD$3,'RES Assumptions T15'!$V$3:$W$35,2,FALSE),'RES Techs T15'!$G$3:$U$3,0)))</f>
        <v/>
      </c>
      <c r="CE28" s="9" t="str">
        <f ca="1">IF(OFFSET('RES Techs T15'!$AO28,0,MATCH(VLOOKUP('RES Veda input'!CE$3,'RES Assumptions T15'!$V$3:$W$35,2,FALSE),'RES Techs T15'!$G$3:$U$3,0))=0,"",OFFSET('RES Techs T15'!$AO28,0,MATCH(VLOOKUP('RES Veda input'!CE$3,'RES Assumptions T15'!$V$3:$W$35,2,FALSE),'RES Techs T15'!$G$3:$U$3,0)))</f>
        <v/>
      </c>
      <c r="CF28" s="9" t="str">
        <f ca="1">IF(OFFSET('RES Techs T15'!$AO28,0,MATCH(VLOOKUP('RES Veda input'!CF$3,'RES Assumptions T15'!$V$3:$W$35,2,FALSE),'RES Techs T15'!$G$3:$U$3,0))=0,"",OFFSET('RES Techs T15'!$AO28,0,MATCH(VLOOKUP('RES Veda input'!CF$3,'RES Assumptions T15'!$V$3:$W$35,2,FALSE),'RES Techs T15'!$G$3:$U$3,0)))</f>
        <v/>
      </c>
      <c r="CG28" s="9" t="str">
        <f ca="1">IF(OFFSET('RES Techs T15'!$AO28,0,MATCH(VLOOKUP('RES Veda input'!CG$3,'RES Assumptions T15'!$V$3:$W$35,2,FALSE),'RES Techs T15'!$G$3:$U$3,0))=0,"",OFFSET('RES Techs T15'!$AO28,0,MATCH(VLOOKUP('RES Veda input'!CG$3,'RES Assumptions T15'!$V$3:$W$35,2,FALSE),'RES Techs T15'!$G$3:$U$3,0)))</f>
        <v/>
      </c>
      <c r="CH28" s="9" t="str">
        <f ca="1">IF(OFFSET('RES Techs T15'!$AO28,0,MATCH(VLOOKUP('RES Veda input'!CH$3,'RES Assumptions T15'!$V$3:$W$35,2,FALSE),'RES Techs T15'!$G$3:$U$3,0))=0,"",OFFSET('RES Techs T15'!$AO28,0,MATCH(VLOOKUP('RES Veda input'!CH$3,'RES Assumptions T15'!$V$3:$W$35,2,FALSE),'RES Techs T15'!$G$3:$U$3,0)))</f>
        <v/>
      </c>
      <c r="CI28" s="9" t="str">
        <f ca="1">IF(OFFSET('RES Techs T15'!$AO28,0,MATCH(VLOOKUP('RES Veda input'!CI$3,'RES Assumptions T15'!$V$3:$W$35,2,FALSE),'RES Techs T15'!$G$3:$U$3,0))=0,"",OFFSET('RES Techs T15'!$AO28,0,MATCH(VLOOKUP('RES Veda input'!CI$3,'RES Assumptions T15'!$V$3:$W$35,2,FALSE),'RES Techs T15'!$G$3:$U$3,0)))</f>
        <v/>
      </c>
      <c r="CJ28" s="9">
        <f ca="1">IF(OFFSET('RES Techs T15'!$AO28,0,MATCH(VLOOKUP('RES Veda input'!CJ$3,'RES Assumptions T15'!$V$3:$W$35,2,FALSE),'RES Techs T15'!$G$3:$U$3,0))=0,"",OFFSET('RES Techs T15'!$AO28,0,MATCH(VLOOKUP('RES Veda input'!CJ$3,'RES Assumptions T15'!$V$3:$W$35,2,FALSE),'RES Techs T15'!$G$3:$U$3,0)))</f>
        <v>1.4</v>
      </c>
      <c r="CK28" s="9" t="str">
        <f ca="1">IF(OFFSET('RES Techs T15'!$AO28,0,MATCH(VLOOKUP('RES Veda input'!CK$3,'RES Assumptions T15'!$V$3:$W$35,2,FALSE),'RES Techs T15'!$G$3:$U$3,0))=0,"",OFFSET('RES Techs T15'!$AO28,0,MATCH(VLOOKUP('RES Veda input'!CK$3,'RES Assumptions T15'!$V$3:$W$35,2,FALSE),'RES Techs T15'!$G$3:$U$3,0)))</f>
        <v/>
      </c>
      <c r="CL28" s="9" t="str">
        <f ca="1">IF(OFFSET('RES Techs T15'!$AO28,0,MATCH(VLOOKUP('RES Veda input'!CL$3,'RES Assumptions T15'!$V$3:$W$35,2,FALSE),'RES Techs T15'!$G$3:$U$3,0))=0,"",OFFSET('RES Techs T15'!$AO28,0,MATCH(VLOOKUP('RES Veda input'!CL$3,'RES Assumptions T15'!$V$3:$W$35,2,FALSE),'RES Techs T15'!$G$3:$U$3,0)))</f>
        <v/>
      </c>
      <c r="CM28" s="9">
        <f ca="1">IF(OFFSET('RES Techs T15'!$AO28,0,MATCH(VLOOKUP('RES Veda input'!CM$3,'RES Assumptions T15'!$V$3:$W$35,2,FALSE),'RES Techs T15'!$G$3:$U$3,0))=0,"",OFFSET('RES Techs T15'!$AO28,0,MATCH(VLOOKUP('RES Veda input'!CM$3,'RES Assumptions T15'!$V$3:$W$35,2,FALSE),'RES Techs T15'!$G$3:$U$3,0)))</f>
        <v>1.2</v>
      </c>
      <c r="CN28" s="9">
        <f ca="1">IF(OFFSET('RES Techs T15'!$AO28,0,MATCH(VLOOKUP('RES Veda input'!CN$3,'RES Assumptions T15'!$V$3:$W$35,2,FALSE),'RES Techs T15'!$G$3:$U$3,0))=0,"",OFFSET('RES Techs T15'!$AO28,0,MATCH(VLOOKUP('RES Veda input'!CN$3,'RES Assumptions T15'!$V$3:$W$35,2,FALSE),'RES Techs T15'!$G$3:$U$3,0)))</f>
        <v>1.4</v>
      </c>
      <c r="CO28" s="9">
        <f ca="1">IF(OFFSET('RES Techs T15'!$AO28,0,MATCH(VLOOKUP('RES Veda input'!CO$3,'RES Assumptions T15'!$V$3:$W$35,2,FALSE),'RES Techs T15'!$G$3:$U$3,0))=0,"",OFFSET('RES Techs T15'!$AO28,0,MATCH(VLOOKUP('RES Veda input'!CO$3,'RES Assumptions T15'!$V$3:$W$35,2,FALSE),'RES Techs T15'!$G$3:$U$3,0)))</f>
        <v>1.6</v>
      </c>
      <c r="CP28" s="9">
        <f ca="1">IF(OFFSET('RES Techs T15'!$AO28,0,MATCH(VLOOKUP('RES Veda input'!CP$3,'RES Assumptions T15'!$V$3:$W$35,2,FALSE),'RES Techs T15'!$G$3:$U$3,0))=0,"",OFFSET('RES Techs T15'!$AO28,0,MATCH(VLOOKUP('RES Veda input'!CP$3,'RES Assumptions T15'!$V$3:$W$35,2,FALSE),'RES Techs T15'!$G$3:$U$3,0)))</f>
        <v>1.4</v>
      </c>
      <c r="CQ28" s="9" t="str">
        <f ca="1">IF(OFFSET('RES Techs T15'!$AO28,0,MATCH(VLOOKUP('RES Veda input'!CQ$3,'RES Assumptions T15'!$V$3:$W$35,2,FALSE),'RES Techs T15'!$G$3:$U$3,0))=0,"",OFFSET('RES Techs T15'!$AO28,0,MATCH(VLOOKUP('RES Veda input'!CQ$3,'RES Assumptions T15'!$V$3:$W$35,2,FALSE),'RES Techs T15'!$G$3:$U$3,0)))</f>
        <v/>
      </c>
      <c r="CR28" s="9" t="str">
        <f ca="1">IF(OFFSET('RES Techs T15'!$AO28,0,MATCH(VLOOKUP('RES Veda input'!CR$3,'RES Assumptions T15'!$V$3:$W$35,2,FALSE),'RES Techs T15'!$G$3:$U$3,0))=0,"",OFFSET('RES Techs T15'!$AO28,0,MATCH(VLOOKUP('RES Veda input'!CR$3,'RES Assumptions T15'!$V$3:$W$35,2,FALSE),'RES Techs T15'!$G$3:$U$3,0)))</f>
        <v/>
      </c>
      <c r="CS28" s="9">
        <f ca="1">IF(OFFSET('RES Techs T15'!$AO28,0,MATCH(VLOOKUP('RES Veda input'!CS$3,'RES Assumptions T15'!$V$3:$W$35,2,FALSE),'RES Techs T15'!$G$3:$U$3,0))=0,"",OFFSET('RES Techs T15'!$AO28,0,MATCH(VLOOKUP('RES Veda input'!CS$3,'RES Assumptions T15'!$V$3:$W$35,2,FALSE),'RES Techs T15'!$G$3:$U$3,0)))</f>
        <v>1.4</v>
      </c>
      <c r="CT28" s="9" t="str">
        <f ca="1">IF(OFFSET('RES Techs T15'!$AO28,0,MATCH(VLOOKUP('RES Veda input'!CT$3,'RES Assumptions T15'!$V$3:$W$35,2,FALSE),'RES Techs T15'!$G$3:$U$3,0))=0,"",OFFSET('RES Techs T15'!$AO28,0,MATCH(VLOOKUP('RES Veda input'!CT$3,'RES Assumptions T15'!$V$3:$W$35,2,FALSE),'RES Techs T15'!$G$3:$U$3,0)))</f>
        <v/>
      </c>
      <c r="CU28" s="9" t="str">
        <f ca="1">IF(OFFSET('RES Techs T15'!$AO28,0,MATCH(VLOOKUP('RES Veda input'!CU$3,'RES Assumptions T15'!$V$3:$W$35,2,FALSE),'RES Techs T15'!$G$3:$U$3,0))=0,"",OFFSET('RES Techs T15'!$AO28,0,MATCH(VLOOKUP('RES Veda input'!CU$3,'RES Assumptions T15'!$V$3:$W$35,2,FALSE),'RES Techs T15'!$G$3:$U$3,0)))</f>
        <v/>
      </c>
      <c r="CV28" s="9">
        <f ca="1">IF(OFFSET('RES Techs T15'!$AO28,0,MATCH(VLOOKUP('RES Veda input'!CV$3,'RES Assumptions T15'!$V$3:$W$35,2,FALSE),'RES Techs T15'!$G$3:$U$3,0))=0,"",OFFSET('RES Techs T15'!$AO28,0,MATCH(VLOOKUP('RES Veda input'!CV$3,'RES Assumptions T15'!$V$3:$W$35,2,FALSE),'RES Techs T15'!$G$3:$U$3,0)))</f>
        <v>0.14000000000000001</v>
      </c>
      <c r="CW28" s="9">
        <f ca="1">IF(OFFSET('RES Techs T15'!$AO28,0,MATCH(VLOOKUP('RES Veda input'!CW$3,'RES Assumptions T15'!$V$3:$W$35,2,FALSE),'RES Techs T15'!$G$3:$U$3,0))=0,"",OFFSET('RES Techs T15'!$AO28,0,MATCH(VLOOKUP('RES Veda input'!CW$3,'RES Assumptions T15'!$V$3:$W$35,2,FALSE),'RES Techs T15'!$G$3:$U$3,0)))</f>
        <v>0.14000000000000001</v>
      </c>
      <c r="CY28" s="8" t="str">
        <f t="shared" si="63"/>
        <v>RHWDST000</v>
      </c>
      <c r="CZ28" s="10">
        <f ca="1">ROUND('RES Assumptions'!E111*'RES Veda input'!G28/'RES Veda input'!AM28,3)</f>
        <v>0.23100000000000001</v>
      </c>
      <c r="DA28" s="10">
        <f ca="1">ROUND('RES Assumptions'!F111*'RES Veda input'!H28/'RES Veda input'!AN28,3)</f>
        <v>9.7850000000000001</v>
      </c>
      <c r="DB28" s="10">
        <f ca="1">ROUND('RES Assumptions'!G111*'RES Veda input'!I28/'RES Veda input'!AO28,3)</f>
        <v>0</v>
      </c>
      <c r="DC28" s="10">
        <f ca="1">ROUND('RES Assumptions'!H111*'RES Veda input'!J28/'RES Veda input'!AP28,3)</f>
        <v>59.203000000000003</v>
      </c>
      <c r="DD28" s="10">
        <f ca="1">ROUND('RES Assumptions'!I111*'RES Veda input'!K28/'RES Veda input'!AQ28,3)</f>
        <v>63.192</v>
      </c>
      <c r="DE28" s="10">
        <f ca="1">ROUND('RES Assumptions'!J111*'RES Veda input'!L28/'RES Veda input'!AR28,3)</f>
        <v>1.7769999999999999</v>
      </c>
      <c r="DF28" s="10">
        <f ca="1">ROUND('RES Assumptions'!K111*'RES Veda input'!M28/'RES Veda input'!AS28,3)</f>
        <v>0.253</v>
      </c>
      <c r="DG28" s="10">
        <f ca="1">ROUND('RES Assumptions'!L111*'RES Veda input'!N28/'RES Veda input'!AT28,3)</f>
        <v>0</v>
      </c>
      <c r="DH28" s="10">
        <f ca="1">ROUND('RES Assumptions'!M111*'RES Veda input'!O28/'RES Veda input'!AU28,3)</f>
        <v>28.321000000000002</v>
      </c>
      <c r="DI28" s="10">
        <f ca="1">ROUND('RES Assumptions'!N111*'RES Veda input'!P28/'RES Veda input'!AV28,3)</f>
        <v>510.43700000000001</v>
      </c>
      <c r="DJ28" s="10">
        <f ca="1">ROUND('RES Assumptions'!O111*'RES Veda input'!Q28/'RES Veda input'!AW28,3)</f>
        <v>22.553000000000001</v>
      </c>
      <c r="DK28" s="10">
        <f ca="1">ROUND('RES Assumptions'!P111*'RES Veda input'!R28/'RES Veda input'!AX28,3)</f>
        <v>17.501999999999999</v>
      </c>
      <c r="DL28" s="10">
        <f ca="1">ROUND('RES Assumptions'!Q111*'RES Veda input'!S28/'RES Veda input'!AY28,3)</f>
        <v>87.81</v>
      </c>
      <c r="DM28" s="10">
        <f ca="1">ROUND('RES Assumptions'!R111*'RES Veda input'!T28/'RES Veda input'!AZ28,3)</f>
        <v>68.100999999999999</v>
      </c>
      <c r="DN28" s="10">
        <f ca="1">ROUND('RES Assumptions'!S111*'RES Veda input'!U28/'RES Veda input'!BA28,3)</f>
        <v>3.0720000000000001</v>
      </c>
      <c r="DO28" s="10">
        <f ca="1">ROUND('RES Assumptions'!T111*'RES Veda input'!V28/'RES Veda input'!BB28,3)</f>
        <v>52.451999999999998</v>
      </c>
      <c r="DP28" s="10">
        <f ca="1">ROUND('RES Assumptions'!U111*'RES Veda input'!W28/'RES Veda input'!BC28,3)</f>
        <v>63.762</v>
      </c>
      <c r="DQ28" s="10">
        <f ca="1">ROUND('RES Assumptions'!V111*'RES Veda input'!X28/'RES Veda input'!BD28,3)</f>
        <v>115.253</v>
      </c>
      <c r="DR28" s="10">
        <f ca="1">ROUND('RES Assumptions'!W111*'RES Veda input'!Y28/'RES Veda input'!BE28,3)</f>
        <v>376.74900000000002</v>
      </c>
      <c r="DS28" s="10">
        <f ca="1">ROUND('RES Assumptions'!X111*'RES Veda input'!Z28/'RES Veda input'!BF28,3)</f>
        <v>0</v>
      </c>
      <c r="DT28" s="10">
        <f ca="1">ROUND('RES Assumptions'!Y111*'RES Veda input'!AA28/'RES Veda input'!BG28,3)</f>
        <v>0.97399999999999998</v>
      </c>
      <c r="DU28" s="10">
        <f ca="1">ROUND('RES Assumptions'!Z111*'RES Veda input'!AB28/'RES Veda input'!BH28,3)</f>
        <v>0</v>
      </c>
      <c r="DV28" s="10">
        <f ca="1">ROUND('RES Assumptions'!AA111*'RES Veda input'!AC28/'RES Veda input'!BI28,3)</f>
        <v>23.625</v>
      </c>
      <c r="DW28" s="10">
        <f ca="1">ROUND('RES Assumptions'!AB111*'RES Veda input'!AD28/'RES Veda input'!BJ28,3)</f>
        <v>0.316</v>
      </c>
      <c r="DX28" s="10">
        <f ca="1">ROUND('RES Assumptions'!AC111*'RES Veda input'!AE28/'RES Veda input'!BK28,3)</f>
        <v>56.984000000000002</v>
      </c>
      <c r="DY28" s="10">
        <f ca="1">ROUND('RES Assumptions'!AD111*'RES Veda input'!AF28/'RES Veda input'!BL28,3)</f>
        <v>0</v>
      </c>
      <c r="DZ28" s="10">
        <f ca="1">ROUND('RES Assumptions'!AE111*'RES Veda input'!AG28/'RES Veda input'!BM28,3)</f>
        <v>0.16700000000000001</v>
      </c>
      <c r="EA28" s="10">
        <f ca="1">ROUND('RES Assumptions'!AF111*'RES Veda input'!AH28/'RES Veda input'!BN28,3)</f>
        <v>5.6859999999999999</v>
      </c>
      <c r="EB28" s="10">
        <f ca="1">ROUND('RES Assumptions'!AG111*'RES Veda input'!AI28/'RES Veda input'!BO28,3)</f>
        <v>349.51400000000001</v>
      </c>
      <c r="EC28" s="10">
        <f ca="1">ROUND('RES Assumptions'!AH111*'RES Veda input'!AJ28/'RES Veda input'!BP28,3)</f>
        <v>0</v>
      </c>
      <c r="ED28">
        <v>15</v>
      </c>
      <c r="EG28" t="s">
        <v>281</v>
      </c>
      <c r="EH28" t="str">
        <f t="shared" si="64"/>
        <v>RHWDST000</v>
      </c>
      <c r="EJ28" t="s">
        <v>282</v>
      </c>
      <c r="EK28" t="s">
        <v>283</v>
      </c>
    </row>
    <row r="29" spans="1:141" x14ac:dyDescent="0.45">
      <c r="A29" s="37" t="str">
        <f>'RES Assumptions'!B112</f>
        <v>RHW</v>
      </c>
      <c r="B29" s="37" t="s">
        <v>139</v>
      </c>
      <c r="D29" s="51" t="s">
        <v>139</v>
      </c>
      <c r="E29" s="8" t="str">
        <f>'RES Assumptions'!A112</f>
        <v>RESELC</v>
      </c>
      <c r="F29" s="8" t="str">
        <f>VLOOKUP(A29,'RES Assumptions'!$AN$87:$AO$97,2,FALSE)</f>
        <v>RHW</v>
      </c>
      <c r="G29" s="9">
        <f ca="1">OFFSET('RES Techs T15'!$F29,0,MATCH(VLOOKUP('RES Veda input'!G$3,'RES Assumptions T15'!$V$3:$W$35,2,FALSE),'RES Techs T15'!$G$3:$U$3,0))</f>
        <v>0.9</v>
      </c>
      <c r="H29" s="9">
        <f ca="1">OFFSET('RES Techs T15'!$F29,0,MATCH(VLOOKUP('RES Veda input'!H$3,'RES Assumptions T15'!$V$3:$W$35,2,FALSE),'RES Techs T15'!$G$3:$U$3,0))</f>
        <v>0.9</v>
      </c>
      <c r="I29" s="9">
        <f ca="1">OFFSET('RES Techs T15'!$F29,0,MATCH(VLOOKUP('RES Veda input'!I$3,'RES Assumptions T15'!$V$3:$W$35,2,FALSE),'RES Techs T15'!$G$3:$U$3,0))</f>
        <v>0.9</v>
      </c>
      <c r="J29" s="9">
        <f ca="1">OFFSET('RES Techs T15'!$F29,0,MATCH(VLOOKUP('RES Veda input'!J$3,'RES Assumptions T15'!$V$3:$W$35,2,FALSE),'RES Techs T15'!$G$3:$U$3,0))</f>
        <v>0.9</v>
      </c>
      <c r="K29" s="9">
        <f ca="1">OFFSET('RES Techs T15'!$F29,0,MATCH(VLOOKUP('RES Veda input'!K$3,'RES Assumptions T15'!$V$3:$W$35,2,FALSE),'RES Techs T15'!$G$3:$U$3,0))</f>
        <v>0.9</v>
      </c>
      <c r="L29" s="9">
        <f ca="1">OFFSET('RES Techs T15'!$F29,0,MATCH(VLOOKUP('RES Veda input'!L$3,'RES Assumptions T15'!$V$3:$W$35,2,FALSE),'RES Techs T15'!$G$3:$U$3,0))</f>
        <v>0.9</v>
      </c>
      <c r="M29" s="9">
        <f ca="1">OFFSET('RES Techs T15'!$F29,0,MATCH(VLOOKUP('RES Veda input'!M$3,'RES Assumptions T15'!$V$3:$W$35,2,FALSE),'RES Techs T15'!$G$3:$U$3,0))</f>
        <v>0.9</v>
      </c>
      <c r="N29" s="9">
        <f ca="1">OFFSET('RES Techs T15'!$F29,0,MATCH(VLOOKUP('RES Veda input'!N$3,'RES Assumptions T15'!$V$3:$W$35,2,FALSE),'RES Techs T15'!$G$3:$U$3,0))</f>
        <v>0.9</v>
      </c>
      <c r="O29" s="9">
        <f ca="1">OFFSET('RES Techs T15'!$F29,0,MATCH(VLOOKUP('RES Veda input'!O$3,'RES Assumptions T15'!$V$3:$W$35,2,FALSE),'RES Techs T15'!$G$3:$U$3,0))</f>
        <v>0.9</v>
      </c>
      <c r="P29" s="9">
        <f ca="1">OFFSET('RES Techs T15'!$F29,0,MATCH(VLOOKUP('RES Veda input'!P$3,'RES Assumptions T15'!$V$3:$W$35,2,FALSE),'RES Techs T15'!$G$3:$U$3,0))</f>
        <v>0.9</v>
      </c>
      <c r="Q29" s="9">
        <f ca="1">OFFSET('RES Techs T15'!$F29,0,MATCH(VLOOKUP('RES Veda input'!Q$3,'RES Assumptions T15'!$V$3:$W$35,2,FALSE),'RES Techs T15'!$G$3:$U$3,0))</f>
        <v>0.9</v>
      </c>
      <c r="R29" s="9">
        <f ca="1">OFFSET('RES Techs T15'!$F29,0,MATCH(VLOOKUP('RES Veda input'!R$3,'RES Assumptions T15'!$V$3:$W$35,2,FALSE),'RES Techs T15'!$G$3:$U$3,0))</f>
        <v>0.9</v>
      </c>
      <c r="S29" s="9">
        <f ca="1">OFFSET('RES Techs T15'!$F29,0,MATCH(VLOOKUP('RES Veda input'!S$3,'RES Assumptions T15'!$V$3:$W$35,2,FALSE),'RES Techs T15'!$G$3:$U$3,0))</f>
        <v>0.9</v>
      </c>
      <c r="T29" s="9">
        <f ca="1">OFFSET('RES Techs T15'!$F29,0,MATCH(VLOOKUP('RES Veda input'!T$3,'RES Assumptions T15'!$V$3:$W$35,2,FALSE),'RES Techs T15'!$G$3:$U$3,0))</f>
        <v>0.9</v>
      </c>
      <c r="U29" s="9">
        <f ca="1">OFFSET('RES Techs T15'!$F29,0,MATCH(VLOOKUP('RES Veda input'!U$3,'RES Assumptions T15'!$V$3:$W$35,2,FALSE),'RES Techs T15'!$G$3:$U$3,0))</f>
        <v>0.9</v>
      </c>
      <c r="V29" s="9">
        <f ca="1">OFFSET('RES Techs T15'!$F29,0,MATCH(VLOOKUP('RES Veda input'!V$3,'RES Assumptions T15'!$V$3:$W$35,2,FALSE),'RES Techs T15'!$G$3:$U$3,0))</f>
        <v>0.9</v>
      </c>
      <c r="W29" s="9">
        <f ca="1">OFFSET('RES Techs T15'!$F29,0,MATCH(VLOOKUP('RES Veda input'!W$3,'RES Assumptions T15'!$V$3:$W$35,2,FALSE),'RES Techs T15'!$G$3:$U$3,0))</f>
        <v>0.9</v>
      </c>
      <c r="X29" s="9">
        <f ca="1">OFFSET('RES Techs T15'!$F29,0,MATCH(VLOOKUP('RES Veda input'!X$3,'RES Assumptions T15'!$V$3:$W$35,2,FALSE),'RES Techs T15'!$G$3:$U$3,0))</f>
        <v>0.9</v>
      </c>
      <c r="Y29" s="9">
        <f ca="1">OFFSET('RES Techs T15'!$F29,0,MATCH(VLOOKUP('RES Veda input'!Y$3,'RES Assumptions T15'!$V$3:$W$35,2,FALSE),'RES Techs T15'!$G$3:$U$3,0))</f>
        <v>0.9</v>
      </c>
      <c r="Z29" s="9">
        <f ca="1">OFFSET('RES Techs T15'!$F29,0,MATCH(VLOOKUP('RES Veda input'!Z$3,'RES Assumptions T15'!$V$3:$W$35,2,FALSE),'RES Techs T15'!$G$3:$U$3,0))</f>
        <v>0.9</v>
      </c>
      <c r="AA29" s="9">
        <f ca="1">OFFSET('RES Techs T15'!$F29,0,MATCH(VLOOKUP('RES Veda input'!AA$3,'RES Assumptions T15'!$V$3:$W$35,2,FALSE),'RES Techs T15'!$G$3:$U$3,0))</f>
        <v>0.9</v>
      </c>
      <c r="AB29" s="9">
        <f ca="1">OFFSET('RES Techs T15'!$F29,0,MATCH(VLOOKUP('RES Veda input'!AB$3,'RES Assumptions T15'!$V$3:$W$35,2,FALSE),'RES Techs T15'!$G$3:$U$3,0))</f>
        <v>0.9</v>
      </c>
      <c r="AC29" s="9">
        <f ca="1">OFFSET('RES Techs T15'!$F29,0,MATCH(VLOOKUP('RES Veda input'!AC$3,'RES Assumptions T15'!$V$3:$W$35,2,FALSE),'RES Techs T15'!$G$3:$U$3,0))</f>
        <v>0.9</v>
      </c>
      <c r="AD29" s="9">
        <f ca="1">OFFSET('RES Techs T15'!$F29,0,MATCH(VLOOKUP('RES Veda input'!AD$3,'RES Assumptions T15'!$V$3:$W$35,2,FALSE),'RES Techs T15'!$G$3:$U$3,0))</f>
        <v>0.9</v>
      </c>
      <c r="AE29" s="9">
        <f ca="1">OFFSET('RES Techs T15'!$F29,0,MATCH(VLOOKUP('RES Veda input'!AE$3,'RES Assumptions T15'!$V$3:$W$35,2,FALSE),'RES Techs T15'!$G$3:$U$3,0))</f>
        <v>0.9</v>
      </c>
      <c r="AF29" s="9">
        <f ca="1">OFFSET('RES Techs T15'!$F29,0,MATCH(VLOOKUP('RES Veda input'!AF$3,'RES Assumptions T15'!$V$3:$W$35,2,FALSE),'RES Techs T15'!$G$3:$U$3,0))</f>
        <v>0.9</v>
      </c>
      <c r="AG29" s="9">
        <f ca="1">OFFSET('RES Techs T15'!$F29,0,MATCH(VLOOKUP('RES Veda input'!AG$3,'RES Assumptions T15'!$V$3:$W$35,2,FALSE),'RES Techs T15'!$G$3:$U$3,0))</f>
        <v>0.9</v>
      </c>
      <c r="AH29" s="9">
        <f ca="1">OFFSET('RES Techs T15'!$F29,0,MATCH(VLOOKUP('RES Veda input'!AH$3,'RES Assumptions T15'!$V$3:$W$35,2,FALSE),'RES Techs T15'!$G$3:$U$3,0))</f>
        <v>0.9</v>
      </c>
      <c r="AI29" s="9">
        <f ca="1">OFFSET('RES Techs T15'!$F29,0,MATCH(VLOOKUP('RES Veda input'!AI$3,'RES Assumptions T15'!$V$3:$W$35,2,FALSE),'RES Techs T15'!$G$3:$U$3,0))</f>
        <v>0.9</v>
      </c>
      <c r="AJ29" s="9">
        <f ca="1">OFFSET('RES Techs T15'!$F29,0,MATCH(VLOOKUP('RES Veda input'!AJ$3,'RES Assumptions T15'!$V$3:$W$35,2,FALSE),'RES Techs T15'!$G$3:$U$3,0))</f>
        <v>0.9</v>
      </c>
      <c r="AL29" s="8" t="str">
        <f t="shared" si="60"/>
        <v>RHWELC000</v>
      </c>
      <c r="AM29" s="9">
        <f ca="1">OFFSET('RES Techs T15'!$W29,0,MATCH(VLOOKUP('RES Veda input'!AM$3,'RES Assumptions T15'!$V$3:$W$35,2,FALSE),'RES Techs T15'!$G$3:$U$3,0))</f>
        <v>0.1</v>
      </c>
      <c r="AN29" s="9">
        <f ca="1">OFFSET('RES Techs T15'!$W29,0,MATCH(VLOOKUP('RES Veda input'!AN$3,'RES Assumptions T15'!$V$3:$W$35,2,FALSE),'RES Techs T15'!$G$3:$U$3,0))</f>
        <v>0.1</v>
      </c>
      <c r="AO29" s="9">
        <f ca="1">OFFSET('RES Techs T15'!$W29,0,MATCH(VLOOKUP('RES Veda input'!AO$3,'RES Assumptions T15'!$V$3:$W$35,2,FALSE),'RES Techs T15'!$G$3:$U$3,0))</f>
        <v>0.1</v>
      </c>
      <c r="AP29" s="9">
        <f ca="1">OFFSET('RES Techs T15'!$W29,0,MATCH(VLOOKUP('RES Veda input'!AP$3,'RES Assumptions T15'!$V$3:$W$35,2,FALSE),'RES Techs T15'!$G$3:$U$3,0))</f>
        <v>0.1</v>
      </c>
      <c r="AQ29" s="9">
        <f ca="1">OFFSET('RES Techs T15'!$W29,0,MATCH(VLOOKUP('RES Veda input'!AQ$3,'RES Assumptions T15'!$V$3:$W$35,2,FALSE),'RES Techs T15'!$G$3:$U$3,0))</f>
        <v>0.1</v>
      </c>
      <c r="AR29" s="9">
        <f ca="1">OFFSET('RES Techs T15'!$W29,0,MATCH(VLOOKUP('RES Veda input'!AR$3,'RES Assumptions T15'!$V$3:$W$35,2,FALSE),'RES Techs T15'!$G$3:$U$3,0))</f>
        <v>0.1</v>
      </c>
      <c r="AS29" s="9">
        <f ca="1">OFFSET('RES Techs T15'!$W29,0,MATCH(VLOOKUP('RES Veda input'!AS$3,'RES Assumptions T15'!$V$3:$W$35,2,FALSE),'RES Techs T15'!$G$3:$U$3,0))</f>
        <v>0.13</v>
      </c>
      <c r="AT29" s="9">
        <f ca="1">OFFSET('RES Techs T15'!$W29,0,MATCH(VLOOKUP('RES Veda input'!AT$3,'RES Assumptions T15'!$V$3:$W$35,2,FALSE),'RES Techs T15'!$G$3:$U$3,0))</f>
        <v>0.1</v>
      </c>
      <c r="AU29" s="9">
        <f ca="1">OFFSET('RES Techs T15'!$W29,0,MATCH(VLOOKUP('RES Veda input'!AU$3,'RES Assumptions T15'!$V$3:$W$35,2,FALSE),'RES Techs T15'!$G$3:$U$3,0))</f>
        <v>0.13</v>
      </c>
      <c r="AV29" s="9">
        <f ca="1">OFFSET('RES Techs T15'!$W29,0,MATCH(VLOOKUP('RES Veda input'!AV$3,'RES Assumptions T15'!$V$3:$W$35,2,FALSE),'RES Techs T15'!$G$3:$U$3,0))</f>
        <v>0.1</v>
      </c>
      <c r="AW29" s="9">
        <f ca="1">OFFSET('RES Techs T15'!$W29,0,MATCH(VLOOKUP('RES Veda input'!AW$3,'RES Assumptions T15'!$V$3:$W$35,2,FALSE),'RES Techs T15'!$G$3:$U$3,0))</f>
        <v>0.1</v>
      </c>
      <c r="AX29" s="9">
        <f ca="1">OFFSET('RES Techs T15'!$W29,0,MATCH(VLOOKUP('RES Veda input'!AX$3,'RES Assumptions T15'!$V$3:$W$35,2,FALSE),'RES Techs T15'!$G$3:$U$3,0))</f>
        <v>0.1</v>
      </c>
      <c r="AY29" s="9">
        <f ca="1">OFFSET('RES Techs T15'!$W29,0,MATCH(VLOOKUP('RES Veda input'!AY$3,'RES Assumptions T15'!$V$3:$W$35,2,FALSE),'RES Techs T15'!$G$3:$U$3,0))</f>
        <v>0.1</v>
      </c>
      <c r="AZ29" s="9">
        <f ca="1">OFFSET('RES Techs T15'!$W29,0,MATCH(VLOOKUP('RES Veda input'!AZ$3,'RES Assumptions T15'!$V$3:$W$35,2,FALSE),'RES Techs T15'!$G$3:$U$3,0))</f>
        <v>0.1</v>
      </c>
      <c r="BA29" s="9">
        <f ca="1">OFFSET('RES Techs T15'!$W29,0,MATCH(VLOOKUP('RES Veda input'!BA$3,'RES Assumptions T15'!$V$3:$W$35,2,FALSE),'RES Techs T15'!$G$3:$U$3,0))</f>
        <v>0.1</v>
      </c>
      <c r="BB29" s="9">
        <f ca="1">OFFSET('RES Techs T15'!$W29,0,MATCH(VLOOKUP('RES Veda input'!BB$3,'RES Assumptions T15'!$V$3:$W$35,2,FALSE),'RES Techs T15'!$G$3:$U$3,0))</f>
        <v>0.1</v>
      </c>
      <c r="BC29" s="9">
        <f ca="1">OFFSET('RES Techs T15'!$W29,0,MATCH(VLOOKUP('RES Veda input'!BC$3,'RES Assumptions T15'!$V$3:$W$35,2,FALSE),'RES Techs T15'!$G$3:$U$3,0))</f>
        <v>0.1</v>
      </c>
      <c r="BD29" s="9">
        <f ca="1">OFFSET('RES Techs T15'!$W29,0,MATCH(VLOOKUP('RES Veda input'!BD$3,'RES Assumptions T15'!$V$3:$W$35,2,FALSE),'RES Techs T15'!$G$3:$U$3,0))</f>
        <v>0.1</v>
      </c>
      <c r="BE29" s="9">
        <f ca="1">OFFSET('RES Techs T15'!$W29,0,MATCH(VLOOKUP('RES Veda input'!BE$3,'RES Assumptions T15'!$V$3:$W$35,2,FALSE),'RES Techs T15'!$G$3:$U$3,0))</f>
        <v>0.1</v>
      </c>
      <c r="BF29" s="9">
        <f ca="1">OFFSET('RES Techs T15'!$W29,0,MATCH(VLOOKUP('RES Veda input'!BF$3,'RES Assumptions T15'!$V$3:$W$35,2,FALSE),'RES Techs T15'!$G$3:$U$3,0))</f>
        <v>0.1</v>
      </c>
      <c r="BG29" s="9">
        <f ca="1">OFFSET('RES Techs T15'!$W29,0,MATCH(VLOOKUP('RES Veda input'!BG$3,'RES Assumptions T15'!$V$3:$W$35,2,FALSE),'RES Techs T15'!$G$3:$U$3,0))</f>
        <v>0.1</v>
      </c>
      <c r="BH29" s="9">
        <f ca="1">OFFSET('RES Techs T15'!$W29,0,MATCH(VLOOKUP('RES Veda input'!BH$3,'RES Assumptions T15'!$V$3:$W$35,2,FALSE),'RES Techs T15'!$G$3:$U$3,0))</f>
        <v>0.1</v>
      </c>
      <c r="BI29" s="9">
        <f ca="1">OFFSET('RES Techs T15'!$W29,0,MATCH(VLOOKUP('RES Veda input'!BI$3,'RES Assumptions T15'!$V$3:$W$35,2,FALSE),'RES Techs T15'!$G$3:$U$3,0))</f>
        <v>0.1</v>
      </c>
      <c r="BJ29" s="9">
        <f ca="1">OFFSET('RES Techs T15'!$W29,0,MATCH(VLOOKUP('RES Veda input'!BJ$3,'RES Assumptions T15'!$V$3:$W$35,2,FALSE),'RES Techs T15'!$G$3:$U$3,0))</f>
        <v>0.1</v>
      </c>
      <c r="BK29" s="9">
        <f ca="1">OFFSET('RES Techs T15'!$W29,0,MATCH(VLOOKUP('RES Veda input'!BK$3,'RES Assumptions T15'!$V$3:$W$35,2,FALSE),'RES Techs T15'!$G$3:$U$3,0))</f>
        <v>0.1</v>
      </c>
      <c r="BL29" s="9">
        <f ca="1">OFFSET('RES Techs T15'!$W29,0,MATCH(VLOOKUP('RES Veda input'!BL$3,'RES Assumptions T15'!$V$3:$W$35,2,FALSE),'RES Techs T15'!$G$3:$U$3,0))</f>
        <v>0.1</v>
      </c>
      <c r="BM29" s="9">
        <f ca="1">OFFSET('RES Techs T15'!$W29,0,MATCH(VLOOKUP('RES Veda input'!BM$3,'RES Assumptions T15'!$V$3:$W$35,2,FALSE),'RES Techs T15'!$G$3:$U$3,0))</f>
        <v>0.1</v>
      </c>
      <c r="BN29" s="9">
        <f ca="1">OFFSET('RES Techs T15'!$W29,0,MATCH(VLOOKUP('RES Veda input'!BN$3,'RES Assumptions T15'!$V$3:$W$35,2,FALSE),'RES Techs T15'!$G$3:$U$3,0))</f>
        <v>0.1</v>
      </c>
      <c r="BO29" s="9">
        <f ca="1">OFFSET('RES Techs T15'!$W29,0,MATCH(VLOOKUP('RES Veda input'!BO$3,'RES Assumptions T15'!$V$3:$W$35,2,FALSE),'RES Techs T15'!$G$3:$U$3,0))</f>
        <v>0.1</v>
      </c>
      <c r="BP29" s="9">
        <f ca="1">OFFSET('RES Techs T15'!$W29,0,MATCH(VLOOKUP('RES Veda input'!BP$3,'RES Assumptions T15'!$V$3:$W$35,2,FALSE),'RES Techs T15'!$G$3:$U$3,0))</f>
        <v>0.1</v>
      </c>
      <c r="BR29" s="8" t="str">
        <f t="shared" si="61"/>
        <v>RHWELC000</v>
      </c>
      <c r="BS29" s="9">
        <f t="shared" ca="1" si="62"/>
        <v>10.8</v>
      </c>
      <c r="BT29" s="9" t="str">
        <f ca="1">IF(OFFSET('RES Techs T15'!$AO29,0,MATCH(VLOOKUP('RES Veda input'!BT$3,'RES Assumptions T15'!$V$3:$W$35,2,FALSE),'RES Techs T15'!$G$3:$U$3,0))=0,"",OFFSET('RES Techs T15'!$AO29,0,MATCH(VLOOKUP('RES Veda input'!BT$3,'RES Assumptions T15'!$V$3:$W$35,2,FALSE),'RES Techs T15'!$G$3:$U$3,0)))</f>
        <v/>
      </c>
      <c r="BU29" s="9" t="str">
        <f ca="1">IF(OFFSET('RES Techs T15'!$AO29,0,MATCH(VLOOKUP('RES Veda input'!BU$3,'RES Assumptions T15'!$V$3:$W$35,2,FALSE),'RES Techs T15'!$G$3:$U$3,0))=0,"",OFFSET('RES Techs T15'!$AO29,0,MATCH(VLOOKUP('RES Veda input'!BU$3,'RES Assumptions T15'!$V$3:$W$35,2,FALSE),'RES Techs T15'!$G$3:$U$3,0)))</f>
        <v/>
      </c>
      <c r="BV29" s="9">
        <f ca="1">IF(OFFSET('RES Techs T15'!$AO29,0,MATCH(VLOOKUP('RES Veda input'!BV$3,'RES Assumptions T15'!$V$3:$W$35,2,FALSE),'RES Techs T15'!$G$3:$U$3,0))=0,"",OFFSET('RES Techs T15'!$AO29,0,MATCH(VLOOKUP('RES Veda input'!BV$3,'RES Assumptions T15'!$V$3:$W$35,2,FALSE),'RES Techs T15'!$G$3:$U$3,0)))</f>
        <v>12.6</v>
      </c>
      <c r="BW29" s="9" t="str">
        <f ca="1">IF(OFFSET('RES Techs T15'!$AO29,0,MATCH(VLOOKUP('RES Veda input'!BW$3,'RES Assumptions T15'!$V$3:$W$35,2,FALSE),'RES Techs T15'!$G$3:$U$3,0))=0,"",OFFSET('RES Techs T15'!$AO29,0,MATCH(VLOOKUP('RES Veda input'!BW$3,'RES Assumptions T15'!$V$3:$W$35,2,FALSE),'RES Techs T15'!$G$3:$U$3,0)))</f>
        <v/>
      </c>
      <c r="BX29" s="9">
        <f ca="1">IF(OFFSET('RES Techs T15'!$AO29,0,MATCH(VLOOKUP('RES Veda input'!BX$3,'RES Assumptions T15'!$V$3:$W$35,2,FALSE),'RES Techs T15'!$G$3:$U$3,0))=0,"",OFFSET('RES Techs T15'!$AO29,0,MATCH(VLOOKUP('RES Veda input'!BX$3,'RES Assumptions T15'!$V$3:$W$35,2,FALSE),'RES Techs T15'!$G$3:$U$3,0)))</f>
        <v>18</v>
      </c>
      <c r="BY29" s="9">
        <f ca="1">IF(OFFSET('RES Techs T15'!$AO29,0,MATCH(VLOOKUP('RES Veda input'!BY$3,'RES Assumptions T15'!$V$3:$W$35,2,FALSE),'RES Techs T15'!$G$3:$U$3,0))=0,"",OFFSET('RES Techs T15'!$AO29,0,MATCH(VLOOKUP('RES Veda input'!BY$3,'RES Assumptions T15'!$V$3:$W$35,2,FALSE),'RES Techs T15'!$G$3:$U$3,0)))</f>
        <v>10.8</v>
      </c>
      <c r="BZ29" s="9" t="str">
        <f ca="1">IF(OFFSET('RES Techs T15'!$AO29,0,MATCH(VLOOKUP('RES Veda input'!BZ$3,'RES Assumptions T15'!$V$3:$W$35,2,FALSE),'RES Techs T15'!$G$3:$U$3,0))=0,"",OFFSET('RES Techs T15'!$AO29,0,MATCH(VLOOKUP('RES Veda input'!BZ$3,'RES Assumptions T15'!$V$3:$W$35,2,FALSE),'RES Techs T15'!$G$3:$U$3,0)))</f>
        <v/>
      </c>
      <c r="CA29" s="9">
        <f ca="1">IF(OFFSET('RES Techs T15'!$AO29,0,MATCH(VLOOKUP('RES Veda input'!CA$3,'RES Assumptions T15'!$V$3:$W$35,2,FALSE),'RES Techs T15'!$G$3:$U$3,0))=0,"",OFFSET('RES Techs T15'!$AO29,0,MATCH(VLOOKUP('RES Veda input'!CA$3,'RES Assumptions T15'!$V$3:$W$35,2,FALSE),'RES Techs T15'!$G$3:$U$3,0)))</f>
        <v>12.6</v>
      </c>
      <c r="CB29" s="9" t="str">
        <f ca="1">IF(OFFSET('RES Techs T15'!$AO29,0,MATCH(VLOOKUP('RES Veda input'!CB$3,'RES Assumptions T15'!$V$3:$W$35,2,FALSE),'RES Techs T15'!$G$3:$U$3,0))=0,"",OFFSET('RES Techs T15'!$AO29,0,MATCH(VLOOKUP('RES Veda input'!CB$3,'RES Assumptions T15'!$V$3:$W$35,2,FALSE),'RES Techs T15'!$G$3:$U$3,0)))</f>
        <v/>
      </c>
      <c r="CC29" s="9" t="str">
        <f ca="1">IF(OFFSET('RES Techs T15'!$AO29,0,MATCH(VLOOKUP('RES Veda input'!CC$3,'RES Assumptions T15'!$V$3:$W$35,2,FALSE),'RES Techs T15'!$G$3:$U$3,0))=0,"",OFFSET('RES Techs T15'!$AO29,0,MATCH(VLOOKUP('RES Veda input'!CC$3,'RES Assumptions T15'!$V$3:$W$35,2,FALSE),'RES Techs T15'!$G$3:$U$3,0)))</f>
        <v/>
      </c>
      <c r="CD29" s="9" t="str">
        <f ca="1">IF(OFFSET('RES Techs T15'!$AO29,0,MATCH(VLOOKUP('RES Veda input'!CD$3,'RES Assumptions T15'!$V$3:$W$35,2,FALSE),'RES Techs T15'!$G$3:$U$3,0))=0,"",OFFSET('RES Techs T15'!$AO29,0,MATCH(VLOOKUP('RES Veda input'!CD$3,'RES Assumptions T15'!$V$3:$W$35,2,FALSE),'RES Techs T15'!$G$3:$U$3,0)))</f>
        <v/>
      </c>
      <c r="CE29" s="9" t="str">
        <f ca="1">IF(OFFSET('RES Techs T15'!$AO29,0,MATCH(VLOOKUP('RES Veda input'!CE$3,'RES Assumptions T15'!$V$3:$W$35,2,FALSE),'RES Techs T15'!$G$3:$U$3,0))=0,"",OFFSET('RES Techs T15'!$AO29,0,MATCH(VLOOKUP('RES Veda input'!CE$3,'RES Assumptions T15'!$V$3:$W$35,2,FALSE),'RES Techs T15'!$G$3:$U$3,0)))</f>
        <v/>
      </c>
      <c r="CF29" s="9" t="str">
        <f ca="1">IF(OFFSET('RES Techs T15'!$AO29,0,MATCH(VLOOKUP('RES Veda input'!CF$3,'RES Assumptions T15'!$V$3:$W$35,2,FALSE),'RES Techs T15'!$G$3:$U$3,0))=0,"",OFFSET('RES Techs T15'!$AO29,0,MATCH(VLOOKUP('RES Veda input'!CF$3,'RES Assumptions T15'!$V$3:$W$35,2,FALSE),'RES Techs T15'!$G$3:$U$3,0)))</f>
        <v/>
      </c>
      <c r="CG29" s="9" t="str">
        <f ca="1">IF(OFFSET('RES Techs T15'!$AO29,0,MATCH(VLOOKUP('RES Veda input'!CG$3,'RES Assumptions T15'!$V$3:$W$35,2,FALSE),'RES Techs T15'!$G$3:$U$3,0))=0,"",OFFSET('RES Techs T15'!$AO29,0,MATCH(VLOOKUP('RES Veda input'!CG$3,'RES Assumptions T15'!$V$3:$W$35,2,FALSE),'RES Techs T15'!$G$3:$U$3,0)))</f>
        <v/>
      </c>
      <c r="CH29" s="9" t="str">
        <f ca="1">IF(OFFSET('RES Techs T15'!$AO29,0,MATCH(VLOOKUP('RES Veda input'!CH$3,'RES Assumptions T15'!$V$3:$W$35,2,FALSE),'RES Techs T15'!$G$3:$U$3,0))=0,"",OFFSET('RES Techs T15'!$AO29,0,MATCH(VLOOKUP('RES Veda input'!CH$3,'RES Assumptions T15'!$V$3:$W$35,2,FALSE),'RES Techs T15'!$G$3:$U$3,0)))</f>
        <v/>
      </c>
      <c r="CI29" s="9" t="str">
        <f ca="1">IF(OFFSET('RES Techs T15'!$AO29,0,MATCH(VLOOKUP('RES Veda input'!CI$3,'RES Assumptions T15'!$V$3:$W$35,2,FALSE),'RES Techs T15'!$G$3:$U$3,0))=0,"",OFFSET('RES Techs T15'!$AO29,0,MATCH(VLOOKUP('RES Veda input'!CI$3,'RES Assumptions T15'!$V$3:$W$35,2,FALSE),'RES Techs T15'!$G$3:$U$3,0)))</f>
        <v/>
      </c>
      <c r="CJ29" s="9">
        <f ca="1">IF(OFFSET('RES Techs T15'!$AO29,0,MATCH(VLOOKUP('RES Veda input'!CJ$3,'RES Assumptions T15'!$V$3:$W$35,2,FALSE),'RES Techs T15'!$G$3:$U$3,0))=0,"",OFFSET('RES Techs T15'!$AO29,0,MATCH(VLOOKUP('RES Veda input'!CJ$3,'RES Assumptions T15'!$V$3:$W$35,2,FALSE),'RES Techs T15'!$G$3:$U$3,0)))</f>
        <v>12.6</v>
      </c>
      <c r="CK29" s="9" t="str">
        <f ca="1">IF(OFFSET('RES Techs T15'!$AO29,0,MATCH(VLOOKUP('RES Veda input'!CK$3,'RES Assumptions T15'!$V$3:$W$35,2,FALSE),'RES Techs T15'!$G$3:$U$3,0))=0,"",OFFSET('RES Techs T15'!$AO29,0,MATCH(VLOOKUP('RES Veda input'!CK$3,'RES Assumptions T15'!$V$3:$W$35,2,FALSE),'RES Techs T15'!$G$3:$U$3,0)))</f>
        <v/>
      </c>
      <c r="CL29" s="9" t="str">
        <f ca="1">IF(OFFSET('RES Techs T15'!$AO29,0,MATCH(VLOOKUP('RES Veda input'!CL$3,'RES Assumptions T15'!$V$3:$W$35,2,FALSE),'RES Techs T15'!$G$3:$U$3,0))=0,"",OFFSET('RES Techs T15'!$AO29,0,MATCH(VLOOKUP('RES Veda input'!CL$3,'RES Assumptions T15'!$V$3:$W$35,2,FALSE),'RES Techs T15'!$G$3:$U$3,0)))</f>
        <v/>
      </c>
      <c r="CM29" s="9">
        <f ca="1">IF(OFFSET('RES Techs T15'!$AO29,0,MATCH(VLOOKUP('RES Veda input'!CM$3,'RES Assumptions T15'!$V$3:$W$35,2,FALSE),'RES Techs T15'!$G$3:$U$3,0))=0,"",OFFSET('RES Techs T15'!$AO29,0,MATCH(VLOOKUP('RES Veda input'!CM$3,'RES Assumptions T15'!$V$3:$W$35,2,FALSE),'RES Techs T15'!$G$3:$U$3,0)))</f>
        <v>10.8</v>
      </c>
      <c r="CN29" s="9">
        <f ca="1">IF(OFFSET('RES Techs T15'!$AO29,0,MATCH(VLOOKUP('RES Veda input'!CN$3,'RES Assumptions T15'!$V$3:$W$35,2,FALSE),'RES Techs T15'!$G$3:$U$3,0))=0,"",OFFSET('RES Techs T15'!$AO29,0,MATCH(VLOOKUP('RES Veda input'!CN$3,'RES Assumptions T15'!$V$3:$W$35,2,FALSE),'RES Techs T15'!$G$3:$U$3,0)))</f>
        <v>12.6</v>
      </c>
      <c r="CO29" s="9">
        <f ca="1">IF(OFFSET('RES Techs T15'!$AO29,0,MATCH(VLOOKUP('RES Veda input'!CO$3,'RES Assumptions T15'!$V$3:$W$35,2,FALSE),'RES Techs T15'!$G$3:$U$3,0))=0,"",OFFSET('RES Techs T15'!$AO29,0,MATCH(VLOOKUP('RES Veda input'!CO$3,'RES Assumptions T15'!$V$3:$W$35,2,FALSE),'RES Techs T15'!$G$3:$U$3,0)))</f>
        <v>14.4</v>
      </c>
      <c r="CP29" s="9">
        <f ca="1">IF(OFFSET('RES Techs T15'!$AO29,0,MATCH(VLOOKUP('RES Veda input'!CP$3,'RES Assumptions T15'!$V$3:$W$35,2,FALSE),'RES Techs T15'!$G$3:$U$3,0))=0,"",OFFSET('RES Techs T15'!$AO29,0,MATCH(VLOOKUP('RES Veda input'!CP$3,'RES Assumptions T15'!$V$3:$W$35,2,FALSE),'RES Techs T15'!$G$3:$U$3,0)))</f>
        <v>12.6</v>
      </c>
      <c r="CQ29" s="9" t="str">
        <f ca="1">IF(OFFSET('RES Techs T15'!$AO29,0,MATCH(VLOOKUP('RES Veda input'!CQ$3,'RES Assumptions T15'!$V$3:$W$35,2,FALSE),'RES Techs T15'!$G$3:$U$3,0))=0,"",OFFSET('RES Techs T15'!$AO29,0,MATCH(VLOOKUP('RES Veda input'!CQ$3,'RES Assumptions T15'!$V$3:$W$35,2,FALSE),'RES Techs T15'!$G$3:$U$3,0)))</f>
        <v/>
      </c>
      <c r="CR29" s="9" t="str">
        <f ca="1">IF(OFFSET('RES Techs T15'!$AO29,0,MATCH(VLOOKUP('RES Veda input'!CR$3,'RES Assumptions T15'!$V$3:$W$35,2,FALSE),'RES Techs T15'!$G$3:$U$3,0))=0,"",OFFSET('RES Techs T15'!$AO29,0,MATCH(VLOOKUP('RES Veda input'!CR$3,'RES Assumptions T15'!$V$3:$W$35,2,FALSE),'RES Techs T15'!$G$3:$U$3,0)))</f>
        <v/>
      </c>
      <c r="CS29" s="9">
        <f ca="1">IF(OFFSET('RES Techs T15'!$AO29,0,MATCH(VLOOKUP('RES Veda input'!CS$3,'RES Assumptions T15'!$V$3:$W$35,2,FALSE),'RES Techs T15'!$G$3:$U$3,0))=0,"",OFFSET('RES Techs T15'!$AO29,0,MATCH(VLOOKUP('RES Veda input'!CS$3,'RES Assumptions T15'!$V$3:$W$35,2,FALSE),'RES Techs T15'!$G$3:$U$3,0)))</f>
        <v>12.6</v>
      </c>
      <c r="CT29" s="9" t="str">
        <f ca="1">IF(OFFSET('RES Techs T15'!$AO29,0,MATCH(VLOOKUP('RES Veda input'!CT$3,'RES Assumptions T15'!$V$3:$W$35,2,FALSE),'RES Techs T15'!$G$3:$U$3,0))=0,"",OFFSET('RES Techs T15'!$AO29,0,MATCH(VLOOKUP('RES Veda input'!CT$3,'RES Assumptions T15'!$V$3:$W$35,2,FALSE),'RES Techs T15'!$G$3:$U$3,0)))</f>
        <v/>
      </c>
      <c r="CU29" s="9" t="str">
        <f ca="1">IF(OFFSET('RES Techs T15'!$AO29,0,MATCH(VLOOKUP('RES Veda input'!CU$3,'RES Assumptions T15'!$V$3:$W$35,2,FALSE),'RES Techs T15'!$G$3:$U$3,0))=0,"",OFFSET('RES Techs T15'!$AO29,0,MATCH(VLOOKUP('RES Veda input'!CU$3,'RES Assumptions T15'!$V$3:$W$35,2,FALSE),'RES Techs T15'!$G$3:$U$3,0)))</f>
        <v/>
      </c>
      <c r="CV29" s="9">
        <f ca="1">IF(OFFSET('RES Techs T15'!$AO29,0,MATCH(VLOOKUP('RES Veda input'!CV$3,'RES Assumptions T15'!$V$3:$W$35,2,FALSE),'RES Techs T15'!$G$3:$U$3,0))=0,"",OFFSET('RES Techs T15'!$AO29,0,MATCH(VLOOKUP('RES Veda input'!CV$3,'RES Assumptions T15'!$V$3:$W$35,2,FALSE),'RES Techs T15'!$G$3:$U$3,0)))</f>
        <v>0.16</v>
      </c>
      <c r="CW29" s="9">
        <f ca="1">IF(OFFSET('RES Techs T15'!$AO29,0,MATCH(VLOOKUP('RES Veda input'!CW$3,'RES Assumptions T15'!$V$3:$W$35,2,FALSE),'RES Techs T15'!$G$3:$U$3,0))=0,"",OFFSET('RES Techs T15'!$AO29,0,MATCH(VLOOKUP('RES Veda input'!CW$3,'RES Assumptions T15'!$V$3:$W$35,2,FALSE),'RES Techs T15'!$G$3:$U$3,0)))</f>
        <v>0.16</v>
      </c>
      <c r="CY29" s="8" t="str">
        <f t="shared" si="63"/>
        <v>RHWELC000</v>
      </c>
      <c r="CZ29" s="10">
        <f ca="1">ROUND('RES Assumptions'!E112*'RES Veda input'!G29/'RES Veda input'!AM29,3)</f>
        <v>184.952</v>
      </c>
      <c r="DA29" s="10">
        <f ca="1">ROUND('RES Assumptions'!F112*'RES Veda input'!H29/'RES Veda input'!AN29,3)</f>
        <v>124.383</v>
      </c>
      <c r="DB29" s="10">
        <f ca="1">ROUND('RES Assumptions'!G112*'RES Veda input'!I29/'RES Veda input'!AO29,3)</f>
        <v>226.834</v>
      </c>
      <c r="DC29" s="10">
        <f ca="1">ROUND('RES Assumptions'!H112*'RES Veda input'!J29/'RES Veda input'!AP29,3)</f>
        <v>74.335999999999999</v>
      </c>
      <c r="DD29" s="10">
        <f ca="1">ROUND('RES Assumptions'!I112*'RES Veda input'!K29/'RES Veda input'!AQ29,3)</f>
        <v>767.18899999999996</v>
      </c>
      <c r="DE29" s="10">
        <f ca="1">ROUND('RES Assumptions'!J112*'RES Veda input'!L29/'RES Veda input'!AR29,3)</f>
        <v>310.08199999999999</v>
      </c>
      <c r="DF29" s="10">
        <f ca="1">ROUND('RES Assumptions'!K112*'RES Veda input'!M29/'RES Veda input'!AS29,3)</f>
        <v>367.69</v>
      </c>
      <c r="DG29" s="10">
        <f ca="1">ROUND('RES Assumptions'!L112*'RES Veda input'!N29/'RES Veda input'!AT29,3)</f>
        <v>569.69100000000003</v>
      </c>
      <c r="DH29" s="10">
        <f ca="1">ROUND('RES Assumptions'!M112*'RES Veda input'!O29/'RES Veda input'!AU29,3)</f>
        <v>543.82000000000005</v>
      </c>
      <c r="DI29" s="10">
        <f ca="1">ROUND('RES Assumptions'!N112*'RES Veda input'!P29/'RES Veda input'!AV29,3)</f>
        <v>6635.5919999999996</v>
      </c>
      <c r="DJ29" s="10">
        <f ca="1">ROUND('RES Assumptions'!O112*'RES Veda input'!Q29/'RES Veda input'!AW29,3)</f>
        <v>263.35000000000002</v>
      </c>
      <c r="DK29" s="10">
        <f ca="1">ROUND('RES Assumptions'!P112*'RES Veda input'!R29/'RES Veda input'!AX29,3)</f>
        <v>363.31299999999999</v>
      </c>
      <c r="DL29" s="10">
        <f ca="1">ROUND('RES Assumptions'!Q112*'RES Veda input'!S29/'RES Veda input'!AY29,3)</f>
        <v>174.584</v>
      </c>
      <c r="DM29" s="10">
        <f ca="1">ROUND('RES Assumptions'!R112*'RES Veda input'!T29/'RES Veda input'!AZ29,3)</f>
        <v>294.09699999999998</v>
      </c>
      <c r="DN29" s="10">
        <f ca="1">ROUND('RES Assumptions'!S112*'RES Veda input'!U29/'RES Veda input'!BA29,3)</f>
        <v>218.12299999999999</v>
      </c>
      <c r="DO29" s="10">
        <f ca="1">ROUND('RES Assumptions'!T112*'RES Veda input'!V29/'RES Veda input'!BB29,3)</f>
        <v>296.18900000000002</v>
      </c>
      <c r="DP29" s="10">
        <f ca="1">ROUND('RES Assumptions'!U112*'RES Veda input'!W29/'RES Veda input'!BC29,3)</f>
        <v>227.923</v>
      </c>
      <c r="DQ29" s="10">
        <f ca="1">ROUND('RES Assumptions'!V112*'RES Veda input'!X29/'RES Veda input'!BD29,3)</f>
        <v>548.78800000000001</v>
      </c>
      <c r="DR29" s="10">
        <f ca="1">ROUND('RES Assumptions'!W112*'RES Veda input'!Y29/'RES Veda input'!BE29,3)</f>
        <v>434.77499999999998</v>
      </c>
      <c r="DS29" s="10">
        <f ca="1">ROUND('RES Assumptions'!X112*'RES Veda input'!Z29/'RES Veda input'!BF29,3)</f>
        <v>0</v>
      </c>
      <c r="DT29" s="10">
        <f ca="1">ROUND('RES Assumptions'!Y112*'RES Veda input'!AA29/'RES Veda input'!BG29,3)</f>
        <v>455.11399999999998</v>
      </c>
      <c r="DU29" s="10">
        <f ca="1">ROUND('RES Assumptions'!Z112*'RES Veda input'!AB29/'RES Veda input'!BH29,3)</f>
        <v>14.872999999999999</v>
      </c>
      <c r="DV29" s="10">
        <f ca="1">ROUND('RES Assumptions'!AA112*'RES Veda input'!AC29/'RES Veda input'!BI29,3)</f>
        <v>414.67</v>
      </c>
      <c r="DW29" s="10">
        <f ca="1">ROUND('RES Assumptions'!AB112*'RES Veda input'!AD29/'RES Veda input'!BJ29,3)</f>
        <v>140.68100000000001</v>
      </c>
      <c r="DX29" s="10">
        <f ca="1">ROUND('RES Assumptions'!AC112*'RES Veda input'!AE29/'RES Veda input'!BK29,3)</f>
        <v>209.17099999999999</v>
      </c>
      <c r="DY29" s="10">
        <f ca="1">ROUND('RES Assumptions'!AD112*'RES Veda input'!AF29/'RES Veda input'!BL29,3)</f>
        <v>199.09200000000001</v>
      </c>
      <c r="DZ29" s="10">
        <f ca="1">ROUND('RES Assumptions'!AE112*'RES Veda input'!AG29/'RES Veda input'!BM29,3)</f>
        <v>78.835999999999999</v>
      </c>
      <c r="EA29" s="10">
        <f ca="1">ROUND('RES Assumptions'!AF112*'RES Veda input'!AH29/'RES Veda input'!BN29,3)</f>
        <v>356.73099999999999</v>
      </c>
      <c r="EB29" s="10">
        <f ca="1">ROUND('RES Assumptions'!AG112*'RES Veda input'!AI29/'RES Veda input'!BO29,3)</f>
        <v>4232.99</v>
      </c>
      <c r="EC29" s="10">
        <f ca="1">ROUND('RES Assumptions'!AH112*'RES Veda input'!AJ29/'RES Veda input'!BP29,3)</f>
        <v>0</v>
      </c>
      <c r="ED29">
        <v>15</v>
      </c>
      <c r="EG29" t="s">
        <v>281</v>
      </c>
      <c r="EH29" t="str">
        <f t="shared" si="64"/>
        <v>RHWELC000</v>
      </c>
      <c r="EJ29" t="s">
        <v>282</v>
      </c>
      <c r="EK29" t="s">
        <v>283</v>
      </c>
    </row>
    <row r="30" spans="1:141" x14ac:dyDescent="0.45">
      <c r="A30" s="37" t="str">
        <f>'RES Assumptions'!B113</f>
        <v>RHW</v>
      </c>
      <c r="B30" s="37" t="s">
        <v>140</v>
      </c>
      <c r="D30" s="51" t="s">
        <v>140</v>
      </c>
      <c r="E30" s="8" t="str">
        <f>'RES Assumptions'!A113</f>
        <v>RESGEO</v>
      </c>
      <c r="F30" s="8" t="str">
        <f>VLOOKUP(A30,'RES Assumptions'!$AN$87:$AO$97,2,FALSE)</f>
        <v>RHW</v>
      </c>
      <c r="G30" s="9">
        <f ca="1">OFFSET('RES Techs T15'!$F30,0,MATCH(VLOOKUP('RES Veda input'!G$3,'RES Assumptions T15'!$V$3:$W$35,2,FALSE),'RES Techs T15'!$G$3:$U$3,0))</f>
        <v>1</v>
      </c>
      <c r="H30" s="9">
        <f ca="1">OFFSET('RES Techs T15'!$F30,0,MATCH(VLOOKUP('RES Veda input'!H$3,'RES Assumptions T15'!$V$3:$W$35,2,FALSE),'RES Techs T15'!$G$3:$U$3,0))</f>
        <v>1</v>
      </c>
      <c r="I30" s="9">
        <f ca="1">OFFSET('RES Techs T15'!$F30,0,MATCH(VLOOKUP('RES Veda input'!I$3,'RES Assumptions T15'!$V$3:$W$35,2,FALSE),'RES Techs T15'!$G$3:$U$3,0))</f>
        <v>1</v>
      </c>
      <c r="J30" s="9">
        <f ca="1">OFFSET('RES Techs T15'!$F30,0,MATCH(VLOOKUP('RES Veda input'!J$3,'RES Assumptions T15'!$V$3:$W$35,2,FALSE),'RES Techs T15'!$G$3:$U$3,0))</f>
        <v>1</v>
      </c>
      <c r="K30" s="9">
        <f ca="1">OFFSET('RES Techs T15'!$F30,0,MATCH(VLOOKUP('RES Veda input'!K$3,'RES Assumptions T15'!$V$3:$W$35,2,FALSE),'RES Techs T15'!$G$3:$U$3,0))</f>
        <v>1</v>
      </c>
      <c r="L30" s="9">
        <f ca="1">OFFSET('RES Techs T15'!$F30,0,MATCH(VLOOKUP('RES Veda input'!L$3,'RES Assumptions T15'!$V$3:$W$35,2,FALSE),'RES Techs T15'!$G$3:$U$3,0))</f>
        <v>1</v>
      </c>
      <c r="M30" s="9">
        <f ca="1">OFFSET('RES Techs T15'!$F30,0,MATCH(VLOOKUP('RES Veda input'!M$3,'RES Assumptions T15'!$V$3:$W$35,2,FALSE),'RES Techs T15'!$G$3:$U$3,0))</f>
        <v>1</v>
      </c>
      <c r="N30" s="9">
        <f ca="1">OFFSET('RES Techs T15'!$F30,0,MATCH(VLOOKUP('RES Veda input'!N$3,'RES Assumptions T15'!$V$3:$W$35,2,FALSE),'RES Techs T15'!$G$3:$U$3,0))</f>
        <v>1</v>
      </c>
      <c r="O30" s="9">
        <f ca="1">OFFSET('RES Techs T15'!$F30,0,MATCH(VLOOKUP('RES Veda input'!O$3,'RES Assumptions T15'!$V$3:$W$35,2,FALSE),'RES Techs T15'!$G$3:$U$3,0))</f>
        <v>1</v>
      </c>
      <c r="P30" s="9">
        <f ca="1">OFFSET('RES Techs T15'!$F30,0,MATCH(VLOOKUP('RES Veda input'!P$3,'RES Assumptions T15'!$V$3:$W$35,2,FALSE),'RES Techs T15'!$G$3:$U$3,0))</f>
        <v>1</v>
      </c>
      <c r="Q30" s="9">
        <f ca="1">OFFSET('RES Techs T15'!$F30,0,MATCH(VLOOKUP('RES Veda input'!Q$3,'RES Assumptions T15'!$V$3:$W$35,2,FALSE),'RES Techs T15'!$G$3:$U$3,0))</f>
        <v>1</v>
      </c>
      <c r="R30" s="9">
        <f ca="1">OFFSET('RES Techs T15'!$F30,0,MATCH(VLOOKUP('RES Veda input'!R$3,'RES Assumptions T15'!$V$3:$W$35,2,FALSE),'RES Techs T15'!$G$3:$U$3,0))</f>
        <v>1</v>
      </c>
      <c r="S30" s="9">
        <f ca="1">OFFSET('RES Techs T15'!$F30,0,MATCH(VLOOKUP('RES Veda input'!S$3,'RES Assumptions T15'!$V$3:$W$35,2,FALSE),'RES Techs T15'!$G$3:$U$3,0))</f>
        <v>1</v>
      </c>
      <c r="T30" s="9">
        <f ca="1">OFFSET('RES Techs T15'!$F30,0,MATCH(VLOOKUP('RES Veda input'!T$3,'RES Assumptions T15'!$V$3:$W$35,2,FALSE),'RES Techs T15'!$G$3:$U$3,0))</f>
        <v>1</v>
      </c>
      <c r="U30" s="9">
        <f ca="1">OFFSET('RES Techs T15'!$F30,0,MATCH(VLOOKUP('RES Veda input'!U$3,'RES Assumptions T15'!$V$3:$W$35,2,FALSE),'RES Techs T15'!$G$3:$U$3,0))</f>
        <v>1</v>
      </c>
      <c r="V30" s="9">
        <f ca="1">OFFSET('RES Techs T15'!$F30,0,MATCH(VLOOKUP('RES Veda input'!V$3,'RES Assumptions T15'!$V$3:$W$35,2,FALSE),'RES Techs T15'!$G$3:$U$3,0))</f>
        <v>1</v>
      </c>
      <c r="W30" s="9">
        <f ca="1">OFFSET('RES Techs T15'!$F30,0,MATCH(VLOOKUP('RES Veda input'!W$3,'RES Assumptions T15'!$V$3:$W$35,2,FALSE),'RES Techs T15'!$G$3:$U$3,0))</f>
        <v>1</v>
      </c>
      <c r="X30" s="9">
        <f ca="1">OFFSET('RES Techs T15'!$F30,0,MATCH(VLOOKUP('RES Veda input'!X$3,'RES Assumptions T15'!$V$3:$W$35,2,FALSE),'RES Techs T15'!$G$3:$U$3,0))</f>
        <v>1</v>
      </c>
      <c r="Y30" s="9">
        <f ca="1">OFFSET('RES Techs T15'!$F30,0,MATCH(VLOOKUP('RES Veda input'!Y$3,'RES Assumptions T15'!$V$3:$W$35,2,FALSE),'RES Techs T15'!$G$3:$U$3,0))</f>
        <v>1</v>
      </c>
      <c r="Z30" s="9">
        <f ca="1">OFFSET('RES Techs T15'!$F30,0,MATCH(VLOOKUP('RES Veda input'!Z$3,'RES Assumptions T15'!$V$3:$W$35,2,FALSE),'RES Techs T15'!$G$3:$U$3,0))</f>
        <v>1</v>
      </c>
      <c r="AA30" s="9">
        <f ca="1">OFFSET('RES Techs T15'!$F30,0,MATCH(VLOOKUP('RES Veda input'!AA$3,'RES Assumptions T15'!$V$3:$W$35,2,FALSE),'RES Techs T15'!$G$3:$U$3,0))</f>
        <v>1</v>
      </c>
      <c r="AB30" s="9">
        <f ca="1">OFFSET('RES Techs T15'!$F30,0,MATCH(VLOOKUP('RES Veda input'!AB$3,'RES Assumptions T15'!$V$3:$W$35,2,FALSE),'RES Techs T15'!$G$3:$U$3,0))</f>
        <v>1</v>
      </c>
      <c r="AC30" s="9">
        <f ca="1">OFFSET('RES Techs T15'!$F30,0,MATCH(VLOOKUP('RES Veda input'!AC$3,'RES Assumptions T15'!$V$3:$W$35,2,FALSE),'RES Techs T15'!$G$3:$U$3,0))</f>
        <v>1</v>
      </c>
      <c r="AD30" s="9">
        <f ca="1">OFFSET('RES Techs T15'!$F30,0,MATCH(VLOOKUP('RES Veda input'!AD$3,'RES Assumptions T15'!$V$3:$W$35,2,FALSE),'RES Techs T15'!$G$3:$U$3,0))</f>
        <v>1</v>
      </c>
      <c r="AE30" s="9">
        <f ca="1">OFFSET('RES Techs T15'!$F30,0,MATCH(VLOOKUP('RES Veda input'!AE$3,'RES Assumptions T15'!$V$3:$W$35,2,FALSE),'RES Techs T15'!$G$3:$U$3,0))</f>
        <v>1</v>
      </c>
      <c r="AF30" s="9">
        <f ca="1">OFFSET('RES Techs T15'!$F30,0,MATCH(VLOOKUP('RES Veda input'!AF$3,'RES Assumptions T15'!$V$3:$W$35,2,FALSE),'RES Techs T15'!$G$3:$U$3,0))</f>
        <v>1</v>
      </c>
      <c r="AG30" s="9">
        <f ca="1">OFFSET('RES Techs T15'!$F30,0,MATCH(VLOOKUP('RES Veda input'!AG$3,'RES Assumptions T15'!$V$3:$W$35,2,FALSE),'RES Techs T15'!$G$3:$U$3,0))</f>
        <v>1</v>
      </c>
      <c r="AH30" s="9">
        <f ca="1">OFFSET('RES Techs T15'!$F30,0,MATCH(VLOOKUP('RES Veda input'!AH$3,'RES Assumptions T15'!$V$3:$W$35,2,FALSE),'RES Techs T15'!$G$3:$U$3,0))</f>
        <v>1</v>
      </c>
      <c r="AI30" s="9">
        <f ca="1">OFFSET('RES Techs T15'!$F30,0,MATCH(VLOOKUP('RES Veda input'!AI$3,'RES Assumptions T15'!$V$3:$W$35,2,FALSE),'RES Techs T15'!$G$3:$U$3,0))</f>
        <v>1</v>
      </c>
      <c r="AJ30" s="9">
        <f ca="1">OFFSET('RES Techs T15'!$F30,0,MATCH(VLOOKUP('RES Veda input'!AJ$3,'RES Assumptions T15'!$V$3:$W$35,2,FALSE),'RES Techs T15'!$G$3:$U$3,0))</f>
        <v>1</v>
      </c>
      <c r="AL30" s="8" t="str">
        <f t="shared" si="60"/>
        <v>RHWGEO000</v>
      </c>
      <c r="AM30" s="9">
        <f ca="1">OFFSET('RES Techs T15'!$W30,0,MATCH(VLOOKUP('RES Veda input'!AM$3,'RES Assumptions T15'!$V$3:$W$35,2,FALSE),'RES Techs T15'!$G$3:$U$3,0))</f>
        <v>0.1</v>
      </c>
      <c r="AN30" s="9">
        <f ca="1">OFFSET('RES Techs T15'!$W30,0,MATCH(VLOOKUP('RES Veda input'!AN$3,'RES Assumptions T15'!$V$3:$W$35,2,FALSE),'RES Techs T15'!$G$3:$U$3,0))</f>
        <v>0.1</v>
      </c>
      <c r="AO30" s="9">
        <f ca="1">OFFSET('RES Techs T15'!$W30,0,MATCH(VLOOKUP('RES Veda input'!AO$3,'RES Assumptions T15'!$V$3:$W$35,2,FALSE),'RES Techs T15'!$G$3:$U$3,0))</f>
        <v>0.1</v>
      </c>
      <c r="AP30" s="9">
        <f ca="1">OFFSET('RES Techs T15'!$W30,0,MATCH(VLOOKUP('RES Veda input'!AP$3,'RES Assumptions T15'!$V$3:$W$35,2,FALSE),'RES Techs T15'!$G$3:$U$3,0))</f>
        <v>0.1</v>
      </c>
      <c r="AQ30" s="9">
        <f ca="1">OFFSET('RES Techs T15'!$W30,0,MATCH(VLOOKUP('RES Veda input'!AQ$3,'RES Assumptions T15'!$V$3:$W$35,2,FALSE),'RES Techs T15'!$G$3:$U$3,0))</f>
        <v>0.1</v>
      </c>
      <c r="AR30" s="9">
        <f ca="1">OFFSET('RES Techs T15'!$W30,0,MATCH(VLOOKUP('RES Veda input'!AR$3,'RES Assumptions T15'!$V$3:$W$35,2,FALSE),'RES Techs T15'!$G$3:$U$3,0))</f>
        <v>0.1</v>
      </c>
      <c r="AS30" s="9">
        <f ca="1">OFFSET('RES Techs T15'!$W30,0,MATCH(VLOOKUP('RES Veda input'!AS$3,'RES Assumptions T15'!$V$3:$W$35,2,FALSE),'RES Techs T15'!$G$3:$U$3,0))</f>
        <v>0.1</v>
      </c>
      <c r="AT30" s="9">
        <f ca="1">OFFSET('RES Techs T15'!$W30,0,MATCH(VLOOKUP('RES Veda input'!AT$3,'RES Assumptions T15'!$V$3:$W$35,2,FALSE),'RES Techs T15'!$G$3:$U$3,0))</f>
        <v>0.1</v>
      </c>
      <c r="AU30" s="9">
        <f ca="1">OFFSET('RES Techs T15'!$W30,0,MATCH(VLOOKUP('RES Veda input'!AU$3,'RES Assumptions T15'!$V$3:$W$35,2,FALSE),'RES Techs T15'!$G$3:$U$3,0))</f>
        <v>0.1</v>
      </c>
      <c r="AV30" s="9">
        <f ca="1">OFFSET('RES Techs T15'!$W30,0,MATCH(VLOOKUP('RES Veda input'!AV$3,'RES Assumptions T15'!$V$3:$W$35,2,FALSE),'RES Techs T15'!$G$3:$U$3,0))</f>
        <v>0.1</v>
      </c>
      <c r="AW30" s="9">
        <f ca="1">OFFSET('RES Techs T15'!$W30,0,MATCH(VLOOKUP('RES Veda input'!AW$3,'RES Assumptions T15'!$V$3:$W$35,2,FALSE),'RES Techs T15'!$G$3:$U$3,0))</f>
        <v>0.1</v>
      </c>
      <c r="AX30" s="9">
        <f ca="1">OFFSET('RES Techs T15'!$W30,0,MATCH(VLOOKUP('RES Veda input'!AX$3,'RES Assumptions T15'!$V$3:$W$35,2,FALSE),'RES Techs T15'!$G$3:$U$3,0))</f>
        <v>0.1</v>
      </c>
      <c r="AY30" s="9">
        <f ca="1">OFFSET('RES Techs T15'!$W30,0,MATCH(VLOOKUP('RES Veda input'!AY$3,'RES Assumptions T15'!$V$3:$W$35,2,FALSE),'RES Techs T15'!$G$3:$U$3,0))</f>
        <v>0.1</v>
      </c>
      <c r="AZ30" s="9">
        <f ca="1">OFFSET('RES Techs T15'!$W30,0,MATCH(VLOOKUP('RES Veda input'!AZ$3,'RES Assumptions T15'!$V$3:$W$35,2,FALSE),'RES Techs T15'!$G$3:$U$3,0))</f>
        <v>0.1</v>
      </c>
      <c r="BA30" s="9">
        <f ca="1">OFFSET('RES Techs T15'!$W30,0,MATCH(VLOOKUP('RES Veda input'!BA$3,'RES Assumptions T15'!$V$3:$W$35,2,FALSE),'RES Techs T15'!$G$3:$U$3,0))</f>
        <v>0.1</v>
      </c>
      <c r="BB30" s="9">
        <f ca="1">OFFSET('RES Techs T15'!$W30,0,MATCH(VLOOKUP('RES Veda input'!BB$3,'RES Assumptions T15'!$V$3:$W$35,2,FALSE),'RES Techs T15'!$G$3:$U$3,0))</f>
        <v>0.1</v>
      </c>
      <c r="BC30" s="9">
        <f ca="1">OFFSET('RES Techs T15'!$W30,0,MATCH(VLOOKUP('RES Veda input'!BC$3,'RES Assumptions T15'!$V$3:$W$35,2,FALSE),'RES Techs T15'!$G$3:$U$3,0))</f>
        <v>0.1</v>
      </c>
      <c r="BD30" s="9">
        <f ca="1">OFFSET('RES Techs T15'!$W30,0,MATCH(VLOOKUP('RES Veda input'!BD$3,'RES Assumptions T15'!$V$3:$W$35,2,FALSE),'RES Techs T15'!$G$3:$U$3,0))</f>
        <v>0.1</v>
      </c>
      <c r="BE30" s="9">
        <f ca="1">OFFSET('RES Techs T15'!$W30,0,MATCH(VLOOKUP('RES Veda input'!BE$3,'RES Assumptions T15'!$V$3:$W$35,2,FALSE),'RES Techs T15'!$G$3:$U$3,0))</f>
        <v>0.1</v>
      </c>
      <c r="BF30" s="9">
        <f ca="1">OFFSET('RES Techs T15'!$W30,0,MATCH(VLOOKUP('RES Veda input'!BF$3,'RES Assumptions T15'!$V$3:$W$35,2,FALSE),'RES Techs T15'!$G$3:$U$3,0))</f>
        <v>0.1</v>
      </c>
      <c r="BG30" s="9">
        <f ca="1">OFFSET('RES Techs T15'!$W30,0,MATCH(VLOOKUP('RES Veda input'!BG$3,'RES Assumptions T15'!$V$3:$W$35,2,FALSE),'RES Techs T15'!$G$3:$U$3,0))</f>
        <v>0.1</v>
      </c>
      <c r="BH30" s="9">
        <f ca="1">OFFSET('RES Techs T15'!$W30,0,MATCH(VLOOKUP('RES Veda input'!BH$3,'RES Assumptions T15'!$V$3:$W$35,2,FALSE),'RES Techs T15'!$G$3:$U$3,0))</f>
        <v>0.1</v>
      </c>
      <c r="BI30" s="9">
        <f ca="1">OFFSET('RES Techs T15'!$W30,0,MATCH(VLOOKUP('RES Veda input'!BI$3,'RES Assumptions T15'!$V$3:$W$35,2,FALSE),'RES Techs T15'!$G$3:$U$3,0))</f>
        <v>0.1</v>
      </c>
      <c r="BJ30" s="9">
        <f ca="1">OFFSET('RES Techs T15'!$W30,0,MATCH(VLOOKUP('RES Veda input'!BJ$3,'RES Assumptions T15'!$V$3:$W$35,2,FALSE),'RES Techs T15'!$G$3:$U$3,0))</f>
        <v>0.1</v>
      </c>
      <c r="BK30" s="9">
        <f ca="1">OFFSET('RES Techs T15'!$W30,0,MATCH(VLOOKUP('RES Veda input'!BK$3,'RES Assumptions T15'!$V$3:$W$35,2,FALSE),'RES Techs T15'!$G$3:$U$3,0))</f>
        <v>0.1</v>
      </c>
      <c r="BL30" s="9">
        <f ca="1">OFFSET('RES Techs T15'!$W30,0,MATCH(VLOOKUP('RES Veda input'!BL$3,'RES Assumptions T15'!$V$3:$W$35,2,FALSE),'RES Techs T15'!$G$3:$U$3,0))</f>
        <v>0.1</v>
      </c>
      <c r="BM30" s="9">
        <f ca="1">OFFSET('RES Techs T15'!$W30,0,MATCH(VLOOKUP('RES Veda input'!BM$3,'RES Assumptions T15'!$V$3:$W$35,2,FALSE),'RES Techs T15'!$G$3:$U$3,0))</f>
        <v>0.1</v>
      </c>
      <c r="BN30" s="9">
        <f ca="1">OFFSET('RES Techs T15'!$W30,0,MATCH(VLOOKUP('RES Veda input'!BN$3,'RES Assumptions T15'!$V$3:$W$35,2,FALSE),'RES Techs T15'!$G$3:$U$3,0))</f>
        <v>0.1</v>
      </c>
      <c r="BO30" s="9">
        <f ca="1">OFFSET('RES Techs T15'!$W30,0,MATCH(VLOOKUP('RES Veda input'!BO$3,'RES Assumptions T15'!$V$3:$W$35,2,FALSE),'RES Techs T15'!$G$3:$U$3,0))</f>
        <v>0.1</v>
      </c>
      <c r="BP30" s="9">
        <f ca="1">OFFSET('RES Techs T15'!$W30,0,MATCH(VLOOKUP('RES Veda input'!BP$3,'RES Assumptions T15'!$V$3:$W$35,2,FALSE),'RES Techs T15'!$G$3:$U$3,0))</f>
        <v>0.1</v>
      </c>
      <c r="BR30" s="8" t="str">
        <f t="shared" si="61"/>
        <v>RHWGEO000</v>
      </c>
      <c r="BS30" s="9">
        <f t="shared" ca="1" si="62"/>
        <v>0.98399999999999999</v>
      </c>
      <c r="BT30" s="9">
        <f ca="1">IF(OFFSET('RES Techs T15'!$AO30,0,MATCH(VLOOKUP('RES Veda input'!BT$3,'RES Assumptions T15'!$V$3:$W$35,2,FALSE),'RES Techs T15'!$G$3:$U$3,0))=0,"",OFFSET('RES Techs T15'!$AO30,0,MATCH(VLOOKUP('RES Veda input'!BT$3,'RES Assumptions T15'!$V$3:$W$35,2,FALSE),'RES Techs T15'!$G$3:$U$3,0)))</f>
        <v>1.1479999999999999</v>
      </c>
      <c r="BU30" s="9">
        <f ca="1">IF(OFFSET('RES Techs T15'!$AO30,0,MATCH(VLOOKUP('RES Veda input'!BU$3,'RES Assumptions T15'!$V$3:$W$35,2,FALSE),'RES Techs T15'!$G$3:$U$3,0))=0,"",OFFSET('RES Techs T15'!$AO30,0,MATCH(VLOOKUP('RES Veda input'!BU$3,'RES Assumptions T15'!$V$3:$W$35,2,FALSE),'RES Techs T15'!$G$3:$U$3,0)))</f>
        <v>1.1479999999999999</v>
      </c>
      <c r="BV30" s="9">
        <f ca="1">IF(OFFSET('RES Techs T15'!$AO30,0,MATCH(VLOOKUP('RES Veda input'!BV$3,'RES Assumptions T15'!$V$3:$W$35,2,FALSE),'RES Techs T15'!$G$3:$U$3,0))=0,"",OFFSET('RES Techs T15'!$AO30,0,MATCH(VLOOKUP('RES Veda input'!BV$3,'RES Assumptions T15'!$V$3:$W$35,2,FALSE),'RES Techs T15'!$G$3:$U$3,0)))</f>
        <v>1.1479999999999999</v>
      </c>
      <c r="BW30" s="9">
        <f ca="1">IF(OFFSET('RES Techs T15'!$AO30,0,MATCH(VLOOKUP('RES Veda input'!BW$3,'RES Assumptions T15'!$V$3:$W$35,2,FALSE),'RES Techs T15'!$G$3:$U$3,0))=0,"",OFFSET('RES Techs T15'!$AO30,0,MATCH(VLOOKUP('RES Veda input'!BW$3,'RES Assumptions T15'!$V$3:$W$35,2,FALSE),'RES Techs T15'!$G$3:$U$3,0)))</f>
        <v>1.1479999999999999</v>
      </c>
      <c r="BX30" s="9">
        <f ca="1">IF(OFFSET('RES Techs T15'!$AO30,0,MATCH(VLOOKUP('RES Veda input'!BX$3,'RES Assumptions T15'!$V$3:$W$35,2,FALSE),'RES Techs T15'!$G$3:$U$3,0))=0,"",OFFSET('RES Techs T15'!$AO30,0,MATCH(VLOOKUP('RES Veda input'!BX$3,'RES Assumptions T15'!$V$3:$W$35,2,FALSE),'RES Techs T15'!$G$3:$U$3,0)))</f>
        <v>1.64</v>
      </c>
      <c r="BY30" s="9">
        <f ca="1">IF(OFFSET('RES Techs T15'!$AO30,0,MATCH(VLOOKUP('RES Veda input'!BY$3,'RES Assumptions T15'!$V$3:$W$35,2,FALSE),'RES Techs T15'!$G$3:$U$3,0))=0,"",OFFSET('RES Techs T15'!$AO30,0,MATCH(VLOOKUP('RES Veda input'!BY$3,'RES Assumptions T15'!$V$3:$W$35,2,FALSE),'RES Techs T15'!$G$3:$U$3,0)))</f>
        <v>0.98399999999999999</v>
      </c>
      <c r="BZ30" s="9">
        <f ca="1">IF(OFFSET('RES Techs T15'!$AO30,0,MATCH(VLOOKUP('RES Veda input'!BZ$3,'RES Assumptions T15'!$V$3:$W$35,2,FALSE),'RES Techs T15'!$G$3:$U$3,0))=0,"",OFFSET('RES Techs T15'!$AO30,0,MATCH(VLOOKUP('RES Veda input'!BZ$3,'RES Assumptions T15'!$V$3:$W$35,2,FALSE),'RES Techs T15'!$G$3:$U$3,0)))</f>
        <v>1.3120000000000001</v>
      </c>
      <c r="CA30" s="9">
        <f ca="1">IF(OFFSET('RES Techs T15'!$AO30,0,MATCH(VLOOKUP('RES Veda input'!CA$3,'RES Assumptions T15'!$V$3:$W$35,2,FALSE),'RES Techs T15'!$G$3:$U$3,0))=0,"",OFFSET('RES Techs T15'!$AO30,0,MATCH(VLOOKUP('RES Veda input'!CA$3,'RES Assumptions T15'!$V$3:$W$35,2,FALSE),'RES Techs T15'!$G$3:$U$3,0)))</f>
        <v>1.1479999999999999</v>
      </c>
      <c r="CB30" s="9">
        <f ca="1">IF(OFFSET('RES Techs T15'!$AO30,0,MATCH(VLOOKUP('RES Veda input'!CB$3,'RES Assumptions T15'!$V$3:$W$35,2,FALSE),'RES Techs T15'!$G$3:$U$3,0))=0,"",OFFSET('RES Techs T15'!$AO30,0,MATCH(VLOOKUP('RES Veda input'!CB$3,'RES Assumptions T15'!$V$3:$W$35,2,FALSE),'RES Techs T15'!$G$3:$U$3,0)))</f>
        <v>1.64</v>
      </c>
      <c r="CC30" s="9">
        <f ca="1">IF(OFFSET('RES Techs T15'!$AO30,0,MATCH(VLOOKUP('RES Veda input'!CC$3,'RES Assumptions T15'!$V$3:$W$35,2,FALSE),'RES Techs T15'!$G$3:$U$3,0))=0,"",OFFSET('RES Techs T15'!$AO30,0,MATCH(VLOOKUP('RES Veda input'!CC$3,'RES Assumptions T15'!$V$3:$W$35,2,FALSE),'RES Techs T15'!$G$3:$U$3,0)))</f>
        <v>0.98399999999999999</v>
      </c>
      <c r="CD30" s="9">
        <f ca="1">IF(OFFSET('RES Techs T15'!$AO30,0,MATCH(VLOOKUP('RES Veda input'!CD$3,'RES Assumptions T15'!$V$3:$W$35,2,FALSE),'RES Techs T15'!$G$3:$U$3,0))=0,"",OFFSET('RES Techs T15'!$AO30,0,MATCH(VLOOKUP('RES Veda input'!CD$3,'RES Assumptions T15'!$V$3:$W$35,2,FALSE),'RES Techs T15'!$G$3:$U$3,0)))</f>
        <v>1.476</v>
      </c>
      <c r="CE30" s="9">
        <f ca="1">IF(OFFSET('RES Techs T15'!$AO30,0,MATCH(VLOOKUP('RES Veda input'!CE$3,'RES Assumptions T15'!$V$3:$W$35,2,FALSE),'RES Techs T15'!$G$3:$U$3,0))=0,"",OFFSET('RES Techs T15'!$AO30,0,MATCH(VLOOKUP('RES Veda input'!CE$3,'RES Assumptions T15'!$V$3:$W$35,2,FALSE),'RES Techs T15'!$G$3:$U$3,0)))</f>
        <v>1.1479999999999999</v>
      </c>
      <c r="CF30" s="9">
        <f ca="1">IF(OFFSET('RES Techs T15'!$AO30,0,MATCH(VLOOKUP('RES Veda input'!CF$3,'RES Assumptions T15'!$V$3:$W$35,2,FALSE),'RES Techs T15'!$G$3:$U$3,0))=0,"",OFFSET('RES Techs T15'!$AO30,0,MATCH(VLOOKUP('RES Veda input'!CF$3,'RES Assumptions T15'!$V$3:$W$35,2,FALSE),'RES Techs T15'!$G$3:$U$3,0)))</f>
        <v>1.476</v>
      </c>
      <c r="CG30" s="9">
        <f ca="1">IF(OFFSET('RES Techs T15'!$AO30,0,MATCH(VLOOKUP('RES Veda input'!CG$3,'RES Assumptions T15'!$V$3:$W$35,2,FALSE),'RES Techs T15'!$G$3:$U$3,0))=0,"",OFFSET('RES Techs T15'!$AO30,0,MATCH(VLOOKUP('RES Veda input'!CG$3,'RES Assumptions T15'!$V$3:$W$35,2,FALSE),'RES Techs T15'!$G$3:$U$3,0)))</f>
        <v>1.476</v>
      </c>
      <c r="CH30" s="9">
        <f ca="1">IF(OFFSET('RES Techs T15'!$AO30,0,MATCH(VLOOKUP('RES Veda input'!CH$3,'RES Assumptions T15'!$V$3:$W$35,2,FALSE),'RES Techs T15'!$G$3:$U$3,0))=0,"",OFFSET('RES Techs T15'!$AO30,0,MATCH(VLOOKUP('RES Veda input'!CH$3,'RES Assumptions T15'!$V$3:$W$35,2,FALSE),'RES Techs T15'!$G$3:$U$3,0)))</f>
        <v>1.1479999999999999</v>
      </c>
      <c r="CI30" s="9">
        <f ca="1">IF(OFFSET('RES Techs T15'!$AO30,0,MATCH(VLOOKUP('RES Veda input'!CI$3,'RES Assumptions T15'!$V$3:$W$35,2,FALSE),'RES Techs T15'!$G$3:$U$3,0))=0,"",OFFSET('RES Techs T15'!$AO30,0,MATCH(VLOOKUP('RES Veda input'!CI$3,'RES Assumptions T15'!$V$3:$W$35,2,FALSE),'RES Techs T15'!$G$3:$U$3,0)))</f>
        <v>1.476</v>
      </c>
      <c r="CJ30" s="9">
        <f ca="1">IF(OFFSET('RES Techs T15'!$AO30,0,MATCH(VLOOKUP('RES Veda input'!CJ$3,'RES Assumptions T15'!$V$3:$W$35,2,FALSE),'RES Techs T15'!$G$3:$U$3,0))=0,"",OFFSET('RES Techs T15'!$AO30,0,MATCH(VLOOKUP('RES Veda input'!CJ$3,'RES Assumptions T15'!$V$3:$W$35,2,FALSE),'RES Techs T15'!$G$3:$U$3,0)))</f>
        <v>1.1479999999999999</v>
      </c>
      <c r="CK30" s="9">
        <f ca="1">IF(OFFSET('RES Techs T15'!$AO30,0,MATCH(VLOOKUP('RES Veda input'!CK$3,'RES Assumptions T15'!$V$3:$W$35,2,FALSE),'RES Techs T15'!$G$3:$U$3,0))=0,"",OFFSET('RES Techs T15'!$AO30,0,MATCH(VLOOKUP('RES Veda input'!CK$3,'RES Assumptions T15'!$V$3:$W$35,2,FALSE),'RES Techs T15'!$G$3:$U$3,0)))</f>
        <v>1.476</v>
      </c>
      <c r="CL30" s="9">
        <f ca="1">IF(OFFSET('RES Techs T15'!$AO30,0,MATCH(VLOOKUP('RES Veda input'!CL$3,'RES Assumptions T15'!$V$3:$W$35,2,FALSE),'RES Techs T15'!$G$3:$U$3,0))=0,"",OFFSET('RES Techs T15'!$AO30,0,MATCH(VLOOKUP('RES Veda input'!CL$3,'RES Assumptions T15'!$V$3:$W$35,2,FALSE),'RES Techs T15'!$G$3:$U$3,0)))</f>
        <v>1.476</v>
      </c>
      <c r="CM30" s="9">
        <f ca="1">IF(OFFSET('RES Techs T15'!$AO30,0,MATCH(VLOOKUP('RES Veda input'!CM$3,'RES Assumptions T15'!$V$3:$W$35,2,FALSE),'RES Techs T15'!$G$3:$U$3,0))=0,"",OFFSET('RES Techs T15'!$AO30,0,MATCH(VLOOKUP('RES Veda input'!CM$3,'RES Assumptions T15'!$V$3:$W$35,2,FALSE),'RES Techs T15'!$G$3:$U$3,0)))</f>
        <v>0.98399999999999999</v>
      </c>
      <c r="CN30" s="9">
        <f ca="1">IF(OFFSET('RES Techs T15'!$AO30,0,MATCH(VLOOKUP('RES Veda input'!CN$3,'RES Assumptions T15'!$V$3:$W$35,2,FALSE),'RES Techs T15'!$G$3:$U$3,0))=0,"",OFFSET('RES Techs T15'!$AO30,0,MATCH(VLOOKUP('RES Veda input'!CN$3,'RES Assumptions T15'!$V$3:$W$35,2,FALSE),'RES Techs T15'!$G$3:$U$3,0)))</f>
        <v>1.1479999999999999</v>
      </c>
      <c r="CO30" s="9">
        <f ca="1">IF(OFFSET('RES Techs T15'!$AO30,0,MATCH(VLOOKUP('RES Veda input'!CO$3,'RES Assumptions T15'!$V$3:$W$35,2,FALSE),'RES Techs T15'!$G$3:$U$3,0))=0,"",OFFSET('RES Techs T15'!$AO30,0,MATCH(VLOOKUP('RES Veda input'!CO$3,'RES Assumptions T15'!$V$3:$W$35,2,FALSE),'RES Techs T15'!$G$3:$U$3,0)))</f>
        <v>1.3120000000000001</v>
      </c>
      <c r="CP30" s="9">
        <f ca="1">IF(OFFSET('RES Techs T15'!$AO30,0,MATCH(VLOOKUP('RES Veda input'!CP$3,'RES Assumptions T15'!$V$3:$W$35,2,FALSE),'RES Techs T15'!$G$3:$U$3,0))=0,"",OFFSET('RES Techs T15'!$AO30,0,MATCH(VLOOKUP('RES Veda input'!CP$3,'RES Assumptions T15'!$V$3:$W$35,2,FALSE),'RES Techs T15'!$G$3:$U$3,0)))</f>
        <v>1.1479999999999999</v>
      </c>
      <c r="CQ30" s="9">
        <f ca="1">IF(OFFSET('RES Techs T15'!$AO30,0,MATCH(VLOOKUP('RES Veda input'!CQ$3,'RES Assumptions T15'!$V$3:$W$35,2,FALSE),'RES Techs T15'!$G$3:$U$3,0))=0,"",OFFSET('RES Techs T15'!$AO30,0,MATCH(VLOOKUP('RES Veda input'!CQ$3,'RES Assumptions T15'!$V$3:$W$35,2,FALSE),'RES Techs T15'!$G$3:$U$3,0)))</f>
        <v>1.476</v>
      </c>
      <c r="CR30" s="9">
        <f ca="1">IF(OFFSET('RES Techs T15'!$AO30,0,MATCH(VLOOKUP('RES Veda input'!CR$3,'RES Assumptions T15'!$V$3:$W$35,2,FALSE),'RES Techs T15'!$G$3:$U$3,0))=0,"",OFFSET('RES Techs T15'!$AO30,0,MATCH(VLOOKUP('RES Veda input'!CR$3,'RES Assumptions T15'!$V$3:$W$35,2,FALSE),'RES Techs T15'!$G$3:$U$3,0)))</f>
        <v>1.1479999999999999</v>
      </c>
      <c r="CS30" s="9">
        <f ca="1">IF(OFFSET('RES Techs T15'!$AO30,0,MATCH(VLOOKUP('RES Veda input'!CS$3,'RES Assumptions T15'!$V$3:$W$35,2,FALSE),'RES Techs T15'!$G$3:$U$3,0))=0,"",OFFSET('RES Techs T15'!$AO30,0,MATCH(VLOOKUP('RES Veda input'!CS$3,'RES Assumptions T15'!$V$3:$W$35,2,FALSE),'RES Techs T15'!$G$3:$U$3,0)))</f>
        <v>1.1479999999999999</v>
      </c>
      <c r="CT30" s="9">
        <f ca="1">IF(OFFSET('RES Techs T15'!$AO30,0,MATCH(VLOOKUP('RES Veda input'!CT$3,'RES Assumptions T15'!$V$3:$W$35,2,FALSE),'RES Techs T15'!$G$3:$U$3,0))=0,"",OFFSET('RES Techs T15'!$AO30,0,MATCH(VLOOKUP('RES Veda input'!CT$3,'RES Assumptions T15'!$V$3:$W$35,2,FALSE),'RES Techs T15'!$G$3:$U$3,0)))</f>
        <v>1.1479999999999999</v>
      </c>
      <c r="CU30" s="9">
        <f ca="1">IF(OFFSET('RES Techs T15'!$AO30,0,MATCH(VLOOKUP('RES Veda input'!CU$3,'RES Assumptions T15'!$V$3:$W$35,2,FALSE),'RES Techs T15'!$G$3:$U$3,0))=0,"",OFFSET('RES Techs T15'!$AO30,0,MATCH(VLOOKUP('RES Veda input'!CU$3,'RES Assumptions T15'!$V$3:$W$35,2,FALSE),'RES Techs T15'!$G$3:$U$3,0)))</f>
        <v>1.476</v>
      </c>
      <c r="CV30" s="9">
        <f ca="1">IF(OFFSET('RES Techs T15'!$AO30,0,MATCH(VLOOKUP('RES Veda input'!CV$3,'RES Assumptions T15'!$V$3:$W$35,2,FALSE),'RES Techs T15'!$G$3:$U$3,0))=0,"",OFFSET('RES Techs T15'!$AO30,0,MATCH(VLOOKUP('RES Veda input'!CV$3,'RES Assumptions T15'!$V$3:$W$35,2,FALSE),'RES Techs T15'!$G$3:$U$3,0)))</f>
        <v>1.64</v>
      </c>
      <c r="CW30" s="9">
        <f ca="1">IF(OFFSET('RES Techs T15'!$AO30,0,MATCH(VLOOKUP('RES Veda input'!CW$3,'RES Assumptions T15'!$V$3:$W$35,2,FALSE),'RES Techs T15'!$G$3:$U$3,0))=0,"",OFFSET('RES Techs T15'!$AO30,0,MATCH(VLOOKUP('RES Veda input'!CW$3,'RES Assumptions T15'!$V$3:$W$35,2,FALSE),'RES Techs T15'!$G$3:$U$3,0)))</f>
        <v>1.64</v>
      </c>
      <c r="CY30" s="8" t="str">
        <f t="shared" si="63"/>
        <v>RHWGEO000</v>
      </c>
      <c r="CZ30" s="10">
        <f ca="1">ROUND('RES Assumptions'!E113*'RES Veda input'!G30/'RES Veda input'!AM30,3)</f>
        <v>0</v>
      </c>
      <c r="DA30" s="10">
        <f ca="1">ROUND('RES Assumptions'!F113*'RES Veda input'!H30/'RES Veda input'!AN30,3)</f>
        <v>0</v>
      </c>
      <c r="DB30" s="10">
        <f ca="1">ROUND('RES Assumptions'!G113*'RES Veda input'!I30/'RES Veda input'!AO30,3)</f>
        <v>0</v>
      </c>
      <c r="DC30" s="10">
        <f ca="1">ROUND('RES Assumptions'!H113*'RES Veda input'!J30/'RES Veda input'!AP30,3)</f>
        <v>0</v>
      </c>
      <c r="DD30" s="10">
        <f ca="1">ROUND('RES Assumptions'!I113*'RES Veda input'!K30/'RES Veda input'!AQ30,3)</f>
        <v>0</v>
      </c>
      <c r="DE30" s="10">
        <f ca="1">ROUND('RES Assumptions'!J113*'RES Veda input'!L30/'RES Veda input'!AR30,3)</f>
        <v>0</v>
      </c>
      <c r="DF30" s="10">
        <f ca="1">ROUND('RES Assumptions'!K113*'RES Veda input'!M30/'RES Veda input'!AS30,3)</f>
        <v>0</v>
      </c>
      <c r="DG30" s="10">
        <f ca="1">ROUND('RES Assumptions'!L113*'RES Veda input'!N30/'RES Veda input'!AT30,3)</f>
        <v>0</v>
      </c>
      <c r="DH30" s="10">
        <f ca="1">ROUND('RES Assumptions'!M113*'RES Veda input'!O30/'RES Veda input'!AU30,3)</f>
        <v>0</v>
      </c>
      <c r="DI30" s="10">
        <f ca="1">ROUND('RES Assumptions'!N113*'RES Veda input'!P30/'RES Veda input'!AV30,3)</f>
        <v>0</v>
      </c>
      <c r="DJ30" s="10">
        <f ca="1">ROUND('RES Assumptions'!O113*'RES Veda input'!Q30/'RES Veda input'!AW30,3)</f>
        <v>0</v>
      </c>
      <c r="DK30" s="10">
        <f ca="1">ROUND('RES Assumptions'!P113*'RES Veda input'!R30/'RES Veda input'!AX30,3)</f>
        <v>0</v>
      </c>
      <c r="DL30" s="10">
        <f ca="1">ROUND('RES Assumptions'!Q113*'RES Veda input'!S30/'RES Veda input'!AY30,3)</f>
        <v>0</v>
      </c>
      <c r="DM30" s="10">
        <f ca="1">ROUND('RES Assumptions'!R113*'RES Veda input'!T30/'RES Veda input'!AZ30,3)</f>
        <v>0</v>
      </c>
      <c r="DN30" s="10">
        <f ca="1">ROUND('RES Assumptions'!S113*'RES Veda input'!U30/'RES Veda input'!BA30,3)</f>
        <v>0</v>
      </c>
      <c r="DO30" s="10">
        <f ca="1">ROUND('RES Assumptions'!T113*'RES Veda input'!V30/'RES Veda input'!BB30,3)</f>
        <v>0</v>
      </c>
      <c r="DP30" s="10">
        <f ca="1">ROUND('RES Assumptions'!U113*'RES Veda input'!W30/'RES Veda input'!BC30,3)</f>
        <v>0</v>
      </c>
      <c r="DQ30" s="10">
        <f ca="1">ROUND('RES Assumptions'!V113*'RES Veda input'!X30/'RES Veda input'!BD30,3)</f>
        <v>0</v>
      </c>
      <c r="DR30" s="10">
        <f ca="1">ROUND('RES Assumptions'!W113*'RES Veda input'!Y30/'RES Veda input'!BE30,3)</f>
        <v>0</v>
      </c>
      <c r="DS30" s="10">
        <f ca="1">ROUND('RES Assumptions'!X113*'RES Veda input'!Z30/'RES Veda input'!BF30,3)</f>
        <v>0</v>
      </c>
      <c r="DT30" s="10">
        <f ca="1">ROUND('RES Assumptions'!Y113*'RES Veda input'!AA30/'RES Veda input'!BG30,3)</f>
        <v>0</v>
      </c>
      <c r="DU30" s="10">
        <f ca="1">ROUND('RES Assumptions'!Z113*'RES Veda input'!AB30/'RES Veda input'!BH30,3)</f>
        <v>0</v>
      </c>
      <c r="DV30" s="10">
        <f ca="1">ROUND('RES Assumptions'!AA113*'RES Veda input'!AC30/'RES Veda input'!BI30,3)</f>
        <v>0</v>
      </c>
      <c r="DW30" s="10">
        <f ca="1">ROUND('RES Assumptions'!AB113*'RES Veda input'!AD30/'RES Veda input'!BJ30,3)</f>
        <v>0</v>
      </c>
      <c r="DX30" s="10">
        <f ca="1">ROUND('RES Assumptions'!AC113*'RES Veda input'!AE30/'RES Veda input'!BK30,3)</f>
        <v>0</v>
      </c>
      <c r="DY30" s="10">
        <f ca="1">ROUND('RES Assumptions'!AD113*'RES Veda input'!AF30/'RES Veda input'!BL30,3)</f>
        <v>0</v>
      </c>
      <c r="DZ30" s="10">
        <f ca="1">ROUND('RES Assumptions'!AE113*'RES Veda input'!AG30/'RES Veda input'!BM30,3)</f>
        <v>0</v>
      </c>
      <c r="EA30" s="10">
        <f ca="1">ROUND('RES Assumptions'!AF113*'RES Veda input'!AH30/'RES Veda input'!BN30,3)</f>
        <v>0</v>
      </c>
      <c r="EB30" s="10">
        <f ca="1">ROUND('RES Assumptions'!AG113*'RES Veda input'!AI30/'RES Veda input'!BO30,3)</f>
        <v>0</v>
      </c>
      <c r="EC30" s="10">
        <f ca="1">ROUND('RES Assumptions'!AH113*'RES Veda input'!AJ30/'RES Veda input'!BP30,3)</f>
        <v>0</v>
      </c>
      <c r="ED30">
        <v>20</v>
      </c>
      <c r="EG30" t="s">
        <v>281</v>
      </c>
      <c r="EH30" t="str">
        <f t="shared" si="64"/>
        <v>RHWGEO000</v>
      </c>
      <c r="EJ30" t="s">
        <v>282</v>
      </c>
      <c r="EK30" t="s">
        <v>283</v>
      </c>
    </row>
    <row r="31" spans="1:141" x14ac:dyDescent="0.45">
      <c r="A31" s="37" t="str">
        <f>'RES Assumptions'!B114</f>
        <v>RHW</v>
      </c>
      <c r="B31" s="37" t="s">
        <v>141</v>
      </c>
      <c r="D31" s="51" t="s">
        <v>141</v>
      </c>
      <c r="E31" s="8" t="str">
        <f>'RES Assumptions'!A114</f>
        <v>RESHET</v>
      </c>
      <c r="F31" s="8" t="str">
        <f>VLOOKUP(A31,'RES Assumptions'!$AN$87:$AO$97,2,FALSE)</f>
        <v>RHW</v>
      </c>
      <c r="G31" s="9">
        <f ca="1">OFFSET('RES Techs T15'!$F31,0,MATCH(VLOOKUP('RES Veda input'!G$3,'RES Assumptions T15'!$V$3:$W$35,2,FALSE),'RES Techs T15'!$G$3:$U$3,0))</f>
        <v>1</v>
      </c>
      <c r="H31" s="9">
        <f ca="1">OFFSET('RES Techs T15'!$F31,0,MATCH(VLOOKUP('RES Veda input'!H$3,'RES Assumptions T15'!$V$3:$W$35,2,FALSE),'RES Techs T15'!$G$3:$U$3,0))</f>
        <v>1</v>
      </c>
      <c r="I31" s="9">
        <f ca="1">OFFSET('RES Techs T15'!$F31,0,MATCH(VLOOKUP('RES Veda input'!I$3,'RES Assumptions T15'!$V$3:$W$35,2,FALSE),'RES Techs T15'!$G$3:$U$3,0))</f>
        <v>1</v>
      </c>
      <c r="J31" s="9">
        <f ca="1">OFFSET('RES Techs T15'!$F31,0,MATCH(VLOOKUP('RES Veda input'!J$3,'RES Assumptions T15'!$V$3:$W$35,2,FALSE),'RES Techs T15'!$G$3:$U$3,0))</f>
        <v>1</v>
      </c>
      <c r="K31" s="9">
        <f ca="1">OFFSET('RES Techs T15'!$F31,0,MATCH(VLOOKUP('RES Veda input'!K$3,'RES Assumptions T15'!$V$3:$W$35,2,FALSE),'RES Techs T15'!$G$3:$U$3,0))</f>
        <v>1</v>
      </c>
      <c r="L31" s="9">
        <f ca="1">OFFSET('RES Techs T15'!$F31,0,MATCH(VLOOKUP('RES Veda input'!L$3,'RES Assumptions T15'!$V$3:$W$35,2,FALSE),'RES Techs T15'!$G$3:$U$3,0))</f>
        <v>1</v>
      </c>
      <c r="M31" s="9">
        <f ca="1">OFFSET('RES Techs T15'!$F31,0,MATCH(VLOOKUP('RES Veda input'!M$3,'RES Assumptions T15'!$V$3:$W$35,2,FALSE),'RES Techs T15'!$G$3:$U$3,0))</f>
        <v>1</v>
      </c>
      <c r="N31" s="9">
        <f ca="1">OFFSET('RES Techs T15'!$F31,0,MATCH(VLOOKUP('RES Veda input'!N$3,'RES Assumptions T15'!$V$3:$W$35,2,FALSE),'RES Techs T15'!$G$3:$U$3,0))</f>
        <v>1</v>
      </c>
      <c r="O31" s="9">
        <f ca="1">OFFSET('RES Techs T15'!$F31,0,MATCH(VLOOKUP('RES Veda input'!O$3,'RES Assumptions T15'!$V$3:$W$35,2,FALSE),'RES Techs T15'!$G$3:$U$3,0))</f>
        <v>1</v>
      </c>
      <c r="P31" s="9">
        <f ca="1">OFFSET('RES Techs T15'!$F31,0,MATCH(VLOOKUP('RES Veda input'!P$3,'RES Assumptions T15'!$V$3:$W$35,2,FALSE),'RES Techs T15'!$G$3:$U$3,0))</f>
        <v>1</v>
      </c>
      <c r="Q31" s="9">
        <f ca="1">OFFSET('RES Techs T15'!$F31,0,MATCH(VLOOKUP('RES Veda input'!Q$3,'RES Assumptions T15'!$V$3:$W$35,2,FALSE),'RES Techs T15'!$G$3:$U$3,0))</f>
        <v>1</v>
      </c>
      <c r="R31" s="9">
        <f ca="1">OFFSET('RES Techs T15'!$F31,0,MATCH(VLOOKUP('RES Veda input'!R$3,'RES Assumptions T15'!$V$3:$W$35,2,FALSE),'RES Techs T15'!$G$3:$U$3,0))</f>
        <v>1</v>
      </c>
      <c r="S31" s="9">
        <f ca="1">OFFSET('RES Techs T15'!$F31,0,MATCH(VLOOKUP('RES Veda input'!S$3,'RES Assumptions T15'!$V$3:$W$35,2,FALSE),'RES Techs T15'!$G$3:$U$3,0))</f>
        <v>1</v>
      </c>
      <c r="T31" s="9">
        <f ca="1">OFFSET('RES Techs T15'!$F31,0,MATCH(VLOOKUP('RES Veda input'!T$3,'RES Assumptions T15'!$V$3:$W$35,2,FALSE),'RES Techs T15'!$G$3:$U$3,0))</f>
        <v>1</v>
      </c>
      <c r="U31" s="9">
        <f ca="1">OFFSET('RES Techs T15'!$F31,0,MATCH(VLOOKUP('RES Veda input'!U$3,'RES Assumptions T15'!$V$3:$W$35,2,FALSE),'RES Techs T15'!$G$3:$U$3,0))</f>
        <v>1</v>
      </c>
      <c r="V31" s="9">
        <f ca="1">OFFSET('RES Techs T15'!$F31,0,MATCH(VLOOKUP('RES Veda input'!V$3,'RES Assumptions T15'!$V$3:$W$35,2,FALSE),'RES Techs T15'!$G$3:$U$3,0))</f>
        <v>1</v>
      </c>
      <c r="W31" s="9">
        <f ca="1">OFFSET('RES Techs T15'!$F31,0,MATCH(VLOOKUP('RES Veda input'!W$3,'RES Assumptions T15'!$V$3:$W$35,2,FALSE),'RES Techs T15'!$G$3:$U$3,0))</f>
        <v>1</v>
      </c>
      <c r="X31" s="9">
        <f ca="1">OFFSET('RES Techs T15'!$F31,0,MATCH(VLOOKUP('RES Veda input'!X$3,'RES Assumptions T15'!$V$3:$W$35,2,FALSE),'RES Techs T15'!$G$3:$U$3,0))</f>
        <v>1</v>
      </c>
      <c r="Y31" s="9">
        <f ca="1">OFFSET('RES Techs T15'!$F31,0,MATCH(VLOOKUP('RES Veda input'!Y$3,'RES Assumptions T15'!$V$3:$W$35,2,FALSE),'RES Techs T15'!$G$3:$U$3,0))</f>
        <v>1</v>
      </c>
      <c r="Z31" s="9">
        <f ca="1">OFFSET('RES Techs T15'!$F31,0,MATCH(VLOOKUP('RES Veda input'!Z$3,'RES Assumptions T15'!$V$3:$W$35,2,FALSE),'RES Techs T15'!$G$3:$U$3,0))</f>
        <v>1</v>
      </c>
      <c r="AA31" s="9">
        <f ca="1">OFFSET('RES Techs T15'!$F31,0,MATCH(VLOOKUP('RES Veda input'!AA$3,'RES Assumptions T15'!$V$3:$W$35,2,FALSE),'RES Techs T15'!$G$3:$U$3,0))</f>
        <v>1</v>
      </c>
      <c r="AB31" s="9">
        <f ca="1">OFFSET('RES Techs T15'!$F31,0,MATCH(VLOOKUP('RES Veda input'!AB$3,'RES Assumptions T15'!$V$3:$W$35,2,FALSE),'RES Techs T15'!$G$3:$U$3,0))</f>
        <v>1</v>
      </c>
      <c r="AC31" s="9">
        <f ca="1">OFFSET('RES Techs T15'!$F31,0,MATCH(VLOOKUP('RES Veda input'!AC$3,'RES Assumptions T15'!$V$3:$W$35,2,FALSE),'RES Techs T15'!$G$3:$U$3,0))</f>
        <v>1</v>
      </c>
      <c r="AD31" s="9">
        <f ca="1">OFFSET('RES Techs T15'!$F31,0,MATCH(VLOOKUP('RES Veda input'!AD$3,'RES Assumptions T15'!$V$3:$W$35,2,FALSE),'RES Techs T15'!$G$3:$U$3,0))</f>
        <v>1</v>
      </c>
      <c r="AE31" s="9">
        <f ca="1">OFFSET('RES Techs T15'!$F31,0,MATCH(VLOOKUP('RES Veda input'!AE$3,'RES Assumptions T15'!$V$3:$W$35,2,FALSE),'RES Techs T15'!$G$3:$U$3,0))</f>
        <v>1</v>
      </c>
      <c r="AF31" s="9">
        <f ca="1">OFFSET('RES Techs T15'!$F31,0,MATCH(VLOOKUP('RES Veda input'!AF$3,'RES Assumptions T15'!$V$3:$W$35,2,FALSE),'RES Techs T15'!$G$3:$U$3,0))</f>
        <v>1</v>
      </c>
      <c r="AG31" s="9">
        <f ca="1">OFFSET('RES Techs T15'!$F31,0,MATCH(VLOOKUP('RES Veda input'!AG$3,'RES Assumptions T15'!$V$3:$W$35,2,FALSE),'RES Techs T15'!$G$3:$U$3,0))</f>
        <v>1</v>
      </c>
      <c r="AH31" s="9">
        <f ca="1">OFFSET('RES Techs T15'!$F31,0,MATCH(VLOOKUP('RES Veda input'!AH$3,'RES Assumptions T15'!$V$3:$W$35,2,FALSE),'RES Techs T15'!$G$3:$U$3,0))</f>
        <v>1</v>
      </c>
      <c r="AI31" s="9">
        <f ca="1">OFFSET('RES Techs T15'!$F31,0,MATCH(VLOOKUP('RES Veda input'!AI$3,'RES Assumptions T15'!$V$3:$W$35,2,FALSE),'RES Techs T15'!$G$3:$U$3,0))</f>
        <v>1</v>
      </c>
      <c r="AJ31" s="9">
        <f ca="1">OFFSET('RES Techs T15'!$F31,0,MATCH(VLOOKUP('RES Veda input'!AJ$3,'RES Assumptions T15'!$V$3:$W$35,2,FALSE),'RES Techs T15'!$G$3:$U$3,0))</f>
        <v>1</v>
      </c>
      <c r="AL31" s="8" t="str">
        <f t="shared" si="60"/>
        <v>RHWHET000</v>
      </c>
      <c r="AM31" s="9">
        <f ca="1">OFFSET('RES Techs T15'!$W31,0,MATCH(VLOOKUP('RES Veda input'!AM$3,'RES Assumptions T15'!$V$3:$W$35,2,FALSE),'RES Techs T15'!$G$3:$U$3,0))</f>
        <v>0.1</v>
      </c>
      <c r="AN31" s="9">
        <f ca="1">OFFSET('RES Techs T15'!$W31,0,MATCH(VLOOKUP('RES Veda input'!AN$3,'RES Assumptions T15'!$V$3:$W$35,2,FALSE),'RES Techs T15'!$G$3:$U$3,0))</f>
        <v>0.1</v>
      </c>
      <c r="AO31" s="9">
        <f ca="1">OFFSET('RES Techs T15'!$W31,0,MATCH(VLOOKUP('RES Veda input'!AO$3,'RES Assumptions T15'!$V$3:$W$35,2,FALSE),'RES Techs T15'!$G$3:$U$3,0))</f>
        <v>0.1</v>
      </c>
      <c r="AP31" s="9">
        <f ca="1">OFFSET('RES Techs T15'!$W31,0,MATCH(VLOOKUP('RES Veda input'!AP$3,'RES Assumptions T15'!$V$3:$W$35,2,FALSE),'RES Techs T15'!$G$3:$U$3,0))</f>
        <v>0.1</v>
      </c>
      <c r="AQ31" s="9">
        <f ca="1">OFFSET('RES Techs T15'!$W31,0,MATCH(VLOOKUP('RES Veda input'!AQ$3,'RES Assumptions T15'!$V$3:$W$35,2,FALSE),'RES Techs T15'!$G$3:$U$3,0))</f>
        <v>0.1</v>
      </c>
      <c r="AR31" s="9">
        <f ca="1">OFFSET('RES Techs T15'!$W31,0,MATCH(VLOOKUP('RES Veda input'!AR$3,'RES Assumptions T15'!$V$3:$W$35,2,FALSE),'RES Techs T15'!$G$3:$U$3,0))</f>
        <v>0.1</v>
      </c>
      <c r="AS31" s="9">
        <f ca="1">OFFSET('RES Techs T15'!$W31,0,MATCH(VLOOKUP('RES Veda input'!AS$3,'RES Assumptions T15'!$V$3:$W$35,2,FALSE),'RES Techs T15'!$G$3:$U$3,0))</f>
        <v>0.1</v>
      </c>
      <c r="AT31" s="9">
        <f ca="1">OFFSET('RES Techs T15'!$W31,0,MATCH(VLOOKUP('RES Veda input'!AT$3,'RES Assumptions T15'!$V$3:$W$35,2,FALSE),'RES Techs T15'!$G$3:$U$3,0))</f>
        <v>0.1</v>
      </c>
      <c r="AU31" s="9">
        <f ca="1">OFFSET('RES Techs T15'!$W31,0,MATCH(VLOOKUP('RES Veda input'!AU$3,'RES Assumptions T15'!$V$3:$W$35,2,FALSE),'RES Techs T15'!$G$3:$U$3,0))</f>
        <v>0.1</v>
      </c>
      <c r="AV31" s="9">
        <f ca="1">OFFSET('RES Techs T15'!$W31,0,MATCH(VLOOKUP('RES Veda input'!AV$3,'RES Assumptions T15'!$V$3:$W$35,2,FALSE),'RES Techs T15'!$G$3:$U$3,0))</f>
        <v>0.1</v>
      </c>
      <c r="AW31" s="9">
        <f ca="1">OFFSET('RES Techs T15'!$W31,0,MATCH(VLOOKUP('RES Veda input'!AW$3,'RES Assumptions T15'!$V$3:$W$35,2,FALSE),'RES Techs T15'!$G$3:$U$3,0))</f>
        <v>0.1</v>
      </c>
      <c r="AX31" s="9">
        <f ca="1">OFFSET('RES Techs T15'!$W31,0,MATCH(VLOOKUP('RES Veda input'!AX$3,'RES Assumptions T15'!$V$3:$W$35,2,FALSE),'RES Techs T15'!$G$3:$U$3,0))</f>
        <v>0.1</v>
      </c>
      <c r="AY31" s="9">
        <f ca="1">OFFSET('RES Techs T15'!$W31,0,MATCH(VLOOKUP('RES Veda input'!AY$3,'RES Assumptions T15'!$V$3:$W$35,2,FALSE),'RES Techs T15'!$G$3:$U$3,0))</f>
        <v>0.1</v>
      </c>
      <c r="AZ31" s="9">
        <f ca="1">OFFSET('RES Techs T15'!$W31,0,MATCH(VLOOKUP('RES Veda input'!AZ$3,'RES Assumptions T15'!$V$3:$W$35,2,FALSE),'RES Techs T15'!$G$3:$U$3,0))</f>
        <v>0.1</v>
      </c>
      <c r="BA31" s="9">
        <f ca="1">OFFSET('RES Techs T15'!$W31,0,MATCH(VLOOKUP('RES Veda input'!BA$3,'RES Assumptions T15'!$V$3:$W$35,2,FALSE),'RES Techs T15'!$G$3:$U$3,0))</f>
        <v>0.1</v>
      </c>
      <c r="BB31" s="9">
        <f ca="1">OFFSET('RES Techs T15'!$W31,0,MATCH(VLOOKUP('RES Veda input'!BB$3,'RES Assumptions T15'!$V$3:$W$35,2,FALSE),'RES Techs T15'!$G$3:$U$3,0))</f>
        <v>0.1</v>
      </c>
      <c r="BC31" s="9">
        <f ca="1">OFFSET('RES Techs T15'!$W31,0,MATCH(VLOOKUP('RES Veda input'!BC$3,'RES Assumptions T15'!$V$3:$W$35,2,FALSE),'RES Techs T15'!$G$3:$U$3,0))</f>
        <v>0.1</v>
      </c>
      <c r="BD31" s="9">
        <f ca="1">OFFSET('RES Techs T15'!$W31,0,MATCH(VLOOKUP('RES Veda input'!BD$3,'RES Assumptions T15'!$V$3:$W$35,2,FALSE),'RES Techs T15'!$G$3:$U$3,0))</f>
        <v>0.1</v>
      </c>
      <c r="BE31" s="9">
        <f ca="1">OFFSET('RES Techs T15'!$W31,0,MATCH(VLOOKUP('RES Veda input'!BE$3,'RES Assumptions T15'!$V$3:$W$35,2,FALSE),'RES Techs T15'!$G$3:$U$3,0))</f>
        <v>0.1</v>
      </c>
      <c r="BF31" s="9">
        <f ca="1">OFFSET('RES Techs T15'!$W31,0,MATCH(VLOOKUP('RES Veda input'!BF$3,'RES Assumptions T15'!$V$3:$W$35,2,FALSE),'RES Techs T15'!$G$3:$U$3,0))</f>
        <v>0.1</v>
      </c>
      <c r="BG31" s="9">
        <f ca="1">OFFSET('RES Techs T15'!$W31,0,MATCH(VLOOKUP('RES Veda input'!BG$3,'RES Assumptions T15'!$V$3:$W$35,2,FALSE),'RES Techs T15'!$G$3:$U$3,0))</f>
        <v>0.1</v>
      </c>
      <c r="BH31" s="9">
        <f ca="1">OFFSET('RES Techs T15'!$W31,0,MATCH(VLOOKUP('RES Veda input'!BH$3,'RES Assumptions T15'!$V$3:$W$35,2,FALSE),'RES Techs T15'!$G$3:$U$3,0))</f>
        <v>0.1</v>
      </c>
      <c r="BI31" s="9">
        <f ca="1">OFFSET('RES Techs T15'!$W31,0,MATCH(VLOOKUP('RES Veda input'!BI$3,'RES Assumptions T15'!$V$3:$W$35,2,FALSE),'RES Techs T15'!$G$3:$U$3,0))</f>
        <v>0.1</v>
      </c>
      <c r="BJ31" s="9">
        <f ca="1">OFFSET('RES Techs T15'!$W31,0,MATCH(VLOOKUP('RES Veda input'!BJ$3,'RES Assumptions T15'!$V$3:$W$35,2,FALSE),'RES Techs T15'!$G$3:$U$3,0))</f>
        <v>0.1</v>
      </c>
      <c r="BK31" s="9">
        <f ca="1">OFFSET('RES Techs T15'!$W31,0,MATCH(VLOOKUP('RES Veda input'!BK$3,'RES Assumptions T15'!$V$3:$W$35,2,FALSE),'RES Techs T15'!$G$3:$U$3,0))</f>
        <v>0.1</v>
      </c>
      <c r="BL31" s="9">
        <f ca="1">OFFSET('RES Techs T15'!$W31,0,MATCH(VLOOKUP('RES Veda input'!BL$3,'RES Assumptions T15'!$V$3:$W$35,2,FALSE),'RES Techs T15'!$G$3:$U$3,0))</f>
        <v>0.1</v>
      </c>
      <c r="BM31" s="9">
        <f ca="1">OFFSET('RES Techs T15'!$W31,0,MATCH(VLOOKUP('RES Veda input'!BM$3,'RES Assumptions T15'!$V$3:$W$35,2,FALSE),'RES Techs T15'!$G$3:$U$3,0))</f>
        <v>0.1</v>
      </c>
      <c r="BN31" s="9">
        <f ca="1">OFFSET('RES Techs T15'!$W31,0,MATCH(VLOOKUP('RES Veda input'!BN$3,'RES Assumptions T15'!$V$3:$W$35,2,FALSE),'RES Techs T15'!$G$3:$U$3,0))</f>
        <v>0.1</v>
      </c>
      <c r="BO31" s="9">
        <f ca="1">OFFSET('RES Techs T15'!$W31,0,MATCH(VLOOKUP('RES Veda input'!BO$3,'RES Assumptions T15'!$V$3:$W$35,2,FALSE),'RES Techs T15'!$G$3:$U$3,0))</f>
        <v>0.1</v>
      </c>
      <c r="BP31" s="9">
        <f ca="1">OFFSET('RES Techs T15'!$W31,0,MATCH(VLOOKUP('RES Veda input'!BP$3,'RES Assumptions T15'!$V$3:$W$35,2,FALSE),'RES Techs T15'!$G$3:$U$3,0))</f>
        <v>0.1</v>
      </c>
      <c r="BR31" s="8" t="str">
        <f t="shared" si="61"/>
        <v>RHWHET000</v>
      </c>
      <c r="BS31" s="9">
        <f t="shared" ca="1" si="62"/>
        <v>0.98399999999999999</v>
      </c>
      <c r="BT31" s="9">
        <f ca="1">IF(OFFSET('RES Techs T15'!$AO31,0,MATCH(VLOOKUP('RES Veda input'!BT$3,'RES Assumptions T15'!$V$3:$W$35,2,FALSE),'RES Techs T15'!$G$3:$U$3,0))=0,"",OFFSET('RES Techs T15'!$AO31,0,MATCH(VLOOKUP('RES Veda input'!BT$3,'RES Assumptions T15'!$V$3:$W$35,2,FALSE),'RES Techs T15'!$G$3:$U$3,0)))</f>
        <v>1.1479999999999999</v>
      </c>
      <c r="BU31" s="9">
        <f ca="1">IF(OFFSET('RES Techs T15'!$AO31,0,MATCH(VLOOKUP('RES Veda input'!BU$3,'RES Assumptions T15'!$V$3:$W$35,2,FALSE),'RES Techs T15'!$G$3:$U$3,0))=0,"",OFFSET('RES Techs T15'!$AO31,0,MATCH(VLOOKUP('RES Veda input'!BU$3,'RES Assumptions T15'!$V$3:$W$35,2,FALSE),'RES Techs T15'!$G$3:$U$3,0)))</f>
        <v>1.1479999999999999</v>
      </c>
      <c r="BV31" s="9">
        <f ca="1">IF(OFFSET('RES Techs T15'!$AO31,0,MATCH(VLOOKUP('RES Veda input'!BV$3,'RES Assumptions T15'!$V$3:$W$35,2,FALSE),'RES Techs T15'!$G$3:$U$3,0))=0,"",OFFSET('RES Techs T15'!$AO31,0,MATCH(VLOOKUP('RES Veda input'!BV$3,'RES Assumptions T15'!$V$3:$W$35,2,FALSE),'RES Techs T15'!$G$3:$U$3,0)))</f>
        <v>1.1479999999999999</v>
      </c>
      <c r="BW31" s="9">
        <f ca="1">IF(OFFSET('RES Techs T15'!$AO31,0,MATCH(VLOOKUP('RES Veda input'!BW$3,'RES Assumptions T15'!$V$3:$W$35,2,FALSE),'RES Techs T15'!$G$3:$U$3,0))=0,"",OFFSET('RES Techs T15'!$AO31,0,MATCH(VLOOKUP('RES Veda input'!BW$3,'RES Assumptions T15'!$V$3:$W$35,2,FALSE),'RES Techs T15'!$G$3:$U$3,0)))</f>
        <v>1.1479999999999999</v>
      </c>
      <c r="BX31" s="9">
        <f ca="1">IF(OFFSET('RES Techs T15'!$AO31,0,MATCH(VLOOKUP('RES Veda input'!BX$3,'RES Assumptions T15'!$V$3:$W$35,2,FALSE),'RES Techs T15'!$G$3:$U$3,0))=0,"",OFFSET('RES Techs T15'!$AO31,0,MATCH(VLOOKUP('RES Veda input'!BX$3,'RES Assumptions T15'!$V$3:$W$35,2,FALSE),'RES Techs T15'!$G$3:$U$3,0)))</f>
        <v>1.64</v>
      </c>
      <c r="BY31" s="9">
        <f ca="1">IF(OFFSET('RES Techs T15'!$AO31,0,MATCH(VLOOKUP('RES Veda input'!BY$3,'RES Assumptions T15'!$V$3:$W$35,2,FALSE),'RES Techs T15'!$G$3:$U$3,0))=0,"",OFFSET('RES Techs T15'!$AO31,0,MATCH(VLOOKUP('RES Veda input'!BY$3,'RES Assumptions T15'!$V$3:$W$35,2,FALSE),'RES Techs T15'!$G$3:$U$3,0)))</f>
        <v>0.98399999999999999</v>
      </c>
      <c r="BZ31" s="9">
        <f ca="1">IF(OFFSET('RES Techs T15'!$AO31,0,MATCH(VLOOKUP('RES Veda input'!BZ$3,'RES Assumptions T15'!$V$3:$W$35,2,FALSE),'RES Techs T15'!$G$3:$U$3,0))=0,"",OFFSET('RES Techs T15'!$AO31,0,MATCH(VLOOKUP('RES Veda input'!BZ$3,'RES Assumptions T15'!$V$3:$W$35,2,FALSE),'RES Techs T15'!$G$3:$U$3,0)))</f>
        <v>1.3120000000000001</v>
      </c>
      <c r="CA31" s="9">
        <f ca="1">IF(OFFSET('RES Techs T15'!$AO31,0,MATCH(VLOOKUP('RES Veda input'!CA$3,'RES Assumptions T15'!$V$3:$W$35,2,FALSE),'RES Techs T15'!$G$3:$U$3,0))=0,"",OFFSET('RES Techs T15'!$AO31,0,MATCH(VLOOKUP('RES Veda input'!CA$3,'RES Assumptions T15'!$V$3:$W$35,2,FALSE),'RES Techs T15'!$G$3:$U$3,0)))</f>
        <v>1.1479999999999999</v>
      </c>
      <c r="CB31" s="9">
        <f ca="1">IF(OFFSET('RES Techs T15'!$AO31,0,MATCH(VLOOKUP('RES Veda input'!CB$3,'RES Assumptions T15'!$V$3:$W$35,2,FALSE),'RES Techs T15'!$G$3:$U$3,0))=0,"",OFFSET('RES Techs T15'!$AO31,0,MATCH(VLOOKUP('RES Veda input'!CB$3,'RES Assumptions T15'!$V$3:$W$35,2,FALSE),'RES Techs T15'!$G$3:$U$3,0)))</f>
        <v>1.64</v>
      </c>
      <c r="CC31" s="9">
        <f ca="1">IF(OFFSET('RES Techs T15'!$AO31,0,MATCH(VLOOKUP('RES Veda input'!CC$3,'RES Assumptions T15'!$V$3:$W$35,2,FALSE),'RES Techs T15'!$G$3:$U$3,0))=0,"",OFFSET('RES Techs T15'!$AO31,0,MATCH(VLOOKUP('RES Veda input'!CC$3,'RES Assumptions T15'!$V$3:$W$35,2,FALSE),'RES Techs T15'!$G$3:$U$3,0)))</f>
        <v>0.98399999999999999</v>
      </c>
      <c r="CD31" s="9">
        <f ca="1">IF(OFFSET('RES Techs T15'!$AO31,0,MATCH(VLOOKUP('RES Veda input'!CD$3,'RES Assumptions T15'!$V$3:$W$35,2,FALSE),'RES Techs T15'!$G$3:$U$3,0))=0,"",OFFSET('RES Techs T15'!$AO31,0,MATCH(VLOOKUP('RES Veda input'!CD$3,'RES Assumptions T15'!$V$3:$W$35,2,FALSE),'RES Techs T15'!$G$3:$U$3,0)))</f>
        <v>1.476</v>
      </c>
      <c r="CE31" s="9">
        <f ca="1">IF(OFFSET('RES Techs T15'!$AO31,0,MATCH(VLOOKUP('RES Veda input'!CE$3,'RES Assumptions T15'!$V$3:$W$35,2,FALSE),'RES Techs T15'!$G$3:$U$3,0))=0,"",OFFSET('RES Techs T15'!$AO31,0,MATCH(VLOOKUP('RES Veda input'!CE$3,'RES Assumptions T15'!$V$3:$W$35,2,FALSE),'RES Techs T15'!$G$3:$U$3,0)))</f>
        <v>1.1479999999999999</v>
      </c>
      <c r="CF31" s="9">
        <f ca="1">IF(OFFSET('RES Techs T15'!$AO31,0,MATCH(VLOOKUP('RES Veda input'!CF$3,'RES Assumptions T15'!$V$3:$W$35,2,FALSE),'RES Techs T15'!$G$3:$U$3,0))=0,"",OFFSET('RES Techs T15'!$AO31,0,MATCH(VLOOKUP('RES Veda input'!CF$3,'RES Assumptions T15'!$V$3:$W$35,2,FALSE),'RES Techs T15'!$G$3:$U$3,0)))</f>
        <v>1.476</v>
      </c>
      <c r="CG31" s="9">
        <f ca="1">IF(OFFSET('RES Techs T15'!$AO31,0,MATCH(VLOOKUP('RES Veda input'!CG$3,'RES Assumptions T15'!$V$3:$W$35,2,FALSE),'RES Techs T15'!$G$3:$U$3,0))=0,"",OFFSET('RES Techs T15'!$AO31,0,MATCH(VLOOKUP('RES Veda input'!CG$3,'RES Assumptions T15'!$V$3:$W$35,2,FALSE),'RES Techs T15'!$G$3:$U$3,0)))</f>
        <v>1.476</v>
      </c>
      <c r="CH31" s="9">
        <f ca="1">IF(OFFSET('RES Techs T15'!$AO31,0,MATCH(VLOOKUP('RES Veda input'!CH$3,'RES Assumptions T15'!$V$3:$W$35,2,FALSE),'RES Techs T15'!$G$3:$U$3,0))=0,"",OFFSET('RES Techs T15'!$AO31,0,MATCH(VLOOKUP('RES Veda input'!CH$3,'RES Assumptions T15'!$V$3:$W$35,2,FALSE),'RES Techs T15'!$G$3:$U$3,0)))</f>
        <v>1.1479999999999999</v>
      </c>
      <c r="CI31" s="9">
        <f ca="1">IF(OFFSET('RES Techs T15'!$AO31,0,MATCH(VLOOKUP('RES Veda input'!CI$3,'RES Assumptions T15'!$V$3:$W$35,2,FALSE),'RES Techs T15'!$G$3:$U$3,0))=0,"",OFFSET('RES Techs T15'!$AO31,0,MATCH(VLOOKUP('RES Veda input'!CI$3,'RES Assumptions T15'!$V$3:$W$35,2,FALSE),'RES Techs T15'!$G$3:$U$3,0)))</f>
        <v>1.476</v>
      </c>
      <c r="CJ31" s="9">
        <f ca="1">IF(OFFSET('RES Techs T15'!$AO31,0,MATCH(VLOOKUP('RES Veda input'!CJ$3,'RES Assumptions T15'!$V$3:$W$35,2,FALSE),'RES Techs T15'!$G$3:$U$3,0))=0,"",OFFSET('RES Techs T15'!$AO31,0,MATCH(VLOOKUP('RES Veda input'!CJ$3,'RES Assumptions T15'!$V$3:$W$35,2,FALSE),'RES Techs T15'!$G$3:$U$3,0)))</f>
        <v>1.1479999999999999</v>
      </c>
      <c r="CK31" s="9">
        <f ca="1">IF(OFFSET('RES Techs T15'!$AO31,0,MATCH(VLOOKUP('RES Veda input'!CK$3,'RES Assumptions T15'!$V$3:$W$35,2,FALSE),'RES Techs T15'!$G$3:$U$3,0))=0,"",OFFSET('RES Techs T15'!$AO31,0,MATCH(VLOOKUP('RES Veda input'!CK$3,'RES Assumptions T15'!$V$3:$W$35,2,FALSE),'RES Techs T15'!$G$3:$U$3,0)))</f>
        <v>1.476</v>
      </c>
      <c r="CL31" s="9">
        <f ca="1">IF(OFFSET('RES Techs T15'!$AO31,0,MATCH(VLOOKUP('RES Veda input'!CL$3,'RES Assumptions T15'!$V$3:$W$35,2,FALSE),'RES Techs T15'!$G$3:$U$3,0))=0,"",OFFSET('RES Techs T15'!$AO31,0,MATCH(VLOOKUP('RES Veda input'!CL$3,'RES Assumptions T15'!$V$3:$W$35,2,FALSE),'RES Techs T15'!$G$3:$U$3,0)))</f>
        <v>1.476</v>
      </c>
      <c r="CM31" s="9">
        <f ca="1">IF(OFFSET('RES Techs T15'!$AO31,0,MATCH(VLOOKUP('RES Veda input'!CM$3,'RES Assumptions T15'!$V$3:$W$35,2,FALSE),'RES Techs T15'!$G$3:$U$3,0))=0,"",OFFSET('RES Techs T15'!$AO31,0,MATCH(VLOOKUP('RES Veda input'!CM$3,'RES Assumptions T15'!$V$3:$W$35,2,FALSE),'RES Techs T15'!$G$3:$U$3,0)))</f>
        <v>0.98399999999999999</v>
      </c>
      <c r="CN31" s="9">
        <f ca="1">IF(OFFSET('RES Techs T15'!$AO31,0,MATCH(VLOOKUP('RES Veda input'!CN$3,'RES Assumptions T15'!$V$3:$W$35,2,FALSE),'RES Techs T15'!$G$3:$U$3,0))=0,"",OFFSET('RES Techs T15'!$AO31,0,MATCH(VLOOKUP('RES Veda input'!CN$3,'RES Assumptions T15'!$V$3:$W$35,2,FALSE),'RES Techs T15'!$G$3:$U$3,0)))</f>
        <v>1.1479999999999999</v>
      </c>
      <c r="CO31" s="9">
        <f ca="1">IF(OFFSET('RES Techs T15'!$AO31,0,MATCH(VLOOKUP('RES Veda input'!CO$3,'RES Assumptions T15'!$V$3:$W$35,2,FALSE),'RES Techs T15'!$G$3:$U$3,0))=0,"",OFFSET('RES Techs T15'!$AO31,0,MATCH(VLOOKUP('RES Veda input'!CO$3,'RES Assumptions T15'!$V$3:$W$35,2,FALSE),'RES Techs T15'!$G$3:$U$3,0)))</f>
        <v>1.3120000000000001</v>
      </c>
      <c r="CP31" s="9">
        <f ca="1">IF(OFFSET('RES Techs T15'!$AO31,0,MATCH(VLOOKUP('RES Veda input'!CP$3,'RES Assumptions T15'!$V$3:$W$35,2,FALSE),'RES Techs T15'!$G$3:$U$3,0))=0,"",OFFSET('RES Techs T15'!$AO31,0,MATCH(VLOOKUP('RES Veda input'!CP$3,'RES Assumptions T15'!$V$3:$W$35,2,FALSE),'RES Techs T15'!$G$3:$U$3,0)))</f>
        <v>1.1479999999999999</v>
      </c>
      <c r="CQ31" s="9">
        <f ca="1">IF(OFFSET('RES Techs T15'!$AO31,0,MATCH(VLOOKUP('RES Veda input'!CQ$3,'RES Assumptions T15'!$V$3:$W$35,2,FALSE),'RES Techs T15'!$G$3:$U$3,0))=0,"",OFFSET('RES Techs T15'!$AO31,0,MATCH(VLOOKUP('RES Veda input'!CQ$3,'RES Assumptions T15'!$V$3:$W$35,2,FALSE),'RES Techs T15'!$G$3:$U$3,0)))</f>
        <v>1.476</v>
      </c>
      <c r="CR31" s="9">
        <f ca="1">IF(OFFSET('RES Techs T15'!$AO31,0,MATCH(VLOOKUP('RES Veda input'!CR$3,'RES Assumptions T15'!$V$3:$W$35,2,FALSE),'RES Techs T15'!$G$3:$U$3,0))=0,"",OFFSET('RES Techs T15'!$AO31,0,MATCH(VLOOKUP('RES Veda input'!CR$3,'RES Assumptions T15'!$V$3:$W$35,2,FALSE),'RES Techs T15'!$G$3:$U$3,0)))</f>
        <v>1.1479999999999999</v>
      </c>
      <c r="CS31" s="9">
        <f ca="1">IF(OFFSET('RES Techs T15'!$AO31,0,MATCH(VLOOKUP('RES Veda input'!CS$3,'RES Assumptions T15'!$V$3:$W$35,2,FALSE),'RES Techs T15'!$G$3:$U$3,0))=0,"",OFFSET('RES Techs T15'!$AO31,0,MATCH(VLOOKUP('RES Veda input'!CS$3,'RES Assumptions T15'!$V$3:$W$35,2,FALSE),'RES Techs T15'!$G$3:$U$3,0)))</f>
        <v>1.1479999999999999</v>
      </c>
      <c r="CT31" s="9">
        <f ca="1">IF(OFFSET('RES Techs T15'!$AO31,0,MATCH(VLOOKUP('RES Veda input'!CT$3,'RES Assumptions T15'!$V$3:$W$35,2,FALSE),'RES Techs T15'!$G$3:$U$3,0))=0,"",OFFSET('RES Techs T15'!$AO31,0,MATCH(VLOOKUP('RES Veda input'!CT$3,'RES Assumptions T15'!$V$3:$W$35,2,FALSE),'RES Techs T15'!$G$3:$U$3,0)))</f>
        <v>1.1479999999999999</v>
      </c>
      <c r="CU31" s="9">
        <f ca="1">IF(OFFSET('RES Techs T15'!$AO31,0,MATCH(VLOOKUP('RES Veda input'!CU$3,'RES Assumptions T15'!$V$3:$W$35,2,FALSE),'RES Techs T15'!$G$3:$U$3,0))=0,"",OFFSET('RES Techs T15'!$AO31,0,MATCH(VLOOKUP('RES Veda input'!CU$3,'RES Assumptions T15'!$V$3:$W$35,2,FALSE),'RES Techs T15'!$G$3:$U$3,0)))</f>
        <v>1.476</v>
      </c>
      <c r="CV31" s="9">
        <f ca="1">IF(OFFSET('RES Techs T15'!$AO31,0,MATCH(VLOOKUP('RES Veda input'!CV$3,'RES Assumptions T15'!$V$3:$W$35,2,FALSE),'RES Techs T15'!$G$3:$U$3,0))=0,"",OFFSET('RES Techs T15'!$AO31,0,MATCH(VLOOKUP('RES Veda input'!CV$3,'RES Assumptions T15'!$V$3:$W$35,2,FALSE),'RES Techs T15'!$G$3:$U$3,0)))</f>
        <v>1.64</v>
      </c>
      <c r="CW31" s="9">
        <f ca="1">IF(OFFSET('RES Techs T15'!$AO31,0,MATCH(VLOOKUP('RES Veda input'!CW$3,'RES Assumptions T15'!$V$3:$W$35,2,FALSE),'RES Techs T15'!$G$3:$U$3,0))=0,"",OFFSET('RES Techs T15'!$AO31,0,MATCH(VLOOKUP('RES Veda input'!CW$3,'RES Assumptions T15'!$V$3:$W$35,2,FALSE),'RES Techs T15'!$G$3:$U$3,0)))</f>
        <v>1.64</v>
      </c>
      <c r="CY31" s="8" t="str">
        <f t="shared" si="63"/>
        <v>RHWHET000</v>
      </c>
      <c r="CZ31" s="10">
        <f ca="1">ROUND('RES Assumptions'!E114*'RES Veda input'!G31/'RES Veda input'!AM31,3)</f>
        <v>0</v>
      </c>
      <c r="DA31" s="10">
        <f ca="1">ROUND('RES Assumptions'!F114*'RES Veda input'!H31/'RES Veda input'!AN31,3)</f>
        <v>0</v>
      </c>
      <c r="DB31" s="10">
        <f ca="1">ROUND('RES Assumptions'!G114*'RES Veda input'!I31/'RES Veda input'!AO31,3)</f>
        <v>0</v>
      </c>
      <c r="DC31" s="10">
        <f ca="1">ROUND('RES Assumptions'!H114*'RES Veda input'!J31/'RES Veda input'!AP31,3)</f>
        <v>330.53</v>
      </c>
      <c r="DD31" s="10">
        <f ca="1">ROUND('RES Assumptions'!I114*'RES Veda input'!K31/'RES Veda input'!AQ31,3)</f>
        <v>845.62</v>
      </c>
      <c r="DE31" s="10">
        <f ca="1">ROUND('RES Assumptions'!J114*'RES Veda input'!L31/'RES Veda input'!AR31,3)</f>
        <v>0</v>
      </c>
      <c r="DF31" s="10">
        <f ca="1">ROUND('RES Assumptions'!K114*'RES Veda input'!M31/'RES Veda input'!AS31,3)</f>
        <v>0</v>
      </c>
      <c r="DG31" s="10">
        <f ca="1">ROUND('RES Assumptions'!L114*'RES Veda input'!N31/'RES Veda input'!AT31,3)</f>
        <v>0</v>
      </c>
      <c r="DH31" s="10">
        <f ca="1">ROUND('RES Assumptions'!M114*'RES Veda input'!O31/'RES Veda input'!AU31,3)</f>
        <v>0</v>
      </c>
      <c r="DI31" s="10">
        <f ca="1">ROUND('RES Assumptions'!N114*'RES Veda input'!P31/'RES Veda input'!AV31,3)</f>
        <v>0</v>
      </c>
      <c r="DJ31" s="10">
        <f ca="1">ROUND('RES Assumptions'!O114*'RES Veda input'!Q31/'RES Veda input'!AW31,3)</f>
        <v>350.17200000000003</v>
      </c>
      <c r="DK31" s="10">
        <f ca="1">ROUND('RES Assumptions'!P114*'RES Veda input'!R31/'RES Veda input'!AX31,3)</f>
        <v>890.06</v>
      </c>
      <c r="DL31" s="10">
        <f ca="1">ROUND('RES Assumptions'!Q114*'RES Veda input'!S31/'RES Veda input'!AY31,3)</f>
        <v>18.189</v>
      </c>
      <c r="DM31" s="10">
        <f ca="1">ROUND('RES Assumptions'!R114*'RES Veda input'!T31/'RES Veda input'!AZ31,3)</f>
        <v>56.798999999999999</v>
      </c>
      <c r="DN31" s="10">
        <f ca="1">ROUND('RES Assumptions'!S114*'RES Veda input'!U31/'RES Veda input'!BA31,3)</f>
        <v>212.51599999999999</v>
      </c>
      <c r="DO31" s="10">
        <f ca="1">ROUND('RES Assumptions'!T114*'RES Veda input'!V31/'RES Veda input'!BB31,3)</f>
        <v>5.1999999999999998E-2</v>
      </c>
      <c r="DP31" s="10">
        <f ca="1">ROUND('RES Assumptions'!U114*'RES Veda input'!W31/'RES Veda input'!BC31,3)</f>
        <v>370.54</v>
      </c>
      <c r="DQ31" s="10">
        <f ca="1">ROUND('RES Assumptions'!V114*'RES Veda input'!X31/'RES Veda input'!BD31,3)</f>
        <v>77.793000000000006</v>
      </c>
      <c r="DR31" s="10">
        <f ca="1">ROUND('RES Assumptions'!W114*'RES Veda input'!Y31/'RES Veda input'!BE31,3)</f>
        <v>239.589</v>
      </c>
      <c r="DS31" s="10">
        <f ca="1">ROUND('RES Assumptions'!X114*'RES Veda input'!Z31/'RES Veda input'!BF31,3)</f>
        <v>0</v>
      </c>
      <c r="DT31" s="10">
        <f ca="1">ROUND('RES Assumptions'!Y114*'RES Veda input'!AA31/'RES Veda input'!BG31,3)</f>
        <v>0</v>
      </c>
      <c r="DU31" s="10">
        <f ca="1">ROUND('RES Assumptions'!Z114*'RES Veda input'!AB31/'RES Veda input'!BH31,3)</f>
        <v>0</v>
      </c>
      <c r="DV31" s="10">
        <f ca="1">ROUND('RES Assumptions'!AA114*'RES Veda input'!AC31/'RES Veda input'!BI31,3)</f>
        <v>0</v>
      </c>
      <c r="DW31" s="10">
        <f ca="1">ROUND('RES Assumptions'!AB114*'RES Veda input'!AD31/'RES Veda input'!BJ31,3)</f>
        <v>30.600999999999999</v>
      </c>
      <c r="DX31" s="10">
        <f ca="1">ROUND('RES Assumptions'!AC114*'RES Veda input'!AE31/'RES Veda input'!BK31,3)</f>
        <v>5921.3280000000004</v>
      </c>
      <c r="DY31" s="10">
        <f ca="1">ROUND('RES Assumptions'!AD114*'RES Veda input'!AF31/'RES Veda input'!BL31,3)</f>
        <v>0</v>
      </c>
      <c r="DZ31" s="10">
        <f ca="1">ROUND('RES Assumptions'!AE114*'RES Veda input'!AG31/'RES Veda input'!BM31,3)</f>
        <v>0</v>
      </c>
      <c r="EA31" s="10">
        <f ca="1">ROUND('RES Assumptions'!AF114*'RES Veda input'!AH31/'RES Veda input'!BN31,3)</f>
        <v>16.276</v>
      </c>
      <c r="EB31" s="10">
        <f ca="1">ROUND('RES Assumptions'!AG114*'RES Veda input'!AI31/'RES Veda input'!BO31,3)</f>
        <v>0</v>
      </c>
      <c r="EC31" s="10">
        <f ca="1">ROUND('RES Assumptions'!AH114*'RES Veda input'!AJ31/'RES Veda input'!BP31,3)</f>
        <v>0</v>
      </c>
      <c r="ED31">
        <v>20</v>
      </c>
      <c r="EG31" t="s">
        <v>281</v>
      </c>
      <c r="EH31" t="str">
        <f t="shared" si="64"/>
        <v>RHWHET000</v>
      </c>
      <c r="EJ31" t="s">
        <v>282</v>
      </c>
      <c r="EK31" t="s">
        <v>283</v>
      </c>
    </row>
    <row r="32" spans="1:141" x14ac:dyDescent="0.45">
      <c r="A32" s="37" t="str">
        <f>'RES Assumptions'!B115</f>
        <v>RHW</v>
      </c>
      <c r="B32" s="37" t="s">
        <v>142</v>
      </c>
      <c r="D32" s="51" t="s">
        <v>142</v>
      </c>
      <c r="E32" s="8" t="str">
        <f>'RES Assumptions'!A115</f>
        <v>RESHFO</v>
      </c>
      <c r="F32" s="8" t="str">
        <f>VLOOKUP(A32,'RES Assumptions'!$AN$87:$AO$97,2,FALSE)</f>
        <v>RHW</v>
      </c>
      <c r="G32" s="9">
        <f ca="1">OFFSET('RES Techs T15'!$F32,0,MATCH(VLOOKUP('RES Veda input'!G$3,'RES Assumptions T15'!$V$3:$W$35,2,FALSE),'RES Techs T15'!$G$3:$U$3,0))</f>
        <v>0.57999999999999996</v>
      </c>
      <c r="H32" s="9">
        <f ca="1">OFFSET('RES Techs T15'!$F32,0,MATCH(VLOOKUP('RES Veda input'!H$3,'RES Assumptions T15'!$V$3:$W$35,2,FALSE),'RES Techs T15'!$G$3:$U$3,0))</f>
        <v>0.57999999999999996</v>
      </c>
      <c r="I32" s="9">
        <f ca="1">OFFSET('RES Techs T15'!$F32,0,MATCH(VLOOKUP('RES Veda input'!I$3,'RES Assumptions T15'!$V$3:$W$35,2,FALSE),'RES Techs T15'!$G$3:$U$3,0))</f>
        <v>0.57999999999999996</v>
      </c>
      <c r="J32" s="9">
        <f ca="1">OFFSET('RES Techs T15'!$F32,0,MATCH(VLOOKUP('RES Veda input'!J$3,'RES Assumptions T15'!$V$3:$W$35,2,FALSE),'RES Techs T15'!$G$3:$U$3,0))</f>
        <v>0.57999999999999996</v>
      </c>
      <c r="K32" s="9">
        <f ca="1">OFFSET('RES Techs T15'!$F32,0,MATCH(VLOOKUP('RES Veda input'!K$3,'RES Assumptions T15'!$V$3:$W$35,2,FALSE),'RES Techs T15'!$G$3:$U$3,0))</f>
        <v>0.57999999999999996</v>
      </c>
      <c r="L32" s="9">
        <f ca="1">OFFSET('RES Techs T15'!$F32,0,MATCH(VLOOKUP('RES Veda input'!L$3,'RES Assumptions T15'!$V$3:$W$35,2,FALSE),'RES Techs T15'!$G$3:$U$3,0))</f>
        <v>0.57999999999999996</v>
      </c>
      <c r="M32" s="9">
        <f ca="1">OFFSET('RES Techs T15'!$F32,0,MATCH(VLOOKUP('RES Veda input'!M$3,'RES Assumptions T15'!$V$3:$W$35,2,FALSE),'RES Techs T15'!$G$3:$U$3,0))</f>
        <v>0.57999999999999996</v>
      </c>
      <c r="N32" s="9">
        <f ca="1">OFFSET('RES Techs T15'!$F32,0,MATCH(VLOOKUP('RES Veda input'!N$3,'RES Assumptions T15'!$V$3:$W$35,2,FALSE),'RES Techs T15'!$G$3:$U$3,0))</f>
        <v>0.57999999999999996</v>
      </c>
      <c r="O32" s="9">
        <f ca="1">OFFSET('RES Techs T15'!$F32,0,MATCH(VLOOKUP('RES Veda input'!O$3,'RES Assumptions T15'!$V$3:$W$35,2,FALSE),'RES Techs T15'!$G$3:$U$3,0))</f>
        <v>0.57999999999999996</v>
      </c>
      <c r="P32" s="9">
        <f ca="1">OFFSET('RES Techs T15'!$F32,0,MATCH(VLOOKUP('RES Veda input'!P$3,'RES Assumptions T15'!$V$3:$W$35,2,FALSE),'RES Techs T15'!$G$3:$U$3,0))</f>
        <v>0.57999999999999996</v>
      </c>
      <c r="Q32" s="9">
        <f ca="1">OFFSET('RES Techs T15'!$F32,0,MATCH(VLOOKUP('RES Veda input'!Q$3,'RES Assumptions T15'!$V$3:$W$35,2,FALSE),'RES Techs T15'!$G$3:$U$3,0))</f>
        <v>0.57999999999999996</v>
      </c>
      <c r="R32" s="9">
        <f ca="1">OFFSET('RES Techs T15'!$F32,0,MATCH(VLOOKUP('RES Veda input'!R$3,'RES Assumptions T15'!$V$3:$W$35,2,FALSE),'RES Techs T15'!$G$3:$U$3,0))</f>
        <v>0.57999999999999996</v>
      </c>
      <c r="S32" s="9">
        <f ca="1">OFFSET('RES Techs T15'!$F32,0,MATCH(VLOOKUP('RES Veda input'!S$3,'RES Assumptions T15'!$V$3:$W$35,2,FALSE),'RES Techs T15'!$G$3:$U$3,0))</f>
        <v>0.57999999999999996</v>
      </c>
      <c r="T32" s="9">
        <f ca="1">OFFSET('RES Techs T15'!$F32,0,MATCH(VLOOKUP('RES Veda input'!T$3,'RES Assumptions T15'!$V$3:$W$35,2,FALSE),'RES Techs T15'!$G$3:$U$3,0))</f>
        <v>0.57999999999999996</v>
      </c>
      <c r="U32" s="9">
        <f ca="1">OFFSET('RES Techs T15'!$F32,0,MATCH(VLOOKUP('RES Veda input'!U$3,'RES Assumptions T15'!$V$3:$W$35,2,FALSE),'RES Techs T15'!$G$3:$U$3,0))</f>
        <v>0.57999999999999996</v>
      </c>
      <c r="V32" s="9">
        <f ca="1">OFFSET('RES Techs T15'!$F32,0,MATCH(VLOOKUP('RES Veda input'!V$3,'RES Assumptions T15'!$V$3:$W$35,2,FALSE),'RES Techs T15'!$G$3:$U$3,0))</f>
        <v>0.57999999999999996</v>
      </c>
      <c r="W32" s="9">
        <f ca="1">OFFSET('RES Techs T15'!$F32,0,MATCH(VLOOKUP('RES Veda input'!W$3,'RES Assumptions T15'!$V$3:$W$35,2,FALSE),'RES Techs T15'!$G$3:$U$3,0))</f>
        <v>0.57999999999999996</v>
      </c>
      <c r="X32" s="9">
        <f ca="1">OFFSET('RES Techs T15'!$F32,0,MATCH(VLOOKUP('RES Veda input'!X$3,'RES Assumptions T15'!$V$3:$W$35,2,FALSE),'RES Techs T15'!$G$3:$U$3,0))</f>
        <v>0.57999999999999996</v>
      </c>
      <c r="Y32" s="9">
        <f ca="1">OFFSET('RES Techs T15'!$F32,0,MATCH(VLOOKUP('RES Veda input'!Y$3,'RES Assumptions T15'!$V$3:$W$35,2,FALSE),'RES Techs T15'!$G$3:$U$3,0))</f>
        <v>0.57999999999999996</v>
      </c>
      <c r="Z32" s="9">
        <f ca="1">OFFSET('RES Techs T15'!$F32,0,MATCH(VLOOKUP('RES Veda input'!Z$3,'RES Assumptions T15'!$V$3:$W$35,2,FALSE),'RES Techs T15'!$G$3:$U$3,0))</f>
        <v>0.57999999999999996</v>
      </c>
      <c r="AA32" s="9">
        <f ca="1">OFFSET('RES Techs T15'!$F32,0,MATCH(VLOOKUP('RES Veda input'!AA$3,'RES Assumptions T15'!$V$3:$W$35,2,FALSE),'RES Techs T15'!$G$3:$U$3,0))</f>
        <v>0.57999999999999996</v>
      </c>
      <c r="AB32" s="9">
        <f ca="1">OFFSET('RES Techs T15'!$F32,0,MATCH(VLOOKUP('RES Veda input'!AB$3,'RES Assumptions T15'!$V$3:$W$35,2,FALSE),'RES Techs T15'!$G$3:$U$3,0))</f>
        <v>0.57999999999999996</v>
      </c>
      <c r="AC32" s="9">
        <f ca="1">OFFSET('RES Techs T15'!$F32,0,MATCH(VLOOKUP('RES Veda input'!AC$3,'RES Assumptions T15'!$V$3:$W$35,2,FALSE),'RES Techs T15'!$G$3:$U$3,0))</f>
        <v>0.57999999999999996</v>
      </c>
      <c r="AD32" s="9">
        <f ca="1">OFFSET('RES Techs T15'!$F32,0,MATCH(VLOOKUP('RES Veda input'!AD$3,'RES Assumptions T15'!$V$3:$W$35,2,FALSE),'RES Techs T15'!$G$3:$U$3,0))</f>
        <v>0.57999999999999996</v>
      </c>
      <c r="AE32" s="9">
        <f ca="1">OFFSET('RES Techs T15'!$F32,0,MATCH(VLOOKUP('RES Veda input'!AE$3,'RES Assumptions T15'!$V$3:$W$35,2,FALSE),'RES Techs T15'!$G$3:$U$3,0))</f>
        <v>0.57999999999999996</v>
      </c>
      <c r="AF32" s="9">
        <f ca="1">OFFSET('RES Techs T15'!$F32,0,MATCH(VLOOKUP('RES Veda input'!AF$3,'RES Assumptions T15'!$V$3:$W$35,2,FALSE),'RES Techs T15'!$G$3:$U$3,0))</f>
        <v>0.57999999999999996</v>
      </c>
      <c r="AG32" s="9">
        <f ca="1">OFFSET('RES Techs T15'!$F32,0,MATCH(VLOOKUP('RES Veda input'!AG$3,'RES Assumptions T15'!$V$3:$W$35,2,FALSE),'RES Techs T15'!$G$3:$U$3,0))</f>
        <v>0.57999999999999996</v>
      </c>
      <c r="AH32" s="9">
        <f ca="1">OFFSET('RES Techs T15'!$F32,0,MATCH(VLOOKUP('RES Veda input'!AH$3,'RES Assumptions T15'!$V$3:$W$35,2,FALSE),'RES Techs T15'!$G$3:$U$3,0))</f>
        <v>0.57999999999999996</v>
      </c>
      <c r="AI32" s="9">
        <f ca="1">OFFSET('RES Techs T15'!$F32,0,MATCH(VLOOKUP('RES Veda input'!AI$3,'RES Assumptions T15'!$V$3:$W$35,2,FALSE),'RES Techs T15'!$G$3:$U$3,0))</f>
        <v>0.57999999999999996</v>
      </c>
      <c r="AJ32" s="9">
        <f ca="1">OFFSET('RES Techs T15'!$F32,0,MATCH(VLOOKUP('RES Veda input'!AJ$3,'RES Assumptions T15'!$V$3:$W$35,2,FALSE),'RES Techs T15'!$G$3:$U$3,0))</f>
        <v>0.57999999999999996</v>
      </c>
      <c r="AL32" s="8" t="str">
        <f t="shared" si="60"/>
        <v>RHWHFO000</v>
      </c>
      <c r="AM32" s="9">
        <f ca="1">OFFSET('RES Techs T15'!$W32,0,MATCH(VLOOKUP('RES Veda input'!AM$3,'RES Assumptions T15'!$V$3:$W$35,2,FALSE),'RES Techs T15'!$G$3:$U$3,0))</f>
        <v>0.1</v>
      </c>
      <c r="AN32" s="9">
        <f ca="1">OFFSET('RES Techs T15'!$W32,0,MATCH(VLOOKUP('RES Veda input'!AN$3,'RES Assumptions T15'!$V$3:$W$35,2,FALSE),'RES Techs T15'!$G$3:$U$3,0))</f>
        <v>0.1</v>
      </c>
      <c r="AO32" s="9">
        <f ca="1">OFFSET('RES Techs T15'!$W32,0,MATCH(VLOOKUP('RES Veda input'!AO$3,'RES Assumptions T15'!$V$3:$W$35,2,FALSE),'RES Techs T15'!$G$3:$U$3,0))</f>
        <v>0.1</v>
      </c>
      <c r="AP32" s="9">
        <f ca="1">OFFSET('RES Techs T15'!$W32,0,MATCH(VLOOKUP('RES Veda input'!AP$3,'RES Assumptions T15'!$V$3:$W$35,2,FALSE),'RES Techs T15'!$G$3:$U$3,0))</f>
        <v>0.1</v>
      </c>
      <c r="AQ32" s="9">
        <f ca="1">OFFSET('RES Techs T15'!$W32,0,MATCH(VLOOKUP('RES Veda input'!AQ$3,'RES Assumptions T15'!$V$3:$W$35,2,FALSE),'RES Techs T15'!$G$3:$U$3,0))</f>
        <v>0.1</v>
      </c>
      <c r="AR32" s="9">
        <f ca="1">OFFSET('RES Techs T15'!$W32,0,MATCH(VLOOKUP('RES Veda input'!AR$3,'RES Assumptions T15'!$V$3:$W$35,2,FALSE),'RES Techs T15'!$G$3:$U$3,0))</f>
        <v>0.1</v>
      </c>
      <c r="AS32" s="9">
        <f ca="1">OFFSET('RES Techs T15'!$W32,0,MATCH(VLOOKUP('RES Veda input'!AS$3,'RES Assumptions T15'!$V$3:$W$35,2,FALSE),'RES Techs T15'!$G$3:$U$3,0))</f>
        <v>0.1</v>
      </c>
      <c r="AT32" s="9">
        <f ca="1">OFFSET('RES Techs T15'!$W32,0,MATCH(VLOOKUP('RES Veda input'!AT$3,'RES Assumptions T15'!$V$3:$W$35,2,FALSE),'RES Techs T15'!$G$3:$U$3,0))</f>
        <v>0.1</v>
      </c>
      <c r="AU32" s="9">
        <f ca="1">OFFSET('RES Techs T15'!$W32,0,MATCH(VLOOKUP('RES Veda input'!AU$3,'RES Assumptions T15'!$V$3:$W$35,2,FALSE),'RES Techs T15'!$G$3:$U$3,0))</f>
        <v>0.1</v>
      </c>
      <c r="AV32" s="9">
        <f ca="1">OFFSET('RES Techs T15'!$W32,0,MATCH(VLOOKUP('RES Veda input'!AV$3,'RES Assumptions T15'!$V$3:$W$35,2,FALSE),'RES Techs T15'!$G$3:$U$3,0))</f>
        <v>0.1</v>
      </c>
      <c r="AW32" s="9">
        <f ca="1">OFFSET('RES Techs T15'!$W32,0,MATCH(VLOOKUP('RES Veda input'!AW$3,'RES Assumptions T15'!$V$3:$W$35,2,FALSE),'RES Techs T15'!$G$3:$U$3,0))</f>
        <v>0.1</v>
      </c>
      <c r="AX32" s="9">
        <f ca="1">OFFSET('RES Techs T15'!$W32,0,MATCH(VLOOKUP('RES Veda input'!AX$3,'RES Assumptions T15'!$V$3:$W$35,2,FALSE),'RES Techs T15'!$G$3:$U$3,0))</f>
        <v>0.1</v>
      </c>
      <c r="AY32" s="9">
        <f ca="1">OFFSET('RES Techs T15'!$W32,0,MATCH(VLOOKUP('RES Veda input'!AY$3,'RES Assumptions T15'!$V$3:$W$35,2,FALSE),'RES Techs T15'!$G$3:$U$3,0))</f>
        <v>0.1</v>
      </c>
      <c r="AZ32" s="9">
        <f ca="1">OFFSET('RES Techs T15'!$W32,0,MATCH(VLOOKUP('RES Veda input'!AZ$3,'RES Assumptions T15'!$V$3:$W$35,2,FALSE),'RES Techs T15'!$G$3:$U$3,0))</f>
        <v>0.1</v>
      </c>
      <c r="BA32" s="9">
        <f ca="1">OFFSET('RES Techs T15'!$W32,0,MATCH(VLOOKUP('RES Veda input'!BA$3,'RES Assumptions T15'!$V$3:$W$35,2,FALSE),'RES Techs T15'!$G$3:$U$3,0))</f>
        <v>0.1</v>
      </c>
      <c r="BB32" s="9">
        <f ca="1">OFFSET('RES Techs T15'!$W32,0,MATCH(VLOOKUP('RES Veda input'!BB$3,'RES Assumptions T15'!$V$3:$W$35,2,FALSE),'RES Techs T15'!$G$3:$U$3,0))</f>
        <v>0.1</v>
      </c>
      <c r="BC32" s="9">
        <f ca="1">OFFSET('RES Techs T15'!$W32,0,MATCH(VLOOKUP('RES Veda input'!BC$3,'RES Assumptions T15'!$V$3:$W$35,2,FALSE),'RES Techs T15'!$G$3:$U$3,0))</f>
        <v>0.1</v>
      </c>
      <c r="BD32" s="9">
        <f ca="1">OFFSET('RES Techs T15'!$W32,0,MATCH(VLOOKUP('RES Veda input'!BD$3,'RES Assumptions T15'!$V$3:$W$35,2,FALSE),'RES Techs T15'!$G$3:$U$3,0))</f>
        <v>0.1</v>
      </c>
      <c r="BE32" s="9">
        <f ca="1">OFFSET('RES Techs T15'!$W32,0,MATCH(VLOOKUP('RES Veda input'!BE$3,'RES Assumptions T15'!$V$3:$W$35,2,FALSE),'RES Techs T15'!$G$3:$U$3,0))</f>
        <v>0.1</v>
      </c>
      <c r="BF32" s="9">
        <f ca="1">OFFSET('RES Techs T15'!$W32,0,MATCH(VLOOKUP('RES Veda input'!BF$3,'RES Assumptions T15'!$V$3:$W$35,2,FALSE),'RES Techs T15'!$G$3:$U$3,0))</f>
        <v>0.1</v>
      </c>
      <c r="BG32" s="9">
        <f ca="1">OFFSET('RES Techs T15'!$W32,0,MATCH(VLOOKUP('RES Veda input'!BG$3,'RES Assumptions T15'!$V$3:$W$35,2,FALSE),'RES Techs T15'!$G$3:$U$3,0))</f>
        <v>0.1</v>
      </c>
      <c r="BH32" s="9">
        <f ca="1">OFFSET('RES Techs T15'!$W32,0,MATCH(VLOOKUP('RES Veda input'!BH$3,'RES Assumptions T15'!$V$3:$W$35,2,FALSE),'RES Techs T15'!$G$3:$U$3,0))</f>
        <v>0.1</v>
      </c>
      <c r="BI32" s="9">
        <f ca="1">OFFSET('RES Techs T15'!$W32,0,MATCH(VLOOKUP('RES Veda input'!BI$3,'RES Assumptions T15'!$V$3:$W$35,2,FALSE),'RES Techs T15'!$G$3:$U$3,0))</f>
        <v>0.1</v>
      </c>
      <c r="BJ32" s="9">
        <f ca="1">OFFSET('RES Techs T15'!$W32,0,MATCH(VLOOKUP('RES Veda input'!BJ$3,'RES Assumptions T15'!$V$3:$W$35,2,FALSE),'RES Techs T15'!$G$3:$U$3,0))</f>
        <v>0.1</v>
      </c>
      <c r="BK32" s="9">
        <f ca="1">OFFSET('RES Techs T15'!$W32,0,MATCH(VLOOKUP('RES Veda input'!BK$3,'RES Assumptions T15'!$V$3:$W$35,2,FALSE),'RES Techs T15'!$G$3:$U$3,0))</f>
        <v>0.1</v>
      </c>
      <c r="BL32" s="9">
        <f ca="1">OFFSET('RES Techs T15'!$W32,0,MATCH(VLOOKUP('RES Veda input'!BL$3,'RES Assumptions T15'!$V$3:$W$35,2,FALSE),'RES Techs T15'!$G$3:$U$3,0))</f>
        <v>0.1</v>
      </c>
      <c r="BM32" s="9">
        <f ca="1">OFFSET('RES Techs T15'!$W32,0,MATCH(VLOOKUP('RES Veda input'!BM$3,'RES Assumptions T15'!$V$3:$W$35,2,FALSE),'RES Techs T15'!$G$3:$U$3,0))</f>
        <v>0.1</v>
      </c>
      <c r="BN32" s="9">
        <f ca="1">OFFSET('RES Techs T15'!$W32,0,MATCH(VLOOKUP('RES Veda input'!BN$3,'RES Assumptions T15'!$V$3:$W$35,2,FALSE),'RES Techs T15'!$G$3:$U$3,0))</f>
        <v>0.1</v>
      </c>
      <c r="BO32" s="9">
        <f ca="1">OFFSET('RES Techs T15'!$W32,0,MATCH(VLOOKUP('RES Veda input'!BO$3,'RES Assumptions T15'!$V$3:$W$35,2,FALSE),'RES Techs T15'!$G$3:$U$3,0))</f>
        <v>0.1</v>
      </c>
      <c r="BP32" s="9">
        <f ca="1">OFFSET('RES Techs T15'!$W32,0,MATCH(VLOOKUP('RES Veda input'!BP$3,'RES Assumptions T15'!$V$3:$W$35,2,FALSE),'RES Techs T15'!$G$3:$U$3,0))</f>
        <v>0.1</v>
      </c>
      <c r="BR32" s="8" t="str">
        <f t="shared" si="61"/>
        <v>RHWHFO000</v>
      </c>
      <c r="BS32" s="9">
        <f t="shared" ca="1" si="62"/>
        <v>8.4000000000000005E-2</v>
      </c>
      <c r="BT32" s="9">
        <f ca="1">IF(OFFSET('RES Techs T15'!$AO32,0,MATCH(VLOOKUP('RES Veda input'!BT$3,'RES Assumptions T15'!$V$3:$W$35,2,FALSE),'RES Techs T15'!$G$3:$U$3,0))=0,"",OFFSET('RES Techs T15'!$AO32,0,MATCH(VLOOKUP('RES Veda input'!BT$3,'RES Assumptions T15'!$V$3:$W$35,2,FALSE),'RES Techs T15'!$G$3:$U$3,0)))</f>
        <v>9.8000000000000004E-2</v>
      </c>
      <c r="BU32" s="9">
        <f ca="1">IF(OFFSET('RES Techs T15'!$AO32,0,MATCH(VLOOKUP('RES Veda input'!BU$3,'RES Assumptions T15'!$V$3:$W$35,2,FALSE),'RES Techs T15'!$G$3:$U$3,0))=0,"",OFFSET('RES Techs T15'!$AO32,0,MATCH(VLOOKUP('RES Veda input'!BU$3,'RES Assumptions T15'!$V$3:$W$35,2,FALSE),'RES Techs T15'!$G$3:$U$3,0)))</f>
        <v>9.8000000000000004E-2</v>
      </c>
      <c r="BV32" s="9">
        <f ca="1">IF(OFFSET('RES Techs T15'!$AO32,0,MATCH(VLOOKUP('RES Veda input'!BV$3,'RES Assumptions T15'!$V$3:$W$35,2,FALSE),'RES Techs T15'!$G$3:$U$3,0))=0,"",OFFSET('RES Techs T15'!$AO32,0,MATCH(VLOOKUP('RES Veda input'!BV$3,'RES Assumptions T15'!$V$3:$W$35,2,FALSE),'RES Techs T15'!$G$3:$U$3,0)))</f>
        <v>9.8000000000000004E-2</v>
      </c>
      <c r="BW32" s="9">
        <f ca="1">IF(OFFSET('RES Techs T15'!$AO32,0,MATCH(VLOOKUP('RES Veda input'!BW$3,'RES Assumptions T15'!$V$3:$W$35,2,FALSE),'RES Techs T15'!$G$3:$U$3,0))=0,"",OFFSET('RES Techs T15'!$AO32,0,MATCH(VLOOKUP('RES Veda input'!BW$3,'RES Assumptions T15'!$V$3:$W$35,2,FALSE),'RES Techs T15'!$G$3:$U$3,0)))</f>
        <v>9.8000000000000004E-2</v>
      </c>
      <c r="BX32" s="9">
        <f ca="1">IF(OFFSET('RES Techs T15'!$AO32,0,MATCH(VLOOKUP('RES Veda input'!BX$3,'RES Assumptions T15'!$V$3:$W$35,2,FALSE),'RES Techs T15'!$G$3:$U$3,0))=0,"",OFFSET('RES Techs T15'!$AO32,0,MATCH(VLOOKUP('RES Veda input'!BX$3,'RES Assumptions T15'!$V$3:$W$35,2,FALSE),'RES Techs T15'!$G$3:$U$3,0)))</f>
        <v>0.14000000000000001</v>
      </c>
      <c r="BY32" s="9">
        <f ca="1">IF(OFFSET('RES Techs T15'!$AO32,0,MATCH(VLOOKUP('RES Veda input'!BY$3,'RES Assumptions T15'!$V$3:$W$35,2,FALSE),'RES Techs T15'!$G$3:$U$3,0))=0,"",OFFSET('RES Techs T15'!$AO32,0,MATCH(VLOOKUP('RES Veda input'!BY$3,'RES Assumptions T15'!$V$3:$W$35,2,FALSE),'RES Techs T15'!$G$3:$U$3,0)))</f>
        <v>8.4000000000000005E-2</v>
      </c>
      <c r="BZ32" s="9">
        <f ca="1">IF(OFFSET('RES Techs T15'!$AO32,0,MATCH(VLOOKUP('RES Veda input'!BZ$3,'RES Assumptions T15'!$V$3:$W$35,2,FALSE),'RES Techs T15'!$G$3:$U$3,0))=0,"",OFFSET('RES Techs T15'!$AO32,0,MATCH(VLOOKUP('RES Veda input'!BZ$3,'RES Assumptions T15'!$V$3:$W$35,2,FALSE),'RES Techs T15'!$G$3:$U$3,0)))</f>
        <v>0.112</v>
      </c>
      <c r="CA32" s="9">
        <f ca="1">IF(OFFSET('RES Techs T15'!$AO32,0,MATCH(VLOOKUP('RES Veda input'!CA$3,'RES Assumptions T15'!$V$3:$W$35,2,FALSE),'RES Techs T15'!$G$3:$U$3,0))=0,"",OFFSET('RES Techs T15'!$AO32,0,MATCH(VLOOKUP('RES Veda input'!CA$3,'RES Assumptions T15'!$V$3:$W$35,2,FALSE),'RES Techs T15'!$G$3:$U$3,0)))</f>
        <v>9.8000000000000004E-2</v>
      </c>
      <c r="CB32" s="9">
        <f ca="1">IF(OFFSET('RES Techs T15'!$AO32,0,MATCH(VLOOKUP('RES Veda input'!CB$3,'RES Assumptions T15'!$V$3:$W$35,2,FALSE),'RES Techs T15'!$G$3:$U$3,0))=0,"",OFFSET('RES Techs T15'!$AO32,0,MATCH(VLOOKUP('RES Veda input'!CB$3,'RES Assumptions T15'!$V$3:$W$35,2,FALSE),'RES Techs T15'!$G$3:$U$3,0)))</f>
        <v>0.14000000000000001</v>
      </c>
      <c r="CC32" s="9">
        <f ca="1">IF(OFFSET('RES Techs T15'!$AO32,0,MATCH(VLOOKUP('RES Veda input'!CC$3,'RES Assumptions T15'!$V$3:$W$35,2,FALSE),'RES Techs T15'!$G$3:$U$3,0))=0,"",OFFSET('RES Techs T15'!$AO32,0,MATCH(VLOOKUP('RES Veda input'!CC$3,'RES Assumptions T15'!$V$3:$W$35,2,FALSE),'RES Techs T15'!$G$3:$U$3,0)))</f>
        <v>8.4000000000000005E-2</v>
      </c>
      <c r="CD32" s="9">
        <f ca="1">IF(OFFSET('RES Techs T15'!$AO32,0,MATCH(VLOOKUP('RES Veda input'!CD$3,'RES Assumptions T15'!$V$3:$W$35,2,FALSE),'RES Techs T15'!$G$3:$U$3,0))=0,"",OFFSET('RES Techs T15'!$AO32,0,MATCH(VLOOKUP('RES Veda input'!CD$3,'RES Assumptions T15'!$V$3:$W$35,2,FALSE),'RES Techs T15'!$G$3:$U$3,0)))</f>
        <v>0.126</v>
      </c>
      <c r="CE32" s="9">
        <f ca="1">IF(OFFSET('RES Techs T15'!$AO32,0,MATCH(VLOOKUP('RES Veda input'!CE$3,'RES Assumptions T15'!$V$3:$W$35,2,FALSE),'RES Techs T15'!$G$3:$U$3,0))=0,"",OFFSET('RES Techs T15'!$AO32,0,MATCH(VLOOKUP('RES Veda input'!CE$3,'RES Assumptions T15'!$V$3:$W$35,2,FALSE),'RES Techs T15'!$G$3:$U$3,0)))</f>
        <v>9.8000000000000004E-2</v>
      </c>
      <c r="CF32" s="9">
        <f ca="1">IF(OFFSET('RES Techs T15'!$AO32,0,MATCH(VLOOKUP('RES Veda input'!CF$3,'RES Assumptions T15'!$V$3:$W$35,2,FALSE),'RES Techs T15'!$G$3:$U$3,0))=0,"",OFFSET('RES Techs T15'!$AO32,0,MATCH(VLOOKUP('RES Veda input'!CF$3,'RES Assumptions T15'!$V$3:$W$35,2,FALSE),'RES Techs T15'!$G$3:$U$3,0)))</f>
        <v>0.126</v>
      </c>
      <c r="CG32" s="9">
        <f ca="1">IF(OFFSET('RES Techs T15'!$AO32,0,MATCH(VLOOKUP('RES Veda input'!CG$3,'RES Assumptions T15'!$V$3:$W$35,2,FALSE),'RES Techs T15'!$G$3:$U$3,0))=0,"",OFFSET('RES Techs T15'!$AO32,0,MATCH(VLOOKUP('RES Veda input'!CG$3,'RES Assumptions T15'!$V$3:$W$35,2,FALSE),'RES Techs T15'!$G$3:$U$3,0)))</f>
        <v>0.126</v>
      </c>
      <c r="CH32" s="9">
        <f ca="1">IF(OFFSET('RES Techs T15'!$AO32,0,MATCH(VLOOKUP('RES Veda input'!CH$3,'RES Assumptions T15'!$V$3:$W$35,2,FALSE),'RES Techs T15'!$G$3:$U$3,0))=0,"",OFFSET('RES Techs T15'!$AO32,0,MATCH(VLOOKUP('RES Veda input'!CH$3,'RES Assumptions T15'!$V$3:$W$35,2,FALSE),'RES Techs T15'!$G$3:$U$3,0)))</f>
        <v>9.8000000000000004E-2</v>
      </c>
      <c r="CI32" s="9">
        <f ca="1">IF(OFFSET('RES Techs T15'!$AO32,0,MATCH(VLOOKUP('RES Veda input'!CI$3,'RES Assumptions T15'!$V$3:$W$35,2,FALSE),'RES Techs T15'!$G$3:$U$3,0))=0,"",OFFSET('RES Techs T15'!$AO32,0,MATCH(VLOOKUP('RES Veda input'!CI$3,'RES Assumptions T15'!$V$3:$W$35,2,FALSE),'RES Techs T15'!$G$3:$U$3,0)))</f>
        <v>0.126</v>
      </c>
      <c r="CJ32" s="9">
        <f ca="1">IF(OFFSET('RES Techs T15'!$AO32,0,MATCH(VLOOKUP('RES Veda input'!CJ$3,'RES Assumptions T15'!$V$3:$W$35,2,FALSE),'RES Techs T15'!$G$3:$U$3,0))=0,"",OFFSET('RES Techs T15'!$AO32,0,MATCH(VLOOKUP('RES Veda input'!CJ$3,'RES Assumptions T15'!$V$3:$W$35,2,FALSE),'RES Techs T15'!$G$3:$U$3,0)))</f>
        <v>9.8000000000000004E-2</v>
      </c>
      <c r="CK32" s="9">
        <f ca="1">IF(OFFSET('RES Techs T15'!$AO32,0,MATCH(VLOOKUP('RES Veda input'!CK$3,'RES Assumptions T15'!$V$3:$W$35,2,FALSE),'RES Techs T15'!$G$3:$U$3,0))=0,"",OFFSET('RES Techs T15'!$AO32,0,MATCH(VLOOKUP('RES Veda input'!CK$3,'RES Assumptions T15'!$V$3:$W$35,2,FALSE),'RES Techs T15'!$G$3:$U$3,0)))</f>
        <v>0.126</v>
      </c>
      <c r="CL32" s="9">
        <f ca="1">IF(OFFSET('RES Techs T15'!$AO32,0,MATCH(VLOOKUP('RES Veda input'!CL$3,'RES Assumptions T15'!$V$3:$W$35,2,FALSE),'RES Techs T15'!$G$3:$U$3,0))=0,"",OFFSET('RES Techs T15'!$AO32,0,MATCH(VLOOKUP('RES Veda input'!CL$3,'RES Assumptions T15'!$V$3:$W$35,2,FALSE),'RES Techs T15'!$G$3:$U$3,0)))</f>
        <v>0.126</v>
      </c>
      <c r="CM32" s="9">
        <f ca="1">IF(OFFSET('RES Techs T15'!$AO32,0,MATCH(VLOOKUP('RES Veda input'!CM$3,'RES Assumptions T15'!$V$3:$W$35,2,FALSE),'RES Techs T15'!$G$3:$U$3,0))=0,"",OFFSET('RES Techs T15'!$AO32,0,MATCH(VLOOKUP('RES Veda input'!CM$3,'RES Assumptions T15'!$V$3:$W$35,2,FALSE),'RES Techs T15'!$G$3:$U$3,0)))</f>
        <v>8.4000000000000005E-2</v>
      </c>
      <c r="CN32" s="9">
        <f ca="1">IF(OFFSET('RES Techs T15'!$AO32,0,MATCH(VLOOKUP('RES Veda input'!CN$3,'RES Assumptions T15'!$V$3:$W$35,2,FALSE),'RES Techs T15'!$G$3:$U$3,0))=0,"",OFFSET('RES Techs T15'!$AO32,0,MATCH(VLOOKUP('RES Veda input'!CN$3,'RES Assumptions T15'!$V$3:$W$35,2,FALSE),'RES Techs T15'!$G$3:$U$3,0)))</f>
        <v>9.8000000000000004E-2</v>
      </c>
      <c r="CO32" s="9">
        <f ca="1">IF(OFFSET('RES Techs T15'!$AO32,0,MATCH(VLOOKUP('RES Veda input'!CO$3,'RES Assumptions T15'!$V$3:$W$35,2,FALSE),'RES Techs T15'!$G$3:$U$3,0))=0,"",OFFSET('RES Techs T15'!$AO32,0,MATCH(VLOOKUP('RES Veda input'!CO$3,'RES Assumptions T15'!$V$3:$W$35,2,FALSE),'RES Techs T15'!$G$3:$U$3,0)))</f>
        <v>0.112</v>
      </c>
      <c r="CP32" s="9">
        <f ca="1">IF(OFFSET('RES Techs T15'!$AO32,0,MATCH(VLOOKUP('RES Veda input'!CP$3,'RES Assumptions T15'!$V$3:$W$35,2,FALSE),'RES Techs T15'!$G$3:$U$3,0))=0,"",OFFSET('RES Techs T15'!$AO32,0,MATCH(VLOOKUP('RES Veda input'!CP$3,'RES Assumptions T15'!$V$3:$W$35,2,FALSE),'RES Techs T15'!$G$3:$U$3,0)))</f>
        <v>9.8000000000000004E-2</v>
      </c>
      <c r="CQ32" s="9">
        <f ca="1">IF(OFFSET('RES Techs T15'!$AO32,0,MATCH(VLOOKUP('RES Veda input'!CQ$3,'RES Assumptions T15'!$V$3:$W$35,2,FALSE),'RES Techs T15'!$G$3:$U$3,0))=0,"",OFFSET('RES Techs T15'!$AO32,0,MATCH(VLOOKUP('RES Veda input'!CQ$3,'RES Assumptions T15'!$V$3:$W$35,2,FALSE),'RES Techs T15'!$G$3:$U$3,0)))</f>
        <v>0.126</v>
      </c>
      <c r="CR32" s="9">
        <f ca="1">IF(OFFSET('RES Techs T15'!$AO32,0,MATCH(VLOOKUP('RES Veda input'!CR$3,'RES Assumptions T15'!$V$3:$W$35,2,FALSE),'RES Techs T15'!$G$3:$U$3,0))=0,"",OFFSET('RES Techs T15'!$AO32,0,MATCH(VLOOKUP('RES Veda input'!CR$3,'RES Assumptions T15'!$V$3:$W$35,2,FALSE),'RES Techs T15'!$G$3:$U$3,0)))</f>
        <v>9.8000000000000004E-2</v>
      </c>
      <c r="CS32" s="9">
        <f ca="1">IF(OFFSET('RES Techs T15'!$AO32,0,MATCH(VLOOKUP('RES Veda input'!CS$3,'RES Assumptions T15'!$V$3:$W$35,2,FALSE),'RES Techs T15'!$G$3:$U$3,0))=0,"",OFFSET('RES Techs T15'!$AO32,0,MATCH(VLOOKUP('RES Veda input'!CS$3,'RES Assumptions T15'!$V$3:$W$35,2,FALSE),'RES Techs T15'!$G$3:$U$3,0)))</f>
        <v>9.8000000000000004E-2</v>
      </c>
      <c r="CT32" s="9">
        <f ca="1">IF(OFFSET('RES Techs T15'!$AO32,0,MATCH(VLOOKUP('RES Veda input'!CT$3,'RES Assumptions T15'!$V$3:$W$35,2,FALSE),'RES Techs T15'!$G$3:$U$3,0))=0,"",OFFSET('RES Techs T15'!$AO32,0,MATCH(VLOOKUP('RES Veda input'!CT$3,'RES Assumptions T15'!$V$3:$W$35,2,FALSE),'RES Techs T15'!$G$3:$U$3,0)))</f>
        <v>9.8000000000000004E-2</v>
      </c>
      <c r="CU32" s="9">
        <f ca="1">IF(OFFSET('RES Techs T15'!$AO32,0,MATCH(VLOOKUP('RES Veda input'!CU$3,'RES Assumptions T15'!$V$3:$W$35,2,FALSE),'RES Techs T15'!$G$3:$U$3,0))=0,"",OFFSET('RES Techs T15'!$AO32,0,MATCH(VLOOKUP('RES Veda input'!CU$3,'RES Assumptions T15'!$V$3:$W$35,2,FALSE),'RES Techs T15'!$G$3:$U$3,0)))</f>
        <v>0.126</v>
      </c>
      <c r="CV32" s="9">
        <f ca="1">IF(OFFSET('RES Techs T15'!$AO32,0,MATCH(VLOOKUP('RES Veda input'!CV$3,'RES Assumptions T15'!$V$3:$W$35,2,FALSE),'RES Techs T15'!$G$3:$U$3,0))=0,"",OFFSET('RES Techs T15'!$AO32,0,MATCH(VLOOKUP('RES Veda input'!CV$3,'RES Assumptions T15'!$V$3:$W$35,2,FALSE),'RES Techs T15'!$G$3:$U$3,0)))</f>
        <v>0.14000000000000001</v>
      </c>
      <c r="CW32" s="9">
        <f ca="1">IF(OFFSET('RES Techs T15'!$AO32,0,MATCH(VLOOKUP('RES Veda input'!CW$3,'RES Assumptions T15'!$V$3:$W$35,2,FALSE),'RES Techs T15'!$G$3:$U$3,0))=0,"",OFFSET('RES Techs T15'!$AO32,0,MATCH(VLOOKUP('RES Veda input'!CW$3,'RES Assumptions T15'!$V$3:$W$35,2,FALSE),'RES Techs T15'!$G$3:$U$3,0)))</f>
        <v>0.14000000000000001</v>
      </c>
      <c r="CY32" s="8" t="str">
        <f t="shared" si="63"/>
        <v>RHWHFO000</v>
      </c>
      <c r="CZ32" s="10">
        <f ca="1">ROUND('RES Assumptions'!E115*'RES Veda input'!G32/'RES Veda input'!AM32,3)</f>
        <v>0</v>
      </c>
      <c r="DA32" s="10">
        <f ca="1">ROUND('RES Assumptions'!F115*'RES Veda input'!H32/'RES Veda input'!AN32,3)</f>
        <v>0</v>
      </c>
      <c r="DB32" s="10">
        <f ca="1">ROUND('RES Assumptions'!G115*'RES Veda input'!I32/'RES Veda input'!AO32,3)</f>
        <v>0</v>
      </c>
      <c r="DC32" s="10">
        <f ca="1">ROUND('RES Assumptions'!H115*'RES Veda input'!J32/'RES Veda input'!AP32,3)</f>
        <v>0</v>
      </c>
      <c r="DD32" s="10">
        <f ca="1">ROUND('RES Assumptions'!I115*'RES Veda input'!K32/'RES Veda input'!AQ32,3)</f>
        <v>0</v>
      </c>
      <c r="DE32" s="10">
        <f ca="1">ROUND('RES Assumptions'!J115*'RES Veda input'!L32/'RES Veda input'!AR32,3)</f>
        <v>0</v>
      </c>
      <c r="DF32" s="10">
        <f ca="1">ROUND('RES Assumptions'!K115*'RES Veda input'!M32/'RES Veda input'!AS32,3)</f>
        <v>0</v>
      </c>
      <c r="DG32" s="10">
        <f ca="1">ROUND('RES Assumptions'!L115*'RES Veda input'!N32/'RES Veda input'!AT32,3)</f>
        <v>0</v>
      </c>
      <c r="DH32" s="10">
        <f ca="1">ROUND('RES Assumptions'!M115*'RES Veda input'!O32/'RES Veda input'!AU32,3)</f>
        <v>0</v>
      </c>
      <c r="DI32" s="10">
        <f ca="1">ROUND('RES Assumptions'!N115*'RES Veda input'!P32/'RES Veda input'!AV32,3)</f>
        <v>0</v>
      </c>
      <c r="DJ32" s="10">
        <f ca="1">ROUND('RES Assumptions'!O115*'RES Veda input'!Q32/'RES Veda input'!AW32,3)</f>
        <v>0</v>
      </c>
      <c r="DK32" s="10">
        <f ca="1">ROUND('RES Assumptions'!P115*'RES Veda input'!R32/'RES Veda input'!AX32,3)</f>
        <v>0</v>
      </c>
      <c r="DL32" s="10">
        <f ca="1">ROUND('RES Assumptions'!Q115*'RES Veda input'!S32/'RES Veda input'!AY32,3)</f>
        <v>0</v>
      </c>
      <c r="DM32" s="10">
        <f ca="1">ROUND('RES Assumptions'!R115*'RES Veda input'!T32/'RES Veda input'!AZ32,3)</f>
        <v>0</v>
      </c>
      <c r="DN32" s="10">
        <f ca="1">ROUND('RES Assumptions'!S115*'RES Veda input'!U32/'RES Veda input'!BA32,3)</f>
        <v>0</v>
      </c>
      <c r="DO32" s="10">
        <f ca="1">ROUND('RES Assumptions'!T115*'RES Veda input'!V32/'RES Veda input'!BB32,3)</f>
        <v>0</v>
      </c>
      <c r="DP32" s="10">
        <f ca="1">ROUND('RES Assumptions'!U115*'RES Veda input'!W32/'RES Veda input'!BC32,3)</f>
        <v>0</v>
      </c>
      <c r="DQ32" s="10">
        <f ca="1">ROUND('RES Assumptions'!V115*'RES Veda input'!X32/'RES Veda input'!BD32,3)</f>
        <v>0</v>
      </c>
      <c r="DR32" s="10">
        <f ca="1">ROUND('RES Assumptions'!W115*'RES Veda input'!Y32/'RES Veda input'!BE32,3)</f>
        <v>0</v>
      </c>
      <c r="DS32" s="10">
        <f ca="1">ROUND('RES Assumptions'!X115*'RES Veda input'!Z32/'RES Veda input'!BF32,3)</f>
        <v>0</v>
      </c>
      <c r="DT32" s="10">
        <f ca="1">ROUND('RES Assumptions'!Y115*'RES Veda input'!AA32/'RES Veda input'!BG32,3)</f>
        <v>0</v>
      </c>
      <c r="DU32" s="10">
        <f ca="1">ROUND('RES Assumptions'!Z115*'RES Veda input'!AB32/'RES Veda input'!BH32,3)</f>
        <v>0</v>
      </c>
      <c r="DV32" s="10">
        <f ca="1">ROUND('RES Assumptions'!AA115*'RES Veda input'!AC32/'RES Veda input'!BI32,3)</f>
        <v>0</v>
      </c>
      <c r="DW32" s="10">
        <f ca="1">ROUND('RES Assumptions'!AB115*'RES Veda input'!AD32/'RES Veda input'!BJ32,3)</f>
        <v>0</v>
      </c>
      <c r="DX32" s="10">
        <f ca="1">ROUND('RES Assumptions'!AC115*'RES Veda input'!AE32/'RES Veda input'!BK32,3)</f>
        <v>0</v>
      </c>
      <c r="DY32" s="10">
        <f ca="1">ROUND('RES Assumptions'!AD115*'RES Veda input'!AF32/'RES Veda input'!BL32,3)</f>
        <v>0</v>
      </c>
      <c r="DZ32" s="10">
        <f ca="1">ROUND('RES Assumptions'!AE115*'RES Veda input'!AG32/'RES Veda input'!BM32,3)</f>
        <v>0</v>
      </c>
      <c r="EA32" s="10">
        <f ca="1">ROUND('RES Assumptions'!AF115*'RES Veda input'!AH32/'RES Veda input'!BN32,3)</f>
        <v>0</v>
      </c>
      <c r="EB32" s="10">
        <f ca="1">ROUND('RES Assumptions'!AG115*'RES Veda input'!AI32/'RES Veda input'!BO32,3)</f>
        <v>0</v>
      </c>
      <c r="EC32" s="10">
        <f ca="1">ROUND('RES Assumptions'!AH115*'RES Veda input'!AJ32/'RES Veda input'!BP32,3)</f>
        <v>0</v>
      </c>
      <c r="ED32">
        <v>15</v>
      </c>
      <c r="EG32" t="s">
        <v>281</v>
      </c>
      <c r="EH32" t="str">
        <f t="shared" si="64"/>
        <v>RHWHFO000</v>
      </c>
      <c r="EJ32" t="s">
        <v>282</v>
      </c>
      <c r="EK32" t="s">
        <v>283</v>
      </c>
    </row>
    <row r="33" spans="1:141" x14ac:dyDescent="0.45">
      <c r="A33" s="37" t="str">
        <f>'RES Assumptions'!B116</f>
        <v>RHW</v>
      </c>
      <c r="B33" s="37" t="s">
        <v>143</v>
      </c>
      <c r="D33" s="51" t="s">
        <v>143</v>
      </c>
      <c r="E33" s="8" t="str">
        <f>'RES Assumptions'!A116</f>
        <v>RESKER</v>
      </c>
      <c r="F33" s="8" t="str">
        <f>VLOOKUP(A33,'RES Assumptions'!$AN$87:$AO$97,2,FALSE)</f>
        <v>RHW</v>
      </c>
      <c r="G33" s="9">
        <f ca="1">OFFSET('RES Techs T15'!$F33,0,MATCH(VLOOKUP('RES Veda input'!G$3,'RES Assumptions T15'!$V$3:$W$35,2,FALSE),'RES Techs T15'!$G$3:$U$3,0))</f>
        <v>0.57999999999999996</v>
      </c>
      <c r="H33" s="9">
        <f ca="1">OFFSET('RES Techs T15'!$F33,0,MATCH(VLOOKUP('RES Veda input'!H$3,'RES Assumptions T15'!$V$3:$W$35,2,FALSE),'RES Techs T15'!$G$3:$U$3,0))</f>
        <v>0.57999999999999996</v>
      </c>
      <c r="I33" s="9">
        <f ca="1">OFFSET('RES Techs T15'!$F33,0,MATCH(VLOOKUP('RES Veda input'!I$3,'RES Assumptions T15'!$V$3:$W$35,2,FALSE),'RES Techs T15'!$G$3:$U$3,0))</f>
        <v>0.57999999999999996</v>
      </c>
      <c r="J33" s="9">
        <f ca="1">OFFSET('RES Techs T15'!$F33,0,MATCH(VLOOKUP('RES Veda input'!J$3,'RES Assumptions T15'!$V$3:$W$35,2,FALSE),'RES Techs T15'!$G$3:$U$3,0))</f>
        <v>0.57999999999999996</v>
      </c>
      <c r="K33" s="9">
        <f ca="1">OFFSET('RES Techs T15'!$F33,0,MATCH(VLOOKUP('RES Veda input'!K$3,'RES Assumptions T15'!$V$3:$W$35,2,FALSE),'RES Techs T15'!$G$3:$U$3,0))</f>
        <v>0.57999999999999996</v>
      </c>
      <c r="L33" s="9">
        <f ca="1">OFFSET('RES Techs T15'!$F33,0,MATCH(VLOOKUP('RES Veda input'!L$3,'RES Assumptions T15'!$V$3:$W$35,2,FALSE),'RES Techs T15'!$G$3:$U$3,0))</f>
        <v>0.57999999999999996</v>
      </c>
      <c r="M33" s="9">
        <f ca="1">OFFSET('RES Techs T15'!$F33,0,MATCH(VLOOKUP('RES Veda input'!M$3,'RES Assumptions T15'!$V$3:$W$35,2,FALSE),'RES Techs T15'!$G$3:$U$3,0))</f>
        <v>0.57999999999999996</v>
      </c>
      <c r="N33" s="9">
        <f ca="1">OFFSET('RES Techs T15'!$F33,0,MATCH(VLOOKUP('RES Veda input'!N$3,'RES Assumptions T15'!$V$3:$W$35,2,FALSE),'RES Techs T15'!$G$3:$U$3,0))</f>
        <v>0.57999999999999996</v>
      </c>
      <c r="O33" s="9">
        <f ca="1">OFFSET('RES Techs T15'!$F33,0,MATCH(VLOOKUP('RES Veda input'!O$3,'RES Assumptions T15'!$V$3:$W$35,2,FALSE),'RES Techs T15'!$G$3:$U$3,0))</f>
        <v>0.57999999999999996</v>
      </c>
      <c r="P33" s="9">
        <f ca="1">OFFSET('RES Techs T15'!$F33,0,MATCH(VLOOKUP('RES Veda input'!P$3,'RES Assumptions T15'!$V$3:$W$35,2,FALSE),'RES Techs T15'!$G$3:$U$3,0))</f>
        <v>0.57999999999999996</v>
      </c>
      <c r="Q33" s="9">
        <f ca="1">OFFSET('RES Techs T15'!$F33,0,MATCH(VLOOKUP('RES Veda input'!Q$3,'RES Assumptions T15'!$V$3:$W$35,2,FALSE),'RES Techs T15'!$G$3:$U$3,0))</f>
        <v>0.57999999999999996</v>
      </c>
      <c r="R33" s="9">
        <f ca="1">OFFSET('RES Techs T15'!$F33,0,MATCH(VLOOKUP('RES Veda input'!R$3,'RES Assumptions T15'!$V$3:$W$35,2,FALSE),'RES Techs T15'!$G$3:$U$3,0))</f>
        <v>0.57999999999999996</v>
      </c>
      <c r="S33" s="9">
        <f ca="1">OFFSET('RES Techs T15'!$F33,0,MATCH(VLOOKUP('RES Veda input'!S$3,'RES Assumptions T15'!$V$3:$W$35,2,FALSE),'RES Techs T15'!$G$3:$U$3,0))</f>
        <v>0.57999999999999996</v>
      </c>
      <c r="T33" s="9">
        <f ca="1">OFFSET('RES Techs T15'!$F33,0,MATCH(VLOOKUP('RES Veda input'!T$3,'RES Assumptions T15'!$V$3:$W$35,2,FALSE),'RES Techs T15'!$G$3:$U$3,0))</f>
        <v>0.57999999999999996</v>
      </c>
      <c r="U33" s="9">
        <f ca="1">OFFSET('RES Techs T15'!$F33,0,MATCH(VLOOKUP('RES Veda input'!U$3,'RES Assumptions T15'!$V$3:$W$35,2,FALSE),'RES Techs T15'!$G$3:$U$3,0))</f>
        <v>0.57999999999999996</v>
      </c>
      <c r="V33" s="9">
        <f ca="1">OFFSET('RES Techs T15'!$F33,0,MATCH(VLOOKUP('RES Veda input'!V$3,'RES Assumptions T15'!$V$3:$W$35,2,FALSE),'RES Techs T15'!$G$3:$U$3,0))</f>
        <v>0.57999999999999996</v>
      </c>
      <c r="W33" s="9">
        <f ca="1">OFFSET('RES Techs T15'!$F33,0,MATCH(VLOOKUP('RES Veda input'!W$3,'RES Assumptions T15'!$V$3:$W$35,2,FALSE),'RES Techs T15'!$G$3:$U$3,0))</f>
        <v>0.57999999999999996</v>
      </c>
      <c r="X33" s="9">
        <f ca="1">OFFSET('RES Techs T15'!$F33,0,MATCH(VLOOKUP('RES Veda input'!X$3,'RES Assumptions T15'!$V$3:$W$35,2,FALSE),'RES Techs T15'!$G$3:$U$3,0))</f>
        <v>0.57999999999999996</v>
      </c>
      <c r="Y33" s="9">
        <f ca="1">OFFSET('RES Techs T15'!$F33,0,MATCH(VLOOKUP('RES Veda input'!Y$3,'RES Assumptions T15'!$V$3:$W$35,2,FALSE),'RES Techs T15'!$G$3:$U$3,0))</f>
        <v>0.57999999999999996</v>
      </c>
      <c r="Z33" s="9">
        <f ca="1">OFFSET('RES Techs T15'!$F33,0,MATCH(VLOOKUP('RES Veda input'!Z$3,'RES Assumptions T15'!$V$3:$W$35,2,FALSE),'RES Techs T15'!$G$3:$U$3,0))</f>
        <v>0.57999999999999996</v>
      </c>
      <c r="AA33" s="9">
        <f ca="1">OFFSET('RES Techs T15'!$F33,0,MATCH(VLOOKUP('RES Veda input'!AA$3,'RES Assumptions T15'!$V$3:$W$35,2,FALSE),'RES Techs T15'!$G$3:$U$3,0))</f>
        <v>0.57999999999999996</v>
      </c>
      <c r="AB33" s="9">
        <f ca="1">OFFSET('RES Techs T15'!$F33,0,MATCH(VLOOKUP('RES Veda input'!AB$3,'RES Assumptions T15'!$V$3:$W$35,2,FALSE),'RES Techs T15'!$G$3:$U$3,0))</f>
        <v>0.57999999999999996</v>
      </c>
      <c r="AC33" s="9">
        <f ca="1">OFFSET('RES Techs T15'!$F33,0,MATCH(VLOOKUP('RES Veda input'!AC$3,'RES Assumptions T15'!$V$3:$W$35,2,FALSE),'RES Techs T15'!$G$3:$U$3,0))</f>
        <v>0.57999999999999996</v>
      </c>
      <c r="AD33" s="9">
        <f ca="1">OFFSET('RES Techs T15'!$F33,0,MATCH(VLOOKUP('RES Veda input'!AD$3,'RES Assumptions T15'!$V$3:$W$35,2,FALSE),'RES Techs T15'!$G$3:$U$3,0))</f>
        <v>0.57999999999999996</v>
      </c>
      <c r="AE33" s="9">
        <f ca="1">OFFSET('RES Techs T15'!$F33,0,MATCH(VLOOKUP('RES Veda input'!AE$3,'RES Assumptions T15'!$V$3:$W$35,2,FALSE),'RES Techs T15'!$G$3:$U$3,0))</f>
        <v>0.57999999999999996</v>
      </c>
      <c r="AF33" s="9">
        <f ca="1">OFFSET('RES Techs T15'!$F33,0,MATCH(VLOOKUP('RES Veda input'!AF$3,'RES Assumptions T15'!$V$3:$W$35,2,FALSE),'RES Techs T15'!$G$3:$U$3,0))</f>
        <v>0.57999999999999996</v>
      </c>
      <c r="AG33" s="9">
        <f ca="1">OFFSET('RES Techs T15'!$F33,0,MATCH(VLOOKUP('RES Veda input'!AG$3,'RES Assumptions T15'!$V$3:$W$35,2,FALSE),'RES Techs T15'!$G$3:$U$3,0))</f>
        <v>0.57999999999999996</v>
      </c>
      <c r="AH33" s="9">
        <f ca="1">OFFSET('RES Techs T15'!$F33,0,MATCH(VLOOKUP('RES Veda input'!AH$3,'RES Assumptions T15'!$V$3:$W$35,2,FALSE),'RES Techs T15'!$G$3:$U$3,0))</f>
        <v>0.57999999999999996</v>
      </c>
      <c r="AI33" s="9">
        <f ca="1">OFFSET('RES Techs T15'!$F33,0,MATCH(VLOOKUP('RES Veda input'!AI$3,'RES Assumptions T15'!$V$3:$W$35,2,FALSE),'RES Techs T15'!$G$3:$U$3,0))</f>
        <v>0.57999999999999996</v>
      </c>
      <c r="AJ33" s="9">
        <f ca="1">OFFSET('RES Techs T15'!$F33,0,MATCH(VLOOKUP('RES Veda input'!AJ$3,'RES Assumptions T15'!$V$3:$W$35,2,FALSE),'RES Techs T15'!$G$3:$U$3,0))</f>
        <v>0.57999999999999996</v>
      </c>
      <c r="AL33" s="8" t="str">
        <f t="shared" si="60"/>
        <v>RHWKER000</v>
      </c>
      <c r="AM33" s="9">
        <f ca="1">OFFSET('RES Techs T15'!$W33,0,MATCH(VLOOKUP('RES Veda input'!AM$3,'RES Assumptions T15'!$V$3:$W$35,2,FALSE),'RES Techs T15'!$G$3:$U$3,0))</f>
        <v>0.1</v>
      </c>
      <c r="AN33" s="9">
        <f ca="1">OFFSET('RES Techs T15'!$W33,0,MATCH(VLOOKUP('RES Veda input'!AN$3,'RES Assumptions T15'!$V$3:$W$35,2,FALSE),'RES Techs T15'!$G$3:$U$3,0))</f>
        <v>0.1</v>
      </c>
      <c r="AO33" s="9">
        <f ca="1">OFFSET('RES Techs T15'!$W33,0,MATCH(VLOOKUP('RES Veda input'!AO$3,'RES Assumptions T15'!$V$3:$W$35,2,FALSE),'RES Techs T15'!$G$3:$U$3,0))</f>
        <v>0.1</v>
      </c>
      <c r="AP33" s="9">
        <f ca="1">OFFSET('RES Techs T15'!$W33,0,MATCH(VLOOKUP('RES Veda input'!AP$3,'RES Assumptions T15'!$V$3:$W$35,2,FALSE),'RES Techs T15'!$G$3:$U$3,0))</f>
        <v>0.1</v>
      </c>
      <c r="AQ33" s="9">
        <f ca="1">OFFSET('RES Techs T15'!$W33,0,MATCH(VLOOKUP('RES Veda input'!AQ$3,'RES Assumptions T15'!$V$3:$W$35,2,FALSE),'RES Techs T15'!$G$3:$U$3,0))</f>
        <v>0.1</v>
      </c>
      <c r="AR33" s="9">
        <f ca="1">OFFSET('RES Techs T15'!$W33,0,MATCH(VLOOKUP('RES Veda input'!AR$3,'RES Assumptions T15'!$V$3:$W$35,2,FALSE),'RES Techs T15'!$G$3:$U$3,0))</f>
        <v>0.1</v>
      </c>
      <c r="AS33" s="9">
        <f ca="1">OFFSET('RES Techs T15'!$W33,0,MATCH(VLOOKUP('RES Veda input'!AS$3,'RES Assumptions T15'!$V$3:$W$35,2,FALSE),'RES Techs T15'!$G$3:$U$3,0))</f>
        <v>0.13</v>
      </c>
      <c r="AT33" s="9">
        <f ca="1">OFFSET('RES Techs T15'!$W33,0,MATCH(VLOOKUP('RES Veda input'!AT$3,'RES Assumptions T15'!$V$3:$W$35,2,FALSE),'RES Techs T15'!$G$3:$U$3,0))</f>
        <v>0.1</v>
      </c>
      <c r="AU33" s="9">
        <f ca="1">OFFSET('RES Techs T15'!$W33,0,MATCH(VLOOKUP('RES Veda input'!AU$3,'RES Assumptions T15'!$V$3:$W$35,2,FALSE),'RES Techs T15'!$G$3:$U$3,0))</f>
        <v>0.13</v>
      </c>
      <c r="AV33" s="9">
        <f ca="1">OFFSET('RES Techs T15'!$W33,0,MATCH(VLOOKUP('RES Veda input'!AV$3,'RES Assumptions T15'!$V$3:$W$35,2,FALSE),'RES Techs T15'!$G$3:$U$3,0))</f>
        <v>0.1</v>
      </c>
      <c r="AW33" s="9">
        <f ca="1">OFFSET('RES Techs T15'!$W33,0,MATCH(VLOOKUP('RES Veda input'!AW$3,'RES Assumptions T15'!$V$3:$W$35,2,FALSE),'RES Techs T15'!$G$3:$U$3,0))</f>
        <v>0.1</v>
      </c>
      <c r="AX33" s="9">
        <f ca="1">OFFSET('RES Techs T15'!$W33,0,MATCH(VLOOKUP('RES Veda input'!AX$3,'RES Assumptions T15'!$V$3:$W$35,2,FALSE),'RES Techs T15'!$G$3:$U$3,0))</f>
        <v>0.1</v>
      </c>
      <c r="AY33" s="9">
        <f ca="1">OFFSET('RES Techs T15'!$W33,0,MATCH(VLOOKUP('RES Veda input'!AY$3,'RES Assumptions T15'!$V$3:$W$35,2,FALSE),'RES Techs T15'!$G$3:$U$3,0))</f>
        <v>0.1</v>
      </c>
      <c r="AZ33" s="9">
        <f ca="1">OFFSET('RES Techs T15'!$W33,0,MATCH(VLOOKUP('RES Veda input'!AZ$3,'RES Assumptions T15'!$V$3:$W$35,2,FALSE),'RES Techs T15'!$G$3:$U$3,0))</f>
        <v>0.1</v>
      </c>
      <c r="BA33" s="9">
        <f ca="1">OFFSET('RES Techs T15'!$W33,0,MATCH(VLOOKUP('RES Veda input'!BA$3,'RES Assumptions T15'!$V$3:$W$35,2,FALSE),'RES Techs T15'!$G$3:$U$3,0))</f>
        <v>0.1</v>
      </c>
      <c r="BB33" s="9">
        <f ca="1">OFFSET('RES Techs T15'!$W33,0,MATCH(VLOOKUP('RES Veda input'!BB$3,'RES Assumptions T15'!$V$3:$W$35,2,FALSE),'RES Techs T15'!$G$3:$U$3,0))</f>
        <v>0.1</v>
      </c>
      <c r="BC33" s="9">
        <f ca="1">OFFSET('RES Techs T15'!$W33,0,MATCH(VLOOKUP('RES Veda input'!BC$3,'RES Assumptions T15'!$V$3:$W$35,2,FALSE),'RES Techs T15'!$G$3:$U$3,0))</f>
        <v>0.1</v>
      </c>
      <c r="BD33" s="9">
        <f ca="1">OFFSET('RES Techs T15'!$W33,0,MATCH(VLOOKUP('RES Veda input'!BD$3,'RES Assumptions T15'!$V$3:$W$35,2,FALSE),'RES Techs T15'!$G$3:$U$3,0))</f>
        <v>0.1</v>
      </c>
      <c r="BE33" s="9">
        <f ca="1">OFFSET('RES Techs T15'!$W33,0,MATCH(VLOOKUP('RES Veda input'!BE$3,'RES Assumptions T15'!$V$3:$W$35,2,FALSE),'RES Techs T15'!$G$3:$U$3,0))</f>
        <v>0.1</v>
      </c>
      <c r="BF33" s="9">
        <f ca="1">OFFSET('RES Techs T15'!$W33,0,MATCH(VLOOKUP('RES Veda input'!BF$3,'RES Assumptions T15'!$V$3:$W$35,2,FALSE),'RES Techs T15'!$G$3:$U$3,0))</f>
        <v>0.1</v>
      </c>
      <c r="BG33" s="9">
        <f ca="1">OFFSET('RES Techs T15'!$W33,0,MATCH(VLOOKUP('RES Veda input'!BG$3,'RES Assumptions T15'!$V$3:$W$35,2,FALSE),'RES Techs T15'!$G$3:$U$3,0))</f>
        <v>0.1</v>
      </c>
      <c r="BH33" s="9">
        <f ca="1">OFFSET('RES Techs T15'!$W33,0,MATCH(VLOOKUP('RES Veda input'!BH$3,'RES Assumptions T15'!$V$3:$W$35,2,FALSE),'RES Techs T15'!$G$3:$U$3,0))</f>
        <v>0.1</v>
      </c>
      <c r="BI33" s="9">
        <f ca="1">OFFSET('RES Techs T15'!$W33,0,MATCH(VLOOKUP('RES Veda input'!BI$3,'RES Assumptions T15'!$V$3:$W$35,2,FALSE),'RES Techs T15'!$G$3:$U$3,0))</f>
        <v>0.1</v>
      </c>
      <c r="BJ33" s="9">
        <f ca="1">OFFSET('RES Techs T15'!$W33,0,MATCH(VLOOKUP('RES Veda input'!BJ$3,'RES Assumptions T15'!$V$3:$W$35,2,FALSE),'RES Techs T15'!$G$3:$U$3,0))</f>
        <v>0.1</v>
      </c>
      <c r="BK33" s="9">
        <f ca="1">OFFSET('RES Techs T15'!$W33,0,MATCH(VLOOKUP('RES Veda input'!BK$3,'RES Assumptions T15'!$V$3:$W$35,2,FALSE),'RES Techs T15'!$G$3:$U$3,0))</f>
        <v>0.1</v>
      </c>
      <c r="BL33" s="9">
        <f ca="1">OFFSET('RES Techs T15'!$W33,0,MATCH(VLOOKUP('RES Veda input'!BL$3,'RES Assumptions T15'!$V$3:$W$35,2,FALSE),'RES Techs T15'!$G$3:$U$3,0))</f>
        <v>0.1</v>
      </c>
      <c r="BM33" s="9">
        <f ca="1">OFFSET('RES Techs T15'!$W33,0,MATCH(VLOOKUP('RES Veda input'!BM$3,'RES Assumptions T15'!$V$3:$W$35,2,FALSE),'RES Techs T15'!$G$3:$U$3,0))</f>
        <v>0.1</v>
      </c>
      <c r="BN33" s="9">
        <f ca="1">OFFSET('RES Techs T15'!$W33,0,MATCH(VLOOKUP('RES Veda input'!BN$3,'RES Assumptions T15'!$V$3:$W$35,2,FALSE),'RES Techs T15'!$G$3:$U$3,0))</f>
        <v>0.1</v>
      </c>
      <c r="BO33" s="9">
        <f ca="1">OFFSET('RES Techs T15'!$W33,0,MATCH(VLOOKUP('RES Veda input'!BO$3,'RES Assumptions T15'!$V$3:$W$35,2,FALSE),'RES Techs T15'!$G$3:$U$3,0))</f>
        <v>0.1</v>
      </c>
      <c r="BP33" s="9">
        <f ca="1">OFFSET('RES Techs T15'!$W33,0,MATCH(VLOOKUP('RES Veda input'!BP$3,'RES Assumptions T15'!$V$3:$W$35,2,FALSE),'RES Techs T15'!$G$3:$U$3,0))</f>
        <v>0.1</v>
      </c>
      <c r="BR33" s="8" t="str">
        <f t="shared" si="61"/>
        <v>RHWKER000</v>
      </c>
      <c r="BS33" s="9">
        <f t="shared" ca="1" si="62"/>
        <v>4.8</v>
      </c>
      <c r="BT33" s="9" t="str">
        <f ca="1">IF(OFFSET('RES Techs T15'!$AO33,0,MATCH(VLOOKUP('RES Veda input'!BT$3,'RES Assumptions T15'!$V$3:$W$35,2,FALSE),'RES Techs T15'!$G$3:$U$3,0))=0,"",OFFSET('RES Techs T15'!$AO33,0,MATCH(VLOOKUP('RES Veda input'!BT$3,'RES Assumptions T15'!$V$3:$W$35,2,FALSE),'RES Techs T15'!$G$3:$U$3,0)))</f>
        <v/>
      </c>
      <c r="BU33" s="9" t="str">
        <f ca="1">IF(OFFSET('RES Techs T15'!$AO33,0,MATCH(VLOOKUP('RES Veda input'!BU$3,'RES Assumptions T15'!$V$3:$W$35,2,FALSE),'RES Techs T15'!$G$3:$U$3,0))=0,"",OFFSET('RES Techs T15'!$AO33,0,MATCH(VLOOKUP('RES Veda input'!BU$3,'RES Assumptions T15'!$V$3:$W$35,2,FALSE),'RES Techs T15'!$G$3:$U$3,0)))</f>
        <v/>
      </c>
      <c r="BV33" s="9">
        <f ca="1">IF(OFFSET('RES Techs T15'!$AO33,0,MATCH(VLOOKUP('RES Veda input'!BV$3,'RES Assumptions T15'!$V$3:$W$35,2,FALSE),'RES Techs T15'!$G$3:$U$3,0))=0,"",OFFSET('RES Techs T15'!$AO33,0,MATCH(VLOOKUP('RES Veda input'!BV$3,'RES Assumptions T15'!$V$3:$W$35,2,FALSE),'RES Techs T15'!$G$3:$U$3,0)))</f>
        <v>5.6</v>
      </c>
      <c r="BW33" s="9" t="str">
        <f ca="1">IF(OFFSET('RES Techs T15'!$AO33,0,MATCH(VLOOKUP('RES Veda input'!BW$3,'RES Assumptions T15'!$V$3:$W$35,2,FALSE),'RES Techs T15'!$G$3:$U$3,0))=0,"",OFFSET('RES Techs T15'!$AO33,0,MATCH(VLOOKUP('RES Veda input'!BW$3,'RES Assumptions T15'!$V$3:$W$35,2,FALSE),'RES Techs T15'!$G$3:$U$3,0)))</f>
        <v/>
      </c>
      <c r="BX33" s="9">
        <f ca="1">IF(OFFSET('RES Techs T15'!$AO33,0,MATCH(VLOOKUP('RES Veda input'!BX$3,'RES Assumptions T15'!$V$3:$W$35,2,FALSE),'RES Techs T15'!$G$3:$U$3,0))=0,"",OFFSET('RES Techs T15'!$AO33,0,MATCH(VLOOKUP('RES Veda input'!BX$3,'RES Assumptions T15'!$V$3:$W$35,2,FALSE),'RES Techs T15'!$G$3:$U$3,0)))</f>
        <v>8</v>
      </c>
      <c r="BY33" s="9">
        <f ca="1">IF(OFFSET('RES Techs T15'!$AO33,0,MATCH(VLOOKUP('RES Veda input'!BY$3,'RES Assumptions T15'!$V$3:$W$35,2,FALSE),'RES Techs T15'!$G$3:$U$3,0))=0,"",OFFSET('RES Techs T15'!$AO33,0,MATCH(VLOOKUP('RES Veda input'!BY$3,'RES Assumptions T15'!$V$3:$W$35,2,FALSE),'RES Techs T15'!$G$3:$U$3,0)))</f>
        <v>4.8</v>
      </c>
      <c r="BZ33" s="9" t="str">
        <f ca="1">IF(OFFSET('RES Techs T15'!$AO33,0,MATCH(VLOOKUP('RES Veda input'!BZ$3,'RES Assumptions T15'!$V$3:$W$35,2,FALSE),'RES Techs T15'!$G$3:$U$3,0))=0,"",OFFSET('RES Techs T15'!$AO33,0,MATCH(VLOOKUP('RES Veda input'!BZ$3,'RES Assumptions T15'!$V$3:$W$35,2,FALSE),'RES Techs T15'!$G$3:$U$3,0)))</f>
        <v/>
      </c>
      <c r="CA33" s="9">
        <f ca="1">IF(OFFSET('RES Techs T15'!$AO33,0,MATCH(VLOOKUP('RES Veda input'!CA$3,'RES Assumptions T15'!$V$3:$W$35,2,FALSE),'RES Techs T15'!$G$3:$U$3,0))=0,"",OFFSET('RES Techs T15'!$AO33,0,MATCH(VLOOKUP('RES Veda input'!CA$3,'RES Assumptions T15'!$V$3:$W$35,2,FALSE),'RES Techs T15'!$G$3:$U$3,0)))</f>
        <v>5.6</v>
      </c>
      <c r="CB33" s="9" t="str">
        <f ca="1">IF(OFFSET('RES Techs T15'!$AO33,0,MATCH(VLOOKUP('RES Veda input'!CB$3,'RES Assumptions T15'!$V$3:$W$35,2,FALSE),'RES Techs T15'!$G$3:$U$3,0))=0,"",OFFSET('RES Techs T15'!$AO33,0,MATCH(VLOOKUP('RES Veda input'!CB$3,'RES Assumptions T15'!$V$3:$W$35,2,FALSE),'RES Techs T15'!$G$3:$U$3,0)))</f>
        <v/>
      </c>
      <c r="CC33" s="9" t="str">
        <f ca="1">IF(OFFSET('RES Techs T15'!$AO33,0,MATCH(VLOOKUP('RES Veda input'!CC$3,'RES Assumptions T15'!$V$3:$W$35,2,FALSE),'RES Techs T15'!$G$3:$U$3,0))=0,"",OFFSET('RES Techs T15'!$AO33,0,MATCH(VLOOKUP('RES Veda input'!CC$3,'RES Assumptions T15'!$V$3:$W$35,2,FALSE),'RES Techs T15'!$G$3:$U$3,0)))</f>
        <v/>
      </c>
      <c r="CD33" s="9" t="str">
        <f ca="1">IF(OFFSET('RES Techs T15'!$AO33,0,MATCH(VLOOKUP('RES Veda input'!CD$3,'RES Assumptions T15'!$V$3:$W$35,2,FALSE),'RES Techs T15'!$G$3:$U$3,0))=0,"",OFFSET('RES Techs T15'!$AO33,0,MATCH(VLOOKUP('RES Veda input'!CD$3,'RES Assumptions T15'!$V$3:$W$35,2,FALSE),'RES Techs T15'!$G$3:$U$3,0)))</f>
        <v/>
      </c>
      <c r="CE33" s="9" t="str">
        <f ca="1">IF(OFFSET('RES Techs T15'!$AO33,0,MATCH(VLOOKUP('RES Veda input'!CE$3,'RES Assumptions T15'!$V$3:$W$35,2,FALSE),'RES Techs T15'!$G$3:$U$3,0))=0,"",OFFSET('RES Techs T15'!$AO33,0,MATCH(VLOOKUP('RES Veda input'!CE$3,'RES Assumptions T15'!$V$3:$W$35,2,FALSE),'RES Techs T15'!$G$3:$U$3,0)))</f>
        <v/>
      </c>
      <c r="CF33" s="9" t="str">
        <f ca="1">IF(OFFSET('RES Techs T15'!$AO33,0,MATCH(VLOOKUP('RES Veda input'!CF$3,'RES Assumptions T15'!$V$3:$W$35,2,FALSE),'RES Techs T15'!$G$3:$U$3,0))=0,"",OFFSET('RES Techs T15'!$AO33,0,MATCH(VLOOKUP('RES Veda input'!CF$3,'RES Assumptions T15'!$V$3:$W$35,2,FALSE),'RES Techs T15'!$G$3:$U$3,0)))</f>
        <v/>
      </c>
      <c r="CG33" s="9" t="str">
        <f ca="1">IF(OFFSET('RES Techs T15'!$AO33,0,MATCH(VLOOKUP('RES Veda input'!CG$3,'RES Assumptions T15'!$V$3:$W$35,2,FALSE),'RES Techs T15'!$G$3:$U$3,0))=0,"",OFFSET('RES Techs T15'!$AO33,0,MATCH(VLOOKUP('RES Veda input'!CG$3,'RES Assumptions T15'!$V$3:$W$35,2,FALSE),'RES Techs T15'!$G$3:$U$3,0)))</f>
        <v/>
      </c>
      <c r="CH33" s="9" t="str">
        <f ca="1">IF(OFFSET('RES Techs T15'!$AO33,0,MATCH(VLOOKUP('RES Veda input'!CH$3,'RES Assumptions T15'!$V$3:$W$35,2,FALSE),'RES Techs T15'!$G$3:$U$3,0))=0,"",OFFSET('RES Techs T15'!$AO33,0,MATCH(VLOOKUP('RES Veda input'!CH$3,'RES Assumptions T15'!$V$3:$W$35,2,FALSE),'RES Techs T15'!$G$3:$U$3,0)))</f>
        <v/>
      </c>
      <c r="CI33" s="9" t="str">
        <f ca="1">IF(OFFSET('RES Techs T15'!$AO33,0,MATCH(VLOOKUP('RES Veda input'!CI$3,'RES Assumptions T15'!$V$3:$W$35,2,FALSE),'RES Techs T15'!$G$3:$U$3,0))=0,"",OFFSET('RES Techs T15'!$AO33,0,MATCH(VLOOKUP('RES Veda input'!CI$3,'RES Assumptions T15'!$V$3:$W$35,2,FALSE),'RES Techs T15'!$G$3:$U$3,0)))</f>
        <v/>
      </c>
      <c r="CJ33" s="9">
        <f ca="1">IF(OFFSET('RES Techs T15'!$AO33,0,MATCH(VLOOKUP('RES Veda input'!CJ$3,'RES Assumptions T15'!$V$3:$W$35,2,FALSE),'RES Techs T15'!$G$3:$U$3,0))=0,"",OFFSET('RES Techs T15'!$AO33,0,MATCH(VLOOKUP('RES Veda input'!CJ$3,'RES Assumptions T15'!$V$3:$W$35,2,FALSE),'RES Techs T15'!$G$3:$U$3,0)))</f>
        <v>5.6</v>
      </c>
      <c r="CK33" s="9" t="str">
        <f ca="1">IF(OFFSET('RES Techs T15'!$AO33,0,MATCH(VLOOKUP('RES Veda input'!CK$3,'RES Assumptions T15'!$V$3:$W$35,2,FALSE),'RES Techs T15'!$G$3:$U$3,0))=0,"",OFFSET('RES Techs T15'!$AO33,0,MATCH(VLOOKUP('RES Veda input'!CK$3,'RES Assumptions T15'!$V$3:$W$35,2,FALSE),'RES Techs T15'!$G$3:$U$3,0)))</f>
        <v/>
      </c>
      <c r="CL33" s="9" t="str">
        <f ca="1">IF(OFFSET('RES Techs T15'!$AO33,0,MATCH(VLOOKUP('RES Veda input'!CL$3,'RES Assumptions T15'!$V$3:$W$35,2,FALSE),'RES Techs T15'!$G$3:$U$3,0))=0,"",OFFSET('RES Techs T15'!$AO33,0,MATCH(VLOOKUP('RES Veda input'!CL$3,'RES Assumptions T15'!$V$3:$W$35,2,FALSE),'RES Techs T15'!$G$3:$U$3,0)))</f>
        <v/>
      </c>
      <c r="CM33" s="9">
        <f ca="1">IF(OFFSET('RES Techs T15'!$AO33,0,MATCH(VLOOKUP('RES Veda input'!CM$3,'RES Assumptions T15'!$V$3:$W$35,2,FALSE),'RES Techs T15'!$G$3:$U$3,0))=0,"",OFFSET('RES Techs T15'!$AO33,0,MATCH(VLOOKUP('RES Veda input'!CM$3,'RES Assumptions T15'!$V$3:$W$35,2,FALSE),'RES Techs T15'!$G$3:$U$3,0)))</f>
        <v>4.8</v>
      </c>
      <c r="CN33" s="9">
        <f ca="1">IF(OFFSET('RES Techs T15'!$AO33,0,MATCH(VLOOKUP('RES Veda input'!CN$3,'RES Assumptions T15'!$V$3:$W$35,2,FALSE),'RES Techs T15'!$G$3:$U$3,0))=0,"",OFFSET('RES Techs T15'!$AO33,0,MATCH(VLOOKUP('RES Veda input'!CN$3,'RES Assumptions T15'!$V$3:$W$35,2,FALSE),'RES Techs T15'!$G$3:$U$3,0)))</f>
        <v>5.6</v>
      </c>
      <c r="CO33" s="9">
        <f ca="1">IF(OFFSET('RES Techs T15'!$AO33,0,MATCH(VLOOKUP('RES Veda input'!CO$3,'RES Assumptions T15'!$V$3:$W$35,2,FALSE),'RES Techs T15'!$G$3:$U$3,0))=0,"",OFFSET('RES Techs T15'!$AO33,0,MATCH(VLOOKUP('RES Veda input'!CO$3,'RES Assumptions T15'!$V$3:$W$35,2,FALSE),'RES Techs T15'!$G$3:$U$3,0)))</f>
        <v>6.4</v>
      </c>
      <c r="CP33" s="9">
        <f ca="1">IF(OFFSET('RES Techs T15'!$AO33,0,MATCH(VLOOKUP('RES Veda input'!CP$3,'RES Assumptions T15'!$V$3:$W$35,2,FALSE),'RES Techs T15'!$G$3:$U$3,0))=0,"",OFFSET('RES Techs T15'!$AO33,0,MATCH(VLOOKUP('RES Veda input'!CP$3,'RES Assumptions T15'!$V$3:$W$35,2,FALSE),'RES Techs T15'!$G$3:$U$3,0)))</f>
        <v>5.6</v>
      </c>
      <c r="CQ33" s="9" t="str">
        <f ca="1">IF(OFFSET('RES Techs T15'!$AO33,0,MATCH(VLOOKUP('RES Veda input'!CQ$3,'RES Assumptions T15'!$V$3:$W$35,2,FALSE),'RES Techs T15'!$G$3:$U$3,0))=0,"",OFFSET('RES Techs T15'!$AO33,0,MATCH(VLOOKUP('RES Veda input'!CQ$3,'RES Assumptions T15'!$V$3:$W$35,2,FALSE),'RES Techs T15'!$G$3:$U$3,0)))</f>
        <v/>
      </c>
      <c r="CR33" s="9" t="str">
        <f ca="1">IF(OFFSET('RES Techs T15'!$AO33,0,MATCH(VLOOKUP('RES Veda input'!CR$3,'RES Assumptions T15'!$V$3:$W$35,2,FALSE),'RES Techs T15'!$G$3:$U$3,0))=0,"",OFFSET('RES Techs T15'!$AO33,0,MATCH(VLOOKUP('RES Veda input'!CR$3,'RES Assumptions T15'!$V$3:$W$35,2,FALSE),'RES Techs T15'!$G$3:$U$3,0)))</f>
        <v/>
      </c>
      <c r="CS33" s="9">
        <f ca="1">IF(OFFSET('RES Techs T15'!$AO33,0,MATCH(VLOOKUP('RES Veda input'!CS$3,'RES Assumptions T15'!$V$3:$W$35,2,FALSE),'RES Techs T15'!$G$3:$U$3,0))=0,"",OFFSET('RES Techs T15'!$AO33,0,MATCH(VLOOKUP('RES Veda input'!CS$3,'RES Assumptions T15'!$V$3:$W$35,2,FALSE),'RES Techs T15'!$G$3:$U$3,0)))</f>
        <v>5.6</v>
      </c>
      <c r="CT33" s="9" t="str">
        <f ca="1">IF(OFFSET('RES Techs T15'!$AO33,0,MATCH(VLOOKUP('RES Veda input'!CT$3,'RES Assumptions T15'!$V$3:$W$35,2,FALSE),'RES Techs T15'!$G$3:$U$3,0))=0,"",OFFSET('RES Techs T15'!$AO33,0,MATCH(VLOOKUP('RES Veda input'!CT$3,'RES Assumptions T15'!$V$3:$W$35,2,FALSE),'RES Techs T15'!$G$3:$U$3,0)))</f>
        <v/>
      </c>
      <c r="CU33" s="9" t="str">
        <f ca="1">IF(OFFSET('RES Techs T15'!$AO33,0,MATCH(VLOOKUP('RES Veda input'!CU$3,'RES Assumptions T15'!$V$3:$W$35,2,FALSE),'RES Techs T15'!$G$3:$U$3,0))=0,"",OFFSET('RES Techs T15'!$AO33,0,MATCH(VLOOKUP('RES Veda input'!CU$3,'RES Assumptions T15'!$V$3:$W$35,2,FALSE),'RES Techs T15'!$G$3:$U$3,0)))</f>
        <v/>
      </c>
      <c r="CV33" s="9">
        <f ca="1">IF(OFFSET('RES Techs T15'!$AO33,0,MATCH(VLOOKUP('RES Veda input'!CV$3,'RES Assumptions T15'!$V$3:$W$35,2,FALSE),'RES Techs T15'!$G$3:$U$3,0))=0,"",OFFSET('RES Techs T15'!$AO33,0,MATCH(VLOOKUP('RES Veda input'!CV$3,'RES Assumptions T15'!$V$3:$W$35,2,FALSE),'RES Techs T15'!$G$3:$U$3,0)))</f>
        <v>0.2</v>
      </c>
      <c r="CW33" s="9">
        <f ca="1">IF(OFFSET('RES Techs T15'!$AO33,0,MATCH(VLOOKUP('RES Veda input'!CW$3,'RES Assumptions T15'!$V$3:$W$35,2,FALSE),'RES Techs T15'!$G$3:$U$3,0))=0,"",OFFSET('RES Techs T15'!$AO33,0,MATCH(VLOOKUP('RES Veda input'!CW$3,'RES Assumptions T15'!$V$3:$W$35,2,FALSE),'RES Techs T15'!$G$3:$U$3,0)))</f>
        <v>0.2</v>
      </c>
      <c r="CY33" s="8" t="str">
        <f t="shared" si="63"/>
        <v>RHWKER000</v>
      </c>
      <c r="CZ33" s="10">
        <f ca="1">ROUND('RES Assumptions'!E116*'RES Veda input'!G33/'RES Veda input'!AM33,3)</f>
        <v>2.96</v>
      </c>
      <c r="DA33" s="10">
        <f ca="1">ROUND('RES Assumptions'!F116*'RES Veda input'!H33/'RES Veda input'!AN33,3)</f>
        <v>32.677999999999997</v>
      </c>
      <c r="DB33" s="10">
        <f ca="1">ROUND('RES Assumptions'!G116*'RES Veda input'!I33/'RES Veda input'!AO33,3)</f>
        <v>3.6829999999999998</v>
      </c>
      <c r="DC33" s="10">
        <f ca="1">ROUND('RES Assumptions'!H116*'RES Veda input'!J33/'RES Veda input'!AP33,3)</f>
        <v>3.6360000000000001</v>
      </c>
      <c r="DD33" s="10">
        <f ca="1">ROUND('RES Assumptions'!I116*'RES Veda input'!K33/'RES Veda input'!AQ33,3)</f>
        <v>705.92600000000004</v>
      </c>
      <c r="DE33" s="10">
        <f ca="1">ROUND('RES Assumptions'!J116*'RES Veda input'!L33/'RES Veda input'!AR33,3)</f>
        <v>19.077000000000002</v>
      </c>
      <c r="DF33" s="10">
        <f ca="1">ROUND('RES Assumptions'!K116*'RES Veda input'!M33/'RES Veda input'!AS33,3)</f>
        <v>0</v>
      </c>
      <c r="DG33" s="10">
        <f ca="1">ROUND('RES Assumptions'!L116*'RES Veda input'!N33/'RES Veda input'!AT33,3)</f>
        <v>6.5000000000000002E-2</v>
      </c>
      <c r="DH33" s="10">
        <f ca="1">ROUND('RES Assumptions'!M116*'RES Veda input'!O33/'RES Veda input'!AU33,3)</f>
        <v>1.31</v>
      </c>
      <c r="DI33" s="10">
        <f ca="1">ROUND('RES Assumptions'!N116*'RES Veda input'!P33/'RES Veda input'!AV33,3)</f>
        <v>76.274000000000001</v>
      </c>
      <c r="DJ33" s="10">
        <f ca="1">ROUND('RES Assumptions'!O116*'RES Veda input'!Q33/'RES Veda input'!AW33,3)</f>
        <v>0.127</v>
      </c>
      <c r="DK33" s="10">
        <f ca="1">ROUND('RES Assumptions'!P116*'RES Veda input'!R33/'RES Veda input'!AX33,3)</f>
        <v>0</v>
      </c>
      <c r="DL33" s="10">
        <f ca="1">ROUND('RES Assumptions'!Q116*'RES Veda input'!S33/'RES Veda input'!AY33,3)</f>
        <v>28.457000000000001</v>
      </c>
      <c r="DM33" s="10">
        <f ca="1">ROUND('RES Assumptions'!R116*'RES Veda input'!T33/'RES Veda input'!AZ33,3)</f>
        <v>0.61599999999999999</v>
      </c>
      <c r="DN33" s="10">
        <f ca="1">ROUND('RES Assumptions'!S116*'RES Veda input'!U33/'RES Veda input'!BA33,3)</f>
        <v>0</v>
      </c>
      <c r="DO33" s="10">
        <f ca="1">ROUND('RES Assumptions'!T116*'RES Veda input'!V33/'RES Veda input'!BB33,3)</f>
        <v>3.0000000000000001E-3</v>
      </c>
      <c r="DP33" s="10">
        <f ca="1">ROUND('RES Assumptions'!U116*'RES Veda input'!W33/'RES Veda input'!BC33,3)</f>
        <v>0.36799999999999999</v>
      </c>
      <c r="DQ33" s="10">
        <f ca="1">ROUND('RES Assumptions'!V116*'RES Veda input'!X33/'RES Veda input'!BD33,3)</f>
        <v>6.0149999999999997</v>
      </c>
      <c r="DR33" s="10">
        <f ca="1">ROUND('RES Assumptions'!W116*'RES Veda input'!Y33/'RES Veda input'!BE33,3)</f>
        <v>0.21099999999999999</v>
      </c>
      <c r="DS33" s="10">
        <f ca="1">ROUND('RES Assumptions'!X116*'RES Veda input'!Z33/'RES Veda input'!BF33,3)</f>
        <v>52.243000000000002</v>
      </c>
      <c r="DT33" s="10">
        <f ca="1">ROUND('RES Assumptions'!Y116*'RES Veda input'!AA33/'RES Veda input'!BG33,3)</f>
        <v>8.83</v>
      </c>
      <c r="DU33" s="10">
        <f ca="1">ROUND('RES Assumptions'!Z116*'RES Veda input'!AB33/'RES Veda input'!BH33,3)</f>
        <v>0</v>
      </c>
      <c r="DV33" s="10">
        <f ca="1">ROUND('RES Assumptions'!AA116*'RES Veda input'!AC33/'RES Veda input'!BI33,3)</f>
        <v>151.08600000000001</v>
      </c>
      <c r="DW33" s="10">
        <f ca="1">ROUND('RES Assumptions'!AB116*'RES Veda input'!AD33/'RES Veda input'!BJ33,3)</f>
        <v>0.02</v>
      </c>
      <c r="DX33" s="10">
        <f ca="1">ROUND('RES Assumptions'!AC116*'RES Veda input'!AE33/'RES Veda input'!BK33,3)</f>
        <v>0</v>
      </c>
      <c r="DY33" s="10">
        <f ca="1">ROUND('RES Assumptions'!AD116*'RES Veda input'!AF33/'RES Veda input'!BL33,3)</f>
        <v>21.420999999999999</v>
      </c>
      <c r="DZ33" s="10">
        <f ca="1">ROUND('RES Assumptions'!AE116*'RES Veda input'!AG33/'RES Veda input'!BM33,3)</f>
        <v>7.2439999999999998</v>
      </c>
      <c r="EA33" s="10">
        <f ca="1">ROUND('RES Assumptions'!AF116*'RES Veda input'!AH33/'RES Veda input'!BN33,3)</f>
        <v>63.122999999999998</v>
      </c>
      <c r="EB33" s="10">
        <f ca="1">ROUND('RES Assumptions'!AG116*'RES Veda input'!AI33/'RES Veda input'!BO33,3)</f>
        <v>9.702</v>
      </c>
      <c r="EC33" s="10">
        <f ca="1">ROUND('RES Assumptions'!AH116*'RES Veda input'!AJ33/'RES Veda input'!BP33,3)</f>
        <v>0</v>
      </c>
      <c r="ED33">
        <v>20</v>
      </c>
      <c r="EG33" t="s">
        <v>281</v>
      </c>
      <c r="EH33" t="str">
        <f t="shared" si="64"/>
        <v>RHWKER000</v>
      </c>
      <c r="EJ33" t="s">
        <v>282</v>
      </c>
      <c r="EK33" t="s">
        <v>283</v>
      </c>
    </row>
    <row r="34" spans="1:141" x14ac:dyDescent="0.45">
      <c r="A34" s="37" t="str">
        <f>'RES Assumptions'!B117</f>
        <v>RHW</v>
      </c>
      <c r="B34" s="37" t="s">
        <v>144</v>
      </c>
      <c r="D34" s="51" t="s">
        <v>144</v>
      </c>
      <c r="E34" s="8" t="str">
        <f>'RES Assumptions'!A117</f>
        <v>RESLPG</v>
      </c>
      <c r="F34" s="8" t="str">
        <f>VLOOKUP(A34,'RES Assumptions'!$AN$87:$AO$97,2,FALSE)</f>
        <v>RHW</v>
      </c>
      <c r="G34" s="9">
        <f ca="1">OFFSET('RES Techs T15'!$F34,0,MATCH(VLOOKUP('RES Veda input'!G$3,'RES Assumptions T15'!$V$3:$W$35,2,FALSE),'RES Techs T15'!$G$3:$U$3,0))</f>
        <v>0.54</v>
      </c>
      <c r="H34" s="9">
        <f ca="1">OFFSET('RES Techs T15'!$F34,0,MATCH(VLOOKUP('RES Veda input'!H$3,'RES Assumptions T15'!$V$3:$W$35,2,FALSE),'RES Techs T15'!$G$3:$U$3,0))</f>
        <v>0.54</v>
      </c>
      <c r="I34" s="9">
        <f ca="1">OFFSET('RES Techs T15'!$F34,0,MATCH(VLOOKUP('RES Veda input'!I$3,'RES Assumptions T15'!$V$3:$W$35,2,FALSE),'RES Techs T15'!$G$3:$U$3,0))</f>
        <v>0.54</v>
      </c>
      <c r="J34" s="9">
        <f ca="1">OFFSET('RES Techs T15'!$F34,0,MATCH(VLOOKUP('RES Veda input'!J$3,'RES Assumptions T15'!$V$3:$W$35,2,FALSE),'RES Techs T15'!$G$3:$U$3,0))</f>
        <v>0.54</v>
      </c>
      <c r="K34" s="9">
        <f ca="1">OFFSET('RES Techs T15'!$F34,0,MATCH(VLOOKUP('RES Veda input'!K$3,'RES Assumptions T15'!$V$3:$W$35,2,FALSE),'RES Techs T15'!$G$3:$U$3,0))</f>
        <v>0.54</v>
      </c>
      <c r="L34" s="9">
        <f ca="1">OFFSET('RES Techs T15'!$F34,0,MATCH(VLOOKUP('RES Veda input'!L$3,'RES Assumptions T15'!$V$3:$W$35,2,FALSE),'RES Techs T15'!$G$3:$U$3,0))</f>
        <v>0.54</v>
      </c>
      <c r="M34" s="9">
        <f ca="1">OFFSET('RES Techs T15'!$F34,0,MATCH(VLOOKUP('RES Veda input'!M$3,'RES Assumptions T15'!$V$3:$W$35,2,FALSE),'RES Techs T15'!$G$3:$U$3,0))</f>
        <v>0.54</v>
      </c>
      <c r="N34" s="9">
        <f ca="1">OFFSET('RES Techs T15'!$F34,0,MATCH(VLOOKUP('RES Veda input'!N$3,'RES Assumptions T15'!$V$3:$W$35,2,FALSE),'RES Techs T15'!$G$3:$U$3,0))</f>
        <v>0.54</v>
      </c>
      <c r="O34" s="9">
        <f ca="1">OFFSET('RES Techs T15'!$F34,0,MATCH(VLOOKUP('RES Veda input'!O$3,'RES Assumptions T15'!$V$3:$W$35,2,FALSE),'RES Techs T15'!$G$3:$U$3,0))</f>
        <v>0.54</v>
      </c>
      <c r="P34" s="9">
        <f ca="1">OFFSET('RES Techs T15'!$F34,0,MATCH(VLOOKUP('RES Veda input'!P$3,'RES Assumptions T15'!$V$3:$W$35,2,FALSE),'RES Techs T15'!$G$3:$U$3,0))</f>
        <v>0.54</v>
      </c>
      <c r="Q34" s="9">
        <f ca="1">OFFSET('RES Techs T15'!$F34,0,MATCH(VLOOKUP('RES Veda input'!Q$3,'RES Assumptions T15'!$V$3:$W$35,2,FALSE),'RES Techs T15'!$G$3:$U$3,0))</f>
        <v>0.54</v>
      </c>
      <c r="R34" s="9">
        <f ca="1">OFFSET('RES Techs T15'!$F34,0,MATCH(VLOOKUP('RES Veda input'!R$3,'RES Assumptions T15'!$V$3:$W$35,2,FALSE),'RES Techs T15'!$G$3:$U$3,0))</f>
        <v>0.54</v>
      </c>
      <c r="S34" s="9">
        <f ca="1">OFFSET('RES Techs T15'!$F34,0,MATCH(VLOOKUP('RES Veda input'!S$3,'RES Assumptions T15'!$V$3:$W$35,2,FALSE),'RES Techs T15'!$G$3:$U$3,0))</f>
        <v>0.54</v>
      </c>
      <c r="T34" s="9">
        <f ca="1">OFFSET('RES Techs T15'!$F34,0,MATCH(VLOOKUP('RES Veda input'!T$3,'RES Assumptions T15'!$V$3:$W$35,2,FALSE),'RES Techs T15'!$G$3:$U$3,0))</f>
        <v>0.54</v>
      </c>
      <c r="U34" s="9">
        <f ca="1">OFFSET('RES Techs T15'!$F34,0,MATCH(VLOOKUP('RES Veda input'!U$3,'RES Assumptions T15'!$V$3:$W$35,2,FALSE),'RES Techs T15'!$G$3:$U$3,0))</f>
        <v>0.54</v>
      </c>
      <c r="V34" s="9">
        <f ca="1">OFFSET('RES Techs T15'!$F34,0,MATCH(VLOOKUP('RES Veda input'!V$3,'RES Assumptions T15'!$V$3:$W$35,2,FALSE),'RES Techs T15'!$G$3:$U$3,0))</f>
        <v>0.54</v>
      </c>
      <c r="W34" s="9">
        <f ca="1">OFFSET('RES Techs T15'!$F34,0,MATCH(VLOOKUP('RES Veda input'!W$3,'RES Assumptions T15'!$V$3:$W$35,2,FALSE),'RES Techs T15'!$G$3:$U$3,0))</f>
        <v>0.54</v>
      </c>
      <c r="X34" s="9">
        <f ca="1">OFFSET('RES Techs T15'!$F34,0,MATCH(VLOOKUP('RES Veda input'!X$3,'RES Assumptions T15'!$V$3:$W$35,2,FALSE),'RES Techs T15'!$G$3:$U$3,0))</f>
        <v>0.54</v>
      </c>
      <c r="Y34" s="9">
        <f ca="1">OFFSET('RES Techs T15'!$F34,0,MATCH(VLOOKUP('RES Veda input'!Y$3,'RES Assumptions T15'!$V$3:$W$35,2,FALSE),'RES Techs T15'!$G$3:$U$3,0))</f>
        <v>0.54</v>
      </c>
      <c r="Z34" s="9">
        <f ca="1">OFFSET('RES Techs T15'!$F34,0,MATCH(VLOOKUP('RES Veda input'!Z$3,'RES Assumptions T15'!$V$3:$W$35,2,FALSE),'RES Techs T15'!$G$3:$U$3,0))</f>
        <v>0.54</v>
      </c>
      <c r="AA34" s="9">
        <f ca="1">OFFSET('RES Techs T15'!$F34,0,MATCH(VLOOKUP('RES Veda input'!AA$3,'RES Assumptions T15'!$V$3:$W$35,2,FALSE),'RES Techs T15'!$G$3:$U$3,0))</f>
        <v>0.54</v>
      </c>
      <c r="AB34" s="9">
        <f ca="1">OFFSET('RES Techs T15'!$F34,0,MATCH(VLOOKUP('RES Veda input'!AB$3,'RES Assumptions T15'!$V$3:$W$35,2,FALSE),'RES Techs T15'!$G$3:$U$3,0))</f>
        <v>0.54</v>
      </c>
      <c r="AC34" s="9">
        <f ca="1">OFFSET('RES Techs T15'!$F34,0,MATCH(VLOOKUP('RES Veda input'!AC$3,'RES Assumptions T15'!$V$3:$W$35,2,FALSE),'RES Techs T15'!$G$3:$U$3,0))</f>
        <v>0.54</v>
      </c>
      <c r="AD34" s="9">
        <f ca="1">OFFSET('RES Techs T15'!$F34,0,MATCH(VLOOKUP('RES Veda input'!AD$3,'RES Assumptions T15'!$V$3:$W$35,2,FALSE),'RES Techs T15'!$G$3:$U$3,0))</f>
        <v>0.54</v>
      </c>
      <c r="AE34" s="9">
        <f ca="1">OFFSET('RES Techs T15'!$F34,0,MATCH(VLOOKUP('RES Veda input'!AE$3,'RES Assumptions T15'!$V$3:$W$35,2,FALSE),'RES Techs T15'!$G$3:$U$3,0))</f>
        <v>0.54</v>
      </c>
      <c r="AF34" s="9">
        <f ca="1">OFFSET('RES Techs T15'!$F34,0,MATCH(VLOOKUP('RES Veda input'!AF$3,'RES Assumptions T15'!$V$3:$W$35,2,FALSE),'RES Techs T15'!$G$3:$U$3,0))</f>
        <v>0.54</v>
      </c>
      <c r="AG34" s="9">
        <f ca="1">OFFSET('RES Techs T15'!$F34,0,MATCH(VLOOKUP('RES Veda input'!AG$3,'RES Assumptions T15'!$V$3:$W$35,2,FALSE),'RES Techs T15'!$G$3:$U$3,0))</f>
        <v>0.54</v>
      </c>
      <c r="AH34" s="9">
        <f ca="1">OFFSET('RES Techs T15'!$F34,0,MATCH(VLOOKUP('RES Veda input'!AH$3,'RES Assumptions T15'!$V$3:$W$35,2,FALSE),'RES Techs T15'!$G$3:$U$3,0))</f>
        <v>0.54</v>
      </c>
      <c r="AI34" s="9">
        <f ca="1">OFFSET('RES Techs T15'!$F34,0,MATCH(VLOOKUP('RES Veda input'!AI$3,'RES Assumptions T15'!$V$3:$W$35,2,FALSE),'RES Techs T15'!$G$3:$U$3,0))</f>
        <v>0.54</v>
      </c>
      <c r="AJ34" s="9">
        <f ca="1">OFFSET('RES Techs T15'!$F34,0,MATCH(VLOOKUP('RES Veda input'!AJ$3,'RES Assumptions T15'!$V$3:$W$35,2,FALSE),'RES Techs T15'!$G$3:$U$3,0))</f>
        <v>0.54</v>
      </c>
      <c r="AL34" s="8" t="str">
        <f t="shared" si="60"/>
        <v>RHWLPG000</v>
      </c>
      <c r="AM34" s="9">
        <f ca="1">OFFSET('RES Techs T15'!$W34,0,MATCH(VLOOKUP('RES Veda input'!AM$3,'RES Assumptions T15'!$V$3:$W$35,2,FALSE),'RES Techs T15'!$G$3:$U$3,0))</f>
        <v>0.1</v>
      </c>
      <c r="AN34" s="9">
        <f ca="1">OFFSET('RES Techs T15'!$W34,0,MATCH(VLOOKUP('RES Veda input'!AN$3,'RES Assumptions T15'!$V$3:$W$35,2,FALSE),'RES Techs T15'!$G$3:$U$3,0))</f>
        <v>0.1</v>
      </c>
      <c r="AO34" s="9">
        <f ca="1">OFFSET('RES Techs T15'!$W34,0,MATCH(VLOOKUP('RES Veda input'!AO$3,'RES Assumptions T15'!$V$3:$W$35,2,FALSE),'RES Techs T15'!$G$3:$U$3,0))</f>
        <v>0.1</v>
      </c>
      <c r="AP34" s="9">
        <f ca="1">OFFSET('RES Techs T15'!$W34,0,MATCH(VLOOKUP('RES Veda input'!AP$3,'RES Assumptions T15'!$V$3:$W$35,2,FALSE),'RES Techs T15'!$G$3:$U$3,0))</f>
        <v>0.1</v>
      </c>
      <c r="AQ34" s="9">
        <f ca="1">OFFSET('RES Techs T15'!$W34,0,MATCH(VLOOKUP('RES Veda input'!AQ$3,'RES Assumptions T15'!$V$3:$W$35,2,FALSE),'RES Techs T15'!$G$3:$U$3,0))</f>
        <v>0.1</v>
      </c>
      <c r="AR34" s="9">
        <f ca="1">OFFSET('RES Techs T15'!$W34,0,MATCH(VLOOKUP('RES Veda input'!AR$3,'RES Assumptions T15'!$V$3:$W$35,2,FALSE),'RES Techs T15'!$G$3:$U$3,0))</f>
        <v>0.1</v>
      </c>
      <c r="AS34" s="9">
        <f ca="1">OFFSET('RES Techs T15'!$W34,0,MATCH(VLOOKUP('RES Veda input'!AS$3,'RES Assumptions T15'!$V$3:$W$35,2,FALSE),'RES Techs T15'!$G$3:$U$3,0))</f>
        <v>0.13</v>
      </c>
      <c r="AT34" s="9">
        <f ca="1">OFFSET('RES Techs T15'!$W34,0,MATCH(VLOOKUP('RES Veda input'!AT$3,'RES Assumptions T15'!$V$3:$W$35,2,FALSE),'RES Techs T15'!$G$3:$U$3,0))</f>
        <v>0.1</v>
      </c>
      <c r="AU34" s="9">
        <f ca="1">OFFSET('RES Techs T15'!$W34,0,MATCH(VLOOKUP('RES Veda input'!AU$3,'RES Assumptions T15'!$V$3:$W$35,2,FALSE),'RES Techs T15'!$G$3:$U$3,0))</f>
        <v>0.13</v>
      </c>
      <c r="AV34" s="9">
        <f ca="1">OFFSET('RES Techs T15'!$W34,0,MATCH(VLOOKUP('RES Veda input'!AV$3,'RES Assumptions T15'!$V$3:$W$35,2,FALSE),'RES Techs T15'!$G$3:$U$3,0))</f>
        <v>0.1</v>
      </c>
      <c r="AW34" s="9">
        <f ca="1">OFFSET('RES Techs T15'!$W34,0,MATCH(VLOOKUP('RES Veda input'!AW$3,'RES Assumptions T15'!$V$3:$W$35,2,FALSE),'RES Techs T15'!$G$3:$U$3,0))</f>
        <v>0.1</v>
      </c>
      <c r="AX34" s="9">
        <f ca="1">OFFSET('RES Techs T15'!$W34,0,MATCH(VLOOKUP('RES Veda input'!AX$3,'RES Assumptions T15'!$V$3:$W$35,2,FALSE),'RES Techs T15'!$G$3:$U$3,0))</f>
        <v>0.1</v>
      </c>
      <c r="AY34" s="9">
        <f ca="1">OFFSET('RES Techs T15'!$W34,0,MATCH(VLOOKUP('RES Veda input'!AY$3,'RES Assumptions T15'!$V$3:$W$35,2,FALSE),'RES Techs T15'!$G$3:$U$3,0))</f>
        <v>0.1</v>
      </c>
      <c r="AZ34" s="9">
        <f ca="1">OFFSET('RES Techs T15'!$W34,0,MATCH(VLOOKUP('RES Veda input'!AZ$3,'RES Assumptions T15'!$V$3:$W$35,2,FALSE),'RES Techs T15'!$G$3:$U$3,0))</f>
        <v>0.1</v>
      </c>
      <c r="BA34" s="9">
        <f ca="1">OFFSET('RES Techs T15'!$W34,0,MATCH(VLOOKUP('RES Veda input'!BA$3,'RES Assumptions T15'!$V$3:$W$35,2,FALSE),'RES Techs T15'!$G$3:$U$3,0))</f>
        <v>0.1</v>
      </c>
      <c r="BB34" s="9">
        <f ca="1">OFFSET('RES Techs T15'!$W34,0,MATCH(VLOOKUP('RES Veda input'!BB$3,'RES Assumptions T15'!$V$3:$W$35,2,FALSE),'RES Techs T15'!$G$3:$U$3,0))</f>
        <v>0.1</v>
      </c>
      <c r="BC34" s="9">
        <f ca="1">OFFSET('RES Techs T15'!$W34,0,MATCH(VLOOKUP('RES Veda input'!BC$3,'RES Assumptions T15'!$V$3:$W$35,2,FALSE),'RES Techs T15'!$G$3:$U$3,0))</f>
        <v>0.1</v>
      </c>
      <c r="BD34" s="9">
        <f ca="1">OFFSET('RES Techs T15'!$W34,0,MATCH(VLOOKUP('RES Veda input'!BD$3,'RES Assumptions T15'!$V$3:$W$35,2,FALSE),'RES Techs T15'!$G$3:$U$3,0))</f>
        <v>0.1</v>
      </c>
      <c r="BE34" s="9">
        <f ca="1">OFFSET('RES Techs T15'!$W34,0,MATCH(VLOOKUP('RES Veda input'!BE$3,'RES Assumptions T15'!$V$3:$W$35,2,FALSE),'RES Techs T15'!$G$3:$U$3,0))</f>
        <v>0.1</v>
      </c>
      <c r="BF34" s="9">
        <f ca="1">OFFSET('RES Techs T15'!$W34,0,MATCH(VLOOKUP('RES Veda input'!BF$3,'RES Assumptions T15'!$V$3:$W$35,2,FALSE),'RES Techs T15'!$G$3:$U$3,0))</f>
        <v>0.1</v>
      </c>
      <c r="BG34" s="9">
        <f ca="1">OFFSET('RES Techs T15'!$W34,0,MATCH(VLOOKUP('RES Veda input'!BG$3,'RES Assumptions T15'!$V$3:$W$35,2,FALSE),'RES Techs T15'!$G$3:$U$3,0))</f>
        <v>0.1</v>
      </c>
      <c r="BH34" s="9">
        <f ca="1">OFFSET('RES Techs T15'!$W34,0,MATCH(VLOOKUP('RES Veda input'!BH$3,'RES Assumptions T15'!$V$3:$W$35,2,FALSE),'RES Techs T15'!$G$3:$U$3,0))</f>
        <v>0.1</v>
      </c>
      <c r="BI34" s="9">
        <f ca="1">OFFSET('RES Techs T15'!$W34,0,MATCH(VLOOKUP('RES Veda input'!BI$3,'RES Assumptions T15'!$V$3:$W$35,2,FALSE),'RES Techs T15'!$G$3:$U$3,0))</f>
        <v>0.1</v>
      </c>
      <c r="BJ34" s="9">
        <f ca="1">OFFSET('RES Techs T15'!$W34,0,MATCH(VLOOKUP('RES Veda input'!BJ$3,'RES Assumptions T15'!$V$3:$W$35,2,FALSE),'RES Techs T15'!$G$3:$U$3,0))</f>
        <v>0.1</v>
      </c>
      <c r="BK34" s="9">
        <f ca="1">OFFSET('RES Techs T15'!$W34,0,MATCH(VLOOKUP('RES Veda input'!BK$3,'RES Assumptions T15'!$V$3:$W$35,2,FALSE),'RES Techs T15'!$G$3:$U$3,0))</f>
        <v>0.1</v>
      </c>
      <c r="BL34" s="9">
        <f ca="1">OFFSET('RES Techs T15'!$W34,0,MATCH(VLOOKUP('RES Veda input'!BL$3,'RES Assumptions T15'!$V$3:$W$35,2,FALSE),'RES Techs T15'!$G$3:$U$3,0))</f>
        <v>0.1</v>
      </c>
      <c r="BM34" s="9">
        <f ca="1">OFFSET('RES Techs T15'!$W34,0,MATCH(VLOOKUP('RES Veda input'!BM$3,'RES Assumptions T15'!$V$3:$W$35,2,FALSE),'RES Techs T15'!$G$3:$U$3,0))</f>
        <v>0.1</v>
      </c>
      <c r="BN34" s="9">
        <f ca="1">OFFSET('RES Techs T15'!$W34,0,MATCH(VLOOKUP('RES Veda input'!BN$3,'RES Assumptions T15'!$V$3:$W$35,2,FALSE),'RES Techs T15'!$G$3:$U$3,0))</f>
        <v>0.1</v>
      </c>
      <c r="BO34" s="9">
        <f ca="1">OFFSET('RES Techs T15'!$W34,0,MATCH(VLOOKUP('RES Veda input'!BO$3,'RES Assumptions T15'!$V$3:$W$35,2,FALSE),'RES Techs T15'!$G$3:$U$3,0))</f>
        <v>0.1</v>
      </c>
      <c r="BP34" s="9">
        <f ca="1">OFFSET('RES Techs T15'!$W34,0,MATCH(VLOOKUP('RES Veda input'!BP$3,'RES Assumptions T15'!$V$3:$W$35,2,FALSE),'RES Techs T15'!$G$3:$U$3,0))</f>
        <v>0.1</v>
      </c>
      <c r="BR34" s="8" t="str">
        <f t="shared" si="61"/>
        <v>RHWLPG000</v>
      </c>
      <c r="BS34" s="9">
        <f t="shared" ca="1" si="62"/>
        <v>6</v>
      </c>
      <c r="BT34" s="9" t="str">
        <f ca="1">IF(OFFSET('RES Techs T15'!$AO34,0,MATCH(VLOOKUP('RES Veda input'!BT$3,'RES Assumptions T15'!$V$3:$W$35,2,FALSE),'RES Techs T15'!$G$3:$U$3,0))=0,"",OFFSET('RES Techs T15'!$AO34,0,MATCH(VLOOKUP('RES Veda input'!BT$3,'RES Assumptions T15'!$V$3:$W$35,2,FALSE),'RES Techs T15'!$G$3:$U$3,0)))</f>
        <v/>
      </c>
      <c r="BU34" s="9" t="str">
        <f ca="1">IF(OFFSET('RES Techs T15'!$AO34,0,MATCH(VLOOKUP('RES Veda input'!BU$3,'RES Assumptions T15'!$V$3:$W$35,2,FALSE),'RES Techs T15'!$G$3:$U$3,0))=0,"",OFFSET('RES Techs T15'!$AO34,0,MATCH(VLOOKUP('RES Veda input'!BU$3,'RES Assumptions T15'!$V$3:$W$35,2,FALSE),'RES Techs T15'!$G$3:$U$3,0)))</f>
        <v/>
      </c>
      <c r="BV34" s="9">
        <f ca="1">IF(OFFSET('RES Techs T15'!$AO34,0,MATCH(VLOOKUP('RES Veda input'!BV$3,'RES Assumptions T15'!$V$3:$W$35,2,FALSE),'RES Techs T15'!$G$3:$U$3,0))=0,"",OFFSET('RES Techs T15'!$AO34,0,MATCH(VLOOKUP('RES Veda input'!BV$3,'RES Assumptions T15'!$V$3:$W$35,2,FALSE),'RES Techs T15'!$G$3:$U$3,0)))</f>
        <v>7</v>
      </c>
      <c r="BW34" s="9" t="str">
        <f ca="1">IF(OFFSET('RES Techs T15'!$AO34,0,MATCH(VLOOKUP('RES Veda input'!BW$3,'RES Assumptions T15'!$V$3:$W$35,2,FALSE),'RES Techs T15'!$G$3:$U$3,0))=0,"",OFFSET('RES Techs T15'!$AO34,0,MATCH(VLOOKUP('RES Veda input'!BW$3,'RES Assumptions T15'!$V$3:$W$35,2,FALSE),'RES Techs T15'!$G$3:$U$3,0)))</f>
        <v/>
      </c>
      <c r="BX34" s="9">
        <f ca="1">IF(OFFSET('RES Techs T15'!$AO34,0,MATCH(VLOOKUP('RES Veda input'!BX$3,'RES Assumptions T15'!$V$3:$W$35,2,FALSE),'RES Techs T15'!$G$3:$U$3,0))=0,"",OFFSET('RES Techs T15'!$AO34,0,MATCH(VLOOKUP('RES Veda input'!BX$3,'RES Assumptions T15'!$V$3:$W$35,2,FALSE),'RES Techs T15'!$G$3:$U$3,0)))</f>
        <v>10</v>
      </c>
      <c r="BY34" s="9">
        <f ca="1">IF(OFFSET('RES Techs T15'!$AO34,0,MATCH(VLOOKUP('RES Veda input'!BY$3,'RES Assumptions T15'!$V$3:$W$35,2,FALSE),'RES Techs T15'!$G$3:$U$3,0))=0,"",OFFSET('RES Techs T15'!$AO34,0,MATCH(VLOOKUP('RES Veda input'!BY$3,'RES Assumptions T15'!$V$3:$W$35,2,FALSE),'RES Techs T15'!$G$3:$U$3,0)))</f>
        <v>6</v>
      </c>
      <c r="BZ34" s="9" t="str">
        <f ca="1">IF(OFFSET('RES Techs T15'!$AO34,0,MATCH(VLOOKUP('RES Veda input'!BZ$3,'RES Assumptions T15'!$V$3:$W$35,2,FALSE),'RES Techs T15'!$G$3:$U$3,0))=0,"",OFFSET('RES Techs T15'!$AO34,0,MATCH(VLOOKUP('RES Veda input'!BZ$3,'RES Assumptions T15'!$V$3:$W$35,2,FALSE),'RES Techs T15'!$G$3:$U$3,0)))</f>
        <v/>
      </c>
      <c r="CA34" s="9">
        <f ca="1">IF(OFFSET('RES Techs T15'!$AO34,0,MATCH(VLOOKUP('RES Veda input'!CA$3,'RES Assumptions T15'!$V$3:$W$35,2,FALSE),'RES Techs T15'!$G$3:$U$3,0))=0,"",OFFSET('RES Techs T15'!$AO34,0,MATCH(VLOOKUP('RES Veda input'!CA$3,'RES Assumptions T15'!$V$3:$W$35,2,FALSE),'RES Techs T15'!$G$3:$U$3,0)))</f>
        <v>7</v>
      </c>
      <c r="CB34" s="9" t="str">
        <f ca="1">IF(OFFSET('RES Techs T15'!$AO34,0,MATCH(VLOOKUP('RES Veda input'!CB$3,'RES Assumptions T15'!$V$3:$W$35,2,FALSE),'RES Techs T15'!$G$3:$U$3,0))=0,"",OFFSET('RES Techs T15'!$AO34,0,MATCH(VLOOKUP('RES Veda input'!CB$3,'RES Assumptions T15'!$V$3:$W$35,2,FALSE),'RES Techs T15'!$G$3:$U$3,0)))</f>
        <v/>
      </c>
      <c r="CC34" s="9" t="str">
        <f ca="1">IF(OFFSET('RES Techs T15'!$AO34,0,MATCH(VLOOKUP('RES Veda input'!CC$3,'RES Assumptions T15'!$V$3:$W$35,2,FALSE),'RES Techs T15'!$G$3:$U$3,0))=0,"",OFFSET('RES Techs T15'!$AO34,0,MATCH(VLOOKUP('RES Veda input'!CC$3,'RES Assumptions T15'!$V$3:$W$35,2,FALSE),'RES Techs T15'!$G$3:$U$3,0)))</f>
        <v/>
      </c>
      <c r="CD34" s="9" t="str">
        <f ca="1">IF(OFFSET('RES Techs T15'!$AO34,0,MATCH(VLOOKUP('RES Veda input'!CD$3,'RES Assumptions T15'!$V$3:$W$35,2,FALSE),'RES Techs T15'!$G$3:$U$3,0))=0,"",OFFSET('RES Techs T15'!$AO34,0,MATCH(VLOOKUP('RES Veda input'!CD$3,'RES Assumptions T15'!$V$3:$W$35,2,FALSE),'RES Techs T15'!$G$3:$U$3,0)))</f>
        <v/>
      </c>
      <c r="CE34" s="9" t="str">
        <f ca="1">IF(OFFSET('RES Techs T15'!$AO34,0,MATCH(VLOOKUP('RES Veda input'!CE$3,'RES Assumptions T15'!$V$3:$W$35,2,FALSE),'RES Techs T15'!$G$3:$U$3,0))=0,"",OFFSET('RES Techs T15'!$AO34,0,MATCH(VLOOKUP('RES Veda input'!CE$3,'RES Assumptions T15'!$V$3:$W$35,2,FALSE),'RES Techs T15'!$G$3:$U$3,0)))</f>
        <v/>
      </c>
      <c r="CF34" s="9" t="str">
        <f ca="1">IF(OFFSET('RES Techs T15'!$AO34,0,MATCH(VLOOKUP('RES Veda input'!CF$3,'RES Assumptions T15'!$V$3:$W$35,2,FALSE),'RES Techs T15'!$G$3:$U$3,0))=0,"",OFFSET('RES Techs T15'!$AO34,0,MATCH(VLOOKUP('RES Veda input'!CF$3,'RES Assumptions T15'!$V$3:$W$35,2,FALSE),'RES Techs T15'!$G$3:$U$3,0)))</f>
        <v/>
      </c>
      <c r="CG34" s="9" t="str">
        <f ca="1">IF(OFFSET('RES Techs T15'!$AO34,0,MATCH(VLOOKUP('RES Veda input'!CG$3,'RES Assumptions T15'!$V$3:$W$35,2,FALSE),'RES Techs T15'!$G$3:$U$3,0))=0,"",OFFSET('RES Techs T15'!$AO34,0,MATCH(VLOOKUP('RES Veda input'!CG$3,'RES Assumptions T15'!$V$3:$W$35,2,FALSE),'RES Techs T15'!$G$3:$U$3,0)))</f>
        <v/>
      </c>
      <c r="CH34" s="9" t="str">
        <f ca="1">IF(OFFSET('RES Techs T15'!$AO34,0,MATCH(VLOOKUP('RES Veda input'!CH$3,'RES Assumptions T15'!$V$3:$W$35,2,FALSE),'RES Techs T15'!$G$3:$U$3,0))=0,"",OFFSET('RES Techs T15'!$AO34,0,MATCH(VLOOKUP('RES Veda input'!CH$3,'RES Assumptions T15'!$V$3:$W$35,2,FALSE),'RES Techs T15'!$G$3:$U$3,0)))</f>
        <v/>
      </c>
      <c r="CI34" s="9" t="str">
        <f ca="1">IF(OFFSET('RES Techs T15'!$AO34,0,MATCH(VLOOKUP('RES Veda input'!CI$3,'RES Assumptions T15'!$V$3:$W$35,2,FALSE),'RES Techs T15'!$G$3:$U$3,0))=0,"",OFFSET('RES Techs T15'!$AO34,0,MATCH(VLOOKUP('RES Veda input'!CI$3,'RES Assumptions T15'!$V$3:$W$35,2,FALSE),'RES Techs T15'!$G$3:$U$3,0)))</f>
        <v/>
      </c>
      <c r="CJ34" s="9">
        <f ca="1">IF(OFFSET('RES Techs T15'!$AO34,0,MATCH(VLOOKUP('RES Veda input'!CJ$3,'RES Assumptions T15'!$V$3:$W$35,2,FALSE),'RES Techs T15'!$G$3:$U$3,0))=0,"",OFFSET('RES Techs T15'!$AO34,0,MATCH(VLOOKUP('RES Veda input'!CJ$3,'RES Assumptions T15'!$V$3:$W$35,2,FALSE),'RES Techs T15'!$G$3:$U$3,0)))</f>
        <v>7</v>
      </c>
      <c r="CK34" s="9" t="str">
        <f ca="1">IF(OFFSET('RES Techs T15'!$AO34,0,MATCH(VLOOKUP('RES Veda input'!CK$3,'RES Assumptions T15'!$V$3:$W$35,2,FALSE),'RES Techs T15'!$G$3:$U$3,0))=0,"",OFFSET('RES Techs T15'!$AO34,0,MATCH(VLOOKUP('RES Veda input'!CK$3,'RES Assumptions T15'!$V$3:$W$35,2,FALSE),'RES Techs T15'!$G$3:$U$3,0)))</f>
        <v/>
      </c>
      <c r="CL34" s="9" t="str">
        <f ca="1">IF(OFFSET('RES Techs T15'!$AO34,0,MATCH(VLOOKUP('RES Veda input'!CL$3,'RES Assumptions T15'!$V$3:$W$35,2,FALSE),'RES Techs T15'!$G$3:$U$3,0))=0,"",OFFSET('RES Techs T15'!$AO34,0,MATCH(VLOOKUP('RES Veda input'!CL$3,'RES Assumptions T15'!$V$3:$W$35,2,FALSE),'RES Techs T15'!$G$3:$U$3,0)))</f>
        <v/>
      </c>
      <c r="CM34" s="9">
        <f ca="1">IF(OFFSET('RES Techs T15'!$AO34,0,MATCH(VLOOKUP('RES Veda input'!CM$3,'RES Assumptions T15'!$V$3:$W$35,2,FALSE),'RES Techs T15'!$G$3:$U$3,0))=0,"",OFFSET('RES Techs T15'!$AO34,0,MATCH(VLOOKUP('RES Veda input'!CM$3,'RES Assumptions T15'!$V$3:$W$35,2,FALSE),'RES Techs T15'!$G$3:$U$3,0)))</f>
        <v>6</v>
      </c>
      <c r="CN34" s="9">
        <f ca="1">IF(OFFSET('RES Techs T15'!$AO34,0,MATCH(VLOOKUP('RES Veda input'!CN$3,'RES Assumptions T15'!$V$3:$W$35,2,FALSE),'RES Techs T15'!$G$3:$U$3,0))=0,"",OFFSET('RES Techs T15'!$AO34,0,MATCH(VLOOKUP('RES Veda input'!CN$3,'RES Assumptions T15'!$V$3:$W$35,2,FALSE),'RES Techs T15'!$G$3:$U$3,0)))</f>
        <v>7</v>
      </c>
      <c r="CO34" s="9">
        <f ca="1">IF(OFFSET('RES Techs T15'!$AO34,0,MATCH(VLOOKUP('RES Veda input'!CO$3,'RES Assumptions T15'!$V$3:$W$35,2,FALSE),'RES Techs T15'!$G$3:$U$3,0))=0,"",OFFSET('RES Techs T15'!$AO34,0,MATCH(VLOOKUP('RES Veda input'!CO$3,'RES Assumptions T15'!$V$3:$W$35,2,FALSE),'RES Techs T15'!$G$3:$U$3,0)))</f>
        <v>8</v>
      </c>
      <c r="CP34" s="9">
        <f ca="1">IF(OFFSET('RES Techs T15'!$AO34,0,MATCH(VLOOKUP('RES Veda input'!CP$3,'RES Assumptions T15'!$V$3:$W$35,2,FALSE),'RES Techs T15'!$G$3:$U$3,0))=0,"",OFFSET('RES Techs T15'!$AO34,0,MATCH(VLOOKUP('RES Veda input'!CP$3,'RES Assumptions T15'!$V$3:$W$35,2,FALSE),'RES Techs T15'!$G$3:$U$3,0)))</f>
        <v>7</v>
      </c>
      <c r="CQ34" s="9" t="str">
        <f ca="1">IF(OFFSET('RES Techs T15'!$AO34,0,MATCH(VLOOKUP('RES Veda input'!CQ$3,'RES Assumptions T15'!$V$3:$W$35,2,FALSE),'RES Techs T15'!$G$3:$U$3,0))=0,"",OFFSET('RES Techs T15'!$AO34,0,MATCH(VLOOKUP('RES Veda input'!CQ$3,'RES Assumptions T15'!$V$3:$W$35,2,FALSE),'RES Techs T15'!$G$3:$U$3,0)))</f>
        <v/>
      </c>
      <c r="CR34" s="9" t="str">
        <f ca="1">IF(OFFSET('RES Techs T15'!$AO34,0,MATCH(VLOOKUP('RES Veda input'!CR$3,'RES Assumptions T15'!$V$3:$W$35,2,FALSE),'RES Techs T15'!$G$3:$U$3,0))=0,"",OFFSET('RES Techs T15'!$AO34,0,MATCH(VLOOKUP('RES Veda input'!CR$3,'RES Assumptions T15'!$V$3:$W$35,2,FALSE),'RES Techs T15'!$G$3:$U$3,0)))</f>
        <v/>
      </c>
      <c r="CS34" s="9">
        <f ca="1">IF(OFFSET('RES Techs T15'!$AO34,0,MATCH(VLOOKUP('RES Veda input'!CS$3,'RES Assumptions T15'!$V$3:$W$35,2,FALSE),'RES Techs T15'!$G$3:$U$3,0))=0,"",OFFSET('RES Techs T15'!$AO34,0,MATCH(VLOOKUP('RES Veda input'!CS$3,'RES Assumptions T15'!$V$3:$W$35,2,FALSE),'RES Techs T15'!$G$3:$U$3,0)))</f>
        <v>7</v>
      </c>
      <c r="CT34" s="9" t="str">
        <f ca="1">IF(OFFSET('RES Techs T15'!$AO34,0,MATCH(VLOOKUP('RES Veda input'!CT$3,'RES Assumptions T15'!$V$3:$W$35,2,FALSE),'RES Techs T15'!$G$3:$U$3,0))=0,"",OFFSET('RES Techs T15'!$AO34,0,MATCH(VLOOKUP('RES Veda input'!CT$3,'RES Assumptions T15'!$V$3:$W$35,2,FALSE),'RES Techs T15'!$G$3:$U$3,0)))</f>
        <v/>
      </c>
      <c r="CU34" s="9" t="str">
        <f ca="1">IF(OFFSET('RES Techs T15'!$AO34,0,MATCH(VLOOKUP('RES Veda input'!CU$3,'RES Assumptions T15'!$V$3:$W$35,2,FALSE),'RES Techs T15'!$G$3:$U$3,0))=0,"",OFFSET('RES Techs T15'!$AO34,0,MATCH(VLOOKUP('RES Veda input'!CU$3,'RES Assumptions T15'!$V$3:$W$35,2,FALSE),'RES Techs T15'!$G$3:$U$3,0)))</f>
        <v/>
      </c>
      <c r="CV34" s="9">
        <f ca="1">IF(OFFSET('RES Techs T15'!$AO34,0,MATCH(VLOOKUP('RES Veda input'!CV$3,'RES Assumptions T15'!$V$3:$W$35,2,FALSE),'RES Techs T15'!$G$3:$U$3,0))=0,"",OFFSET('RES Techs T15'!$AO34,0,MATCH(VLOOKUP('RES Veda input'!CV$3,'RES Assumptions T15'!$V$3:$W$35,2,FALSE),'RES Techs T15'!$G$3:$U$3,0)))</f>
        <v>0.2</v>
      </c>
      <c r="CW34" s="9">
        <f ca="1">IF(OFFSET('RES Techs T15'!$AO34,0,MATCH(VLOOKUP('RES Veda input'!CW$3,'RES Assumptions T15'!$V$3:$W$35,2,FALSE),'RES Techs T15'!$G$3:$U$3,0))=0,"",OFFSET('RES Techs T15'!$AO34,0,MATCH(VLOOKUP('RES Veda input'!CW$3,'RES Assumptions T15'!$V$3:$W$35,2,FALSE),'RES Techs T15'!$G$3:$U$3,0)))</f>
        <v>0.2</v>
      </c>
      <c r="CY34" s="8" t="str">
        <f t="shared" si="63"/>
        <v>RHWLPG000</v>
      </c>
      <c r="CZ34" s="10">
        <f ca="1">ROUND('RES Assumptions'!E117*'RES Veda input'!G34/'RES Veda input'!AM34,3)</f>
        <v>235.31</v>
      </c>
      <c r="DA34" s="10">
        <f ca="1">ROUND('RES Assumptions'!F117*'RES Veda input'!H34/'RES Veda input'!AN34,3)</f>
        <v>73.155000000000001</v>
      </c>
      <c r="DB34" s="10">
        <f ca="1">ROUND('RES Assumptions'!G117*'RES Veda input'!I34/'RES Veda input'!AO34,3)</f>
        <v>54.765999999999998</v>
      </c>
      <c r="DC34" s="10">
        <f ca="1">ROUND('RES Assumptions'!H117*'RES Veda input'!J34/'RES Veda input'!AP34,3)</f>
        <v>34.023000000000003</v>
      </c>
      <c r="DD34" s="10">
        <f ca="1">ROUND('RES Assumptions'!I117*'RES Veda input'!K34/'RES Veda input'!AQ34,3)</f>
        <v>424.96</v>
      </c>
      <c r="DE34" s="10">
        <f ca="1">ROUND('RES Assumptions'!J117*'RES Veda input'!L34/'RES Veda input'!AR34,3)</f>
        <v>375.15499999999997</v>
      </c>
      <c r="DF34" s="10">
        <f ca="1">ROUND('RES Assumptions'!K117*'RES Veda input'!M34/'RES Veda input'!AS34,3)</f>
        <v>36.838000000000001</v>
      </c>
      <c r="DG34" s="10">
        <f ca="1">ROUND('RES Assumptions'!L117*'RES Veda input'!N34/'RES Veda input'!AT34,3)</f>
        <v>163.02500000000001</v>
      </c>
      <c r="DH34" s="10">
        <f ca="1">ROUND('RES Assumptions'!M117*'RES Veda input'!O34/'RES Veda input'!AU34,3)</f>
        <v>8.18</v>
      </c>
      <c r="DI34" s="10">
        <f ca="1">ROUND('RES Assumptions'!N117*'RES Veda input'!P34/'RES Veda input'!AV34,3)</f>
        <v>5348.8519999999999</v>
      </c>
      <c r="DJ34" s="10">
        <f ca="1">ROUND('RES Assumptions'!O117*'RES Veda input'!Q34/'RES Veda input'!AW34,3)</f>
        <v>0.91400000000000003</v>
      </c>
      <c r="DK34" s="10">
        <f ca="1">ROUND('RES Assumptions'!P117*'RES Veda input'!R34/'RES Veda input'!AX34,3)</f>
        <v>11.603</v>
      </c>
      <c r="DL34" s="10">
        <f ca="1">ROUND('RES Assumptions'!Q117*'RES Veda input'!S34/'RES Veda input'!AY34,3)</f>
        <v>6.0259999999999998</v>
      </c>
      <c r="DM34" s="10">
        <f ca="1">ROUND('RES Assumptions'!R117*'RES Veda input'!T34/'RES Veda input'!AZ34,3)</f>
        <v>39.890999999999998</v>
      </c>
      <c r="DN34" s="10">
        <f ca="1">ROUND('RES Assumptions'!S117*'RES Veda input'!U34/'RES Veda input'!BA34,3)</f>
        <v>7.2649999999999997</v>
      </c>
      <c r="DO34" s="10">
        <f ca="1">ROUND('RES Assumptions'!T117*'RES Veda input'!V34/'RES Veda input'!BB34,3)</f>
        <v>39.395000000000003</v>
      </c>
      <c r="DP34" s="10">
        <f ca="1">ROUND('RES Assumptions'!U117*'RES Veda input'!W34/'RES Veda input'!BC34,3)</f>
        <v>18.899999999999999</v>
      </c>
      <c r="DQ34" s="10">
        <f ca="1">ROUND('RES Assumptions'!V117*'RES Veda input'!X34/'RES Veda input'!BD34,3)</f>
        <v>26.001999999999999</v>
      </c>
      <c r="DR34" s="10">
        <f ca="1">ROUND('RES Assumptions'!W117*'RES Veda input'!Y34/'RES Veda input'!BE34,3)</f>
        <v>26.811</v>
      </c>
      <c r="DS34" s="10">
        <f ca="1">ROUND('RES Assumptions'!X117*'RES Veda input'!Z34/'RES Veda input'!BF34,3)</f>
        <v>557.62599999999998</v>
      </c>
      <c r="DT34" s="10">
        <f ca="1">ROUND('RES Assumptions'!Y117*'RES Veda input'!AA34/'RES Veda input'!BG34,3)</f>
        <v>135.92699999999999</v>
      </c>
      <c r="DU34" s="10">
        <f ca="1">ROUND('RES Assumptions'!Z117*'RES Veda input'!AB34/'RES Veda input'!BH34,3)</f>
        <v>691.70699999999999</v>
      </c>
      <c r="DV34" s="10">
        <f ca="1">ROUND('RES Assumptions'!AA117*'RES Veda input'!AC34/'RES Veda input'!BI34,3)</f>
        <v>264.43200000000002</v>
      </c>
      <c r="DW34" s="10">
        <f ca="1">ROUND('RES Assumptions'!AB117*'RES Veda input'!AD34/'RES Veda input'!BJ34,3)</f>
        <v>0.184</v>
      </c>
      <c r="DX34" s="10">
        <f ca="1">ROUND('RES Assumptions'!AC117*'RES Veda input'!AE34/'RES Veda input'!BK34,3)</f>
        <v>264.76900000000001</v>
      </c>
      <c r="DY34" s="10">
        <f ca="1">ROUND('RES Assumptions'!AD117*'RES Veda input'!AF34/'RES Veda input'!BL34,3)</f>
        <v>45.439</v>
      </c>
      <c r="DZ34" s="10">
        <f ca="1">ROUND('RES Assumptions'!AE117*'RES Veda input'!AG34/'RES Veda input'!BM34,3)</f>
        <v>6.0419999999999998</v>
      </c>
      <c r="EA34" s="10">
        <f ca="1">ROUND('RES Assumptions'!AF117*'RES Veda input'!AH34/'RES Veda input'!BN34,3)</f>
        <v>7.468</v>
      </c>
      <c r="EB34" s="10">
        <f ca="1">ROUND('RES Assumptions'!AG117*'RES Veda input'!AI34/'RES Veda input'!BO34,3)</f>
        <v>153.84</v>
      </c>
      <c r="EC34" s="10">
        <f ca="1">ROUND('RES Assumptions'!AH117*'RES Veda input'!AJ34/'RES Veda input'!BP34,3)</f>
        <v>0</v>
      </c>
      <c r="ED34">
        <v>15</v>
      </c>
      <c r="EG34" t="s">
        <v>281</v>
      </c>
      <c r="EH34" t="str">
        <f t="shared" si="64"/>
        <v>RHWLPG000</v>
      </c>
      <c r="EJ34" t="s">
        <v>282</v>
      </c>
      <c r="EK34" t="s">
        <v>283</v>
      </c>
    </row>
    <row r="35" spans="1:141" x14ac:dyDescent="0.45">
      <c r="A35" s="37" t="str">
        <f>'RES Assumptions'!B118</f>
        <v>RHW</v>
      </c>
      <c r="B35" s="37" t="s">
        <v>145</v>
      </c>
      <c r="D35" s="51" t="s">
        <v>145</v>
      </c>
      <c r="E35" s="8" t="str">
        <f>'RES Assumptions'!A118</f>
        <v>RESNGA</v>
      </c>
      <c r="F35" s="8" t="str">
        <f>VLOOKUP(A35,'RES Assumptions'!$AN$87:$AO$97,2,FALSE)</f>
        <v>RHW</v>
      </c>
      <c r="G35" s="9">
        <f ca="1">OFFSET('RES Techs T15'!$F35,0,MATCH(VLOOKUP('RES Veda input'!G$3,'RES Assumptions T15'!$V$3:$W$35,2,FALSE),'RES Techs T15'!$G$3:$U$3,0))</f>
        <v>0.65</v>
      </c>
      <c r="H35" s="9">
        <f ca="1">OFFSET('RES Techs T15'!$F35,0,MATCH(VLOOKUP('RES Veda input'!H$3,'RES Assumptions T15'!$V$3:$W$35,2,FALSE),'RES Techs T15'!$G$3:$U$3,0))</f>
        <v>0.65</v>
      </c>
      <c r="I35" s="9">
        <f ca="1">OFFSET('RES Techs T15'!$F35,0,MATCH(VLOOKUP('RES Veda input'!I$3,'RES Assumptions T15'!$V$3:$W$35,2,FALSE),'RES Techs T15'!$G$3:$U$3,0))</f>
        <v>0.65</v>
      </c>
      <c r="J35" s="9">
        <f ca="1">OFFSET('RES Techs T15'!$F35,0,MATCH(VLOOKUP('RES Veda input'!J$3,'RES Assumptions T15'!$V$3:$W$35,2,FALSE),'RES Techs T15'!$G$3:$U$3,0))</f>
        <v>0.65</v>
      </c>
      <c r="K35" s="9">
        <f ca="1">OFFSET('RES Techs T15'!$F35,0,MATCH(VLOOKUP('RES Veda input'!K$3,'RES Assumptions T15'!$V$3:$W$35,2,FALSE),'RES Techs T15'!$G$3:$U$3,0))</f>
        <v>0.65</v>
      </c>
      <c r="L35" s="9">
        <f ca="1">OFFSET('RES Techs T15'!$F35,0,MATCH(VLOOKUP('RES Veda input'!L$3,'RES Assumptions T15'!$V$3:$W$35,2,FALSE),'RES Techs T15'!$G$3:$U$3,0))</f>
        <v>0.65</v>
      </c>
      <c r="M35" s="9">
        <f ca="1">OFFSET('RES Techs T15'!$F35,0,MATCH(VLOOKUP('RES Veda input'!M$3,'RES Assumptions T15'!$V$3:$W$35,2,FALSE),'RES Techs T15'!$G$3:$U$3,0))</f>
        <v>0.65</v>
      </c>
      <c r="N35" s="9">
        <f ca="1">OFFSET('RES Techs T15'!$F35,0,MATCH(VLOOKUP('RES Veda input'!N$3,'RES Assumptions T15'!$V$3:$W$35,2,FALSE),'RES Techs T15'!$G$3:$U$3,0))</f>
        <v>0.65</v>
      </c>
      <c r="O35" s="9">
        <f ca="1">OFFSET('RES Techs T15'!$F35,0,MATCH(VLOOKUP('RES Veda input'!O$3,'RES Assumptions T15'!$V$3:$W$35,2,FALSE),'RES Techs T15'!$G$3:$U$3,0))</f>
        <v>0.65</v>
      </c>
      <c r="P35" s="9">
        <f ca="1">OFFSET('RES Techs T15'!$F35,0,MATCH(VLOOKUP('RES Veda input'!P$3,'RES Assumptions T15'!$V$3:$W$35,2,FALSE),'RES Techs T15'!$G$3:$U$3,0))</f>
        <v>0.65</v>
      </c>
      <c r="Q35" s="9">
        <f ca="1">OFFSET('RES Techs T15'!$F35,0,MATCH(VLOOKUP('RES Veda input'!Q$3,'RES Assumptions T15'!$V$3:$W$35,2,FALSE),'RES Techs T15'!$G$3:$U$3,0))</f>
        <v>0.65</v>
      </c>
      <c r="R35" s="9">
        <f ca="1">OFFSET('RES Techs T15'!$F35,0,MATCH(VLOOKUP('RES Veda input'!R$3,'RES Assumptions T15'!$V$3:$W$35,2,FALSE),'RES Techs T15'!$G$3:$U$3,0))</f>
        <v>0.65</v>
      </c>
      <c r="S35" s="9">
        <f ca="1">OFFSET('RES Techs T15'!$F35,0,MATCH(VLOOKUP('RES Veda input'!S$3,'RES Assumptions T15'!$V$3:$W$35,2,FALSE),'RES Techs T15'!$G$3:$U$3,0))</f>
        <v>0.65</v>
      </c>
      <c r="T35" s="9">
        <f ca="1">OFFSET('RES Techs T15'!$F35,0,MATCH(VLOOKUP('RES Veda input'!T$3,'RES Assumptions T15'!$V$3:$W$35,2,FALSE),'RES Techs T15'!$G$3:$U$3,0))</f>
        <v>0.65</v>
      </c>
      <c r="U35" s="9">
        <f ca="1">OFFSET('RES Techs T15'!$F35,0,MATCH(VLOOKUP('RES Veda input'!U$3,'RES Assumptions T15'!$V$3:$W$35,2,FALSE),'RES Techs T15'!$G$3:$U$3,0))</f>
        <v>0.65</v>
      </c>
      <c r="V35" s="9">
        <f ca="1">OFFSET('RES Techs T15'!$F35,0,MATCH(VLOOKUP('RES Veda input'!V$3,'RES Assumptions T15'!$V$3:$W$35,2,FALSE),'RES Techs T15'!$G$3:$U$3,0))</f>
        <v>0.65</v>
      </c>
      <c r="W35" s="9">
        <f ca="1">OFFSET('RES Techs T15'!$F35,0,MATCH(VLOOKUP('RES Veda input'!W$3,'RES Assumptions T15'!$V$3:$W$35,2,FALSE),'RES Techs T15'!$G$3:$U$3,0))</f>
        <v>0.65</v>
      </c>
      <c r="X35" s="9">
        <f ca="1">OFFSET('RES Techs T15'!$F35,0,MATCH(VLOOKUP('RES Veda input'!X$3,'RES Assumptions T15'!$V$3:$W$35,2,FALSE),'RES Techs T15'!$G$3:$U$3,0))</f>
        <v>0.65</v>
      </c>
      <c r="Y35" s="9">
        <f ca="1">OFFSET('RES Techs T15'!$F35,0,MATCH(VLOOKUP('RES Veda input'!Y$3,'RES Assumptions T15'!$V$3:$W$35,2,FALSE),'RES Techs T15'!$G$3:$U$3,0))</f>
        <v>0.65</v>
      </c>
      <c r="Z35" s="9">
        <f ca="1">OFFSET('RES Techs T15'!$F35,0,MATCH(VLOOKUP('RES Veda input'!Z$3,'RES Assumptions T15'!$V$3:$W$35,2,FALSE),'RES Techs T15'!$G$3:$U$3,0))</f>
        <v>0.65</v>
      </c>
      <c r="AA35" s="9">
        <f ca="1">OFFSET('RES Techs T15'!$F35,0,MATCH(VLOOKUP('RES Veda input'!AA$3,'RES Assumptions T15'!$V$3:$W$35,2,FALSE),'RES Techs T15'!$G$3:$U$3,0))</f>
        <v>0.65</v>
      </c>
      <c r="AB35" s="9">
        <f ca="1">OFFSET('RES Techs T15'!$F35,0,MATCH(VLOOKUP('RES Veda input'!AB$3,'RES Assumptions T15'!$V$3:$W$35,2,FALSE),'RES Techs T15'!$G$3:$U$3,0))</f>
        <v>0.65</v>
      </c>
      <c r="AC35" s="9">
        <f ca="1">OFFSET('RES Techs T15'!$F35,0,MATCH(VLOOKUP('RES Veda input'!AC$3,'RES Assumptions T15'!$V$3:$W$35,2,FALSE),'RES Techs T15'!$G$3:$U$3,0))</f>
        <v>0.65</v>
      </c>
      <c r="AD35" s="9">
        <f ca="1">OFFSET('RES Techs T15'!$F35,0,MATCH(VLOOKUP('RES Veda input'!AD$3,'RES Assumptions T15'!$V$3:$W$35,2,FALSE),'RES Techs T15'!$G$3:$U$3,0))</f>
        <v>0.65</v>
      </c>
      <c r="AE35" s="9">
        <f ca="1">OFFSET('RES Techs T15'!$F35,0,MATCH(VLOOKUP('RES Veda input'!AE$3,'RES Assumptions T15'!$V$3:$W$35,2,FALSE),'RES Techs T15'!$G$3:$U$3,0))</f>
        <v>0.65</v>
      </c>
      <c r="AF35" s="9">
        <f ca="1">OFFSET('RES Techs T15'!$F35,0,MATCH(VLOOKUP('RES Veda input'!AF$3,'RES Assumptions T15'!$V$3:$W$35,2,FALSE),'RES Techs T15'!$G$3:$U$3,0))</f>
        <v>0.65</v>
      </c>
      <c r="AG35" s="9">
        <f ca="1">OFFSET('RES Techs T15'!$F35,0,MATCH(VLOOKUP('RES Veda input'!AG$3,'RES Assumptions T15'!$V$3:$W$35,2,FALSE),'RES Techs T15'!$G$3:$U$3,0))</f>
        <v>0.65</v>
      </c>
      <c r="AH35" s="9">
        <f ca="1">OFFSET('RES Techs T15'!$F35,0,MATCH(VLOOKUP('RES Veda input'!AH$3,'RES Assumptions T15'!$V$3:$W$35,2,FALSE),'RES Techs T15'!$G$3:$U$3,0))</f>
        <v>0.65</v>
      </c>
      <c r="AI35" s="9">
        <f ca="1">OFFSET('RES Techs T15'!$F35,0,MATCH(VLOOKUP('RES Veda input'!AI$3,'RES Assumptions T15'!$V$3:$W$35,2,FALSE),'RES Techs T15'!$G$3:$U$3,0))</f>
        <v>0.65</v>
      </c>
      <c r="AJ35" s="9">
        <f ca="1">OFFSET('RES Techs T15'!$F35,0,MATCH(VLOOKUP('RES Veda input'!AJ$3,'RES Assumptions T15'!$V$3:$W$35,2,FALSE),'RES Techs T15'!$G$3:$U$3,0))</f>
        <v>0.65</v>
      </c>
      <c r="AL35" s="8" t="str">
        <f t="shared" si="60"/>
        <v>RHWNGA000</v>
      </c>
      <c r="AM35" s="9">
        <f ca="1">OFFSET('RES Techs T15'!$W35,0,MATCH(VLOOKUP('RES Veda input'!AM$3,'RES Assumptions T15'!$V$3:$W$35,2,FALSE),'RES Techs T15'!$G$3:$U$3,0))</f>
        <v>0.1</v>
      </c>
      <c r="AN35" s="9">
        <f ca="1">OFFSET('RES Techs T15'!$W35,0,MATCH(VLOOKUP('RES Veda input'!AN$3,'RES Assumptions T15'!$V$3:$W$35,2,FALSE),'RES Techs T15'!$G$3:$U$3,0))</f>
        <v>0.1</v>
      </c>
      <c r="AO35" s="9">
        <f ca="1">OFFSET('RES Techs T15'!$W35,0,MATCH(VLOOKUP('RES Veda input'!AO$3,'RES Assumptions T15'!$V$3:$W$35,2,FALSE),'RES Techs T15'!$G$3:$U$3,0))</f>
        <v>0.1</v>
      </c>
      <c r="AP35" s="9">
        <f ca="1">OFFSET('RES Techs T15'!$W35,0,MATCH(VLOOKUP('RES Veda input'!AP$3,'RES Assumptions T15'!$V$3:$W$35,2,FALSE),'RES Techs T15'!$G$3:$U$3,0))</f>
        <v>0.1</v>
      </c>
      <c r="AQ35" s="9">
        <f ca="1">OFFSET('RES Techs T15'!$W35,0,MATCH(VLOOKUP('RES Veda input'!AQ$3,'RES Assumptions T15'!$V$3:$W$35,2,FALSE),'RES Techs T15'!$G$3:$U$3,0))</f>
        <v>0.1</v>
      </c>
      <c r="AR35" s="9">
        <f ca="1">OFFSET('RES Techs T15'!$W35,0,MATCH(VLOOKUP('RES Veda input'!AR$3,'RES Assumptions T15'!$V$3:$W$35,2,FALSE),'RES Techs T15'!$G$3:$U$3,0))</f>
        <v>0.1</v>
      </c>
      <c r="AS35" s="9">
        <f ca="1">OFFSET('RES Techs T15'!$W35,0,MATCH(VLOOKUP('RES Veda input'!AS$3,'RES Assumptions T15'!$V$3:$W$35,2,FALSE),'RES Techs T15'!$G$3:$U$3,0))</f>
        <v>0.13</v>
      </c>
      <c r="AT35" s="9">
        <f ca="1">OFFSET('RES Techs T15'!$W35,0,MATCH(VLOOKUP('RES Veda input'!AT$3,'RES Assumptions T15'!$V$3:$W$35,2,FALSE),'RES Techs T15'!$G$3:$U$3,0))</f>
        <v>0.1</v>
      </c>
      <c r="AU35" s="9">
        <f ca="1">OFFSET('RES Techs T15'!$W35,0,MATCH(VLOOKUP('RES Veda input'!AU$3,'RES Assumptions T15'!$V$3:$W$35,2,FALSE),'RES Techs T15'!$G$3:$U$3,0))</f>
        <v>0.13</v>
      </c>
      <c r="AV35" s="9">
        <f ca="1">OFFSET('RES Techs T15'!$W35,0,MATCH(VLOOKUP('RES Veda input'!AV$3,'RES Assumptions T15'!$V$3:$W$35,2,FALSE),'RES Techs T15'!$G$3:$U$3,0))</f>
        <v>0.1</v>
      </c>
      <c r="AW35" s="9">
        <f ca="1">OFFSET('RES Techs T15'!$W35,0,MATCH(VLOOKUP('RES Veda input'!AW$3,'RES Assumptions T15'!$V$3:$W$35,2,FALSE),'RES Techs T15'!$G$3:$U$3,0))</f>
        <v>0.1</v>
      </c>
      <c r="AX35" s="9">
        <f ca="1">OFFSET('RES Techs T15'!$W35,0,MATCH(VLOOKUP('RES Veda input'!AX$3,'RES Assumptions T15'!$V$3:$W$35,2,FALSE),'RES Techs T15'!$G$3:$U$3,0))</f>
        <v>0.1</v>
      </c>
      <c r="AY35" s="9">
        <f ca="1">OFFSET('RES Techs T15'!$W35,0,MATCH(VLOOKUP('RES Veda input'!AY$3,'RES Assumptions T15'!$V$3:$W$35,2,FALSE),'RES Techs T15'!$G$3:$U$3,0))</f>
        <v>0.1</v>
      </c>
      <c r="AZ35" s="9">
        <f ca="1">OFFSET('RES Techs T15'!$W35,0,MATCH(VLOOKUP('RES Veda input'!AZ$3,'RES Assumptions T15'!$V$3:$W$35,2,FALSE),'RES Techs T15'!$G$3:$U$3,0))</f>
        <v>0.1</v>
      </c>
      <c r="BA35" s="9">
        <f ca="1">OFFSET('RES Techs T15'!$W35,0,MATCH(VLOOKUP('RES Veda input'!BA$3,'RES Assumptions T15'!$V$3:$W$35,2,FALSE),'RES Techs T15'!$G$3:$U$3,0))</f>
        <v>0.1</v>
      </c>
      <c r="BB35" s="9">
        <f ca="1">OFFSET('RES Techs T15'!$W35,0,MATCH(VLOOKUP('RES Veda input'!BB$3,'RES Assumptions T15'!$V$3:$W$35,2,FALSE),'RES Techs T15'!$G$3:$U$3,0))</f>
        <v>0.1</v>
      </c>
      <c r="BC35" s="9">
        <f ca="1">OFFSET('RES Techs T15'!$W35,0,MATCH(VLOOKUP('RES Veda input'!BC$3,'RES Assumptions T15'!$V$3:$W$35,2,FALSE),'RES Techs T15'!$G$3:$U$3,0))</f>
        <v>0.1</v>
      </c>
      <c r="BD35" s="9">
        <f ca="1">OFFSET('RES Techs T15'!$W35,0,MATCH(VLOOKUP('RES Veda input'!BD$3,'RES Assumptions T15'!$V$3:$W$35,2,FALSE),'RES Techs T15'!$G$3:$U$3,0))</f>
        <v>0.1</v>
      </c>
      <c r="BE35" s="9">
        <f ca="1">OFFSET('RES Techs T15'!$W35,0,MATCH(VLOOKUP('RES Veda input'!BE$3,'RES Assumptions T15'!$V$3:$W$35,2,FALSE),'RES Techs T15'!$G$3:$U$3,0))</f>
        <v>0.1</v>
      </c>
      <c r="BF35" s="9">
        <f ca="1">OFFSET('RES Techs T15'!$W35,0,MATCH(VLOOKUP('RES Veda input'!BF$3,'RES Assumptions T15'!$V$3:$W$35,2,FALSE),'RES Techs T15'!$G$3:$U$3,0))</f>
        <v>0.1</v>
      </c>
      <c r="BG35" s="9">
        <f ca="1">OFFSET('RES Techs T15'!$W35,0,MATCH(VLOOKUP('RES Veda input'!BG$3,'RES Assumptions T15'!$V$3:$W$35,2,FALSE),'RES Techs T15'!$G$3:$U$3,0))</f>
        <v>0.1</v>
      </c>
      <c r="BH35" s="9">
        <f ca="1">OFFSET('RES Techs T15'!$W35,0,MATCH(VLOOKUP('RES Veda input'!BH$3,'RES Assumptions T15'!$V$3:$W$35,2,FALSE),'RES Techs T15'!$G$3:$U$3,0))</f>
        <v>0.1</v>
      </c>
      <c r="BI35" s="9">
        <f ca="1">OFFSET('RES Techs T15'!$W35,0,MATCH(VLOOKUP('RES Veda input'!BI$3,'RES Assumptions T15'!$V$3:$W$35,2,FALSE),'RES Techs T15'!$G$3:$U$3,0))</f>
        <v>0.1</v>
      </c>
      <c r="BJ35" s="9">
        <f ca="1">OFFSET('RES Techs T15'!$W35,0,MATCH(VLOOKUP('RES Veda input'!BJ$3,'RES Assumptions T15'!$V$3:$W$35,2,FALSE),'RES Techs T15'!$G$3:$U$3,0))</f>
        <v>0.1</v>
      </c>
      <c r="BK35" s="9">
        <f ca="1">OFFSET('RES Techs T15'!$W35,0,MATCH(VLOOKUP('RES Veda input'!BK$3,'RES Assumptions T15'!$V$3:$W$35,2,FALSE),'RES Techs T15'!$G$3:$U$3,0))</f>
        <v>0.1</v>
      </c>
      <c r="BL35" s="9">
        <f ca="1">OFFSET('RES Techs T15'!$W35,0,MATCH(VLOOKUP('RES Veda input'!BL$3,'RES Assumptions T15'!$V$3:$W$35,2,FALSE),'RES Techs T15'!$G$3:$U$3,0))</f>
        <v>0.1</v>
      </c>
      <c r="BM35" s="9">
        <f ca="1">OFFSET('RES Techs T15'!$W35,0,MATCH(VLOOKUP('RES Veda input'!BM$3,'RES Assumptions T15'!$V$3:$W$35,2,FALSE),'RES Techs T15'!$G$3:$U$3,0))</f>
        <v>0.1</v>
      </c>
      <c r="BN35" s="9">
        <f ca="1">OFFSET('RES Techs T15'!$W35,0,MATCH(VLOOKUP('RES Veda input'!BN$3,'RES Assumptions T15'!$V$3:$W$35,2,FALSE),'RES Techs T15'!$G$3:$U$3,0))</f>
        <v>0.1</v>
      </c>
      <c r="BO35" s="9">
        <f ca="1">OFFSET('RES Techs T15'!$W35,0,MATCH(VLOOKUP('RES Veda input'!BO$3,'RES Assumptions T15'!$V$3:$W$35,2,FALSE),'RES Techs T15'!$G$3:$U$3,0))</f>
        <v>0.1</v>
      </c>
      <c r="BP35" s="9">
        <f ca="1">OFFSET('RES Techs T15'!$W35,0,MATCH(VLOOKUP('RES Veda input'!BP$3,'RES Assumptions T15'!$V$3:$W$35,2,FALSE),'RES Techs T15'!$G$3:$U$3,0))</f>
        <v>0.1</v>
      </c>
      <c r="BR35" s="8" t="str">
        <f t="shared" si="61"/>
        <v>RHWNGA000</v>
      </c>
      <c r="BS35" s="9">
        <f t="shared" ca="1" si="62"/>
        <v>3.6</v>
      </c>
      <c r="BT35" s="9" t="str">
        <f ca="1">IF(OFFSET('RES Techs T15'!$AO35,0,MATCH(VLOOKUP('RES Veda input'!BT$3,'RES Assumptions T15'!$V$3:$W$35,2,FALSE),'RES Techs T15'!$G$3:$U$3,0))=0,"",OFFSET('RES Techs T15'!$AO35,0,MATCH(VLOOKUP('RES Veda input'!BT$3,'RES Assumptions T15'!$V$3:$W$35,2,FALSE),'RES Techs T15'!$G$3:$U$3,0)))</f>
        <v/>
      </c>
      <c r="BU35" s="9" t="str">
        <f ca="1">IF(OFFSET('RES Techs T15'!$AO35,0,MATCH(VLOOKUP('RES Veda input'!BU$3,'RES Assumptions T15'!$V$3:$W$35,2,FALSE),'RES Techs T15'!$G$3:$U$3,0))=0,"",OFFSET('RES Techs T15'!$AO35,0,MATCH(VLOOKUP('RES Veda input'!BU$3,'RES Assumptions T15'!$V$3:$W$35,2,FALSE),'RES Techs T15'!$G$3:$U$3,0)))</f>
        <v/>
      </c>
      <c r="BV35" s="9">
        <f ca="1">IF(OFFSET('RES Techs T15'!$AO35,0,MATCH(VLOOKUP('RES Veda input'!BV$3,'RES Assumptions T15'!$V$3:$W$35,2,FALSE),'RES Techs T15'!$G$3:$U$3,0))=0,"",OFFSET('RES Techs T15'!$AO35,0,MATCH(VLOOKUP('RES Veda input'!BV$3,'RES Assumptions T15'!$V$3:$W$35,2,FALSE),'RES Techs T15'!$G$3:$U$3,0)))</f>
        <v>4.2</v>
      </c>
      <c r="BW35" s="9" t="str">
        <f ca="1">IF(OFFSET('RES Techs T15'!$AO35,0,MATCH(VLOOKUP('RES Veda input'!BW$3,'RES Assumptions T15'!$V$3:$W$35,2,FALSE),'RES Techs T15'!$G$3:$U$3,0))=0,"",OFFSET('RES Techs T15'!$AO35,0,MATCH(VLOOKUP('RES Veda input'!BW$3,'RES Assumptions T15'!$V$3:$W$35,2,FALSE),'RES Techs T15'!$G$3:$U$3,0)))</f>
        <v/>
      </c>
      <c r="BX35" s="9">
        <f ca="1">IF(OFFSET('RES Techs T15'!$AO35,0,MATCH(VLOOKUP('RES Veda input'!BX$3,'RES Assumptions T15'!$V$3:$W$35,2,FALSE),'RES Techs T15'!$G$3:$U$3,0))=0,"",OFFSET('RES Techs T15'!$AO35,0,MATCH(VLOOKUP('RES Veda input'!BX$3,'RES Assumptions T15'!$V$3:$W$35,2,FALSE),'RES Techs T15'!$G$3:$U$3,0)))</f>
        <v>6</v>
      </c>
      <c r="BY35" s="9">
        <f ca="1">IF(OFFSET('RES Techs T15'!$AO35,0,MATCH(VLOOKUP('RES Veda input'!BY$3,'RES Assumptions T15'!$V$3:$W$35,2,FALSE),'RES Techs T15'!$G$3:$U$3,0))=0,"",OFFSET('RES Techs T15'!$AO35,0,MATCH(VLOOKUP('RES Veda input'!BY$3,'RES Assumptions T15'!$V$3:$W$35,2,FALSE),'RES Techs T15'!$G$3:$U$3,0)))</f>
        <v>3.6</v>
      </c>
      <c r="BZ35" s="9" t="str">
        <f ca="1">IF(OFFSET('RES Techs T15'!$AO35,0,MATCH(VLOOKUP('RES Veda input'!BZ$3,'RES Assumptions T15'!$V$3:$W$35,2,FALSE),'RES Techs T15'!$G$3:$U$3,0))=0,"",OFFSET('RES Techs T15'!$AO35,0,MATCH(VLOOKUP('RES Veda input'!BZ$3,'RES Assumptions T15'!$V$3:$W$35,2,FALSE),'RES Techs T15'!$G$3:$U$3,0)))</f>
        <v/>
      </c>
      <c r="CA35" s="9">
        <f ca="1">IF(OFFSET('RES Techs T15'!$AO35,0,MATCH(VLOOKUP('RES Veda input'!CA$3,'RES Assumptions T15'!$V$3:$W$35,2,FALSE),'RES Techs T15'!$G$3:$U$3,0))=0,"",OFFSET('RES Techs T15'!$AO35,0,MATCH(VLOOKUP('RES Veda input'!CA$3,'RES Assumptions T15'!$V$3:$W$35,2,FALSE),'RES Techs T15'!$G$3:$U$3,0)))</f>
        <v>4.2</v>
      </c>
      <c r="CB35" s="9" t="str">
        <f ca="1">IF(OFFSET('RES Techs T15'!$AO35,0,MATCH(VLOOKUP('RES Veda input'!CB$3,'RES Assumptions T15'!$V$3:$W$35,2,FALSE),'RES Techs T15'!$G$3:$U$3,0))=0,"",OFFSET('RES Techs T15'!$AO35,0,MATCH(VLOOKUP('RES Veda input'!CB$3,'RES Assumptions T15'!$V$3:$W$35,2,FALSE),'RES Techs T15'!$G$3:$U$3,0)))</f>
        <v/>
      </c>
      <c r="CC35" s="9" t="str">
        <f ca="1">IF(OFFSET('RES Techs T15'!$AO35,0,MATCH(VLOOKUP('RES Veda input'!CC$3,'RES Assumptions T15'!$V$3:$W$35,2,FALSE),'RES Techs T15'!$G$3:$U$3,0))=0,"",OFFSET('RES Techs T15'!$AO35,0,MATCH(VLOOKUP('RES Veda input'!CC$3,'RES Assumptions T15'!$V$3:$W$35,2,FALSE),'RES Techs T15'!$G$3:$U$3,0)))</f>
        <v/>
      </c>
      <c r="CD35" s="9" t="str">
        <f ca="1">IF(OFFSET('RES Techs T15'!$AO35,0,MATCH(VLOOKUP('RES Veda input'!CD$3,'RES Assumptions T15'!$V$3:$W$35,2,FALSE),'RES Techs T15'!$G$3:$U$3,0))=0,"",OFFSET('RES Techs T15'!$AO35,0,MATCH(VLOOKUP('RES Veda input'!CD$3,'RES Assumptions T15'!$V$3:$W$35,2,FALSE),'RES Techs T15'!$G$3:$U$3,0)))</f>
        <v/>
      </c>
      <c r="CE35" s="9" t="str">
        <f ca="1">IF(OFFSET('RES Techs T15'!$AO35,0,MATCH(VLOOKUP('RES Veda input'!CE$3,'RES Assumptions T15'!$V$3:$W$35,2,FALSE),'RES Techs T15'!$G$3:$U$3,0))=0,"",OFFSET('RES Techs T15'!$AO35,0,MATCH(VLOOKUP('RES Veda input'!CE$3,'RES Assumptions T15'!$V$3:$W$35,2,FALSE),'RES Techs T15'!$G$3:$U$3,0)))</f>
        <v/>
      </c>
      <c r="CF35" s="9" t="str">
        <f ca="1">IF(OFFSET('RES Techs T15'!$AO35,0,MATCH(VLOOKUP('RES Veda input'!CF$3,'RES Assumptions T15'!$V$3:$W$35,2,FALSE),'RES Techs T15'!$G$3:$U$3,0))=0,"",OFFSET('RES Techs T15'!$AO35,0,MATCH(VLOOKUP('RES Veda input'!CF$3,'RES Assumptions T15'!$V$3:$W$35,2,FALSE),'RES Techs T15'!$G$3:$U$3,0)))</f>
        <v/>
      </c>
      <c r="CG35" s="9" t="str">
        <f ca="1">IF(OFFSET('RES Techs T15'!$AO35,0,MATCH(VLOOKUP('RES Veda input'!CG$3,'RES Assumptions T15'!$V$3:$W$35,2,FALSE),'RES Techs T15'!$G$3:$U$3,0))=0,"",OFFSET('RES Techs T15'!$AO35,0,MATCH(VLOOKUP('RES Veda input'!CG$3,'RES Assumptions T15'!$V$3:$W$35,2,FALSE),'RES Techs T15'!$G$3:$U$3,0)))</f>
        <v/>
      </c>
      <c r="CH35" s="9" t="str">
        <f ca="1">IF(OFFSET('RES Techs T15'!$AO35,0,MATCH(VLOOKUP('RES Veda input'!CH$3,'RES Assumptions T15'!$V$3:$W$35,2,FALSE),'RES Techs T15'!$G$3:$U$3,0))=0,"",OFFSET('RES Techs T15'!$AO35,0,MATCH(VLOOKUP('RES Veda input'!CH$3,'RES Assumptions T15'!$V$3:$W$35,2,FALSE),'RES Techs T15'!$G$3:$U$3,0)))</f>
        <v/>
      </c>
      <c r="CI35" s="9" t="str">
        <f ca="1">IF(OFFSET('RES Techs T15'!$AO35,0,MATCH(VLOOKUP('RES Veda input'!CI$3,'RES Assumptions T15'!$V$3:$W$35,2,FALSE),'RES Techs T15'!$G$3:$U$3,0))=0,"",OFFSET('RES Techs T15'!$AO35,0,MATCH(VLOOKUP('RES Veda input'!CI$3,'RES Assumptions T15'!$V$3:$W$35,2,FALSE),'RES Techs T15'!$G$3:$U$3,0)))</f>
        <v/>
      </c>
      <c r="CJ35" s="9">
        <f ca="1">IF(OFFSET('RES Techs T15'!$AO35,0,MATCH(VLOOKUP('RES Veda input'!CJ$3,'RES Assumptions T15'!$V$3:$W$35,2,FALSE),'RES Techs T15'!$G$3:$U$3,0))=0,"",OFFSET('RES Techs T15'!$AO35,0,MATCH(VLOOKUP('RES Veda input'!CJ$3,'RES Assumptions T15'!$V$3:$W$35,2,FALSE),'RES Techs T15'!$G$3:$U$3,0)))</f>
        <v>4.2</v>
      </c>
      <c r="CK35" s="9" t="str">
        <f ca="1">IF(OFFSET('RES Techs T15'!$AO35,0,MATCH(VLOOKUP('RES Veda input'!CK$3,'RES Assumptions T15'!$V$3:$W$35,2,FALSE),'RES Techs T15'!$G$3:$U$3,0))=0,"",OFFSET('RES Techs T15'!$AO35,0,MATCH(VLOOKUP('RES Veda input'!CK$3,'RES Assumptions T15'!$V$3:$W$35,2,FALSE),'RES Techs T15'!$G$3:$U$3,0)))</f>
        <v/>
      </c>
      <c r="CL35" s="9" t="str">
        <f ca="1">IF(OFFSET('RES Techs T15'!$AO35,0,MATCH(VLOOKUP('RES Veda input'!CL$3,'RES Assumptions T15'!$V$3:$W$35,2,FALSE),'RES Techs T15'!$G$3:$U$3,0))=0,"",OFFSET('RES Techs T15'!$AO35,0,MATCH(VLOOKUP('RES Veda input'!CL$3,'RES Assumptions T15'!$V$3:$W$35,2,FALSE),'RES Techs T15'!$G$3:$U$3,0)))</f>
        <v/>
      </c>
      <c r="CM35" s="9">
        <f ca="1">IF(OFFSET('RES Techs T15'!$AO35,0,MATCH(VLOOKUP('RES Veda input'!CM$3,'RES Assumptions T15'!$V$3:$W$35,2,FALSE),'RES Techs T15'!$G$3:$U$3,0))=0,"",OFFSET('RES Techs T15'!$AO35,0,MATCH(VLOOKUP('RES Veda input'!CM$3,'RES Assumptions T15'!$V$3:$W$35,2,FALSE),'RES Techs T15'!$G$3:$U$3,0)))</f>
        <v>3.6</v>
      </c>
      <c r="CN35" s="9">
        <f ca="1">IF(OFFSET('RES Techs T15'!$AO35,0,MATCH(VLOOKUP('RES Veda input'!CN$3,'RES Assumptions T15'!$V$3:$W$35,2,FALSE),'RES Techs T15'!$G$3:$U$3,0))=0,"",OFFSET('RES Techs T15'!$AO35,0,MATCH(VLOOKUP('RES Veda input'!CN$3,'RES Assumptions T15'!$V$3:$W$35,2,FALSE),'RES Techs T15'!$G$3:$U$3,0)))</f>
        <v>4.2</v>
      </c>
      <c r="CO35" s="9">
        <f ca="1">IF(OFFSET('RES Techs T15'!$AO35,0,MATCH(VLOOKUP('RES Veda input'!CO$3,'RES Assumptions T15'!$V$3:$W$35,2,FALSE),'RES Techs T15'!$G$3:$U$3,0))=0,"",OFFSET('RES Techs T15'!$AO35,0,MATCH(VLOOKUP('RES Veda input'!CO$3,'RES Assumptions T15'!$V$3:$W$35,2,FALSE),'RES Techs T15'!$G$3:$U$3,0)))</f>
        <v>4.8</v>
      </c>
      <c r="CP35" s="9">
        <f ca="1">IF(OFFSET('RES Techs T15'!$AO35,0,MATCH(VLOOKUP('RES Veda input'!CP$3,'RES Assumptions T15'!$V$3:$W$35,2,FALSE),'RES Techs T15'!$G$3:$U$3,0))=0,"",OFFSET('RES Techs T15'!$AO35,0,MATCH(VLOOKUP('RES Veda input'!CP$3,'RES Assumptions T15'!$V$3:$W$35,2,FALSE),'RES Techs T15'!$G$3:$U$3,0)))</f>
        <v>4.2</v>
      </c>
      <c r="CQ35" s="9" t="str">
        <f ca="1">IF(OFFSET('RES Techs T15'!$AO35,0,MATCH(VLOOKUP('RES Veda input'!CQ$3,'RES Assumptions T15'!$V$3:$W$35,2,FALSE),'RES Techs T15'!$G$3:$U$3,0))=0,"",OFFSET('RES Techs T15'!$AO35,0,MATCH(VLOOKUP('RES Veda input'!CQ$3,'RES Assumptions T15'!$V$3:$W$35,2,FALSE),'RES Techs T15'!$G$3:$U$3,0)))</f>
        <v/>
      </c>
      <c r="CR35" s="9" t="str">
        <f ca="1">IF(OFFSET('RES Techs T15'!$AO35,0,MATCH(VLOOKUP('RES Veda input'!CR$3,'RES Assumptions T15'!$V$3:$W$35,2,FALSE),'RES Techs T15'!$G$3:$U$3,0))=0,"",OFFSET('RES Techs T15'!$AO35,0,MATCH(VLOOKUP('RES Veda input'!CR$3,'RES Assumptions T15'!$V$3:$W$35,2,FALSE),'RES Techs T15'!$G$3:$U$3,0)))</f>
        <v/>
      </c>
      <c r="CS35" s="9">
        <f ca="1">IF(OFFSET('RES Techs T15'!$AO35,0,MATCH(VLOOKUP('RES Veda input'!CS$3,'RES Assumptions T15'!$V$3:$W$35,2,FALSE),'RES Techs T15'!$G$3:$U$3,0))=0,"",OFFSET('RES Techs T15'!$AO35,0,MATCH(VLOOKUP('RES Veda input'!CS$3,'RES Assumptions T15'!$V$3:$W$35,2,FALSE),'RES Techs T15'!$G$3:$U$3,0)))</f>
        <v>4.2</v>
      </c>
      <c r="CT35" s="9" t="str">
        <f ca="1">IF(OFFSET('RES Techs T15'!$AO35,0,MATCH(VLOOKUP('RES Veda input'!CT$3,'RES Assumptions T15'!$V$3:$W$35,2,FALSE),'RES Techs T15'!$G$3:$U$3,0))=0,"",OFFSET('RES Techs T15'!$AO35,0,MATCH(VLOOKUP('RES Veda input'!CT$3,'RES Assumptions T15'!$V$3:$W$35,2,FALSE),'RES Techs T15'!$G$3:$U$3,0)))</f>
        <v/>
      </c>
      <c r="CU35" s="9" t="str">
        <f ca="1">IF(OFFSET('RES Techs T15'!$AO35,0,MATCH(VLOOKUP('RES Veda input'!CU$3,'RES Assumptions T15'!$V$3:$W$35,2,FALSE),'RES Techs T15'!$G$3:$U$3,0))=0,"",OFFSET('RES Techs T15'!$AO35,0,MATCH(VLOOKUP('RES Veda input'!CU$3,'RES Assumptions T15'!$V$3:$W$35,2,FALSE),'RES Techs T15'!$G$3:$U$3,0)))</f>
        <v/>
      </c>
      <c r="CV35" s="9">
        <f ca="1">IF(OFFSET('RES Techs T15'!$AO35,0,MATCH(VLOOKUP('RES Veda input'!CV$3,'RES Assumptions T15'!$V$3:$W$35,2,FALSE),'RES Techs T15'!$G$3:$U$3,0))=0,"",OFFSET('RES Techs T15'!$AO35,0,MATCH(VLOOKUP('RES Veda input'!CV$3,'RES Assumptions T15'!$V$3:$W$35,2,FALSE),'RES Techs T15'!$G$3:$U$3,0)))</f>
        <v>0.06</v>
      </c>
      <c r="CW35" s="9">
        <f ca="1">IF(OFFSET('RES Techs T15'!$AO35,0,MATCH(VLOOKUP('RES Veda input'!CW$3,'RES Assumptions T15'!$V$3:$W$35,2,FALSE),'RES Techs T15'!$G$3:$U$3,0))=0,"",OFFSET('RES Techs T15'!$AO35,0,MATCH(VLOOKUP('RES Veda input'!CW$3,'RES Assumptions T15'!$V$3:$W$35,2,FALSE),'RES Techs T15'!$G$3:$U$3,0)))</f>
        <v>0.06</v>
      </c>
      <c r="CY35" s="8" t="str">
        <f t="shared" si="63"/>
        <v>RHWNGA000</v>
      </c>
      <c r="CZ35" s="10">
        <f ca="1">ROUND('RES Assumptions'!E118*'RES Veda input'!G35/'RES Veda input'!AM35,3)</f>
        <v>2119.29</v>
      </c>
      <c r="DA35" s="10">
        <f ca="1">ROUND('RES Assumptions'!F118*'RES Veda input'!H35/'RES Veda input'!AN35,3)</f>
        <v>2E-3</v>
      </c>
      <c r="DB35" s="10">
        <f ca="1">ROUND('RES Assumptions'!G118*'RES Veda input'!I35/'RES Veda input'!AO35,3)</f>
        <v>1598.498</v>
      </c>
      <c r="DC35" s="10">
        <f ca="1">ROUND('RES Assumptions'!H118*'RES Veda input'!J35/'RES Veda input'!AP35,3)</f>
        <v>781.70500000000004</v>
      </c>
      <c r="DD35" s="10">
        <f ca="1">ROUND('RES Assumptions'!I118*'RES Veda input'!K35/'RES Veda input'!AQ35,3)</f>
        <v>3183.9430000000002</v>
      </c>
      <c r="DE35" s="10">
        <f ca="1">ROUND('RES Assumptions'!J118*'RES Veda input'!L35/'RES Veda input'!AR35,3)</f>
        <v>0</v>
      </c>
      <c r="DF35" s="10">
        <f ca="1">ROUND('RES Assumptions'!K118*'RES Veda input'!M35/'RES Veda input'!AS35,3)</f>
        <v>263.83600000000001</v>
      </c>
      <c r="DG35" s="10">
        <f ca="1">ROUND('RES Assumptions'!L118*'RES Veda input'!N35/'RES Veda input'!AT35,3)</f>
        <v>72.655000000000001</v>
      </c>
      <c r="DH35" s="10">
        <f ca="1">ROUND('RES Assumptions'!M118*'RES Veda input'!O35/'RES Veda input'!AU35,3)</f>
        <v>940.59699999999998</v>
      </c>
      <c r="DI35" s="10">
        <f ca="1">ROUND('RES Assumptions'!N118*'RES Veda input'!P35/'RES Veda input'!AV35,3)</f>
        <v>8282.7520000000004</v>
      </c>
      <c r="DJ35" s="10">
        <f ca="1">ROUND('RES Assumptions'!O118*'RES Veda input'!Q35/'RES Veda input'!AW35,3)</f>
        <v>35.143000000000001</v>
      </c>
      <c r="DK35" s="10">
        <f ca="1">ROUND('RES Assumptions'!P118*'RES Veda input'!R35/'RES Veda input'!AX35,3)</f>
        <v>441.11900000000003</v>
      </c>
      <c r="DL35" s="10">
        <f ca="1">ROUND('RES Assumptions'!Q118*'RES Veda input'!S35/'RES Veda input'!AY35,3)</f>
        <v>545.40499999999997</v>
      </c>
      <c r="DM35" s="10">
        <f ca="1">ROUND('RES Assumptions'!R118*'RES Veda input'!T35/'RES Veda input'!AZ35,3)</f>
        <v>843.31299999999999</v>
      </c>
      <c r="DN35" s="10">
        <f ca="1">ROUND('RES Assumptions'!S118*'RES Veda input'!U35/'RES Veda input'!BA35,3)</f>
        <v>315.38799999999998</v>
      </c>
      <c r="DO35" s="10">
        <f ca="1">ROUND('RES Assumptions'!T118*'RES Veda input'!V35/'RES Veda input'!BB35,3)</f>
        <v>191.09100000000001</v>
      </c>
      <c r="DP35" s="10">
        <f ca="1">ROUND('RES Assumptions'!U118*'RES Veda input'!W35/'RES Veda input'!BC35,3)</f>
        <v>1489.6669999999999</v>
      </c>
      <c r="DQ35" s="10">
        <f ca="1">ROUND('RES Assumptions'!V118*'RES Veda input'!X35/'RES Veda input'!BD35,3)</f>
        <v>580.37199999999996</v>
      </c>
      <c r="DR35" s="10">
        <f ca="1">ROUND('RES Assumptions'!W118*'RES Veda input'!Y35/'RES Veda input'!BE35,3)</f>
        <v>1157.893</v>
      </c>
      <c r="DS35" s="10">
        <f ca="1">ROUND('RES Assumptions'!X118*'RES Veda input'!Z35/'RES Veda input'!BF35,3)</f>
        <v>559.75800000000004</v>
      </c>
      <c r="DT35" s="10">
        <f ca="1">ROUND('RES Assumptions'!Y118*'RES Veda input'!AA35/'RES Veda input'!BG35,3)</f>
        <v>348.93099999999998</v>
      </c>
      <c r="DU35" s="10">
        <f ca="1">ROUND('RES Assumptions'!Z118*'RES Veda input'!AB35/'RES Veda input'!BH35,3)</f>
        <v>113.608</v>
      </c>
      <c r="DV35" s="10">
        <f ca="1">ROUND('RES Assumptions'!AA118*'RES Veda input'!AC35/'RES Veda input'!BI35,3)</f>
        <v>2812.962</v>
      </c>
      <c r="DW35" s="10">
        <f ca="1">ROUND('RES Assumptions'!AB118*'RES Veda input'!AD35/'RES Veda input'!BJ35,3)</f>
        <v>7.9000000000000001E-2</v>
      </c>
      <c r="DX35" s="10">
        <f ca="1">ROUND('RES Assumptions'!AC118*'RES Veda input'!AE35/'RES Veda input'!BK35,3)</f>
        <v>3450.2339999999999</v>
      </c>
      <c r="DY35" s="10">
        <f ca="1">ROUND('RES Assumptions'!AD118*'RES Veda input'!AF35/'RES Veda input'!BL35,3)</f>
        <v>0</v>
      </c>
      <c r="DZ35" s="10">
        <f ca="1">ROUND('RES Assumptions'!AE118*'RES Veda input'!AG35/'RES Veda input'!BM35,3)</f>
        <v>0.88800000000000001</v>
      </c>
      <c r="EA35" s="10">
        <f ca="1">ROUND('RES Assumptions'!AF118*'RES Veda input'!AH35/'RES Veda input'!BN35,3)</f>
        <v>1165.518</v>
      </c>
      <c r="EB35" s="10">
        <f ca="1">ROUND('RES Assumptions'!AG118*'RES Veda input'!AI35/'RES Veda input'!BO35,3)</f>
        <v>8734.2970000000005</v>
      </c>
      <c r="EC35" s="10">
        <f ca="1">ROUND('RES Assumptions'!AH118*'RES Veda input'!AJ35/'RES Veda input'!BP35,3)</f>
        <v>0</v>
      </c>
      <c r="ED35">
        <v>15</v>
      </c>
      <c r="EG35" t="s">
        <v>281</v>
      </c>
      <c r="EH35" t="str">
        <f t="shared" si="64"/>
        <v>RHWNGA000</v>
      </c>
      <c r="EJ35" t="s">
        <v>282</v>
      </c>
      <c r="EK35" t="s">
        <v>283</v>
      </c>
    </row>
    <row r="36" spans="1:141" x14ac:dyDescent="0.45">
      <c r="A36" s="37" t="str">
        <f>'RES Assumptions'!B119</f>
        <v>RHW</v>
      </c>
      <c r="B36" s="37" t="s">
        <v>378</v>
      </c>
      <c r="D36" s="51" t="s">
        <v>378</v>
      </c>
      <c r="E36" s="8" t="str">
        <f>'RES Assumptions'!A119</f>
        <v>RESSTH</v>
      </c>
      <c r="F36" s="8" t="str">
        <f>VLOOKUP(A36,'RES Assumptions'!$AN$87:$AO$97,2,FALSE)</f>
        <v>RHW</v>
      </c>
      <c r="G36" s="9">
        <f ca="1">OFFSET('RES Techs T15'!$F36,0,MATCH(VLOOKUP('RES Veda input'!G$3,'RES Assumptions T15'!$V$3:$W$35,2,FALSE),'RES Techs T15'!$G$3:$U$3,0))</f>
        <v>1</v>
      </c>
      <c r="H36" s="9">
        <f ca="1">OFFSET('RES Techs T15'!$F36,0,MATCH(VLOOKUP('RES Veda input'!H$3,'RES Assumptions T15'!$V$3:$W$35,2,FALSE),'RES Techs T15'!$G$3:$U$3,0))</f>
        <v>1</v>
      </c>
      <c r="I36" s="9">
        <f ca="1">OFFSET('RES Techs T15'!$F36,0,MATCH(VLOOKUP('RES Veda input'!I$3,'RES Assumptions T15'!$V$3:$W$35,2,FALSE),'RES Techs T15'!$G$3:$U$3,0))</f>
        <v>1</v>
      </c>
      <c r="J36" s="9">
        <f ca="1">OFFSET('RES Techs T15'!$F36,0,MATCH(VLOOKUP('RES Veda input'!J$3,'RES Assumptions T15'!$V$3:$W$35,2,FALSE),'RES Techs T15'!$G$3:$U$3,0))</f>
        <v>1</v>
      </c>
      <c r="K36" s="9">
        <f ca="1">OFFSET('RES Techs T15'!$F36,0,MATCH(VLOOKUP('RES Veda input'!K$3,'RES Assumptions T15'!$V$3:$W$35,2,FALSE),'RES Techs T15'!$G$3:$U$3,0))</f>
        <v>1</v>
      </c>
      <c r="L36" s="9">
        <f ca="1">OFFSET('RES Techs T15'!$F36,0,MATCH(VLOOKUP('RES Veda input'!L$3,'RES Assumptions T15'!$V$3:$W$35,2,FALSE),'RES Techs T15'!$G$3:$U$3,0))</f>
        <v>1</v>
      </c>
      <c r="M36" s="9">
        <f ca="1">OFFSET('RES Techs T15'!$F36,0,MATCH(VLOOKUP('RES Veda input'!M$3,'RES Assumptions T15'!$V$3:$W$35,2,FALSE),'RES Techs T15'!$G$3:$U$3,0))</f>
        <v>1</v>
      </c>
      <c r="N36" s="9">
        <f ca="1">OFFSET('RES Techs T15'!$F36,0,MATCH(VLOOKUP('RES Veda input'!N$3,'RES Assumptions T15'!$V$3:$W$35,2,FALSE),'RES Techs T15'!$G$3:$U$3,0))</f>
        <v>1</v>
      </c>
      <c r="O36" s="9">
        <f ca="1">OFFSET('RES Techs T15'!$F36,0,MATCH(VLOOKUP('RES Veda input'!O$3,'RES Assumptions T15'!$V$3:$W$35,2,FALSE),'RES Techs T15'!$G$3:$U$3,0))</f>
        <v>1</v>
      </c>
      <c r="P36" s="9">
        <f ca="1">OFFSET('RES Techs T15'!$F36,0,MATCH(VLOOKUP('RES Veda input'!P$3,'RES Assumptions T15'!$V$3:$W$35,2,FALSE),'RES Techs T15'!$G$3:$U$3,0))</f>
        <v>1</v>
      </c>
      <c r="Q36" s="9">
        <f ca="1">OFFSET('RES Techs T15'!$F36,0,MATCH(VLOOKUP('RES Veda input'!Q$3,'RES Assumptions T15'!$V$3:$W$35,2,FALSE),'RES Techs T15'!$G$3:$U$3,0))</f>
        <v>1</v>
      </c>
      <c r="R36" s="9">
        <f ca="1">OFFSET('RES Techs T15'!$F36,0,MATCH(VLOOKUP('RES Veda input'!R$3,'RES Assumptions T15'!$V$3:$W$35,2,FALSE),'RES Techs T15'!$G$3:$U$3,0))</f>
        <v>1</v>
      </c>
      <c r="S36" s="9">
        <f ca="1">OFFSET('RES Techs T15'!$F36,0,MATCH(VLOOKUP('RES Veda input'!S$3,'RES Assumptions T15'!$V$3:$W$35,2,FALSE),'RES Techs T15'!$G$3:$U$3,0))</f>
        <v>1</v>
      </c>
      <c r="T36" s="9">
        <f ca="1">OFFSET('RES Techs T15'!$F36,0,MATCH(VLOOKUP('RES Veda input'!T$3,'RES Assumptions T15'!$V$3:$W$35,2,FALSE),'RES Techs T15'!$G$3:$U$3,0))</f>
        <v>1</v>
      </c>
      <c r="U36" s="9">
        <f ca="1">OFFSET('RES Techs T15'!$F36,0,MATCH(VLOOKUP('RES Veda input'!U$3,'RES Assumptions T15'!$V$3:$W$35,2,FALSE),'RES Techs T15'!$G$3:$U$3,0))</f>
        <v>1</v>
      </c>
      <c r="V36" s="9">
        <f ca="1">OFFSET('RES Techs T15'!$F36,0,MATCH(VLOOKUP('RES Veda input'!V$3,'RES Assumptions T15'!$V$3:$W$35,2,FALSE),'RES Techs T15'!$G$3:$U$3,0))</f>
        <v>1</v>
      </c>
      <c r="W36" s="9">
        <f ca="1">OFFSET('RES Techs T15'!$F36,0,MATCH(VLOOKUP('RES Veda input'!W$3,'RES Assumptions T15'!$V$3:$W$35,2,FALSE),'RES Techs T15'!$G$3:$U$3,0))</f>
        <v>1</v>
      </c>
      <c r="X36" s="9">
        <f ca="1">OFFSET('RES Techs T15'!$F36,0,MATCH(VLOOKUP('RES Veda input'!X$3,'RES Assumptions T15'!$V$3:$W$35,2,FALSE),'RES Techs T15'!$G$3:$U$3,0))</f>
        <v>1</v>
      </c>
      <c r="Y36" s="9">
        <f ca="1">OFFSET('RES Techs T15'!$F36,0,MATCH(VLOOKUP('RES Veda input'!Y$3,'RES Assumptions T15'!$V$3:$W$35,2,FALSE),'RES Techs T15'!$G$3:$U$3,0))</f>
        <v>1</v>
      </c>
      <c r="Z36" s="9">
        <f ca="1">OFFSET('RES Techs T15'!$F36,0,MATCH(VLOOKUP('RES Veda input'!Z$3,'RES Assumptions T15'!$V$3:$W$35,2,FALSE),'RES Techs T15'!$G$3:$U$3,0))</f>
        <v>1</v>
      </c>
      <c r="AA36" s="9">
        <f ca="1">OFFSET('RES Techs T15'!$F36,0,MATCH(VLOOKUP('RES Veda input'!AA$3,'RES Assumptions T15'!$V$3:$W$35,2,FALSE),'RES Techs T15'!$G$3:$U$3,0))</f>
        <v>1</v>
      </c>
      <c r="AB36" s="9">
        <f ca="1">OFFSET('RES Techs T15'!$F36,0,MATCH(VLOOKUP('RES Veda input'!AB$3,'RES Assumptions T15'!$V$3:$W$35,2,FALSE),'RES Techs T15'!$G$3:$U$3,0))</f>
        <v>1</v>
      </c>
      <c r="AC36" s="9">
        <f ca="1">OFFSET('RES Techs T15'!$F36,0,MATCH(VLOOKUP('RES Veda input'!AC$3,'RES Assumptions T15'!$V$3:$W$35,2,FALSE),'RES Techs T15'!$G$3:$U$3,0))</f>
        <v>1</v>
      </c>
      <c r="AD36" s="9">
        <f ca="1">OFFSET('RES Techs T15'!$F36,0,MATCH(VLOOKUP('RES Veda input'!AD$3,'RES Assumptions T15'!$V$3:$W$35,2,FALSE),'RES Techs T15'!$G$3:$U$3,0))</f>
        <v>1</v>
      </c>
      <c r="AE36" s="9">
        <f ca="1">OFFSET('RES Techs T15'!$F36,0,MATCH(VLOOKUP('RES Veda input'!AE$3,'RES Assumptions T15'!$V$3:$W$35,2,FALSE),'RES Techs T15'!$G$3:$U$3,0))</f>
        <v>1</v>
      </c>
      <c r="AF36" s="9">
        <f ca="1">OFFSET('RES Techs T15'!$F36,0,MATCH(VLOOKUP('RES Veda input'!AF$3,'RES Assumptions T15'!$V$3:$W$35,2,FALSE),'RES Techs T15'!$G$3:$U$3,0))</f>
        <v>1</v>
      </c>
      <c r="AG36" s="9">
        <f ca="1">OFFSET('RES Techs T15'!$F36,0,MATCH(VLOOKUP('RES Veda input'!AG$3,'RES Assumptions T15'!$V$3:$W$35,2,FALSE),'RES Techs T15'!$G$3:$U$3,0))</f>
        <v>1</v>
      </c>
      <c r="AH36" s="9">
        <f ca="1">OFFSET('RES Techs T15'!$F36,0,MATCH(VLOOKUP('RES Veda input'!AH$3,'RES Assumptions T15'!$V$3:$W$35,2,FALSE),'RES Techs T15'!$G$3:$U$3,0))</f>
        <v>1</v>
      </c>
      <c r="AI36" s="9">
        <f ca="1">OFFSET('RES Techs T15'!$F36,0,MATCH(VLOOKUP('RES Veda input'!AI$3,'RES Assumptions T15'!$V$3:$W$35,2,FALSE),'RES Techs T15'!$G$3:$U$3,0))</f>
        <v>1</v>
      </c>
      <c r="AJ36" s="9">
        <f ca="1">OFFSET('RES Techs T15'!$F36,0,MATCH(VLOOKUP('RES Veda input'!AJ$3,'RES Assumptions T15'!$V$3:$W$35,2,FALSE),'RES Techs T15'!$G$3:$U$3,0))</f>
        <v>1</v>
      </c>
      <c r="AL36" s="8" t="str">
        <f t="shared" si="60"/>
        <v>RHWSTH000</v>
      </c>
      <c r="AM36" s="9">
        <f ca="1">OFFSET('RES Techs T15'!$W36,0,MATCH(VLOOKUP('RES Veda input'!AM$3,'RES Assumptions T15'!$V$3:$W$35,2,FALSE),'RES Techs T15'!$G$3:$U$3,0))</f>
        <v>0.1</v>
      </c>
      <c r="AN36" s="9">
        <f ca="1">OFFSET('RES Techs T15'!$W36,0,MATCH(VLOOKUP('RES Veda input'!AN$3,'RES Assumptions T15'!$V$3:$W$35,2,FALSE),'RES Techs T15'!$G$3:$U$3,0))</f>
        <v>0.1</v>
      </c>
      <c r="AO36" s="9">
        <f ca="1">OFFSET('RES Techs T15'!$W36,0,MATCH(VLOOKUP('RES Veda input'!AO$3,'RES Assumptions T15'!$V$3:$W$35,2,FALSE),'RES Techs T15'!$G$3:$U$3,0))</f>
        <v>0.1</v>
      </c>
      <c r="AP36" s="9">
        <f ca="1">OFFSET('RES Techs T15'!$W36,0,MATCH(VLOOKUP('RES Veda input'!AP$3,'RES Assumptions T15'!$V$3:$W$35,2,FALSE),'RES Techs T15'!$G$3:$U$3,0))</f>
        <v>0.1</v>
      </c>
      <c r="AQ36" s="9">
        <f ca="1">OFFSET('RES Techs T15'!$W36,0,MATCH(VLOOKUP('RES Veda input'!AQ$3,'RES Assumptions T15'!$V$3:$W$35,2,FALSE),'RES Techs T15'!$G$3:$U$3,0))</f>
        <v>0.1</v>
      </c>
      <c r="AR36" s="9">
        <f ca="1">OFFSET('RES Techs T15'!$W36,0,MATCH(VLOOKUP('RES Veda input'!AR$3,'RES Assumptions T15'!$V$3:$W$35,2,FALSE),'RES Techs T15'!$G$3:$U$3,0))</f>
        <v>0.1</v>
      </c>
      <c r="AS36" s="9">
        <f ca="1">OFFSET('RES Techs T15'!$W36,0,MATCH(VLOOKUP('RES Veda input'!AS$3,'RES Assumptions T15'!$V$3:$W$35,2,FALSE),'RES Techs T15'!$G$3:$U$3,0))</f>
        <v>0.13</v>
      </c>
      <c r="AT36" s="9">
        <f ca="1">OFFSET('RES Techs T15'!$W36,0,MATCH(VLOOKUP('RES Veda input'!AT$3,'RES Assumptions T15'!$V$3:$W$35,2,FALSE),'RES Techs T15'!$G$3:$U$3,0))</f>
        <v>0.1</v>
      </c>
      <c r="AU36" s="9">
        <f ca="1">OFFSET('RES Techs T15'!$W36,0,MATCH(VLOOKUP('RES Veda input'!AU$3,'RES Assumptions T15'!$V$3:$W$35,2,FALSE),'RES Techs T15'!$G$3:$U$3,0))</f>
        <v>0.13</v>
      </c>
      <c r="AV36" s="9">
        <f ca="1">OFFSET('RES Techs T15'!$W36,0,MATCH(VLOOKUP('RES Veda input'!AV$3,'RES Assumptions T15'!$V$3:$W$35,2,FALSE),'RES Techs T15'!$G$3:$U$3,0))</f>
        <v>0.1</v>
      </c>
      <c r="AW36" s="9">
        <f ca="1">OFFSET('RES Techs T15'!$W36,0,MATCH(VLOOKUP('RES Veda input'!AW$3,'RES Assumptions T15'!$V$3:$W$35,2,FALSE),'RES Techs T15'!$G$3:$U$3,0))</f>
        <v>0.1</v>
      </c>
      <c r="AX36" s="9">
        <f ca="1">OFFSET('RES Techs T15'!$W36,0,MATCH(VLOOKUP('RES Veda input'!AX$3,'RES Assumptions T15'!$V$3:$W$35,2,FALSE),'RES Techs T15'!$G$3:$U$3,0))</f>
        <v>0.1</v>
      </c>
      <c r="AY36" s="9">
        <f ca="1">OFFSET('RES Techs T15'!$W36,0,MATCH(VLOOKUP('RES Veda input'!AY$3,'RES Assumptions T15'!$V$3:$W$35,2,FALSE),'RES Techs T15'!$G$3:$U$3,0))</f>
        <v>0.1</v>
      </c>
      <c r="AZ36" s="9">
        <f ca="1">OFFSET('RES Techs T15'!$W36,0,MATCH(VLOOKUP('RES Veda input'!AZ$3,'RES Assumptions T15'!$V$3:$W$35,2,FALSE),'RES Techs T15'!$G$3:$U$3,0))</f>
        <v>0.1</v>
      </c>
      <c r="BA36" s="9">
        <f ca="1">OFFSET('RES Techs T15'!$W36,0,MATCH(VLOOKUP('RES Veda input'!BA$3,'RES Assumptions T15'!$V$3:$W$35,2,FALSE),'RES Techs T15'!$G$3:$U$3,0))</f>
        <v>0.1</v>
      </c>
      <c r="BB36" s="9">
        <f ca="1">OFFSET('RES Techs T15'!$W36,0,MATCH(VLOOKUP('RES Veda input'!BB$3,'RES Assumptions T15'!$V$3:$W$35,2,FALSE),'RES Techs T15'!$G$3:$U$3,0))</f>
        <v>0.1</v>
      </c>
      <c r="BC36" s="9">
        <f ca="1">OFFSET('RES Techs T15'!$W36,0,MATCH(VLOOKUP('RES Veda input'!BC$3,'RES Assumptions T15'!$V$3:$W$35,2,FALSE),'RES Techs T15'!$G$3:$U$3,0))</f>
        <v>0.1</v>
      </c>
      <c r="BD36" s="9">
        <f ca="1">OFFSET('RES Techs T15'!$W36,0,MATCH(VLOOKUP('RES Veda input'!BD$3,'RES Assumptions T15'!$V$3:$W$35,2,FALSE),'RES Techs T15'!$G$3:$U$3,0))</f>
        <v>0.1</v>
      </c>
      <c r="BE36" s="9">
        <f ca="1">OFFSET('RES Techs T15'!$W36,0,MATCH(VLOOKUP('RES Veda input'!BE$3,'RES Assumptions T15'!$V$3:$W$35,2,FALSE),'RES Techs T15'!$G$3:$U$3,0))</f>
        <v>0.1</v>
      </c>
      <c r="BF36" s="9">
        <f ca="1">OFFSET('RES Techs T15'!$W36,0,MATCH(VLOOKUP('RES Veda input'!BF$3,'RES Assumptions T15'!$V$3:$W$35,2,FALSE),'RES Techs T15'!$G$3:$U$3,0))</f>
        <v>0.1</v>
      </c>
      <c r="BG36" s="9">
        <f ca="1">OFFSET('RES Techs T15'!$W36,0,MATCH(VLOOKUP('RES Veda input'!BG$3,'RES Assumptions T15'!$V$3:$W$35,2,FALSE),'RES Techs T15'!$G$3:$U$3,0))</f>
        <v>0.1</v>
      </c>
      <c r="BH36" s="9">
        <f ca="1">OFFSET('RES Techs T15'!$W36,0,MATCH(VLOOKUP('RES Veda input'!BH$3,'RES Assumptions T15'!$V$3:$W$35,2,FALSE),'RES Techs T15'!$G$3:$U$3,0))</f>
        <v>0.1</v>
      </c>
      <c r="BI36" s="9">
        <f ca="1">OFFSET('RES Techs T15'!$W36,0,MATCH(VLOOKUP('RES Veda input'!BI$3,'RES Assumptions T15'!$V$3:$W$35,2,FALSE),'RES Techs T15'!$G$3:$U$3,0))</f>
        <v>0.1</v>
      </c>
      <c r="BJ36" s="9">
        <f ca="1">OFFSET('RES Techs T15'!$W36,0,MATCH(VLOOKUP('RES Veda input'!BJ$3,'RES Assumptions T15'!$V$3:$W$35,2,FALSE),'RES Techs T15'!$G$3:$U$3,0))</f>
        <v>0.1</v>
      </c>
      <c r="BK36" s="9">
        <f ca="1">OFFSET('RES Techs T15'!$W36,0,MATCH(VLOOKUP('RES Veda input'!BK$3,'RES Assumptions T15'!$V$3:$W$35,2,FALSE),'RES Techs T15'!$G$3:$U$3,0))</f>
        <v>0.1</v>
      </c>
      <c r="BL36" s="9">
        <f ca="1">OFFSET('RES Techs T15'!$W36,0,MATCH(VLOOKUP('RES Veda input'!BL$3,'RES Assumptions T15'!$V$3:$W$35,2,FALSE),'RES Techs T15'!$G$3:$U$3,0))</f>
        <v>0.1</v>
      </c>
      <c r="BM36" s="9">
        <f ca="1">OFFSET('RES Techs T15'!$W36,0,MATCH(VLOOKUP('RES Veda input'!BM$3,'RES Assumptions T15'!$V$3:$W$35,2,FALSE),'RES Techs T15'!$G$3:$U$3,0))</f>
        <v>0.1</v>
      </c>
      <c r="BN36" s="9">
        <f ca="1">OFFSET('RES Techs T15'!$W36,0,MATCH(VLOOKUP('RES Veda input'!BN$3,'RES Assumptions T15'!$V$3:$W$35,2,FALSE),'RES Techs T15'!$G$3:$U$3,0))</f>
        <v>0.1</v>
      </c>
      <c r="BO36" s="9">
        <f ca="1">OFFSET('RES Techs T15'!$W36,0,MATCH(VLOOKUP('RES Veda input'!BO$3,'RES Assumptions T15'!$V$3:$W$35,2,FALSE),'RES Techs T15'!$G$3:$U$3,0))</f>
        <v>0.1</v>
      </c>
      <c r="BP36" s="9">
        <f ca="1">OFFSET('RES Techs T15'!$W36,0,MATCH(VLOOKUP('RES Veda input'!BP$3,'RES Assumptions T15'!$V$3:$W$35,2,FALSE),'RES Techs T15'!$G$3:$U$3,0))</f>
        <v>0.1</v>
      </c>
      <c r="BR36" s="8" t="str">
        <f t="shared" si="61"/>
        <v>RHWSTH000</v>
      </c>
      <c r="BS36" s="9">
        <f t="shared" ca="1" si="62"/>
        <v>10.8</v>
      </c>
      <c r="BT36" s="9" t="str">
        <f ca="1">IF(OFFSET('RES Techs T15'!$AO36,0,MATCH(VLOOKUP('RES Veda input'!BT$3,'RES Assumptions T15'!$V$3:$W$35,2,FALSE),'RES Techs T15'!$G$3:$U$3,0))=0,"",OFFSET('RES Techs T15'!$AO36,0,MATCH(VLOOKUP('RES Veda input'!BT$3,'RES Assumptions T15'!$V$3:$W$35,2,FALSE),'RES Techs T15'!$G$3:$U$3,0)))</f>
        <v/>
      </c>
      <c r="BU36" s="9" t="str">
        <f ca="1">IF(OFFSET('RES Techs T15'!$AO36,0,MATCH(VLOOKUP('RES Veda input'!BU$3,'RES Assumptions T15'!$V$3:$W$35,2,FALSE),'RES Techs T15'!$G$3:$U$3,0))=0,"",OFFSET('RES Techs T15'!$AO36,0,MATCH(VLOOKUP('RES Veda input'!BU$3,'RES Assumptions T15'!$V$3:$W$35,2,FALSE),'RES Techs T15'!$G$3:$U$3,0)))</f>
        <v/>
      </c>
      <c r="BV36" s="9">
        <f ca="1">IF(OFFSET('RES Techs T15'!$AO36,0,MATCH(VLOOKUP('RES Veda input'!BV$3,'RES Assumptions T15'!$V$3:$W$35,2,FALSE),'RES Techs T15'!$G$3:$U$3,0))=0,"",OFFSET('RES Techs T15'!$AO36,0,MATCH(VLOOKUP('RES Veda input'!BV$3,'RES Assumptions T15'!$V$3:$W$35,2,FALSE),'RES Techs T15'!$G$3:$U$3,0)))</f>
        <v>12.6</v>
      </c>
      <c r="BW36" s="9" t="str">
        <f ca="1">IF(OFFSET('RES Techs T15'!$AO36,0,MATCH(VLOOKUP('RES Veda input'!BW$3,'RES Assumptions T15'!$V$3:$W$35,2,FALSE),'RES Techs T15'!$G$3:$U$3,0))=0,"",OFFSET('RES Techs T15'!$AO36,0,MATCH(VLOOKUP('RES Veda input'!BW$3,'RES Assumptions T15'!$V$3:$W$35,2,FALSE),'RES Techs T15'!$G$3:$U$3,0)))</f>
        <v/>
      </c>
      <c r="BX36" s="9">
        <f ca="1">IF(OFFSET('RES Techs T15'!$AO36,0,MATCH(VLOOKUP('RES Veda input'!BX$3,'RES Assumptions T15'!$V$3:$W$35,2,FALSE),'RES Techs T15'!$G$3:$U$3,0))=0,"",OFFSET('RES Techs T15'!$AO36,0,MATCH(VLOOKUP('RES Veda input'!BX$3,'RES Assumptions T15'!$V$3:$W$35,2,FALSE),'RES Techs T15'!$G$3:$U$3,0)))</f>
        <v>18</v>
      </c>
      <c r="BY36" s="9">
        <f ca="1">IF(OFFSET('RES Techs T15'!$AO36,0,MATCH(VLOOKUP('RES Veda input'!BY$3,'RES Assumptions T15'!$V$3:$W$35,2,FALSE),'RES Techs T15'!$G$3:$U$3,0))=0,"",OFFSET('RES Techs T15'!$AO36,0,MATCH(VLOOKUP('RES Veda input'!BY$3,'RES Assumptions T15'!$V$3:$W$35,2,FALSE),'RES Techs T15'!$G$3:$U$3,0)))</f>
        <v>10.8</v>
      </c>
      <c r="BZ36" s="9" t="str">
        <f ca="1">IF(OFFSET('RES Techs T15'!$AO36,0,MATCH(VLOOKUP('RES Veda input'!BZ$3,'RES Assumptions T15'!$V$3:$W$35,2,FALSE),'RES Techs T15'!$G$3:$U$3,0))=0,"",OFFSET('RES Techs T15'!$AO36,0,MATCH(VLOOKUP('RES Veda input'!BZ$3,'RES Assumptions T15'!$V$3:$W$35,2,FALSE),'RES Techs T15'!$G$3:$U$3,0)))</f>
        <v/>
      </c>
      <c r="CA36" s="9">
        <f ca="1">IF(OFFSET('RES Techs T15'!$AO36,0,MATCH(VLOOKUP('RES Veda input'!CA$3,'RES Assumptions T15'!$V$3:$W$35,2,FALSE),'RES Techs T15'!$G$3:$U$3,0))=0,"",OFFSET('RES Techs T15'!$AO36,0,MATCH(VLOOKUP('RES Veda input'!CA$3,'RES Assumptions T15'!$V$3:$W$35,2,FALSE),'RES Techs T15'!$G$3:$U$3,0)))</f>
        <v>12.6</v>
      </c>
      <c r="CB36" s="9" t="str">
        <f ca="1">IF(OFFSET('RES Techs T15'!$AO36,0,MATCH(VLOOKUP('RES Veda input'!CB$3,'RES Assumptions T15'!$V$3:$W$35,2,FALSE),'RES Techs T15'!$G$3:$U$3,0))=0,"",OFFSET('RES Techs T15'!$AO36,0,MATCH(VLOOKUP('RES Veda input'!CB$3,'RES Assumptions T15'!$V$3:$W$35,2,FALSE),'RES Techs T15'!$G$3:$U$3,0)))</f>
        <v/>
      </c>
      <c r="CC36" s="9" t="str">
        <f ca="1">IF(OFFSET('RES Techs T15'!$AO36,0,MATCH(VLOOKUP('RES Veda input'!CC$3,'RES Assumptions T15'!$V$3:$W$35,2,FALSE),'RES Techs T15'!$G$3:$U$3,0))=0,"",OFFSET('RES Techs T15'!$AO36,0,MATCH(VLOOKUP('RES Veda input'!CC$3,'RES Assumptions T15'!$V$3:$W$35,2,FALSE),'RES Techs T15'!$G$3:$U$3,0)))</f>
        <v/>
      </c>
      <c r="CD36" s="9" t="str">
        <f ca="1">IF(OFFSET('RES Techs T15'!$AO36,0,MATCH(VLOOKUP('RES Veda input'!CD$3,'RES Assumptions T15'!$V$3:$W$35,2,FALSE),'RES Techs T15'!$G$3:$U$3,0))=0,"",OFFSET('RES Techs T15'!$AO36,0,MATCH(VLOOKUP('RES Veda input'!CD$3,'RES Assumptions T15'!$V$3:$W$35,2,FALSE),'RES Techs T15'!$G$3:$U$3,0)))</f>
        <v/>
      </c>
      <c r="CE36" s="9" t="str">
        <f ca="1">IF(OFFSET('RES Techs T15'!$AO36,0,MATCH(VLOOKUP('RES Veda input'!CE$3,'RES Assumptions T15'!$V$3:$W$35,2,FALSE),'RES Techs T15'!$G$3:$U$3,0))=0,"",OFFSET('RES Techs T15'!$AO36,0,MATCH(VLOOKUP('RES Veda input'!CE$3,'RES Assumptions T15'!$V$3:$W$35,2,FALSE),'RES Techs T15'!$G$3:$U$3,0)))</f>
        <v/>
      </c>
      <c r="CF36" s="9" t="str">
        <f ca="1">IF(OFFSET('RES Techs T15'!$AO36,0,MATCH(VLOOKUP('RES Veda input'!CF$3,'RES Assumptions T15'!$V$3:$W$35,2,FALSE),'RES Techs T15'!$G$3:$U$3,0))=0,"",OFFSET('RES Techs T15'!$AO36,0,MATCH(VLOOKUP('RES Veda input'!CF$3,'RES Assumptions T15'!$V$3:$W$35,2,FALSE),'RES Techs T15'!$G$3:$U$3,0)))</f>
        <v/>
      </c>
      <c r="CG36" s="9" t="str">
        <f ca="1">IF(OFFSET('RES Techs T15'!$AO36,0,MATCH(VLOOKUP('RES Veda input'!CG$3,'RES Assumptions T15'!$V$3:$W$35,2,FALSE),'RES Techs T15'!$G$3:$U$3,0))=0,"",OFFSET('RES Techs T15'!$AO36,0,MATCH(VLOOKUP('RES Veda input'!CG$3,'RES Assumptions T15'!$V$3:$W$35,2,FALSE),'RES Techs T15'!$G$3:$U$3,0)))</f>
        <v/>
      </c>
      <c r="CH36" s="9" t="str">
        <f ca="1">IF(OFFSET('RES Techs T15'!$AO36,0,MATCH(VLOOKUP('RES Veda input'!CH$3,'RES Assumptions T15'!$V$3:$W$35,2,FALSE),'RES Techs T15'!$G$3:$U$3,0))=0,"",OFFSET('RES Techs T15'!$AO36,0,MATCH(VLOOKUP('RES Veda input'!CH$3,'RES Assumptions T15'!$V$3:$W$35,2,FALSE),'RES Techs T15'!$G$3:$U$3,0)))</f>
        <v/>
      </c>
      <c r="CI36" s="9" t="str">
        <f ca="1">IF(OFFSET('RES Techs T15'!$AO36,0,MATCH(VLOOKUP('RES Veda input'!CI$3,'RES Assumptions T15'!$V$3:$W$35,2,FALSE),'RES Techs T15'!$G$3:$U$3,0))=0,"",OFFSET('RES Techs T15'!$AO36,0,MATCH(VLOOKUP('RES Veda input'!CI$3,'RES Assumptions T15'!$V$3:$W$35,2,FALSE),'RES Techs T15'!$G$3:$U$3,0)))</f>
        <v/>
      </c>
      <c r="CJ36" s="9">
        <f ca="1">IF(OFFSET('RES Techs T15'!$AO36,0,MATCH(VLOOKUP('RES Veda input'!CJ$3,'RES Assumptions T15'!$V$3:$W$35,2,FALSE),'RES Techs T15'!$G$3:$U$3,0))=0,"",OFFSET('RES Techs T15'!$AO36,0,MATCH(VLOOKUP('RES Veda input'!CJ$3,'RES Assumptions T15'!$V$3:$W$35,2,FALSE),'RES Techs T15'!$G$3:$U$3,0)))</f>
        <v>12.6</v>
      </c>
      <c r="CK36" s="9" t="str">
        <f ca="1">IF(OFFSET('RES Techs T15'!$AO36,0,MATCH(VLOOKUP('RES Veda input'!CK$3,'RES Assumptions T15'!$V$3:$W$35,2,FALSE),'RES Techs T15'!$G$3:$U$3,0))=0,"",OFFSET('RES Techs T15'!$AO36,0,MATCH(VLOOKUP('RES Veda input'!CK$3,'RES Assumptions T15'!$V$3:$W$35,2,FALSE),'RES Techs T15'!$G$3:$U$3,0)))</f>
        <v/>
      </c>
      <c r="CL36" s="9" t="str">
        <f ca="1">IF(OFFSET('RES Techs T15'!$AO36,0,MATCH(VLOOKUP('RES Veda input'!CL$3,'RES Assumptions T15'!$V$3:$W$35,2,FALSE),'RES Techs T15'!$G$3:$U$3,0))=0,"",OFFSET('RES Techs T15'!$AO36,0,MATCH(VLOOKUP('RES Veda input'!CL$3,'RES Assumptions T15'!$V$3:$W$35,2,FALSE),'RES Techs T15'!$G$3:$U$3,0)))</f>
        <v/>
      </c>
      <c r="CM36" s="9">
        <f ca="1">IF(OFFSET('RES Techs T15'!$AO36,0,MATCH(VLOOKUP('RES Veda input'!CM$3,'RES Assumptions T15'!$V$3:$W$35,2,FALSE),'RES Techs T15'!$G$3:$U$3,0))=0,"",OFFSET('RES Techs T15'!$AO36,0,MATCH(VLOOKUP('RES Veda input'!CM$3,'RES Assumptions T15'!$V$3:$W$35,2,FALSE),'RES Techs T15'!$G$3:$U$3,0)))</f>
        <v>10.8</v>
      </c>
      <c r="CN36" s="9">
        <f ca="1">IF(OFFSET('RES Techs T15'!$AO36,0,MATCH(VLOOKUP('RES Veda input'!CN$3,'RES Assumptions T15'!$V$3:$W$35,2,FALSE),'RES Techs T15'!$G$3:$U$3,0))=0,"",OFFSET('RES Techs T15'!$AO36,0,MATCH(VLOOKUP('RES Veda input'!CN$3,'RES Assumptions T15'!$V$3:$W$35,2,FALSE),'RES Techs T15'!$G$3:$U$3,0)))</f>
        <v>12.6</v>
      </c>
      <c r="CO36" s="9">
        <f ca="1">IF(OFFSET('RES Techs T15'!$AO36,0,MATCH(VLOOKUP('RES Veda input'!CO$3,'RES Assumptions T15'!$V$3:$W$35,2,FALSE),'RES Techs T15'!$G$3:$U$3,0))=0,"",OFFSET('RES Techs T15'!$AO36,0,MATCH(VLOOKUP('RES Veda input'!CO$3,'RES Assumptions T15'!$V$3:$W$35,2,FALSE),'RES Techs T15'!$G$3:$U$3,0)))</f>
        <v>14.4</v>
      </c>
      <c r="CP36" s="9">
        <f ca="1">IF(OFFSET('RES Techs T15'!$AO36,0,MATCH(VLOOKUP('RES Veda input'!CP$3,'RES Assumptions T15'!$V$3:$W$35,2,FALSE),'RES Techs T15'!$G$3:$U$3,0))=0,"",OFFSET('RES Techs T15'!$AO36,0,MATCH(VLOOKUP('RES Veda input'!CP$3,'RES Assumptions T15'!$V$3:$W$35,2,FALSE),'RES Techs T15'!$G$3:$U$3,0)))</f>
        <v>12.6</v>
      </c>
      <c r="CQ36" s="9" t="str">
        <f ca="1">IF(OFFSET('RES Techs T15'!$AO36,0,MATCH(VLOOKUP('RES Veda input'!CQ$3,'RES Assumptions T15'!$V$3:$W$35,2,FALSE),'RES Techs T15'!$G$3:$U$3,0))=0,"",OFFSET('RES Techs T15'!$AO36,0,MATCH(VLOOKUP('RES Veda input'!CQ$3,'RES Assumptions T15'!$V$3:$W$35,2,FALSE),'RES Techs T15'!$G$3:$U$3,0)))</f>
        <v/>
      </c>
      <c r="CR36" s="9" t="str">
        <f ca="1">IF(OFFSET('RES Techs T15'!$AO36,0,MATCH(VLOOKUP('RES Veda input'!CR$3,'RES Assumptions T15'!$V$3:$W$35,2,FALSE),'RES Techs T15'!$G$3:$U$3,0))=0,"",OFFSET('RES Techs T15'!$AO36,0,MATCH(VLOOKUP('RES Veda input'!CR$3,'RES Assumptions T15'!$V$3:$W$35,2,FALSE),'RES Techs T15'!$G$3:$U$3,0)))</f>
        <v/>
      </c>
      <c r="CS36" s="9">
        <f ca="1">IF(OFFSET('RES Techs T15'!$AO36,0,MATCH(VLOOKUP('RES Veda input'!CS$3,'RES Assumptions T15'!$V$3:$W$35,2,FALSE),'RES Techs T15'!$G$3:$U$3,0))=0,"",OFFSET('RES Techs T15'!$AO36,0,MATCH(VLOOKUP('RES Veda input'!CS$3,'RES Assumptions T15'!$V$3:$W$35,2,FALSE),'RES Techs T15'!$G$3:$U$3,0)))</f>
        <v>12.6</v>
      </c>
      <c r="CT36" s="9" t="str">
        <f ca="1">IF(OFFSET('RES Techs T15'!$AO36,0,MATCH(VLOOKUP('RES Veda input'!CT$3,'RES Assumptions T15'!$V$3:$W$35,2,FALSE),'RES Techs T15'!$G$3:$U$3,0))=0,"",OFFSET('RES Techs T15'!$AO36,0,MATCH(VLOOKUP('RES Veda input'!CT$3,'RES Assumptions T15'!$V$3:$W$35,2,FALSE),'RES Techs T15'!$G$3:$U$3,0)))</f>
        <v/>
      </c>
      <c r="CU36" s="9" t="str">
        <f ca="1">IF(OFFSET('RES Techs T15'!$AO36,0,MATCH(VLOOKUP('RES Veda input'!CU$3,'RES Assumptions T15'!$V$3:$W$35,2,FALSE),'RES Techs T15'!$G$3:$U$3,0))=0,"",OFFSET('RES Techs T15'!$AO36,0,MATCH(VLOOKUP('RES Veda input'!CU$3,'RES Assumptions T15'!$V$3:$W$35,2,FALSE),'RES Techs T15'!$G$3:$U$3,0)))</f>
        <v/>
      </c>
      <c r="CV36" s="9">
        <f ca="1">IF(OFFSET('RES Techs T15'!$AO36,0,MATCH(VLOOKUP('RES Veda input'!CV$3,'RES Assumptions T15'!$V$3:$W$35,2,FALSE),'RES Techs T15'!$G$3:$U$3,0))=0,"",OFFSET('RES Techs T15'!$AO36,0,MATCH(VLOOKUP('RES Veda input'!CV$3,'RES Assumptions T15'!$V$3:$W$35,2,FALSE),'RES Techs T15'!$G$3:$U$3,0)))</f>
        <v>1.64</v>
      </c>
      <c r="CW36" s="9">
        <f ca="1">IF(OFFSET('RES Techs T15'!$AO36,0,MATCH(VLOOKUP('RES Veda input'!CW$3,'RES Assumptions T15'!$V$3:$W$35,2,FALSE),'RES Techs T15'!$G$3:$U$3,0))=0,"",OFFSET('RES Techs T15'!$AO36,0,MATCH(VLOOKUP('RES Veda input'!CW$3,'RES Assumptions T15'!$V$3:$W$35,2,FALSE),'RES Techs T15'!$G$3:$U$3,0)))</f>
        <v>1.64</v>
      </c>
      <c r="CY36" s="8" t="str">
        <f t="shared" si="63"/>
        <v>RHWSTH000</v>
      </c>
      <c r="CZ36" s="10">
        <f ca="1">ROUND('RES Assumptions'!E119*'RES Veda input'!G36/'RES Veda input'!AM36,3)</f>
        <v>24.617999999999999</v>
      </c>
      <c r="DA36" s="10">
        <f ca="1">ROUND('RES Assumptions'!F119*'RES Veda input'!H36/'RES Veda input'!AN36,3)</f>
        <v>0</v>
      </c>
      <c r="DB36" s="10">
        <f ca="1">ROUND('RES Assumptions'!G119*'RES Veda input'!I36/'RES Veda input'!AO36,3)</f>
        <v>0</v>
      </c>
      <c r="DC36" s="10">
        <f ca="1">ROUND('RES Assumptions'!H119*'RES Veda input'!J36/'RES Veda input'!AP36,3)</f>
        <v>1.825</v>
      </c>
      <c r="DD36" s="10">
        <f ca="1">ROUND('RES Assumptions'!I119*'RES Veda input'!K36/'RES Veda input'!AQ36,3)</f>
        <v>78.228999999999999</v>
      </c>
      <c r="DE36" s="10">
        <f ca="1">ROUND('RES Assumptions'!J119*'RES Veda input'!L36/'RES Veda input'!AR36,3)</f>
        <v>36.994999999999997</v>
      </c>
      <c r="DF36" s="10">
        <f ca="1">ROUND('RES Assumptions'!K119*'RES Veda input'!M36/'RES Veda input'!AS36,3)</f>
        <v>133.73699999999999</v>
      </c>
      <c r="DG36" s="10">
        <f ca="1">ROUND('RES Assumptions'!L119*'RES Veda input'!N36/'RES Veda input'!AT36,3)</f>
        <v>0</v>
      </c>
      <c r="DH36" s="10">
        <f ca="1">ROUND('RES Assumptions'!M119*'RES Veda input'!O36/'RES Veda input'!AU36,3)</f>
        <v>0</v>
      </c>
      <c r="DI36" s="10">
        <f ca="1">ROUND('RES Assumptions'!N119*'RES Veda input'!P36/'RES Veda input'!AV36,3)</f>
        <v>8786.8799999999992</v>
      </c>
      <c r="DJ36" s="10">
        <f ca="1">ROUND('RES Assumptions'!O119*'RES Veda input'!Q36/'RES Veda input'!AW36,3)</f>
        <v>10.563000000000001</v>
      </c>
      <c r="DK36" s="10">
        <f ca="1">ROUND('RES Assumptions'!P119*'RES Veda input'!R36/'RES Veda input'!AX36,3)</f>
        <v>83.707999999999998</v>
      </c>
      <c r="DL36" s="10">
        <f ca="1">ROUND('RES Assumptions'!Q119*'RES Veda input'!S36/'RES Veda input'!AY36,3)</f>
        <v>26.306999999999999</v>
      </c>
      <c r="DM36" s="10">
        <f ca="1">ROUND('RES Assumptions'!R119*'RES Veda input'!T36/'RES Veda input'!AZ36,3)</f>
        <v>213.285</v>
      </c>
      <c r="DN36" s="10">
        <f ca="1">ROUND('RES Assumptions'!S119*'RES Veda input'!U36/'RES Veda input'!BA36,3)</f>
        <v>19.036999999999999</v>
      </c>
      <c r="DO36" s="10">
        <f ca="1">ROUND('RES Assumptions'!T119*'RES Veda input'!V36/'RES Veda input'!BB36,3)</f>
        <v>130.608</v>
      </c>
      <c r="DP36" s="10">
        <f ca="1">ROUND('RES Assumptions'!U119*'RES Veda input'!W36/'RES Veda input'!BC36,3)</f>
        <v>249.63499999999999</v>
      </c>
      <c r="DQ36" s="10">
        <f ca="1">ROUND('RES Assumptions'!V119*'RES Veda input'!X36/'RES Veda input'!BD36,3)</f>
        <v>71.510000000000005</v>
      </c>
      <c r="DR36" s="10">
        <f ca="1">ROUND('RES Assumptions'!W119*'RES Veda input'!Y36/'RES Veda input'!BE36,3)</f>
        <v>292.11</v>
      </c>
      <c r="DS36" s="10">
        <f ca="1">ROUND('RES Assumptions'!X119*'RES Veda input'!Z36/'RES Veda input'!BF36,3)</f>
        <v>370.15600000000001</v>
      </c>
      <c r="DT36" s="10">
        <f ca="1">ROUND('RES Assumptions'!Y119*'RES Veda input'!AA36/'RES Veda input'!BG36,3)</f>
        <v>12.074999999999999</v>
      </c>
      <c r="DU36" s="10">
        <f ca="1">ROUND('RES Assumptions'!Z119*'RES Veda input'!AB36/'RES Veda input'!BH36,3)</f>
        <v>78.849999999999994</v>
      </c>
      <c r="DV36" s="10">
        <f ca="1">ROUND('RES Assumptions'!AA119*'RES Veda input'!AC36/'RES Veda input'!BI36,3)</f>
        <v>232.67099999999999</v>
      </c>
      <c r="DW36" s="10">
        <f ca="1">ROUND('RES Assumptions'!AB119*'RES Veda input'!AD36/'RES Veda input'!BJ36,3)</f>
        <v>0</v>
      </c>
      <c r="DX36" s="10">
        <f ca="1">ROUND('RES Assumptions'!AC119*'RES Veda input'!AE36/'RES Veda input'!BK36,3)</f>
        <v>0</v>
      </c>
      <c r="DY36" s="10">
        <f ca="1">ROUND('RES Assumptions'!AD119*'RES Veda input'!AF36/'RES Veda input'!BL36,3)</f>
        <v>0</v>
      </c>
      <c r="DZ36" s="10">
        <f ca="1">ROUND('RES Assumptions'!AE119*'RES Veda input'!AG36/'RES Veda input'!BM36,3)</f>
        <v>0</v>
      </c>
      <c r="EA36" s="10">
        <f ca="1">ROUND('RES Assumptions'!AF119*'RES Veda input'!AH36/'RES Veda input'!BN36,3)</f>
        <v>15.13</v>
      </c>
      <c r="EB36" s="10">
        <f ca="1">ROUND('RES Assumptions'!AG119*'RES Veda input'!AI36/'RES Veda input'!BO36,3)</f>
        <v>373.899</v>
      </c>
      <c r="EC36" s="10">
        <f ca="1">ROUND('RES Assumptions'!AH119*'RES Veda input'!AJ36/'RES Veda input'!BP36,3)</f>
        <v>0</v>
      </c>
      <c r="ED36">
        <v>20</v>
      </c>
      <c r="EG36" t="s">
        <v>281</v>
      </c>
      <c r="EH36" t="str">
        <f t="shared" si="64"/>
        <v>RHWSTH000</v>
      </c>
      <c r="EJ36" t="s">
        <v>282</v>
      </c>
      <c r="EK36" t="s">
        <v>283</v>
      </c>
    </row>
    <row r="37" spans="1:141" x14ac:dyDescent="0.45">
      <c r="A37" s="37" t="str">
        <f>'RES Assumptions'!B120</f>
        <v>RK</v>
      </c>
      <c r="B37" s="37" t="s">
        <v>146</v>
      </c>
      <c r="D37" s="51" t="s">
        <v>302</v>
      </c>
      <c r="E37" s="8" t="str">
        <f>'RES Assumptions'!A120</f>
        <v>RESBIO</v>
      </c>
      <c r="F37" s="8" t="str">
        <f>VLOOKUP(A37,'RES Assumptions'!$AN$87:$AO$97,2,FALSE)</f>
        <v>RCK</v>
      </c>
      <c r="G37" s="9">
        <f ca="1">OFFSET('RES Techs T15'!$F37,0,MATCH(VLOOKUP('RES Veda input'!G$3,'RES Assumptions T15'!$V$3:$W$35,2,FALSE),'RES Techs T15'!$G$3:$U$3,0))</f>
        <v>0.2</v>
      </c>
      <c r="H37" s="9">
        <f ca="1">OFFSET('RES Techs T15'!$F37,0,MATCH(VLOOKUP('RES Veda input'!H$3,'RES Assumptions T15'!$V$3:$W$35,2,FALSE),'RES Techs T15'!$G$3:$U$3,0))</f>
        <v>0.2</v>
      </c>
      <c r="I37" s="9">
        <f ca="1">OFFSET('RES Techs T15'!$F37,0,MATCH(VLOOKUP('RES Veda input'!I$3,'RES Assumptions T15'!$V$3:$W$35,2,FALSE),'RES Techs T15'!$G$3:$U$3,0))</f>
        <v>0.2</v>
      </c>
      <c r="J37" s="9">
        <f ca="1">OFFSET('RES Techs T15'!$F37,0,MATCH(VLOOKUP('RES Veda input'!J$3,'RES Assumptions T15'!$V$3:$W$35,2,FALSE),'RES Techs T15'!$G$3:$U$3,0))</f>
        <v>0.2</v>
      </c>
      <c r="K37" s="9">
        <f ca="1">OFFSET('RES Techs T15'!$F37,0,MATCH(VLOOKUP('RES Veda input'!K$3,'RES Assumptions T15'!$V$3:$W$35,2,FALSE),'RES Techs T15'!$G$3:$U$3,0))</f>
        <v>0.2</v>
      </c>
      <c r="L37" s="9">
        <f ca="1">OFFSET('RES Techs T15'!$F37,0,MATCH(VLOOKUP('RES Veda input'!L$3,'RES Assumptions T15'!$V$3:$W$35,2,FALSE),'RES Techs T15'!$G$3:$U$3,0))</f>
        <v>0.2</v>
      </c>
      <c r="M37" s="9">
        <f ca="1">OFFSET('RES Techs T15'!$F37,0,MATCH(VLOOKUP('RES Veda input'!M$3,'RES Assumptions T15'!$V$3:$W$35,2,FALSE),'RES Techs T15'!$G$3:$U$3,0))</f>
        <v>0.2</v>
      </c>
      <c r="N37" s="9">
        <f ca="1">OFFSET('RES Techs T15'!$F37,0,MATCH(VLOOKUP('RES Veda input'!N$3,'RES Assumptions T15'!$V$3:$W$35,2,FALSE),'RES Techs T15'!$G$3:$U$3,0))</f>
        <v>0.2</v>
      </c>
      <c r="O37" s="9">
        <f ca="1">OFFSET('RES Techs T15'!$F37,0,MATCH(VLOOKUP('RES Veda input'!O$3,'RES Assumptions T15'!$V$3:$W$35,2,FALSE),'RES Techs T15'!$G$3:$U$3,0))</f>
        <v>0.2</v>
      </c>
      <c r="P37" s="9">
        <f ca="1">OFFSET('RES Techs T15'!$F37,0,MATCH(VLOOKUP('RES Veda input'!P$3,'RES Assumptions T15'!$V$3:$W$35,2,FALSE),'RES Techs T15'!$G$3:$U$3,0))</f>
        <v>0.2</v>
      </c>
      <c r="Q37" s="9">
        <f ca="1">OFFSET('RES Techs T15'!$F37,0,MATCH(VLOOKUP('RES Veda input'!Q$3,'RES Assumptions T15'!$V$3:$W$35,2,FALSE),'RES Techs T15'!$G$3:$U$3,0))</f>
        <v>0.2</v>
      </c>
      <c r="R37" s="9">
        <f ca="1">OFFSET('RES Techs T15'!$F37,0,MATCH(VLOOKUP('RES Veda input'!R$3,'RES Assumptions T15'!$V$3:$W$35,2,FALSE),'RES Techs T15'!$G$3:$U$3,0))</f>
        <v>0.2</v>
      </c>
      <c r="S37" s="9">
        <f ca="1">OFFSET('RES Techs T15'!$F37,0,MATCH(VLOOKUP('RES Veda input'!S$3,'RES Assumptions T15'!$V$3:$W$35,2,FALSE),'RES Techs T15'!$G$3:$U$3,0))</f>
        <v>0.2</v>
      </c>
      <c r="T37" s="9">
        <f ca="1">OFFSET('RES Techs T15'!$F37,0,MATCH(VLOOKUP('RES Veda input'!T$3,'RES Assumptions T15'!$V$3:$W$35,2,FALSE),'RES Techs T15'!$G$3:$U$3,0))</f>
        <v>0.2</v>
      </c>
      <c r="U37" s="9">
        <f ca="1">OFFSET('RES Techs T15'!$F37,0,MATCH(VLOOKUP('RES Veda input'!U$3,'RES Assumptions T15'!$V$3:$W$35,2,FALSE),'RES Techs T15'!$G$3:$U$3,0))</f>
        <v>0.2</v>
      </c>
      <c r="V37" s="9">
        <f ca="1">OFFSET('RES Techs T15'!$F37,0,MATCH(VLOOKUP('RES Veda input'!V$3,'RES Assumptions T15'!$V$3:$W$35,2,FALSE),'RES Techs T15'!$G$3:$U$3,0))</f>
        <v>0.2</v>
      </c>
      <c r="W37" s="9">
        <f ca="1">OFFSET('RES Techs T15'!$F37,0,MATCH(VLOOKUP('RES Veda input'!W$3,'RES Assumptions T15'!$V$3:$W$35,2,FALSE),'RES Techs T15'!$G$3:$U$3,0))</f>
        <v>0.2</v>
      </c>
      <c r="X37" s="9">
        <f ca="1">OFFSET('RES Techs T15'!$F37,0,MATCH(VLOOKUP('RES Veda input'!X$3,'RES Assumptions T15'!$V$3:$W$35,2,FALSE),'RES Techs T15'!$G$3:$U$3,0))</f>
        <v>0.2</v>
      </c>
      <c r="Y37" s="9">
        <f ca="1">OFFSET('RES Techs T15'!$F37,0,MATCH(VLOOKUP('RES Veda input'!Y$3,'RES Assumptions T15'!$V$3:$W$35,2,FALSE),'RES Techs T15'!$G$3:$U$3,0))</f>
        <v>0.2</v>
      </c>
      <c r="Z37" s="9">
        <f ca="1">OFFSET('RES Techs T15'!$F37,0,MATCH(VLOOKUP('RES Veda input'!Z$3,'RES Assumptions T15'!$V$3:$W$35,2,FALSE),'RES Techs T15'!$G$3:$U$3,0))</f>
        <v>0.2</v>
      </c>
      <c r="AA37" s="9">
        <f ca="1">OFFSET('RES Techs T15'!$F37,0,MATCH(VLOOKUP('RES Veda input'!AA$3,'RES Assumptions T15'!$V$3:$W$35,2,FALSE),'RES Techs T15'!$G$3:$U$3,0))</f>
        <v>0.2</v>
      </c>
      <c r="AB37" s="9">
        <f ca="1">OFFSET('RES Techs T15'!$F37,0,MATCH(VLOOKUP('RES Veda input'!AB$3,'RES Assumptions T15'!$V$3:$W$35,2,FALSE),'RES Techs T15'!$G$3:$U$3,0))</f>
        <v>0.2</v>
      </c>
      <c r="AC37" s="9">
        <f ca="1">OFFSET('RES Techs T15'!$F37,0,MATCH(VLOOKUP('RES Veda input'!AC$3,'RES Assumptions T15'!$V$3:$W$35,2,FALSE),'RES Techs T15'!$G$3:$U$3,0))</f>
        <v>0.2</v>
      </c>
      <c r="AD37" s="9">
        <f ca="1">OFFSET('RES Techs T15'!$F37,0,MATCH(VLOOKUP('RES Veda input'!AD$3,'RES Assumptions T15'!$V$3:$W$35,2,FALSE),'RES Techs T15'!$G$3:$U$3,0))</f>
        <v>0.2</v>
      </c>
      <c r="AE37" s="9">
        <f ca="1">OFFSET('RES Techs T15'!$F37,0,MATCH(VLOOKUP('RES Veda input'!AE$3,'RES Assumptions T15'!$V$3:$W$35,2,FALSE),'RES Techs T15'!$G$3:$U$3,0))</f>
        <v>0.2</v>
      </c>
      <c r="AF37" s="9">
        <f ca="1">OFFSET('RES Techs T15'!$F37,0,MATCH(VLOOKUP('RES Veda input'!AF$3,'RES Assumptions T15'!$V$3:$W$35,2,FALSE),'RES Techs T15'!$G$3:$U$3,0))</f>
        <v>0.2</v>
      </c>
      <c r="AG37" s="9">
        <f ca="1">OFFSET('RES Techs T15'!$F37,0,MATCH(VLOOKUP('RES Veda input'!AG$3,'RES Assumptions T15'!$V$3:$W$35,2,FALSE),'RES Techs T15'!$G$3:$U$3,0))</f>
        <v>0.2</v>
      </c>
      <c r="AH37" s="9">
        <f ca="1">OFFSET('RES Techs T15'!$F37,0,MATCH(VLOOKUP('RES Veda input'!AH$3,'RES Assumptions T15'!$V$3:$W$35,2,FALSE),'RES Techs T15'!$G$3:$U$3,0))</f>
        <v>0.2</v>
      </c>
      <c r="AI37" s="9">
        <f ca="1">OFFSET('RES Techs T15'!$F37,0,MATCH(VLOOKUP('RES Veda input'!AI$3,'RES Assumptions T15'!$V$3:$W$35,2,FALSE),'RES Techs T15'!$G$3:$U$3,0))</f>
        <v>0.2</v>
      </c>
      <c r="AJ37" s="9">
        <f ca="1">OFFSET('RES Techs T15'!$F37,0,MATCH(VLOOKUP('RES Veda input'!AJ$3,'RES Assumptions T15'!$V$3:$W$35,2,FALSE),'RES Techs T15'!$G$3:$U$3,0))</f>
        <v>0.2</v>
      </c>
      <c r="AL37" s="8" t="str">
        <f t="shared" si="60"/>
        <v>RCKBIO000</v>
      </c>
      <c r="AM37" s="9">
        <f ca="1">OFFSET('RES Techs T15'!$W37,0,MATCH(VLOOKUP('RES Veda input'!AM$3,'RES Assumptions T15'!$V$3:$W$35,2,FALSE),'RES Techs T15'!$G$3:$U$3,0))</f>
        <v>1</v>
      </c>
      <c r="AN37" s="9">
        <f ca="1">OFFSET('RES Techs T15'!$W37,0,MATCH(VLOOKUP('RES Veda input'!AN$3,'RES Assumptions T15'!$V$3:$W$35,2,FALSE),'RES Techs T15'!$G$3:$U$3,0))</f>
        <v>1</v>
      </c>
      <c r="AO37" s="9">
        <f ca="1">OFFSET('RES Techs T15'!$W37,0,MATCH(VLOOKUP('RES Veda input'!AO$3,'RES Assumptions T15'!$V$3:$W$35,2,FALSE),'RES Techs T15'!$G$3:$U$3,0))</f>
        <v>1</v>
      </c>
      <c r="AP37" s="9">
        <f ca="1">OFFSET('RES Techs T15'!$W37,0,MATCH(VLOOKUP('RES Veda input'!AP$3,'RES Assumptions T15'!$V$3:$W$35,2,FALSE),'RES Techs T15'!$G$3:$U$3,0))</f>
        <v>1</v>
      </c>
      <c r="AQ37" s="9">
        <f ca="1">OFFSET('RES Techs T15'!$W37,0,MATCH(VLOOKUP('RES Veda input'!AQ$3,'RES Assumptions T15'!$V$3:$W$35,2,FALSE),'RES Techs T15'!$G$3:$U$3,0))</f>
        <v>1</v>
      </c>
      <c r="AR37" s="9">
        <f ca="1">OFFSET('RES Techs T15'!$W37,0,MATCH(VLOOKUP('RES Veda input'!AR$3,'RES Assumptions T15'!$V$3:$W$35,2,FALSE),'RES Techs T15'!$G$3:$U$3,0))</f>
        <v>1</v>
      </c>
      <c r="AS37" s="9">
        <f ca="1">OFFSET('RES Techs T15'!$W37,0,MATCH(VLOOKUP('RES Veda input'!AS$3,'RES Assumptions T15'!$V$3:$W$35,2,FALSE),'RES Techs T15'!$G$3:$U$3,0))</f>
        <v>1</v>
      </c>
      <c r="AT37" s="9">
        <f ca="1">OFFSET('RES Techs T15'!$W37,0,MATCH(VLOOKUP('RES Veda input'!AT$3,'RES Assumptions T15'!$V$3:$W$35,2,FALSE),'RES Techs T15'!$G$3:$U$3,0))</f>
        <v>1</v>
      </c>
      <c r="AU37" s="9">
        <f ca="1">OFFSET('RES Techs T15'!$W37,0,MATCH(VLOOKUP('RES Veda input'!AU$3,'RES Assumptions T15'!$V$3:$W$35,2,FALSE),'RES Techs T15'!$G$3:$U$3,0))</f>
        <v>1</v>
      </c>
      <c r="AV37" s="9">
        <f ca="1">OFFSET('RES Techs T15'!$W37,0,MATCH(VLOOKUP('RES Veda input'!AV$3,'RES Assumptions T15'!$V$3:$W$35,2,FALSE),'RES Techs T15'!$G$3:$U$3,0))</f>
        <v>1</v>
      </c>
      <c r="AW37" s="9">
        <f ca="1">OFFSET('RES Techs T15'!$W37,0,MATCH(VLOOKUP('RES Veda input'!AW$3,'RES Assumptions T15'!$V$3:$W$35,2,FALSE),'RES Techs T15'!$G$3:$U$3,0))</f>
        <v>1</v>
      </c>
      <c r="AX37" s="9">
        <f ca="1">OFFSET('RES Techs T15'!$W37,0,MATCH(VLOOKUP('RES Veda input'!AX$3,'RES Assumptions T15'!$V$3:$W$35,2,FALSE),'RES Techs T15'!$G$3:$U$3,0))</f>
        <v>1</v>
      </c>
      <c r="AY37" s="9">
        <f ca="1">OFFSET('RES Techs T15'!$W37,0,MATCH(VLOOKUP('RES Veda input'!AY$3,'RES Assumptions T15'!$V$3:$W$35,2,FALSE),'RES Techs T15'!$G$3:$U$3,0))</f>
        <v>1</v>
      </c>
      <c r="AZ37" s="9">
        <f ca="1">OFFSET('RES Techs T15'!$W37,0,MATCH(VLOOKUP('RES Veda input'!AZ$3,'RES Assumptions T15'!$V$3:$W$35,2,FALSE),'RES Techs T15'!$G$3:$U$3,0))</f>
        <v>1</v>
      </c>
      <c r="BA37" s="9">
        <f ca="1">OFFSET('RES Techs T15'!$W37,0,MATCH(VLOOKUP('RES Veda input'!BA$3,'RES Assumptions T15'!$V$3:$W$35,2,FALSE),'RES Techs T15'!$G$3:$U$3,0))</f>
        <v>1</v>
      </c>
      <c r="BB37" s="9">
        <f ca="1">OFFSET('RES Techs T15'!$W37,0,MATCH(VLOOKUP('RES Veda input'!BB$3,'RES Assumptions T15'!$V$3:$W$35,2,FALSE),'RES Techs T15'!$G$3:$U$3,0))</f>
        <v>1</v>
      </c>
      <c r="BC37" s="9">
        <f ca="1">OFFSET('RES Techs T15'!$W37,0,MATCH(VLOOKUP('RES Veda input'!BC$3,'RES Assumptions T15'!$V$3:$W$35,2,FALSE),'RES Techs T15'!$G$3:$U$3,0))</f>
        <v>1</v>
      </c>
      <c r="BD37" s="9">
        <f ca="1">OFFSET('RES Techs T15'!$W37,0,MATCH(VLOOKUP('RES Veda input'!BD$3,'RES Assumptions T15'!$V$3:$W$35,2,FALSE),'RES Techs T15'!$G$3:$U$3,0))</f>
        <v>1</v>
      </c>
      <c r="BE37" s="9">
        <f ca="1">OFFSET('RES Techs T15'!$W37,0,MATCH(VLOOKUP('RES Veda input'!BE$3,'RES Assumptions T15'!$V$3:$W$35,2,FALSE),'RES Techs T15'!$G$3:$U$3,0))</f>
        <v>1</v>
      </c>
      <c r="BF37" s="9">
        <f ca="1">OFFSET('RES Techs T15'!$W37,0,MATCH(VLOOKUP('RES Veda input'!BF$3,'RES Assumptions T15'!$V$3:$W$35,2,FALSE),'RES Techs T15'!$G$3:$U$3,0))</f>
        <v>1</v>
      </c>
      <c r="BG37" s="9">
        <f ca="1">OFFSET('RES Techs T15'!$W37,0,MATCH(VLOOKUP('RES Veda input'!BG$3,'RES Assumptions T15'!$V$3:$W$35,2,FALSE),'RES Techs T15'!$G$3:$U$3,0))</f>
        <v>1</v>
      </c>
      <c r="BH37" s="9">
        <f ca="1">OFFSET('RES Techs T15'!$W37,0,MATCH(VLOOKUP('RES Veda input'!BH$3,'RES Assumptions T15'!$V$3:$W$35,2,FALSE),'RES Techs T15'!$G$3:$U$3,0))</f>
        <v>1</v>
      </c>
      <c r="BI37" s="9">
        <f ca="1">OFFSET('RES Techs T15'!$W37,0,MATCH(VLOOKUP('RES Veda input'!BI$3,'RES Assumptions T15'!$V$3:$W$35,2,FALSE),'RES Techs T15'!$G$3:$U$3,0))</f>
        <v>1</v>
      </c>
      <c r="BJ37" s="9">
        <f ca="1">OFFSET('RES Techs T15'!$W37,0,MATCH(VLOOKUP('RES Veda input'!BJ$3,'RES Assumptions T15'!$V$3:$W$35,2,FALSE),'RES Techs T15'!$G$3:$U$3,0))</f>
        <v>1</v>
      </c>
      <c r="BK37" s="9">
        <f ca="1">OFFSET('RES Techs T15'!$W37,0,MATCH(VLOOKUP('RES Veda input'!BK$3,'RES Assumptions T15'!$V$3:$W$35,2,FALSE),'RES Techs T15'!$G$3:$U$3,0))</f>
        <v>1</v>
      </c>
      <c r="BL37" s="9">
        <f ca="1">OFFSET('RES Techs T15'!$W37,0,MATCH(VLOOKUP('RES Veda input'!BL$3,'RES Assumptions T15'!$V$3:$W$35,2,FALSE),'RES Techs T15'!$G$3:$U$3,0))</f>
        <v>1</v>
      </c>
      <c r="BM37" s="9">
        <f ca="1">OFFSET('RES Techs T15'!$W37,0,MATCH(VLOOKUP('RES Veda input'!BM$3,'RES Assumptions T15'!$V$3:$W$35,2,FALSE),'RES Techs T15'!$G$3:$U$3,0))</f>
        <v>1</v>
      </c>
      <c r="BN37" s="9">
        <f ca="1">OFFSET('RES Techs T15'!$W37,0,MATCH(VLOOKUP('RES Veda input'!BN$3,'RES Assumptions T15'!$V$3:$W$35,2,FALSE),'RES Techs T15'!$G$3:$U$3,0))</f>
        <v>1</v>
      </c>
      <c r="BO37" s="9">
        <f ca="1">OFFSET('RES Techs T15'!$W37,0,MATCH(VLOOKUP('RES Veda input'!BO$3,'RES Assumptions T15'!$V$3:$W$35,2,FALSE),'RES Techs T15'!$G$3:$U$3,0))</f>
        <v>1</v>
      </c>
      <c r="BP37" s="9">
        <f ca="1">OFFSET('RES Techs T15'!$W37,0,MATCH(VLOOKUP('RES Veda input'!BP$3,'RES Assumptions T15'!$V$3:$W$35,2,FALSE),'RES Techs T15'!$G$3:$U$3,0))</f>
        <v>1</v>
      </c>
      <c r="BR37" s="8" t="str">
        <f t="shared" si="61"/>
        <v>RCKBIO000</v>
      </c>
      <c r="BS37" s="9">
        <f t="shared" ca="1" si="62"/>
        <v>0</v>
      </c>
      <c r="BT37" s="9" t="str">
        <f ca="1">IF(OFFSET('RES Techs T15'!$AO37,0,MATCH(VLOOKUP('RES Veda input'!BT$3,'RES Assumptions T15'!$V$3:$W$35,2,FALSE),'RES Techs T15'!$G$3:$U$3,0))=0,"",OFFSET('RES Techs T15'!$AO37,0,MATCH(VLOOKUP('RES Veda input'!BT$3,'RES Assumptions T15'!$V$3:$W$35,2,FALSE),'RES Techs T15'!$G$3:$U$3,0)))</f>
        <v/>
      </c>
      <c r="BU37" s="9" t="str">
        <f ca="1">IF(OFFSET('RES Techs T15'!$AO37,0,MATCH(VLOOKUP('RES Veda input'!BU$3,'RES Assumptions T15'!$V$3:$W$35,2,FALSE),'RES Techs T15'!$G$3:$U$3,0))=0,"",OFFSET('RES Techs T15'!$AO37,0,MATCH(VLOOKUP('RES Veda input'!BU$3,'RES Assumptions T15'!$V$3:$W$35,2,FALSE),'RES Techs T15'!$G$3:$U$3,0)))</f>
        <v/>
      </c>
      <c r="BV37" s="9" t="str">
        <f ca="1">IF(OFFSET('RES Techs T15'!$AO37,0,MATCH(VLOOKUP('RES Veda input'!BV$3,'RES Assumptions T15'!$V$3:$W$35,2,FALSE),'RES Techs T15'!$G$3:$U$3,0))=0,"",OFFSET('RES Techs T15'!$AO37,0,MATCH(VLOOKUP('RES Veda input'!BV$3,'RES Assumptions T15'!$V$3:$W$35,2,FALSE),'RES Techs T15'!$G$3:$U$3,0)))</f>
        <v/>
      </c>
      <c r="BW37" s="9" t="str">
        <f ca="1">IF(OFFSET('RES Techs T15'!$AO37,0,MATCH(VLOOKUP('RES Veda input'!BW$3,'RES Assumptions T15'!$V$3:$W$35,2,FALSE),'RES Techs T15'!$G$3:$U$3,0))=0,"",OFFSET('RES Techs T15'!$AO37,0,MATCH(VLOOKUP('RES Veda input'!BW$3,'RES Assumptions T15'!$V$3:$W$35,2,FALSE),'RES Techs T15'!$G$3:$U$3,0)))</f>
        <v/>
      </c>
      <c r="BX37" s="9" t="str">
        <f ca="1">IF(OFFSET('RES Techs T15'!$AO37,0,MATCH(VLOOKUP('RES Veda input'!BX$3,'RES Assumptions T15'!$V$3:$W$35,2,FALSE),'RES Techs T15'!$G$3:$U$3,0))=0,"",OFFSET('RES Techs T15'!$AO37,0,MATCH(VLOOKUP('RES Veda input'!BX$3,'RES Assumptions T15'!$V$3:$W$35,2,FALSE),'RES Techs T15'!$G$3:$U$3,0)))</f>
        <v/>
      </c>
      <c r="BY37" s="9" t="str">
        <f ca="1">IF(OFFSET('RES Techs T15'!$AO37,0,MATCH(VLOOKUP('RES Veda input'!BY$3,'RES Assumptions T15'!$V$3:$W$35,2,FALSE),'RES Techs T15'!$G$3:$U$3,0))=0,"",OFFSET('RES Techs T15'!$AO37,0,MATCH(VLOOKUP('RES Veda input'!BY$3,'RES Assumptions T15'!$V$3:$W$35,2,FALSE),'RES Techs T15'!$G$3:$U$3,0)))</f>
        <v/>
      </c>
      <c r="BZ37" s="9" t="str">
        <f ca="1">IF(OFFSET('RES Techs T15'!$AO37,0,MATCH(VLOOKUP('RES Veda input'!BZ$3,'RES Assumptions T15'!$V$3:$W$35,2,FALSE),'RES Techs T15'!$G$3:$U$3,0))=0,"",OFFSET('RES Techs T15'!$AO37,0,MATCH(VLOOKUP('RES Veda input'!BZ$3,'RES Assumptions T15'!$V$3:$W$35,2,FALSE),'RES Techs T15'!$G$3:$U$3,0)))</f>
        <v/>
      </c>
      <c r="CA37" s="9" t="str">
        <f ca="1">IF(OFFSET('RES Techs T15'!$AO37,0,MATCH(VLOOKUP('RES Veda input'!CA$3,'RES Assumptions T15'!$V$3:$W$35,2,FALSE),'RES Techs T15'!$G$3:$U$3,0))=0,"",OFFSET('RES Techs T15'!$AO37,0,MATCH(VLOOKUP('RES Veda input'!CA$3,'RES Assumptions T15'!$V$3:$W$35,2,FALSE),'RES Techs T15'!$G$3:$U$3,0)))</f>
        <v/>
      </c>
      <c r="CB37" s="9" t="str">
        <f ca="1">IF(OFFSET('RES Techs T15'!$AO37,0,MATCH(VLOOKUP('RES Veda input'!CB$3,'RES Assumptions T15'!$V$3:$W$35,2,FALSE),'RES Techs T15'!$G$3:$U$3,0))=0,"",OFFSET('RES Techs T15'!$AO37,0,MATCH(VLOOKUP('RES Veda input'!CB$3,'RES Assumptions T15'!$V$3:$W$35,2,FALSE),'RES Techs T15'!$G$3:$U$3,0)))</f>
        <v/>
      </c>
      <c r="CC37" s="9" t="str">
        <f ca="1">IF(OFFSET('RES Techs T15'!$AO37,0,MATCH(VLOOKUP('RES Veda input'!CC$3,'RES Assumptions T15'!$V$3:$W$35,2,FALSE),'RES Techs T15'!$G$3:$U$3,0))=0,"",OFFSET('RES Techs T15'!$AO37,0,MATCH(VLOOKUP('RES Veda input'!CC$3,'RES Assumptions T15'!$V$3:$W$35,2,FALSE),'RES Techs T15'!$G$3:$U$3,0)))</f>
        <v/>
      </c>
      <c r="CD37" s="9" t="str">
        <f ca="1">IF(OFFSET('RES Techs T15'!$AO37,0,MATCH(VLOOKUP('RES Veda input'!CD$3,'RES Assumptions T15'!$V$3:$W$35,2,FALSE),'RES Techs T15'!$G$3:$U$3,0))=0,"",OFFSET('RES Techs T15'!$AO37,0,MATCH(VLOOKUP('RES Veda input'!CD$3,'RES Assumptions T15'!$V$3:$W$35,2,FALSE),'RES Techs T15'!$G$3:$U$3,0)))</f>
        <v/>
      </c>
      <c r="CE37" s="9" t="str">
        <f ca="1">IF(OFFSET('RES Techs T15'!$AO37,0,MATCH(VLOOKUP('RES Veda input'!CE$3,'RES Assumptions T15'!$V$3:$W$35,2,FALSE),'RES Techs T15'!$G$3:$U$3,0))=0,"",OFFSET('RES Techs T15'!$AO37,0,MATCH(VLOOKUP('RES Veda input'!CE$3,'RES Assumptions T15'!$V$3:$W$35,2,FALSE),'RES Techs T15'!$G$3:$U$3,0)))</f>
        <v/>
      </c>
      <c r="CF37" s="9" t="str">
        <f ca="1">IF(OFFSET('RES Techs T15'!$AO37,0,MATCH(VLOOKUP('RES Veda input'!CF$3,'RES Assumptions T15'!$V$3:$W$35,2,FALSE),'RES Techs T15'!$G$3:$U$3,0))=0,"",OFFSET('RES Techs T15'!$AO37,0,MATCH(VLOOKUP('RES Veda input'!CF$3,'RES Assumptions T15'!$V$3:$W$35,2,FALSE),'RES Techs T15'!$G$3:$U$3,0)))</f>
        <v/>
      </c>
      <c r="CG37" s="9" t="str">
        <f ca="1">IF(OFFSET('RES Techs T15'!$AO37,0,MATCH(VLOOKUP('RES Veda input'!CG$3,'RES Assumptions T15'!$V$3:$W$35,2,FALSE),'RES Techs T15'!$G$3:$U$3,0))=0,"",OFFSET('RES Techs T15'!$AO37,0,MATCH(VLOOKUP('RES Veda input'!CG$3,'RES Assumptions T15'!$V$3:$W$35,2,FALSE),'RES Techs T15'!$G$3:$U$3,0)))</f>
        <v/>
      </c>
      <c r="CH37" s="9" t="str">
        <f ca="1">IF(OFFSET('RES Techs T15'!$AO37,0,MATCH(VLOOKUP('RES Veda input'!CH$3,'RES Assumptions T15'!$V$3:$W$35,2,FALSE),'RES Techs T15'!$G$3:$U$3,0))=0,"",OFFSET('RES Techs T15'!$AO37,0,MATCH(VLOOKUP('RES Veda input'!CH$3,'RES Assumptions T15'!$V$3:$W$35,2,FALSE),'RES Techs T15'!$G$3:$U$3,0)))</f>
        <v/>
      </c>
      <c r="CI37" s="9" t="str">
        <f ca="1">IF(OFFSET('RES Techs T15'!$AO37,0,MATCH(VLOOKUP('RES Veda input'!CI$3,'RES Assumptions T15'!$V$3:$W$35,2,FALSE),'RES Techs T15'!$G$3:$U$3,0))=0,"",OFFSET('RES Techs T15'!$AO37,0,MATCH(VLOOKUP('RES Veda input'!CI$3,'RES Assumptions T15'!$V$3:$W$35,2,FALSE),'RES Techs T15'!$G$3:$U$3,0)))</f>
        <v/>
      </c>
      <c r="CJ37" s="9" t="str">
        <f ca="1">IF(OFFSET('RES Techs T15'!$AO37,0,MATCH(VLOOKUP('RES Veda input'!CJ$3,'RES Assumptions T15'!$V$3:$W$35,2,FALSE),'RES Techs T15'!$G$3:$U$3,0))=0,"",OFFSET('RES Techs T15'!$AO37,0,MATCH(VLOOKUP('RES Veda input'!CJ$3,'RES Assumptions T15'!$V$3:$W$35,2,FALSE),'RES Techs T15'!$G$3:$U$3,0)))</f>
        <v/>
      </c>
      <c r="CK37" s="9" t="str">
        <f ca="1">IF(OFFSET('RES Techs T15'!$AO37,0,MATCH(VLOOKUP('RES Veda input'!CK$3,'RES Assumptions T15'!$V$3:$W$35,2,FALSE),'RES Techs T15'!$G$3:$U$3,0))=0,"",OFFSET('RES Techs T15'!$AO37,0,MATCH(VLOOKUP('RES Veda input'!CK$3,'RES Assumptions T15'!$V$3:$W$35,2,FALSE),'RES Techs T15'!$G$3:$U$3,0)))</f>
        <v/>
      </c>
      <c r="CL37" s="9" t="str">
        <f ca="1">IF(OFFSET('RES Techs T15'!$AO37,0,MATCH(VLOOKUP('RES Veda input'!CL$3,'RES Assumptions T15'!$V$3:$W$35,2,FALSE),'RES Techs T15'!$G$3:$U$3,0))=0,"",OFFSET('RES Techs T15'!$AO37,0,MATCH(VLOOKUP('RES Veda input'!CL$3,'RES Assumptions T15'!$V$3:$W$35,2,FALSE),'RES Techs T15'!$G$3:$U$3,0)))</f>
        <v/>
      </c>
      <c r="CM37" s="9" t="str">
        <f ca="1">IF(OFFSET('RES Techs T15'!$AO37,0,MATCH(VLOOKUP('RES Veda input'!CM$3,'RES Assumptions T15'!$V$3:$W$35,2,FALSE),'RES Techs T15'!$G$3:$U$3,0))=0,"",OFFSET('RES Techs T15'!$AO37,0,MATCH(VLOOKUP('RES Veda input'!CM$3,'RES Assumptions T15'!$V$3:$W$35,2,FALSE),'RES Techs T15'!$G$3:$U$3,0)))</f>
        <v/>
      </c>
      <c r="CN37" s="9" t="str">
        <f ca="1">IF(OFFSET('RES Techs T15'!$AO37,0,MATCH(VLOOKUP('RES Veda input'!CN$3,'RES Assumptions T15'!$V$3:$W$35,2,FALSE),'RES Techs T15'!$G$3:$U$3,0))=0,"",OFFSET('RES Techs T15'!$AO37,0,MATCH(VLOOKUP('RES Veda input'!CN$3,'RES Assumptions T15'!$V$3:$W$35,2,FALSE),'RES Techs T15'!$G$3:$U$3,0)))</f>
        <v/>
      </c>
      <c r="CO37" s="9" t="str">
        <f ca="1">IF(OFFSET('RES Techs T15'!$AO37,0,MATCH(VLOOKUP('RES Veda input'!CO$3,'RES Assumptions T15'!$V$3:$W$35,2,FALSE),'RES Techs T15'!$G$3:$U$3,0))=0,"",OFFSET('RES Techs T15'!$AO37,0,MATCH(VLOOKUP('RES Veda input'!CO$3,'RES Assumptions T15'!$V$3:$W$35,2,FALSE),'RES Techs T15'!$G$3:$U$3,0)))</f>
        <v/>
      </c>
      <c r="CP37" s="9" t="str">
        <f ca="1">IF(OFFSET('RES Techs T15'!$AO37,0,MATCH(VLOOKUP('RES Veda input'!CP$3,'RES Assumptions T15'!$V$3:$W$35,2,FALSE),'RES Techs T15'!$G$3:$U$3,0))=0,"",OFFSET('RES Techs T15'!$AO37,0,MATCH(VLOOKUP('RES Veda input'!CP$3,'RES Assumptions T15'!$V$3:$W$35,2,FALSE),'RES Techs T15'!$G$3:$U$3,0)))</f>
        <v/>
      </c>
      <c r="CQ37" s="9" t="str">
        <f ca="1">IF(OFFSET('RES Techs T15'!$AO37,0,MATCH(VLOOKUP('RES Veda input'!CQ$3,'RES Assumptions T15'!$V$3:$W$35,2,FALSE),'RES Techs T15'!$G$3:$U$3,0))=0,"",OFFSET('RES Techs T15'!$AO37,0,MATCH(VLOOKUP('RES Veda input'!CQ$3,'RES Assumptions T15'!$V$3:$W$35,2,FALSE),'RES Techs T15'!$G$3:$U$3,0)))</f>
        <v/>
      </c>
      <c r="CR37" s="9" t="str">
        <f ca="1">IF(OFFSET('RES Techs T15'!$AO37,0,MATCH(VLOOKUP('RES Veda input'!CR$3,'RES Assumptions T15'!$V$3:$W$35,2,FALSE),'RES Techs T15'!$G$3:$U$3,0))=0,"",OFFSET('RES Techs T15'!$AO37,0,MATCH(VLOOKUP('RES Veda input'!CR$3,'RES Assumptions T15'!$V$3:$W$35,2,FALSE),'RES Techs T15'!$G$3:$U$3,0)))</f>
        <v/>
      </c>
      <c r="CS37" s="9" t="str">
        <f ca="1">IF(OFFSET('RES Techs T15'!$AO37,0,MATCH(VLOOKUP('RES Veda input'!CS$3,'RES Assumptions T15'!$V$3:$W$35,2,FALSE),'RES Techs T15'!$G$3:$U$3,0))=0,"",OFFSET('RES Techs T15'!$AO37,0,MATCH(VLOOKUP('RES Veda input'!CS$3,'RES Assumptions T15'!$V$3:$W$35,2,FALSE),'RES Techs T15'!$G$3:$U$3,0)))</f>
        <v/>
      </c>
      <c r="CT37" s="9" t="str">
        <f ca="1">IF(OFFSET('RES Techs T15'!$AO37,0,MATCH(VLOOKUP('RES Veda input'!CT$3,'RES Assumptions T15'!$V$3:$W$35,2,FALSE),'RES Techs T15'!$G$3:$U$3,0))=0,"",OFFSET('RES Techs T15'!$AO37,0,MATCH(VLOOKUP('RES Veda input'!CT$3,'RES Assumptions T15'!$V$3:$W$35,2,FALSE),'RES Techs T15'!$G$3:$U$3,0)))</f>
        <v/>
      </c>
      <c r="CU37" s="9" t="str">
        <f ca="1">IF(OFFSET('RES Techs T15'!$AO37,0,MATCH(VLOOKUP('RES Veda input'!CU$3,'RES Assumptions T15'!$V$3:$W$35,2,FALSE),'RES Techs T15'!$G$3:$U$3,0))=0,"",OFFSET('RES Techs T15'!$AO37,0,MATCH(VLOOKUP('RES Veda input'!CU$3,'RES Assumptions T15'!$V$3:$W$35,2,FALSE),'RES Techs T15'!$G$3:$U$3,0)))</f>
        <v/>
      </c>
      <c r="CV37" s="9">
        <f ca="1">IF(OFFSET('RES Techs T15'!$AO37,0,MATCH(VLOOKUP('RES Veda input'!CV$3,'RES Assumptions T15'!$V$3:$W$35,2,FALSE),'RES Techs T15'!$G$3:$U$3,0))=0,"",OFFSET('RES Techs T15'!$AO37,0,MATCH(VLOOKUP('RES Veda input'!CV$3,'RES Assumptions T15'!$V$3:$W$35,2,FALSE),'RES Techs T15'!$G$3:$U$3,0)))</f>
        <v>10</v>
      </c>
      <c r="CW37" s="9">
        <f ca="1">IF(OFFSET('RES Techs T15'!$AO37,0,MATCH(VLOOKUP('RES Veda input'!CW$3,'RES Assumptions T15'!$V$3:$W$35,2,FALSE),'RES Techs T15'!$G$3:$U$3,0))=0,"",OFFSET('RES Techs T15'!$AO37,0,MATCH(VLOOKUP('RES Veda input'!CW$3,'RES Assumptions T15'!$V$3:$W$35,2,FALSE),'RES Techs T15'!$G$3:$U$3,0)))</f>
        <v>10</v>
      </c>
      <c r="CY37" s="8" t="str">
        <f t="shared" si="63"/>
        <v>RCKBIO000</v>
      </c>
      <c r="CZ37" s="10">
        <f ca="1">ROUND('RES Assumptions'!E120*'RES Veda input'!G37/'RES Veda input'!AM37,3)</f>
        <v>21.3</v>
      </c>
      <c r="DA37" s="10">
        <f ca="1">ROUND('RES Assumptions'!F120*'RES Veda input'!H37/'RES Veda input'!AN37,3)</f>
        <v>1799.6790000000001</v>
      </c>
      <c r="DB37" s="10">
        <f ca="1">ROUND('RES Assumptions'!G120*'RES Veda input'!I37/'RES Veda input'!AO37,3)</f>
        <v>12.238</v>
      </c>
      <c r="DC37" s="10">
        <f ca="1">ROUND('RES Assumptions'!H120*'RES Veda input'!J37/'RES Veda input'!AP37,3)</f>
        <v>3.3000000000000002E-2</v>
      </c>
      <c r="DD37" s="10">
        <f ca="1">ROUND('RES Assumptions'!I120*'RES Veda input'!K37/'RES Veda input'!AQ37,3)</f>
        <v>0</v>
      </c>
      <c r="DE37" s="10">
        <f ca="1">ROUND('RES Assumptions'!J120*'RES Veda input'!L37/'RES Veda input'!AR37,3)</f>
        <v>801.178</v>
      </c>
      <c r="DF37" s="10">
        <f ca="1">ROUND('RES Assumptions'!K120*'RES Veda input'!M37/'RES Veda input'!AS37,3)</f>
        <v>1.2E-2</v>
      </c>
      <c r="DG37" s="10">
        <f ca="1">ROUND('RES Assumptions'!L120*'RES Veda input'!N37/'RES Veda input'!AT37,3)</f>
        <v>43.179000000000002</v>
      </c>
      <c r="DH37" s="10">
        <f ca="1">ROUND('RES Assumptions'!M120*'RES Veda input'!O37/'RES Veda input'!AU37,3)</f>
        <v>0</v>
      </c>
      <c r="DI37" s="10">
        <f ca="1">ROUND('RES Assumptions'!N120*'RES Veda input'!P37/'RES Veda input'!AV37,3)</f>
        <v>356.20400000000001</v>
      </c>
      <c r="DJ37" s="10">
        <f ca="1">ROUND('RES Assumptions'!O120*'RES Veda input'!Q37/'RES Veda input'!AW37,3)</f>
        <v>0.34</v>
      </c>
      <c r="DK37" s="10">
        <f ca="1">ROUND('RES Assumptions'!P120*'RES Veda input'!R37/'RES Veda input'!AX37,3)</f>
        <v>0.95099999999999996</v>
      </c>
      <c r="DL37" s="10">
        <f ca="1">ROUND('RES Assumptions'!Q120*'RES Veda input'!S37/'RES Veda input'!AY37,3)</f>
        <v>0.11899999999999999</v>
      </c>
      <c r="DM37" s="10">
        <f ca="1">ROUND('RES Assumptions'!R120*'RES Veda input'!T37/'RES Veda input'!AZ37,3)</f>
        <v>0.82799999999999996</v>
      </c>
      <c r="DN37" s="10">
        <f ca="1">ROUND('RES Assumptions'!S120*'RES Veda input'!U37/'RES Veda input'!BA37,3)</f>
        <v>0.56200000000000006</v>
      </c>
      <c r="DO37" s="10">
        <f ca="1">ROUND('RES Assumptions'!T120*'RES Veda input'!V37/'RES Veda input'!BB37,3)</f>
        <v>0.31</v>
      </c>
      <c r="DP37" s="10">
        <f ca="1">ROUND('RES Assumptions'!U120*'RES Veda input'!W37/'RES Veda input'!BC37,3)</f>
        <v>2.5190000000000001</v>
      </c>
      <c r="DQ37" s="10">
        <f ca="1">ROUND('RES Assumptions'!V120*'RES Veda input'!X37/'RES Veda input'!BD37,3)</f>
        <v>0.76800000000000002</v>
      </c>
      <c r="DR37" s="10">
        <f ca="1">ROUND('RES Assumptions'!W120*'RES Veda input'!Y37/'RES Veda input'!BE37,3)</f>
        <v>0.73199999999999998</v>
      </c>
      <c r="DS37" s="10">
        <f ca="1">ROUND('RES Assumptions'!X120*'RES Veda input'!Z37/'RES Veda input'!BF37,3)</f>
        <v>823.37800000000004</v>
      </c>
      <c r="DT37" s="10">
        <f ca="1">ROUND('RES Assumptions'!Y120*'RES Veda input'!AA37/'RES Veda input'!BG37,3)</f>
        <v>109.277</v>
      </c>
      <c r="DU37" s="10">
        <f ca="1">ROUND('RES Assumptions'!Z120*'RES Veda input'!AB37/'RES Veda input'!BH37,3)</f>
        <v>33.356000000000002</v>
      </c>
      <c r="DV37" s="10">
        <f ca="1">ROUND('RES Assumptions'!AA120*'RES Veda input'!AC37/'RES Veda input'!BI37,3)</f>
        <v>0.14299999999999999</v>
      </c>
      <c r="DW37" s="10">
        <f ca="1">ROUND('RES Assumptions'!AB120*'RES Veda input'!AD37/'RES Veda input'!BJ37,3)</f>
        <v>5.6000000000000001E-2</v>
      </c>
      <c r="DX37" s="10">
        <f ca="1">ROUND('RES Assumptions'!AC120*'RES Veda input'!AE37/'RES Veda input'!BK37,3)</f>
        <v>9.0999999999999998E-2</v>
      </c>
      <c r="DY37" s="10">
        <f ca="1">ROUND('RES Assumptions'!AD120*'RES Veda input'!AF37/'RES Veda input'!BL37,3)</f>
        <v>3.0000000000000001E-3</v>
      </c>
      <c r="DZ37" s="10">
        <f ca="1">ROUND('RES Assumptions'!AE120*'RES Veda input'!AG37/'RES Veda input'!BM37,3)</f>
        <v>20.475000000000001</v>
      </c>
      <c r="EA37" s="10">
        <f ca="1">ROUND('RES Assumptions'!AF120*'RES Veda input'!AH37/'RES Veda input'!BN37,3)</f>
        <v>7.9000000000000001E-2</v>
      </c>
      <c r="EB37" s="10">
        <f ca="1">ROUND('RES Assumptions'!AG120*'RES Veda input'!AI37/'RES Veda input'!BO37,3)</f>
        <v>0</v>
      </c>
      <c r="EC37" s="10">
        <f ca="1">ROUND('RES Assumptions'!AH120*'RES Veda input'!AJ37/'RES Veda input'!BP37,3)</f>
        <v>0</v>
      </c>
      <c r="ED37">
        <v>17</v>
      </c>
      <c r="EG37" t="s">
        <v>281</v>
      </c>
      <c r="EH37" t="str">
        <f t="shared" si="64"/>
        <v>RCKBIO000</v>
      </c>
      <c r="EJ37" t="s">
        <v>282</v>
      </c>
      <c r="EK37" t="s">
        <v>283</v>
      </c>
    </row>
    <row r="38" spans="1:141" x14ac:dyDescent="0.45">
      <c r="A38" s="37" t="str">
        <f>'RES Assumptions'!B121</f>
        <v>RK</v>
      </c>
      <c r="B38" s="37" t="s">
        <v>147</v>
      </c>
      <c r="D38" s="51" t="s">
        <v>303</v>
      </c>
      <c r="E38" s="8" t="str">
        <f>'RES Assumptions'!A121</f>
        <v>RESCOA</v>
      </c>
      <c r="F38" s="8" t="str">
        <f>VLOOKUP(A38,'RES Assumptions'!$AN$87:$AO$97,2,FALSE)</f>
        <v>RCK</v>
      </c>
      <c r="G38" s="9">
        <f ca="1">OFFSET('RES Techs T15'!$F38,0,MATCH(VLOOKUP('RES Veda input'!G$3,'RES Assumptions T15'!$V$3:$W$35,2,FALSE),'RES Techs T15'!$G$3:$U$3,0))</f>
        <v>0.25</v>
      </c>
      <c r="H38" s="9">
        <f ca="1">OFFSET('RES Techs T15'!$F38,0,MATCH(VLOOKUP('RES Veda input'!H$3,'RES Assumptions T15'!$V$3:$W$35,2,FALSE),'RES Techs T15'!$G$3:$U$3,0))</f>
        <v>0.25</v>
      </c>
      <c r="I38" s="9">
        <f ca="1">OFFSET('RES Techs T15'!$F38,0,MATCH(VLOOKUP('RES Veda input'!I$3,'RES Assumptions T15'!$V$3:$W$35,2,FALSE),'RES Techs T15'!$G$3:$U$3,0))</f>
        <v>0.25</v>
      </c>
      <c r="J38" s="9">
        <f ca="1">OFFSET('RES Techs T15'!$F38,0,MATCH(VLOOKUP('RES Veda input'!J$3,'RES Assumptions T15'!$V$3:$W$35,2,FALSE),'RES Techs T15'!$G$3:$U$3,0))</f>
        <v>0.25</v>
      </c>
      <c r="K38" s="9">
        <f ca="1">OFFSET('RES Techs T15'!$F38,0,MATCH(VLOOKUP('RES Veda input'!K$3,'RES Assumptions T15'!$V$3:$W$35,2,FALSE),'RES Techs T15'!$G$3:$U$3,0))</f>
        <v>0.25</v>
      </c>
      <c r="L38" s="9">
        <f ca="1">OFFSET('RES Techs T15'!$F38,0,MATCH(VLOOKUP('RES Veda input'!L$3,'RES Assumptions T15'!$V$3:$W$35,2,FALSE),'RES Techs T15'!$G$3:$U$3,0))</f>
        <v>0.25</v>
      </c>
      <c r="M38" s="9">
        <f ca="1">OFFSET('RES Techs T15'!$F38,0,MATCH(VLOOKUP('RES Veda input'!M$3,'RES Assumptions T15'!$V$3:$W$35,2,FALSE),'RES Techs T15'!$G$3:$U$3,0))</f>
        <v>0.25</v>
      </c>
      <c r="N38" s="9">
        <f ca="1">OFFSET('RES Techs T15'!$F38,0,MATCH(VLOOKUP('RES Veda input'!N$3,'RES Assumptions T15'!$V$3:$W$35,2,FALSE),'RES Techs T15'!$G$3:$U$3,0))</f>
        <v>0.25</v>
      </c>
      <c r="O38" s="9">
        <f ca="1">OFFSET('RES Techs T15'!$F38,0,MATCH(VLOOKUP('RES Veda input'!O$3,'RES Assumptions T15'!$V$3:$W$35,2,FALSE),'RES Techs T15'!$G$3:$U$3,0))</f>
        <v>0.25</v>
      </c>
      <c r="P38" s="9">
        <f ca="1">OFFSET('RES Techs T15'!$F38,0,MATCH(VLOOKUP('RES Veda input'!P$3,'RES Assumptions T15'!$V$3:$W$35,2,FALSE),'RES Techs T15'!$G$3:$U$3,0))</f>
        <v>0.25</v>
      </c>
      <c r="Q38" s="9">
        <f ca="1">OFFSET('RES Techs T15'!$F38,0,MATCH(VLOOKUP('RES Veda input'!Q$3,'RES Assumptions T15'!$V$3:$W$35,2,FALSE),'RES Techs T15'!$G$3:$U$3,0))</f>
        <v>0.25</v>
      </c>
      <c r="R38" s="9">
        <f ca="1">OFFSET('RES Techs T15'!$F38,0,MATCH(VLOOKUP('RES Veda input'!R$3,'RES Assumptions T15'!$V$3:$W$35,2,FALSE),'RES Techs T15'!$G$3:$U$3,0))</f>
        <v>0.25</v>
      </c>
      <c r="S38" s="9">
        <f ca="1">OFFSET('RES Techs T15'!$F38,0,MATCH(VLOOKUP('RES Veda input'!S$3,'RES Assumptions T15'!$V$3:$W$35,2,FALSE),'RES Techs T15'!$G$3:$U$3,0))</f>
        <v>0.25</v>
      </c>
      <c r="T38" s="9">
        <f ca="1">OFFSET('RES Techs T15'!$F38,0,MATCH(VLOOKUP('RES Veda input'!T$3,'RES Assumptions T15'!$V$3:$W$35,2,FALSE),'RES Techs T15'!$G$3:$U$3,0))</f>
        <v>0.25</v>
      </c>
      <c r="U38" s="9">
        <f ca="1">OFFSET('RES Techs T15'!$F38,0,MATCH(VLOOKUP('RES Veda input'!U$3,'RES Assumptions T15'!$V$3:$W$35,2,FALSE),'RES Techs T15'!$G$3:$U$3,0))</f>
        <v>0.25</v>
      </c>
      <c r="V38" s="9">
        <f ca="1">OFFSET('RES Techs T15'!$F38,0,MATCH(VLOOKUP('RES Veda input'!V$3,'RES Assumptions T15'!$V$3:$W$35,2,FALSE),'RES Techs T15'!$G$3:$U$3,0))</f>
        <v>0.25</v>
      </c>
      <c r="W38" s="9">
        <f ca="1">OFFSET('RES Techs T15'!$F38,0,MATCH(VLOOKUP('RES Veda input'!W$3,'RES Assumptions T15'!$V$3:$W$35,2,FALSE),'RES Techs T15'!$G$3:$U$3,0))</f>
        <v>0.25</v>
      </c>
      <c r="X38" s="9">
        <f ca="1">OFFSET('RES Techs T15'!$F38,0,MATCH(VLOOKUP('RES Veda input'!X$3,'RES Assumptions T15'!$V$3:$W$35,2,FALSE),'RES Techs T15'!$G$3:$U$3,0))</f>
        <v>0.25</v>
      </c>
      <c r="Y38" s="9">
        <f ca="1">OFFSET('RES Techs T15'!$F38,0,MATCH(VLOOKUP('RES Veda input'!Y$3,'RES Assumptions T15'!$V$3:$W$35,2,FALSE),'RES Techs T15'!$G$3:$U$3,0))</f>
        <v>0.25</v>
      </c>
      <c r="Z38" s="9">
        <f ca="1">OFFSET('RES Techs T15'!$F38,0,MATCH(VLOOKUP('RES Veda input'!Z$3,'RES Assumptions T15'!$V$3:$W$35,2,FALSE),'RES Techs T15'!$G$3:$U$3,0))</f>
        <v>0.25</v>
      </c>
      <c r="AA38" s="9">
        <f ca="1">OFFSET('RES Techs T15'!$F38,0,MATCH(VLOOKUP('RES Veda input'!AA$3,'RES Assumptions T15'!$V$3:$W$35,2,FALSE),'RES Techs T15'!$G$3:$U$3,0))</f>
        <v>0.25</v>
      </c>
      <c r="AB38" s="9">
        <f ca="1">OFFSET('RES Techs T15'!$F38,0,MATCH(VLOOKUP('RES Veda input'!AB$3,'RES Assumptions T15'!$V$3:$W$35,2,FALSE),'RES Techs T15'!$G$3:$U$3,0))</f>
        <v>0.25</v>
      </c>
      <c r="AC38" s="9">
        <f ca="1">OFFSET('RES Techs T15'!$F38,0,MATCH(VLOOKUP('RES Veda input'!AC$3,'RES Assumptions T15'!$V$3:$W$35,2,FALSE),'RES Techs T15'!$G$3:$U$3,0))</f>
        <v>0.25</v>
      </c>
      <c r="AD38" s="9">
        <f ca="1">OFFSET('RES Techs T15'!$F38,0,MATCH(VLOOKUP('RES Veda input'!AD$3,'RES Assumptions T15'!$V$3:$W$35,2,FALSE),'RES Techs T15'!$G$3:$U$3,0))</f>
        <v>0.25</v>
      </c>
      <c r="AE38" s="9">
        <f ca="1">OFFSET('RES Techs T15'!$F38,0,MATCH(VLOOKUP('RES Veda input'!AE$3,'RES Assumptions T15'!$V$3:$W$35,2,FALSE),'RES Techs T15'!$G$3:$U$3,0))</f>
        <v>0.25</v>
      </c>
      <c r="AF38" s="9">
        <f ca="1">OFFSET('RES Techs T15'!$F38,0,MATCH(VLOOKUP('RES Veda input'!AF$3,'RES Assumptions T15'!$V$3:$W$35,2,FALSE),'RES Techs T15'!$G$3:$U$3,0))</f>
        <v>0.25</v>
      </c>
      <c r="AG38" s="9">
        <f ca="1">OFFSET('RES Techs T15'!$F38,0,MATCH(VLOOKUP('RES Veda input'!AG$3,'RES Assumptions T15'!$V$3:$W$35,2,FALSE),'RES Techs T15'!$G$3:$U$3,0))</f>
        <v>0.25</v>
      </c>
      <c r="AH38" s="9">
        <f ca="1">OFFSET('RES Techs T15'!$F38,0,MATCH(VLOOKUP('RES Veda input'!AH$3,'RES Assumptions T15'!$V$3:$W$35,2,FALSE),'RES Techs T15'!$G$3:$U$3,0))</f>
        <v>0.25</v>
      </c>
      <c r="AI38" s="9">
        <f ca="1">OFFSET('RES Techs T15'!$F38,0,MATCH(VLOOKUP('RES Veda input'!AI$3,'RES Assumptions T15'!$V$3:$W$35,2,FALSE),'RES Techs T15'!$G$3:$U$3,0))</f>
        <v>0.25</v>
      </c>
      <c r="AJ38" s="9">
        <f ca="1">OFFSET('RES Techs T15'!$F38,0,MATCH(VLOOKUP('RES Veda input'!AJ$3,'RES Assumptions T15'!$V$3:$W$35,2,FALSE),'RES Techs T15'!$G$3:$U$3,0))</f>
        <v>0.25</v>
      </c>
      <c r="AL38" s="8" t="str">
        <f t="shared" si="60"/>
        <v>RCKCOA000</v>
      </c>
      <c r="AM38" s="9">
        <f ca="1">OFFSET('RES Techs T15'!$W38,0,MATCH(VLOOKUP('RES Veda input'!AM$3,'RES Assumptions T15'!$V$3:$W$35,2,FALSE),'RES Techs T15'!$G$3:$U$3,0))</f>
        <v>1</v>
      </c>
      <c r="AN38" s="9">
        <f ca="1">OFFSET('RES Techs T15'!$W38,0,MATCH(VLOOKUP('RES Veda input'!AN$3,'RES Assumptions T15'!$V$3:$W$35,2,FALSE),'RES Techs T15'!$G$3:$U$3,0))</f>
        <v>1</v>
      </c>
      <c r="AO38" s="9">
        <f ca="1">OFFSET('RES Techs T15'!$W38,0,MATCH(VLOOKUP('RES Veda input'!AO$3,'RES Assumptions T15'!$V$3:$W$35,2,FALSE),'RES Techs T15'!$G$3:$U$3,0))</f>
        <v>1</v>
      </c>
      <c r="AP38" s="9">
        <f ca="1">OFFSET('RES Techs T15'!$W38,0,MATCH(VLOOKUP('RES Veda input'!AP$3,'RES Assumptions T15'!$V$3:$W$35,2,FALSE),'RES Techs T15'!$G$3:$U$3,0))</f>
        <v>1</v>
      </c>
      <c r="AQ38" s="9">
        <f ca="1">OFFSET('RES Techs T15'!$W38,0,MATCH(VLOOKUP('RES Veda input'!AQ$3,'RES Assumptions T15'!$V$3:$W$35,2,FALSE),'RES Techs T15'!$G$3:$U$3,0))</f>
        <v>1</v>
      </c>
      <c r="AR38" s="9">
        <f ca="1">OFFSET('RES Techs T15'!$W38,0,MATCH(VLOOKUP('RES Veda input'!AR$3,'RES Assumptions T15'!$V$3:$W$35,2,FALSE),'RES Techs T15'!$G$3:$U$3,0))</f>
        <v>1</v>
      </c>
      <c r="AS38" s="9">
        <f ca="1">OFFSET('RES Techs T15'!$W38,0,MATCH(VLOOKUP('RES Veda input'!AS$3,'RES Assumptions T15'!$V$3:$W$35,2,FALSE),'RES Techs T15'!$G$3:$U$3,0))</f>
        <v>1</v>
      </c>
      <c r="AT38" s="9">
        <f ca="1">OFFSET('RES Techs T15'!$W38,0,MATCH(VLOOKUP('RES Veda input'!AT$3,'RES Assumptions T15'!$V$3:$W$35,2,FALSE),'RES Techs T15'!$G$3:$U$3,0))</f>
        <v>1</v>
      </c>
      <c r="AU38" s="9">
        <f ca="1">OFFSET('RES Techs T15'!$W38,0,MATCH(VLOOKUP('RES Veda input'!AU$3,'RES Assumptions T15'!$V$3:$W$35,2,FALSE),'RES Techs T15'!$G$3:$U$3,0))</f>
        <v>1</v>
      </c>
      <c r="AV38" s="9">
        <f ca="1">OFFSET('RES Techs T15'!$W38,0,MATCH(VLOOKUP('RES Veda input'!AV$3,'RES Assumptions T15'!$V$3:$W$35,2,FALSE),'RES Techs T15'!$G$3:$U$3,0))</f>
        <v>1</v>
      </c>
      <c r="AW38" s="9">
        <f ca="1">OFFSET('RES Techs T15'!$W38,0,MATCH(VLOOKUP('RES Veda input'!AW$3,'RES Assumptions T15'!$V$3:$W$35,2,FALSE),'RES Techs T15'!$G$3:$U$3,0))</f>
        <v>1</v>
      </c>
      <c r="AX38" s="9">
        <f ca="1">OFFSET('RES Techs T15'!$W38,0,MATCH(VLOOKUP('RES Veda input'!AX$3,'RES Assumptions T15'!$V$3:$W$35,2,FALSE),'RES Techs T15'!$G$3:$U$3,0))</f>
        <v>1</v>
      </c>
      <c r="AY38" s="9">
        <f ca="1">OFFSET('RES Techs T15'!$W38,0,MATCH(VLOOKUP('RES Veda input'!AY$3,'RES Assumptions T15'!$V$3:$W$35,2,FALSE),'RES Techs T15'!$G$3:$U$3,0))</f>
        <v>1</v>
      </c>
      <c r="AZ38" s="9">
        <f ca="1">OFFSET('RES Techs T15'!$W38,0,MATCH(VLOOKUP('RES Veda input'!AZ$3,'RES Assumptions T15'!$V$3:$W$35,2,FALSE),'RES Techs T15'!$G$3:$U$3,0))</f>
        <v>1</v>
      </c>
      <c r="BA38" s="9">
        <f ca="1">OFFSET('RES Techs T15'!$W38,0,MATCH(VLOOKUP('RES Veda input'!BA$3,'RES Assumptions T15'!$V$3:$W$35,2,FALSE),'RES Techs T15'!$G$3:$U$3,0))</f>
        <v>1</v>
      </c>
      <c r="BB38" s="9">
        <f ca="1">OFFSET('RES Techs T15'!$W38,0,MATCH(VLOOKUP('RES Veda input'!BB$3,'RES Assumptions T15'!$V$3:$W$35,2,FALSE),'RES Techs T15'!$G$3:$U$3,0))</f>
        <v>1</v>
      </c>
      <c r="BC38" s="9">
        <f ca="1">OFFSET('RES Techs T15'!$W38,0,MATCH(VLOOKUP('RES Veda input'!BC$3,'RES Assumptions T15'!$V$3:$W$35,2,FALSE),'RES Techs T15'!$G$3:$U$3,0))</f>
        <v>1</v>
      </c>
      <c r="BD38" s="9">
        <f ca="1">OFFSET('RES Techs T15'!$W38,0,MATCH(VLOOKUP('RES Veda input'!BD$3,'RES Assumptions T15'!$V$3:$W$35,2,FALSE),'RES Techs T15'!$G$3:$U$3,0))</f>
        <v>1</v>
      </c>
      <c r="BE38" s="9">
        <f ca="1">OFFSET('RES Techs T15'!$W38,0,MATCH(VLOOKUP('RES Veda input'!BE$3,'RES Assumptions T15'!$V$3:$W$35,2,FALSE),'RES Techs T15'!$G$3:$U$3,0))</f>
        <v>1</v>
      </c>
      <c r="BF38" s="9">
        <f ca="1">OFFSET('RES Techs T15'!$W38,0,MATCH(VLOOKUP('RES Veda input'!BF$3,'RES Assumptions T15'!$V$3:$W$35,2,FALSE),'RES Techs T15'!$G$3:$U$3,0))</f>
        <v>1</v>
      </c>
      <c r="BG38" s="9">
        <f ca="1">OFFSET('RES Techs T15'!$W38,0,MATCH(VLOOKUP('RES Veda input'!BG$3,'RES Assumptions T15'!$V$3:$W$35,2,FALSE),'RES Techs T15'!$G$3:$U$3,0))</f>
        <v>1</v>
      </c>
      <c r="BH38" s="9">
        <f ca="1">OFFSET('RES Techs T15'!$W38,0,MATCH(VLOOKUP('RES Veda input'!BH$3,'RES Assumptions T15'!$V$3:$W$35,2,FALSE),'RES Techs T15'!$G$3:$U$3,0))</f>
        <v>1</v>
      </c>
      <c r="BI38" s="9">
        <f ca="1">OFFSET('RES Techs T15'!$W38,0,MATCH(VLOOKUP('RES Veda input'!BI$3,'RES Assumptions T15'!$V$3:$W$35,2,FALSE),'RES Techs T15'!$G$3:$U$3,0))</f>
        <v>1</v>
      </c>
      <c r="BJ38" s="9">
        <f ca="1">OFFSET('RES Techs T15'!$W38,0,MATCH(VLOOKUP('RES Veda input'!BJ$3,'RES Assumptions T15'!$V$3:$W$35,2,FALSE),'RES Techs T15'!$G$3:$U$3,0))</f>
        <v>1</v>
      </c>
      <c r="BK38" s="9">
        <f ca="1">OFFSET('RES Techs T15'!$W38,0,MATCH(VLOOKUP('RES Veda input'!BK$3,'RES Assumptions T15'!$V$3:$W$35,2,FALSE),'RES Techs T15'!$G$3:$U$3,0))</f>
        <v>1</v>
      </c>
      <c r="BL38" s="9">
        <f ca="1">OFFSET('RES Techs T15'!$W38,0,MATCH(VLOOKUP('RES Veda input'!BL$3,'RES Assumptions T15'!$V$3:$W$35,2,FALSE),'RES Techs T15'!$G$3:$U$3,0))</f>
        <v>1</v>
      </c>
      <c r="BM38" s="9">
        <f ca="1">OFFSET('RES Techs T15'!$W38,0,MATCH(VLOOKUP('RES Veda input'!BM$3,'RES Assumptions T15'!$V$3:$W$35,2,FALSE),'RES Techs T15'!$G$3:$U$3,0))</f>
        <v>1</v>
      </c>
      <c r="BN38" s="9">
        <f ca="1">OFFSET('RES Techs T15'!$W38,0,MATCH(VLOOKUP('RES Veda input'!BN$3,'RES Assumptions T15'!$V$3:$W$35,2,FALSE),'RES Techs T15'!$G$3:$U$3,0))</f>
        <v>1</v>
      </c>
      <c r="BO38" s="9">
        <f ca="1">OFFSET('RES Techs T15'!$W38,0,MATCH(VLOOKUP('RES Veda input'!BO$3,'RES Assumptions T15'!$V$3:$W$35,2,FALSE),'RES Techs T15'!$G$3:$U$3,0))</f>
        <v>1</v>
      </c>
      <c r="BP38" s="9">
        <f ca="1">OFFSET('RES Techs T15'!$W38,0,MATCH(VLOOKUP('RES Veda input'!BP$3,'RES Assumptions T15'!$V$3:$W$35,2,FALSE),'RES Techs T15'!$G$3:$U$3,0))</f>
        <v>1</v>
      </c>
      <c r="BR38" s="8" t="str">
        <f t="shared" si="61"/>
        <v>RCKCOA000</v>
      </c>
      <c r="BS38" s="9">
        <f t="shared" ca="1" si="62"/>
        <v>3.6</v>
      </c>
      <c r="BT38" s="9" t="str">
        <f ca="1">IF(OFFSET('RES Techs T15'!$AO38,0,MATCH(VLOOKUP('RES Veda input'!BT$3,'RES Assumptions T15'!$V$3:$W$35,2,FALSE),'RES Techs T15'!$G$3:$U$3,0))=0,"",OFFSET('RES Techs T15'!$AO38,0,MATCH(VLOOKUP('RES Veda input'!BT$3,'RES Assumptions T15'!$V$3:$W$35,2,FALSE),'RES Techs T15'!$G$3:$U$3,0)))</f>
        <v/>
      </c>
      <c r="BU38" s="9" t="str">
        <f ca="1">IF(OFFSET('RES Techs T15'!$AO38,0,MATCH(VLOOKUP('RES Veda input'!BU$3,'RES Assumptions T15'!$V$3:$W$35,2,FALSE),'RES Techs T15'!$G$3:$U$3,0))=0,"",OFFSET('RES Techs T15'!$AO38,0,MATCH(VLOOKUP('RES Veda input'!BU$3,'RES Assumptions T15'!$V$3:$W$35,2,FALSE),'RES Techs T15'!$G$3:$U$3,0)))</f>
        <v/>
      </c>
      <c r="BV38" s="9" t="str">
        <f ca="1">IF(OFFSET('RES Techs T15'!$AO38,0,MATCH(VLOOKUP('RES Veda input'!BV$3,'RES Assumptions T15'!$V$3:$W$35,2,FALSE),'RES Techs T15'!$G$3:$U$3,0))=0,"",OFFSET('RES Techs T15'!$AO38,0,MATCH(VLOOKUP('RES Veda input'!BV$3,'RES Assumptions T15'!$V$3:$W$35,2,FALSE),'RES Techs T15'!$G$3:$U$3,0)))</f>
        <v/>
      </c>
      <c r="BW38" s="9" t="str">
        <f ca="1">IF(OFFSET('RES Techs T15'!$AO38,0,MATCH(VLOOKUP('RES Veda input'!BW$3,'RES Assumptions T15'!$V$3:$W$35,2,FALSE),'RES Techs T15'!$G$3:$U$3,0))=0,"",OFFSET('RES Techs T15'!$AO38,0,MATCH(VLOOKUP('RES Veda input'!BW$3,'RES Assumptions T15'!$V$3:$W$35,2,FALSE),'RES Techs T15'!$G$3:$U$3,0)))</f>
        <v/>
      </c>
      <c r="BX38" s="9">
        <f ca="1">IF(OFFSET('RES Techs T15'!$AO38,0,MATCH(VLOOKUP('RES Veda input'!BX$3,'RES Assumptions T15'!$V$3:$W$35,2,FALSE),'RES Techs T15'!$G$3:$U$3,0))=0,"",OFFSET('RES Techs T15'!$AO38,0,MATCH(VLOOKUP('RES Veda input'!BX$3,'RES Assumptions T15'!$V$3:$W$35,2,FALSE),'RES Techs T15'!$G$3:$U$3,0)))</f>
        <v>6</v>
      </c>
      <c r="BY38" s="9">
        <f ca="1">IF(OFFSET('RES Techs T15'!$AO38,0,MATCH(VLOOKUP('RES Veda input'!BY$3,'RES Assumptions T15'!$V$3:$W$35,2,FALSE),'RES Techs T15'!$G$3:$U$3,0))=0,"",OFFSET('RES Techs T15'!$AO38,0,MATCH(VLOOKUP('RES Veda input'!BY$3,'RES Assumptions T15'!$V$3:$W$35,2,FALSE),'RES Techs T15'!$G$3:$U$3,0)))</f>
        <v>3.6</v>
      </c>
      <c r="BZ38" s="9" t="str">
        <f ca="1">IF(OFFSET('RES Techs T15'!$AO38,0,MATCH(VLOOKUP('RES Veda input'!BZ$3,'RES Assumptions T15'!$V$3:$W$35,2,FALSE),'RES Techs T15'!$G$3:$U$3,0))=0,"",OFFSET('RES Techs T15'!$AO38,0,MATCH(VLOOKUP('RES Veda input'!BZ$3,'RES Assumptions T15'!$V$3:$W$35,2,FALSE),'RES Techs T15'!$G$3:$U$3,0)))</f>
        <v/>
      </c>
      <c r="CA38" s="9" t="str">
        <f ca="1">IF(OFFSET('RES Techs T15'!$AO38,0,MATCH(VLOOKUP('RES Veda input'!CA$3,'RES Assumptions T15'!$V$3:$W$35,2,FALSE),'RES Techs T15'!$G$3:$U$3,0))=0,"",OFFSET('RES Techs T15'!$AO38,0,MATCH(VLOOKUP('RES Veda input'!CA$3,'RES Assumptions T15'!$V$3:$W$35,2,FALSE),'RES Techs T15'!$G$3:$U$3,0)))</f>
        <v/>
      </c>
      <c r="CB38" s="9" t="str">
        <f ca="1">IF(OFFSET('RES Techs T15'!$AO38,0,MATCH(VLOOKUP('RES Veda input'!CB$3,'RES Assumptions T15'!$V$3:$W$35,2,FALSE),'RES Techs T15'!$G$3:$U$3,0))=0,"",OFFSET('RES Techs T15'!$AO38,0,MATCH(VLOOKUP('RES Veda input'!CB$3,'RES Assumptions T15'!$V$3:$W$35,2,FALSE),'RES Techs T15'!$G$3:$U$3,0)))</f>
        <v/>
      </c>
      <c r="CC38" s="9" t="str">
        <f ca="1">IF(OFFSET('RES Techs T15'!$AO38,0,MATCH(VLOOKUP('RES Veda input'!CC$3,'RES Assumptions T15'!$V$3:$W$35,2,FALSE),'RES Techs T15'!$G$3:$U$3,0))=0,"",OFFSET('RES Techs T15'!$AO38,0,MATCH(VLOOKUP('RES Veda input'!CC$3,'RES Assumptions T15'!$V$3:$W$35,2,FALSE),'RES Techs T15'!$G$3:$U$3,0)))</f>
        <v/>
      </c>
      <c r="CD38" s="9" t="str">
        <f ca="1">IF(OFFSET('RES Techs T15'!$AO38,0,MATCH(VLOOKUP('RES Veda input'!CD$3,'RES Assumptions T15'!$V$3:$W$35,2,FALSE),'RES Techs T15'!$G$3:$U$3,0))=0,"",OFFSET('RES Techs T15'!$AO38,0,MATCH(VLOOKUP('RES Veda input'!CD$3,'RES Assumptions T15'!$V$3:$W$35,2,FALSE),'RES Techs T15'!$G$3:$U$3,0)))</f>
        <v/>
      </c>
      <c r="CE38" s="9" t="str">
        <f ca="1">IF(OFFSET('RES Techs T15'!$AO38,0,MATCH(VLOOKUP('RES Veda input'!CE$3,'RES Assumptions T15'!$V$3:$W$35,2,FALSE),'RES Techs T15'!$G$3:$U$3,0))=0,"",OFFSET('RES Techs T15'!$AO38,0,MATCH(VLOOKUP('RES Veda input'!CE$3,'RES Assumptions T15'!$V$3:$W$35,2,FALSE),'RES Techs T15'!$G$3:$U$3,0)))</f>
        <v/>
      </c>
      <c r="CF38" s="9" t="str">
        <f ca="1">IF(OFFSET('RES Techs T15'!$AO38,0,MATCH(VLOOKUP('RES Veda input'!CF$3,'RES Assumptions T15'!$V$3:$W$35,2,FALSE),'RES Techs T15'!$G$3:$U$3,0))=0,"",OFFSET('RES Techs T15'!$AO38,0,MATCH(VLOOKUP('RES Veda input'!CF$3,'RES Assumptions T15'!$V$3:$W$35,2,FALSE),'RES Techs T15'!$G$3:$U$3,0)))</f>
        <v/>
      </c>
      <c r="CG38" s="9" t="str">
        <f ca="1">IF(OFFSET('RES Techs T15'!$AO38,0,MATCH(VLOOKUP('RES Veda input'!CG$3,'RES Assumptions T15'!$V$3:$W$35,2,FALSE),'RES Techs T15'!$G$3:$U$3,0))=0,"",OFFSET('RES Techs T15'!$AO38,0,MATCH(VLOOKUP('RES Veda input'!CG$3,'RES Assumptions T15'!$V$3:$W$35,2,FALSE),'RES Techs T15'!$G$3:$U$3,0)))</f>
        <v/>
      </c>
      <c r="CH38" s="9" t="str">
        <f ca="1">IF(OFFSET('RES Techs T15'!$AO38,0,MATCH(VLOOKUP('RES Veda input'!CH$3,'RES Assumptions T15'!$V$3:$W$35,2,FALSE),'RES Techs T15'!$G$3:$U$3,0))=0,"",OFFSET('RES Techs T15'!$AO38,0,MATCH(VLOOKUP('RES Veda input'!CH$3,'RES Assumptions T15'!$V$3:$W$35,2,FALSE),'RES Techs T15'!$G$3:$U$3,0)))</f>
        <v/>
      </c>
      <c r="CI38" s="9" t="str">
        <f ca="1">IF(OFFSET('RES Techs T15'!$AO38,0,MATCH(VLOOKUP('RES Veda input'!CI$3,'RES Assumptions T15'!$V$3:$W$35,2,FALSE),'RES Techs T15'!$G$3:$U$3,0))=0,"",OFFSET('RES Techs T15'!$AO38,0,MATCH(VLOOKUP('RES Veda input'!CI$3,'RES Assumptions T15'!$V$3:$W$35,2,FALSE),'RES Techs T15'!$G$3:$U$3,0)))</f>
        <v/>
      </c>
      <c r="CJ38" s="9" t="str">
        <f ca="1">IF(OFFSET('RES Techs T15'!$AO38,0,MATCH(VLOOKUP('RES Veda input'!CJ$3,'RES Assumptions T15'!$V$3:$W$35,2,FALSE),'RES Techs T15'!$G$3:$U$3,0))=0,"",OFFSET('RES Techs T15'!$AO38,0,MATCH(VLOOKUP('RES Veda input'!CJ$3,'RES Assumptions T15'!$V$3:$W$35,2,FALSE),'RES Techs T15'!$G$3:$U$3,0)))</f>
        <v/>
      </c>
      <c r="CK38" s="9" t="str">
        <f ca="1">IF(OFFSET('RES Techs T15'!$AO38,0,MATCH(VLOOKUP('RES Veda input'!CK$3,'RES Assumptions T15'!$V$3:$W$35,2,FALSE),'RES Techs T15'!$G$3:$U$3,0))=0,"",OFFSET('RES Techs T15'!$AO38,0,MATCH(VLOOKUP('RES Veda input'!CK$3,'RES Assumptions T15'!$V$3:$W$35,2,FALSE),'RES Techs T15'!$G$3:$U$3,0)))</f>
        <v/>
      </c>
      <c r="CL38" s="9" t="str">
        <f ca="1">IF(OFFSET('RES Techs T15'!$AO38,0,MATCH(VLOOKUP('RES Veda input'!CL$3,'RES Assumptions T15'!$V$3:$W$35,2,FALSE),'RES Techs T15'!$G$3:$U$3,0))=0,"",OFFSET('RES Techs T15'!$AO38,0,MATCH(VLOOKUP('RES Veda input'!CL$3,'RES Assumptions T15'!$V$3:$W$35,2,FALSE),'RES Techs T15'!$G$3:$U$3,0)))</f>
        <v/>
      </c>
      <c r="CM38" s="9">
        <f ca="1">IF(OFFSET('RES Techs T15'!$AO38,0,MATCH(VLOOKUP('RES Veda input'!CM$3,'RES Assumptions T15'!$V$3:$W$35,2,FALSE),'RES Techs T15'!$G$3:$U$3,0))=0,"",OFFSET('RES Techs T15'!$AO38,0,MATCH(VLOOKUP('RES Veda input'!CM$3,'RES Assumptions T15'!$V$3:$W$35,2,FALSE),'RES Techs T15'!$G$3:$U$3,0)))</f>
        <v>3.6</v>
      </c>
      <c r="CN38" s="9" t="str">
        <f ca="1">IF(OFFSET('RES Techs T15'!$AO38,0,MATCH(VLOOKUP('RES Veda input'!CN$3,'RES Assumptions T15'!$V$3:$W$35,2,FALSE),'RES Techs T15'!$G$3:$U$3,0))=0,"",OFFSET('RES Techs T15'!$AO38,0,MATCH(VLOOKUP('RES Veda input'!CN$3,'RES Assumptions T15'!$V$3:$W$35,2,FALSE),'RES Techs T15'!$G$3:$U$3,0)))</f>
        <v/>
      </c>
      <c r="CO38" s="9" t="str">
        <f ca="1">IF(OFFSET('RES Techs T15'!$AO38,0,MATCH(VLOOKUP('RES Veda input'!CO$3,'RES Assumptions T15'!$V$3:$W$35,2,FALSE),'RES Techs T15'!$G$3:$U$3,0))=0,"",OFFSET('RES Techs T15'!$AO38,0,MATCH(VLOOKUP('RES Veda input'!CO$3,'RES Assumptions T15'!$V$3:$W$35,2,FALSE),'RES Techs T15'!$G$3:$U$3,0)))</f>
        <v/>
      </c>
      <c r="CP38" s="9" t="str">
        <f ca="1">IF(OFFSET('RES Techs T15'!$AO38,0,MATCH(VLOOKUP('RES Veda input'!CP$3,'RES Assumptions T15'!$V$3:$W$35,2,FALSE),'RES Techs T15'!$G$3:$U$3,0))=0,"",OFFSET('RES Techs T15'!$AO38,0,MATCH(VLOOKUP('RES Veda input'!CP$3,'RES Assumptions T15'!$V$3:$W$35,2,FALSE),'RES Techs T15'!$G$3:$U$3,0)))</f>
        <v/>
      </c>
      <c r="CQ38" s="9" t="str">
        <f ca="1">IF(OFFSET('RES Techs T15'!$AO38,0,MATCH(VLOOKUP('RES Veda input'!CQ$3,'RES Assumptions T15'!$V$3:$W$35,2,FALSE),'RES Techs T15'!$G$3:$U$3,0))=0,"",OFFSET('RES Techs T15'!$AO38,0,MATCH(VLOOKUP('RES Veda input'!CQ$3,'RES Assumptions T15'!$V$3:$W$35,2,FALSE),'RES Techs T15'!$G$3:$U$3,0)))</f>
        <v/>
      </c>
      <c r="CR38" s="9" t="str">
        <f ca="1">IF(OFFSET('RES Techs T15'!$AO38,0,MATCH(VLOOKUP('RES Veda input'!CR$3,'RES Assumptions T15'!$V$3:$W$35,2,FALSE),'RES Techs T15'!$G$3:$U$3,0))=0,"",OFFSET('RES Techs T15'!$AO38,0,MATCH(VLOOKUP('RES Veda input'!CR$3,'RES Assumptions T15'!$V$3:$W$35,2,FALSE),'RES Techs T15'!$G$3:$U$3,0)))</f>
        <v/>
      </c>
      <c r="CS38" s="9" t="str">
        <f ca="1">IF(OFFSET('RES Techs T15'!$AO38,0,MATCH(VLOOKUP('RES Veda input'!CS$3,'RES Assumptions T15'!$V$3:$W$35,2,FALSE),'RES Techs T15'!$G$3:$U$3,0))=0,"",OFFSET('RES Techs T15'!$AO38,0,MATCH(VLOOKUP('RES Veda input'!CS$3,'RES Assumptions T15'!$V$3:$W$35,2,FALSE),'RES Techs T15'!$G$3:$U$3,0)))</f>
        <v/>
      </c>
      <c r="CT38" s="9" t="str">
        <f ca="1">IF(OFFSET('RES Techs T15'!$AO38,0,MATCH(VLOOKUP('RES Veda input'!CT$3,'RES Assumptions T15'!$V$3:$W$35,2,FALSE),'RES Techs T15'!$G$3:$U$3,0))=0,"",OFFSET('RES Techs T15'!$AO38,0,MATCH(VLOOKUP('RES Veda input'!CT$3,'RES Assumptions T15'!$V$3:$W$35,2,FALSE),'RES Techs T15'!$G$3:$U$3,0)))</f>
        <v/>
      </c>
      <c r="CU38" s="9" t="str">
        <f ca="1">IF(OFFSET('RES Techs T15'!$AO38,0,MATCH(VLOOKUP('RES Veda input'!CU$3,'RES Assumptions T15'!$V$3:$W$35,2,FALSE),'RES Techs T15'!$G$3:$U$3,0))=0,"",OFFSET('RES Techs T15'!$AO38,0,MATCH(VLOOKUP('RES Veda input'!CU$3,'RES Assumptions T15'!$V$3:$W$35,2,FALSE),'RES Techs T15'!$G$3:$U$3,0)))</f>
        <v/>
      </c>
      <c r="CV38" s="9">
        <f ca="1">IF(OFFSET('RES Techs T15'!$AO38,0,MATCH(VLOOKUP('RES Veda input'!CV$3,'RES Assumptions T15'!$V$3:$W$35,2,FALSE),'RES Techs T15'!$G$3:$U$3,0))=0,"",OFFSET('RES Techs T15'!$AO38,0,MATCH(VLOOKUP('RES Veda input'!CV$3,'RES Assumptions T15'!$V$3:$W$35,2,FALSE),'RES Techs T15'!$G$3:$U$3,0)))</f>
        <v>6</v>
      </c>
      <c r="CW38" s="9">
        <f ca="1">IF(OFFSET('RES Techs T15'!$AO38,0,MATCH(VLOOKUP('RES Veda input'!CW$3,'RES Assumptions T15'!$V$3:$W$35,2,FALSE),'RES Techs T15'!$G$3:$U$3,0))=0,"",OFFSET('RES Techs T15'!$AO38,0,MATCH(VLOOKUP('RES Veda input'!CW$3,'RES Assumptions T15'!$V$3:$W$35,2,FALSE),'RES Techs T15'!$G$3:$U$3,0)))</f>
        <v>6</v>
      </c>
      <c r="CY38" s="8" t="str">
        <f t="shared" si="63"/>
        <v>RCKCOA000</v>
      </c>
      <c r="CZ38" s="10">
        <f ca="1">ROUND('RES Assumptions'!E121*'RES Veda input'!G38/'RES Veda input'!AM38,3)</f>
        <v>0</v>
      </c>
      <c r="DA38" s="10">
        <f ca="1">ROUND('RES Assumptions'!F121*'RES Veda input'!H38/'RES Veda input'!AN38,3)</f>
        <v>2E-3</v>
      </c>
      <c r="DB38" s="10">
        <f ca="1">ROUND('RES Assumptions'!G121*'RES Veda input'!I38/'RES Veda input'!AO38,3)</f>
        <v>0</v>
      </c>
      <c r="DC38" s="10">
        <f ca="1">ROUND('RES Assumptions'!H121*'RES Veda input'!J38/'RES Veda input'!AP38,3)</f>
        <v>2.0649999999999999</v>
      </c>
      <c r="DD38" s="10">
        <f ca="1">ROUND('RES Assumptions'!I121*'RES Veda input'!K38/'RES Veda input'!AQ38,3)</f>
        <v>0</v>
      </c>
      <c r="DE38" s="10">
        <f ca="1">ROUND('RES Assumptions'!J121*'RES Veda input'!L38/'RES Veda input'!AR38,3)</f>
        <v>21.798999999999999</v>
      </c>
      <c r="DF38" s="10">
        <f ca="1">ROUND('RES Assumptions'!K121*'RES Veda input'!M38/'RES Veda input'!AS38,3)</f>
        <v>0</v>
      </c>
      <c r="DG38" s="10">
        <f ca="1">ROUND('RES Assumptions'!L121*'RES Veda input'!N38/'RES Veda input'!AT38,3)</f>
        <v>0</v>
      </c>
      <c r="DH38" s="10">
        <f ca="1">ROUND('RES Assumptions'!M121*'RES Veda input'!O38/'RES Veda input'!AU38,3)</f>
        <v>0</v>
      </c>
      <c r="DI38" s="10">
        <f ca="1">ROUND('RES Assumptions'!N121*'RES Veda input'!P38/'RES Veda input'!AV38,3)</f>
        <v>19.163</v>
      </c>
      <c r="DJ38" s="10">
        <f ca="1">ROUND('RES Assumptions'!O121*'RES Veda input'!Q38/'RES Veda input'!AW38,3)</f>
        <v>0</v>
      </c>
      <c r="DK38" s="10">
        <f ca="1">ROUND('RES Assumptions'!P121*'RES Veda input'!R38/'RES Veda input'!AX38,3)</f>
        <v>0.66</v>
      </c>
      <c r="DL38" s="10">
        <f ca="1">ROUND('RES Assumptions'!Q121*'RES Veda input'!S38/'RES Veda input'!AY38,3)</f>
        <v>1E-3</v>
      </c>
      <c r="DM38" s="10">
        <f ca="1">ROUND('RES Assumptions'!R121*'RES Veda input'!T38/'RES Veda input'!AZ38,3)</f>
        <v>0</v>
      </c>
      <c r="DN38" s="10">
        <f ca="1">ROUND('RES Assumptions'!S121*'RES Veda input'!U38/'RES Veda input'!BA38,3)</f>
        <v>2.5000000000000001E-2</v>
      </c>
      <c r="DO38" s="10">
        <f ca="1">ROUND('RES Assumptions'!T121*'RES Veda input'!V38/'RES Veda input'!BB38,3)</f>
        <v>0</v>
      </c>
      <c r="DP38" s="10">
        <f ca="1">ROUND('RES Assumptions'!U121*'RES Veda input'!W38/'RES Veda input'!BC38,3)</f>
        <v>0</v>
      </c>
      <c r="DQ38" s="10">
        <f ca="1">ROUND('RES Assumptions'!V121*'RES Veda input'!X38/'RES Veda input'!BD38,3)</f>
        <v>0</v>
      </c>
      <c r="DR38" s="10">
        <f ca="1">ROUND('RES Assumptions'!W121*'RES Veda input'!Y38/'RES Veda input'!BE38,3)</f>
        <v>1E-3</v>
      </c>
      <c r="DS38" s="10">
        <f ca="1">ROUND('RES Assumptions'!X121*'RES Veda input'!Z38/'RES Veda input'!BF38,3)</f>
        <v>30.731999999999999</v>
      </c>
      <c r="DT38" s="10">
        <f ca="1">ROUND('RES Assumptions'!Y121*'RES Veda input'!AA38/'RES Veda input'!BG38,3)</f>
        <v>4.4999999999999998E-2</v>
      </c>
      <c r="DU38" s="10">
        <f ca="1">ROUND('RES Assumptions'!Z121*'RES Veda input'!AB38/'RES Veda input'!BH38,3)</f>
        <v>0</v>
      </c>
      <c r="DV38" s="10">
        <f ca="1">ROUND('RES Assumptions'!AA121*'RES Veda input'!AC38/'RES Veda input'!BI38,3)</f>
        <v>0</v>
      </c>
      <c r="DW38" s="10">
        <f ca="1">ROUND('RES Assumptions'!AB121*'RES Veda input'!AD38/'RES Veda input'!BJ38,3)</f>
        <v>0</v>
      </c>
      <c r="DX38" s="10">
        <f ca="1">ROUND('RES Assumptions'!AC121*'RES Veda input'!AE38/'RES Veda input'!BK38,3)</f>
        <v>0.73899999999999999</v>
      </c>
      <c r="DY38" s="10">
        <f ca="1">ROUND('RES Assumptions'!AD121*'RES Veda input'!AF38/'RES Veda input'!BL38,3)</f>
        <v>0</v>
      </c>
      <c r="DZ38" s="10">
        <f ca="1">ROUND('RES Assumptions'!AE121*'RES Veda input'!AG38/'RES Veda input'!BM38,3)</f>
        <v>1.7390000000000001</v>
      </c>
      <c r="EA38" s="10">
        <f ca="1">ROUND('RES Assumptions'!AF121*'RES Veda input'!AH38/'RES Veda input'!BN38,3)</f>
        <v>1E-3</v>
      </c>
      <c r="EB38" s="10">
        <f ca="1">ROUND('RES Assumptions'!AG121*'RES Veda input'!AI38/'RES Veda input'!BO38,3)</f>
        <v>0</v>
      </c>
      <c r="EC38" s="10">
        <f ca="1">ROUND('RES Assumptions'!AH121*'RES Veda input'!AJ38/'RES Veda input'!BP38,3)</f>
        <v>0</v>
      </c>
      <c r="ED38">
        <v>17</v>
      </c>
      <c r="EG38" t="s">
        <v>281</v>
      </c>
      <c r="EH38" t="str">
        <f t="shared" si="64"/>
        <v>RCKCOA000</v>
      </c>
      <c r="EJ38" t="s">
        <v>282</v>
      </c>
      <c r="EK38" t="s">
        <v>283</v>
      </c>
    </row>
    <row r="39" spans="1:141" x14ac:dyDescent="0.45">
      <c r="A39" s="37" t="str">
        <f>'RES Assumptions'!B122</f>
        <v>RK</v>
      </c>
      <c r="B39" s="37" t="s">
        <v>148</v>
      </c>
      <c r="D39" s="51" t="s">
        <v>304</v>
      </c>
      <c r="E39" s="8" t="str">
        <f>'RES Assumptions'!A122</f>
        <v>RESOIL</v>
      </c>
      <c r="F39" s="8" t="str">
        <f>VLOOKUP(A39,'RES Assumptions'!$AN$87:$AO$97,2,FALSE)</f>
        <v>RCK</v>
      </c>
      <c r="G39" s="9">
        <f ca="1">OFFSET('RES Techs T15'!$F39,0,MATCH(VLOOKUP('RES Veda input'!G$3,'RES Assumptions T15'!$V$3:$W$35,2,FALSE),'RES Techs T15'!$G$3:$U$3,0))</f>
        <v>0.5</v>
      </c>
      <c r="H39" s="9">
        <f ca="1">OFFSET('RES Techs T15'!$F39,0,MATCH(VLOOKUP('RES Veda input'!H$3,'RES Assumptions T15'!$V$3:$W$35,2,FALSE),'RES Techs T15'!$G$3:$U$3,0))</f>
        <v>0.5</v>
      </c>
      <c r="I39" s="9">
        <f ca="1">OFFSET('RES Techs T15'!$F39,0,MATCH(VLOOKUP('RES Veda input'!I$3,'RES Assumptions T15'!$V$3:$W$35,2,FALSE),'RES Techs T15'!$G$3:$U$3,0))</f>
        <v>0.5</v>
      </c>
      <c r="J39" s="9">
        <f ca="1">OFFSET('RES Techs T15'!$F39,0,MATCH(VLOOKUP('RES Veda input'!J$3,'RES Assumptions T15'!$V$3:$W$35,2,FALSE),'RES Techs T15'!$G$3:$U$3,0))</f>
        <v>0.5</v>
      </c>
      <c r="K39" s="9">
        <f ca="1">OFFSET('RES Techs T15'!$F39,0,MATCH(VLOOKUP('RES Veda input'!K$3,'RES Assumptions T15'!$V$3:$W$35,2,FALSE),'RES Techs T15'!$G$3:$U$3,0))</f>
        <v>0.5</v>
      </c>
      <c r="L39" s="9">
        <f ca="1">OFFSET('RES Techs T15'!$F39,0,MATCH(VLOOKUP('RES Veda input'!L$3,'RES Assumptions T15'!$V$3:$W$35,2,FALSE),'RES Techs T15'!$G$3:$U$3,0))</f>
        <v>0.5</v>
      </c>
      <c r="M39" s="9">
        <f ca="1">OFFSET('RES Techs T15'!$F39,0,MATCH(VLOOKUP('RES Veda input'!M$3,'RES Assumptions T15'!$V$3:$W$35,2,FALSE),'RES Techs T15'!$G$3:$U$3,0))</f>
        <v>0.5</v>
      </c>
      <c r="N39" s="9">
        <f ca="1">OFFSET('RES Techs T15'!$F39,0,MATCH(VLOOKUP('RES Veda input'!N$3,'RES Assumptions T15'!$V$3:$W$35,2,FALSE),'RES Techs T15'!$G$3:$U$3,0))</f>
        <v>0.5</v>
      </c>
      <c r="O39" s="9">
        <f ca="1">OFFSET('RES Techs T15'!$F39,0,MATCH(VLOOKUP('RES Veda input'!O$3,'RES Assumptions T15'!$V$3:$W$35,2,FALSE),'RES Techs T15'!$G$3:$U$3,0))</f>
        <v>0.5</v>
      </c>
      <c r="P39" s="9">
        <f ca="1">OFFSET('RES Techs T15'!$F39,0,MATCH(VLOOKUP('RES Veda input'!P$3,'RES Assumptions T15'!$V$3:$W$35,2,FALSE),'RES Techs T15'!$G$3:$U$3,0))</f>
        <v>0.5</v>
      </c>
      <c r="Q39" s="9">
        <f ca="1">OFFSET('RES Techs T15'!$F39,0,MATCH(VLOOKUP('RES Veda input'!Q$3,'RES Assumptions T15'!$V$3:$W$35,2,FALSE),'RES Techs T15'!$G$3:$U$3,0))</f>
        <v>0.5</v>
      </c>
      <c r="R39" s="9">
        <f ca="1">OFFSET('RES Techs T15'!$F39,0,MATCH(VLOOKUP('RES Veda input'!R$3,'RES Assumptions T15'!$V$3:$W$35,2,FALSE),'RES Techs T15'!$G$3:$U$3,0))</f>
        <v>0.5</v>
      </c>
      <c r="S39" s="9">
        <f ca="1">OFFSET('RES Techs T15'!$F39,0,MATCH(VLOOKUP('RES Veda input'!S$3,'RES Assumptions T15'!$V$3:$W$35,2,FALSE),'RES Techs T15'!$G$3:$U$3,0))</f>
        <v>0.5</v>
      </c>
      <c r="T39" s="9">
        <f ca="1">OFFSET('RES Techs T15'!$F39,0,MATCH(VLOOKUP('RES Veda input'!T$3,'RES Assumptions T15'!$V$3:$W$35,2,FALSE),'RES Techs T15'!$G$3:$U$3,0))</f>
        <v>0.5</v>
      </c>
      <c r="U39" s="9">
        <f ca="1">OFFSET('RES Techs T15'!$F39,0,MATCH(VLOOKUP('RES Veda input'!U$3,'RES Assumptions T15'!$V$3:$W$35,2,FALSE),'RES Techs T15'!$G$3:$U$3,0))</f>
        <v>0.5</v>
      </c>
      <c r="V39" s="9">
        <f ca="1">OFFSET('RES Techs T15'!$F39,0,MATCH(VLOOKUP('RES Veda input'!V$3,'RES Assumptions T15'!$V$3:$W$35,2,FALSE),'RES Techs T15'!$G$3:$U$3,0))</f>
        <v>0.5</v>
      </c>
      <c r="W39" s="9">
        <f ca="1">OFFSET('RES Techs T15'!$F39,0,MATCH(VLOOKUP('RES Veda input'!W$3,'RES Assumptions T15'!$V$3:$W$35,2,FALSE),'RES Techs T15'!$G$3:$U$3,0))</f>
        <v>0.5</v>
      </c>
      <c r="X39" s="9">
        <f ca="1">OFFSET('RES Techs T15'!$F39,0,MATCH(VLOOKUP('RES Veda input'!X$3,'RES Assumptions T15'!$V$3:$W$35,2,FALSE),'RES Techs T15'!$G$3:$U$3,0))</f>
        <v>0.5</v>
      </c>
      <c r="Y39" s="9">
        <f ca="1">OFFSET('RES Techs T15'!$F39,0,MATCH(VLOOKUP('RES Veda input'!Y$3,'RES Assumptions T15'!$V$3:$W$35,2,FALSE),'RES Techs T15'!$G$3:$U$3,0))</f>
        <v>0.5</v>
      </c>
      <c r="Z39" s="9">
        <f ca="1">OFFSET('RES Techs T15'!$F39,0,MATCH(VLOOKUP('RES Veda input'!Z$3,'RES Assumptions T15'!$V$3:$W$35,2,FALSE),'RES Techs T15'!$G$3:$U$3,0))</f>
        <v>0.5</v>
      </c>
      <c r="AA39" s="9">
        <f ca="1">OFFSET('RES Techs T15'!$F39,0,MATCH(VLOOKUP('RES Veda input'!AA$3,'RES Assumptions T15'!$V$3:$W$35,2,FALSE),'RES Techs T15'!$G$3:$U$3,0))</f>
        <v>0.5</v>
      </c>
      <c r="AB39" s="9">
        <f ca="1">OFFSET('RES Techs T15'!$F39,0,MATCH(VLOOKUP('RES Veda input'!AB$3,'RES Assumptions T15'!$V$3:$W$35,2,FALSE),'RES Techs T15'!$G$3:$U$3,0))</f>
        <v>0.5</v>
      </c>
      <c r="AC39" s="9">
        <f ca="1">OFFSET('RES Techs T15'!$F39,0,MATCH(VLOOKUP('RES Veda input'!AC$3,'RES Assumptions T15'!$V$3:$W$35,2,FALSE),'RES Techs T15'!$G$3:$U$3,0))</f>
        <v>0.5</v>
      </c>
      <c r="AD39" s="9">
        <f ca="1">OFFSET('RES Techs T15'!$F39,0,MATCH(VLOOKUP('RES Veda input'!AD$3,'RES Assumptions T15'!$V$3:$W$35,2,FALSE),'RES Techs T15'!$G$3:$U$3,0))</f>
        <v>0.5</v>
      </c>
      <c r="AE39" s="9">
        <f ca="1">OFFSET('RES Techs T15'!$F39,0,MATCH(VLOOKUP('RES Veda input'!AE$3,'RES Assumptions T15'!$V$3:$W$35,2,FALSE),'RES Techs T15'!$G$3:$U$3,0))</f>
        <v>0.5</v>
      </c>
      <c r="AF39" s="9">
        <f ca="1">OFFSET('RES Techs T15'!$F39,0,MATCH(VLOOKUP('RES Veda input'!AF$3,'RES Assumptions T15'!$V$3:$W$35,2,FALSE),'RES Techs T15'!$G$3:$U$3,0))</f>
        <v>0.5</v>
      </c>
      <c r="AG39" s="9">
        <f ca="1">OFFSET('RES Techs T15'!$F39,0,MATCH(VLOOKUP('RES Veda input'!AG$3,'RES Assumptions T15'!$V$3:$W$35,2,FALSE),'RES Techs T15'!$G$3:$U$3,0))</f>
        <v>0.5</v>
      </c>
      <c r="AH39" s="9">
        <f ca="1">OFFSET('RES Techs T15'!$F39,0,MATCH(VLOOKUP('RES Veda input'!AH$3,'RES Assumptions T15'!$V$3:$W$35,2,FALSE),'RES Techs T15'!$G$3:$U$3,0))</f>
        <v>0.5</v>
      </c>
      <c r="AI39" s="9">
        <f ca="1">OFFSET('RES Techs T15'!$F39,0,MATCH(VLOOKUP('RES Veda input'!AI$3,'RES Assumptions T15'!$V$3:$W$35,2,FALSE),'RES Techs T15'!$G$3:$U$3,0))</f>
        <v>0.5</v>
      </c>
      <c r="AJ39" s="9">
        <f ca="1">OFFSET('RES Techs T15'!$F39,0,MATCH(VLOOKUP('RES Veda input'!AJ$3,'RES Assumptions T15'!$V$3:$W$35,2,FALSE),'RES Techs T15'!$G$3:$U$3,0))</f>
        <v>0.5</v>
      </c>
      <c r="AL39" s="8" t="str">
        <f t="shared" si="60"/>
        <v>RCKDST000</v>
      </c>
      <c r="AM39" s="9">
        <f ca="1">OFFSET('RES Techs T15'!$W39,0,MATCH(VLOOKUP('RES Veda input'!AM$3,'RES Assumptions T15'!$V$3:$W$35,2,FALSE),'RES Techs T15'!$G$3:$U$3,0))</f>
        <v>1</v>
      </c>
      <c r="AN39" s="9">
        <f ca="1">OFFSET('RES Techs T15'!$W39,0,MATCH(VLOOKUP('RES Veda input'!AN$3,'RES Assumptions T15'!$V$3:$W$35,2,FALSE),'RES Techs T15'!$G$3:$U$3,0))</f>
        <v>1</v>
      </c>
      <c r="AO39" s="9">
        <f ca="1">OFFSET('RES Techs T15'!$W39,0,MATCH(VLOOKUP('RES Veda input'!AO$3,'RES Assumptions T15'!$V$3:$W$35,2,FALSE),'RES Techs T15'!$G$3:$U$3,0))</f>
        <v>1</v>
      </c>
      <c r="AP39" s="9">
        <f ca="1">OFFSET('RES Techs T15'!$W39,0,MATCH(VLOOKUP('RES Veda input'!AP$3,'RES Assumptions T15'!$V$3:$W$35,2,FALSE),'RES Techs T15'!$G$3:$U$3,0))</f>
        <v>1</v>
      </c>
      <c r="AQ39" s="9">
        <f ca="1">OFFSET('RES Techs T15'!$W39,0,MATCH(VLOOKUP('RES Veda input'!AQ$3,'RES Assumptions T15'!$V$3:$W$35,2,FALSE),'RES Techs T15'!$G$3:$U$3,0))</f>
        <v>1</v>
      </c>
      <c r="AR39" s="9">
        <f ca="1">OFFSET('RES Techs T15'!$W39,0,MATCH(VLOOKUP('RES Veda input'!AR$3,'RES Assumptions T15'!$V$3:$W$35,2,FALSE),'RES Techs T15'!$G$3:$U$3,0))</f>
        <v>1</v>
      </c>
      <c r="AS39" s="9">
        <f ca="1">OFFSET('RES Techs T15'!$W39,0,MATCH(VLOOKUP('RES Veda input'!AS$3,'RES Assumptions T15'!$V$3:$W$35,2,FALSE),'RES Techs T15'!$G$3:$U$3,0))</f>
        <v>1</v>
      </c>
      <c r="AT39" s="9">
        <f ca="1">OFFSET('RES Techs T15'!$W39,0,MATCH(VLOOKUP('RES Veda input'!AT$3,'RES Assumptions T15'!$V$3:$W$35,2,FALSE),'RES Techs T15'!$G$3:$U$3,0))</f>
        <v>1</v>
      </c>
      <c r="AU39" s="9">
        <f ca="1">OFFSET('RES Techs T15'!$W39,0,MATCH(VLOOKUP('RES Veda input'!AU$3,'RES Assumptions T15'!$V$3:$W$35,2,FALSE),'RES Techs T15'!$G$3:$U$3,0))</f>
        <v>1</v>
      </c>
      <c r="AV39" s="9">
        <f ca="1">OFFSET('RES Techs T15'!$W39,0,MATCH(VLOOKUP('RES Veda input'!AV$3,'RES Assumptions T15'!$V$3:$W$35,2,FALSE),'RES Techs T15'!$G$3:$U$3,0))</f>
        <v>1</v>
      </c>
      <c r="AW39" s="9">
        <f ca="1">OFFSET('RES Techs T15'!$W39,0,MATCH(VLOOKUP('RES Veda input'!AW$3,'RES Assumptions T15'!$V$3:$W$35,2,FALSE),'RES Techs T15'!$G$3:$U$3,0))</f>
        <v>1</v>
      </c>
      <c r="AX39" s="9">
        <f ca="1">OFFSET('RES Techs T15'!$W39,0,MATCH(VLOOKUP('RES Veda input'!AX$3,'RES Assumptions T15'!$V$3:$W$35,2,FALSE),'RES Techs T15'!$G$3:$U$3,0))</f>
        <v>1</v>
      </c>
      <c r="AY39" s="9">
        <f ca="1">OFFSET('RES Techs T15'!$W39,0,MATCH(VLOOKUP('RES Veda input'!AY$3,'RES Assumptions T15'!$V$3:$W$35,2,FALSE),'RES Techs T15'!$G$3:$U$3,0))</f>
        <v>1</v>
      </c>
      <c r="AZ39" s="9">
        <f ca="1">OFFSET('RES Techs T15'!$W39,0,MATCH(VLOOKUP('RES Veda input'!AZ$3,'RES Assumptions T15'!$V$3:$W$35,2,FALSE),'RES Techs T15'!$G$3:$U$3,0))</f>
        <v>1</v>
      </c>
      <c r="BA39" s="9">
        <f ca="1">OFFSET('RES Techs T15'!$W39,0,MATCH(VLOOKUP('RES Veda input'!BA$3,'RES Assumptions T15'!$V$3:$W$35,2,FALSE),'RES Techs T15'!$G$3:$U$3,0))</f>
        <v>1</v>
      </c>
      <c r="BB39" s="9">
        <f ca="1">OFFSET('RES Techs T15'!$W39,0,MATCH(VLOOKUP('RES Veda input'!BB$3,'RES Assumptions T15'!$V$3:$W$35,2,FALSE),'RES Techs T15'!$G$3:$U$3,0))</f>
        <v>1</v>
      </c>
      <c r="BC39" s="9">
        <f ca="1">OFFSET('RES Techs T15'!$W39,0,MATCH(VLOOKUP('RES Veda input'!BC$3,'RES Assumptions T15'!$V$3:$W$35,2,FALSE),'RES Techs T15'!$G$3:$U$3,0))</f>
        <v>1</v>
      </c>
      <c r="BD39" s="9">
        <f ca="1">OFFSET('RES Techs T15'!$W39,0,MATCH(VLOOKUP('RES Veda input'!BD$3,'RES Assumptions T15'!$V$3:$W$35,2,FALSE),'RES Techs T15'!$G$3:$U$3,0))</f>
        <v>1</v>
      </c>
      <c r="BE39" s="9">
        <f ca="1">OFFSET('RES Techs T15'!$W39,0,MATCH(VLOOKUP('RES Veda input'!BE$3,'RES Assumptions T15'!$V$3:$W$35,2,FALSE),'RES Techs T15'!$G$3:$U$3,0))</f>
        <v>1</v>
      </c>
      <c r="BF39" s="9">
        <f ca="1">OFFSET('RES Techs T15'!$W39,0,MATCH(VLOOKUP('RES Veda input'!BF$3,'RES Assumptions T15'!$V$3:$W$35,2,FALSE),'RES Techs T15'!$G$3:$U$3,0))</f>
        <v>1</v>
      </c>
      <c r="BG39" s="9">
        <f ca="1">OFFSET('RES Techs T15'!$W39,0,MATCH(VLOOKUP('RES Veda input'!BG$3,'RES Assumptions T15'!$V$3:$W$35,2,FALSE),'RES Techs T15'!$G$3:$U$3,0))</f>
        <v>1</v>
      </c>
      <c r="BH39" s="9">
        <f ca="1">OFFSET('RES Techs T15'!$W39,0,MATCH(VLOOKUP('RES Veda input'!BH$3,'RES Assumptions T15'!$V$3:$W$35,2,FALSE),'RES Techs T15'!$G$3:$U$3,0))</f>
        <v>1</v>
      </c>
      <c r="BI39" s="9">
        <f ca="1">OFFSET('RES Techs T15'!$W39,0,MATCH(VLOOKUP('RES Veda input'!BI$3,'RES Assumptions T15'!$V$3:$W$35,2,FALSE),'RES Techs T15'!$G$3:$U$3,0))</f>
        <v>1</v>
      </c>
      <c r="BJ39" s="9">
        <f ca="1">OFFSET('RES Techs T15'!$W39,0,MATCH(VLOOKUP('RES Veda input'!BJ$3,'RES Assumptions T15'!$V$3:$W$35,2,FALSE),'RES Techs T15'!$G$3:$U$3,0))</f>
        <v>1</v>
      </c>
      <c r="BK39" s="9">
        <f ca="1">OFFSET('RES Techs T15'!$W39,0,MATCH(VLOOKUP('RES Veda input'!BK$3,'RES Assumptions T15'!$V$3:$W$35,2,FALSE),'RES Techs T15'!$G$3:$U$3,0))</f>
        <v>1</v>
      </c>
      <c r="BL39" s="9">
        <f ca="1">OFFSET('RES Techs T15'!$W39,0,MATCH(VLOOKUP('RES Veda input'!BL$3,'RES Assumptions T15'!$V$3:$W$35,2,FALSE),'RES Techs T15'!$G$3:$U$3,0))</f>
        <v>1</v>
      </c>
      <c r="BM39" s="9">
        <f ca="1">OFFSET('RES Techs T15'!$W39,0,MATCH(VLOOKUP('RES Veda input'!BM$3,'RES Assumptions T15'!$V$3:$W$35,2,FALSE),'RES Techs T15'!$G$3:$U$3,0))</f>
        <v>1</v>
      </c>
      <c r="BN39" s="9">
        <f ca="1">OFFSET('RES Techs T15'!$W39,0,MATCH(VLOOKUP('RES Veda input'!BN$3,'RES Assumptions T15'!$V$3:$W$35,2,FALSE),'RES Techs T15'!$G$3:$U$3,0))</f>
        <v>1</v>
      </c>
      <c r="BO39" s="9">
        <f ca="1">OFFSET('RES Techs T15'!$W39,0,MATCH(VLOOKUP('RES Veda input'!BO$3,'RES Assumptions T15'!$V$3:$W$35,2,FALSE),'RES Techs T15'!$G$3:$U$3,0))</f>
        <v>1</v>
      </c>
      <c r="BP39" s="9">
        <f ca="1">OFFSET('RES Techs T15'!$W39,0,MATCH(VLOOKUP('RES Veda input'!BP$3,'RES Assumptions T15'!$V$3:$W$35,2,FALSE),'RES Techs T15'!$G$3:$U$3,0))</f>
        <v>1</v>
      </c>
      <c r="BR39" s="8" t="str">
        <f t="shared" si="61"/>
        <v>RCKDST000</v>
      </c>
      <c r="BS39" s="9">
        <f t="shared" ca="1" si="62"/>
        <v>3.6</v>
      </c>
      <c r="BT39" s="9">
        <f ca="1">IF(OFFSET('RES Techs T15'!$AO39,0,MATCH(VLOOKUP('RES Veda input'!BT$3,'RES Assumptions T15'!$V$3:$W$35,2,FALSE),'RES Techs T15'!$G$3:$U$3,0))=0,"",OFFSET('RES Techs T15'!$AO39,0,MATCH(VLOOKUP('RES Veda input'!BT$3,'RES Assumptions T15'!$V$3:$W$35,2,FALSE),'RES Techs T15'!$G$3:$U$3,0)))</f>
        <v>4.2</v>
      </c>
      <c r="BU39" s="9">
        <f ca="1">IF(OFFSET('RES Techs T15'!$AO39,0,MATCH(VLOOKUP('RES Veda input'!BU$3,'RES Assumptions T15'!$V$3:$W$35,2,FALSE),'RES Techs T15'!$G$3:$U$3,0))=0,"",OFFSET('RES Techs T15'!$AO39,0,MATCH(VLOOKUP('RES Veda input'!BU$3,'RES Assumptions T15'!$V$3:$W$35,2,FALSE),'RES Techs T15'!$G$3:$U$3,0)))</f>
        <v>4.2</v>
      </c>
      <c r="BV39" s="9">
        <f ca="1">IF(OFFSET('RES Techs T15'!$AO39,0,MATCH(VLOOKUP('RES Veda input'!BV$3,'RES Assumptions T15'!$V$3:$W$35,2,FALSE),'RES Techs T15'!$G$3:$U$3,0))=0,"",OFFSET('RES Techs T15'!$AO39,0,MATCH(VLOOKUP('RES Veda input'!BV$3,'RES Assumptions T15'!$V$3:$W$35,2,FALSE),'RES Techs T15'!$G$3:$U$3,0)))</f>
        <v>4.2</v>
      </c>
      <c r="BW39" s="9">
        <f ca="1">IF(OFFSET('RES Techs T15'!$AO39,0,MATCH(VLOOKUP('RES Veda input'!BW$3,'RES Assumptions T15'!$V$3:$W$35,2,FALSE),'RES Techs T15'!$G$3:$U$3,0))=0,"",OFFSET('RES Techs T15'!$AO39,0,MATCH(VLOOKUP('RES Veda input'!BW$3,'RES Assumptions T15'!$V$3:$W$35,2,FALSE),'RES Techs T15'!$G$3:$U$3,0)))</f>
        <v>4.2</v>
      </c>
      <c r="BX39" s="9">
        <f ca="1">IF(OFFSET('RES Techs T15'!$AO39,0,MATCH(VLOOKUP('RES Veda input'!BX$3,'RES Assumptions T15'!$V$3:$W$35,2,FALSE),'RES Techs T15'!$G$3:$U$3,0))=0,"",OFFSET('RES Techs T15'!$AO39,0,MATCH(VLOOKUP('RES Veda input'!BX$3,'RES Assumptions T15'!$V$3:$W$35,2,FALSE),'RES Techs T15'!$G$3:$U$3,0)))</f>
        <v>6</v>
      </c>
      <c r="BY39" s="9">
        <f ca="1">IF(OFFSET('RES Techs T15'!$AO39,0,MATCH(VLOOKUP('RES Veda input'!BY$3,'RES Assumptions T15'!$V$3:$W$35,2,FALSE),'RES Techs T15'!$G$3:$U$3,0))=0,"",OFFSET('RES Techs T15'!$AO39,0,MATCH(VLOOKUP('RES Veda input'!BY$3,'RES Assumptions T15'!$V$3:$W$35,2,FALSE),'RES Techs T15'!$G$3:$U$3,0)))</f>
        <v>3.6</v>
      </c>
      <c r="BZ39" s="9">
        <f ca="1">IF(OFFSET('RES Techs T15'!$AO39,0,MATCH(VLOOKUP('RES Veda input'!BZ$3,'RES Assumptions T15'!$V$3:$W$35,2,FALSE),'RES Techs T15'!$G$3:$U$3,0))=0,"",OFFSET('RES Techs T15'!$AO39,0,MATCH(VLOOKUP('RES Veda input'!BZ$3,'RES Assumptions T15'!$V$3:$W$35,2,FALSE),'RES Techs T15'!$G$3:$U$3,0)))</f>
        <v>4.8</v>
      </c>
      <c r="CA39" s="9">
        <f ca="1">IF(OFFSET('RES Techs T15'!$AO39,0,MATCH(VLOOKUP('RES Veda input'!CA$3,'RES Assumptions T15'!$V$3:$W$35,2,FALSE),'RES Techs T15'!$G$3:$U$3,0))=0,"",OFFSET('RES Techs T15'!$AO39,0,MATCH(VLOOKUP('RES Veda input'!CA$3,'RES Assumptions T15'!$V$3:$W$35,2,FALSE),'RES Techs T15'!$G$3:$U$3,0)))</f>
        <v>4.2</v>
      </c>
      <c r="CB39" s="9">
        <f ca="1">IF(OFFSET('RES Techs T15'!$AO39,0,MATCH(VLOOKUP('RES Veda input'!CB$3,'RES Assumptions T15'!$V$3:$W$35,2,FALSE),'RES Techs T15'!$G$3:$U$3,0))=0,"",OFFSET('RES Techs T15'!$AO39,0,MATCH(VLOOKUP('RES Veda input'!CB$3,'RES Assumptions T15'!$V$3:$W$35,2,FALSE),'RES Techs T15'!$G$3:$U$3,0)))</f>
        <v>6</v>
      </c>
      <c r="CC39" s="9">
        <f ca="1">IF(OFFSET('RES Techs T15'!$AO39,0,MATCH(VLOOKUP('RES Veda input'!CC$3,'RES Assumptions T15'!$V$3:$W$35,2,FALSE),'RES Techs T15'!$G$3:$U$3,0))=0,"",OFFSET('RES Techs T15'!$AO39,0,MATCH(VLOOKUP('RES Veda input'!CC$3,'RES Assumptions T15'!$V$3:$W$35,2,FALSE),'RES Techs T15'!$G$3:$U$3,0)))</f>
        <v>3.6</v>
      </c>
      <c r="CD39" s="9">
        <f ca="1">IF(OFFSET('RES Techs T15'!$AO39,0,MATCH(VLOOKUP('RES Veda input'!CD$3,'RES Assumptions T15'!$V$3:$W$35,2,FALSE),'RES Techs T15'!$G$3:$U$3,0))=0,"",OFFSET('RES Techs T15'!$AO39,0,MATCH(VLOOKUP('RES Veda input'!CD$3,'RES Assumptions T15'!$V$3:$W$35,2,FALSE),'RES Techs T15'!$G$3:$U$3,0)))</f>
        <v>5.4</v>
      </c>
      <c r="CE39" s="9">
        <f ca="1">IF(OFFSET('RES Techs T15'!$AO39,0,MATCH(VLOOKUP('RES Veda input'!CE$3,'RES Assumptions T15'!$V$3:$W$35,2,FALSE),'RES Techs T15'!$G$3:$U$3,0))=0,"",OFFSET('RES Techs T15'!$AO39,0,MATCH(VLOOKUP('RES Veda input'!CE$3,'RES Assumptions T15'!$V$3:$W$35,2,FALSE),'RES Techs T15'!$G$3:$U$3,0)))</f>
        <v>4.2</v>
      </c>
      <c r="CF39" s="9">
        <f ca="1">IF(OFFSET('RES Techs T15'!$AO39,0,MATCH(VLOOKUP('RES Veda input'!CF$3,'RES Assumptions T15'!$V$3:$W$35,2,FALSE),'RES Techs T15'!$G$3:$U$3,0))=0,"",OFFSET('RES Techs T15'!$AO39,0,MATCH(VLOOKUP('RES Veda input'!CF$3,'RES Assumptions T15'!$V$3:$W$35,2,FALSE),'RES Techs T15'!$G$3:$U$3,0)))</f>
        <v>5.4</v>
      </c>
      <c r="CG39" s="9">
        <f ca="1">IF(OFFSET('RES Techs T15'!$AO39,0,MATCH(VLOOKUP('RES Veda input'!CG$3,'RES Assumptions T15'!$V$3:$W$35,2,FALSE),'RES Techs T15'!$G$3:$U$3,0))=0,"",OFFSET('RES Techs T15'!$AO39,0,MATCH(VLOOKUP('RES Veda input'!CG$3,'RES Assumptions T15'!$V$3:$W$35,2,FALSE),'RES Techs T15'!$G$3:$U$3,0)))</f>
        <v>5.4</v>
      </c>
      <c r="CH39" s="9">
        <f ca="1">IF(OFFSET('RES Techs T15'!$AO39,0,MATCH(VLOOKUP('RES Veda input'!CH$3,'RES Assumptions T15'!$V$3:$W$35,2,FALSE),'RES Techs T15'!$G$3:$U$3,0))=0,"",OFFSET('RES Techs T15'!$AO39,0,MATCH(VLOOKUP('RES Veda input'!CH$3,'RES Assumptions T15'!$V$3:$W$35,2,FALSE),'RES Techs T15'!$G$3:$U$3,0)))</f>
        <v>4.2</v>
      </c>
      <c r="CI39" s="9">
        <f ca="1">IF(OFFSET('RES Techs T15'!$AO39,0,MATCH(VLOOKUP('RES Veda input'!CI$3,'RES Assumptions T15'!$V$3:$W$35,2,FALSE),'RES Techs T15'!$G$3:$U$3,0))=0,"",OFFSET('RES Techs T15'!$AO39,0,MATCH(VLOOKUP('RES Veda input'!CI$3,'RES Assumptions T15'!$V$3:$W$35,2,FALSE),'RES Techs T15'!$G$3:$U$3,0)))</f>
        <v>5.4</v>
      </c>
      <c r="CJ39" s="9">
        <f ca="1">IF(OFFSET('RES Techs T15'!$AO39,0,MATCH(VLOOKUP('RES Veda input'!CJ$3,'RES Assumptions T15'!$V$3:$W$35,2,FALSE),'RES Techs T15'!$G$3:$U$3,0))=0,"",OFFSET('RES Techs T15'!$AO39,0,MATCH(VLOOKUP('RES Veda input'!CJ$3,'RES Assumptions T15'!$V$3:$W$35,2,FALSE),'RES Techs T15'!$G$3:$U$3,0)))</f>
        <v>4.2</v>
      </c>
      <c r="CK39" s="9">
        <f ca="1">IF(OFFSET('RES Techs T15'!$AO39,0,MATCH(VLOOKUP('RES Veda input'!CK$3,'RES Assumptions T15'!$V$3:$W$35,2,FALSE),'RES Techs T15'!$G$3:$U$3,0))=0,"",OFFSET('RES Techs T15'!$AO39,0,MATCH(VLOOKUP('RES Veda input'!CK$3,'RES Assumptions T15'!$V$3:$W$35,2,FALSE),'RES Techs T15'!$G$3:$U$3,0)))</f>
        <v>5.4</v>
      </c>
      <c r="CL39" s="9">
        <f ca="1">IF(OFFSET('RES Techs T15'!$AO39,0,MATCH(VLOOKUP('RES Veda input'!CL$3,'RES Assumptions T15'!$V$3:$W$35,2,FALSE),'RES Techs T15'!$G$3:$U$3,0))=0,"",OFFSET('RES Techs T15'!$AO39,0,MATCH(VLOOKUP('RES Veda input'!CL$3,'RES Assumptions T15'!$V$3:$W$35,2,FALSE),'RES Techs T15'!$G$3:$U$3,0)))</f>
        <v>5.4</v>
      </c>
      <c r="CM39" s="9">
        <f ca="1">IF(OFFSET('RES Techs T15'!$AO39,0,MATCH(VLOOKUP('RES Veda input'!CM$3,'RES Assumptions T15'!$V$3:$W$35,2,FALSE),'RES Techs T15'!$G$3:$U$3,0))=0,"",OFFSET('RES Techs T15'!$AO39,0,MATCH(VLOOKUP('RES Veda input'!CM$3,'RES Assumptions T15'!$V$3:$W$35,2,FALSE),'RES Techs T15'!$G$3:$U$3,0)))</f>
        <v>3.6</v>
      </c>
      <c r="CN39" s="9">
        <f ca="1">IF(OFFSET('RES Techs T15'!$AO39,0,MATCH(VLOOKUP('RES Veda input'!CN$3,'RES Assumptions T15'!$V$3:$W$35,2,FALSE),'RES Techs T15'!$G$3:$U$3,0))=0,"",OFFSET('RES Techs T15'!$AO39,0,MATCH(VLOOKUP('RES Veda input'!CN$3,'RES Assumptions T15'!$V$3:$W$35,2,FALSE),'RES Techs T15'!$G$3:$U$3,0)))</f>
        <v>4.2</v>
      </c>
      <c r="CO39" s="9">
        <f ca="1">IF(OFFSET('RES Techs T15'!$AO39,0,MATCH(VLOOKUP('RES Veda input'!CO$3,'RES Assumptions T15'!$V$3:$W$35,2,FALSE),'RES Techs T15'!$G$3:$U$3,0))=0,"",OFFSET('RES Techs T15'!$AO39,0,MATCH(VLOOKUP('RES Veda input'!CO$3,'RES Assumptions T15'!$V$3:$W$35,2,FALSE),'RES Techs T15'!$G$3:$U$3,0)))</f>
        <v>4.8</v>
      </c>
      <c r="CP39" s="9">
        <f ca="1">IF(OFFSET('RES Techs T15'!$AO39,0,MATCH(VLOOKUP('RES Veda input'!CP$3,'RES Assumptions T15'!$V$3:$W$35,2,FALSE),'RES Techs T15'!$G$3:$U$3,0))=0,"",OFFSET('RES Techs T15'!$AO39,0,MATCH(VLOOKUP('RES Veda input'!CP$3,'RES Assumptions T15'!$V$3:$W$35,2,FALSE),'RES Techs T15'!$G$3:$U$3,0)))</f>
        <v>4.2</v>
      </c>
      <c r="CQ39" s="9">
        <f ca="1">IF(OFFSET('RES Techs T15'!$AO39,0,MATCH(VLOOKUP('RES Veda input'!CQ$3,'RES Assumptions T15'!$V$3:$W$35,2,FALSE),'RES Techs T15'!$G$3:$U$3,0))=0,"",OFFSET('RES Techs T15'!$AO39,0,MATCH(VLOOKUP('RES Veda input'!CQ$3,'RES Assumptions T15'!$V$3:$W$35,2,FALSE),'RES Techs T15'!$G$3:$U$3,0)))</f>
        <v>5.4</v>
      </c>
      <c r="CR39" s="9">
        <f ca="1">IF(OFFSET('RES Techs T15'!$AO39,0,MATCH(VLOOKUP('RES Veda input'!CR$3,'RES Assumptions T15'!$V$3:$W$35,2,FALSE),'RES Techs T15'!$G$3:$U$3,0))=0,"",OFFSET('RES Techs T15'!$AO39,0,MATCH(VLOOKUP('RES Veda input'!CR$3,'RES Assumptions T15'!$V$3:$W$35,2,FALSE),'RES Techs T15'!$G$3:$U$3,0)))</f>
        <v>4.2</v>
      </c>
      <c r="CS39" s="9">
        <f ca="1">IF(OFFSET('RES Techs T15'!$AO39,0,MATCH(VLOOKUP('RES Veda input'!CS$3,'RES Assumptions T15'!$V$3:$W$35,2,FALSE),'RES Techs T15'!$G$3:$U$3,0))=0,"",OFFSET('RES Techs T15'!$AO39,0,MATCH(VLOOKUP('RES Veda input'!CS$3,'RES Assumptions T15'!$V$3:$W$35,2,FALSE),'RES Techs T15'!$G$3:$U$3,0)))</f>
        <v>4.2</v>
      </c>
      <c r="CT39" s="9">
        <f ca="1">IF(OFFSET('RES Techs T15'!$AO39,0,MATCH(VLOOKUP('RES Veda input'!CT$3,'RES Assumptions T15'!$V$3:$W$35,2,FALSE),'RES Techs T15'!$G$3:$U$3,0))=0,"",OFFSET('RES Techs T15'!$AO39,0,MATCH(VLOOKUP('RES Veda input'!CT$3,'RES Assumptions T15'!$V$3:$W$35,2,FALSE),'RES Techs T15'!$G$3:$U$3,0)))</f>
        <v>4.2</v>
      </c>
      <c r="CU39" s="9">
        <f ca="1">IF(OFFSET('RES Techs T15'!$AO39,0,MATCH(VLOOKUP('RES Veda input'!CU$3,'RES Assumptions T15'!$V$3:$W$35,2,FALSE),'RES Techs T15'!$G$3:$U$3,0))=0,"",OFFSET('RES Techs T15'!$AO39,0,MATCH(VLOOKUP('RES Veda input'!CU$3,'RES Assumptions T15'!$V$3:$W$35,2,FALSE),'RES Techs T15'!$G$3:$U$3,0)))</f>
        <v>5.4</v>
      </c>
      <c r="CV39" s="9">
        <f ca="1">IF(OFFSET('RES Techs T15'!$AO39,0,MATCH(VLOOKUP('RES Veda input'!CV$3,'RES Assumptions T15'!$V$3:$W$35,2,FALSE),'RES Techs T15'!$G$3:$U$3,0))=0,"",OFFSET('RES Techs T15'!$AO39,0,MATCH(VLOOKUP('RES Veda input'!CV$3,'RES Assumptions T15'!$V$3:$W$35,2,FALSE),'RES Techs T15'!$G$3:$U$3,0)))</f>
        <v>6</v>
      </c>
      <c r="CW39" s="9">
        <f ca="1">IF(OFFSET('RES Techs T15'!$AO39,0,MATCH(VLOOKUP('RES Veda input'!CW$3,'RES Assumptions T15'!$V$3:$W$35,2,FALSE),'RES Techs T15'!$G$3:$U$3,0))=0,"",OFFSET('RES Techs T15'!$AO39,0,MATCH(VLOOKUP('RES Veda input'!CW$3,'RES Assumptions T15'!$V$3:$W$35,2,FALSE),'RES Techs T15'!$G$3:$U$3,0)))</f>
        <v>6</v>
      </c>
      <c r="CY39" s="8" t="str">
        <f t="shared" si="63"/>
        <v>RCKDST000</v>
      </c>
      <c r="CZ39" s="10">
        <f ca="1">ROUND('RES Assumptions'!E122*'RES Veda input'!G39/'RES Veda input'!AM39,3)</f>
        <v>0.154</v>
      </c>
      <c r="DA39" s="10">
        <f ca="1">ROUND('RES Assumptions'!F122*'RES Veda input'!H39/'RES Veda input'!AN39,3)</f>
        <v>6.5359999999999996</v>
      </c>
      <c r="DB39" s="10">
        <f ca="1">ROUND('RES Assumptions'!G122*'RES Veda input'!I39/'RES Veda input'!AO39,3)</f>
        <v>0</v>
      </c>
      <c r="DC39" s="10">
        <f ca="1">ROUND('RES Assumptions'!H122*'RES Veda input'!J39/'RES Veda input'!AP39,3)</f>
        <v>8.3859999999999992</v>
      </c>
      <c r="DD39" s="10">
        <f ca="1">ROUND('RES Assumptions'!I122*'RES Veda input'!K39/'RES Veda input'!AQ39,3)</f>
        <v>1.68</v>
      </c>
      <c r="DE39" s="10">
        <f ca="1">ROUND('RES Assumptions'!J122*'RES Veda input'!L39/'RES Veda input'!AR39,3)</f>
        <v>1.4</v>
      </c>
      <c r="DF39" s="10">
        <f ca="1">ROUND('RES Assumptions'!K122*'RES Veda input'!M39/'RES Veda input'!AS39,3)</f>
        <v>1.4999999999999999E-2</v>
      </c>
      <c r="DG39" s="10">
        <f ca="1">ROUND('RES Assumptions'!L122*'RES Veda input'!N39/'RES Veda input'!AT39,3)</f>
        <v>0</v>
      </c>
      <c r="DH39" s="10">
        <f ca="1">ROUND('RES Assumptions'!M122*'RES Veda input'!O39/'RES Veda input'!AU39,3)</f>
        <v>0</v>
      </c>
      <c r="DI39" s="10">
        <f ca="1">ROUND('RES Assumptions'!N122*'RES Veda input'!P39/'RES Veda input'!AV39,3)</f>
        <v>19.712</v>
      </c>
      <c r="DJ39" s="10">
        <f ca="1">ROUND('RES Assumptions'!O122*'RES Veda input'!Q39/'RES Veda input'!AW39,3)</f>
        <v>0.441</v>
      </c>
      <c r="DK39" s="10">
        <f ca="1">ROUND('RES Assumptions'!P122*'RES Veda input'!R39/'RES Veda input'!AX39,3)</f>
        <v>13.856</v>
      </c>
      <c r="DL39" s="10">
        <f ca="1">ROUND('RES Assumptions'!Q122*'RES Veda input'!S39/'RES Veda input'!AY39,3)</f>
        <v>1.7170000000000001</v>
      </c>
      <c r="DM39" s="10">
        <f ca="1">ROUND('RES Assumptions'!R122*'RES Veda input'!T39/'RES Veda input'!AZ39,3)</f>
        <v>1.3320000000000001</v>
      </c>
      <c r="DN39" s="10">
        <f ca="1">ROUND('RES Assumptions'!S122*'RES Veda input'!U39/'RES Veda input'!BA39,3)</f>
        <v>2.4319999999999999</v>
      </c>
      <c r="DO39" s="10">
        <f ca="1">ROUND('RES Assumptions'!T122*'RES Veda input'!V39/'RES Veda input'!BB39,3)</f>
        <v>1.026</v>
      </c>
      <c r="DP39" s="10">
        <f ca="1">ROUND('RES Assumptions'!U122*'RES Veda input'!W39/'RES Veda input'!BC39,3)</f>
        <v>15.816000000000001</v>
      </c>
      <c r="DQ39" s="10">
        <f ca="1">ROUND('RES Assumptions'!V122*'RES Veda input'!X39/'RES Veda input'!BD39,3)</f>
        <v>2.254</v>
      </c>
      <c r="DR39" s="10">
        <f ca="1">ROUND('RES Assumptions'!W122*'RES Veda input'!Y39/'RES Veda input'!BE39,3)</f>
        <v>7.3680000000000003</v>
      </c>
      <c r="DS39" s="10">
        <f ca="1">ROUND('RES Assumptions'!X122*'RES Veda input'!Z39/'RES Veda input'!BF39,3)</f>
        <v>0</v>
      </c>
      <c r="DT39" s="10">
        <f ca="1">ROUND('RES Assumptions'!Y122*'RES Veda input'!AA39/'RES Veda input'!BG39,3)</f>
        <v>0.41699999999999998</v>
      </c>
      <c r="DU39" s="10">
        <f ca="1">ROUND('RES Assumptions'!Z122*'RES Veda input'!AB39/'RES Veda input'!BH39,3)</f>
        <v>0</v>
      </c>
      <c r="DV39" s="10">
        <f ca="1">ROUND('RES Assumptions'!AA122*'RES Veda input'!AC39/'RES Veda input'!BI39,3)</f>
        <v>5.86</v>
      </c>
      <c r="DW39" s="10">
        <f ca="1">ROUND('RES Assumptions'!AB122*'RES Veda input'!AD39/'RES Veda input'!BJ39,3)</f>
        <v>6.0000000000000001E-3</v>
      </c>
      <c r="DX39" s="10">
        <f ca="1">ROUND('RES Assumptions'!AC122*'RES Veda input'!AE39/'RES Veda input'!BK39,3)</f>
        <v>8.0719999999999992</v>
      </c>
      <c r="DY39" s="10">
        <f ca="1">ROUND('RES Assumptions'!AD122*'RES Veda input'!AF39/'RES Veda input'!BL39,3)</f>
        <v>0</v>
      </c>
      <c r="DZ39" s="10">
        <f ca="1">ROUND('RES Assumptions'!AE122*'RES Veda input'!AG39/'RES Veda input'!BM39,3)</f>
        <v>0.111</v>
      </c>
      <c r="EA39" s="10">
        <f ca="1">ROUND('RES Assumptions'!AF122*'RES Veda input'!AH39/'RES Veda input'!BN39,3)</f>
        <v>0.111</v>
      </c>
      <c r="EB39" s="10">
        <f ca="1">ROUND('RES Assumptions'!AG122*'RES Veda input'!AI39/'RES Veda input'!BO39,3)</f>
        <v>4.7770000000000001</v>
      </c>
      <c r="EC39" s="10">
        <f ca="1">ROUND('RES Assumptions'!AH122*'RES Veda input'!AJ39/'RES Veda input'!BP39,3)</f>
        <v>0</v>
      </c>
      <c r="ED39">
        <v>17</v>
      </c>
      <c r="EG39" t="s">
        <v>281</v>
      </c>
      <c r="EH39" t="str">
        <f t="shared" si="64"/>
        <v>RCKDST000</v>
      </c>
      <c r="EJ39" t="s">
        <v>282</v>
      </c>
      <c r="EK39" t="s">
        <v>283</v>
      </c>
    </row>
    <row r="40" spans="1:141" x14ac:dyDescent="0.45">
      <c r="A40" s="37" t="str">
        <f>'RES Assumptions'!B123</f>
        <v>RK</v>
      </c>
      <c r="B40" s="37" t="s">
        <v>149</v>
      </c>
      <c r="D40" s="51" t="s">
        <v>305</v>
      </c>
      <c r="E40" s="8" t="str">
        <f>'RES Assumptions'!A123</f>
        <v>RESELC</v>
      </c>
      <c r="F40" s="8" t="str">
        <f>VLOOKUP(A40,'RES Assumptions'!$AN$87:$AO$97,2,FALSE)</f>
        <v>RCK</v>
      </c>
      <c r="G40" s="9">
        <f ca="1">OFFSET('RES Techs T15'!$F40,0,MATCH(VLOOKUP('RES Veda input'!G$3,'RES Assumptions T15'!$V$3:$W$35,2,FALSE),'RES Techs T15'!$G$3:$U$3,0))</f>
        <v>0.75</v>
      </c>
      <c r="H40" s="9">
        <f ca="1">OFFSET('RES Techs T15'!$F40,0,MATCH(VLOOKUP('RES Veda input'!H$3,'RES Assumptions T15'!$V$3:$W$35,2,FALSE),'RES Techs T15'!$G$3:$U$3,0))</f>
        <v>0.75</v>
      </c>
      <c r="I40" s="9">
        <f ca="1">OFFSET('RES Techs T15'!$F40,0,MATCH(VLOOKUP('RES Veda input'!I$3,'RES Assumptions T15'!$V$3:$W$35,2,FALSE),'RES Techs T15'!$G$3:$U$3,0))</f>
        <v>0.75</v>
      </c>
      <c r="J40" s="9">
        <f ca="1">OFFSET('RES Techs T15'!$F40,0,MATCH(VLOOKUP('RES Veda input'!J$3,'RES Assumptions T15'!$V$3:$W$35,2,FALSE),'RES Techs T15'!$G$3:$U$3,0))</f>
        <v>0.75</v>
      </c>
      <c r="K40" s="9">
        <f ca="1">OFFSET('RES Techs T15'!$F40,0,MATCH(VLOOKUP('RES Veda input'!K$3,'RES Assumptions T15'!$V$3:$W$35,2,FALSE),'RES Techs T15'!$G$3:$U$3,0))</f>
        <v>0.75</v>
      </c>
      <c r="L40" s="9">
        <f ca="1">OFFSET('RES Techs T15'!$F40,0,MATCH(VLOOKUP('RES Veda input'!L$3,'RES Assumptions T15'!$V$3:$W$35,2,FALSE),'RES Techs T15'!$G$3:$U$3,0))</f>
        <v>0.75</v>
      </c>
      <c r="M40" s="9">
        <f ca="1">OFFSET('RES Techs T15'!$F40,0,MATCH(VLOOKUP('RES Veda input'!M$3,'RES Assumptions T15'!$V$3:$W$35,2,FALSE),'RES Techs T15'!$G$3:$U$3,0))</f>
        <v>0.75</v>
      </c>
      <c r="N40" s="9">
        <f ca="1">OFFSET('RES Techs T15'!$F40,0,MATCH(VLOOKUP('RES Veda input'!N$3,'RES Assumptions T15'!$V$3:$W$35,2,FALSE),'RES Techs T15'!$G$3:$U$3,0))</f>
        <v>0.75</v>
      </c>
      <c r="O40" s="9">
        <f ca="1">OFFSET('RES Techs T15'!$F40,0,MATCH(VLOOKUP('RES Veda input'!O$3,'RES Assumptions T15'!$V$3:$W$35,2,FALSE),'RES Techs T15'!$G$3:$U$3,0))</f>
        <v>0.75</v>
      </c>
      <c r="P40" s="9">
        <f ca="1">OFFSET('RES Techs T15'!$F40,0,MATCH(VLOOKUP('RES Veda input'!P$3,'RES Assumptions T15'!$V$3:$W$35,2,FALSE),'RES Techs T15'!$G$3:$U$3,0))</f>
        <v>0.75</v>
      </c>
      <c r="Q40" s="9">
        <f ca="1">OFFSET('RES Techs T15'!$F40,0,MATCH(VLOOKUP('RES Veda input'!Q$3,'RES Assumptions T15'!$V$3:$W$35,2,FALSE),'RES Techs T15'!$G$3:$U$3,0))</f>
        <v>0.75</v>
      </c>
      <c r="R40" s="9">
        <f ca="1">OFFSET('RES Techs T15'!$F40,0,MATCH(VLOOKUP('RES Veda input'!R$3,'RES Assumptions T15'!$V$3:$W$35,2,FALSE),'RES Techs T15'!$G$3:$U$3,0))</f>
        <v>0.75</v>
      </c>
      <c r="S40" s="9">
        <f ca="1">OFFSET('RES Techs T15'!$F40,0,MATCH(VLOOKUP('RES Veda input'!S$3,'RES Assumptions T15'!$V$3:$W$35,2,FALSE),'RES Techs T15'!$G$3:$U$3,0))</f>
        <v>0.75</v>
      </c>
      <c r="T40" s="9">
        <f ca="1">OFFSET('RES Techs T15'!$F40,0,MATCH(VLOOKUP('RES Veda input'!T$3,'RES Assumptions T15'!$V$3:$W$35,2,FALSE),'RES Techs T15'!$G$3:$U$3,0))</f>
        <v>0.75</v>
      </c>
      <c r="U40" s="9">
        <f ca="1">OFFSET('RES Techs T15'!$F40,0,MATCH(VLOOKUP('RES Veda input'!U$3,'RES Assumptions T15'!$V$3:$W$35,2,FALSE),'RES Techs T15'!$G$3:$U$3,0))</f>
        <v>0.75</v>
      </c>
      <c r="V40" s="9">
        <f ca="1">OFFSET('RES Techs T15'!$F40,0,MATCH(VLOOKUP('RES Veda input'!V$3,'RES Assumptions T15'!$V$3:$W$35,2,FALSE),'RES Techs T15'!$G$3:$U$3,0))</f>
        <v>0.75</v>
      </c>
      <c r="W40" s="9">
        <f ca="1">OFFSET('RES Techs T15'!$F40,0,MATCH(VLOOKUP('RES Veda input'!W$3,'RES Assumptions T15'!$V$3:$W$35,2,FALSE),'RES Techs T15'!$G$3:$U$3,0))</f>
        <v>0.75</v>
      </c>
      <c r="X40" s="9">
        <f ca="1">OFFSET('RES Techs T15'!$F40,0,MATCH(VLOOKUP('RES Veda input'!X$3,'RES Assumptions T15'!$V$3:$W$35,2,FALSE),'RES Techs T15'!$G$3:$U$3,0))</f>
        <v>0.75</v>
      </c>
      <c r="Y40" s="9">
        <f ca="1">OFFSET('RES Techs T15'!$F40,0,MATCH(VLOOKUP('RES Veda input'!Y$3,'RES Assumptions T15'!$V$3:$W$35,2,FALSE),'RES Techs T15'!$G$3:$U$3,0))</f>
        <v>0.75</v>
      </c>
      <c r="Z40" s="9">
        <f ca="1">OFFSET('RES Techs T15'!$F40,0,MATCH(VLOOKUP('RES Veda input'!Z$3,'RES Assumptions T15'!$V$3:$W$35,2,FALSE),'RES Techs T15'!$G$3:$U$3,0))</f>
        <v>0.75</v>
      </c>
      <c r="AA40" s="9">
        <f ca="1">OFFSET('RES Techs T15'!$F40,0,MATCH(VLOOKUP('RES Veda input'!AA$3,'RES Assumptions T15'!$V$3:$W$35,2,FALSE),'RES Techs T15'!$G$3:$U$3,0))</f>
        <v>0.75</v>
      </c>
      <c r="AB40" s="9">
        <f ca="1">OFFSET('RES Techs T15'!$F40,0,MATCH(VLOOKUP('RES Veda input'!AB$3,'RES Assumptions T15'!$V$3:$W$35,2,FALSE),'RES Techs T15'!$G$3:$U$3,0))</f>
        <v>0.75</v>
      </c>
      <c r="AC40" s="9">
        <f ca="1">OFFSET('RES Techs T15'!$F40,0,MATCH(VLOOKUP('RES Veda input'!AC$3,'RES Assumptions T15'!$V$3:$W$35,2,FALSE),'RES Techs T15'!$G$3:$U$3,0))</f>
        <v>0.75</v>
      </c>
      <c r="AD40" s="9">
        <f ca="1">OFFSET('RES Techs T15'!$F40,0,MATCH(VLOOKUP('RES Veda input'!AD$3,'RES Assumptions T15'!$V$3:$W$35,2,FALSE),'RES Techs T15'!$G$3:$U$3,0))</f>
        <v>0.75</v>
      </c>
      <c r="AE40" s="9">
        <f ca="1">OFFSET('RES Techs T15'!$F40,0,MATCH(VLOOKUP('RES Veda input'!AE$3,'RES Assumptions T15'!$V$3:$W$35,2,FALSE),'RES Techs T15'!$G$3:$U$3,0))</f>
        <v>0.75</v>
      </c>
      <c r="AF40" s="9">
        <f ca="1">OFFSET('RES Techs T15'!$F40,0,MATCH(VLOOKUP('RES Veda input'!AF$3,'RES Assumptions T15'!$V$3:$W$35,2,FALSE),'RES Techs T15'!$G$3:$U$3,0))</f>
        <v>0.75</v>
      </c>
      <c r="AG40" s="9">
        <f ca="1">OFFSET('RES Techs T15'!$F40,0,MATCH(VLOOKUP('RES Veda input'!AG$3,'RES Assumptions T15'!$V$3:$W$35,2,FALSE),'RES Techs T15'!$G$3:$U$3,0))</f>
        <v>0.75</v>
      </c>
      <c r="AH40" s="9">
        <f ca="1">OFFSET('RES Techs T15'!$F40,0,MATCH(VLOOKUP('RES Veda input'!AH$3,'RES Assumptions T15'!$V$3:$W$35,2,FALSE),'RES Techs T15'!$G$3:$U$3,0))</f>
        <v>0.75</v>
      </c>
      <c r="AI40" s="9">
        <f ca="1">OFFSET('RES Techs T15'!$F40,0,MATCH(VLOOKUP('RES Veda input'!AI$3,'RES Assumptions T15'!$V$3:$W$35,2,FALSE),'RES Techs T15'!$G$3:$U$3,0))</f>
        <v>0.75</v>
      </c>
      <c r="AJ40" s="9">
        <f ca="1">OFFSET('RES Techs T15'!$F40,0,MATCH(VLOOKUP('RES Veda input'!AJ$3,'RES Assumptions T15'!$V$3:$W$35,2,FALSE),'RES Techs T15'!$G$3:$U$3,0))</f>
        <v>0.75</v>
      </c>
      <c r="AL40" s="8" t="str">
        <f t="shared" si="60"/>
        <v>RCKELC000</v>
      </c>
      <c r="AM40" s="9">
        <f ca="1">OFFSET('RES Techs T15'!$W40,0,MATCH(VLOOKUP('RES Veda input'!AM$3,'RES Assumptions T15'!$V$3:$W$35,2,FALSE),'RES Techs T15'!$G$3:$U$3,0))</f>
        <v>1</v>
      </c>
      <c r="AN40" s="9">
        <f ca="1">OFFSET('RES Techs T15'!$W40,0,MATCH(VLOOKUP('RES Veda input'!AN$3,'RES Assumptions T15'!$V$3:$W$35,2,FALSE),'RES Techs T15'!$G$3:$U$3,0))</f>
        <v>1</v>
      </c>
      <c r="AO40" s="9">
        <f ca="1">OFFSET('RES Techs T15'!$W40,0,MATCH(VLOOKUP('RES Veda input'!AO$3,'RES Assumptions T15'!$V$3:$W$35,2,FALSE),'RES Techs T15'!$G$3:$U$3,0))</f>
        <v>1</v>
      </c>
      <c r="AP40" s="9">
        <f ca="1">OFFSET('RES Techs T15'!$W40,0,MATCH(VLOOKUP('RES Veda input'!AP$3,'RES Assumptions T15'!$V$3:$W$35,2,FALSE),'RES Techs T15'!$G$3:$U$3,0))</f>
        <v>1</v>
      </c>
      <c r="AQ40" s="9">
        <f ca="1">OFFSET('RES Techs T15'!$W40,0,MATCH(VLOOKUP('RES Veda input'!AQ$3,'RES Assumptions T15'!$V$3:$W$35,2,FALSE),'RES Techs T15'!$G$3:$U$3,0))</f>
        <v>1</v>
      </c>
      <c r="AR40" s="9">
        <f ca="1">OFFSET('RES Techs T15'!$W40,0,MATCH(VLOOKUP('RES Veda input'!AR$3,'RES Assumptions T15'!$V$3:$W$35,2,FALSE),'RES Techs T15'!$G$3:$U$3,0))</f>
        <v>1</v>
      </c>
      <c r="AS40" s="9">
        <f ca="1">OFFSET('RES Techs T15'!$W40,0,MATCH(VLOOKUP('RES Veda input'!AS$3,'RES Assumptions T15'!$V$3:$W$35,2,FALSE),'RES Techs T15'!$G$3:$U$3,0))</f>
        <v>1</v>
      </c>
      <c r="AT40" s="9">
        <f ca="1">OFFSET('RES Techs T15'!$W40,0,MATCH(VLOOKUP('RES Veda input'!AT$3,'RES Assumptions T15'!$V$3:$W$35,2,FALSE),'RES Techs T15'!$G$3:$U$3,0))</f>
        <v>1</v>
      </c>
      <c r="AU40" s="9">
        <f ca="1">OFFSET('RES Techs T15'!$W40,0,MATCH(VLOOKUP('RES Veda input'!AU$3,'RES Assumptions T15'!$V$3:$W$35,2,FALSE),'RES Techs T15'!$G$3:$U$3,0))</f>
        <v>1</v>
      </c>
      <c r="AV40" s="9">
        <f ca="1">OFFSET('RES Techs T15'!$W40,0,MATCH(VLOOKUP('RES Veda input'!AV$3,'RES Assumptions T15'!$V$3:$W$35,2,FALSE),'RES Techs T15'!$G$3:$U$3,0))</f>
        <v>1</v>
      </c>
      <c r="AW40" s="9">
        <f ca="1">OFFSET('RES Techs T15'!$W40,0,MATCH(VLOOKUP('RES Veda input'!AW$3,'RES Assumptions T15'!$V$3:$W$35,2,FALSE),'RES Techs T15'!$G$3:$U$3,0))</f>
        <v>1</v>
      </c>
      <c r="AX40" s="9">
        <f ca="1">OFFSET('RES Techs T15'!$W40,0,MATCH(VLOOKUP('RES Veda input'!AX$3,'RES Assumptions T15'!$V$3:$W$35,2,FALSE),'RES Techs T15'!$G$3:$U$3,0))</f>
        <v>1</v>
      </c>
      <c r="AY40" s="9">
        <f ca="1">OFFSET('RES Techs T15'!$W40,0,MATCH(VLOOKUP('RES Veda input'!AY$3,'RES Assumptions T15'!$V$3:$W$35,2,FALSE),'RES Techs T15'!$G$3:$U$3,0))</f>
        <v>1</v>
      </c>
      <c r="AZ40" s="9">
        <f ca="1">OFFSET('RES Techs T15'!$W40,0,MATCH(VLOOKUP('RES Veda input'!AZ$3,'RES Assumptions T15'!$V$3:$W$35,2,FALSE),'RES Techs T15'!$G$3:$U$3,0))</f>
        <v>1</v>
      </c>
      <c r="BA40" s="9">
        <f ca="1">OFFSET('RES Techs T15'!$W40,0,MATCH(VLOOKUP('RES Veda input'!BA$3,'RES Assumptions T15'!$V$3:$W$35,2,FALSE),'RES Techs T15'!$G$3:$U$3,0))</f>
        <v>1</v>
      </c>
      <c r="BB40" s="9">
        <f ca="1">OFFSET('RES Techs T15'!$W40,0,MATCH(VLOOKUP('RES Veda input'!BB$3,'RES Assumptions T15'!$V$3:$W$35,2,FALSE),'RES Techs T15'!$G$3:$U$3,0))</f>
        <v>1</v>
      </c>
      <c r="BC40" s="9">
        <f ca="1">OFFSET('RES Techs T15'!$W40,0,MATCH(VLOOKUP('RES Veda input'!BC$3,'RES Assumptions T15'!$V$3:$W$35,2,FALSE),'RES Techs T15'!$G$3:$U$3,0))</f>
        <v>1</v>
      </c>
      <c r="BD40" s="9">
        <f ca="1">OFFSET('RES Techs T15'!$W40,0,MATCH(VLOOKUP('RES Veda input'!BD$3,'RES Assumptions T15'!$V$3:$W$35,2,FALSE),'RES Techs T15'!$G$3:$U$3,0))</f>
        <v>1</v>
      </c>
      <c r="BE40" s="9">
        <f ca="1">OFFSET('RES Techs T15'!$W40,0,MATCH(VLOOKUP('RES Veda input'!BE$3,'RES Assumptions T15'!$V$3:$W$35,2,FALSE),'RES Techs T15'!$G$3:$U$3,0))</f>
        <v>1</v>
      </c>
      <c r="BF40" s="9">
        <f ca="1">OFFSET('RES Techs T15'!$W40,0,MATCH(VLOOKUP('RES Veda input'!BF$3,'RES Assumptions T15'!$V$3:$W$35,2,FALSE),'RES Techs T15'!$G$3:$U$3,0))</f>
        <v>1</v>
      </c>
      <c r="BG40" s="9">
        <f ca="1">OFFSET('RES Techs T15'!$W40,0,MATCH(VLOOKUP('RES Veda input'!BG$3,'RES Assumptions T15'!$V$3:$W$35,2,FALSE),'RES Techs T15'!$G$3:$U$3,0))</f>
        <v>1</v>
      </c>
      <c r="BH40" s="9">
        <f ca="1">OFFSET('RES Techs T15'!$W40,0,MATCH(VLOOKUP('RES Veda input'!BH$3,'RES Assumptions T15'!$V$3:$W$35,2,FALSE),'RES Techs T15'!$G$3:$U$3,0))</f>
        <v>1</v>
      </c>
      <c r="BI40" s="9">
        <f ca="1">OFFSET('RES Techs T15'!$W40,0,MATCH(VLOOKUP('RES Veda input'!BI$3,'RES Assumptions T15'!$V$3:$W$35,2,FALSE),'RES Techs T15'!$G$3:$U$3,0))</f>
        <v>1</v>
      </c>
      <c r="BJ40" s="9">
        <f ca="1">OFFSET('RES Techs T15'!$W40,0,MATCH(VLOOKUP('RES Veda input'!BJ$3,'RES Assumptions T15'!$V$3:$W$35,2,FALSE),'RES Techs T15'!$G$3:$U$3,0))</f>
        <v>1</v>
      </c>
      <c r="BK40" s="9">
        <f ca="1">OFFSET('RES Techs T15'!$W40,0,MATCH(VLOOKUP('RES Veda input'!BK$3,'RES Assumptions T15'!$V$3:$W$35,2,FALSE),'RES Techs T15'!$G$3:$U$3,0))</f>
        <v>1</v>
      </c>
      <c r="BL40" s="9">
        <f ca="1">OFFSET('RES Techs T15'!$W40,0,MATCH(VLOOKUP('RES Veda input'!BL$3,'RES Assumptions T15'!$V$3:$W$35,2,FALSE),'RES Techs T15'!$G$3:$U$3,0))</f>
        <v>1</v>
      </c>
      <c r="BM40" s="9">
        <f ca="1">OFFSET('RES Techs T15'!$W40,0,MATCH(VLOOKUP('RES Veda input'!BM$3,'RES Assumptions T15'!$V$3:$W$35,2,FALSE),'RES Techs T15'!$G$3:$U$3,0))</f>
        <v>1</v>
      </c>
      <c r="BN40" s="9">
        <f ca="1">OFFSET('RES Techs T15'!$W40,0,MATCH(VLOOKUP('RES Veda input'!BN$3,'RES Assumptions T15'!$V$3:$W$35,2,FALSE),'RES Techs T15'!$G$3:$U$3,0))</f>
        <v>1</v>
      </c>
      <c r="BO40" s="9">
        <f ca="1">OFFSET('RES Techs T15'!$W40,0,MATCH(VLOOKUP('RES Veda input'!BO$3,'RES Assumptions T15'!$V$3:$W$35,2,FALSE),'RES Techs T15'!$G$3:$U$3,0))</f>
        <v>1</v>
      </c>
      <c r="BP40" s="9">
        <f ca="1">OFFSET('RES Techs T15'!$W40,0,MATCH(VLOOKUP('RES Veda input'!BP$3,'RES Assumptions T15'!$V$3:$W$35,2,FALSE),'RES Techs T15'!$G$3:$U$3,0))</f>
        <v>1</v>
      </c>
      <c r="BR40" s="8" t="str">
        <f t="shared" si="61"/>
        <v>RCKELC000</v>
      </c>
      <c r="BS40" s="9">
        <f t="shared" ca="1" si="62"/>
        <v>8.4</v>
      </c>
      <c r="BT40" s="9" t="str">
        <f ca="1">IF(OFFSET('RES Techs T15'!$AO40,0,MATCH(VLOOKUP('RES Veda input'!BT$3,'RES Assumptions T15'!$V$3:$W$35,2,FALSE),'RES Techs T15'!$G$3:$U$3,0))=0,"",OFFSET('RES Techs T15'!$AO40,0,MATCH(VLOOKUP('RES Veda input'!BT$3,'RES Assumptions T15'!$V$3:$W$35,2,FALSE),'RES Techs T15'!$G$3:$U$3,0)))</f>
        <v/>
      </c>
      <c r="BU40" s="9" t="str">
        <f ca="1">IF(OFFSET('RES Techs T15'!$AO40,0,MATCH(VLOOKUP('RES Veda input'!BU$3,'RES Assumptions T15'!$V$3:$W$35,2,FALSE),'RES Techs T15'!$G$3:$U$3,0))=0,"",OFFSET('RES Techs T15'!$AO40,0,MATCH(VLOOKUP('RES Veda input'!BU$3,'RES Assumptions T15'!$V$3:$W$35,2,FALSE),'RES Techs T15'!$G$3:$U$3,0)))</f>
        <v/>
      </c>
      <c r="BV40" s="9">
        <f ca="1">IF(OFFSET('RES Techs T15'!$AO40,0,MATCH(VLOOKUP('RES Veda input'!BV$3,'RES Assumptions T15'!$V$3:$W$35,2,FALSE),'RES Techs T15'!$G$3:$U$3,0))=0,"",OFFSET('RES Techs T15'!$AO40,0,MATCH(VLOOKUP('RES Veda input'!BV$3,'RES Assumptions T15'!$V$3:$W$35,2,FALSE),'RES Techs T15'!$G$3:$U$3,0)))</f>
        <v>9.8000000000000007</v>
      </c>
      <c r="BW40" s="9" t="str">
        <f ca="1">IF(OFFSET('RES Techs T15'!$AO40,0,MATCH(VLOOKUP('RES Veda input'!BW$3,'RES Assumptions T15'!$V$3:$W$35,2,FALSE),'RES Techs T15'!$G$3:$U$3,0))=0,"",OFFSET('RES Techs T15'!$AO40,0,MATCH(VLOOKUP('RES Veda input'!BW$3,'RES Assumptions T15'!$V$3:$W$35,2,FALSE),'RES Techs T15'!$G$3:$U$3,0)))</f>
        <v/>
      </c>
      <c r="BX40" s="9">
        <f ca="1">IF(OFFSET('RES Techs T15'!$AO40,0,MATCH(VLOOKUP('RES Veda input'!BX$3,'RES Assumptions T15'!$V$3:$W$35,2,FALSE),'RES Techs T15'!$G$3:$U$3,0))=0,"",OFFSET('RES Techs T15'!$AO40,0,MATCH(VLOOKUP('RES Veda input'!BX$3,'RES Assumptions T15'!$V$3:$W$35,2,FALSE),'RES Techs T15'!$G$3:$U$3,0)))</f>
        <v>14</v>
      </c>
      <c r="BY40" s="9">
        <f ca="1">IF(OFFSET('RES Techs T15'!$AO40,0,MATCH(VLOOKUP('RES Veda input'!BY$3,'RES Assumptions T15'!$V$3:$W$35,2,FALSE),'RES Techs T15'!$G$3:$U$3,0))=0,"",OFFSET('RES Techs T15'!$AO40,0,MATCH(VLOOKUP('RES Veda input'!BY$3,'RES Assumptions T15'!$V$3:$W$35,2,FALSE),'RES Techs T15'!$G$3:$U$3,0)))</f>
        <v>8.4</v>
      </c>
      <c r="BZ40" s="9" t="str">
        <f ca="1">IF(OFFSET('RES Techs T15'!$AO40,0,MATCH(VLOOKUP('RES Veda input'!BZ$3,'RES Assumptions T15'!$V$3:$W$35,2,FALSE),'RES Techs T15'!$G$3:$U$3,0))=0,"",OFFSET('RES Techs T15'!$AO40,0,MATCH(VLOOKUP('RES Veda input'!BZ$3,'RES Assumptions T15'!$V$3:$W$35,2,FALSE),'RES Techs T15'!$G$3:$U$3,0)))</f>
        <v/>
      </c>
      <c r="CA40" s="9">
        <f ca="1">IF(OFFSET('RES Techs T15'!$AO40,0,MATCH(VLOOKUP('RES Veda input'!CA$3,'RES Assumptions T15'!$V$3:$W$35,2,FALSE),'RES Techs T15'!$G$3:$U$3,0))=0,"",OFFSET('RES Techs T15'!$AO40,0,MATCH(VLOOKUP('RES Veda input'!CA$3,'RES Assumptions T15'!$V$3:$W$35,2,FALSE),'RES Techs T15'!$G$3:$U$3,0)))</f>
        <v>9.8000000000000007</v>
      </c>
      <c r="CB40" s="9" t="str">
        <f ca="1">IF(OFFSET('RES Techs T15'!$AO40,0,MATCH(VLOOKUP('RES Veda input'!CB$3,'RES Assumptions T15'!$V$3:$W$35,2,FALSE),'RES Techs T15'!$G$3:$U$3,0))=0,"",OFFSET('RES Techs T15'!$AO40,0,MATCH(VLOOKUP('RES Veda input'!CB$3,'RES Assumptions T15'!$V$3:$W$35,2,FALSE),'RES Techs T15'!$G$3:$U$3,0)))</f>
        <v/>
      </c>
      <c r="CC40" s="9" t="str">
        <f ca="1">IF(OFFSET('RES Techs T15'!$AO40,0,MATCH(VLOOKUP('RES Veda input'!CC$3,'RES Assumptions T15'!$V$3:$W$35,2,FALSE),'RES Techs T15'!$G$3:$U$3,0))=0,"",OFFSET('RES Techs T15'!$AO40,0,MATCH(VLOOKUP('RES Veda input'!CC$3,'RES Assumptions T15'!$V$3:$W$35,2,FALSE),'RES Techs T15'!$G$3:$U$3,0)))</f>
        <v/>
      </c>
      <c r="CD40" s="9" t="str">
        <f ca="1">IF(OFFSET('RES Techs T15'!$AO40,0,MATCH(VLOOKUP('RES Veda input'!CD$3,'RES Assumptions T15'!$V$3:$W$35,2,FALSE),'RES Techs T15'!$G$3:$U$3,0))=0,"",OFFSET('RES Techs T15'!$AO40,0,MATCH(VLOOKUP('RES Veda input'!CD$3,'RES Assumptions T15'!$V$3:$W$35,2,FALSE),'RES Techs T15'!$G$3:$U$3,0)))</f>
        <v/>
      </c>
      <c r="CE40" s="9" t="str">
        <f ca="1">IF(OFFSET('RES Techs T15'!$AO40,0,MATCH(VLOOKUP('RES Veda input'!CE$3,'RES Assumptions T15'!$V$3:$W$35,2,FALSE),'RES Techs T15'!$G$3:$U$3,0))=0,"",OFFSET('RES Techs T15'!$AO40,0,MATCH(VLOOKUP('RES Veda input'!CE$3,'RES Assumptions T15'!$V$3:$W$35,2,FALSE),'RES Techs T15'!$G$3:$U$3,0)))</f>
        <v/>
      </c>
      <c r="CF40" s="9" t="str">
        <f ca="1">IF(OFFSET('RES Techs T15'!$AO40,0,MATCH(VLOOKUP('RES Veda input'!CF$3,'RES Assumptions T15'!$V$3:$W$35,2,FALSE),'RES Techs T15'!$G$3:$U$3,0))=0,"",OFFSET('RES Techs T15'!$AO40,0,MATCH(VLOOKUP('RES Veda input'!CF$3,'RES Assumptions T15'!$V$3:$W$35,2,FALSE),'RES Techs T15'!$G$3:$U$3,0)))</f>
        <v/>
      </c>
      <c r="CG40" s="9" t="str">
        <f ca="1">IF(OFFSET('RES Techs T15'!$AO40,0,MATCH(VLOOKUP('RES Veda input'!CG$3,'RES Assumptions T15'!$V$3:$W$35,2,FALSE),'RES Techs T15'!$G$3:$U$3,0))=0,"",OFFSET('RES Techs T15'!$AO40,0,MATCH(VLOOKUP('RES Veda input'!CG$3,'RES Assumptions T15'!$V$3:$W$35,2,FALSE),'RES Techs T15'!$G$3:$U$3,0)))</f>
        <v/>
      </c>
      <c r="CH40" s="9" t="str">
        <f ca="1">IF(OFFSET('RES Techs T15'!$AO40,0,MATCH(VLOOKUP('RES Veda input'!CH$3,'RES Assumptions T15'!$V$3:$W$35,2,FALSE),'RES Techs T15'!$G$3:$U$3,0))=0,"",OFFSET('RES Techs T15'!$AO40,0,MATCH(VLOOKUP('RES Veda input'!CH$3,'RES Assumptions T15'!$V$3:$W$35,2,FALSE),'RES Techs T15'!$G$3:$U$3,0)))</f>
        <v/>
      </c>
      <c r="CI40" s="9" t="str">
        <f ca="1">IF(OFFSET('RES Techs T15'!$AO40,0,MATCH(VLOOKUP('RES Veda input'!CI$3,'RES Assumptions T15'!$V$3:$W$35,2,FALSE),'RES Techs T15'!$G$3:$U$3,0))=0,"",OFFSET('RES Techs T15'!$AO40,0,MATCH(VLOOKUP('RES Veda input'!CI$3,'RES Assumptions T15'!$V$3:$W$35,2,FALSE),'RES Techs T15'!$G$3:$U$3,0)))</f>
        <v/>
      </c>
      <c r="CJ40" s="9">
        <f ca="1">IF(OFFSET('RES Techs T15'!$AO40,0,MATCH(VLOOKUP('RES Veda input'!CJ$3,'RES Assumptions T15'!$V$3:$W$35,2,FALSE),'RES Techs T15'!$G$3:$U$3,0))=0,"",OFFSET('RES Techs T15'!$AO40,0,MATCH(VLOOKUP('RES Veda input'!CJ$3,'RES Assumptions T15'!$V$3:$W$35,2,FALSE),'RES Techs T15'!$G$3:$U$3,0)))</f>
        <v>9.8000000000000007</v>
      </c>
      <c r="CK40" s="9" t="str">
        <f ca="1">IF(OFFSET('RES Techs T15'!$AO40,0,MATCH(VLOOKUP('RES Veda input'!CK$3,'RES Assumptions T15'!$V$3:$W$35,2,FALSE),'RES Techs T15'!$G$3:$U$3,0))=0,"",OFFSET('RES Techs T15'!$AO40,0,MATCH(VLOOKUP('RES Veda input'!CK$3,'RES Assumptions T15'!$V$3:$W$35,2,FALSE),'RES Techs T15'!$G$3:$U$3,0)))</f>
        <v/>
      </c>
      <c r="CL40" s="9" t="str">
        <f ca="1">IF(OFFSET('RES Techs T15'!$AO40,0,MATCH(VLOOKUP('RES Veda input'!CL$3,'RES Assumptions T15'!$V$3:$W$35,2,FALSE),'RES Techs T15'!$G$3:$U$3,0))=0,"",OFFSET('RES Techs T15'!$AO40,0,MATCH(VLOOKUP('RES Veda input'!CL$3,'RES Assumptions T15'!$V$3:$W$35,2,FALSE),'RES Techs T15'!$G$3:$U$3,0)))</f>
        <v/>
      </c>
      <c r="CM40" s="9">
        <f ca="1">IF(OFFSET('RES Techs T15'!$AO40,0,MATCH(VLOOKUP('RES Veda input'!CM$3,'RES Assumptions T15'!$V$3:$W$35,2,FALSE),'RES Techs T15'!$G$3:$U$3,0))=0,"",OFFSET('RES Techs T15'!$AO40,0,MATCH(VLOOKUP('RES Veda input'!CM$3,'RES Assumptions T15'!$V$3:$W$35,2,FALSE),'RES Techs T15'!$G$3:$U$3,0)))</f>
        <v>8.4</v>
      </c>
      <c r="CN40" s="9">
        <f ca="1">IF(OFFSET('RES Techs T15'!$AO40,0,MATCH(VLOOKUP('RES Veda input'!CN$3,'RES Assumptions T15'!$V$3:$W$35,2,FALSE),'RES Techs T15'!$G$3:$U$3,0))=0,"",OFFSET('RES Techs T15'!$AO40,0,MATCH(VLOOKUP('RES Veda input'!CN$3,'RES Assumptions T15'!$V$3:$W$35,2,FALSE),'RES Techs T15'!$G$3:$U$3,0)))</f>
        <v>9.8000000000000007</v>
      </c>
      <c r="CO40" s="9">
        <f ca="1">IF(OFFSET('RES Techs T15'!$AO40,0,MATCH(VLOOKUP('RES Veda input'!CO$3,'RES Assumptions T15'!$V$3:$W$35,2,FALSE),'RES Techs T15'!$G$3:$U$3,0))=0,"",OFFSET('RES Techs T15'!$AO40,0,MATCH(VLOOKUP('RES Veda input'!CO$3,'RES Assumptions T15'!$V$3:$W$35,2,FALSE),'RES Techs T15'!$G$3:$U$3,0)))</f>
        <v>11.2</v>
      </c>
      <c r="CP40" s="9">
        <f ca="1">IF(OFFSET('RES Techs T15'!$AO40,0,MATCH(VLOOKUP('RES Veda input'!CP$3,'RES Assumptions T15'!$V$3:$W$35,2,FALSE),'RES Techs T15'!$G$3:$U$3,0))=0,"",OFFSET('RES Techs T15'!$AO40,0,MATCH(VLOOKUP('RES Veda input'!CP$3,'RES Assumptions T15'!$V$3:$W$35,2,FALSE),'RES Techs T15'!$G$3:$U$3,0)))</f>
        <v>9.8000000000000007</v>
      </c>
      <c r="CQ40" s="9" t="str">
        <f ca="1">IF(OFFSET('RES Techs T15'!$AO40,0,MATCH(VLOOKUP('RES Veda input'!CQ$3,'RES Assumptions T15'!$V$3:$W$35,2,FALSE),'RES Techs T15'!$G$3:$U$3,0))=0,"",OFFSET('RES Techs T15'!$AO40,0,MATCH(VLOOKUP('RES Veda input'!CQ$3,'RES Assumptions T15'!$V$3:$W$35,2,FALSE),'RES Techs T15'!$G$3:$U$3,0)))</f>
        <v/>
      </c>
      <c r="CR40" s="9" t="str">
        <f ca="1">IF(OFFSET('RES Techs T15'!$AO40,0,MATCH(VLOOKUP('RES Veda input'!CR$3,'RES Assumptions T15'!$V$3:$W$35,2,FALSE),'RES Techs T15'!$G$3:$U$3,0))=0,"",OFFSET('RES Techs T15'!$AO40,0,MATCH(VLOOKUP('RES Veda input'!CR$3,'RES Assumptions T15'!$V$3:$W$35,2,FALSE),'RES Techs T15'!$G$3:$U$3,0)))</f>
        <v/>
      </c>
      <c r="CS40" s="9">
        <f ca="1">IF(OFFSET('RES Techs T15'!$AO40,0,MATCH(VLOOKUP('RES Veda input'!CS$3,'RES Assumptions T15'!$V$3:$W$35,2,FALSE),'RES Techs T15'!$G$3:$U$3,0))=0,"",OFFSET('RES Techs T15'!$AO40,0,MATCH(VLOOKUP('RES Veda input'!CS$3,'RES Assumptions T15'!$V$3:$W$35,2,FALSE),'RES Techs T15'!$G$3:$U$3,0)))</f>
        <v>9.8000000000000007</v>
      </c>
      <c r="CT40" s="9" t="str">
        <f ca="1">IF(OFFSET('RES Techs T15'!$AO40,0,MATCH(VLOOKUP('RES Veda input'!CT$3,'RES Assumptions T15'!$V$3:$W$35,2,FALSE),'RES Techs T15'!$G$3:$U$3,0))=0,"",OFFSET('RES Techs T15'!$AO40,0,MATCH(VLOOKUP('RES Veda input'!CT$3,'RES Assumptions T15'!$V$3:$W$35,2,FALSE),'RES Techs T15'!$G$3:$U$3,0)))</f>
        <v/>
      </c>
      <c r="CU40" s="9" t="str">
        <f ca="1">IF(OFFSET('RES Techs T15'!$AO40,0,MATCH(VLOOKUP('RES Veda input'!CU$3,'RES Assumptions T15'!$V$3:$W$35,2,FALSE),'RES Techs T15'!$G$3:$U$3,0))=0,"",OFFSET('RES Techs T15'!$AO40,0,MATCH(VLOOKUP('RES Veda input'!CU$3,'RES Assumptions T15'!$V$3:$W$35,2,FALSE),'RES Techs T15'!$G$3:$U$3,0)))</f>
        <v/>
      </c>
      <c r="CV40" s="9" t="str">
        <f ca="1">IF(OFFSET('RES Techs T15'!$AO40,0,MATCH(VLOOKUP('RES Veda input'!CV$3,'RES Assumptions T15'!$V$3:$W$35,2,FALSE),'RES Techs T15'!$G$3:$U$3,0))=0,"",OFFSET('RES Techs T15'!$AO40,0,MATCH(VLOOKUP('RES Veda input'!CV$3,'RES Assumptions T15'!$V$3:$W$35,2,FALSE),'RES Techs T15'!$G$3:$U$3,0)))</f>
        <v/>
      </c>
      <c r="CW40" s="9" t="str">
        <f ca="1">IF(OFFSET('RES Techs T15'!$AO40,0,MATCH(VLOOKUP('RES Veda input'!CW$3,'RES Assumptions T15'!$V$3:$W$35,2,FALSE),'RES Techs T15'!$G$3:$U$3,0))=0,"",OFFSET('RES Techs T15'!$AO40,0,MATCH(VLOOKUP('RES Veda input'!CW$3,'RES Assumptions T15'!$V$3:$W$35,2,FALSE),'RES Techs T15'!$G$3:$U$3,0)))</f>
        <v/>
      </c>
      <c r="CY40" s="8" t="str">
        <f t="shared" si="63"/>
        <v>RCKELC000</v>
      </c>
      <c r="CZ40" s="10">
        <f ca="1">ROUND('RES Assumptions'!E123*'RES Veda input'!G40/'RES Veda input'!AM40,3)</f>
        <v>0</v>
      </c>
      <c r="DA40" s="10">
        <f ca="1">ROUND('RES Assumptions'!F123*'RES Veda input'!H40/'RES Veda input'!AN40,3)</f>
        <v>0</v>
      </c>
      <c r="DB40" s="10">
        <f ca="1">ROUND('RES Assumptions'!G123*'RES Veda input'!I40/'RES Veda input'!AO40,3)</f>
        <v>0.21</v>
      </c>
      <c r="DC40" s="10">
        <f ca="1">ROUND('RES Assumptions'!H123*'RES Veda input'!J40/'RES Veda input'!AP40,3)</f>
        <v>9.2530000000000001</v>
      </c>
      <c r="DD40" s="10">
        <f ca="1">ROUND('RES Assumptions'!I123*'RES Veda input'!K40/'RES Veda input'!AQ40,3)</f>
        <v>41.368000000000002</v>
      </c>
      <c r="DE40" s="10">
        <f ca="1">ROUND('RES Assumptions'!J123*'RES Veda input'!L40/'RES Veda input'!AR40,3)</f>
        <v>17.762</v>
      </c>
      <c r="DF40" s="10">
        <f ca="1">ROUND('RES Assumptions'!K123*'RES Veda input'!M40/'RES Veda input'!AS40,3)</f>
        <v>10.977</v>
      </c>
      <c r="DG40" s="10">
        <f ca="1">ROUND('RES Assumptions'!L123*'RES Veda input'!N40/'RES Veda input'!AT40,3)</f>
        <v>0.52900000000000003</v>
      </c>
      <c r="DH40" s="10">
        <f ca="1">ROUND('RES Assumptions'!M123*'RES Veda input'!O40/'RES Veda input'!AU40,3)</f>
        <v>25.617000000000001</v>
      </c>
      <c r="DI40" s="10">
        <f ca="1">ROUND('RES Assumptions'!N123*'RES Veda input'!P40/'RES Veda input'!AV40,3)</f>
        <v>59.786999999999999</v>
      </c>
      <c r="DJ40" s="10">
        <f ca="1">ROUND('RES Assumptions'!O123*'RES Veda input'!Q40/'RES Veda input'!AW40,3)</f>
        <v>23.181999999999999</v>
      </c>
      <c r="DK40" s="10">
        <f ca="1">ROUND('RES Assumptions'!P123*'RES Veda input'!R40/'RES Veda input'!AX40,3)</f>
        <v>19.731999999999999</v>
      </c>
      <c r="DL40" s="10">
        <f ca="1">ROUND('RES Assumptions'!Q123*'RES Veda input'!S40/'RES Veda input'!AY40,3)</f>
        <v>15.369</v>
      </c>
      <c r="DM40" s="10">
        <f ca="1">ROUND('RES Assumptions'!R123*'RES Veda input'!T40/'RES Veda input'!AZ40,3)</f>
        <v>25.888999999999999</v>
      </c>
      <c r="DN40" s="10">
        <f ca="1">ROUND('RES Assumptions'!S123*'RES Veda input'!U40/'RES Veda input'!BA40,3)</f>
        <v>11.846</v>
      </c>
      <c r="DO40" s="10">
        <f ca="1">ROUND('RES Assumptions'!T123*'RES Veda input'!V40/'RES Veda input'!BB40,3)</f>
        <v>26.073</v>
      </c>
      <c r="DP40" s="10">
        <f ca="1">ROUND('RES Assumptions'!U123*'RES Veda input'!W40/'RES Veda input'!BC40,3)</f>
        <v>5.5010000000000003</v>
      </c>
      <c r="DQ40" s="10">
        <f ca="1">ROUND('RES Assumptions'!V123*'RES Veda input'!X40/'RES Veda input'!BD40,3)</f>
        <v>48.308999999999997</v>
      </c>
      <c r="DR40" s="10">
        <f ca="1">ROUND('RES Assumptions'!W123*'RES Veda input'!Y40/'RES Veda input'!BE40,3)</f>
        <v>38.273000000000003</v>
      </c>
      <c r="DS40" s="10">
        <f ca="1">ROUND('RES Assumptions'!X123*'RES Veda input'!Z40/'RES Veda input'!BF40,3)</f>
        <v>3.06</v>
      </c>
      <c r="DT40" s="10">
        <f ca="1">ROUND('RES Assumptions'!Y123*'RES Veda input'!AA40/'RES Veda input'!BG40,3)</f>
        <v>0.42199999999999999</v>
      </c>
      <c r="DU40" s="10">
        <f ca="1">ROUND('RES Assumptions'!Z123*'RES Veda input'!AB40/'RES Veda input'!BH40,3)</f>
        <v>0.38800000000000001</v>
      </c>
      <c r="DV40" s="10">
        <f ca="1">ROUND('RES Assumptions'!AA123*'RES Veda input'!AC40/'RES Veda input'!BI40,3)</f>
        <v>10.007999999999999</v>
      </c>
      <c r="DW40" s="10">
        <f ca="1">ROUND('RES Assumptions'!AB123*'RES Veda input'!AD40/'RES Veda input'!BJ40,3)</f>
        <v>12.384</v>
      </c>
      <c r="DX40" s="10">
        <f ca="1">ROUND('RES Assumptions'!AC123*'RES Veda input'!AE40/'RES Veda input'!BK40,3)</f>
        <v>26.036999999999999</v>
      </c>
      <c r="DY40" s="10">
        <f ca="1">ROUND('RES Assumptions'!AD123*'RES Veda input'!AF40/'RES Veda input'!BL40,3)</f>
        <v>4.8049999999999997</v>
      </c>
      <c r="DZ40" s="10">
        <f ca="1">ROUND('RES Assumptions'!AE123*'RES Veda input'!AG40/'RES Veda input'!BM40,3)</f>
        <v>0</v>
      </c>
      <c r="EA40" s="10">
        <f ca="1">ROUND('RES Assumptions'!AF123*'RES Veda input'!AH40/'RES Veda input'!BN40,3)</f>
        <v>31.402999999999999</v>
      </c>
      <c r="EB40" s="10">
        <f ca="1">ROUND('RES Assumptions'!AG123*'RES Veda input'!AI40/'RES Veda input'!BO40,3)</f>
        <v>159.46</v>
      </c>
      <c r="EC40" s="10">
        <f ca="1">ROUND('RES Assumptions'!AH123*'RES Veda input'!AJ40/'RES Veda input'!BP40,3)</f>
        <v>0</v>
      </c>
      <c r="ED40">
        <v>17</v>
      </c>
      <c r="EG40" t="s">
        <v>281</v>
      </c>
      <c r="EH40" t="str">
        <f t="shared" si="64"/>
        <v>RCKELC000</v>
      </c>
      <c r="EJ40" t="s">
        <v>282</v>
      </c>
      <c r="EK40" t="s">
        <v>283</v>
      </c>
    </row>
    <row r="41" spans="1:141" x14ac:dyDescent="0.45">
      <c r="A41" s="37" t="str">
        <f>'RES Assumptions'!B124</f>
        <v>RK</v>
      </c>
      <c r="B41" s="37" t="s">
        <v>150</v>
      </c>
      <c r="D41" s="51" t="s">
        <v>306</v>
      </c>
      <c r="E41" s="8" t="str">
        <f>'RES Assumptions'!A124</f>
        <v>RESKER</v>
      </c>
      <c r="F41" s="8" t="str">
        <f>VLOOKUP(A41,'RES Assumptions'!$AN$87:$AO$97,2,FALSE)</f>
        <v>RCK</v>
      </c>
      <c r="G41" s="9">
        <f ca="1">OFFSET('RES Techs T15'!$F41,0,MATCH(VLOOKUP('RES Veda input'!G$3,'RES Assumptions T15'!$V$3:$W$35,2,FALSE),'RES Techs T15'!$G$3:$U$3,0))</f>
        <v>0.5</v>
      </c>
      <c r="H41" s="9">
        <f ca="1">OFFSET('RES Techs T15'!$F41,0,MATCH(VLOOKUP('RES Veda input'!H$3,'RES Assumptions T15'!$V$3:$W$35,2,FALSE),'RES Techs T15'!$G$3:$U$3,0))</f>
        <v>0.5</v>
      </c>
      <c r="I41" s="9">
        <f ca="1">OFFSET('RES Techs T15'!$F41,0,MATCH(VLOOKUP('RES Veda input'!I$3,'RES Assumptions T15'!$V$3:$W$35,2,FALSE),'RES Techs T15'!$G$3:$U$3,0))</f>
        <v>0.5</v>
      </c>
      <c r="J41" s="9">
        <f ca="1">OFFSET('RES Techs T15'!$F41,0,MATCH(VLOOKUP('RES Veda input'!J$3,'RES Assumptions T15'!$V$3:$W$35,2,FALSE),'RES Techs T15'!$G$3:$U$3,0))</f>
        <v>0.5</v>
      </c>
      <c r="K41" s="9">
        <f ca="1">OFFSET('RES Techs T15'!$F41,0,MATCH(VLOOKUP('RES Veda input'!K$3,'RES Assumptions T15'!$V$3:$W$35,2,FALSE),'RES Techs T15'!$G$3:$U$3,0))</f>
        <v>0.5</v>
      </c>
      <c r="L41" s="9">
        <f ca="1">OFFSET('RES Techs T15'!$F41,0,MATCH(VLOOKUP('RES Veda input'!L$3,'RES Assumptions T15'!$V$3:$W$35,2,FALSE),'RES Techs T15'!$G$3:$U$3,0))</f>
        <v>0.5</v>
      </c>
      <c r="M41" s="9">
        <f ca="1">OFFSET('RES Techs T15'!$F41,0,MATCH(VLOOKUP('RES Veda input'!M$3,'RES Assumptions T15'!$V$3:$W$35,2,FALSE),'RES Techs T15'!$G$3:$U$3,0))</f>
        <v>0.5</v>
      </c>
      <c r="N41" s="9">
        <f ca="1">OFFSET('RES Techs T15'!$F41,0,MATCH(VLOOKUP('RES Veda input'!N$3,'RES Assumptions T15'!$V$3:$W$35,2,FALSE),'RES Techs T15'!$G$3:$U$3,0))</f>
        <v>0.5</v>
      </c>
      <c r="O41" s="9">
        <f ca="1">OFFSET('RES Techs T15'!$F41,0,MATCH(VLOOKUP('RES Veda input'!O$3,'RES Assumptions T15'!$V$3:$W$35,2,FALSE),'RES Techs T15'!$G$3:$U$3,0))</f>
        <v>0.5</v>
      </c>
      <c r="P41" s="9">
        <f ca="1">OFFSET('RES Techs T15'!$F41,0,MATCH(VLOOKUP('RES Veda input'!P$3,'RES Assumptions T15'!$V$3:$W$35,2,FALSE),'RES Techs T15'!$G$3:$U$3,0))</f>
        <v>0.5</v>
      </c>
      <c r="Q41" s="9">
        <f ca="1">OFFSET('RES Techs T15'!$F41,0,MATCH(VLOOKUP('RES Veda input'!Q$3,'RES Assumptions T15'!$V$3:$W$35,2,FALSE),'RES Techs T15'!$G$3:$U$3,0))</f>
        <v>0.5</v>
      </c>
      <c r="R41" s="9">
        <f ca="1">OFFSET('RES Techs T15'!$F41,0,MATCH(VLOOKUP('RES Veda input'!R$3,'RES Assumptions T15'!$V$3:$W$35,2,FALSE),'RES Techs T15'!$G$3:$U$3,0))</f>
        <v>0.5</v>
      </c>
      <c r="S41" s="9">
        <f ca="1">OFFSET('RES Techs T15'!$F41,0,MATCH(VLOOKUP('RES Veda input'!S$3,'RES Assumptions T15'!$V$3:$W$35,2,FALSE),'RES Techs T15'!$G$3:$U$3,0))</f>
        <v>0.5</v>
      </c>
      <c r="T41" s="9">
        <f ca="1">OFFSET('RES Techs T15'!$F41,0,MATCH(VLOOKUP('RES Veda input'!T$3,'RES Assumptions T15'!$V$3:$W$35,2,FALSE),'RES Techs T15'!$G$3:$U$3,0))</f>
        <v>0.5</v>
      </c>
      <c r="U41" s="9">
        <f ca="1">OFFSET('RES Techs T15'!$F41,0,MATCH(VLOOKUP('RES Veda input'!U$3,'RES Assumptions T15'!$V$3:$W$35,2,FALSE),'RES Techs T15'!$G$3:$U$3,0))</f>
        <v>0.5</v>
      </c>
      <c r="V41" s="9">
        <f ca="1">OFFSET('RES Techs T15'!$F41,0,MATCH(VLOOKUP('RES Veda input'!V$3,'RES Assumptions T15'!$V$3:$W$35,2,FALSE),'RES Techs T15'!$G$3:$U$3,0))</f>
        <v>0.5</v>
      </c>
      <c r="W41" s="9">
        <f ca="1">OFFSET('RES Techs T15'!$F41,0,MATCH(VLOOKUP('RES Veda input'!W$3,'RES Assumptions T15'!$V$3:$W$35,2,FALSE),'RES Techs T15'!$G$3:$U$3,0))</f>
        <v>0.5</v>
      </c>
      <c r="X41" s="9">
        <f ca="1">OFFSET('RES Techs T15'!$F41,0,MATCH(VLOOKUP('RES Veda input'!X$3,'RES Assumptions T15'!$V$3:$W$35,2,FALSE),'RES Techs T15'!$G$3:$U$3,0))</f>
        <v>0.5</v>
      </c>
      <c r="Y41" s="9">
        <f ca="1">OFFSET('RES Techs T15'!$F41,0,MATCH(VLOOKUP('RES Veda input'!Y$3,'RES Assumptions T15'!$V$3:$W$35,2,FALSE),'RES Techs T15'!$G$3:$U$3,0))</f>
        <v>0.5</v>
      </c>
      <c r="Z41" s="9">
        <f ca="1">OFFSET('RES Techs T15'!$F41,0,MATCH(VLOOKUP('RES Veda input'!Z$3,'RES Assumptions T15'!$V$3:$W$35,2,FALSE),'RES Techs T15'!$G$3:$U$3,0))</f>
        <v>0.5</v>
      </c>
      <c r="AA41" s="9">
        <f ca="1">OFFSET('RES Techs T15'!$F41,0,MATCH(VLOOKUP('RES Veda input'!AA$3,'RES Assumptions T15'!$V$3:$W$35,2,FALSE),'RES Techs T15'!$G$3:$U$3,0))</f>
        <v>0.5</v>
      </c>
      <c r="AB41" s="9">
        <f ca="1">OFFSET('RES Techs T15'!$F41,0,MATCH(VLOOKUP('RES Veda input'!AB$3,'RES Assumptions T15'!$V$3:$W$35,2,FALSE),'RES Techs T15'!$G$3:$U$3,0))</f>
        <v>0.5</v>
      </c>
      <c r="AC41" s="9">
        <f ca="1">OFFSET('RES Techs T15'!$F41,0,MATCH(VLOOKUP('RES Veda input'!AC$3,'RES Assumptions T15'!$V$3:$W$35,2,FALSE),'RES Techs T15'!$G$3:$U$3,0))</f>
        <v>0.5</v>
      </c>
      <c r="AD41" s="9">
        <f ca="1">OFFSET('RES Techs T15'!$F41,0,MATCH(VLOOKUP('RES Veda input'!AD$3,'RES Assumptions T15'!$V$3:$W$35,2,FALSE),'RES Techs T15'!$G$3:$U$3,0))</f>
        <v>0.5</v>
      </c>
      <c r="AE41" s="9">
        <f ca="1">OFFSET('RES Techs T15'!$F41,0,MATCH(VLOOKUP('RES Veda input'!AE$3,'RES Assumptions T15'!$V$3:$W$35,2,FALSE),'RES Techs T15'!$G$3:$U$3,0))</f>
        <v>0.5</v>
      </c>
      <c r="AF41" s="9">
        <f ca="1">OFFSET('RES Techs T15'!$F41,0,MATCH(VLOOKUP('RES Veda input'!AF$3,'RES Assumptions T15'!$V$3:$W$35,2,FALSE),'RES Techs T15'!$G$3:$U$3,0))</f>
        <v>0.5</v>
      </c>
      <c r="AG41" s="9">
        <f ca="1">OFFSET('RES Techs T15'!$F41,0,MATCH(VLOOKUP('RES Veda input'!AG$3,'RES Assumptions T15'!$V$3:$W$35,2,FALSE),'RES Techs T15'!$G$3:$U$3,0))</f>
        <v>0.5</v>
      </c>
      <c r="AH41" s="9">
        <f ca="1">OFFSET('RES Techs T15'!$F41,0,MATCH(VLOOKUP('RES Veda input'!AH$3,'RES Assumptions T15'!$V$3:$W$35,2,FALSE),'RES Techs T15'!$G$3:$U$3,0))</f>
        <v>0.5</v>
      </c>
      <c r="AI41" s="9">
        <f ca="1">OFFSET('RES Techs T15'!$F41,0,MATCH(VLOOKUP('RES Veda input'!AI$3,'RES Assumptions T15'!$V$3:$W$35,2,FALSE),'RES Techs T15'!$G$3:$U$3,0))</f>
        <v>0.5</v>
      </c>
      <c r="AJ41" s="9">
        <f ca="1">OFFSET('RES Techs T15'!$F41,0,MATCH(VLOOKUP('RES Veda input'!AJ$3,'RES Assumptions T15'!$V$3:$W$35,2,FALSE),'RES Techs T15'!$G$3:$U$3,0))</f>
        <v>0.5</v>
      </c>
      <c r="AL41" s="8" t="str">
        <f t="shared" si="60"/>
        <v>RCKKER000</v>
      </c>
      <c r="AM41" s="9">
        <f ca="1">OFFSET('RES Techs T15'!$W41,0,MATCH(VLOOKUP('RES Veda input'!AM$3,'RES Assumptions T15'!$V$3:$W$35,2,FALSE),'RES Techs T15'!$G$3:$U$3,0))</f>
        <v>1</v>
      </c>
      <c r="AN41" s="9">
        <f ca="1">OFFSET('RES Techs T15'!$W41,0,MATCH(VLOOKUP('RES Veda input'!AN$3,'RES Assumptions T15'!$V$3:$W$35,2,FALSE),'RES Techs T15'!$G$3:$U$3,0))</f>
        <v>1</v>
      </c>
      <c r="AO41" s="9">
        <f ca="1">OFFSET('RES Techs T15'!$W41,0,MATCH(VLOOKUP('RES Veda input'!AO$3,'RES Assumptions T15'!$V$3:$W$35,2,FALSE),'RES Techs T15'!$G$3:$U$3,0))</f>
        <v>1</v>
      </c>
      <c r="AP41" s="9">
        <f ca="1">OFFSET('RES Techs T15'!$W41,0,MATCH(VLOOKUP('RES Veda input'!AP$3,'RES Assumptions T15'!$V$3:$W$35,2,FALSE),'RES Techs T15'!$G$3:$U$3,0))</f>
        <v>1</v>
      </c>
      <c r="AQ41" s="9">
        <f ca="1">OFFSET('RES Techs T15'!$W41,0,MATCH(VLOOKUP('RES Veda input'!AQ$3,'RES Assumptions T15'!$V$3:$W$35,2,FALSE),'RES Techs T15'!$G$3:$U$3,0))</f>
        <v>1</v>
      </c>
      <c r="AR41" s="9">
        <f ca="1">OFFSET('RES Techs T15'!$W41,0,MATCH(VLOOKUP('RES Veda input'!AR$3,'RES Assumptions T15'!$V$3:$W$35,2,FALSE),'RES Techs T15'!$G$3:$U$3,0))</f>
        <v>1</v>
      </c>
      <c r="AS41" s="9">
        <f ca="1">OFFSET('RES Techs T15'!$W41,0,MATCH(VLOOKUP('RES Veda input'!AS$3,'RES Assumptions T15'!$V$3:$W$35,2,FALSE),'RES Techs T15'!$G$3:$U$3,0))</f>
        <v>1</v>
      </c>
      <c r="AT41" s="9">
        <f ca="1">OFFSET('RES Techs T15'!$W41,0,MATCH(VLOOKUP('RES Veda input'!AT$3,'RES Assumptions T15'!$V$3:$W$35,2,FALSE),'RES Techs T15'!$G$3:$U$3,0))</f>
        <v>1</v>
      </c>
      <c r="AU41" s="9">
        <f ca="1">OFFSET('RES Techs T15'!$W41,0,MATCH(VLOOKUP('RES Veda input'!AU$3,'RES Assumptions T15'!$V$3:$W$35,2,FALSE),'RES Techs T15'!$G$3:$U$3,0))</f>
        <v>1</v>
      </c>
      <c r="AV41" s="9">
        <f ca="1">OFFSET('RES Techs T15'!$W41,0,MATCH(VLOOKUP('RES Veda input'!AV$3,'RES Assumptions T15'!$V$3:$W$35,2,FALSE),'RES Techs T15'!$G$3:$U$3,0))</f>
        <v>1</v>
      </c>
      <c r="AW41" s="9">
        <f ca="1">OFFSET('RES Techs T15'!$W41,0,MATCH(VLOOKUP('RES Veda input'!AW$3,'RES Assumptions T15'!$V$3:$W$35,2,FALSE),'RES Techs T15'!$G$3:$U$3,0))</f>
        <v>1</v>
      </c>
      <c r="AX41" s="9">
        <f ca="1">OFFSET('RES Techs T15'!$W41,0,MATCH(VLOOKUP('RES Veda input'!AX$3,'RES Assumptions T15'!$V$3:$W$35,2,FALSE),'RES Techs T15'!$G$3:$U$3,0))</f>
        <v>1</v>
      </c>
      <c r="AY41" s="9">
        <f ca="1">OFFSET('RES Techs T15'!$W41,0,MATCH(VLOOKUP('RES Veda input'!AY$3,'RES Assumptions T15'!$V$3:$W$35,2,FALSE),'RES Techs T15'!$G$3:$U$3,0))</f>
        <v>1</v>
      </c>
      <c r="AZ41" s="9">
        <f ca="1">OFFSET('RES Techs T15'!$W41,0,MATCH(VLOOKUP('RES Veda input'!AZ$3,'RES Assumptions T15'!$V$3:$W$35,2,FALSE),'RES Techs T15'!$G$3:$U$3,0))</f>
        <v>1</v>
      </c>
      <c r="BA41" s="9">
        <f ca="1">OFFSET('RES Techs T15'!$W41,0,MATCH(VLOOKUP('RES Veda input'!BA$3,'RES Assumptions T15'!$V$3:$W$35,2,FALSE),'RES Techs T15'!$G$3:$U$3,0))</f>
        <v>1</v>
      </c>
      <c r="BB41" s="9">
        <f ca="1">OFFSET('RES Techs T15'!$W41,0,MATCH(VLOOKUP('RES Veda input'!BB$3,'RES Assumptions T15'!$V$3:$W$35,2,FALSE),'RES Techs T15'!$G$3:$U$3,0))</f>
        <v>1</v>
      </c>
      <c r="BC41" s="9">
        <f ca="1">OFFSET('RES Techs T15'!$W41,0,MATCH(VLOOKUP('RES Veda input'!BC$3,'RES Assumptions T15'!$V$3:$W$35,2,FALSE),'RES Techs T15'!$G$3:$U$3,0))</f>
        <v>1</v>
      </c>
      <c r="BD41" s="9">
        <f ca="1">OFFSET('RES Techs T15'!$W41,0,MATCH(VLOOKUP('RES Veda input'!BD$3,'RES Assumptions T15'!$V$3:$W$35,2,FALSE),'RES Techs T15'!$G$3:$U$3,0))</f>
        <v>1</v>
      </c>
      <c r="BE41" s="9">
        <f ca="1">OFFSET('RES Techs T15'!$W41,0,MATCH(VLOOKUP('RES Veda input'!BE$3,'RES Assumptions T15'!$V$3:$W$35,2,FALSE),'RES Techs T15'!$G$3:$U$3,0))</f>
        <v>1</v>
      </c>
      <c r="BF41" s="9">
        <f ca="1">OFFSET('RES Techs T15'!$W41,0,MATCH(VLOOKUP('RES Veda input'!BF$3,'RES Assumptions T15'!$V$3:$W$35,2,FALSE),'RES Techs T15'!$G$3:$U$3,0))</f>
        <v>1</v>
      </c>
      <c r="BG41" s="9">
        <f ca="1">OFFSET('RES Techs T15'!$W41,0,MATCH(VLOOKUP('RES Veda input'!BG$3,'RES Assumptions T15'!$V$3:$W$35,2,FALSE),'RES Techs T15'!$G$3:$U$3,0))</f>
        <v>1</v>
      </c>
      <c r="BH41" s="9">
        <f ca="1">OFFSET('RES Techs T15'!$W41,0,MATCH(VLOOKUP('RES Veda input'!BH$3,'RES Assumptions T15'!$V$3:$W$35,2,FALSE),'RES Techs T15'!$G$3:$U$3,0))</f>
        <v>1</v>
      </c>
      <c r="BI41" s="9">
        <f ca="1">OFFSET('RES Techs T15'!$W41,0,MATCH(VLOOKUP('RES Veda input'!BI$3,'RES Assumptions T15'!$V$3:$W$35,2,FALSE),'RES Techs T15'!$G$3:$U$3,0))</f>
        <v>1</v>
      </c>
      <c r="BJ41" s="9">
        <f ca="1">OFFSET('RES Techs T15'!$W41,0,MATCH(VLOOKUP('RES Veda input'!BJ$3,'RES Assumptions T15'!$V$3:$W$35,2,FALSE),'RES Techs T15'!$G$3:$U$3,0))</f>
        <v>1</v>
      </c>
      <c r="BK41" s="9">
        <f ca="1">OFFSET('RES Techs T15'!$W41,0,MATCH(VLOOKUP('RES Veda input'!BK$3,'RES Assumptions T15'!$V$3:$W$35,2,FALSE),'RES Techs T15'!$G$3:$U$3,0))</f>
        <v>1</v>
      </c>
      <c r="BL41" s="9">
        <f ca="1">OFFSET('RES Techs T15'!$W41,0,MATCH(VLOOKUP('RES Veda input'!BL$3,'RES Assumptions T15'!$V$3:$W$35,2,FALSE),'RES Techs T15'!$G$3:$U$3,0))</f>
        <v>1</v>
      </c>
      <c r="BM41" s="9">
        <f ca="1">OFFSET('RES Techs T15'!$W41,0,MATCH(VLOOKUP('RES Veda input'!BM$3,'RES Assumptions T15'!$V$3:$W$35,2,FALSE),'RES Techs T15'!$G$3:$U$3,0))</f>
        <v>1</v>
      </c>
      <c r="BN41" s="9">
        <f ca="1">OFFSET('RES Techs T15'!$W41,0,MATCH(VLOOKUP('RES Veda input'!BN$3,'RES Assumptions T15'!$V$3:$W$35,2,FALSE),'RES Techs T15'!$G$3:$U$3,0))</f>
        <v>1</v>
      </c>
      <c r="BO41" s="9">
        <f ca="1">OFFSET('RES Techs T15'!$W41,0,MATCH(VLOOKUP('RES Veda input'!BO$3,'RES Assumptions T15'!$V$3:$W$35,2,FALSE),'RES Techs T15'!$G$3:$U$3,0))</f>
        <v>1</v>
      </c>
      <c r="BP41" s="9">
        <f ca="1">OFFSET('RES Techs T15'!$W41,0,MATCH(VLOOKUP('RES Veda input'!BP$3,'RES Assumptions T15'!$V$3:$W$35,2,FALSE),'RES Techs T15'!$G$3:$U$3,0))</f>
        <v>1</v>
      </c>
      <c r="BR41" s="8" t="str">
        <f t="shared" si="61"/>
        <v>RCKKER000</v>
      </c>
      <c r="BS41" s="9">
        <f t="shared" ca="1" si="62"/>
        <v>3.6</v>
      </c>
      <c r="BT41" s="9" t="str">
        <f ca="1">IF(OFFSET('RES Techs T15'!$AO41,0,MATCH(VLOOKUP('RES Veda input'!BT$3,'RES Assumptions T15'!$V$3:$W$35,2,FALSE),'RES Techs T15'!$G$3:$U$3,0))=0,"",OFFSET('RES Techs T15'!$AO41,0,MATCH(VLOOKUP('RES Veda input'!BT$3,'RES Assumptions T15'!$V$3:$W$35,2,FALSE),'RES Techs T15'!$G$3:$U$3,0)))</f>
        <v/>
      </c>
      <c r="BU41" s="9" t="str">
        <f ca="1">IF(OFFSET('RES Techs T15'!$AO41,0,MATCH(VLOOKUP('RES Veda input'!BU$3,'RES Assumptions T15'!$V$3:$W$35,2,FALSE),'RES Techs T15'!$G$3:$U$3,0))=0,"",OFFSET('RES Techs T15'!$AO41,0,MATCH(VLOOKUP('RES Veda input'!BU$3,'RES Assumptions T15'!$V$3:$W$35,2,FALSE),'RES Techs T15'!$G$3:$U$3,0)))</f>
        <v/>
      </c>
      <c r="BV41" s="9">
        <f ca="1">IF(OFFSET('RES Techs T15'!$AO41,0,MATCH(VLOOKUP('RES Veda input'!BV$3,'RES Assumptions T15'!$V$3:$W$35,2,FALSE),'RES Techs T15'!$G$3:$U$3,0))=0,"",OFFSET('RES Techs T15'!$AO41,0,MATCH(VLOOKUP('RES Veda input'!BV$3,'RES Assumptions T15'!$V$3:$W$35,2,FALSE),'RES Techs T15'!$G$3:$U$3,0)))</f>
        <v>4.2</v>
      </c>
      <c r="BW41" s="9" t="str">
        <f ca="1">IF(OFFSET('RES Techs T15'!$AO41,0,MATCH(VLOOKUP('RES Veda input'!BW$3,'RES Assumptions T15'!$V$3:$W$35,2,FALSE),'RES Techs T15'!$G$3:$U$3,0))=0,"",OFFSET('RES Techs T15'!$AO41,0,MATCH(VLOOKUP('RES Veda input'!BW$3,'RES Assumptions T15'!$V$3:$W$35,2,FALSE),'RES Techs T15'!$G$3:$U$3,0)))</f>
        <v/>
      </c>
      <c r="BX41" s="9">
        <f ca="1">IF(OFFSET('RES Techs T15'!$AO41,0,MATCH(VLOOKUP('RES Veda input'!BX$3,'RES Assumptions T15'!$V$3:$W$35,2,FALSE),'RES Techs T15'!$G$3:$U$3,0))=0,"",OFFSET('RES Techs T15'!$AO41,0,MATCH(VLOOKUP('RES Veda input'!BX$3,'RES Assumptions T15'!$V$3:$W$35,2,FALSE),'RES Techs T15'!$G$3:$U$3,0)))</f>
        <v>6</v>
      </c>
      <c r="BY41" s="9">
        <f ca="1">IF(OFFSET('RES Techs T15'!$AO41,0,MATCH(VLOOKUP('RES Veda input'!BY$3,'RES Assumptions T15'!$V$3:$W$35,2,FALSE),'RES Techs T15'!$G$3:$U$3,0))=0,"",OFFSET('RES Techs T15'!$AO41,0,MATCH(VLOOKUP('RES Veda input'!BY$3,'RES Assumptions T15'!$V$3:$W$35,2,FALSE),'RES Techs T15'!$G$3:$U$3,0)))</f>
        <v>3.6</v>
      </c>
      <c r="BZ41" s="9" t="str">
        <f ca="1">IF(OFFSET('RES Techs T15'!$AO41,0,MATCH(VLOOKUP('RES Veda input'!BZ$3,'RES Assumptions T15'!$V$3:$W$35,2,FALSE),'RES Techs T15'!$G$3:$U$3,0))=0,"",OFFSET('RES Techs T15'!$AO41,0,MATCH(VLOOKUP('RES Veda input'!BZ$3,'RES Assumptions T15'!$V$3:$W$35,2,FALSE),'RES Techs T15'!$G$3:$U$3,0)))</f>
        <v/>
      </c>
      <c r="CA41" s="9">
        <f ca="1">IF(OFFSET('RES Techs T15'!$AO41,0,MATCH(VLOOKUP('RES Veda input'!CA$3,'RES Assumptions T15'!$V$3:$W$35,2,FALSE),'RES Techs T15'!$G$3:$U$3,0))=0,"",OFFSET('RES Techs T15'!$AO41,0,MATCH(VLOOKUP('RES Veda input'!CA$3,'RES Assumptions T15'!$V$3:$W$35,2,FALSE),'RES Techs T15'!$G$3:$U$3,0)))</f>
        <v>4.2</v>
      </c>
      <c r="CB41" s="9" t="str">
        <f ca="1">IF(OFFSET('RES Techs T15'!$AO41,0,MATCH(VLOOKUP('RES Veda input'!CB$3,'RES Assumptions T15'!$V$3:$W$35,2,FALSE),'RES Techs T15'!$G$3:$U$3,0))=0,"",OFFSET('RES Techs T15'!$AO41,0,MATCH(VLOOKUP('RES Veda input'!CB$3,'RES Assumptions T15'!$V$3:$W$35,2,FALSE),'RES Techs T15'!$G$3:$U$3,0)))</f>
        <v/>
      </c>
      <c r="CC41" s="9" t="str">
        <f ca="1">IF(OFFSET('RES Techs T15'!$AO41,0,MATCH(VLOOKUP('RES Veda input'!CC$3,'RES Assumptions T15'!$V$3:$W$35,2,FALSE),'RES Techs T15'!$G$3:$U$3,0))=0,"",OFFSET('RES Techs T15'!$AO41,0,MATCH(VLOOKUP('RES Veda input'!CC$3,'RES Assumptions T15'!$V$3:$W$35,2,FALSE),'RES Techs T15'!$G$3:$U$3,0)))</f>
        <v/>
      </c>
      <c r="CD41" s="9" t="str">
        <f ca="1">IF(OFFSET('RES Techs T15'!$AO41,0,MATCH(VLOOKUP('RES Veda input'!CD$3,'RES Assumptions T15'!$V$3:$W$35,2,FALSE),'RES Techs T15'!$G$3:$U$3,0))=0,"",OFFSET('RES Techs T15'!$AO41,0,MATCH(VLOOKUP('RES Veda input'!CD$3,'RES Assumptions T15'!$V$3:$W$35,2,FALSE),'RES Techs T15'!$G$3:$U$3,0)))</f>
        <v/>
      </c>
      <c r="CE41" s="9" t="str">
        <f ca="1">IF(OFFSET('RES Techs T15'!$AO41,0,MATCH(VLOOKUP('RES Veda input'!CE$3,'RES Assumptions T15'!$V$3:$W$35,2,FALSE),'RES Techs T15'!$G$3:$U$3,0))=0,"",OFFSET('RES Techs T15'!$AO41,0,MATCH(VLOOKUP('RES Veda input'!CE$3,'RES Assumptions T15'!$V$3:$W$35,2,FALSE),'RES Techs T15'!$G$3:$U$3,0)))</f>
        <v/>
      </c>
      <c r="CF41" s="9" t="str">
        <f ca="1">IF(OFFSET('RES Techs T15'!$AO41,0,MATCH(VLOOKUP('RES Veda input'!CF$3,'RES Assumptions T15'!$V$3:$W$35,2,FALSE),'RES Techs T15'!$G$3:$U$3,0))=0,"",OFFSET('RES Techs T15'!$AO41,0,MATCH(VLOOKUP('RES Veda input'!CF$3,'RES Assumptions T15'!$V$3:$W$35,2,FALSE),'RES Techs T15'!$G$3:$U$3,0)))</f>
        <v/>
      </c>
      <c r="CG41" s="9" t="str">
        <f ca="1">IF(OFFSET('RES Techs T15'!$AO41,0,MATCH(VLOOKUP('RES Veda input'!CG$3,'RES Assumptions T15'!$V$3:$W$35,2,FALSE),'RES Techs T15'!$G$3:$U$3,0))=0,"",OFFSET('RES Techs T15'!$AO41,0,MATCH(VLOOKUP('RES Veda input'!CG$3,'RES Assumptions T15'!$V$3:$W$35,2,FALSE),'RES Techs T15'!$G$3:$U$3,0)))</f>
        <v/>
      </c>
      <c r="CH41" s="9" t="str">
        <f ca="1">IF(OFFSET('RES Techs T15'!$AO41,0,MATCH(VLOOKUP('RES Veda input'!CH$3,'RES Assumptions T15'!$V$3:$W$35,2,FALSE),'RES Techs T15'!$G$3:$U$3,0))=0,"",OFFSET('RES Techs T15'!$AO41,0,MATCH(VLOOKUP('RES Veda input'!CH$3,'RES Assumptions T15'!$V$3:$W$35,2,FALSE),'RES Techs T15'!$G$3:$U$3,0)))</f>
        <v/>
      </c>
      <c r="CI41" s="9" t="str">
        <f ca="1">IF(OFFSET('RES Techs T15'!$AO41,0,MATCH(VLOOKUP('RES Veda input'!CI$3,'RES Assumptions T15'!$V$3:$W$35,2,FALSE),'RES Techs T15'!$G$3:$U$3,0))=0,"",OFFSET('RES Techs T15'!$AO41,0,MATCH(VLOOKUP('RES Veda input'!CI$3,'RES Assumptions T15'!$V$3:$W$35,2,FALSE),'RES Techs T15'!$G$3:$U$3,0)))</f>
        <v/>
      </c>
      <c r="CJ41" s="9">
        <f ca="1">IF(OFFSET('RES Techs T15'!$AO41,0,MATCH(VLOOKUP('RES Veda input'!CJ$3,'RES Assumptions T15'!$V$3:$W$35,2,FALSE),'RES Techs T15'!$G$3:$U$3,0))=0,"",OFFSET('RES Techs T15'!$AO41,0,MATCH(VLOOKUP('RES Veda input'!CJ$3,'RES Assumptions T15'!$V$3:$W$35,2,FALSE),'RES Techs T15'!$G$3:$U$3,0)))</f>
        <v>4.2</v>
      </c>
      <c r="CK41" s="9" t="str">
        <f ca="1">IF(OFFSET('RES Techs T15'!$AO41,0,MATCH(VLOOKUP('RES Veda input'!CK$3,'RES Assumptions T15'!$V$3:$W$35,2,FALSE),'RES Techs T15'!$G$3:$U$3,0))=0,"",OFFSET('RES Techs T15'!$AO41,0,MATCH(VLOOKUP('RES Veda input'!CK$3,'RES Assumptions T15'!$V$3:$W$35,2,FALSE),'RES Techs T15'!$G$3:$U$3,0)))</f>
        <v/>
      </c>
      <c r="CL41" s="9" t="str">
        <f ca="1">IF(OFFSET('RES Techs T15'!$AO41,0,MATCH(VLOOKUP('RES Veda input'!CL$3,'RES Assumptions T15'!$V$3:$W$35,2,FALSE),'RES Techs T15'!$G$3:$U$3,0))=0,"",OFFSET('RES Techs T15'!$AO41,0,MATCH(VLOOKUP('RES Veda input'!CL$3,'RES Assumptions T15'!$V$3:$W$35,2,FALSE),'RES Techs T15'!$G$3:$U$3,0)))</f>
        <v/>
      </c>
      <c r="CM41" s="9">
        <f ca="1">IF(OFFSET('RES Techs T15'!$AO41,0,MATCH(VLOOKUP('RES Veda input'!CM$3,'RES Assumptions T15'!$V$3:$W$35,2,FALSE),'RES Techs T15'!$G$3:$U$3,0))=0,"",OFFSET('RES Techs T15'!$AO41,0,MATCH(VLOOKUP('RES Veda input'!CM$3,'RES Assumptions T15'!$V$3:$W$35,2,FALSE),'RES Techs T15'!$G$3:$U$3,0)))</f>
        <v>3.6</v>
      </c>
      <c r="CN41" s="9">
        <f ca="1">IF(OFFSET('RES Techs T15'!$AO41,0,MATCH(VLOOKUP('RES Veda input'!CN$3,'RES Assumptions T15'!$V$3:$W$35,2,FALSE),'RES Techs T15'!$G$3:$U$3,0))=0,"",OFFSET('RES Techs T15'!$AO41,0,MATCH(VLOOKUP('RES Veda input'!CN$3,'RES Assumptions T15'!$V$3:$W$35,2,FALSE),'RES Techs T15'!$G$3:$U$3,0)))</f>
        <v>4.2</v>
      </c>
      <c r="CO41" s="9">
        <f ca="1">IF(OFFSET('RES Techs T15'!$AO41,0,MATCH(VLOOKUP('RES Veda input'!CO$3,'RES Assumptions T15'!$V$3:$W$35,2,FALSE),'RES Techs T15'!$G$3:$U$3,0))=0,"",OFFSET('RES Techs T15'!$AO41,0,MATCH(VLOOKUP('RES Veda input'!CO$3,'RES Assumptions T15'!$V$3:$W$35,2,FALSE),'RES Techs T15'!$G$3:$U$3,0)))</f>
        <v>4.8</v>
      </c>
      <c r="CP41" s="9">
        <f ca="1">IF(OFFSET('RES Techs T15'!$AO41,0,MATCH(VLOOKUP('RES Veda input'!CP$3,'RES Assumptions T15'!$V$3:$W$35,2,FALSE),'RES Techs T15'!$G$3:$U$3,0))=0,"",OFFSET('RES Techs T15'!$AO41,0,MATCH(VLOOKUP('RES Veda input'!CP$3,'RES Assumptions T15'!$V$3:$W$35,2,FALSE),'RES Techs T15'!$G$3:$U$3,0)))</f>
        <v>4.2</v>
      </c>
      <c r="CQ41" s="9" t="str">
        <f ca="1">IF(OFFSET('RES Techs T15'!$AO41,0,MATCH(VLOOKUP('RES Veda input'!CQ$3,'RES Assumptions T15'!$V$3:$W$35,2,FALSE),'RES Techs T15'!$G$3:$U$3,0))=0,"",OFFSET('RES Techs T15'!$AO41,0,MATCH(VLOOKUP('RES Veda input'!CQ$3,'RES Assumptions T15'!$V$3:$W$35,2,FALSE),'RES Techs T15'!$G$3:$U$3,0)))</f>
        <v/>
      </c>
      <c r="CR41" s="9" t="str">
        <f ca="1">IF(OFFSET('RES Techs T15'!$AO41,0,MATCH(VLOOKUP('RES Veda input'!CR$3,'RES Assumptions T15'!$V$3:$W$35,2,FALSE),'RES Techs T15'!$G$3:$U$3,0))=0,"",OFFSET('RES Techs T15'!$AO41,0,MATCH(VLOOKUP('RES Veda input'!CR$3,'RES Assumptions T15'!$V$3:$W$35,2,FALSE),'RES Techs T15'!$G$3:$U$3,0)))</f>
        <v/>
      </c>
      <c r="CS41" s="9">
        <f ca="1">IF(OFFSET('RES Techs T15'!$AO41,0,MATCH(VLOOKUP('RES Veda input'!CS$3,'RES Assumptions T15'!$V$3:$W$35,2,FALSE),'RES Techs T15'!$G$3:$U$3,0))=0,"",OFFSET('RES Techs T15'!$AO41,0,MATCH(VLOOKUP('RES Veda input'!CS$3,'RES Assumptions T15'!$V$3:$W$35,2,FALSE),'RES Techs T15'!$G$3:$U$3,0)))</f>
        <v>4.2</v>
      </c>
      <c r="CT41" s="9" t="str">
        <f ca="1">IF(OFFSET('RES Techs T15'!$AO41,0,MATCH(VLOOKUP('RES Veda input'!CT$3,'RES Assumptions T15'!$V$3:$W$35,2,FALSE),'RES Techs T15'!$G$3:$U$3,0))=0,"",OFFSET('RES Techs T15'!$AO41,0,MATCH(VLOOKUP('RES Veda input'!CT$3,'RES Assumptions T15'!$V$3:$W$35,2,FALSE),'RES Techs T15'!$G$3:$U$3,0)))</f>
        <v/>
      </c>
      <c r="CU41" s="9" t="str">
        <f ca="1">IF(OFFSET('RES Techs T15'!$AO41,0,MATCH(VLOOKUP('RES Veda input'!CU$3,'RES Assumptions T15'!$V$3:$W$35,2,FALSE),'RES Techs T15'!$G$3:$U$3,0))=0,"",OFFSET('RES Techs T15'!$AO41,0,MATCH(VLOOKUP('RES Veda input'!CU$3,'RES Assumptions T15'!$V$3:$W$35,2,FALSE),'RES Techs T15'!$G$3:$U$3,0)))</f>
        <v/>
      </c>
      <c r="CV41" s="9">
        <f ca="1">IF(OFFSET('RES Techs T15'!$AO41,0,MATCH(VLOOKUP('RES Veda input'!CV$3,'RES Assumptions T15'!$V$3:$W$35,2,FALSE),'RES Techs T15'!$G$3:$U$3,0))=0,"",OFFSET('RES Techs T15'!$AO41,0,MATCH(VLOOKUP('RES Veda input'!CV$3,'RES Assumptions T15'!$V$3:$W$35,2,FALSE),'RES Techs T15'!$G$3:$U$3,0)))</f>
        <v>6</v>
      </c>
      <c r="CW41" s="9">
        <f ca="1">IF(OFFSET('RES Techs T15'!$AO41,0,MATCH(VLOOKUP('RES Veda input'!CW$3,'RES Assumptions T15'!$V$3:$W$35,2,FALSE),'RES Techs T15'!$G$3:$U$3,0))=0,"",OFFSET('RES Techs T15'!$AO41,0,MATCH(VLOOKUP('RES Veda input'!CW$3,'RES Assumptions T15'!$V$3:$W$35,2,FALSE),'RES Techs T15'!$G$3:$U$3,0)))</f>
        <v>6</v>
      </c>
      <c r="CY41" s="8" t="str">
        <f t="shared" si="63"/>
        <v>RCKKER000</v>
      </c>
      <c r="CZ41" s="10">
        <f ca="1">ROUND('RES Assumptions'!E124*'RES Veda input'!G41/'RES Veda input'!AM41,3)</f>
        <v>1.9770000000000001</v>
      </c>
      <c r="DA41" s="10">
        <f ca="1">ROUND('RES Assumptions'!F124*'RES Veda input'!H41/'RES Veda input'!AN41,3)</f>
        <v>21.827000000000002</v>
      </c>
      <c r="DB41" s="10">
        <f ca="1">ROUND('RES Assumptions'!G124*'RES Veda input'!I41/'RES Veda input'!AO41,3)</f>
        <v>1.575</v>
      </c>
      <c r="DC41" s="10">
        <f ca="1">ROUND('RES Assumptions'!H124*'RES Veda input'!J41/'RES Veda input'!AP41,3)</f>
        <v>0.51500000000000001</v>
      </c>
      <c r="DD41" s="10">
        <f ca="1">ROUND('RES Assumptions'!I124*'RES Veda input'!K41/'RES Veda input'!AQ41,3)</f>
        <v>18.768000000000001</v>
      </c>
      <c r="DE41" s="10">
        <f ca="1">ROUND('RES Assumptions'!J124*'RES Veda input'!L41/'RES Veda input'!AR41,3)</f>
        <v>15.032999999999999</v>
      </c>
      <c r="DF41" s="10">
        <f ca="1">ROUND('RES Assumptions'!K124*'RES Veda input'!M41/'RES Veda input'!AS41,3)</f>
        <v>0</v>
      </c>
      <c r="DG41" s="10">
        <f ca="1">ROUND('RES Assumptions'!L124*'RES Veda input'!N41/'RES Veda input'!AT41,3)</f>
        <v>2.8000000000000001E-2</v>
      </c>
      <c r="DH41" s="10">
        <f ca="1">ROUND('RES Assumptions'!M124*'RES Veda input'!O41/'RES Veda input'!AU41,3)</f>
        <v>0</v>
      </c>
      <c r="DI41" s="10">
        <f ca="1">ROUND('RES Assumptions'!N124*'RES Veda input'!P41/'RES Veda input'!AV41,3)</f>
        <v>2.9449999999999998</v>
      </c>
      <c r="DJ41" s="10">
        <f ca="1">ROUND('RES Assumptions'!O124*'RES Veda input'!Q41/'RES Veda input'!AW41,3)</f>
        <v>2E-3</v>
      </c>
      <c r="DK41" s="10">
        <f ca="1">ROUND('RES Assumptions'!P124*'RES Veda input'!R41/'RES Veda input'!AX41,3)</f>
        <v>0</v>
      </c>
      <c r="DL41" s="10">
        <f ca="1">ROUND('RES Assumptions'!Q124*'RES Veda input'!S41/'RES Veda input'!AY41,3)</f>
        <v>0.55700000000000005</v>
      </c>
      <c r="DM41" s="10">
        <f ca="1">ROUND('RES Assumptions'!R124*'RES Veda input'!T41/'RES Veda input'!AZ41,3)</f>
        <v>1.2E-2</v>
      </c>
      <c r="DN41" s="10">
        <f ca="1">ROUND('RES Assumptions'!S124*'RES Veda input'!U41/'RES Veda input'!BA41,3)</f>
        <v>0</v>
      </c>
      <c r="DO41" s="10">
        <f ca="1">ROUND('RES Assumptions'!T124*'RES Veda input'!V41/'RES Veda input'!BB41,3)</f>
        <v>0</v>
      </c>
      <c r="DP41" s="10">
        <f ca="1">ROUND('RES Assumptions'!U124*'RES Veda input'!W41/'RES Veda input'!BC41,3)</f>
        <v>9.0999999999999998E-2</v>
      </c>
      <c r="DQ41" s="10">
        <f ca="1">ROUND('RES Assumptions'!V124*'RES Veda input'!X41/'RES Veda input'!BD41,3)</f>
        <v>0.11799999999999999</v>
      </c>
      <c r="DR41" s="10">
        <f ca="1">ROUND('RES Assumptions'!W124*'RES Veda input'!Y41/'RES Veda input'!BE41,3)</f>
        <v>4.0000000000000001E-3</v>
      </c>
      <c r="DS41" s="10">
        <f ca="1">ROUND('RES Assumptions'!X124*'RES Veda input'!Z41/'RES Veda input'!BF41,3)</f>
        <v>43.1</v>
      </c>
      <c r="DT41" s="10">
        <f ca="1">ROUND('RES Assumptions'!Y124*'RES Veda input'!AA41/'RES Veda input'!BG41,3)</f>
        <v>3.7759999999999998</v>
      </c>
      <c r="DU41" s="10">
        <f ca="1">ROUND('RES Assumptions'!Z124*'RES Veda input'!AB41/'RES Veda input'!BH41,3)</f>
        <v>0</v>
      </c>
      <c r="DV41" s="10">
        <f ca="1">ROUND('RES Assumptions'!AA124*'RES Veda input'!AC41/'RES Veda input'!BI41,3)</f>
        <v>37.475999999999999</v>
      </c>
      <c r="DW41" s="10">
        <f ca="1">ROUND('RES Assumptions'!AB124*'RES Veda input'!AD41/'RES Veda input'!BJ41,3)</f>
        <v>0</v>
      </c>
      <c r="DX41" s="10">
        <f ca="1">ROUND('RES Assumptions'!AC124*'RES Veda input'!AE41/'RES Veda input'!BK41,3)</f>
        <v>0</v>
      </c>
      <c r="DY41" s="10">
        <f ca="1">ROUND('RES Assumptions'!AD124*'RES Veda input'!AF41/'RES Veda input'!BL41,3)</f>
        <v>5.3129999999999997</v>
      </c>
      <c r="DZ41" s="10">
        <f ca="1">ROUND('RES Assumptions'!AE124*'RES Veda input'!AG41/'RES Veda input'!BM41,3)</f>
        <v>4.8390000000000004</v>
      </c>
      <c r="EA41" s="10">
        <f ca="1">ROUND('RES Assumptions'!AF124*'RES Veda input'!AH41/'RES Veda input'!BN41,3)</f>
        <v>1.2350000000000001</v>
      </c>
      <c r="EB41" s="10">
        <f ca="1">ROUND('RES Assumptions'!AG124*'RES Veda input'!AI41/'RES Veda input'!BO41,3)</f>
        <v>0.13300000000000001</v>
      </c>
      <c r="EC41" s="10">
        <f ca="1">ROUND('RES Assumptions'!AH124*'RES Veda input'!AJ41/'RES Veda input'!BP41,3)</f>
        <v>0</v>
      </c>
      <c r="ED41">
        <v>17</v>
      </c>
      <c r="EG41" t="s">
        <v>281</v>
      </c>
      <c r="EH41" t="str">
        <f t="shared" si="64"/>
        <v>RCKKER000</v>
      </c>
      <c r="EJ41" t="s">
        <v>282</v>
      </c>
      <c r="EK41" t="s">
        <v>283</v>
      </c>
    </row>
    <row r="42" spans="1:141" x14ac:dyDescent="0.45">
      <c r="A42" s="37" t="str">
        <f>'RES Assumptions'!B125</f>
        <v>RK</v>
      </c>
      <c r="B42" s="37" t="s">
        <v>151</v>
      </c>
      <c r="D42" s="51" t="s">
        <v>307</v>
      </c>
      <c r="E42" s="8" t="str">
        <f>'RES Assumptions'!A125</f>
        <v>RESLPG</v>
      </c>
      <c r="F42" s="8" t="str">
        <f>VLOOKUP(A42,'RES Assumptions'!$AN$87:$AO$97,2,FALSE)</f>
        <v>RCK</v>
      </c>
      <c r="G42" s="9">
        <f ca="1">OFFSET('RES Techs T15'!$F42,0,MATCH(VLOOKUP('RES Veda input'!G$3,'RES Assumptions T15'!$V$3:$W$35,2,FALSE),'RES Techs T15'!$G$3:$U$3,0))</f>
        <v>0.52</v>
      </c>
      <c r="H42" s="9">
        <f ca="1">OFFSET('RES Techs T15'!$F42,0,MATCH(VLOOKUP('RES Veda input'!H$3,'RES Assumptions T15'!$V$3:$W$35,2,FALSE),'RES Techs T15'!$G$3:$U$3,0))</f>
        <v>0.52</v>
      </c>
      <c r="I42" s="9">
        <f ca="1">OFFSET('RES Techs T15'!$F42,0,MATCH(VLOOKUP('RES Veda input'!I$3,'RES Assumptions T15'!$V$3:$W$35,2,FALSE),'RES Techs T15'!$G$3:$U$3,0))</f>
        <v>0.52</v>
      </c>
      <c r="J42" s="9">
        <f ca="1">OFFSET('RES Techs T15'!$F42,0,MATCH(VLOOKUP('RES Veda input'!J$3,'RES Assumptions T15'!$V$3:$W$35,2,FALSE),'RES Techs T15'!$G$3:$U$3,0))</f>
        <v>0.52</v>
      </c>
      <c r="K42" s="9">
        <f ca="1">OFFSET('RES Techs T15'!$F42,0,MATCH(VLOOKUP('RES Veda input'!K$3,'RES Assumptions T15'!$V$3:$W$35,2,FALSE),'RES Techs T15'!$G$3:$U$3,0))</f>
        <v>0.52</v>
      </c>
      <c r="L42" s="9">
        <f ca="1">OFFSET('RES Techs T15'!$F42,0,MATCH(VLOOKUP('RES Veda input'!L$3,'RES Assumptions T15'!$V$3:$W$35,2,FALSE),'RES Techs T15'!$G$3:$U$3,0))</f>
        <v>0.52</v>
      </c>
      <c r="M42" s="9">
        <f ca="1">OFFSET('RES Techs T15'!$F42,0,MATCH(VLOOKUP('RES Veda input'!M$3,'RES Assumptions T15'!$V$3:$W$35,2,FALSE),'RES Techs T15'!$G$3:$U$3,0))</f>
        <v>0.52</v>
      </c>
      <c r="N42" s="9">
        <f ca="1">OFFSET('RES Techs T15'!$F42,0,MATCH(VLOOKUP('RES Veda input'!N$3,'RES Assumptions T15'!$V$3:$W$35,2,FALSE),'RES Techs T15'!$G$3:$U$3,0))</f>
        <v>0.52</v>
      </c>
      <c r="O42" s="9">
        <f ca="1">OFFSET('RES Techs T15'!$F42,0,MATCH(VLOOKUP('RES Veda input'!O$3,'RES Assumptions T15'!$V$3:$W$35,2,FALSE),'RES Techs T15'!$G$3:$U$3,0))</f>
        <v>0.52</v>
      </c>
      <c r="P42" s="9">
        <f ca="1">OFFSET('RES Techs T15'!$F42,0,MATCH(VLOOKUP('RES Veda input'!P$3,'RES Assumptions T15'!$V$3:$W$35,2,FALSE),'RES Techs T15'!$G$3:$U$3,0))</f>
        <v>0.52</v>
      </c>
      <c r="Q42" s="9">
        <f ca="1">OFFSET('RES Techs T15'!$F42,0,MATCH(VLOOKUP('RES Veda input'!Q$3,'RES Assumptions T15'!$V$3:$W$35,2,FALSE),'RES Techs T15'!$G$3:$U$3,0))</f>
        <v>0.52</v>
      </c>
      <c r="R42" s="9">
        <f ca="1">OFFSET('RES Techs T15'!$F42,0,MATCH(VLOOKUP('RES Veda input'!R$3,'RES Assumptions T15'!$V$3:$W$35,2,FALSE),'RES Techs T15'!$G$3:$U$3,0))</f>
        <v>0.52</v>
      </c>
      <c r="S42" s="9">
        <f ca="1">OFFSET('RES Techs T15'!$F42,0,MATCH(VLOOKUP('RES Veda input'!S$3,'RES Assumptions T15'!$V$3:$W$35,2,FALSE),'RES Techs T15'!$G$3:$U$3,0))</f>
        <v>0.52</v>
      </c>
      <c r="T42" s="9">
        <f ca="1">OFFSET('RES Techs T15'!$F42,0,MATCH(VLOOKUP('RES Veda input'!T$3,'RES Assumptions T15'!$V$3:$W$35,2,FALSE),'RES Techs T15'!$G$3:$U$3,0))</f>
        <v>0.52</v>
      </c>
      <c r="U42" s="9">
        <f ca="1">OFFSET('RES Techs T15'!$F42,0,MATCH(VLOOKUP('RES Veda input'!U$3,'RES Assumptions T15'!$V$3:$W$35,2,FALSE),'RES Techs T15'!$G$3:$U$3,0))</f>
        <v>0.52</v>
      </c>
      <c r="V42" s="9">
        <f ca="1">OFFSET('RES Techs T15'!$F42,0,MATCH(VLOOKUP('RES Veda input'!V$3,'RES Assumptions T15'!$V$3:$W$35,2,FALSE),'RES Techs T15'!$G$3:$U$3,0))</f>
        <v>0.52</v>
      </c>
      <c r="W42" s="9">
        <f ca="1">OFFSET('RES Techs T15'!$F42,0,MATCH(VLOOKUP('RES Veda input'!W$3,'RES Assumptions T15'!$V$3:$W$35,2,FALSE),'RES Techs T15'!$G$3:$U$3,0))</f>
        <v>0.52</v>
      </c>
      <c r="X42" s="9">
        <f ca="1">OFFSET('RES Techs T15'!$F42,0,MATCH(VLOOKUP('RES Veda input'!X$3,'RES Assumptions T15'!$V$3:$W$35,2,FALSE),'RES Techs T15'!$G$3:$U$3,0))</f>
        <v>0.52</v>
      </c>
      <c r="Y42" s="9">
        <f ca="1">OFFSET('RES Techs T15'!$F42,0,MATCH(VLOOKUP('RES Veda input'!Y$3,'RES Assumptions T15'!$V$3:$W$35,2,FALSE),'RES Techs T15'!$G$3:$U$3,0))</f>
        <v>0.52</v>
      </c>
      <c r="Z42" s="9">
        <f ca="1">OFFSET('RES Techs T15'!$F42,0,MATCH(VLOOKUP('RES Veda input'!Z$3,'RES Assumptions T15'!$V$3:$W$35,2,FALSE),'RES Techs T15'!$G$3:$U$3,0))</f>
        <v>0.52</v>
      </c>
      <c r="AA42" s="9">
        <f ca="1">OFFSET('RES Techs T15'!$F42,0,MATCH(VLOOKUP('RES Veda input'!AA$3,'RES Assumptions T15'!$V$3:$W$35,2,FALSE),'RES Techs T15'!$G$3:$U$3,0))</f>
        <v>0.52</v>
      </c>
      <c r="AB42" s="9">
        <f ca="1">OFFSET('RES Techs T15'!$F42,0,MATCH(VLOOKUP('RES Veda input'!AB$3,'RES Assumptions T15'!$V$3:$W$35,2,FALSE),'RES Techs T15'!$G$3:$U$3,0))</f>
        <v>0.52</v>
      </c>
      <c r="AC42" s="9">
        <f ca="1">OFFSET('RES Techs T15'!$F42,0,MATCH(VLOOKUP('RES Veda input'!AC$3,'RES Assumptions T15'!$V$3:$W$35,2,FALSE),'RES Techs T15'!$G$3:$U$3,0))</f>
        <v>0.52</v>
      </c>
      <c r="AD42" s="9">
        <f ca="1">OFFSET('RES Techs T15'!$F42,0,MATCH(VLOOKUP('RES Veda input'!AD$3,'RES Assumptions T15'!$V$3:$W$35,2,FALSE),'RES Techs T15'!$G$3:$U$3,0))</f>
        <v>0.52</v>
      </c>
      <c r="AE42" s="9">
        <f ca="1">OFFSET('RES Techs T15'!$F42,0,MATCH(VLOOKUP('RES Veda input'!AE$3,'RES Assumptions T15'!$V$3:$W$35,2,FALSE),'RES Techs T15'!$G$3:$U$3,0))</f>
        <v>0.52</v>
      </c>
      <c r="AF42" s="9">
        <f ca="1">OFFSET('RES Techs T15'!$F42,0,MATCH(VLOOKUP('RES Veda input'!AF$3,'RES Assumptions T15'!$V$3:$W$35,2,FALSE),'RES Techs T15'!$G$3:$U$3,0))</f>
        <v>0.52</v>
      </c>
      <c r="AG42" s="9">
        <f ca="1">OFFSET('RES Techs T15'!$F42,0,MATCH(VLOOKUP('RES Veda input'!AG$3,'RES Assumptions T15'!$V$3:$W$35,2,FALSE),'RES Techs T15'!$G$3:$U$3,0))</f>
        <v>0.52</v>
      </c>
      <c r="AH42" s="9">
        <f ca="1">OFFSET('RES Techs T15'!$F42,0,MATCH(VLOOKUP('RES Veda input'!AH$3,'RES Assumptions T15'!$V$3:$W$35,2,FALSE),'RES Techs T15'!$G$3:$U$3,0))</f>
        <v>0.52</v>
      </c>
      <c r="AI42" s="9">
        <f ca="1">OFFSET('RES Techs T15'!$F42,0,MATCH(VLOOKUP('RES Veda input'!AI$3,'RES Assumptions T15'!$V$3:$W$35,2,FALSE),'RES Techs T15'!$G$3:$U$3,0))</f>
        <v>0.52</v>
      </c>
      <c r="AJ42" s="9">
        <f ca="1">OFFSET('RES Techs T15'!$F42,0,MATCH(VLOOKUP('RES Veda input'!AJ$3,'RES Assumptions T15'!$V$3:$W$35,2,FALSE),'RES Techs T15'!$G$3:$U$3,0))</f>
        <v>0.52</v>
      </c>
      <c r="AL42" s="8" t="str">
        <f t="shared" si="60"/>
        <v>RCKLPG000</v>
      </c>
      <c r="AM42" s="9">
        <f ca="1">OFFSET('RES Techs T15'!$W42,0,MATCH(VLOOKUP('RES Veda input'!AM$3,'RES Assumptions T15'!$V$3:$W$35,2,FALSE),'RES Techs T15'!$G$3:$U$3,0))</f>
        <v>1</v>
      </c>
      <c r="AN42" s="9">
        <f ca="1">OFFSET('RES Techs T15'!$W42,0,MATCH(VLOOKUP('RES Veda input'!AN$3,'RES Assumptions T15'!$V$3:$W$35,2,FALSE),'RES Techs T15'!$G$3:$U$3,0))</f>
        <v>1</v>
      </c>
      <c r="AO42" s="9">
        <f ca="1">OFFSET('RES Techs T15'!$W42,0,MATCH(VLOOKUP('RES Veda input'!AO$3,'RES Assumptions T15'!$V$3:$W$35,2,FALSE),'RES Techs T15'!$G$3:$U$3,0))</f>
        <v>1</v>
      </c>
      <c r="AP42" s="9">
        <f ca="1">OFFSET('RES Techs T15'!$W42,0,MATCH(VLOOKUP('RES Veda input'!AP$3,'RES Assumptions T15'!$V$3:$W$35,2,FALSE),'RES Techs T15'!$G$3:$U$3,0))</f>
        <v>1</v>
      </c>
      <c r="AQ42" s="9">
        <f ca="1">OFFSET('RES Techs T15'!$W42,0,MATCH(VLOOKUP('RES Veda input'!AQ$3,'RES Assumptions T15'!$V$3:$W$35,2,FALSE),'RES Techs T15'!$G$3:$U$3,0))</f>
        <v>1</v>
      </c>
      <c r="AR42" s="9">
        <f ca="1">OFFSET('RES Techs T15'!$W42,0,MATCH(VLOOKUP('RES Veda input'!AR$3,'RES Assumptions T15'!$V$3:$W$35,2,FALSE),'RES Techs T15'!$G$3:$U$3,0))</f>
        <v>1</v>
      </c>
      <c r="AS42" s="9">
        <f ca="1">OFFSET('RES Techs T15'!$W42,0,MATCH(VLOOKUP('RES Veda input'!AS$3,'RES Assumptions T15'!$V$3:$W$35,2,FALSE),'RES Techs T15'!$G$3:$U$3,0))</f>
        <v>1</v>
      </c>
      <c r="AT42" s="9">
        <f ca="1">OFFSET('RES Techs T15'!$W42,0,MATCH(VLOOKUP('RES Veda input'!AT$3,'RES Assumptions T15'!$V$3:$W$35,2,FALSE),'RES Techs T15'!$G$3:$U$3,0))</f>
        <v>1</v>
      </c>
      <c r="AU42" s="9">
        <f ca="1">OFFSET('RES Techs T15'!$W42,0,MATCH(VLOOKUP('RES Veda input'!AU$3,'RES Assumptions T15'!$V$3:$W$35,2,FALSE),'RES Techs T15'!$G$3:$U$3,0))</f>
        <v>1</v>
      </c>
      <c r="AV42" s="9">
        <f ca="1">OFFSET('RES Techs T15'!$W42,0,MATCH(VLOOKUP('RES Veda input'!AV$3,'RES Assumptions T15'!$V$3:$W$35,2,FALSE),'RES Techs T15'!$G$3:$U$3,0))</f>
        <v>1</v>
      </c>
      <c r="AW42" s="9">
        <f ca="1">OFFSET('RES Techs T15'!$W42,0,MATCH(VLOOKUP('RES Veda input'!AW$3,'RES Assumptions T15'!$V$3:$W$35,2,FALSE),'RES Techs T15'!$G$3:$U$3,0))</f>
        <v>1</v>
      </c>
      <c r="AX42" s="9">
        <f ca="1">OFFSET('RES Techs T15'!$W42,0,MATCH(VLOOKUP('RES Veda input'!AX$3,'RES Assumptions T15'!$V$3:$W$35,2,FALSE),'RES Techs T15'!$G$3:$U$3,0))</f>
        <v>1</v>
      </c>
      <c r="AY42" s="9">
        <f ca="1">OFFSET('RES Techs T15'!$W42,0,MATCH(VLOOKUP('RES Veda input'!AY$3,'RES Assumptions T15'!$V$3:$W$35,2,FALSE),'RES Techs T15'!$G$3:$U$3,0))</f>
        <v>1</v>
      </c>
      <c r="AZ42" s="9">
        <f ca="1">OFFSET('RES Techs T15'!$W42,0,MATCH(VLOOKUP('RES Veda input'!AZ$3,'RES Assumptions T15'!$V$3:$W$35,2,FALSE),'RES Techs T15'!$G$3:$U$3,0))</f>
        <v>1</v>
      </c>
      <c r="BA42" s="9">
        <f ca="1">OFFSET('RES Techs T15'!$W42,0,MATCH(VLOOKUP('RES Veda input'!BA$3,'RES Assumptions T15'!$V$3:$W$35,2,FALSE),'RES Techs T15'!$G$3:$U$3,0))</f>
        <v>1</v>
      </c>
      <c r="BB42" s="9">
        <f ca="1">OFFSET('RES Techs T15'!$W42,0,MATCH(VLOOKUP('RES Veda input'!BB$3,'RES Assumptions T15'!$V$3:$W$35,2,FALSE),'RES Techs T15'!$G$3:$U$3,0))</f>
        <v>1</v>
      </c>
      <c r="BC42" s="9">
        <f ca="1">OFFSET('RES Techs T15'!$W42,0,MATCH(VLOOKUP('RES Veda input'!BC$3,'RES Assumptions T15'!$V$3:$W$35,2,FALSE),'RES Techs T15'!$G$3:$U$3,0))</f>
        <v>1</v>
      </c>
      <c r="BD42" s="9">
        <f ca="1">OFFSET('RES Techs T15'!$W42,0,MATCH(VLOOKUP('RES Veda input'!BD$3,'RES Assumptions T15'!$V$3:$W$35,2,FALSE),'RES Techs T15'!$G$3:$U$3,0))</f>
        <v>1</v>
      </c>
      <c r="BE42" s="9">
        <f ca="1">OFFSET('RES Techs T15'!$W42,0,MATCH(VLOOKUP('RES Veda input'!BE$3,'RES Assumptions T15'!$V$3:$W$35,2,FALSE),'RES Techs T15'!$G$3:$U$3,0))</f>
        <v>1</v>
      </c>
      <c r="BF42" s="9">
        <f ca="1">OFFSET('RES Techs T15'!$W42,0,MATCH(VLOOKUP('RES Veda input'!BF$3,'RES Assumptions T15'!$V$3:$W$35,2,FALSE),'RES Techs T15'!$G$3:$U$3,0))</f>
        <v>1</v>
      </c>
      <c r="BG42" s="9">
        <f ca="1">OFFSET('RES Techs T15'!$W42,0,MATCH(VLOOKUP('RES Veda input'!BG$3,'RES Assumptions T15'!$V$3:$W$35,2,FALSE),'RES Techs T15'!$G$3:$U$3,0))</f>
        <v>1</v>
      </c>
      <c r="BH42" s="9">
        <f ca="1">OFFSET('RES Techs T15'!$W42,0,MATCH(VLOOKUP('RES Veda input'!BH$3,'RES Assumptions T15'!$V$3:$W$35,2,FALSE),'RES Techs T15'!$G$3:$U$3,0))</f>
        <v>1</v>
      </c>
      <c r="BI42" s="9">
        <f ca="1">OFFSET('RES Techs T15'!$W42,0,MATCH(VLOOKUP('RES Veda input'!BI$3,'RES Assumptions T15'!$V$3:$W$35,2,FALSE),'RES Techs T15'!$G$3:$U$3,0))</f>
        <v>1</v>
      </c>
      <c r="BJ42" s="9">
        <f ca="1">OFFSET('RES Techs T15'!$W42,0,MATCH(VLOOKUP('RES Veda input'!BJ$3,'RES Assumptions T15'!$V$3:$W$35,2,FALSE),'RES Techs T15'!$G$3:$U$3,0))</f>
        <v>1</v>
      </c>
      <c r="BK42" s="9">
        <f ca="1">OFFSET('RES Techs T15'!$W42,0,MATCH(VLOOKUP('RES Veda input'!BK$3,'RES Assumptions T15'!$V$3:$W$35,2,FALSE),'RES Techs T15'!$G$3:$U$3,0))</f>
        <v>1</v>
      </c>
      <c r="BL42" s="9">
        <f ca="1">OFFSET('RES Techs T15'!$W42,0,MATCH(VLOOKUP('RES Veda input'!BL$3,'RES Assumptions T15'!$V$3:$W$35,2,FALSE),'RES Techs T15'!$G$3:$U$3,0))</f>
        <v>1</v>
      </c>
      <c r="BM42" s="9">
        <f ca="1">OFFSET('RES Techs T15'!$W42,0,MATCH(VLOOKUP('RES Veda input'!BM$3,'RES Assumptions T15'!$V$3:$W$35,2,FALSE),'RES Techs T15'!$G$3:$U$3,0))</f>
        <v>1</v>
      </c>
      <c r="BN42" s="9">
        <f ca="1">OFFSET('RES Techs T15'!$W42,0,MATCH(VLOOKUP('RES Veda input'!BN$3,'RES Assumptions T15'!$V$3:$W$35,2,FALSE),'RES Techs T15'!$G$3:$U$3,0))</f>
        <v>1</v>
      </c>
      <c r="BO42" s="9">
        <f ca="1">OFFSET('RES Techs T15'!$W42,0,MATCH(VLOOKUP('RES Veda input'!BO$3,'RES Assumptions T15'!$V$3:$W$35,2,FALSE),'RES Techs T15'!$G$3:$U$3,0))</f>
        <v>1</v>
      </c>
      <c r="BP42" s="9">
        <f ca="1">OFFSET('RES Techs T15'!$W42,0,MATCH(VLOOKUP('RES Veda input'!BP$3,'RES Assumptions T15'!$V$3:$W$35,2,FALSE),'RES Techs T15'!$G$3:$U$3,0))</f>
        <v>1</v>
      </c>
      <c r="BR42" s="8" t="str">
        <f t="shared" si="61"/>
        <v>RCKLPG000</v>
      </c>
      <c r="BS42" s="9">
        <f t="shared" ca="1" si="62"/>
        <v>3.6</v>
      </c>
      <c r="BT42" s="9" t="str">
        <f ca="1">IF(OFFSET('RES Techs T15'!$AO42,0,MATCH(VLOOKUP('RES Veda input'!BT$3,'RES Assumptions T15'!$V$3:$W$35,2,FALSE),'RES Techs T15'!$G$3:$U$3,0))=0,"",OFFSET('RES Techs T15'!$AO42,0,MATCH(VLOOKUP('RES Veda input'!BT$3,'RES Assumptions T15'!$V$3:$W$35,2,FALSE),'RES Techs T15'!$G$3:$U$3,0)))</f>
        <v/>
      </c>
      <c r="BU42" s="9" t="str">
        <f ca="1">IF(OFFSET('RES Techs T15'!$AO42,0,MATCH(VLOOKUP('RES Veda input'!BU$3,'RES Assumptions T15'!$V$3:$W$35,2,FALSE),'RES Techs T15'!$G$3:$U$3,0))=0,"",OFFSET('RES Techs T15'!$AO42,0,MATCH(VLOOKUP('RES Veda input'!BU$3,'RES Assumptions T15'!$V$3:$W$35,2,FALSE),'RES Techs T15'!$G$3:$U$3,0)))</f>
        <v/>
      </c>
      <c r="BV42" s="9">
        <f ca="1">IF(OFFSET('RES Techs T15'!$AO42,0,MATCH(VLOOKUP('RES Veda input'!BV$3,'RES Assumptions T15'!$V$3:$W$35,2,FALSE),'RES Techs T15'!$G$3:$U$3,0))=0,"",OFFSET('RES Techs T15'!$AO42,0,MATCH(VLOOKUP('RES Veda input'!BV$3,'RES Assumptions T15'!$V$3:$W$35,2,FALSE),'RES Techs T15'!$G$3:$U$3,0)))</f>
        <v>4.2</v>
      </c>
      <c r="BW42" s="9" t="str">
        <f ca="1">IF(OFFSET('RES Techs T15'!$AO42,0,MATCH(VLOOKUP('RES Veda input'!BW$3,'RES Assumptions T15'!$V$3:$W$35,2,FALSE),'RES Techs T15'!$G$3:$U$3,0))=0,"",OFFSET('RES Techs T15'!$AO42,0,MATCH(VLOOKUP('RES Veda input'!BW$3,'RES Assumptions T15'!$V$3:$W$35,2,FALSE),'RES Techs T15'!$G$3:$U$3,0)))</f>
        <v/>
      </c>
      <c r="BX42" s="9">
        <f ca="1">IF(OFFSET('RES Techs T15'!$AO42,0,MATCH(VLOOKUP('RES Veda input'!BX$3,'RES Assumptions T15'!$V$3:$W$35,2,FALSE),'RES Techs T15'!$G$3:$U$3,0))=0,"",OFFSET('RES Techs T15'!$AO42,0,MATCH(VLOOKUP('RES Veda input'!BX$3,'RES Assumptions T15'!$V$3:$W$35,2,FALSE),'RES Techs T15'!$G$3:$U$3,0)))</f>
        <v>6</v>
      </c>
      <c r="BY42" s="9">
        <f ca="1">IF(OFFSET('RES Techs T15'!$AO42,0,MATCH(VLOOKUP('RES Veda input'!BY$3,'RES Assumptions T15'!$V$3:$W$35,2,FALSE),'RES Techs T15'!$G$3:$U$3,0))=0,"",OFFSET('RES Techs T15'!$AO42,0,MATCH(VLOOKUP('RES Veda input'!BY$3,'RES Assumptions T15'!$V$3:$W$35,2,FALSE),'RES Techs T15'!$G$3:$U$3,0)))</f>
        <v>3.6</v>
      </c>
      <c r="BZ42" s="9" t="str">
        <f ca="1">IF(OFFSET('RES Techs T15'!$AO42,0,MATCH(VLOOKUP('RES Veda input'!BZ$3,'RES Assumptions T15'!$V$3:$W$35,2,FALSE),'RES Techs T15'!$G$3:$U$3,0))=0,"",OFFSET('RES Techs T15'!$AO42,0,MATCH(VLOOKUP('RES Veda input'!BZ$3,'RES Assumptions T15'!$V$3:$W$35,2,FALSE),'RES Techs T15'!$G$3:$U$3,0)))</f>
        <v/>
      </c>
      <c r="CA42" s="9">
        <f ca="1">IF(OFFSET('RES Techs T15'!$AO42,0,MATCH(VLOOKUP('RES Veda input'!CA$3,'RES Assumptions T15'!$V$3:$W$35,2,FALSE),'RES Techs T15'!$G$3:$U$3,0))=0,"",OFFSET('RES Techs T15'!$AO42,0,MATCH(VLOOKUP('RES Veda input'!CA$3,'RES Assumptions T15'!$V$3:$W$35,2,FALSE),'RES Techs T15'!$G$3:$U$3,0)))</f>
        <v>4.2</v>
      </c>
      <c r="CB42" s="9" t="str">
        <f ca="1">IF(OFFSET('RES Techs T15'!$AO42,0,MATCH(VLOOKUP('RES Veda input'!CB$3,'RES Assumptions T15'!$V$3:$W$35,2,FALSE),'RES Techs T15'!$G$3:$U$3,0))=0,"",OFFSET('RES Techs T15'!$AO42,0,MATCH(VLOOKUP('RES Veda input'!CB$3,'RES Assumptions T15'!$V$3:$W$35,2,FALSE),'RES Techs T15'!$G$3:$U$3,0)))</f>
        <v/>
      </c>
      <c r="CC42" s="9" t="str">
        <f ca="1">IF(OFFSET('RES Techs T15'!$AO42,0,MATCH(VLOOKUP('RES Veda input'!CC$3,'RES Assumptions T15'!$V$3:$W$35,2,FALSE),'RES Techs T15'!$G$3:$U$3,0))=0,"",OFFSET('RES Techs T15'!$AO42,0,MATCH(VLOOKUP('RES Veda input'!CC$3,'RES Assumptions T15'!$V$3:$W$35,2,FALSE),'RES Techs T15'!$G$3:$U$3,0)))</f>
        <v/>
      </c>
      <c r="CD42" s="9" t="str">
        <f ca="1">IF(OFFSET('RES Techs T15'!$AO42,0,MATCH(VLOOKUP('RES Veda input'!CD$3,'RES Assumptions T15'!$V$3:$W$35,2,FALSE),'RES Techs T15'!$G$3:$U$3,0))=0,"",OFFSET('RES Techs T15'!$AO42,0,MATCH(VLOOKUP('RES Veda input'!CD$3,'RES Assumptions T15'!$V$3:$W$35,2,FALSE),'RES Techs T15'!$G$3:$U$3,0)))</f>
        <v/>
      </c>
      <c r="CE42" s="9" t="str">
        <f ca="1">IF(OFFSET('RES Techs T15'!$AO42,0,MATCH(VLOOKUP('RES Veda input'!CE$3,'RES Assumptions T15'!$V$3:$W$35,2,FALSE),'RES Techs T15'!$G$3:$U$3,0))=0,"",OFFSET('RES Techs T15'!$AO42,0,MATCH(VLOOKUP('RES Veda input'!CE$3,'RES Assumptions T15'!$V$3:$W$35,2,FALSE),'RES Techs T15'!$G$3:$U$3,0)))</f>
        <v/>
      </c>
      <c r="CF42" s="9" t="str">
        <f ca="1">IF(OFFSET('RES Techs T15'!$AO42,0,MATCH(VLOOKUP('RES Veda input'!CF$3,'RES Assumptions T15'!$V$3:$W$35,2,FALSE),'RES Techs T15'!$G$3:$U$3,0))=0,"",OFFSET('RES Techs T15'!$AO42,0,MATCH(VLOOKUP('RES Veda input'!CF$3,'RES Assumptions T15'!$V$3:$W$35,2,FALSE),'RES Techs T15'!$G$3:$U$3,0)))</f>
        <v/>
      </c>
      <c r="CG42" s="9" t="str">
        <f ca="1">IF(OFFSET('RES Techs T15'!$AO42,0,MATCH(VLOOKUP('RES Veda input'!CG$3,'RES Assumptions T15'!$V$3:$W$35,2,FALSE),'RES Techs T15'!$G$3:$U$3,0))=0,"",OFFSET('RES Techs T15'!$AO42,0,MATCH(VLOOKUP('RES Veda input'!CG$3,'RES Assumptions T15'!$V$3:$W$35,2,FALSE),'RES Techs T15'!$G$3:$U$3,0)))</f>
        <v/>
      </c>
      <c r="CH42" s="9" t="str">
        <f ca="1">IF(OFFSET('RES Techs T15'!$AO42,0,MATCH(VLOOKUP('RES Veda input'!CH$3,'RES Assumptions T15'!$V$3:$W$35,2,FALSE),'RES Techs T15'!$G$3:$U$3,0))=0,"",OFFSET('RES Techs T15'!$AO42,0,MATCH(VLOOKUP('RES Veda input'!CH$3,'RES Assumptions T15'!$V$3:$W$35,2,FALSE),'RES Techs T15'!$G$3:$U$3,0)))</f>
        <v/>
      </c>
      <c r="CI42" s="9" t="str">
        <f ca="1">IF(OFFSET('RES Techs T15'!$AO42,0,MATCH(VLOOKUP('RES Veda input'!CI$3,'RES Assumptions T15'!$V$3:$W$35,2,FALSE),'RES Techs T15'!$G$3:$U$3,0))=0,"",OFFSET('RES Techs T15'!$AO42,0,MATCH(VLOOKUP('RES Veda input'!CI$3,'RES Assumptions T15'!$V$3:$W$35,2,FALSE),'RES Techs T15'!$G$3:$U$3,0)))</f>
        <v/>
      </c>
      <c r="CJ42" s="9">
        <f ca="1">IF(OFFSET('RES Techs T15'!$AO42,0,MATCH(VLOOKUP('RES Veda input'!CJ$3,'RES Assumptions T15'!$V$3:$W$35,2,FALSE),'RES Techs T15'!$G$3:$U$3,0))=0,"",OFFSET('RES Techs T15'!$AO42,0,MATCH(VLOOKUP('RES Veda input'!CJ$3,'RES Assumptions T15'!$V$3:$W$35,2,FALSE),'RES Techs T15'!$G$3:$U$3,0)))</f>
        <v>4.2</v>
      </c>
      <c r="CK42" s="9" t="str">
        <f ca="1">IF(OFFSET('RES Techs T15'!$AO42,0,MATCH(VLOOKUP('RES Veda input'!CK$3,'RES Assumptions T15'!$V$3:$W$35,2,FALSE),'RES Techs T15'!$G$3:$U$3,0))=0,"",OFFSET('RES Techs T15'!$AO42,0,MATCH(VLOOKUP('RES Veda input'!CK$3,'RES Assumptions T15'!$V$3:$W$35,2,FALSE),'RES Techs T15'!$G$3:$U$3,0)))</f>
        <v/>
      </c>
      <c r="CL42" s="9" t="str">
        <f ca="1">IF(OFFSET('RES Techs T15'!$AO42,0,MATCH(VLOOKUP('RES Veda input'!CL$3,'RES Assumptions T15'!$V$3:$W$35,2,FALSE),'RES Techs T15'!$G$3:$U$3,0))=0,"",OFFSET('RES Techs T15'!$AO42,0,MATCH(VLOOKUP('RES Veda input'!CL$3,'RES Assumptions T15'!$V$3:$W$35,2,FALSE),'RES Techs T15'!$G$3:$U$3,0)))</f>
        <v/>
      </c>
      <c r="CM42" s="9">
        <f ca="1">IF(OFFSET('RES Techs T15'!$AO42,0,MATCH(VLOOKUP('RES Veda input'!CM$3,'RES Assumptions T15'!$V$3:$W$35,2,FALSE),'RES Techs T15'!$G$3:$U$3,0))=0,"",OFFSET('RES Techs T15'!$AO42,0,MATCH(VLOOKUP('RES Veda input'!CM$3,'RES Assumptions T15'!$V$3:$W$35,2,FALSE),'RES Techs T15'!$G$3:$U$3,0)))</f>
        <v>3.6</v>
      </c>
      <c r="CN42" s="9">
        <f ca="1">IF(OFFSET('RES Techs T15'!$AO42,0,MATCH(VLOOKUP('RES Veda input'!CN$3,'RES Assumptions T15'!$V$3:$W$35,2,FALSE),'RES Techs T15'!$G$3:$U$3,0))=0,"",OFFSET('RES Techs T15'!$AO42,0,MATCH(VLOOKUP('RES Veda input'!CN$3,'RES Assumptions T15'!$V$3:$W$35,2,FALSE),'RES Techs T15'!$G$3:$U$3,0)))</f>
        <v>4.2</v>
      </c>
      <c r="CO42" s="9">
        <f ca="1">IF(OFFSET('RES Techs T15'!$AO42,0,MATCH(VLOOKUP('RES Veda input'!CO$3,'RES Assumptions T15'!$V$3:$W$35,2,FALSE),'RES Techs T15'!$G$3:$U$3,0))=0,"",OFFSET('RES Techs T15'!$AO42,0,MATCH(VLOOKUP('RES Veda input'!CO$3,'RES Assumptions T15'!$V$3:$W$35,2,FALSE),'RES Techs T15'!$G$3:$U$3,0)))</f>
        <v>9.6</v>
      </c>
      <c r="CP42" s="9">
        <f ca="1">IF(OFFSET('RES Techs T15'!$AO42,0,MATCH(VLOOKUP('RES Veda input'!CP$3,'RES Assumptions T15'!$V$3:$W$35,2,FALSE),'RES Techs T15'!$G$3:$U$3,0))=0,"",OFFSET('RES Techs T15'!$AO42,0,MATCH(VLOOKUP('RES Veda input'!CP$3,'RES Assumptions T15'!$V$3:$W$35,2,FALSE),'RES Techs T15'!$G$3:$U$3,0)))</f>
        <v>4.2</v>
      </c>
      <c r="CQ42" s="9" t="str">
        <f ca="1">IF(OFFSET('RES Techs T15'!$AO42,0,MATCH(VLOOKUP('RES Veda input'!CQ$3,'RES Assumptions T15'!$V$3:$W$35,2,FALSE),'RES Techs T15'!$G$3:$U$3,0))=0,"",OFFSET('RES Techs T15'!$AO42,0,MATCH(VLOOKUP('RES Veda input'!CQ$3,'RES Assumptions T15'!$V$3:$W$35,2,FALSE),'RES Techs T15'!$G$3:$U$3,0)))</f>
        <v/>
      </c>
      <c r="CR42" s="9" t="str">
        <f ca="1">IF(OFFSET('RES Techs T15'!$AO42,0,MATCH(VLOOKUP('RES Veda input'!CR$3,'RES Assumptions T15'!$V$3:$W$35,2,FALSE),'RES Techs T15'!$G$3:$U$3,0))=0,"",OFFSET('RES Techs T15'!$AO42,0,MATCH(VLOOKUP('RES Veda input'!CR$3,'RES Assumptions T15'!$V$3:$W$35,2,FALSE),'RES Techs T15'!$G$3:$U$3,0)))</f>
        <v/>
      </c>
      <c r="CS42" s="9">
        <f ca="1">IF(OFFSET('RES Techs T15'!$AO42,0,MATCH(VLOOKUP('RES Veda input'!CS$3,'RES Assumptions T15'!$V$3:$W$35,2,FALSE),'RES Techs T15'!$G$3:$U$3,0))=0,"",OFFSET('RES Techs T15'!$AO42,0,MATCH(VLOOKUP('RES Veda input'!CS$3,'RES Assumptions T15'!$V$3:$W$35,2,FALSE),'RES Techs T15'!$G$3:$U$3,0)))</f>
        <v>4.2</v>
      </c>
      <c r="CT42" s="9" t="str">
        <f ca="1">IF(OFFSET('RES Techs T15'!$AO42,0,MATCH(VLOOKUP('RES Veda input'!CT$3,'RES Assumptions T15'!$V$3:$W$35,2,FALSE),'RES Techs T15'!$G$3:$U$3,0))=0,"",OFFSET('RES Techs T15'!$AO42,0,MATCH(VLOOKUP('RES Veda input'!CT$3,'RES Assumptions T15'!$V$3:$W$35,2,FALSE),'RES Techs T15'!$G$3:$U$3,0)))</f>
        <v/>
      </c>
      <c r="CU42" s="9" t="str">
        <f ca="1">IF(OFFSET('RES Techs T15'!$AO42,0,MATCH(VLOOKUP('RES Veda input'!CU$3,'RES Assumptions T15'!$V$3:$W$35,2,FALSE),'RES Techs T15'!$G$3:$U$3,0))=0,"",OFFSET('RES Techs T15'!$AO42,0,MATCH(VLOOKUP('RES Veda input'!CU$3,'RES Assumptions T15'!$V$3:$W$35,2,FALSE),'RES Techs T15'!$G$3:$U$3,0)))</f>
        <v/>
      </c>
      <c r="CV42" s="9">
        <f ca="1">IF(OFFSET('RES Techs T15'!$AO42,0,MATCH(VLOOKUP('RES Veda input'!CV$3,'RES Assumptions T15'!$V$3:$W$35,2,FALSE),'RES Techs T15'!$G$3:$U$3,0))=0,"",OFFSET('RES Techs T15'!$AO42,0,MATCH(VLOOKUP('RES Veda input'!CV$3,'RES Assumptions T15'!$V$3:$W$35,2,FALSE),'RES Techs T15'!$G$3:$U$3,0)))</f>
        <v>10</v>
      </c>
      <c r="CW42" s="9">
        <f ca="1">IF(OFFSET('RES Techs T15'!$AO42,0,MATCH(VLOOKUP('RES Veda input'!CW$3,'RES Assumptions T15'!$V$3:$W$35,2,FALSE),'RES Techs T15'!$G$3:$U$3,0))=0,"",OFFSET('RES Techs T15'!$AO42,0,MATCH(VLOOKUP('RES Veda input'!CW$3,'RES Assumptions T15'!$V$3:$W$35,2,FALSE),'RES Techs T15'!$G$3:$U$3,0)))</f>
        <v>10</v>
      </c>
      <c r="CY42" s="8" t="str">
        <f t="shared" si="63"/>
        <v>RCKLPG000</v>
      </c>
      <c r="CZ42" s="10">
        <f ca="1">ROUND('RES Assumptions'!E125*'RES Veda input'!G42/'RES Veda input'!AM42,3)</f>
        <v>175.57</v>
      </c>
      <c r="DA42" s="10">
        <f ca="1">ROUND('RES Assumptions'!F125*'RES Veda input'!H42/'RES Veda input'!AN42,3)</f>
        <v>54.582999999999998</v>
      </c>
      <c r="DB42" s="10">
        <f ca="1">ROUND('RES Assumptions'!G125*'RES Veda input'!I42/'RES Veda input'!AO42,3)</f>
        <v>40.862000000000002</v>
      </c>
      <c r="DC42" s="10">
        <f ca="1">ROUND('RES Assumptions'!H125*'RES Veda input'!J42/'RES Veda input'!AP42,3)</f>
        <v>5.3840000000000003</v>
      </c>
      <c r="DD42" s="10">
        <f ca="1">ROUND('RES Assumptions'!I125*'RES Veda input'!K42/'RES Veda input'!AQ42,3)</f>
        <v>12.62</v>
      </c>
      <c r="DE42" s="10">
        <f ca="1">ROUND('RES Assumptions'!J125*'RES Veda input'!L42/'RES Veda input'!AR42,3)</f>
        <v>330.22399999999999</v>
      </c>
      <c r="DF42" s="10">
        <f ca="1">ROUND('RES Assumptions'!K125*'RES Veda input'!M42/'RES Veda input'!AS42,3)</f>
        <v>2.415</v>
      </c>
      <c r="DG42" s="10">
        <f ca="1">ROUND('RES Assumptions'!L125*'RES Veda input'!N42/'RES Veda input'!AT42,3)</f>
        <v>121.637</v>
      </c>
      <c r="DH42" s="10">
        <f ca="1">ROUND('RES Assumptions'!M125*'RES Veda input'!O42/'RES Veda input'!AU42,3)</f>
        <v>0</v>
      </c>
      <c r="DI42" s="10">
        <f ca="1">ROUND('RES Assumptions'!N125*'RES Veda input'!P42/'RES Veda input'!AV42,3)</f>
        <v>230.732</v>
      </c>
      <c r="DJ42" s="10">
        <f ca="1">ROUND('RES Assumptions'!O125*'RES Veda input'!Q42/'RES Veda input'!AW42,3)</f>
        <v>0.02</v>
      </c>
      <c r="DK42" s="10">
        <f ca="1">ROUND('RES Assumptions'!P125*'RES Veda input'!R42/'RES Veda input'!AX42,3)</f>
        <v>10.260999999999999</v>
      </c>
      <c r="DL42" s="10">
        <f ca="1">ROUND('RES Assumptions'!Q125*'RES Veda input'!S42/'RES Veda input'!AY42,3)</f>
        <v>0.13200000000000001</v>
      </c>
      <c r="DM42" s="10">
        <f ca="1">ROUND('RES Assumptions'!R125*'RES Veda input'!T42/'RES Veda input'!AZ42,3)</f>
        <v>0.872</v>
      </c>
      <c r="DN42" s="10">
        <f ca="1">ROUND('RES Assumptions'!S125*'RES Veda input'!U42/'RES Veda input'!BA42,3)</f>
        <v>6.4249999999999998</v>
      </c>
      <c r="DO42" s="10">
        <f ca="1">ROUND('RES Assumptions'!T125*'RES Veda input'!V42/'RES Veda input'!BB42,3)</f>
        <v>0.86099999999999999</v>
      </c>
      <c r="DP42" s="10">
        <f ca="1">ROUND('RES Assumptions'!U125*'RES Veda input'!W42/'RES Veda input'!BC42,3)</f>
        <v>5.2370000000000001</v>
      </c>
      <c r="DQ42" s="10">
        <f ca="1">ROUND('RES Assumptions'!V125*'RES Veda input'!X42/'RES Veda input'!BD42,3)</f>
        <v>0.56799999999999995</v>
      </c>
      <c r="DR42" s="10">
        <f ca="1">ROUND('RES Assumptions'!W125*'RES Veda input'!Y42/'RES Veda input'!BE42,3)</f>
        <v>0.58599999999999997</v>
      </c>
      <c r="DS42" s="10">
        <f ca="1">ROUND('RES Assumptions'!X125*'RES Veda input'!Z42/'RES Veda input'!BF42,3)</f>
        <v>513.88</v>
      </c>
      <c r="DT42" s="10">
        <f ca="1">ROUND('RES Assumptions'!Y125*'RES Veda input'!AA42/'RES Veda input'!BG42,3)</f>
        <v>101.41800000000001</v>
      </c>
      <c r="DU42" s="10">
        <f ca="1">ROUND('RES Assumptions'!Z125*'RES Veda input'!AB42/'RES Veda input'!BH42,3)</f>
        <v>48.478000000000002</v>
      </c>
      <c r="DV42" s="10">
        <f ca="1">ROUND('RES Assumptions'!AA125*'RES Veda input'!AC42/'RES Veda input'!BI42,3)</f>
        <v>73.266999999999996</v>
      </c>
      <c r="DW42" s="10">
        <f ca="1">ROUND('RES Assumptions'!AB125*'RES Veda input'!AD42/'RES Veda input'!BJ42,3)</f>
        <v>4.0000000000000001E-3</v>
      </c>
      <c r="DX42" s="10">
        <f ca="1">ROUND('RES Assumptions'!AC125*'RES Veda input'!AE42/'RES Veda input'!BK42,3)</f>
        <v>41.895000000000003</v>
      </c>
      <c r="DY42" s="10">
        <f ca="1">ROUND('RES Assumptions'!AD125*'RES Veda input'!AF42/'RES Veda input'!BL42,3)</f>
        <v>12.59</v>
      </c>
      <c r="DZ42" s="10">
        <f ca="1">ROUND('RES Assumptions'!AE125*'RES Veda input'!AG42/'RES Veda input'!BM42,3)</f>
        <v>4.508</v>
      </c>
      <c r="EA42" s="10">
        <f ca="1">ROUND('RES Assumptions'!AF125*'RES Veda input'!AH42/'RES Veda input'!BN42,3)</f>
        <v>0.16300000000000001</v>
      </c>
      <c r="EB42" s="10">
        <f ca="1">ROUND('RES Assumptions'!AG125*'RES Veda input'!AI42/'RES Veda input'!BO42,3)</f>
        <v>2.3490000000000002</v>
      </c>
      <c r="EC42" s="10">
        <f ca="1">ROUND('RES Assumptions'!AH125*'RES Veda input'!AJ42/'RES Veda input'!BP42,3)</f>
        <v>0</v>
      </c>
      <c r="ED42">
        <v>17</v>
      </c>
      <c r="EG42" t="s">
        <v>281</v>
      </c>
      <c r="EH42" t="str">
        <f t="shared" si="64"/>
        <v>RCKLPG000</v>
      </c>
      <c r="EJ42" t="s">
        <v>282</v>
      </c>
      <c r="EK42" t="s">
        <v>283</v>
      </c>
    </row>
    <row r="43" spans="1:141" x14ac:dyDescent="0.45">
      <c r="A43" s="37" t="str">
        <f>'RES Assumptions'!B126</f>
        <v>RK</v>
      </c>
      <c r="B43" s="37" t="s">
        <v>152</v>
      </c>
      <c r="D43" s="51" t="s">
        <v>308</v>
      </c>
      <c r="E43" s="8" t="str">
        <f>'RES Assumptions'!A126</f>
        <v>RESNGA</v>
      </c>
      <c r="F43" s="8" t="str">
        <f>VLOOKUP(A43,'RES Assumptions'!$AN$87:$AO$97,2,FALSE)</f>
        <v>RCK</v>
      </c>
      <c r="G43" s="9">
        <f ca="1">OFFSET('RES Techs T15'!$F43,0,MATCH(VLOOKUP('RES Veda input'!G$3,'RES Assumptions T15'!$V$3:$W$35,2,FALSE),'RES Techs T15'!$G$3:$U$3,0))</f>
        <v>0.5</v>
      </c>
      <c r="H43" s="9">
        <f ca="1">OFFSET('RES Techs T15'!$F43,0,MATCH(VLOOKUP('RES Veda input'!H$3,'RES Assumptions T15'!$V$3:$W$35,2,FALSE),'RES Techs T15'!$G$3:$U$3,0))</f>
        <v>0.5</v>
      </c>
      <c r="I43" s="9">
        <f ca="1">OFFSET('RES Techs T15'!$F43,0,MATCH(VLOOKUP('RES Veda input'!I$3,'RES Assumptions T15'!$V$3:$W$35,2,FALSE),'RES Techs T15'!$G$3:$U$3,0))</f>
        <v>0.5</v>
      </c>
      <c r="J43" s="9">
        <f ca="1">OFFSET('RES Techs T15'!$F43,0,MATCH(VLOOKUP('RES Veda input'!J$3,'RES Assumptions T15'!$V$3:$W$35,2,FALSE),'RES Techs T15'!$G$3:$U$3,0))</f>
        <v>0.5</v>
      </c>
      <c r="K43" s="9">
        <f ca="1">OFFSET('RES Techs T15'!$F43,0,MATCH(VLOOKUP('RES Veda input'!K$3,'RES Assumptions T15'!$V$3:$W$35,2,FALSE),'RES Techs T15'!$G$3:$U$3,0))</f>
        <v>0.5</v>
      </c>
      <c r="L43" s="9">
        <f ca="1">OFFSET('RES Techs T15'!$F43,0,MATCH(VLOOKUP('RES Veda input'!L$3,'RES Assumptions T15'!$V$3:$W$35,2,FALSE),'RES Techs T15'!$G$3:$U$3,0))</f>
        <v>0.5</v>
      </c>
      <c r="M43" s="9">
        <f ca="1">OFFSET('RES Techs T15'!$F43,0,MATCH(VLOOKUP('RES Veda input'!M$3,'RES Assumptions T15'!$V$3:$W$35,2,FALSE),'RES Techs T15'!$G$3:$U$3,0))</f>
        <v>0.5</v>
      </c>
      <c r="N43" s="9">
        <f ca="1">OFFSET('RES Techs T15'!$F43,0,MATCH(VLOOKUP('RES Veda input'!N$3,'RES Assumptions T15'!$V$3:$W$35,2,FALSE),'RES Techs T15'!$G$3:$U$3,0))</f>
        <v>0.5</v>
      </c>
      <c r="O43" s="9">
        <f ca="1">OFFSET('RES Techs T15'!$F43,0,MATCH(VLOOKUP('RES Veda input'!O$3,'RES Assumptions T15'!$V$3:$W$35,2,FALSE),'RES Techs T15'!$G$3:$U$3,0))</f>
        <v>0.5</v>
      </c>
      <c r="P43" s="9">
        <f ca="1">OFFSET('RES Techs T15'!$F43,0,MATCH(VLOOKUP('RES Veda input'!P$3,'RES Assumptions T15'!$V$3:$W$35,2,FALSE),'RES Techs T15'!$G$3:$U$3,0))</f>
        <v>0.5</v>
      </c>
      <c r="Q43" s="9">
        <f ca="1">OFFSET('RES Techs T15'!$F43,0,MATCH(VLOOKUP('RES Veda input'!Q$3,'RES Assumptions T15'!$V$3:$W$35,2,FALSE),'RES Techs T15'!$G$3:$U$3,0))</f>
        <v>0.5</v>
      </c>
      <c r="R43" s="9">
        <f ca="1">OFFSET('RES Techs T15'!$F43,0,MATCH(VLOOKUP('RES Veda input'!R$3,'RES Assumptions T15'!$V$3:$W$35,2,FALSE),'RES Techs T15'!$G$3:$U$3,0))</f>
        <v>0.5</v>
      </c>
      <c r="S43" s="9">
        <f ca="1">OFFSET('RES Techs T15'!$F43,0,MATCH(VLOOKUP('RES Veda input'!S$3,'RES Assumptions T15'!$V$3:$W$35,2,FALSE),'RES Techs T15'!$G$3:$U$3,0))</f>
        <v>0.5</v>
      </c>
      <c r="T43" s="9">
        <f ca="1">OFFSET('RES Techs T15'!$F43,0,MATCH(VLOOKUP('RES Veda input'!T$3,'RES Assumptions T15'!$V$3:$W$35,2,FALSE),'RES Techs T15'!$G$3:$U$3,0))</f>
        <v>0.5</v>
      </c>
      <c r="U43" s="9">
        <f ca="1">OFFSET('RES Techs T15'!$F43,0,MATCH(VLOOKUP('RES Veda input'!U$3,'RES Assumptions T15'!$V$3:$W$35,2,FALSE),'RES Techs T15'!$G$3:$U$3,0))</f>
        <v>0.5</v>
      </c>
      <c r="V43" s="9">
        <f ca="1">OFFSET('RES Techs T15'!$F43,0,MATCH(VLOOKUP('RES Veda input'!V$3,'RES Assumptions T15'!$V$3:$W$35,2,FALSE),'RES Techs T15'!$G$3:$U$3,0))</f>
        <v>0.5</v>
      </c>
      <c r="W43" s="9">
        <f ca="1">OFFSET('RES Techs T15'!$F43,0,MATCH(VLOOKUP('RES Veda input'!W$3,'RES Assumptions T15'!$V$3:$W$35,2,FALSE),'RES Techs T15'!$G$3:$U$3,0))</f>
        <v>0.5</v>
      </c>
      <c r="X43" s="9">
        <f ca="1">OFFSET('RES Techs T15'!$F43,0,MATCH(VLOOKUP('RES Veda input'!X$3,'RES Assumptions T15'!$V$3:$W$35,2,FALSE),'RES Techs T15'!$G$3:$U$3,0))</f>
        <v>0.5</v>
      </c>
      <c r="Y43" s="9">
        <f ca="1">OFFSET('RES Techs T15'!$F43,0,MATCH(VLOOKUP('RES Veda input'!Y$3,'RES Assumptions T15'!$V$3:$W$35,2,FALSE),'RES Techs T15'!$G$3:$U$3,0))</f>
        <v>0.5</v>
      </c>
      <c r="Z43" s="9">
        <f ca="1">OFFSET('RES Techs T15'!$F43,0,MATCH(VLOOKUP('RES Veda input'!Z$3,'RES Assumptions T15'!$V$3:$W$35,2,FALSE),'RES Techs T15'!$G$3:$U$3,0))</f>
        <v>0.5</v>
      </c>
      <c r="AA43" s="9">
        <f ca="1">OFFSET('RES Techs T15'!$F43,0,MATCH(VLOOKUP('RES Veda input'!AA$3,'RES Assumptions T15'!$V$3:$W$35,2,FALSE),'RES Techs T15'!$G$3:$U$3,0))</f>
        <v>0.5</v>
      </c>
      <c r="AB43" s="9">
        <f ca="1">OFFSET('RES Techs T15'!$F43,0,MATCH(VLOOKUP('RES Veda input'!AB$3,'RES Assumptions T15'!$V$3:$W$35,2,FALSE),'RES Techs T15'!$G$3:$U$3,0))</f>
        <v>0.5</v>
      </c>
      <c r="AC43" s="9">
        <f ca="1">OFFSET('RES Techs T15'!$F43,0,MATCH(VLOOKUP('RES Veda input'!AC$3,'RES Assumptions T15'!$V$3:$W$35,2,FALSE),'RES Techs T15'!$G$3:$U$3,0))</f>
        <v>0.5</v>
      </c>
      <c r="AD43" s="9">
        <f ca="1">OFFSET('RES Techs T15'!$F43,0,MATCH(VLOOKUP('RES Veda input'!AD$3,'RES Assumptions T15'!$V$3:$W$35,2,FALSE),'RES Techs T15'!$G$3:$U$3,0))</f>
        <v>0.5</v>
      </c>
      <c r="AE43" s="9">
        <f ca="1">OFFSET('RES Techs T15'!$F43,0,MATCH(VLOOKUP('RES Veda input'!AE$3,'RES Assumptions T15'!$V$3:$W$35,2,FALSE),'RES Techs T15'!$G$3:$U$3,0))</f>
        <v>0.5</v>
      </c>
      <c r="AF43" s="9">
        <f ca="1">OFFSET('RES Techs T15'!$F43,0,MATCH(VLOOKUP('RES Veda input'!AF$3,'RES Assumptions T15'!$V$3:$W$35,2,FALSE),'RES Techs T15'!$G$3:$U$3,0))</f>
        <v>0.5</v>
      </c>
      <c r="AG43" s="9">
        <f ca="1">OFFSET('RES Techs T15'!$F43,0,MATCH(VLOOKUP('RES Veda input'!AG$3,'RES Assumptions T15'!$V$3:$W$35,2,FALSE),'RES Techs T15'!$G$3:$U$3,0))</f>
        <v>0.5</v>
      </c>
      <c r="AH43" s="9">
        <f ca="1">OFFSET('RES Techs T15'!$F43,0,MATCH(VLOOKUP('RES Veda input'!AH$3,'RES Assumptions T15'!$V$3:$W$35,2,FALSE),'RES Techs T15'!$G$3:$U$3,0))</f>
        <v>0.5</v>
      </c>
      <c r="AI43" s="9">
        <f ca="1">OFFSET('RES Techs T15'!$F43,0,MATCH(VLOOKUP('RES Veda input'!AI$3,'RES Assumptions T15'!$V$3:$W$35,2,FALSE),'RES Techs T15'!$G$3:$U$3,0))</f>
        <v>0.5</v>
      </c>
      <c r="AJ43" s="9">
        <f ca="1">OFFSET('RES Techs T15'!$F43,0,MATCH(VLOOKUP('RES Veda input'!AJ$3,'RES Assumptions T15'!$V$3:$W$35,2,FALSE),'RES Techs T15'!$G$3:$U$3,0))</f>
        <v>0.5</v>
      </c>
      <c r="AL43" s="8" t="str">
        <f t="shared" si="60"/>
        <v>RCKNGA000</v>
      </c>
      <c r="AM43" s="9">
        <f ca="1">OFFSET('RES Techs T15'!$W43,0,MATCH(VLOOKUP('RES Veda input'!AM$3,'RES Assumptions T15'!$V$3:$W$35,2,FALSE),'RES Techs T15'!$G$3:$U$3,0))</f>
        <v>1</v>
      </c>
      <c r="AN43" s="9">
        <f ca="1">OFFSET('RES Techs T15'!$W43,0,MATCH(VLOOKUP('RES Veda input'!AN$3,'RES Assumptions T15'!$V$3:$W$35,2,FALSE),'RES Techs T15'!$G$3:$U$3,0))</f>
        <v>1</v>
      </c>
      <c r="AO43" s="9">
        <f ca="1">OFFSET('RES Techs T15'!$W43,0,MATCH(VLOOKUP('RES Veda input'!AO$3,'RES Assumptions T15'!$V$3:$W$35,2,FALSE),'RES Techs T15'!$G$3:$U$3,0))</f>
        <v>1</v>
      </c>
      <c r="AP43" s="9">
        <f ca="1">OFFSET('RES Techs T15'!$W43,0,MATCH(VLOOKUP('RES Veda input'!AP$3,'RES Assumptions T15'!$V$3:$W$35,2,FALSE),'RES Techs T15'!$G$3:$U$3,0))</f>
        <v>1</v>
      </c>
      <c r="AQ43" s="9">
        <f ca="1">OFFSET('RES Techs T15'!$W43,0,MATCH(VLOOKUP('RES Veda input'!AQ$3,'RES Assumptions T15'!$V$3:$W$35,2,FALSE),'RES Techs T15'!$G$3:$U$3,0))</f>
        <v>1</v>
      </c>
      <c r="AR43" s="9">
        <f ca="1">OFFSET('RES Techs T15'!$W43,0,MATCH(VLOOKUP('RES Veda input'!AR$3,'RES Assumptions T15'!$V$3:$W$35,2,FALSE),'RES Techs T15'!$G$3:$U$3,0))</f>
        <v>1</v>
      </c>
      <c r="AS43" s="9">
        <f ca="1">OFFSET('RES Techs T15'!$W43,0,MATCH(VLOOKUP('RES Veda input'!AS$3,'RES Assumptions T15'!$V$3:$W$35,2,FALSE),'RES Techs T15'!$G$3:$U$3,0))</f>
        <v>1</v>
      </c>
      <c r="AT43" s="9">
        <f ca="1">OFFSET('RES Techs T15'!$W43,0,MATCH(VLOOKUP('RES Veda input'!AT$3,'RES Assumptions T15'!$V$3:$W$35,2,FALSE),'RES Techs T15'!$G$3:$U$3,0))</f>
        <v>1</v>
      </c>
      <c r="AU43" s="9">
        <f ca="1">OFFSET('RES Techs T15'!$W43,0,MATCH(VLOOKUP('RES Veda input'!AU$3,'RES Assumptions T15'!$V$3:$W$35,2,FALSE),'RES Techs T15'!$G$3:$U$3,0))</f>
        <v>1</v>
      </c>
      <c r="AV43" s="9">
        <f ca="1">OFFSET('RES Techs T15'!$W43,0,MATCH(VLOOKUP('RES Veda input'!AV$3,'RES Assumptions T15'!$V$3:$W$35,2,FALSE),'RES Techs T15'!$G$3:$U$3,0))</f>
        <v>1</v>
      </c>
      <c r="AW43" s="9">
        <f ca="1">OFFSET('RES Techs T15'!$W43,0,MATCH(VLOOKUP('RES Veda input'!AW$3,'RES Assumptions T15'!$V$3:$W$35,2,FALSE),'RES Techs T15'!$G$3:$U$3,0))</f>
        <v>1</v>
      </c>
      <c r="AX43" s="9">
        <f ca="1">OFFSET('RES Techs T15'!$W43,0,MATCH(VLOOKUP('RES Veda input'!AX$3,'RES Assumptions T15'!$V$3:$W$35,2,FALSE),'RES Techs T15'!$G$3:$U$3,0))</f>
        <v>1</v>
      </c>
      <c r="AY43" s="9">
        <f ca="1">OFFSET('RES Techs T15'!$W43,0,MATCH(VLOOKUP('RES Veda input'!AY$3,'RES Assumptions T15'!$V$3:$W$35,2,FALSE),'RES Techs T15'!$G$3:$U$3,0))</f>
        <v>1</v>
      </c>
      <c r="AZ43" s="9">
        <f ca="1">OFFSET('RES Techs T15'!$W43,0,MATCH(VLOOKUP('RES Veda input'!AZ$3,'RES Assumptions T15'!$V$3:$W$35,2,FALSE),'RES Techs T15'!$G$3:$U$3,0))</f>
        <v>1</v>
      </c>
      <c r="BA43" s="9">
        <f ca="1">OFFSET('RES Techs T15'!$W43,0,MATCH(VLOOKUP('RES Veda input'!BA$3,'RES Assumptions T15'!$V$3:$W$35,2,FALSE),'RES Techs T15'!$G$3:$U$3,0))</f>
        <v>1</v>
      </c>
      <c r="BB43" s="9">
        <f ca="1">OFFSET('RES Techs T15'!$W43,0,MATCH(VLOOKUP('RES Veda input'!BB$3,'RES Assumptions T15'!$V$3:$W$35,2,FALSE),'RES Techs T15'!$G$3:$U$3,0))</f>
        <v>1</v>
      </c>
      <c r="BC43" s="9">
        <f ca="1">OFFSET('RES Techs T15'!$W43,0,MATCH(VLOOKUP('RES Veda input'!BC$3,'RES Assumptions T15'!$V$3:$W$35,2,FALSE),'RES Techs T15'!$G$3:$U$3,0))</f>
        <v>1</v>
      </c>
      <c r="BD43" s="9">
        <f ca="1">OFFSET('RES Techs T15'!$W43,0,MATCH(VLOOKUP('RES Veda input'!BD$3,'RES Assumptions T15'!$V$3:$W$35,2,FALSE),'RES Techs T15'!$G$3:$U$3,0))</f>
        <v>1</v>
      </c>
      <c r="BE43" s="9">
        <f ca="1">OFFSET('RES Techs T15'!$W43,0,MATCH(VLOOKUP('RES Veda input'!BE$3,'RES Assumptions T15'!$V$3:$W$35,2,FALSE),'RES Techs T15'!$G$3:$U$3,0))</f>
        <v>1</v>
      </c>
      <c r="BF43" s="9">
        <f ca="1">OFFSET('RES Techs T15'!$W43,0,MATCH(VLOOKUP('RES Veda input'!BF$3,'RES Assumptions T15'!$V$3:$W$35,2,FALSE),'RES Techs T15'!$G$3:$U$3,0))</f>
        <v>1</v>
      </c>
      <c r="BG43" s="9">
        <f ca="1">OFFSET('RES Techs T15'!$W43,0,MATCH(VLOOKUP('RES Veda input'!BG$3,'RES Assumptions T15'!$V$3:$W$35,2,FALSE),'RES Techs T15'!$G$3:$U$3,0))</f>
        <v>1</v>
      </c>
      <c r="BH43" s="9">
        <f ca="1">OFFSET('RES Techs T15'!$W43,0,MATCH(VLOOKUP('RES Veda input'!BH$3,'RES Assumptions T15'!$V$3:$W$35,2,FALSE),'RES Techs T15'!$G$3:$U$3,0))</f>
        <v>1</v>
      </c>
      <c r="BI43" s="9">
        <f ca="1">OFFSET('RES Techs T15'!$W43,0,MATCH(VLOOKUP('RES Veda input'!BI$3,'RES Assumptions T15'!$V$3:$W$35,2,FALSE),'RES Techs T15'!$G$3:$U$3,0))</f>
        <v>1</v>
      </c>
      <c r="BJ43" s="9">
        <f ca="1">OFFSET('RES Techs T15'!$W43,0,MATCH(VLOOKUP('RES Veda input'!BJ$3,'RES Assumptions T15'!$V$3:$W$35,2,FALSE),'RES Techs T15'!$G$3:$U$3,0))</f>
        <v>1</v>
      </c>
      <c r="BK43" s="9">
        <f ca="1">OFFSET('RES Techs T15'!$W43,0,MATCH(VLOOKUP('RES Veda input'!BK$3,'RES Assumptions T15'!$V$3:$W$35,2,FALSE),'RES Techs T15'!$G$3:$U$3,0))</f>
        <v>1</v>
      </c>
      <c r="BL43" s="9">
        <f ca="1">OFFSET('RES Techs T15'!$W43,0,MATCH(VLOOKUP('RES Veda input'!BL$3,'RES Assumptions T15'!$V$3:$W$35,2,FALSE),'RES Techs T15'!$G$3:$U$3,0))</f>
        <v>1</v>
      </c>
      <c r="BM43" s="9">
        <f ca="1">OFFSET('RES Techs T15'!$W43,0,MATCH(VLOOKUP('RES Veda input'!BM$3,'RES Assumptions T15'!$V$3:$W$35,2,FALSE),'RES Techs T15'!$G$3:$U$3,0))</f>
        <v>1</v>
      </c>
      <c r="BN43" s="9">
        <f ca="1">OFFSET('RES Techs T15'!$W43,0,MATCH(VLOOKUP('RES Veda input'!BN$3,'RES Assumptions T15'!$V$3:$W$35,2,FALSE),'RES Techs T15'!$G$3:$U$3,0))</f>
        <v>1</v>
      </c>
      <c r="BO43" s="9">
        <f ca="1">OFFSET('RES Techs T15'!$W43,0,MATCH(VLOOKUP('RES Veda input'!BO$3,'RES Assumptions T15'!$V$3:$W$35,2,FALSE),'RES Techs T15'!$G$3:$U$3,0))</f>
        <v>1</v>
      </c>
      <c r="BP43" s="9">
        <f ca="1">OFFSET('RES Techs T15'!$W43,0,MATCH(VLOOKUP('RES Veda input'!BP$3,'RES Assumptions T15'!$V$3:$W$35,2,FALSE),'RES Techs T15'!$G$3:$U$3,0))</f>
        <v>1</v>
      </c>
      <c r="BR43" s="8" t="str">
        <f t="shared" si="61"/>
        <v>RCKNGA000</v>
      </c>
      <c r="BS43" s="9">
        <f t="shared" ca="1" si="62"/>
        <v>3.6</v>
      </c>
      <c r="BT43" s="9" t="str">
        <f ca="1">IF(OFFSET('RES Techs T15'!$AO43,0,MATCH(VLOOKUP('RES Veda input'!BT$3,'RES Assumptions T15'!$V$3:$W$35,2,FALSE),'RES Techs T15'!$G$3:$U$3,0))=0,"",OFFSET('RES Techs T15'!$AO43,0,MATCH(VLOOKUP('RES Veda input'!BT$3,'RES Assumptions T15'!$V$3:$W$35,2,FALSE),'RES Techs T15'!$G$3:$U$3,0)))</f>
        <v/>
      </c>
      <c r="BU43" s="9" t="str">
        <f ca="1">IF(OFFSET('RES Techs T15'!$AO43,0,MATCH(VLOOKUP('RES Veda input'!BU$3,'RES Assumptions T15'!$V$3:$W$35,2,FALSE),'RES Techs T15'!$G$3:$U$3,0))=0,"",OFFSET('RES Techs T15'!$AO43,0,MATCH(VLOOKUP('RES Veda input'!BU$3,'RES Assumptions T15'!$V$3:$W$35,2,FALSE),'RES Techs T15'!$G$3:$U$3,0)))</f>
        <v/>
      </c>
      <c r="BV43" s="9">
        <f ca="1">IF(OFFSET('RES Techs T15'!$AO43,0,MATCH(VLOOKUP('RES Veda input'!BV$3,'RES Assumptions T15'!$V$3:$W$35,2,FALSE),'RES Techs T15'!$G$3:$U$3,0))=0,"",OFFSET('RES Techs T15'!$AO43,0,MATCH(VLOOKUP('RES Veda input'!BV$3,'RES Assumptions T15'!$V$3:$W$35,2,FALSE),'RES Techs T15'!$G$3:$U$3,0)))</f>
        <v>4.2</v>
      </c>
      <c r="BW43" s="9" t="str">
        <f ca="1">IF(OFFSET('RES Techs T15'!$AO43,0,MATCH(VLOOKUP('RES Veda input'!BW$3,'RES Assumptions T15'!$V$3:$W$35,2,FALSE),'RES Techs T15'!$G$3:$U$3,0))=0,"",OFFSET('RES Techs T15'!$AO43,0,MATCH(VLOOKUP('RES Veda input'!BW$3,'RES Assumptions T15'!$V$3:$W$35,2,FALSE),'RES Techs T15'!$G$3:$U$3,0)))</f>
        <v/>
      </c>
      <c r="BX43" s="9">
        <f ca="1">IF(OFFSET('RES Techs T15'!$AO43,0,MATCH(VLOOKUP('RES Veda input'!BX$3,'RES Assumptions T15'!$V$3:$W$35,2,FALSE),'RES Techs T15'!$G$3:$U$3,0))=0,"",OFFSET('RES Techs T15'!$AO43,0,MATCH(VLOOKUP('RES Veda input'!BX$3,'RES Assumptions T15'!$V$3:$W$35,2,FALSE),'RES Techs T15'!$G$3:$U$3,0)))</f>
        <v>6</v>
      </c>
      <c r="BY43" s="9">
        <f ca="1">IF(OFFSET('RES Techs T15'!$AO43,0,MATCH(VLOOKUP('RES Veda input'!BY$3,'RES Assumptions T15'!$V$3:$W$35,2,FALSE),'RES Techs T15'!$G$3:$U$3,0))=0,"",OFFSET('RES Techs T15'!$AO43,0,MATCH(VLOOKUP('RES Veda input'!BY$3,'RES Assumptions T15'!$V$3:$W$35,2,FALSE),'RES Techs T15'!$G$3:$U$3,0)))</f>
        <v>3.6</v>
      </c>
      <c r="BZ43" s="9" t="str">
        <f ca="1">IF(OFFSET('RES Techs T15'!$AO43,0,MATCH(VLOOKUP('RES Veda input'!BZ$3,'RES Assumptions T15'!$V$3:$W$35,2,FALSE),'RES Techs T15'!$G$3:$U$3,0))=0,"",OFFSET('RES Techs T15'!$AO43,0,MATCH(VLOOKUP('RES Veda input'!BZ$3,'RES Assumptions T15'!$V$3:$W$35,2,FALSE),'RES Techs T15'!$G$3:$U$3,0)))</f>
        <v/>
      </c>
      <c r="CA43" s="9">
        <f ca="1">IF(OFFSET('RES Techs T15'!$AO43,0,MATCH(VLOOKUP('RES Veda input'!CA$3,'RES Assumptions T15'!$V$3:$W$35,2,FALSE),'RES Techs T15'!$G$3:$U$3,0))=0,"",OFFSET('RES Techs T15'!$AO43,0,MATCH(VLOOKUP('RES Veda input'!CA$3,'RES Assumptions T15'!$V$3:$W$35,2,FALSE),'RES Techs T15'!$G$3:$U$3,0)))</f>
        <v>4.2</v>
      </c>
      <c r="CB43" s="9" t="str">
        <f ca="1">IF(OFFSET('RES Techs T15'!$AO43,0,MATCH(VLOOKUP('RES Veda input'!CB$3,'RES Assumptions T15'!$V$3:$W$35,2,FALSE),'RES Techs T15'!$G$3:$U$3,0))=0,"",OFFSET('RES Techs T15'!$AO43,0,MATCH(VLOOKUP('RES Veda input'!CB$3,'RES Assumptions T15'!$V$3:$W$35,2,FALSE),'RES Techs T15'!$G$3:$U$3,0)))</f>
        <v/>
      </c>
      <c r="CC43" s="9" t="str">
        <f ca="1">IF(OFFSET('RES Techs T15'!$AO43,0,MATCH(VLOOKUP('RES Veda input'!CC$3,'RES Assumptions T15'!$V$3:$W$35,2,FALSE),'RES Techs T15'!$G$3:$U$3,0))=0,"",OFFSET('RES Techs T15'!$AO43,0,MATCH(VLOOKUP('RES Veda input'!CC$3,'RES Assumptions T15'!$V$3:$W$35,2,FALSE),'RES Techs T15'!$G$3:$U$3,0)))</f>
        <v/>
      </c>
      <c r="CD43" s="9" t="str">
        <f ca="1">IF(OFFSET('RES Techs T15'!$AO43,0,MATCH(VLOOKUP('RES Veda input'!CD$3,'RES Assumptions T15'!$V$3:$W$35,2,FALSE),'RES Techs T15'!$G$3:$U$3,0))=0,"",OFFSET('RES Techs T15'!$AO43,0,MATCH(VLOOKUP('RES Veda input'!CD$3,'RES Assumptions T15'!$V$3:$W$35,2,FALSE),'RES Techs T15'!$G$3:$U$3,0)))</f>
        <v/>
      </c>
      <c r="CE43" s="9" t="str">
        <f ca="1">IF(OFFSET('RES Techs T15'!$AO43,0,MATCH(VLOOKUP('RES Veda input'!CE$3,'RES Assumptions T15'!$V$3:$W$35,2,FALSE),'RES Techs T15'!$G$3:$U$3,0))=0,"",OFFSET('RES Techs T15'!$AO43,0,MATCH(VLOOKUP('RES Veda input'!CE$3,'RES Assumptions T15'!$V$3:$W$35,2,FALSE),'RES Techs T15'!$G$3:$U$3,0)))</f>
        <v/>
      </c>
      <c r="CF43" s="9" t="str">
        <f ca="1">IF(OFFSET('RES Techs T15'!$AO43,0,MATCH(VLOOKUP('RES Veda input'!CF$3,'RES Assumptions T15'!$V$3:$W$35,2,FALSE),'RES Techs T15'!$G$3:$U$3,0))=0,"",OFFSET('RES Techs T15'!$AO43,0,MATCH(VLOOKUP('RES Veda input'!CF$3,'RES Assumptions T15'!$V$3:$W$35,2,FALSE),'RES Techs T15'!$G$3:$U$3,0)))</f>
        <v/>
      </c>
      <c r="CG43" s="9" t="str">
        <f ca="1">IF(OFFSET('RES Techs T15'!$AO43,0,MATCH(VLOOKUP('RES Veda input'!CG$3,'RES Assumptions T15'!$V$3:$W$35,2,FALSE),'RES Techs T15'!$G$3:$U$3,0))=0,"",OFFSET('RES Techs T15'!$AO43,0,MATCH(VLOOKUP('RES Veda input'!CG$3,'RES Assumptions T15'!$V$3:$W$35,2,FALSE),'RES Techs T15'!$G$3:$U$3,0)))</f>
        <v/>
      </c>
      <c r="CH43" s="9" t="str">
        <f ca="1">IF(OFFSET('RES Techs T15'!$AO43,0,MATCH(VLOOKUP('RES Veda input'!CH$3,'RES Assumptions T15'!$V$3:$W$35,2,FALSE),'RES Techs T15'!$G$3:$U$3,0))=0,"",OFFSET('RES Techs T15'!$AO43,0,MATCH(VLOOKUP('RES Veda input'!CH$3,'RES Assumptions T15'!$V$3:$W$35,2,FALSE),'RES Techs T15'!$G$3:$U$3,0)))</f>
        <v/>
      </c>
      <c r="CI43" s="9" t="str">
        <f ca="1">IF(OFFSET('RES Techs T15'!$AO43,0,MATCH(VLOOKUP('RES Veda input'!CI$3,'RES Assumptions T15'!$V$3:$W$35,2,FALSE),'RES Techs T15'!$G$3:$U$3,0))=0,"",OFFSET('RES Techs T15'!$AO43,0,MATCH(VLOOKUP('RES Veda input'!CI$3,'RES Assumptions T15'!$V$3:$W$35,2,FALSE),'RES Techs T15'!$G$3:$U$3,0)))</f>
        <v/>
      </c>
      <c r="CJ43" s="9">
        <f ca="1">IF(OFFSET('RES Techs T15'!$AO43,0,MATCH(VLOOKUP('RES Veda input'!CJ$3,'RES Assumptions T15'!$V$3:$W$35,2,FALSE),'RES Techs T15'!$G$3:$U$3,0))=0,"",OFFSET('RES Techs T15'!$AO43,0,MATCH(VLOOKUP('RES Veda input'!CJ$3,'RES Assumptions T15'!$V$3:$W$35,2,FALSE),'RES Techs T15'!$G$3:$U$3,0)))</f>
        <v>4.2</v>
      </c>
      <c r="CK43" s="9" t="str">
        <f ca="1">IF(OFFSET('RES Techs T15'!$AO43,0,MATCH(VLOOKUP('RES Veda input'!CK$3,'RES Assumptions T15'!$V$3:$W$35,2,FALSE),'RES Techs T15'!$G$3:$U$3,0))=0,"",OFFSET('RES Techs T15'!$AO43,0,MATCH(VLOOKUP('RES Veda input'!CK$3,'RES Assumptions T15'!$V$3:$W$35,2,FALSE),'RES Techs T15'!$G$3:$U$3,0)))</f>
        <v/>
      </c>
      <c r="CL43" s="9" t="str">
        <f ca="1">IF(OFFSET('RES Techs T15'!$AO43,0,MATCH(VLOOKUP('RES Veda input'!CL$3,'RES Assumptions T15'!$V$3:$W$35,2,FALSE),'RES Techs T15'!$G$3:$U$3,0))=0,"",OFFSET('RES Techs T15'!$AO43,0,MATCH(VLOOKUP('RES Veda input'!CL$3,'RES Assumptions T15'!$V$3:$W$35,2,FALSE),'RES Techs T15'!$G$3:$U$3,0)))</f>
        <v/>
      </c>
      <c r="CM43" s="9">
        <f ca="1">IF(OFFSET('RES Techs T15'!$AO43,0,MATCH(VLOOKUP('RES Veda input'!CM$3,'RES Assumptions T15'!$V$3:$W$35,2,FALSE),'RES Techs T15'!$G$3:$U$3,0))=0,"",OFFSET('RES Techs T15'!$AO43,0,MATCH(VLOOKUP('RES Veda input'!CM$3,'RES Assumptions T15'!$V$3:$W$35,2,FALSE),'RES Techs T15'!$G$3:$U$3,0)))</f>
        <v>3.6</v>
      </c>
      <c r="CN43" s="9">
        <f ca="1">IF(OFFSET('RES Techs T15'!$AO43,0,MATCH(VLOOKUP('RES Veda input'!CN$3,'RES Assumptions T15'!$V$3:$W$35,2,FALSE),'RES Techs T15'!$G$3:$U$3,0))=0,"",OFFSET('RES Techs T15'!$AO43,0,MATCH(VLOOKUP('RES Veda input'!CN$3,'RES Assumptions T15'!$V$3:$W$35,2,FALSE),'RES Techs T15'!$G$3:$U$3,0)))</f>
        <v>4.2</v>
      </c>
      <c r="CO43" s="9">
        <f ca="1">IF(OFFSET('RES Techs T15'!$AO43,0,MATCH(VLOOKUP('RES Veda input'!CO$3,'RES Assumptions T15'!$V$3:$W$35,2,FALSE),'RES Techs T15'!$G$3:$U$3,0))=0,"",OFFSET('RES Techs T15'!$AO43,0,MATCH(VLOOKUP('RES Veda input'!CO$3,'RES Assumptions T15'!$V$3:$W$35,2,FALSE),'RES Techs T15'!$G$3:$U$3,0)))</f>
        <v>4.8</v>
      </c>
      <c r="CP43" s="9">
        <f ca="1">IF(OFFSET('RES Techs T15'!$AO43,0,MATCH(VLOOKUP('RES Veda input'!CP$3,'RES Assumptions T15'!$V$3:$W$35,2,FALSE),'RES Techs T15'!$G$3:$U$3,0))=0,"",OFFSET('RES Techs T15'!$AO43,0,MATCH(VLOOKUP('RES Veda input'!CP$3,'RES Assumptions T15'!$V$3:$W$35,2,FALSE),'RES Techs T15'!$G$3:$U$3,0)))</f>
        <v>4.2</v>
      </c>
      <c r="CQ43" s="9" t="str">
        <f ca="1">IF(OFFSET('RES Techs T15'!$AO43,0,MATCH(VLOOKUP('RES Veda input'!CQ$3,'RES Assumptions T15'!$V$3:$W$35,2,FALSE),'RES Techs T15'!$G$3:$U$3,0))=0,"",OFFSET('RES Techs T15'!$AO43,0,MATCH(VLOOKUP('RES Veda input'!CQ$3,'RES Assumptions T15'!$V$3:$W$35,2,FALSE),'RES Techs T15'!$G$3:$U$3,0)))</f>
        <v/>
      </c>
      <c r="CR43" s="9" t="str">
        <f ca="1">IF(OFFSET('RES Techs T15'!$AO43,0,MATCH(VLOOKUP('RES Veda input'!CR$3,'RES Assumptions T15'!$V$3:$W$35,2,FALSE),'RES Techs T15'!$G$3:$U$3,0))=0,"",OFFSET('RES Techs T15'!$AO43,0,MATCH(VLOOKUP('RES Veda input'!CR$3,'RES Assumptions T15'!$V$3:$W$35,2,FALSE),'RES Techs T15'!$G$3:$U$3,0)))</f>
        <v/>
      </c>
      <c r="CS43" s="9">
        <f ca="1">IF(OFFSET('RES Techs T15'!$AO43,0,MATCH(VLOOKUP('RES Veda input'!CS$3,'RES Assumptions T15'!$V$3:$W$35,2,FALSE),'RES Techs T15'!$G$3:$U$3,0))=0,"",OFFSET('RES Techs T15'!$AO43,0,MATCH(VLOOKUP('RES Veda input'!CS$3,'RES Assumptions T15'!$V$3:$W$35,2,FALSE),'RES Techs T15'!$G$3:$U$3,0)))</f>
        <v>4.2</v>
      </c>
      <c r="CT43" s="9" t="str">
        <f ca="1">IF(OFFSET('RES Techs T15'!$AO43,0,MATCH(VLOOKUP('RES Veda input'!CT$3,'RES Assumptions T15'!$V$3:$W$35,2,FALSE),'RES Techs T15'!$G$3:$U$3,0))=0,"",OFFSET('RES Techs T15'!$AO43,0,MATCH(VLOOKUP('RES Veda input'!CT$3,'RES Assumptions T15'!$V$3:$W$35,2,FALSE),'RES Techs T15'!$G$3:$U$3,0)))</f>
        <v/>
      </c>
      <c r="CU43" s="9" t="str">
        <f ca="1">IF(OFFSET('RES Techs T15'!$AO43,0,MATCH(VLOOKUP('RES Veda input'!CU$3,'RES Assumptions T15'!$V$3:$W$35,2,FALSE),'RES Techs T15'!$G$3:$U$3,0))=0,"",OFFSET('RES Techs T15'!$AO43,0,MATCH(VLOOKUP('RES Veda input'!CU$3,'RES Assumptions T15'!$V$3:$W$35,2,FALSE),'RES Techs T15'!$G$3:$U$3,0)))</f>
        <v/>
      </c>
      <c r="CV43" s="9">
        <f ca="1">IF(OFFSET('RES Techs T15'!$AO43,0,MATCH(VLOOKUP('RES Veda input'!CV$3,'RES Assumptions T15'!$V$3:$W$35,2,FALSE),'RES Techs T15'!$G$3:$U$3,0))=0,"",OFFSET('RES Techs T15'!$AO43,0,MATCH(VLOOKUP('RES Veda input'!CV$3,'RES Assumptions T15'!$V$3:$W$35,2,FALSE),'RES Techs T15'!$G$3:$U$3,0)))</f>
        <v>6</v>
      </c>
      <c r="CW43" s="9">
        <f ca="1">IF(OFFSET('RES Techs T15'!$AO43,0,MATCH(VLOOKUP('RES Veda input'!CW$3,'RES Assumptions T15'!$V$3:$W$35,2,FALSE),'RES Techs T15'!$G$3:$U$3,0))=0,"",OFFSET('RES Techs T15'!$AO43,0,MATCH(VLOOKUP('RES Veda input'!CW$3,'RES Assumptions T15'!$V$3:$W$35,2,FALSE),'RES Techs T15'!$G$3:$U$3,0)))</f>
        <v>6</v>
      </c>
      <c r="CY43" s="8" t="str">
        <f t="shared" si="63"/>
        <v>RCKNGA000</v>
      </c>
      <c r="CZ43" s="10">
        <f ca="1">ROUND('RES Assumptions'!E126*'RES Veda input'!G43/'RES Veda input'!AM43,3)</f>
        <v>85.715000000000003</v>
      </c>
      <c r="DA43" s="10">
        <f ca="1">ROUND('RES Assumptions'!F126*'RES Veda input'!H43/'RES Veda input'!AN43,3)</f>
        <v>0</v>
      </c>
      <c r="DB43" s="10">
        <f ca="1">ROUND('RES Assumptions'!G126*'RES Veda input'!I43/'RES Veda input'!AO43,3)</f>
        <v>64.650999999999996</v>
      </c>
      <c r="DC43" s="10">
        <f ca="1">ROUND('RES Assumptions'!H126*'RES Veda input'!J43/'RES Veda input'!AP43,3)</f>
        <v>37.07</v>
      </c>
      <c r="DD43" s="10">
        <f ca="1">ROUND('RES Assumptions'!I126*'RES Veda input'!K43/'RES Veda input'!AQ43,3)</f>
        <v>61.35</v>
      </c>
      <c r="DE43" s="10">
        <f ca="1">ROUND('RES Assumptions'!J126*'RES Veda input'!L43/'RES Veda input'!AR43,3)</f>
        <v>252.64099999999999</v>
      </c>
      <c r="DF43" s="10">
        <f ca="1">ROUND('RES Assumptions'!K126*'RES Veda input'!M43/'RES Veda input'!AS43,3)</f>
        <v>3.871</v>
      </c>
      <c r="DG43" s="10">
        <f ca="1">ROUND('RES Assumptions'!L126*'RES Veda input'!N43/'RES Veda input'!AT43,3)</f>
        <v>2.9390000000000001</v>
      </c>
      <c r="DH43" s="10">
        <f ca="1">ROUND('RES Assumptions'!M126*'RES Veda input'!O43/'RES Veda input'!AU43,3)</f>
        <v>3.7669999999999999</v>
      </c>
      <c r="DI43" s="10">
        <f ca="1">ROUND('RES Assumptions'!N126*'RES Veda input'!P43/'RES Veda input'!AV43,3)</f>
        <v>423.37599999999998</v>
      </c>
      <c r="DJ43" s="10">
        <f ca="1">ROUND('RES Assumptions'!O126*'RES Veda input'!Q43/'RES Veda input'!AW43,3)</f>
        <v>0.51600000000000001</v>
      </c>
      <c r="DK43" s="10">
        <f ca="1">ROUND('RES Assumptions'!P126*'RES Veda input'!R43/'RES Veda input'!AX43,3)</f>
        <v>20.919</v>
      </c>
      <c r="DL43" s="10">
        <f ca="1">ROUND('RES Assumptions'!Q126*'RES Veda input'!S43/'RES Veda input'!AY43,3)</f>
        <v>8.0039999999999996</v>
      </c>
      <c r="DM43" s="10">
        <f ca="1">ROUND('RES Assumptions'!R126*'RES Veda input'!T43/'RES Veda input'!AZ43,3)</f>
        <v>12.375999999999999</v>
      </c>
      <c r="DN43" s="10">
        <f ca="1">ROUND('RES Assumptions'!S126*'RES Veda input'!U43/'RES Veda input'!BA43,3)</f>
        <v>14.956</v>
      </c>
      <c r="DO43" s="10">
        <f ca="1">ROUND('RES Assumptions'!T126*'RES Veda input'!V43/'RES Veda input'!BB43,3)</f>
        <v>2.8039999999999998</v>
      </c>
      <c r="DP43" s="10">
        <f ca="1">ROUND('RES Assumptions'!U126*'RES Veda input'!W43/'RES Veda input'!BC43,3)</f>
        <v>46.44</v>
      </c>
      <c r="DQ43" s="10">
        <f ca="1">ROUND('RES Assumptions'!V126*'RES Veda input'!X43/'RES Veda input'!BD43,3)</f>
        <v>8.5169999999999995</v>
      </c>
      <c r="DR43" s="10">
        <f ca="1">ROUND('RES Assumptions'!W126*'RES Veda input'!Y43/'RES Veda input'!BE43,3)</f>
        <v>16.992999999999999</v>
      </c>
      <c r="DS43" s="10">
        <f ca="1">ROUND('RES Assumptions'!X126*'RES Veda input'!Z43/'RES Veda input'!BF43,3)</f>
        <v>8.1720000000000006</v>
      </c>
      <c r="DT43" s="10">
        <f ca="1">ROUND('RES Assumptions'!Y126*'RES Veda input'!AA43/'RES Veda input'!BG43,3)</f>
        <v>14.113</v>
      </c>
      <c r="DU43" s="10">
        <f ca="1">ROUND('RES Assumptions'!Z126*'RES Veda input'!AB43/'RES Veda input'!BH43,3)</f>
        <v>4.452</v>
      </c>
      <c r="DV43" s="10">
        <f ca="1">ROUND('RES Assumptions'!AA126*'RES Veda input'!AC43/'RES Veda input'!BI43,3)</f>
        <v>87.692999999999998</v>
      </c>
      <c r="DW43" s="10">
        <f ca="1">ROUND('RES Assumptions'!AB126*'RES Veda input'!AD43/'RES Veda input'!BJ43,3)</f>
        <v>1E-3</v>
      </c>
      <c r="DX43" s="10">
        <f ca="1">ROUND('RES Assumptions'!AC126*'RES Veda input'!AE43/'RES Veda input'!BK43,3)</f>
        <v>163.61699999999999</v>
      </c>
      <c r="DY43" s="10">
        <f ca="1">ROUND('RES Assumptions'!AD126*'RES Veda input'!AF43/'RES Veda input'!BL43,3)</f>
        <v>0</v>
      </c>
      <c r="DZ43" s="10">
        <f ca="1">ROUND('RES Assumptions'!AE126*'RES Veda input'!AG43/'RES Veda input'!BM43,3)</f>
        <v>3.5999999999999997E-2</v>
      </c>
      <c r="EA43" s="10">
        <f ca="1">ROUND('RES Assumptions'!AF126*'RES Veda input'!AH43/'RES Veda input'!BN43,3)</f>
        <v>17.105</v>
      </c>
      <c r="EB43" s="10">
        <f ca="1">ROUND('RES Assumptions'!AG126*'RES Veda input'!AI43/'RES Veda input'!BO43,3)</f>
        <v>105.342</v>
      </c>
      <c r="EC43" s="10">
        <f ca="1">ROUND('RES Assumptions'!AH126*'RES Veda input'!AJ43/'RES Veda input'!BP43,3)</f>
        <v>0</v>
      </c>
      <c r="ED43">
        <v>17</v>
      </c>
      <c r="EG43" t="s">
        <v>281</v>
      </c>
      <c r="EH43" t="str">
        <f t="shared" si="64"/>
        <v>RCKNGA000</v>
      </c>
      <c r="EJ43" t="s">
        <v>282</v>
      </c>
      <c r="EK43" t="s">
        <v>283</v>
      </c>
    </row>
    <row r="44" spans="1:141" x14ac:dyDescent="0.45">
      <c r="A44" s="37" t="str">
        <f>'RES Assumptions'!B127</f>
        <v>RK</v>
      </c>
      <c r="B44" s="37" t="s">
        <v>379</v>
      </c>
      <c r="D44" s="51" t="s">
        <v>375</v>
      </c>
      <c r="E44" s="8" t="str">
        <f>'RES Assumptions'!A127</f>
        <v>RESSTH</v>
      </c>
      <c r="F44" s="8" t="str">
        <f>VLOOKUP(A44,'RES Assumptions'!$AN$87:$AO$97,2,FALSE)</f>
        <v>RCK</v>
      </c>
      <c r="G44" s="9">
        <f ca="1">OFFSET('RES Techs T15'!$F44,0,MATCH(VLOOKUP('RES Veda input'!G$3,'RES Assumptions T15'!$V$3:$W$35,2,FALSE),'RES Techs T15'!$G$3:$U$3,0))</f>
        <v>0.5</v>
      </c>
      <c r="H44" s="9">
        <f ca="1">OFFSET('RES Techs T15'!$F44,0,MATCH(VLOOKUP('RES Veda input'!H$3,'RES Assumptions T15'!$V$3:$W$35,2,FALSE),'RES Techs T15'!$G$3:$U$3,0))</f>
        <v>0.5</v>
      </c>
      <c r="I44" s="9">
        <f ca="1">OFFSET('RES Techs T15'!$F44,0,MATCH(VLOOKUP('RES Veda input'!I$3,'RES Assumptions T15'!$V$3:$W$35,2,FALSE),'RES Techs T15'!$G$3:$U$3,0))</f>
        <v>0.5</v>
      </c>
      <c r="J44" s="9">
        <f ca="1">OFFSET('RES Techs T15'!$F44,0,MATCH(VLOOKUP('RES Veda input'!J$3,'RES Assumptions T15'!$V$3:$W$35,2,FALSE),'RES Techs T15'!$G$3:$U$3,0))</f>
        <v>0.5</v>
      </c>
      <c r="K44" s="9">
        <f ca="1">OFFSET('RES Techs T15'!$F44,0,MATCH(VLOOKUP('RES Veda input'!K$3,'RES Assumptions T15'!$V$3:$W$35,2,FALSE),'RES Techs T15'!$G$3:$U$3,0))</f>
        <v>0.5</v>
      </c>
      <c r="L44" s="9">
        <f ca="1">OFFSET('RES Techs T15'!$F44,0,MATCH(VLOOKUP('RES Veda input'!L$3,'RES Assumptions T15'!$V$3:$W$35,2,FALSE),'RES Techs T15'!$G$3:$U$3,0))</f>
        <v>0.5</v>
      </c>
      <c r="M44" s="9">
        <f ca="1">OFFSET('RES Techs T15'!$F44,0,MATCH(VLOOKUP('RES Veda input'!M$3,'RES Assumptions T15'!$V$3:$W$35,2,FALSE),'RES Techs T15'!$G$3:$U$3,0))</f>
        <v>0.5</v>
      </c>
      <c r="N44" s="9">
        <f ca="1">OFFSET('RES Techs T15'!$F44,0,MATCH(VLOOKUP('RES Veda input'!N$3,'RES Assumptions T15'!$V$3:$W$35,2,FALSE),'RES Techs T15'!$G$3:$U$3,0))</f>
        <v>0.5</v>
      </c>
      <c r="O44" s="9">
        <f ca="1">OFFSET('RES Techs T15'!$F44,0,MATCH(VLOOKUP('RES Veda input'!O$3,'RES Assumptions T15'!$V$3:$W$35,2,FALSE),'RES Techs T15'!$G$3:$U$3,0))</f>
        <v>0.5</v>
      </c>
      <c r="P44" s="9">
        <f ca="1">OFFSET('RES Techs T15'!$F44,0,MATCH(VLOOKUP('RES Veda input'!P$3,'RES Assumptions T15'!$V$3:$W$35,2,FALSE),'RES Techs T15'!$G$3:$U$3,0))</f>
        <v>0.5</v>
      </c>
      <c r="Q44" s="9">
        <f ca="1">OFFSET('RES Techs T15'!$F44,0,MATCH(VLOOKUP('RES Veda input'!Q$3,'RES Assumptions T15'!$V$3:$W$35,2,FALSE),'RES Techs T15'!$G$3:$U$3,0))</f>
        <v>0.5</v>
      </c>
      <c r="R44" s="9">
        <f ca="1">OFFSET('RES Techs T15'!$F44,0,MATCH(VLOOKUP('RES Veda input'!R$3,'RES Assumptions T15'!$V$3:$W$35,2,FALSE),'RES Techs T15'!$G$3:$U$3,0))</f>
        <v>0.5</v>
      </c>
      <c r="S44" s="9">
        <f ca="1">OFFSET('RES Techs T15'!$F44,0,MATCH(VLOOKUP('RES Veda input'!S$3,'RES Assumptions T15'!$V$3:$W$35,2,FALSE),'RES Techs T15'!$G$3:$U$3,0))</f>
        <v>0.5</v>
      </c>
      <c r="T44" s="9">
        <f ca="1">OFFSET('RES Techs T15'!$F44,0,MATCH(VLOOKUP('RES Veda input'!T$3,'RES Assumptions T15'!$V$3:$W$35,2,FALSE),'RES Techs T15'!$G$3:$U$3,0))</f>
        <v>0.5</v>
      </c>
      <c r="U44" s="9">
        <f ca="1">OFFSET('RES Techs T15'!$F44,0,MATCH(VLOOKUP('RES Veda input'!U$3,'RES Assumptions T15'!$V$3:$W$35,2,FALSE),'RES Techs T15'!$G$3:$U$3,0))</f>
        <v>0.5</v>
      </c>
      <c r="V44" s="9">
        <f ca="1">OFFSET('RES Techs T15'!$F44,0,MATCH(VLOOKUP('RES Veda input'!V$3,'RES Assumptions T15'!$V$3:$W$35,2,FALSE),'RES Techs T15'!$G$3:$U$3,0))</f>
        <v>0.5</v>
      </c>
      <c r="W44" s="9">
        <f ca="1">OFFSET('RES Techs T15'!$F44,0,MATCH(VLOOKUP('RES Veda input'!W$3,'RES Assumptions T15'!$V$3:$W$35,2,FALSE),'RES Techs T15'!$G$3:$U$3,0))</f>
        <v>0.5</v>
      </c>
      <c r="X44" s="9">
        <f ca="1">OFFSET('RES Techs T15'!$F44,0,MATCH(VLOOKUP('RES Veda input'!X$3,'RES Assumptions T15'!$V$3:$W$35,2,FALSE),'RES Techs T15'!$G$3:$U$3,0))</f>
        <v>0.5</v>
      </c>
      <c r="Y44" s="9">
        <f ca="1">OFFSET('RES Techs T15'!$F44,0,MATCH(VLOOKUP('RES Veda input'!Y$3,'RES Assumptions T15'!$V$3:$W$35,2,FALSE),'RES Techs T15'!$G$3:$U$3,0))</f>
        <v>0.5</v>
      </c>
      <c r="Z44" s="9">
        <f ca="1">OFFSET('RES Techs T15'!$F44,0,MATCH(VLOOKUP('RES Veda input'!Z$3,'RES Assumptions T15'!$V$3:$W$35,2,FALSE),'RES Techs T15'!$G$3:$U$3,0))</f>
        <v>0.5</v>
      </c>
      <c r="AA44" s="9">
        <f ca="1">OFFSET('RES Techs T15'!$F44,0,MATCH(VLOOKUP('RES Veda input'!AA$3,'RES Assumptions T15'!$V$3:$W$35,2,FALSE),'RES Techs T15'!$G$3:$U$3,0))</f>
        <v>0.5</v>
      </c>
      <c r="AB44" s="9">
        <f ca="1">OFFSET('RES Techs T15'!$F44,0,MATCH(VLOOKUP('RES Veda input'!AB$3,'RES Assumptions T15'!$V$3:$W$35,2,FALSE),'RES Techs T15'!$G$3:$U$3,0))</f>
        <v>0.5</v>
      </c>
      <c r="AC44" s="9">
        <f ca="1">OFFSET('RES Techs T15'!$F44,0,MATCH(VLOOKUP('RES Veda input'!AC$3,'RES Assumptions T15'!$V$3:$W$35,2,FALSE),'RES Techs T15'!$G$3:$U$3,0))</f>
        <v>0.5</v>
      </c>
      <c r="AD44" s="9">
        <f ca="1">OFFSET('RES Techs T15'!$F44,0,MATCH(VLOOKUP('RES Veda input'!AD$3,'RES Assumptions T15'!$V$3:$W$35,2,FALSE),'RES Techs T15'!$G$3:$U$3,0))</f>
        <v>0.5</v>
      </c>
      <c r="AE44" s="9">
        <f ca="1">OFFSET('RES Techs T15'!$F44,0,MATCH(VLOOKUP('RES Veda input'!AE$3,'RES Assumptions T15'!$V$3:$W$35,2,FALSE),'RES Techs T15'!$G$3:$U$3,0))</f>
        <v>0.5</v>
      </c>
      <c r="AF44" s="9">
        <f ca="1">OFFSET('RES Techs T15'!$F44,0,MATCH(VLOOKUP('RES Veda input'!AF$3,'RES Assumptions T15'!$V$3:$W$35,2,FALSE),'RES Techs T15'!$G$3:$U$3,0))</f>
        <v>0.5</v>
      </c>
      <c r="AG44" s="9">
        <f ca="1">OFFSET('RES Techs T15'!$F44,0,MATCH(VLOOKUP('RES Veda input'!AG$3,'RES Assumptions T15'!$V$3:$W$35,2,FALSE),'RES Techs T15'!$G$3:$U$3,0))</f>
        <v>0.5</v>
      </c>
      <c r="AH44" s="9">
        <f ca="1">OFFSET('RES Techs T15'!$F44,0,MATCH(VLOOKUP('RES Veda input'!AH$3,'RES Assumptions T15'!$V$3:$W$35,2,FALSE),'RES Techs T15'!$G$3:$U$3,0))</f>
        <v>0.5</v>
      </c>
      <c r="AI44" s="9">
        <f ca="1">OFFSET('RES Techs T15'!$F44,0,MATCH(VLOOKUP('RES Veda input'!AI$3,'RES Assumptions T15'!$V$3:$W$35,2,FALSE),'RES Techs T15'!$G$3:$U$3,0))</f>
        <v>0.5</v>
      </c>
      <c r="AJ44" s="9">
        <f ca="1">OFFSET('RES Techs T15'!$F44,0,MATCH(VLOOKUP('RES Veda input'!AJ$3,'RES Assumptions T15'!$V$3:$W$35,2,FALSE),'RES Techs T15'!$G$3:$U$3,0))</f>
        <v>0.5</v>
      </c>
      <c r="AL44" s="8" t="str">
        <f t="shared" si="60"/>
        <v>RCKSTH000</v>
      </c>
      <c r="AM44" s="9">
        <f ca="1">OFFSET('RES Techs T15'!$W44,0,MATCH(VLOOKUP('RES Veda input'!AM$3,'RES Assumptions T15'!$V$3:$W$35,2,FALSE),'RES Techs T15'!$G$3:$U$3,0))</f>
        <v>1</v>
      </c>
      <c r="AN44" s="9">
        <f ca="1">OFFSET('RES Techs T15'!$W44,0,MATCH(VLOOKUP('RES Veda input'!AN$3,'RES Assumptions T15'!$V$3:$W$35,2,FALSE),'RES Techs T15'!$G$3:$U$3,0))</f>
        <v>1</v>
      </c>
      <c r="AO44" s="9">
        <f ca="1">OFFSET('RES Techs T15'!$W44,0,MATCH(VLOOKUP('RES Veda input'!AO$3,'RES Assumptions T15'!$V$3:$W$35,2,FALSE),'RES Techs T15'!$G$3:$U$3,0))</f>
        <v>1</v>
      </c>
      <c r="AP44" s="9">
        <f ca="1">OFFSET('RES Techs T15'!$W44,0,MATCH(VLOOKUP('RES Veda input'!AP$3,'RES Assumptions T15'!$V$3:$W$35,2,FALSE),'RES Techs T15'!$G$3:$U$3,0))</f>
        <v>1</v>
      </c>
      <c r="AQ44" s="9">
        <f ca="1">OFFSET('RES Techs T15'!$W44,0,MATCH(VLOOKUP('RES Veda input'!AQ$3,'RES Assumptions T15'!$V$3:$W$35,2,FALSE),'RES Techs T15'!$G$3:$U$3,0))</f>
        <v>1</v>
      </c>
      <c r="AR44" s="9">
        <f ca="1">OFFSET('RES Techs T15'!$W44,0,MATCH(VLOOKUP('RES Veda input'!AR$3,'RES Assumptions T15'!$V$3:$W$35,2,FALSE),'RES Techs T15'!$G$3:$U$3,0))</f>
        <v>1</v>
      </c>
      <c r="AS44" s="9">
        <f ca="1">OFFSET('RES Techs T15'!$W44,0,MATCH(VLOOKUP('RES Veda input'!AS$3,'RES Assumptions T15'!$V$3:$W$35,2,FALSE),'RES Techs T15'!$G$3:$U$3,0))</f>
        <v>1</v>
      </c>
      <c r="AT44" s="9">
        <f ca="1">OFFSET('RES Techs T15'!$W44,0,MATCH(VLOOKUP('RES Veda input'!AT$3,'RES Assumptions T15'!$V$3:$W$35,2,FALSE),'RES Techs T15'!$G$3:$U$3,0))</f>
        <v>1</v>
      </c>
      <c r="AU44" s="9">
        <f ca="1">OFFSET('RES Techs T15'!$W44,0,MATCH(VLOOKUP('RES Veda input'!AU$3,'RES Assumptions T15'!$V$3:$W$35,2,FALSE),'RES Techs T15'!$G$3:$U$3,0))</f>
        <v>1</v>
      </c>
      <c r="AV44" s="9">
        <f ca="1">OFFSET('RES Techs T15'!$W44,0,MATCH(VLOOKUP('RES Veda input'!AV$3,'RES Assumptions T15'!$V$3:$W$35,2,FALSE),'RES Techs T15'!$G$3:$U$3,0))</f>
        <v>1</v>
      </c>
      <c r="AW44" s="9">
        <f ca="1">OFFSET('RES Techs T15'!$W44,0,MATCH(VLOOKUP('RES Veda input'!AW$3,'RES Assumptions T15'!$V$3:$W$35,2,FALSE),'RES Techs T15'!$G$3:$U$3,0))</f>
        <v>1</v>
      </c>
      <c r="AX44" s="9">
        <f ca="1">OFFSET('RES Techs T15'!$W44,0,MATCH(VLOOKUP('RES Veda input'!AX$3,'RES Assumptions T15'!$V$3:$W$35,2,FALSE),'RES Techs T15'!$G$3:$U$3,0))</f>
        <v>1</v>
      </c>
      <c r="AY44" s="9">
        <f ca="1">OFFSET('RES Techs T15'!$W44,0,MATCH(VLOOKUP('RES Veda input'!AY$3,'RES Assumptions T15'!$V$3:$W$35,2,FALSE),'RES Techs T15'!$G$3:$U$3,0))</f>
        <v>1</v>
      </c>
      <c r="AZ44" s="9">
        <f ca="1">OFFSET('RES Techs T15'!$W44,0,MATCH(VLOOKUP('RES Veda input'!AZ$3,'RES Assumptions T15'!$V$3:$W$35,2,FALSE),'RES Techs T15'!$G$3:$U$3,0))</f>
        <v>1</v>
      </c>
      <c r="BA44" s="9">
        <f ca="1">OFFSET('RES Techs T15'!$W44,0,MATCH(VLOOKUP('RES Veda input'!BA$3,'RES Assumptions T15'!$V$3:$W$35,2,FALSE),'RES Techs T15'!$G$3:$U$3,0))</f>
        <v>1</v>
      </c>
      <c r="BB44" s="9">
        <f ca="1">OFFSET('RES Techs T15'!$W44,0,MATCH(VLOOKUP('RES Veda input'!BB$3,'RES Assumptions T15'!$V$3:$W$35,2,FALSE),'RES Techs T15'!$G$3:$U$3,0))</f>
        <v>1</v>
      </c>
      <c r="BC44" s="9">
        <f ca="1">OFFSET('RES Techs T15'!$W44,0,MATCH(VLOOKUP('RES Veda input'!BC$3,'RES Assumptions T15'!$V$3:$W$35,2,FALSE),'RES Techs T15'!$G$3:$U$3,0))</f>
        <v>1</v>
      </c>
      <c r="BD44" s="9">
        <f ca="1">OFFSET('RES Techs T15'!$W44,0,MATCH(VLOOKUP('RES Veda input'!BD$3,'RES Assumptions T15'!$V$3:$W$35,2,FALSE),'RES Techs T15'!$G$3:$U$3,0))</f>
        <v>1</v>
      </c>
      <c r="BE44" s="9">
        <f ca="1">OFFSET('RES Techs T15'!$W44,0,MATCH(VLOOKUP('RES Veda input'!BE$3,'RES Assumptions T15'!$V$3:$W$35,2,FALSE),'RES Techs T15'!$G$3:$U$3,0))</f>
        <v>1</v>
      </c>
      <c r="BF44" s="9">
        <f ca="1">OFFSET('RES Techs T15'!$W44,0,MATCH(VLOOKUP('RES Veda input'!BF$3,'RES Assumptions T15'!$V$3:$W$35,2,FALSE),'RES Techs T15'!$G$3:$U$3,0))</f>
        <v>1</v>
      </c>
      <c r="BG44" s="9">
        <f ca="1">OFFSET('RES Techs T15'!$W44,0,MATCH(VLOOKUP('RES Veda input'!BG$3,'RES Assumptions T15'!$V$3:$W$35,2,FALSE),'RES Techs T15'!$G$3:$U$3,0))</f>
        <v>1</v>
      </c>
      <c r="BH44" s="9">
        <f ca="1">OFFSET('RES Techs T15'!$W44,0,MATCH(VLOOKUP('RES Veda input'!BH$3,'RES Assumptions T15'!$V$3:$W$35,2,FALSE),'RES Techs T15'!$G$3:$U$3,0))</f>
        <v>1</v>
      </c>
      <c r="BI44" s="9">
        <f ca="1">OFFSET('RES Techs T15'!$W44,0,MATCH(VLOOKUP('RES Veda input'!BI$3,'RES Assumptions T15'!$V$3:$W$35,2,FALSE),'RES Techs T15'!$G$3:$U$3,0))</f>
        <v>1</v>
      </c>
      <c r="BJ44" s="9">
        <f ca="1">OFFSET('RES Techs T15'!$W44,0,MATCH(VLOOKUP('RES Veda input'!BJ$3,'RES Assumptions T15'!$V$3:$W$35,2,FALSE),'RES Techs T15'!$G$3:$U$3,0))</f>
        <v>1</v>
      </c>
      <c r="BK44" s="9">
        <f ca="1">OFFSET('RES Techs T15'!$W44,0,MATCH(VLOOKUP('RES Veda input'!BK$3,'RES Assumptions T15'!$V$3:$W$35,2,FALSE),'RES Techs T15'!$G$3:$U$3,0))</f>
        <v>1</v>
      </c>
      <c r="BL44" s="9">
        <f ca="1">OFFSET('RES Techs T15'!$W44,0,MATCH(VLOOKUP('RES Veda input'!BL$3,'RES Assumptions T15'!$V$3:$W$35,2,FALSE),'RES Techs T15'!$G$3:$U$3,0))</f>
        <v>1</v>
      </c>
      <c r="BM44" s="9">
        <f ca="1">OFFSET('RES Techs T15'!$W44,0,MATCH(VLOOKUP('RES Veda input'!BM$3,'RES Assumptions T15'!$V$3:$W$35,2,FALSE),'RES Techs T15'!$G$3:$U$3,0))</f>
        <v>1</v>
      </c>
      <c r="BN44" s="9">
        <f ca="1">OFFSET('RES Techs T15'!$W44,0,MATCH(VLOOKUP('RES Veda input'!BN$3,'RES Assumptions T15'!$V$3:$W$35,2,FALSE),'RES Techs T15'!$G$3:$U$3,0))</f>
        <v>1</v>
      </c>
      <c r="BO44" s="9">
        <f ca="1">OFFSET('RES Techs T15'!$W44,0,MATCH(VLOOKUP('RES Veda input'!BO$3,'RES Assumptions T15'!$V$3:$W$35,2,FALSE),'RES Techs T15'!$G$3:$U$3,0))</f>
        <v>1</v>
      </c>
      <c r="BP44" s="9">
        <f ca="1">OFFSET('RES Techs T15'!$W44,0,MATCH(VLOOKUP('RES Veda input'!BP$3,'RES Assumptions T15'!$V$3:$W$35,2,FALSE),'RES Techs T15'!$G$3:$U$3,0))</f>
        <v>1</v>
      </c>
      <c r="BR44" s="8" t="str">
        <f t="shared" si="61"/>
        <v>RCKSTH000</v>
      </c>
      <c r="BS44" s="9">
        <f t="shared" ca="1" si="62"/>
        <v>10.8</v>
      </c>
      <c r="BT44" s="9" t="str">
        <f ca="1">IF(OFFSET('RES Techs T15'!$AO44,0,MATCH(VLOOKUP('RES Veda input'!BT$3,'RES Assumptions T15'!$V$3:$W$35,2,FALSE),'RES Techs T15'!$G$3:$U$3,0))=0,"",OFFSET('RES Techs T15'!$AO44,0,MATCH(VLOOKUP('RES Veda input'!BT$3,'RES Assumptions T15'!$V$3:$W$35,2,FALSE),'RES Techs T15'!$G$3:$U$3,0)))</f>
        <v/>
      </c>
      <c r="BU44" s="9" t="str">
        <f ca="1">IF(OFFSET('RES Techs T15'!$AO44,0,MATCH(VLOOKUP('RES Veda input'!BU$3,'RES Assumptions T15'!$V$3:$W$35,2,FALSE),'RES Techs T15'!$G$3:$U$3,0))=0,"",OFFSET('RES Techs T15'!$AO44,0,MATCH(VLOOKUP('RES Veda input'!BU$3,'RES Assumptions T15'!$V$3:$W$35,2,FALSE),'RES Techs T15'!$G$3:$U$3,0)))</f>
        <v/>
      </c>
      <c r="BV44" s="9">
        <f ca="1">IF(OFFSET('RES Techs T15'!$AO44,0,MATCH(VLOOKUP('RES Veda input'!BV$3,'RES Assumptions T15'!$V$3:$W$35,2,FALSE),'RES Techs T15'!$G$3:$U$3,0))=0,"",OFFSET('RES Techs T15'!$AO44,0,MATCH(VLOOKUP('RES Veda input'!BV$3,'RES Assumptions T15'!$V$3:$W$35,2,FALSE),'RES Techs T15'!$G$3:$U$3,0)))</f>
        <v>12.6</v>
      </c>
      <c r="BW44" s="9" t="str">
        <f ca="1">IF(OFFSET('RES Techs T15'!$AO44,0,MATCH(VLOOKUP('RES Veda input'!BW$3,'RES Assumptions T15'!$V$3:$W$35,2,FALSE),'RES Techs T15'!$G$3:$U$3,0))=0,"",OFFSET('RES Techs T15'!$AO44,0,MATCH(VLOOKUP('RES Veda input'!BW$3,'RES Assumptions T15'!$V$3:$W$35,2,FALSE),'RES Techs T15'!$G$3:$U$3,0)))</f>
        <v/>
      </c>
      <c r="BX44" s="9">
        <f ca="1">IF(OFFSET('RES Techs T15'!$AO44,0,MATCH(VLOOKUP('RES Veda input'!BX$3,'RES Assumptions T15'!$V$3:$W$35,2,FALSE),'RES Techs T15'!$G$3:$U$3,0))=0,"",OFFSET('RES Techs T15'!$AO44,0,MATCH(VLOOKUP('RES Veda input'!BX$3,'RES Assumptions T15'!$V$3:$W$35,2,FALSE),'RES Techs T15'!$G$3:$U$3,0)))</f>
        <v>18</v>
      </c>
      <c r="BY44" s="9">
        <f ca="1">IF(OFFSET('RES Techs T15'!$AO44,0,MATCH(VLOOKUP('RES Veda input'!BY$3,'RES Assumptions T15'!$V$3:$W$35,2,FALSE),'RES Techs T15'!$G$3:$U$3,0))=0,"",OFFSET('RES Techs T15'!$AO44,0,MATCH(VLOOKUP('RES Veda input'!BY$3,'RES Assumptions T15'!$V$3:$W$35,2,FALSE),'RES Techs T15'!$G$3:$U$3,0)))</f>
        <v>10.8</v>
      </c>
      <c r="BZ44" s="9" t="str">
        <f ca="1">IF(OFFSET('RES Techs T15'!$AO44,0,MATCH(VLOOKUP('RES Veda input'!BZ$3,'RES Assumptions T15'!$V$3:$W$35,2,FALSE),'RES Techs T15'!$G$3:$U$3,0))=0,"",OFFSET('RES Techs T15'!$AO44,0,MATCH(VLOOKUP('RES Veda input'!BZ$3,'RES Assumptions T15'!$V$3:$W$35,2,FALSE),'RES Techs T15'!$G$3:$U$3,0)))</f>
        <v/>
      </c>
      <c r="CA44" s="9">
        <f ca="1">IF(OFFSET('RES Techs T15'!$AO44,0,MATCH(VLOOKUP('RES Veda input'!CA$3,'RES Assumptions T15'!$V$3:$W$35,2,FALSE),'RES Techs T15'!$G$3:$U$3,0))=0,"",OFFSET('RES Techs T15'!$AO44,0,MATCH(VLOOKUP('RES Veda input'!CA$3,'RES Assumptions T15'!$V$3:$W$35,2,FALSE),'RES Techs T15'!$G$3:$U$3,0)))</f>
        <v>12.6</v>
      </c>
      <c r="CB44" s="9" t="str">
        <f ca="1">IF(OFFSET('RES Techs T15'!$AO44,0,MATCH(VLOOKUP('RES Veda input'!CB$3,'RES Assumptions T15'!$V$3:$W$35,2,FALSE),'RES Techs T15'!$G$3:$U$3,0))=0,"",OFFSET('RES Techs T15'!$AO44,0,MATCH(VLOOKUP('RES Veda input'!CB$3,'RES Assumptions T15'!$V$3:$W$35,2,FALSE),'RES Techs T15'!$G$3:$U$3,0)))</f>
        <v/>
      </c>
      <c r="CC44" s="9" t="str">
        <f ca="1">IF(OFFSET('RES Techs T15'!$AO44,0,MATCH(VLOOKUP('RES Veda input'!CC$3,'RES Assumptions T15'!$V$3:$W$35,2,FALSE),'RES Techs T15'!$G$3:$U$3,0))=0,"",OFFSET('RES Techs T15'!$AO44,0,MATCH(VLOOKUP('RES Veda input'!CC$3,'RES Assumptions T15'!$V$3:$W$35,2,FALSE),'RES Techs T15'!$G$3:$U$3,0)))</f>
        <v/>
      </c>
      <c r="CD44" s="9" t="str">
        <f ca="1">IF(OFFSET('RES Techs T15'!$AO44,0,MATCH(VLOOKUP('RES Veda input'!CD$3,'RES Assumptions T15'!$V$3:$W$35,2,FALSE),'RES Techs T15'!$G$3:$U$3,0))=0,"",OFFSET('RES Techs T15'!$AO44,0,MATCH(VLOOKUP('RES Veda input'!CD$3,'RES Assumptions T15'!$V$3:$W$35,2,FALSE),'RES Techs T15'!$G$3:$U$3,0)))</f>
        <v/>
      </c>
      <c r="CE44" s="9" t="str">
        <f ca="1">IF(OFFSET('RES Techs T15'!$AO44,0,MATCH(VLOOKUP('RES Veda input'!CE$3,'RES Assumptions T15'!$V$3:$W$35,2,FALSE),'RES Techs T15'!$G$3:$U$3,0))=0,"",OFFSET('RES Techs T15'!$AO44,0,MATCH(VLOOKUP('RES Veda input'!CE$3,'RES Assumptions T15'!$V$3:$W$35,2,FALSE),'RES Techs T15'!$G$3:$U$3,0)))</f>
        <v/>
      </c>
      <c r="CF44" s="9" t="str">
        <f ca="1">IF(OFFSET('RES Techs T15'!$AO44,0,MATCH(VLOOKUP('RES Veda input'!CF$3,'RES Assumptions T15'!$V$3:$W$35,2,FALSE),'RES Techs T15'!$G$3:$U$3,0))=0,"",OFFSET('RES Techs T15'!$AO44,0,MATCH(VLOOKUP('RES Veda input'!CF$3,'RES Assumptions T15'!$V$3:$W$35,2,FALSE),'RES Techs T15'!$G$3:$U$3,0)))</f>
        <v/>
      </c>
      <c r="CG44" s="9" t="str">
        <f ca="1">IF(OFFSET('RES Techs T15'!$AO44,0,MATCH(VLOOKUP('RES Veda input'!CG$3,'RES Assumptions T15'!$V$3:$W$35,2,FALSE),'RES Techs T15'!$G$3:$U$3,0))=0,"",OFFSET('RES Techs T15'!$AO44,0,MATCH(VLOOKUP('RES Veda input'!CG$3,'RES Assumptions T15'!$V$3:$W$35,2,FALSE),'RES Techs T15'!$G$3:$U$3,0)))</f>
        <v/>
      </c>
      <c r="CH44" s="9" t="str">
        <f ca="1">IF(OFFSET('RES Techs T15'!$AO44,0,MATCH(VLOOKUP('RES Veda input'!CH$3,'RES Assumptions T15'!$V$3:$W$35,2,FALSE),'RES Techs T15'!$G$3:$U$3,0))=0,"",OFFSET('RES Techs T15'!$AO44,0,MATCH(VLOOKUP('RES Veda input'!CH$3,'RES Assumptions T15'!$V$3:$W$35,2,FALSE),'RES Techs T15'!$G$3:$U$3,0)))</f>
        <v/>
      </c>
      <c r="CI44" s="9" t="str">
        <f ca="1">IF(OFFSET('RES Techs T15'!$AO44,0,MATCH(VLOOKUP('RES Veda input'!CI$3,'RES Assumptions T15'!$V$3:$W$35,2,FALSE),'RES Techs T15'!$G$3:$U$3,0))=0,"",OFFSET('RES Techs T15'!$AO44,0,MATCH(VLOOKUP('RES Veda input'!CI$3,'RES Assumptions T15'!$V$3:$W$35,2,FALSE),'RES Techs T15'!$G$3:$U$3,0)))</f>
        <v/>
      </c>
      <c r="CJ44" s="9">
        <f ca="1">IF(OFFSET('RES Techs T15'!$AO44,0,MATCH(VLOOKUP('RES Veda input'!CJ$3,'RES Assumptions T15'!$V$3:$W$35,2,FALSE),'RES Techs T15'!$G$3:$U$3,0))=0,"",OFFSET('RES Techs T15'!$AO44,0,MATCH(VLOOKUP('RES Veda input'!CJ$3,'RES Assumptions T15'!$V$3:$W$35,2,FALSE),'RES Techs T15'!$G$3:$U$3,0)))</f>
        <v>12.6</v>
      </c>
      <c r="CK44" s="9" t="str">
        <f ca="1">IF(OFFSET('RES Techs T15'!$AO44,0,MATCH(VLOOKUP('RES Veda input'!CK$3,'RES Assumptions T15'!$V$3:$W$35,2,FALSE),'RES Techs T15'!$G$3:$U$3,0))=0,"",OFFSET('RES Techs T15'!$AO44,0,MATCH(VLOOKUP('RES Veda input'!CK$3,'RES Assumptions T15'!$V$3:$W$35,2,FALSE),'RES Techs T15'!$G$3:$U$3,0)))</f>
        <v/>
      </c>
      <c r="CL44" s="9" t="str">
        <f ca="1">IF(OFFSET('RES Techs T15'!$AO44,0,MATCH(VLOOKUP('RES Veda input'!CL$3,'RES Assumptions T15'!$V$3:$W$35,2,FALSE),'RES Techs T15'!$G$3:$U$3,0))=0,"",OFFSET('RES Techs T15'!$AO44,0,MATCH(VLOOKUP('RES Veda input'!CL$3,'RES Assumptions T15'!$V$3:$W$35,2,FALSE),'RES Techs T15'!$G$3:$U$3,0)))</f>
        <v/>
      </c>
      <c r="CM44" s="9">
        <f ca="1">IF(OFFSET('RES Techs T15'!$AO44,0,MATCH(VLOOKUP('RES Veda input'!CM$3,'RES Assumptions T15'!$V$3:$W$35,2,FALSE),'RES Techs T15'!$G$3:$U$3,0))=0,"",OFFSET('RES Techs T15'!$AO44,0,MATCH(VLOOKUP('RES Veda input'!CM$3,'RES Assumptions T15'!$V$3:$W$35,2,FALSE),'RES Techs T15'!$G$3:$U$3,0)))</f>
        <v>10.8</v>
      </c>
      <c r="CN44" s="9">
        <f ca="1">IF(OFFSET('RES Techs T15'!$AO44,0,MATCH(VLOOKUP('RES Veda input'!CN$3,'RES Assumptions T15'!$V$3:$W$35,2,FALSE),'RES Techs T15'!$G$3:$U$3,0))=0,"",OFFSET('RES Techs T15'!$AO44,0,MATCH(VLOOKUP('RES Veda input'!CN$3,'RES Assumptions T15'!$V$3:$W$35,2,FALSE),'RES Techs T15'!$G$3:$U$3,0)))</f>
        <v>12.6</v>
      </c>
      <c r="CO44" s="9">
        <f ca="1">IF(OFFSET('RES Techs T15'!$AO44,0,MATCH(VLOOKUP('RES Veda input'!CO$3,'RES Assumptions T15'!$V$3:$W$35,2,FALSE),'RES Techs T15'!$G$3:$U$3,0))=0,"",OFFSET('RES Techs T15'!$AO44,0,MATCH(VLOOKUP('RES Veda input'!CO$3,'RES Assumptions T15'!$V$3:$W$35,2,FALSE),'RES Techs T15'!$G$3:$U$3,0)))</f>
        <v>14.4</v>
      </c>
      <c r="CP44" s="9">
        <f ca="1">IF(OFFSET('RES Techs T15'!$AO44,0,MATCH(VLOOKUP('RES Veda input'!CP$3,'RES Assumptions T15'!$V$3:$W$35,2,FALSE),'RES Techs T15'!$G$3:$U$3,0))=0,"",OFFSET('RES Techs T15'!$AO44,0,MATCH(VLOOKUP('RES Veda input'!CP$3,'RES Assumptions T15'!$V$3:$W$35,2,FALSE),'RES Techs T15'!$G$3:$U$3,0)))</f>
        <v>12.6</v>
      </c>
      <c r="CQ44" s="9" t="str">
        <f ca="1">IF(OFFSET('RES Techs T15'!$AO44,0,MATCH(VLOOKUP('RES Veda input'!CQ$3,'RES Assumptions T15'!$V$3:$W$35,2,FALSE),'RES Techs T15'!$G$3:$U$3,0))=0,"",OFFSET('RES Techs T15'!$AO44,0,MATCH(VLOOKUP('RES Veda input'!CQ$3,'RES Assumptions T15'!$V$3:$W$35,2,FALSE),'RES Techs T15'!$G$3:$U$3,0)))</f>
        <v/>
      </c>
      <c r="CR44" s="9" t="str">
        <f ca="1">IF(OFFSET('RES Techs T15'!$AO44,0,MATCH(VLOOKUP('RES Veda input'!CR$3,'RES Assumptions T15'!$V$3:$W$35,2,FALSE),'RES Techs T15'!$G$3:$U$3,0))=0,"",OFFSET('RES Techs T15'!$AO44,0,MATCH(VLOOKUP('RES Veda input'!CR$3,'RES Assumptions T15'!$V$3:$W$35,2,FALSE),'RES Techs T15'!$G$3:$U$3,0)))</f>
        <v/>
      </c>
      <c r="CS44" s="9">
        <f ca="1">IF(OFFSET('RES Techs T15'!$AO44,0,MATCH(VLOOKUP('RES Veda input'!CS$3,'RES Assumptions T15'!$V$3:$W$35,2,FALSE),'RES Techs T15'!$G$3:$U$3,0))=0,"",OFFSET('RES Techs T15'!$AO44,0,MATCH(VLOOKUP('RES Veda input'!CS$3,'RES Assumptions T15'!$V$3:$W$35,2,FALSE),'RES Techs T15'!$G$3:$U$3,0)))</f>
        <v>12.6</v>
      </c>
      <c r="CT44" s="9" t="str">
        <f ca="1">IF(OFFSET('RES Techs T15'!$AO44,0,MATCH(VLOOKUP('RES Veda input'!CT$3,'RES Assumptions T15'!$V$3:$W$35,2,FALSE),'RES Techs T15'!$G$3:$U$3,0))=0,"",OFFSET('RES Techs T15'!$AO44,0,MATCH(VLOOKUP('RES Veda input'!CT$3,'RES Assumptions T15'!$V$3:$W$35,2,FALSE),'RES Techs T15'!$G$3:$U$3,0)))</f>
        <v/>
      </c>
      <c r="CU44" s="9" t="str">
        <f ca="1">IF(OFFSET('RES Techs T15'!$AO44,0,MATCH(VLOOKUP('RES Veda input'!CU$3,'RES Assumptions T15'!$V$3:$W$35,2,FALSE),'RES Techs T15'!$G$3:$U$3,0))=0,"",OFFSET('RES Techs T15'!$AO44,0,MATCH(VLOOKUP('RES Veda input'!CU$3,'RES Assumptions T15'!$V$3:$W$35,2,FALSE),'RES Techs T15'!$G$3:$U$3,0)))</f>
        <v/>
      </c>
      <c r="CV44" s="9">
        <f ca="1">IF(OFFSET('RES Techs T15'!$AO44,0,MATCH(VLOOKUP('RES Veda input'!CV$3,'RES Assumptions T15'!$V$3:$W$35,2,FALSE),'RES Techs T15'!$G$3:$U$3,0))=0,"",OFFSET('RES Techs T15'!$AO44,0,MATCH(VLOOKUP('RES Veda input'!CV$3,'RES Assumptions T15'!$V$3:$W$35,2,FALSE),'RES Techs T15'!$G$3:$U$3,0)))</f>
        <v>6</v>
      </c>
      <c r="CW44" s="9">
        <f ca="1">IF(OFFSET('RES Techs T15'!$AO44,0,MATCH(VLOOKUP('RES Veda input'!CW$3,'RES Assumptions T15'!$V$3:$W$35,2,FALSE),'RES Techs T15'!$G$3:$U$3,0))=0,"",OFFSET('RES Techs T15'!$AO44,0,MATCH(VLOOKUP('RES Veda input'!CW$3,'RES Assumptions T15'!$V$3:$W$35,2,FALSE),'RES Techs T15'!$G$3:$U$3,0)))</f>
        <v>6</v>
      </c>
      <c r="CY44" s="8" t="str">
        <f t="shared" si="63"/>
        <v>RCKSTH000</v>
      </c>
      <c r="CZ44" s="10">
        <f ca="1">ROUND('RES Assumptions'!E127*'RES Veda input'!G44/'RES Veda input'!AM44,3)</f>
        <v>0</v>
      </c>
      <c r="DA44" s="10">
        <f ca="1">ROUND('RES Assumptions'!F127*'RES Veda input'!H44/'RES Veda input'!AN44,3)</f>
        <v>0</v>
      </c>
      <c r="DB44" s="10">
        <f ca="1">ROUND('RES Assumptions'!G127*'RES Veda input'!I44/'RES Veda input'!AO44,3)</f>
        <v>0</v>
      </c>
      <c r="DC44" s="10">
        <f ca="1">ROUND('RES Assumptions'!H127*'RES Veda input'!J44/'RES Veda input'!AP44,3)</f>
        <v>0</v>
      </c>
      <c r="DD44" s="10">
        <f ca="1">ROUND('RES Assumptions'!I127*'RES Veda input'!K44/'RES Veda input'!AQ44,3)</f>
        <v>0</v>
      </c>
      <c r="DE44" s="10">
        <f ca="1">ROUND('RES Assumptions'!J127*'RES Veda input'!L44/'RES Veda input'!AR44,3)</f>
        <v>0</v>
      </c>
      <c r="DF44" s="10">
        <f ca="1">ROUND('RES Assumptions'!K127*'RES Veda input'!M44/'RES Veda input'!AS44,3)</f>
        <v>0</v>
      </c>
      <c r="DG44" s="10">
        <f ca="1">ROUND('RES Assumptions'!L127*'RES Veda input'!N44/'RES Veda input'!AT44,3)</f>
        <v>0</v>
      </c>
      <c r="DH44" s="10">
        <f ca="1">ROUND('RES Assumptions'!M127*'RES Veda input'!O44/'RES Veda input'!AU44,3)</f>
        <v>0</v>
      </c>
      <c r="DI44" s="10">
        <f ca="1">ROUND('RES Assumptions'!N127*'RES Veda input'!P44/'RES Veda input'!AV44,3)</f>
        <v>0</v>
      </c>
      <c r="DJ44" s="10">
        <f ca="1">ROUND('RES Assumptions'!O127*'RES Veda input'!Q44/'RES Veda input'!AW44,3)</f>
        <v>0</v>
      </c>
      <c r="DK44" s="10">
        <f ca="1">ROUND('RES Assumptions'!P127*'RES Veda input'!R44/'RES Veda input'!AX44,3)</f>
        <v>0</v>
      </c>
      <c r="DL44" s="10">
        <f ca="1">ROUND('RES Assumptions'!Q127*'RES Veda input'!S44/'RES Veda input'!AY44,3)</f>
        <v>0</v>
      </c>
      <c r="DM44" s="10">
        <f ca="1">ROUND('RES Assumptions'!R127*'RES Veda input'!T44/'RES Veda input'!AZ44,3)</f>
        <v>0</v>
      </c>
      <c r="DN44" s="10">
        <f ca="1">ROUND('RES Assumptions'!S127*'RES Veda input'!U44/'RES Veda input'!BA44,3)</f>
        <v>0</v>
      </c>
      <c r="DO44" s="10">
        <f ca="1">ROUND('RES Assumptions'!T127*'RES Veda input'!V44/'RES Veda input'!BB44,3)</f>
        <v>0</v>
      </c>
      <c r="DP44" s="10">
        <f ca="1">ROUND('RES Assumptions'!U127*'RES Veda input'!W44/'RES Veda input'!BC44,3)</f>
        <v>0</v>
      </c>
      <c r="DQ44" s="10">
        <f ca="1">ROUND('RES Assumptions'!V127*'RES Veda input'!X44/'RES Veda input'!BD44,3)</f>
        <v>0</v>
      </c>
      <c r="DR44" s="10">
        <f ca="1">ROUND('RES Assumptions'!W127*'RES Veda input'!Y44/'RES Veda input'!BE44,3)</f>
        <v>0</v>
      </c>
      <c r="DS44" s="10">
        <f ca="1">ROUND('RES Assumptions'!X127*'RES Veda input'!Z44/'RES Veda input'!BF44,3)</f>
        <v>0</v>
      </c>
      <c r="DT44" s="10">
        <f ca="1">ROUND('RES Assumptions'!Y127*'RES Veda input'!AA44/'RES Veda input'!BG44,3)</f>
        <v>0</v>
      </c>
      <c r="DU44" s="10">
        <f ca="1">ROUND('RES Assumptions'!Z127*'RES Veda input'!AB44/'RES Veda input'!BH44,3)</f>
        <v>0</v>
      </c>
      <c r="DV44" s="10">
        <f ca="1">ROUND('RES Assumptions'!AA127*'RES Veda input'!AC44/'RES Veda input'!BI44,3)</f>
        <v>0</v>
      </c>
      <c r="DW44" s="10">
        <f ca="1">ROUND('RES Assumptions'!AB127*'RES Veda input'!AD44/'RES Veda input'!BJ44,3)</f>
        <v>0</v>
      </c>
      <c r="DX44" s="10">
        <f ca="1">ROUND('RES Assumptions'!AC127*'RES Veda input'!AE44/'RES Veda input'!BK44,3)</f>
        <v>0</v>
      </c>
      <c r="DY44" s="10">
        <f ca="1">ROUND('RES Assumptions'!AD127*'RES Veda input'!AF44/'RES Veda input'!BL44,3)</f>
        <v>0</v>
      </c>
      <c r="DZ44" s="10">
        <f ca="1">ROUND('RES Assumptions'!AE127*'RES Veda input'!AG44/'RES Veda input'!BM44,3)</f>
        <v>0</v>
      </c>
      <c r="EA44" s="10">
        <f ca="1">ROUND('RES Assumptions'!AF127*'RES Veda input'!AH44/'RES Veda input'!BN44,3)</f>
        <v>0</v>
      </c>
      <c r="EB44" s="10">
        <f ca="1">ROUND('RES Assumptions'!AG127*'RES Veda input'!AI44/'RES Veda input'!BO44,3)</f>
        <v>0</v>
      </c>
      <c r="EC44" s="10">
        <f ca="1">ROUND('RES Assumptions'!AH127*'RES Veda input'!AJ44/'RES Veda input'!BP44,3)</f>
        <v>0</v>
      </c>
      <c r="ED44">
        <v>17</v>
      </c>
      <c r="EG44" t="s">
        <v>281</v>
      </c>
      <c r="EH44" t="str">
        <f t="shared" si="64"/>
        <v>RCKSTH000</v>
      </c>
      <c r="EJ44" t="s">
        <v>282</v>
      </c>
      <c r="EK44" t="s">
        <v>283</v>
      </c>
    </row>
    <row r="45" spans="1:141" x14ac:dyDescent="0.45">
      <c r="A45" s="37" t="str">
        <f>'RES Assumptions'!B128</f>
        <v>RL</v>
      </c>
      <c r="B45" s="37" t="s">
        <v>118</v>
      </c>
      <c r="D45" s="51" t="s">
        <v>309</v>
      </c>
      <c r="E45" s="8" t="str">
        <f>'RES Assumptions'!A128</f>
        <v>RESELC</v>
      </c>
      <c r="F45" s="8" t="str">
        <f>VLOOKUP(A45,'RES Assumptions'!$AN$87:$AO$97,2,FALSE)</f>
        <v>RLI</v>
      </c>
      <c r="G45" s="9">
        <f ca="1">OFFSET('RES Techs T15'!$F45,0,MATCH(VLOOKUP('RES Veda input'!G$3,'RES Assumptions T15'!$V$3:$W$35,2,FALSE),'RES Techs T15'!$G$3:$U$3,0))</f>
        <v>2.4</v>
      </c>
      <c r="H45" s="9">
        <f ca="1">OFFSET('RES Techs T15'!$F45,0,MATCH(VLOOKUP('RES Veda input'!H$3,'RES Assumptions T15'!$V$3:$W$35,2,FALSE),'RES Techs T15'!$G$3:$U$3,0))</f>
        <v>2.4</v>
      </c>
      <c r="I45" s="9">
        <f ca="1">OFFSET('RES Techs T15'!$F45,0,MATCH(VLOOKUP('RES Veda input'!I$3,'RES Assumptions T15'!$V$3:$W$35,2,FALSE),'RES Techs T15'!$G$3:$U$3,0))</f>
        <v>2.4</v>
      </c>
      <c r="J45" s="9">
        <f ca="1">OFFSET('RES Techs T15'!$F45,0,MATCH(VLOOKUP('RES Veda input'!J$3,'RES Assumptions T15'!$V$3:$W$35,2,FALSE),'RES Techs T15'!$G$3:$U$3,0))</f>
        <v>2.4</v>
      </c>
      <c r="K45" s="9">
        <f ca="1">OFFSET('RES Techs T15'!$F45,0,MATCH(VLOOKUP('RES Veda input'!K$3,'RES Assumptions T15'!$V$3:$W$35,2,FALSE),'RES Techs T15'!$G$3:$U$3,0))</f>
        <v>2.4</v>
      </c>
      <c r="L45" s="9">
        <f ca="1">OFFSET('RES Techs T15'!$F45,0,MATCH(VLOOKUP('RES Veda input'!L$3,'RES Assumptions T15'!$V$3:$W$35,2,FALSE),'RES Techs T15'!$G$3:$U$3,0))</f>
        <v>2.4</v>
      </c>
      <c r="M45" s="9">
        <f ca="1">OFFSET('RES Techs T15'!$F45,0,MATCH(VLOOKUP('RES Veda input'!M$3,'RES Assumptions T15'!$V$3:$W$35,2,FALSE),'RES Techs T15'!$G$3:$U$3,0))</f>
        <v>2.4</v>
      </c>
      <c r="N45" s="9">
        <f ca="1">OFFSET('RES Techs T15'!$F45,0,MATCH(VLOOKUP('RES Veda input'!N$3,'RES Assumptions T15'!$V$3:$W$35,2,FALSE),'RES Techs T15'!$G$3:$U$3,0))</f>
        <v>2.4</v>
      </c>
      <c r="O45" s="9">
        <f ca="1">OFFSET('RES Techs T15'!$F45,0,MATCH(VLOOKUP('RES Veda input'!O$3,'RES Assumptions T15'!$V$3:$W$35,2,FALSE),'RES Techs T15'!$G$3:$U$3,0))</f>
        <v>2.4</v>
      </c>
      <c r="P45" s="9">
        <f ca="1">OFFSET('RES Techs T15'!$F45,0,MATCH(VLOOKUP('RES Veda input'!P$3,'RES Assumptions T15'!$V$3:$W$35,2,FALSE),'RES Techs T15'!$G$3:$U$3,0))</f>
        <v>2.4</v>
      </c>
      <c r="Q45" s="9">
        <f ca="1">OFFSET('RES Techs T15'!$F45,0,MATCH(VLOOKUP('RES Veda input'!Q$3,'RES Assumptions T15'!$V$3:$W$35,2,FALSE),'RES Techs T15'!$G$3:$U$3,0))</f>
        <v>2.4</v>
      </c>
      <c r="R45" s="9">
        <f ca="1">OFFSET('RES Techs T15'!$F45,0,MATCH(VLOOKUP('RES Veda input'!R$3,'RES Assumptions T15'!$V$3:$W$35,2,FALSE),'RES Techs T15'!$G$3:$U$3,0))</f>
        <v>2.4</v>
      </c>
      <c r="S45" s="9">
        <f ca="1">OFFSET('RES Techs T15'!$F45,0,MATCH(VLOOKUP('RES Veda input'!S$3,'RES Assumptions T15'!$V$3:$W$35,2,FALSE),'RES Techs T15'!$G$3:$U$3,0))</f>
        <v>2.4</v>
      </c>
      <c r="T45" s="9">
        <f ca="1">OFFSET('RES Techs T15'!$F45,0,MATCH(VLOOKUP('RES Veda input'!T$3,'RES Assumptions T15'!$V$3:$W$35,2,FALSE),'RES Techs T15'!$G$3:$U$3,0))</f>
        <v>2.4</v>
      </c>
      <c r="U45" s="9">
        <f ca="1">OFFSET('RES Techs T15'!$F45,0,MATCH(VLOOKUP('RES Veda input'!U$3,'RES Assumptions T15'!$V$3:$W$35,2,FALSE),'RES Techs T15'!$G$3:$U$3,0))</f>
        <v>2.4</v>
      </c>
      <c r="V45" s="9">
        <f ca="1">OFFSET('RES Techs T15'!$F45,0,MATCH(VLOOKUP('RES Veda input'!V$3,'RES Assumptions T15'!$V$3:$W$35,2,FALSE),'RES Techs T15'!$G$3:$U$3,0))</f>
        <v>2.4</v>
      </c>
      <c r="W45" s="9">
        <f ca="1">OFFSET('RES Techs T15'!$F45,0,MATCH(VLOOKUP('RES Veda input'!W$3,'RES Assumptions T15'!$V$3:$W$35,2,FALSE),'RES Techs T15'!$G$3:$U$3,0))</f>
        <v>2.4</v>
      </c>
      <c r="X45" s="9">
        <f ca="1">OFFSET('RES Techs T15'!$F45,0,MATCH(VLOOKUP('RES Veda input'!X$3,'RES Assumptions T15'!$V$3:$W$35,2,FALSE),'RES Techs T15'!$G$3:$U$3,0))</f>
        <v>2.4</v>
      </c>
      <c r="Y45" s="9">
        <f ca="1">OFFSET('RES Techs T15'!$F45,0,MATCH(VLOOKUP('RES Veda input'!Y$3,'RES Assumptions T15'!$V$3:$W$35,2,FALSE),'RES Techs T15'!$G$3:$U$3,0))</f>
        <v>2.4</v>
      </c>
      <c r="Z45" s="9">
        <f ca="1">OFFSET('RES Techs T15'!$F45,0,MATCH(VLOOKUP('RES Veda input'!Z$3,'RES Assumptions T15'!$V$3:$W$35,2,FALSE),'RES Techs T15'!$G$3:$U$3,0))</f>
        <v>2.4</v>
      </c>
      <c r="AA45" s="9">
        <f ca="1">OFFSET('RES Techs T15'!$F45,0,MATCH(VLOOKUP('RES Veda input'!AA$3,'RES Assumptions T15'!$V$3:$W$35,2,FALSE),'RES Techs T15'!$G$3:$U$3,0))</f>
        <v>2.4</v>
      </c>
      <c r="AB45" s="9">
        <f ca="1">OFFSET('RES Techs T15'!$F45,0,MATCH(VLOOKUP('RES Veda input'!AB$3,'RES Assumptions T15'!$V$3:$W$35,2,FALSE),'RES Techs T15'!$G$3:$U$3,0))</f>
        <v>2.4</v>
      </c>
      <c r="AC45" s="9">
        <f ca="1">OFFSET('RES Techs T15'!$F45,0,MATCH(VLOOKUP('RES Veda input'!AC$3,'RES Assumptions T15'!$V$3:$W$35,2,FALSE),'RES Techs T15'!$G$3:$U$3,0))</f>
        <v>2.4</v>
      </c>
      <c r="AD45" s="9">
        <f ca="1">OFFSET('RES Techs T15'!$F45,0,MATCH(VLOOKUP('RES Veda input'!AD$3,'RES Assumptions T15'!$V$3:$W$35,2,FALSE),'RES Techs T15'!$G$3:$U$3,0))</f>
        <v>2.4</v>
      </c>
      <c r="AE45" s="9">
        <f ca="1">OFFSET('RES Techs T15'!$F45,0,MATCH(VLOOKUP('RES Veda input'!AE$3,'RES Assumptions T15'!$V$3:$W$35,2,FALSE),'RES Techs T15'!$G$3:$U$3,0))</f>
        <v>2.4</v>
      </c>
      <c r="AF45" s="9">
        <f ca="1">OFFSET('RES Techs T15'!$F45,0,MATCH(VLOOKUP('RES Veda input'!AF$3,'RES Assumptions T15'!$V$3:$W$35,2,FALSE),'RES Techs T15'!$G$3:$U$3,0))</f>
        <v>2.4</v>
      </c>
      <c r="AG45" s="9">
        <f ca="1">OFFSET('RES Techs T15'!$F45,0,MATCH(VLOOKUP('RES Veda input'!AG$3,'RES Assumptions T15'!$V$3:$W$35,2,FALSE),'RES Techs T15'!$G$3:$U$3,0))</f>
        <v>2.4</v>
      </c>
      <c r="AH45" s="9">
        <f ca="1">OFFSET('RES Techs T15'!$F45,0,MATCH(VLOOKUP('RES Veda input'!AH$3,'RES Assumptions T15'!$V$3:$W$35,2,FALSE),'RES Techs T15'!$G$3:$U$3,0))</f>
        <v>2.4</v>
      </c>
      <c r="AI45" s="9">
        <f ca="1">OFFSET('RES Techs T15'!$F45,0,MATCH(VLOOKUP('RES Veda input'!AI$3,'RES Assumptions T15'!$V$3:$W$35,2,FALSE),'RES Techs T15'!$G$3:$U$3,0))</f>
        <v>2.4</v>
      </c>
      <c r="AJ45" s="9">
        <f ca="1">OFFSET('RES Techs T15'!$F45,0,MATCH(VLOOKUP('RES Veda input'!AJ$3,'RES Assumptions T15'!$V$3:$W$35,2,FALSE),'RES Techs T15'!$G$3:$U$3,0))</f>
        <v>2.4</v>
      </c>
      <c r="AL45" s="8" t="str">
        <f t="shared" si="60"/>
        <v>RLICFL000</v>
      </c>
      <c r="AM45" s="9">
        <f ca="1">OFFSET('RES Techs T15'!$W45,0,MATCH(VLOOKUP('RES Veda input'!AM$3,'RES Assumptions T15'!$V$3:$W$35,2,FALSE),'RES Techs T15'!$G$3:$U$3,0))</f>
        <v>1</v>
      </c>
      <c r="AN45" s="9">
        <f ca="1">OFFSET('RES Techs T15'!$W45,0,MATCH(VLOOKUP('RES Veda input'!AN$3,'RES Assumptions T15'!$V$3:$W$35,2,FALSE),'RES Techs T15'!$G$3:$U$3,0))</f>
        <v>1</v>
      </c>
      <c r="AO45" s="9">
        <f ca="1">OFFSET('RES Techs T15'!$W45,0,MATCH(VLOOKUP('RES Veda input'!AO$3,'RES Assumptions T15'!$V$3:$W$35,2,FALSE),'RES Techs T15'!$G$3:$U$3,0))</f>
        <v>1</v>
      </c>
      <c r="AP45" s="9">
        <f ca="1">OFFSET('RES Techs T15'!$W45,0,MATCH(VLOOKUP('RES Veda input'!AP$3,'RES Assumptions T15'!$V$3:$W$35,2,FALSE),'RES Techs T15'!$G$3:$U$3,0))</f>
        <v>1</v>
      </c>
      <c r="AQ45" s="9">
        <f ca="1">OFFSET('RES Techs T15'!$W45,0,MATCH(VLOOKUP('RES Veda input'!AQ$3,'RES Assumptions T15'!$V$3:$W$35,2,FALSE),'RES Techs T15'!$G$3:$U$3,0))</f>
        <v>1</v>
      </c>
      <c r="AR45" s="9">
        <f ca="1">OFFSET('RES Techs T15'!$W45,0,MATCH(VLOOKUP('RES Veda input'!AR$3,'RES Assumptions T15'!$V$3:$W$35,2,FALSE),'RES Techs T15'!$G$3:$U$3,0))</f>
        <v>1</v>
      </c>
      <c r="AS45" s="9">
        <f ca="1">OFFSET('RES Techs T15'!$W45,0,MATCH(VLOOKUP('RES Veda input'!AS$3,'RES Assumptions T15'!$V$3:$W$35,2,FALSE),'RES Techs T15'!$G$3:$U$3,0))</f>
        <v>1</v>
      </c>
      <c r="AT45" s="9">
        <f ca="1">OFFSET('RES Techs T15'!$W45,0,MATCH(VLOOKUP('RES Veda input'!AT$3,'RES Assumptions T15'!$V$3:$W$35,2,FALSE),'RES Techs T15'!$G$3:$U$3,0))</f>
        <v>1</v>
      </c>
      <c r="AU45" s="9">
        <f ca="1">OFFSET('RES Techs T15'!$W45,0,MATCH(VLOOKUP('RES Veda input'!AU$3,'RES Assumptions T15'!$V$3:$W$35,2,FALSE),'RES Techs T15'!$G$3:$U$3,0))</f>
        <v>1</v>
      </c>
      <c r="AV45" s="9">
        <f ca="1">OFFSET('RES Techs T15'!$W45,0,MATCH(VLOOKUP('RES Veda input'!AV$3,'RES Assumptions T15'!$V$3:$W$35,2,FALSE),'RES Techs T15'!$G$3:$U$3,0))</f>
        <v>1</v>
      </c>
      <c r="AW45" s="9">
        <f ca="1">OFFSET('RES Techs T15'!$W45,0,MATCH(VLOOKUP('RES Veda input'!AW$3,'RES Assumptions T15'!$V$3:$W$35,2,FALSE),'RES Techs T15'!$G$3:$U$3,0))</f>
        <v>1</v>
      </c>
      <c r="AX45" s="9">
        <f ca="1">OFFSET('RES Techs T15'!$W45,0,MATCH(VLOOKUP('RES Veda input'!AX$3,'RES Assumptions T15'!$V$3:$W$35,2,FALSE),'RES Techs T15'!$G$3:$U$3,0))</f>
        <v>1</v>
      </c>
      <c r="AY45" s="9">
        <f ca="1">OFFSET('RES Techs T15'!$W45,0,MATCH(VLOOKUP('RES Veda input'!AY$3,'RES Assumptions T15'!$V$3:$W$35,2,FALSE),'RES Techs T15'!$G$3:$U$3,0))</f>
        <v>1</v>
      </c>
      <c r="AZ45" s="9">
        <f ca="1">OFFSET('RES Techs T15'!$W45,0,MATCH(VLOOKUP('RES Veda input'!AZ$3,'RES Assumptions T15'!$V$3:$W$35,2,FALSE),'RES Techs T15'!$G$3:$U$3,0))</f>
        <v>1</v>
      </c>
      <c r="BA45" s="9">
        <f ca="1">OFFSET('RES Techs T15'!$W45,0,MATCH(VLOOKUP('RES Veda input'!BA$3,'RES Assumptions T15'!$V$3:$W$35,2,FALSE),'RES Techs T15'!$G$3:$U$3,0))</f>
        <v>1</v>
      </c>
      <c r="BB45" s="9">
        <f ca="1">OFFSET('RES Techs T15'!$W45,0,MATCH(VLOOKUP('RES Veda input'!BB$3,'RES Assumptions T15'!$V$3:$W$35,2,FALSE),'RES Techs T15'!$G$3:$U$3,0))</f>
        <v>1</v>
      </c>
      <c r="BC45" s="9">
        <f ca="1">OFFSET('RES Techs T15'!$W45,0,MATCH(VLOOKUP('RES Veda input'!BC$3,'RES Assumptions T15'!$V$3:$W$35,2,FALSE),'RES Techs T15'!$G$3:$U$3,0))</f>
        <v>1</v>
      </c>
      <c r="BD45" s="9">
        <f ca="1">OFFSET('RES Techs T15'!$W45,0,MATCH(VLOOKUP('RES Veda input'!BD$3,'RES Assumptions T15'!$V$3:$W$35,2,FALSE),'RES Techs T15'!$G$3:$U$3,0))</f>
        <v>1</v>
      </c>
      <c r="BE45" s="9">
        <f ca="1">OFFSET('RES Techs T15'!$W45,0,MATCH(VLOOKUP('RES Veda input'!BE$3,'RES Assumptions T15'!$V$3:$W$35,2,FALSE),'RES Techs T15'!$G$3:$U$3,0))</f>
        <v>1</v>
      </c>
      <c r="BF45" s="9">
        <f ca="1">OFFSET('RES Techs T15'!$W45,0,MATCH(VLOOKUP('RES Veda input'!BF$3,'RES Assumptions T15'!$V$3:$W$35,2,FALSE),'RES Techs T15'!$G$3:$U$3,0))</f>
        <v>1</v>
      </c>
      <c r="BG45" s="9">
        <f ca="1">OFFSET('RES Techs T15'!$W45,0,MATCH(VLOOKUP('RES Veda input'!BG$3,'RES Assumptions T15'!$V$3:$W$35,2,FALSE),'RES Techs T15'!$G$3:$U$3,0))</f>
        <v>1</v>
      </c>
      <c r="BH45" s="9">
        <f ca="1">OFFSET('RES Techs T15'!$W45,0,MATCH(VLOOKUP('RES Veda input'!BH$3,'RES Assumptions T15'!$V$3:$W$35,2,FALSE),'RES Techs T15'!$G$3:$U$3,0))</f>
        <v>1</v>
      </c>
      <c r="BI45" s="9">
        <f ca="1">OFFSET('RES Techs T15'!$W45,0,MATCH(VLOOKUP('RES Veda input'!BI$3,'RES Assumptions T15'!$V$3:$W$35,2,FALSE),'RES Techs T15'!$G$3:$U$3,0))</f>
        <v>1</v>
      </c>
      <c r="BJ45" s="9">
        <f ca="1">OFFSET('RES Techs T15'!$W45,0,MATCH(VLOOKUP('RES Veda input'!BJ$3,'RES Assumptions T15'!$V$3:$W$35,2,FALSE),'RES Techs T15'!$G$3:$U$3,0))</f>
        <v>1</v>
      </c>
      <c r="BK45" s="9">
        <f ca="1">OFFSET('RES Techs T15'!$W45,0,MATCH(VLOOKUP('RES Veda input'!BK$3,'RES Assumptions T15'!$V$3:$W$35,2,FALSE),'RES Techs T15'!$G$3:$U$3,0))</f>
        <v>1</v>
      </c>
      <c r="BL45" s="9">
        <f ca="1">OFFSET('RES Techs T15'!$W45,0,MATCH(VLOOKUP('RES Veda input'!BL$3,'RES Assumptions T15'!$V$3:$W$35,2,FALSE),'RES Techs T15'!$G$3:$U$3,0))</f>
        <v>1</v>
      </c>
      <c r="BM45" s="9">
        <f ca="1">OFFSET('RES Techs T15'!$W45,0,MATCH(VLOOKUP('RES Veda input'!BM$3,'RES Assumptions T15'!$V$3:$W$35,2,FALSE),'RES Techs T15'!$G$3:$U$3,0))</f>
        <v>1</v>
      </c>
      <c r="BN45" s="9">
        <f ca="1">OFFSET('RES Techs T15'!$W45,0,MATCH(VLOOKUP('RES Veda input'!BN$3,'RES Assumptions T15'!$V$3:$W$35,2,FALSE),'RES Techs T15'!$G$3:$U$3,0))</f>
        <v>1</v>
      </c>
      <c r="BO45" s="9">
        <f ca="1">OFFSET('RES Techs T15'!$W45,0,MATCH(VLOOKUP('RES Veda input'!BO$3,'RES Assumptions T15'!$V$3:$W$35,2,FALSE),'RES Techs T15'!$G$3:$U$3,0))</f>
        <v>1</v>
      </c>
      <c r="BP45" s="9">
        <f ca="1">OFFSET('RES Techs T15'!$W45,0,MATCH(VLOOKUP('RES Veda input'!BP$3,'RES Assumptions T15'!$V$3:$W$35,2,FALSE),'RES Techs T15'!$G$3:$U$3,0))</f>
        <v>1</v>
      </c>
      <c r="BR45" s="8" t="str">
        <f t="shared" si="61"/>
        <v>RLICFL000</v>
      </c>
      <c r="BS45" s="9">
        <f t="shared" ca="1" si="62"/>
        <v>8.4</v>
      </c>
      <c r="BT45" s="9" t="str">
        <f ca="1">IF(OFFSET('RES Techs T15'!$AO45,0,MATCH(VLOOKUP('RES Veda input'!BT$3,'RES Assumptions T15'!$V$3:$W$35,2,FALSE),'RES Techs T15'!$G$3:$U$3,0))=0,"",OFFSET('RES Techs T15'!$AO45,0,MATCH(VLOOKUP('RES Veda input'!BT$3,'RES Assumptions T15'!$V$3:$W$35,2,FALSE),'RES Techs T15'!$G$3:$U$3,0)))</f>
        <v/>
      </c>
      <c r="BU45" s="9" t="str">
        <f ca="1">IF(OFFSET('RES Techs T15'!$AO45,0,MATCH(VLOOKUP('RES Veda input'!BU$3,'RES Assumptions T15'!$V$3:$W$35,2,FALSE),'RES Techs T15'!$G$3:$U$3,0))=0,"",OFFSET('RES Techs T15'!$AO45,0,MATCH(VLOOKUP('RES Veda input'!BU$3,'RES Assumptions T15'!$V$3:$W$35,2,FALSE),'RES Techs T15'!$G$3:$U$3,0)))</f>
        <v/>
      </c>
      <c r="BV45" s="9">
        <f ca="1">IF(OFFSET('RES Techs T15'!$AO45,0,MATCH(VLOOKUP('RES Veda input'!BV$3,'RES Assumptions T15'!$V$3:$W$35,2,FALSE),'RES Techs T15'!$G$3:$U$3,0))=0,"",OFFSET('RES Techs T15'!$AO45,0,MATCH(VLOOKUP('RES Veda input'!BV$3,'RES Assumptions T15'!$V$3:$W$35,2,FALSE),'RES Techs T15'!$G$3:$U$3,0)))</f>
        <v>9.8000000000000007</v>
      </c>
      <c r="BW45" s="9" t="str">
        <f ca="1">IF(OFFSET('RES Techs T15'!$AO45,0,MATCH(VLOOKUP('RES Veda input'!BW$3,'RES Assumptions T15'!$V$3:$W$35,2,FALSE),'RES Techs T15'!$G$3:$U$3,0))=0,"",OFFSET('RES Techs T15'!$AO45,0,MATCH(VLOOKUP('RES Veda input'!BW$3,'RES Assumptions T15'!$V$3:$W$35,2,FALSE),'RES Techs T15'!$G$3:$U$3,0)))</f>
        <v/>
      </c>
      <c r="BX45" s="9">
        <f ca="1">IF(OFFSET('RES Techs T15'!$AO45,0,MATCH(VLOOKUP('RES Veda input'!BX$3,'RES Assumptions T15'!$V$3:$W$35,2,FALSE),'RES Techs T15'!$G$3:$U$3,0))=0,"",OFFSET('RES Techs T15'!$AO45,0,MATCH(VLOOKUP('RES Veda input'!BX$3,'RES Assumptions T15'!$V$3:$W$35,2,FALSE),'RES Techs T15'!$G$3:$U$3,0)))</f>
        <v>14</v>
      </c>
      <c r="BY45" s="9">
        <f ca="1">IF(OFFSET('RES Techs T15'!$AO45,0,MATCH(VLOOKUP('RES Veda input'!BY$3,'RES Assumptions T15'!$V$3:$W$35,2,FALSE),'RES Techs T15'!$G$3:$U$3,0))=0,"",OFFSET('RES Techs T15'!$AO45,0,MATCH(VLOOKUP('RES Veda input'!BY$3,'RES Assumptions T15'!$V$3:$W$35,2,FALSE),'RES Techs T15'!$G$3:$U$3,0)))</f>
        <v>8.4</v>
      </c>
      <c r="BZ45" s="9" t="str">
        <f ca="1">IF(OFFSET('RES Techs T15'!$AO45,0,MATCH(VLOOKUP('RES Veda input'!BZ$3,'RES Assumptions T15'!$V$3:$W$35,2,FALSE),'RES Techs T15'!$G$3:$U$3,0))=0,"",OFFSET('RES Techs T15'!$AO45,0,MATCH(VLOOKUP('RES Veda input'!BZ$3,'RES Assumptions T15'!$V$3:$W$35,2,FALSE),'RES Techs T15'!$G$3:$U$3,0)))</f>
        <v/>
      </c>
      <c r="CA45" s="9">
        <f ca="1">IF(OFFSET('RES Techs T15'!$AO45,0,MATCH(VLOOKUP('RES Veda input'!CA$3,'RES Assumptions T15'!$V$3:$W$35,2,FALSE),'RES Techs T15'!$G$3:$U$3,0))=0,"",OFFSET('RES Techs T15'!$AO45,0,MATCH(VLOOKUP('RES Veda input'!CA$3,'RES Assumptions T15'!$V$3:$W$35,2,FALSE),'RES Techs T15'!$G$3:$U$3,0)))</f>
        <v>9.8000000000000007</v>
      </c>
      <c r="CB45" s="9" t="str">
        <f ca="1">IF(OFFSET('RES Techs T15'!$AO45,0,MATCH(VLOOKUP('RES Veda input'!CB$3,'RES Assumptions T15'!$V$3:$W$35,2,FALSE),'RES Techs T15'!$G$3:$U$3,0))=0,"",OFFSET('RES Techs T15'!$AO45,0,MATCH(VLOOKUP('RES Veda input'!CB$3,'RES Assumptions T15'!$V$3:$W$35,2,FALSE),'RES Techs T15'!$G$3:$U$3,0)))</f>
        <v/>
      </c>
      <c r="CC45" s="9">
        <f ca="1">IF(OFFSET('RES Techs T15'!$AO45,0,MATCH(VLOOKUP('RES Veda input'!CC$3,'RES Assumptions T15'!$V$3:$W$35,2,FALSE),'RES Techs T15'!$G$3:$U$3,0))=0,"",OFFSET('RES Techs T15'!$AO45,0,MATCH(VLOOKUP('RES Veda input'!CC$3,'RES Assumptions T15'!$V$3:$W$35,2,FALSE),'RES Techs T15'!$G$3:$U$3,0)))</f>
        <v>8.4</v>
      </c>
      <c r="CD45" s="9" t="str">
        <f ca="1">IF(OFFSET('RES Techs T15'!$AO45,0,MATCH(VLOOKUP('RES Veda input'!CD$3,'RES Assumptions T15'!$V$3:$W$35,2,FALSE),'RES Techs T15'!$G$3:$U$3,0))=0,"",OFFSET('RES Techs T15'!$AO45,0,MATCH(VLOOKUP('RES Veda input'!CD$3,'RES Assumptions T15'!$V$3:$W$35,2,FALSE),'RES Techs T15'!$G$3:$U$3,0)))</f>
        <v/>
      </c>
      <c r="CE45" s="9" t="str">
        <f ca="1">IF(OFFSET('RES Techs T15'!$AO45,0,MATCH(VLOOKUP('RES Veda input'!CE$3,'RES Assumptions T15'!$V$3:$W$35,2,FALSE),'RES Techs T15'!$G$3:$U$3,0))=0,"",OFFSET('RES Techs T15'!$AO45,0,MATCH(VLOOKUP('RES Veda input'!CE$3,'RES Assumptions T15'!$V$3:$W$35,2,FALSE),'RES Techs T15'!$G$3:$U$3,0)))</f>
        <v/>
      </c>
      <c r="CF45" s="9" t="str">
        <f ca="1">IF(OFFSET('RES Techs T15'!$AO45,0,MATCH(VLOOKUP('RES Veda input'!CF$3,'RES Assumptions T15'!$V$3:$W$35,2,FALSE),'RES Techs T15'!$G$3:$U$3,0))=0,"",OFFSET('RES Techs T15'!$AO45,0,MATCH(VLOOKUP('RES Veda input'!CF$3,'RES Assumptions T15'!$V$3:$W$35,2,FALSE),'RES Techs T15'!$G$3:$U$3,0)))</f>
        <v/>
      </c>
      <c r="CG45" s="9" t="str">
        <f ca="1">IF(OFFSET('RES Techs T15'!$AO45,0,MATCH(VLOOKUP('RES Veda input'!CG$3,'RES Assumptions T15'!$V$3:$W$35,2,FALSE),'RES Techs T15'!$G$3:$U$3,0))=0,"",OFFSET('RES Techs T15'!$AO45,0,MATCH(VLOOKUP('RES Veda input'!CG$3,'RES Assumptions T15'!$V$3:$W$35,2,FALSE),'RES Techs T15'!$G$3:$U$3,0)))</f>
        <v/>
      </c>
      <c r="CH45" s="9" t="str">
        <f ca="1">IF(OFFSET('RES Techs T15'!$AO45,0,MATCH(VLOOKUP('RES Veda input'!CH$3,'RES Assumptions T15'!$V$3:$W$35,2,FALSE),'RES Techs T15'!$G$3:$U$3,0))=0,"",OFFSET('RES Techs T15'!$AO45,0,MATCH(VLOOKUP('RES Veda input'!CH$3,'RES Assumptions T15'!$V$3:$W$35,2,FALSE),'RES Techs T15'!$G$3:$U$3,0)))</f>
        <v/>
      </c>
      <c r="CI45" s="9" t="str">
        <f ca="1">IF(OFFSET('RES Techs T15'!$AO45,0,MATCH(VLOOKUP('RES Veda input'!CI$3,'RES Assumptions T15'!$V$3:$W$35,2,FALSE),'RES Techs T15'!$G$3:$U$3,0))=0,"",OFFSET('RES Techs T15'!$AO45,0,MATCH(VLOOKUP('RES Veda input'!CI$3,'RES Assumptions T15'!$V$3:$W$35,2,FALSE),'RES Techs T15'!$G$3:$U$3,0)))</f>
        <v/>
      </c>
      <c r="CJ45" s="9">
        <f ca="1">IF(OFFSET('RES Techs T15'!$AO45,0,MATCH(VLOOKUP('RES Veda input'!CJ$3,'RES Assumptions T15'!$V$3:$W$35,2,FALSE),'RES Techs T15'!$G$3:$U$3,0))=0,"",OFFSET('RES Techs T15'!$AO45,0,MATCH(VLOOKUP('RES Veda input'!CJ$3,'RES Assumptions T15'!$V$3:$W$35,2,FALSE),'RES Techs T15'!$G$3:$U$3,0)))</f>
        <v>9.8000000000000007</v>
      </c>
      <c r="CK45" s="9" t="str">
        <f ca="1">IF(OFFSET('RES Techs T15'!$AO45,0,MATCH(VLOOKUP('RES Veda input'!CK$3,'RES Assumptions T15'!$V$3:$W$35,2,FALSE),'RES Techs T15'!$G$3:$U$3,0))=0,"",OFFSET('RES Techs T15'!$AO45,0,MATCH(VLOOKUP('RES Veda input'!CK$3,'RES Assumptions T15'!$V$3:$W$35,2,FALSE),'RES Techs T15'!$G$3:$U$3,0)))</f>
        <v/>
      </c>
      <c r="CL45" s="9" t="str">
        <f ca="1">IF(OFFSET('RES Techs T15'!$AO45,0,MATCH(VLOOKUP('RES Veda input'!CL$3,'RES Assumptions T15'!$V$3:$W$35,2,FALSE),'RES Techs T15'!$G$3:$U$3,0))=0,"",OFFSET('RES Techs T15'!$AO45,0,MATCH(VLOOKUP('RES Veda input'!CL$3,'RES Assumptions T15'!$V$3:$W$35,2,FALSE),'RES Techs T15'!$G$3:$U$3,0)))</f>
        <v/>
      </c>
      <c r="CM45" s="9">
        <f ca="1">IF(OFFSET('RES Techs T15'!$AO45,0,MATCH(VLOOKUP('RES Veda input'!CM$3,'RES Assumptions T15'!$V$3:$W$35,2,FALSE),'RES Techs T15'!$G$3:$U$3,0))=0,"",OFFSET('RES Techs T15'!$AO45,0,MATCH(VLOOKUP('RES Veda input'!CM$3,'RES Assumptions T15'!$V$3:$W$35,2,FALSE),'RES Techs T15'!$G$3:$U$3,0)))</f>
        <v>8.4</v>
      </c>
      <c r="CN45" s="9">
        <f ca="1">IF(OFFSET('RES Techs T15'!$AO45,0,MATCH(VLOOKUP('RES Veda input'!CN$3,'RES Assumptions T15'!$V$3:$W$35,2,FALSE),'RES Techs T15'!$G$3:$U$3,0))=0,"",OFFSET('RES Techs T15'!$AO45,0,MATCH(VLOOKUP('RES Veda input'!CN$3,'RES Assumptions T15'!$V$3:$W$35,2,FALSE),'RES Techs T15'!$G$3:$U$3,0)))</f>
        <v>9.8000000000000007</v>
      </c>
      <c r="CO45" s="9">
        <f ca="1">IF(OFFSET('RES Techs T15'!$AO45,0,MATCH(VLOOKUP('RES Veda input'!CO$3,'RES Assumptions T15'!$V$3:$W$35,2,FALSE),'RES Techs T15'!$G$3:$U$3,0))=0,"",OFFSET('RES Techs T15'!$AO45,0,MATCH(VLOOKUP('RES Veda input'!CO$3,'RES Assumptions T15'!$V$3:$W$35,2,FALSE),'RES Techs T15'!$G$3:$U$3,0)))</f>
        <v>11.2</v>
      </c>
      <c r="CP45" s="9">
        <f ca="1">IF(OFFSET('RES Techs T15'!$AO45,0,MATCH(VLOOKUP('RES Veda input'!CP$3,'RES Assumptions T15'!$V$3:$W$35,2,FALSE),'RES Techs T15'!$G$3:$U$3,0))=0,"",OFFSET('RES Techs T15'!$AO45,0,MATCH(VLOOKUP('RES Veda input'!CP$3,'RES Assumptions T15'!$V$3:$W$35,2,FALSE),'RES Techs T15'!$G$3:$U$3,0)))</f>
        <v>9.8000000000000007</v>
      </c>
      <c r="CQ45" s="9" t="str">
        <f ca="1">IF(OFFSET('RES Techs T15'!$AO45,0,MATCH(VLOOKUP('RES Veda input'!CQ$3,'RES Assumptions T15'!$V$3:$W$35,2,FALSE),'RES Techs T15'!$G$3:$U$3,0))=0,"",OFFSET('RES Techs T15'!$AO45,0,MATCH(VLOOKUP('RES Veda input'!CQ$3,'RES Assumptions T15'!$V$3:$W$35,2,FALSE),'RES Techs T15'!$G$3:$U$3,0)))</f>
        <v/>
      </c>
      <c r="CR45" s="9" t="str">
        <f ca="1">IF(OFFSET('RES Techs T15'!$AO45,0,MATCH(VLOOKUP('RES Veda input'!CR$3,'RES Assumptions T15'!$V$3:$W$35,2,FALSE),'RES Techs T15'!$G$3:$U$3,0))=0,"",OFFSET('RES Techs T15'!$AO45,0,MATCH(VLOOKUP('RES Veda input'!CR$3,'RES Assumptions T15'!$V$3:$W$35,2,FALSE),'RES Techs T15'!$G$3:$U$3,0)))</f>
        <v/>
      </c>
      <c r="CS45" s="9">
        <f ca="1">IF(OFFSET('RES Techs T15'!$AO45,0,MATCH(VLOOKUP('RES Veda input'!CS$3,'RES Assumptions T15'!$V$3:$W$35,2,FALSE),'RES Techs T15'!$G$3:$U$3,0))=0,"",OFFSET('RES Techs T15'!$AO45,0,MATCH(VLOOKUP('RES Veda input'!CS$3,'RES Assumptions T15'!$V$3:$W$35,2,FALSE),'RES Techs T15'!$G$3:$U$3,0)))</f>
        <v>9.8000000000000007</v>
      </c>
      <c r="CT45" s="9" t="str">
        <f ca="1">IF(OFFSET('RES Techs T15'!$AO45,0,MATCH(VLOOKUP('RES Veda input'!CT$3,'RES Assumptions T15'!$V$3:$W$35,2,FALSE),'RES Techs T15'!$G$3:$U$3,0))=0,"",OFFSET('RES Techs T15'!$AO45,0,MATCH(VLOOKUP('RES Veda input'!CT$3,'RES Assumptions T15'!$V$3:$W$35,2,FALSE),'RES Techs T15'!$G$3:$U$3,0)))</f>
        <v/>
      </c>
      <c r="CU45" s="9" t="str">
        <f ca="1">IF(OFFSET('RES Techs T15'!$AO45,0,MATCH(VLOOKUP('RES Veda input'!CU$3,'RES Assumptions T15'!$V$3:$W$35,2,FALSE),'RES Techs T15'!$G$3:$U$3,0))=0,"",OFFSET('RES Techs T15'!$AO45,0,MATCH(VLOOKUP('RES Veda input'!CU$3,'RES Assumptions T15'!$V$3:$W$35,2,FALSE),'RES Techs T15'!$G$3:$U$3,0)))</f>
        <v/>
      </c>
      <c r="CV45" s="9" t="str">
        <f ca="1">IF(OFFSET('RES Techs T15'!$AO45,0,MATCH(VLOOKUP('RES Veda input'!CV$3,'RES Assumptions T15'!$V$3:$W$35,2,FALSE),'RES Techs T15'!$G$3:$U$3,0))=0,"",OFFSET('RES Techs T15'!$AO45,0,MATCH(VLOOKUP('RES Veda input'!CV$3,'RES Assumptions T15'!$V$3:$W$35,2,FALSE),'RES Techs T15'!$G$3:$U$3,0)))</f>
        <v/>
      </c>
      <c r="CW45" s="9" t="str">
        <f ca="1">IF(OFFSET('RES Techs T15'!$AO45,0,MATCH(VLOOKUP('RES Veda input'!CW$3,'RES Assumptions T15'!$V$3:$W$35,2,FALSE),'RES Techs T15'!$G$3:$U$3,0))=0,"",OFFSET('RES Techs T15'!$AO45,0,MATCH(VLOOKUP('RES Veda input'!CW$3,'RES Assumptions T15'!$V$3:$W$35,2,FALSE),'RES Techs T15'!$G$3:$U$3,0)))</f>
        <v/>
      </c>
      <c r="CY45" s="8" t="str">
        <f t="shared" si="63"/>
        <v>RLICFL000</v>
      </c>
      <c r="CZ45" s="10">
        <f ca="1">ROUND('RES Assumptions'!E128*'RES Veda input'!G45/'RES Veda input'!AM45,3)</f>
        <v>24.66</v>
      </c>
      <c r="DA45" s="10">
        <f ca="1">ROUND('RES Assumptions'!F128*'RES Veda input'!H45/'RES Veda input'!AN45,3)</f>
        <v>16.584</v>
      </c>
      <c r="DB45" s="10">
        <f ca="1">ROUND('RES Assumptions'!G128*'RES Veda input'!I45/'RES Veda input'!AO45,3)</f>
        <v>14.352</v>
      </c>
      <c r="DC45" s="10">
        <f ca="1">ROUND('RES Assumptions'!H128*'RES Veda input'!J45/'RES Veda input'!AP45,3)</f>
        <v>12.519</v>
      </c>
      <c r="DD45" s="10">
        <f ca="1">ROUND('RES Assumptions'!I128*'RES Veda input'!K45/'RES Veda input'!AQ45,3)</f>
        <v>0</v>
      </c>
      <c r="DE45" s="10">
        <f ca="1">ROUND('RES Assumptions'!J128*'RES Veda input'!L45/'RES Veda input'!AR45,3)</f>
        <v>105.63800000000001</v>
      </c>
      <c r="DF45" s="10">
        <f ca="1">ROUND('RES Assumptions'!K128*'RES Veda input'!M45/'RES Veda input'!AS45,3)</f>
        <v>20.9</v>
      </c>
      <c r="DG45" s="10">
        <f ca="1">ROUND('RES Assumptions'!L128*'RES Veda input'!N45/'RES Veda input'!AT45,3)</f>
        <v>36.043999999999997</v>
      </c>
      <c r="DH45" s="10">
        <f ca="1">ROUND('RES Assumptions'!M128*'RES Veda input'!O45/'RES Veda input'!AU45,3)</f>
        <v>40.271000000000001</v>
      </c>
      <c r="DI45" s="10">
        <f ca="1">ROUND('RES Assumptions'!N128*'RES Veda input'!P45/'RES Veda input'!AV45,3)</f>
        <v>150.15700000000001</v>
      </c>
      <c r="DJ45" s="10">
        <f ca="1">ROUND('RES Assumptions'!O128*'RES Veda input'!Q45/'RES Veda input'!AW45,3)</f>
        <v>13.430999999999999</v>
      </c>
      <c r="DK45" s="10">
        <f ca="1">ROUND('RES Assumptions'!P128*'RES Veda input'!R45/'RES Veda input'!AX45,3)</f>
        <v>0.84599999999999997</v>
      </c>
      <c r="DL45" s="10">
        <f ca="1">ROUND('RES Assumptions'!Q128*'RES Veda input'!S45/'RES Veda input'!AY45,3)</f>
        <v>8.9039999999999999</v>
      </c>
      <c r="DM45" s="10">
        <f ca="1">ROUND('RES Assumptions'!R128*'RES Veda input'!T45/'RES Veda input'!AZ45,3)</f>
        <v>14.999000000000001</v>
      </c>
      <c r="DN45" s="10">
        <f ca="1">ROUND('RES Assumptions'!S128*'RES Veda input'!U45/'RES Veda input'!BA45,3)</f>
        <v>0.50800000000000001</v>
      </c>
      <c r="DO45" s="10">
        <f ca="1">ROUND('RES Assumptions'!T128*'RES Veda input'!V45/'RES Veda input'!BB45,3)</f>
        <v>15.106</v>
      </c>
      <c r="DP45" s="10">
        <f ca="1">ROUND('RES Assumptions'!U128*'RES Veda input'!W45/'RES Veda input'!BC45,3)</f>
        <v>12.313000000000001</v>
      </c>
      <c r="DQ45" s="10">
        <f ca="1">ROUND('RES Assumptions'!V128*'RES Veda input'!X45/'RES Veda input'!BD45,3)</f>
        <v>27.989000000000001</v>
      </c>
      <c r="DR45" s="10">
        <f ca="1">ROUND('RES Assumptions'!W128*'RES Veda input'!Y45/'RES Veda input'!BE45,3)</f>
        <v>22.173999999999999</v>
      </c>
      <c r="DS45" s="10">
        <f ca="1">ROUND('RES Assumptions'!X128*'RES Veda input'!Z45/'RES Veda input'!BF45,3)</f>
        <v>71.135999999999996</v>
      </c>
      <c r="DT45" s="10">
        <f ca="1">ROUND('RES Assumptions'!Y128*'RES Veda input'!AA45/'RES Veda input'!BG45,3)</f>
        <v>28.795000000000002</v>
      </c>
      <c r="DU45" s="10">
        <f ca="1">ROUND('RES Assumptions'!Z128*'RES Veda input'!AB45/'RES Veda input'!BH45,3)</f>
        <v>29.128</v>
      </c>
      <c r="DV45" s="10">
        <f ca="1">ROUND('RES Assumptions'!AA128*'RES Veda input'!AC45/'RES Veda input'!BI45,3)</f>
        <v>22.402000000000001</v>
      </c>
      <c r="DW45" s="10">
        <f ca="1">ROUND('RES Assumptions'!AB128*'RES Veda input'!AD45/'RES Veda input'!BJ45,3)</f>
        <v>7.1749999999999998</v>
      </c>
      <c r="DX45" s="10">
        <f ca="1">ROUND('RES Assumptions'!AC128*'RES Veda input'!AE45/'RES Veda input'!BK45,3)</f>
        <v>35.225000000000001</v>
      </c>
      <c r="DY45" s="10">
        <f ca="1">ROUND('RES Assumptions'!AD128*'RES Veda input'!AF45/'RES Veda input'!BL45,3)</f>
        <v>10.756</v>
      </c>
      <c r="DZ45" s="10">
        <f ca="1">ROUND('RES Assumptions'!AE128*'RES Veda input'!AG45/'RES Veda input'!BM45,3)</f>
        <v>10.510999999999999</v>
      </c>
      <c r="EA45" s="10">
        <f ca="1">ROUND('RES Assumptions'!AF128*'RES Veda input'!AH45/'RES Veda input'!BN45,3)</f>
        <v>18.193999999999999</v>
      </c>
      <c r="EB45" s="10">
        <f ca="1">ROUND('RES Assumptions'!AG128*'RES Veda input'!AI45/'RES Veda input'!BO45,3)</f>
        <v>624.529</v>
      </c>
      <c r="EC45" s="10">
        <f ca="1">ROUND('RES Assumptions'!AH128*'RES Veda input'!AJ45/'RES Veda input'!BP45,3)</f>
        <v>0</v>
      </c>
      <c r="ED45">
        <v>15</v>
      </c>
      <c r="EG45" t="s">
        <v>281</v>
      </c>
      <c r="EH45" t="str">
        <f t="shared" si="64"/>
        <v>RLICFL000</v>
      </c>
      <c r="EJ45" t="s">
        <v>282</v>
      </c>
      <c r="EK45" t="s">
        <v>283</v>
      </c>
    </row>
    <row r="46" spans="1:141" x14ac:dyDescent="0.45">
      <c r="A46" s="37" t="str">
        <f>'RES Assumptions'!B129</f>
        <v>RL</v>
      </c>
      <c r="B46" s="37" t="s">
        <v>116</v>
      </c>
      <c r="D46" s="51" t="s">
        <v>310</v>
      </c>
      <c r="E46" s="8" t="str">
        <f>'RES Assumptions'!A129</f>
        <v>RESELC</v>
      </c>
      <c r="F46" s="8" t="str">
        <f>VLOOKUP(A46,'RES Assumptions'!$AN$87:$AO$97,2,FALSE)</f>
        <v>RLI</v>
      </c>
      <c r="G46" s="9">
        <f ca="1">OFFSET('RES Techs T15'!$F46,0,MATCH(VLOOKUP('RES Veda input'!G$3,'RES Assumptions T15'!$V$3:$W$35,2,FALSE),'RES Techs T15'!$G$3:$U$3,0))</f>
        <v>2.76</v>
      </c>
      <c r="H46" s="9">
        <f ca="1">OFFSET('RES Techs T15'!$F46,0,MATCH(VLOOKUP('RES Veda input'!H$3,'RES Assumptions T15'!$V$3:$W$35,2,FALSE),'RES Techs T15'!$G$3:$U$3,0))</f>
        <v>2.76</v>
      </c>
      <c r="I46" s="9">
        <f ca="1">OFFSET('RES Techs T15'!$F46,0,MATCH(VLOOKUP('RES Veda input'!I$3,'RES Assumptions T15'!$V$3:$W$35,2,FALSE),'RES Techs T15'!$G$3:$U$3,0))</f>
        <v>2.76</v>
      </c>
      <c r="J46" s="9">
        <f ca="1">OFFSET('RES Techs T15'!$F46,0,MATCH(VLOOKUP('RES Veda input'!J$3,'RES Assumptions T15'!$V$3:$W$35,2,FALSE),'RES Techs T15'!$G$3:$U$3,0))</f>
        <v>2.76</v>
      </c>
      <c r="K46" s="9">
        <f ca="1">OFFSET('RES Techs T15'!$F46,0,MATCH(VLOOKUP('RES Veda input'!K$3,'RES Assumptions T15'!$V$3:$W$35,2,FALSE),'RES Techs T15'!$G$3:$U$3,0))</f>
        <v>2.76</v>
      </c>
      <c r="L46" s="9">
        <f ca="1">OFFSET('RES Techs T15'!$F46,0,MATCH(VLOOKUP('RES Veda input'!L$3,'RES Assumptions T15'!$V$3:$W$35,2,FALSE),'RES Techs T15'!$G$3:$U$3,0))</f>
        <v>2.76</v>
      </c>
      <c r="M46" s="9">
        <f ca="1">OFFSET('RES Techs T15'!$F46,0,MATCH(VLOOKUP('RES Veda input'!M$3,'RES Assumptions T15'!$V$3:$W$35,2,FALSE),'RES Techs T15'!$G$3:$U$3,0))</f>
        <v>2.76</v>
      </c>
      <c r="N46" s="9">
        <f ca="1">OFFSET('RES Techs T15'!$F46,0,MATCH(VLOOKUP('RES Veda input'!N$3,'RES Assumptions T15'!$V$3:$W$35,2,FALSE),'RES Techs T15'!$G$3:$U$3,0))</f>
        <v>2.76</v>
      </c>
      <c r="O46" s="9">
        <f ca="1">OFFSET('RES Techs T15'!$F46,0,MATCH(VLOOKUP('RES Veda input'!O$3,'RES Assumptions T15'!$V$3:$W$35,2,FALSE),'RES Techs T15'!$G$3:$U$3,0))</f>
        <v>2.76</v>
      </c>
      <c r="P46" s="9">
        <f ca="1">OFFSET('RES Techs T15'!$F46,0,MATCH(VLOOKUP('RES Veda input'!P$3,'RES Assumptions T15'!$V$3:$W$35,2,FALSE),'RES Techs T15'!$G$3:$U$3,0))</f>
        <v>2.76</v>
      </c>
      <c r="Q46" s="9">
        <f ca="1">OFFSET('RES Techs T15'!$F46,0,MATCH(VLOOKUP('RES Veda input'!Q$3,'RES Assumptions T15'!$V$3:$W$35,2,FALSE),'RES Techs T15'!$G$3:$U$3,0))</f>
        <v>2.76</v>
      </c>
      <c r="R46" s="9">
        <f ca="1">OFFSET('RES Techs T15'!$F46,0,MATCH(VLOOKUP('RES Veda input'!R$3,'RES Assumptions T15'!$V$3:$W$35,2,FALSE),'RES Techs T15'!$G$3:$U$3,0))</f>
        <v>2.76</v>
      </c>
      <c r="S46" s="9">
        <f ca="1">OFFSET('RES Techs T15'!$F46,0,MATCH(VLOOKUP('RES Veda input'!S$3,'RES Assumptions T15'!$V$3:$W$35,2,FALSE),'RES Techs T15'!$G$3:$U$3,0))</f>
        <v>2.76</v>
      </c>
      <c r="T46" s="9">
        <f ca="1">OFFSET('RES Techs T15'!$F46,0,MATCH(VLOOKUP('RES Veda input'!T$3,'RES Assumptions T15'!$V$3:$W$35,2,FALSE),'RES Techs T15'!$G$3:$U$3,0))</f>
        <v>2.76</v>
      </c>
      <c r="U46" s="9">
        <f ca="1">OFFSET('RES Techs T15'!$F46,0,MATCH(VLOOKUP('RES Veda input'!U$3,'RES Assumptions T15'!$V$3:$W$35,2,FALSE),'RES Techs T15'!$G$3:$U$3,0))</f>
        <v>2.76</v>
      </c>
      <c r="V46" s="9">
        <f ca="1">OFFSET('RES Techs T15'!$F46,0,MATCH(VLOOKUP('RES Veda input'!V$3,'RES Assumptions T15'!$V$3:$W$35,2,FALSE),'RES Techs T15'!$G$3:$U$3,0))</f>
        <v>2.76</v>
      </c>
      <c r="W46" s="9">
        <f ca="1">OFFSET('RES Techs T15'!$F46,0,MATCH(VLOOKUP('RES Veda input'!W$3,'RES Assumptions T15'!$V$3:$W$35,2,FALSE),'RES Techs T15'!$G$3:$U$3,0))</f>
        <v>2.76</v>
      </c>
      <c r="X46" s="9">
        <f ca="1">OFFSET('RES Techs T15'!$F46,0,MATCH(VLOOKUP('RES Veda input'!X$3,'RES Assumptions T15'!$V$3:$W$35,2,FALSE),'RES Techs T15'!$G$3:$U$3,0))</f>
        <v>2.76</v>
      </c>
      <c r="Y46" s="9">
        <f ca="1">OFFSET('RES Techs T15'!$F46,0,MATCH(VLOOKUP('RES Veda input'!Y$3,'RES Assumptions T15'!$V$3:$W$35,2,FALSE),'RES Techs T15'!$G$3:$U$3,0))</f>
        <v>2.76</v>
      </c>
      <c r="Z46" s="9">
        <f ca="1">OFFSET('RES Techs T15'!$F46,0,MATCH(VLOOKUP('RES Veda input'!Z$3,'RES Assumptions T15'!$V$3:$W$35,2,FALSE),'RES Techs T15'!$G$3:$U$3,0))</f>
        <v>2.76</v>
      </c>
      <c r="AA46" s="9">
        <f ca="1">OFFSET('RES Techs T15'!$F46,0,MATCH(VLOOKUP('RES Veda input'!AA$3,'RES Assumptions T15'!$V$3:$W$35,2,FALSE),'RES Techs T15'!$G$3:$U$3,0))</f>
        <v>2.76</v>
      </c>
      <c r="AB46" s="9">
        <f ca="1">OFFSET('RES Techs T15'!$F46,0,MATCH(VLOOKUP('RES Veda input'!AB$3,'RES Assumptions T15'!$V$3:$W$35,2,FALSE),'RES Techs T15'!$G$3:$U$3,0))</f>
        <v>2.76</v>
      </c>
      <c r="AC46" s="9">
        <f ca="1">OFFSET('RES Techs T15'!$F46,0,MATCH(VLOOKUP('RES Veda input'!AC$3,'RES Assumptions T15'!$V$3:$W$35,2,FALSE),'RES Techs T15'!$G$3:$U$3,0))</f>
        <v>2.76</v>
      </c>
      <c r="AD46" s="9">
        <f ca="1">OFFSET('RES Techs T15'!$F46,0,MATCH(VLOOKUP('RES Veda input'!AD$3,'RES Assumptions T15'!$V$3:$W$35,2,FALSE),'RES Techs T15'!$G$3:$U$3,0))</f>
        <v>2.76</v>
      </c>
      <c r="AE46" s="9">
        <f ca="1">OFFSET('RES Techs T15'!$F46,0,MATCH(VLOOKUP('RES Veda input'!AE$3,'RES Assumptions T15'!$V$3:$W$35,2,FALSE),'RES Techs T15'!$G$3:$U$3,0))</f>
        <v>2.76</v>
      </c>
      <c r="AF46" s="9">
        <f ca="1">OFFSET('RES Techs T15'!$F46,0,MATCH(VLOOKUP('RES Veda input'!AF$3,'RES Assumptions T15'!$V$3:$W$35,2,FALSE),'RES Techs T15'!$G$3:$U$3,0))</f>
        <v>2.76</v>
      </c>
      <c r="AG46" s="9">
        <f ca="1">OFFSET('RES Techs T15'!$F46,0,MATCH(VLOOKUP('RES Veda input'!AG$3,'RES Assumptions T15'!$V$3:$W$35,2,FALSE),'RES Techs T15'!$G$3:$U$3,0))</f>
        <v>2.76</v>
      </c>
      <c r="AH46" s="9">
        <f ca="1">OFFSET('RES Techs T15'!$F46,0,MATCH(VLOOKUP('RES Veda input'!AH$3,'RES Assumptions T15'!$V$3:$W$35,2,FALSE),'RES Techs T15'!$G$3:$U$3,0))</f>
        <v>2.76</v>
      </c>
      <c r="AI46" s="9">
        <f ca="1">OFFSET('RES Techs T15'!$F46,0,MATCH(VLOOKUP('RES Veda input'!AI$3,'RES Assumptions T15'!$V$3:$W$35,2,FALSE),'RES Techs T15'!$G$3:$U$3,0))</f>
        <v>2.76</v>
      </c>
      <c r="AJ46" s="9">
        <f ca="1">OFFSET('RES Techs T15'!$F46,0,MATCH(VLOOKUP('RES Veda input'!AJ$3,'RES Assumptions T15'!$V$3:$W$35,2,FALSE),'RES Techs T15'!$G$3:$U$3,0))</f>
        <v>2.76</v>
      </c>
      <c r="AL46" s="8" t="str">
        <f t="shared" si="60"/>
        <v>RLIFLE000</v>
      </c>
      <c r="AM46" s="9">
        <f ca="1">OFFSET('RES Techs T15'!$W46,0,MATCH(VLOOKUP('RES Veda input'!AM$3,'RES Assumptions T15'!$V$3:$W$35,2,FALSE),'RES Techs T15'!$G$3:$U$3,0))</f>
        <v>1</v>
      </c>
      <c r="AN46" s="9">
        <f ca="1">OFFSET('RES Techs T15'!$W46,0,MATCH(VLOOKUP('RES Veda input'!AN$3,'RES Assumptions T15'!$V$3:$W$35,2,FALSE),'RES Techs T15'!$G$3:$U$3,0))</f>
        <v>1</v>
      </c>
      <c r="AO46" s="9">
        <f ca="1">OFFSET('RES Techs T15'!$W46,0,MATCH(VLOOKUP('RES Veda input'!AO$3,'RES Assumptions T15'!$V$3:$W$35,2,FALSE),'RES Techs T15'!$G$3:$U$3,0))</f>
        <v>1</v>
      </c>
      <c r="AP46" s="9">
        <f ca="1">OFFSET('RES Techs T15'!$W46,0,MATCH(VLOOKUP('RES Veda input'!AP$3,'RES Assumptions T15'!$V$3:$W$35,2,FALSE),'RES Techs T15'!$G$3:$U$3,0))</f>
        <v>1</v>
      </c>
      <c r="AQ46" s="9">
        <f ca="1">OFFSET('RES Techs T15'!$W46,0,MATCH(VLOOKUP('RES Veda input'!AQ$3,'RES Assumptions T15'!$V$3:$W$35,2,FALSE),'RES Techs T15'!$G$3:$U$3,0))</f>
        <v>1</v>
      </c>
      <c r="AR46" s="9">
        <f ca="1">OFFSET('RES Techs T15'!$W46,0,MATCH(VLOOKUP('RES Veda input'!AR$3,'RES Assumptions T15'!$V$3:$W$35,2,FALSE),'RES Techs T15'!$G$3:$U$3,0))</f>
        <v>1</v>
      </c>
      <c r="AS46" s="9">
        <f ca="1">OFFSET('RES Techs T15'!$W46,0,MATCH(VLOOKUP('RES Veda input'!AS$3,'RES Assumptions T15'!$V$3:$W$35,2,FALSE),'RES Techs T15'!$G$3:$U$3,0))</f>
        <v>1</v>
      </c>
      <c r="AT46" s="9">
        <f ca="1">OFFSET('RES Techs T15'!$W46,0,MATCH(VLOOKUP('RES Veda input'!AT$3,'RES Assumptions T15'!$V$3:$W$35,2,FALSE),'RES Techs T15'!$G$3:$U$3,0))</f>
        <v>1</v>
      </c>
      <c r="AU46" s="9">
        <f ca="1">OFFSET('RES Techs T15'!$W46,0,MATCH(VLOOKUP('RES Veda input'!AU$3,'RES Assumptions T15'!$V$3:$W$35,2,FALSE),'RES Techs T15'!$G$3:$U$3,0))</f>
        <v>1</v>
      </c>
      <c r="AV46" s="9">
        <f ca="1">OFFSET('RES Techs T15'!$W46,0,MATCH(VLOOKUP('RES Veda input'!AV$3,'RES Assumptions T15'!$V$3:$W$35,2,FALSE),'RES Techs T15'!$G$3:$U$3,0))</f>
        <v>1</v>
      </c>
      <c r="AW46" s="9">
        <f ca="1">OFFSET('RES Techs T15'!$W46,0,MATCH(VLOOKUP('RES Veda input'!AW$3,'RES Assumptions T15'!$V$3:$W$35,2,FALSE),'RES Techs T15'!$G$3:$U$3,0))</f>
        <v>1</v>
      </c>
      <c r="AX46" s="9">
        <f ca="1">OFFSET('RES Techs T15'!$W46,0,MATCH(VLOOKUP('RES Veda input'!AX$3,'RES Assumptions T15'!$V$3:$W$35,2,FALSE),'RES Techs T15'!$G$3:$U$3,0))</f>
        <v>1</v>
      </c>
      <c r="AY46" s="9">
        <f ca="1">OFFSET('RES Techs T15'!$W46,0,MATCH(VLOOKUP('RES Veda input'!AY$3,'RES Assumptions T15'!$V$3:$W$35,2,FALSE),'RES Techs T15'!$G$3:$U$3,0))</f>
        <v>1</v>
      </c>
      <c r="AZ46" s="9">
        <f ca="1">OFFSET('RES Techs T15'!$W46,0,MATCH(VLOOKUP('RES Veda input'!AZ$3,'RES Assumptions T15'!$V$3:$W$35,2,FALSE),'RES Techs T15'!$G$3:$U$3,0))</f>
        <v>1</v>
      </c>
      <c r="BA46" s="9">
        <f ca="1">OFFSET('RES Techs T15'!$W46,0,MATCH(VLOOKUP('RES Veda input'!BA$3,'RES Assumptions T15'!$V$3:$W$35,2,FALSE),'RES Techs T15'!$G$3:$U$3,0))</f>
        <v>1</v>
      </c>
      <c r="BB46" s="9">
        <f ca="1">OFFSET('RES Techs T15'!$W46,0,MATCH(VLOOKUP('RES Veda input'!BB$3,'RES Assumptions T15'!$V$3:$W$35,2,FALSE),'RES Techs T15'!$G$3:$U$3,0))</f>
        <v>1</v>
      </c>
      <c r="BC46" s="9">
        <f ca="1">OFFSET('RES Techs T15'!$W46,0,MATCH(VLOOKUP('RES Veda input'!BC$3,'RES Assumptions T15'!$V$3:$W$35,2,FALSE),'RES Techs T15'!$G$3:$U$3,0))</f>
        <v>1</v>
      </c>
      <c r="BD46" s="9">
        <f ca="1">OFFSET('RES Techs T15'!$W46,0,MATCH(VLOOKUP('RES Veda input'!BD$3,'RES Assumptions T15'!$V$3:$W$35,2,FALSE),'RES Techs T15'!$G$3:$U$3,0))</f>
        <v>1</v>
      </c>
      <c r="BE46" s="9">
        <f ca="1">OFFSET('RES Techs T15'!$W46,0,MATCH(VLOOKUP('RES Veda input'!BE$3,'RES Assumptions T15'!$V$3:$W$35,2,FALSE),'RES Techs T15'!$G$3:$U$3,0))</f>
        <v>1</v>
      </c>
      <c r="BF46" s="9">
        <f ca="1">OFFSET('RES Techs T15'!$W46,0,MATCH(VLOOKUP('RES Veda input'!BF$3,'RES Assumptions T15'!$V$3:$W$35,2,FALSE),'RES Techs T15'!$G$3:$U$3,0))</f>
        <v>1</v>
      </c>
      <c r="BG46" s="9">
        <f ca="1">OFFSET('RES Techs T15'!$W46,0,MATCH(VLOOKUP('RES Veda input'!BG$3,'RES Assumptions T15'!$V$3:$W$35,2,FALSE),'RES Techs T15'!$G$3:$U$3,0))</f>
        <v>1</v>
      </c>
      <c r="BH46" s="9">
        <f ca="1">OFFSET('RES Techs T15'!$W46,0,MATCH(VLOOKUP('RES Veda input'!BH$3,'RES Assumptions T15'!$V$3:$W$35,2,FALSE),'RES Techs T15'!$G$3:$U$3,0))</f>
        <v>1</v>
      </c>
      <c r="BI46" s="9">
        <f ca="1">OFFSET('RES Techs T15'!$W46,0,MATCH(VLOOKUP('RES Veda input'!BI$3,'RES Assumptions T15'!$V$3:$W$35,2,FALSE),'RES Techs T15'!$G$3:$U$3,0))</f>
        <v>1</v>
      </c>
      <c r="BJ46" s="9">
        <f ca="1">OFFSET('RES Techs T15'!$W46,0,MATCH(VLOOKUP('RES Veda input'!BJ$3,'RES Assumptions T15'!$V$3:$W$35,2,FALSE),'RES Techs T15'!$G$3:$U$3,0))</f>
        <v>1</v>
      </c>
      <c r="BK46" s="9">
        <f ca="1">OFFSET('RES Techs T15'!$W46,0,MATCH(VLOOKUP('RES Veda input'!BK$3,'RES Assumptions T15'!$V$3:$W$35,2,FALSE),'RES Techs T15'!$G$3:$U$3,0))</f>
        <v>1</v>
      </c>
      <c r="BL46" s="9">
        <f ca="1">OFFSET('RES Techs T15'!$W46,0,MATCH(VLOOKUP('RES Veda input'!BL$3,'RES Assumptions T15'!$V$3:$W$35,2,FALSE),'RES Techs T15'!$G$3:$U$3,0))</f>
        <v>1</v>
      </c>
      <c r="BM46" s="9">
        <f ca="1">OFFSET('RES Techs T15'!$W46,0,MATCH(VLOOKUP('RES Veda input'!BM$3,'RES Assumptions T15'!$V$3:$W$35,2,FALSE),'RES Techs T15'!$G$3:$U$3,0))</f>
        <v>1</v>
      </c>
      <c r="BN46" s="9">
        <f ca="1">OFFSET('RES Techs T15'!$W46,0,MATCH(VLOOKUP('RES Veda input'!BN$3,'RES Assumptions T15'!$V$3:$W$35,2,FALSE),'RES Techs T15'!$G$3:$U$3,0))</f>
        <v>1</v>
      </c>
      <c r="BO46" s="9">
        <f ca="1">OFFSET('RES Techs T15'!$W46,0,MATCH(VLOOKUP('RES Veda input'!BO$3,'RES Assumptions T15'!$V$3:$W$35,2,FALSE),'RES Techs T15'!$G$3:$U$3,0))</f>
        <v>1</v>
      </c>
      <c r="BP46" s="9">
        <f ca="1">OFFSET('RES Techs T15'!$W46,0,MATCH(VLOOKUP('RES Veda input'!BP$3,'RES Assumptions T15'!$V$3:$W$35,2,FALSE),'RES Techs T15'!$G$3:$U$3,0))</f>
        <v>1</v>
      </c>
      <c r="BR46" s="8" t="str">
        <f t="shared" si="61"/>
        <v>RLIFLE000</v>
      </c>
      <c r="BS46" s="9">
        <f t="shared" ca="1" si="62"/>
        <v>8.4</v>
      </c>
      <c r="BT46" s="9" t="str">
        <f ca="1">IF(OFFSET('RES Techs T15'!$AO46,0,MATCH(VLOOKUP('RES Veda input'!BT$3,'RES Assumptions T15'!$V$3:$W$35,2,FALSE),'RES Techs T15'!$G$3:$U$3,0))=0,"",OFFSET('RES Techs T15'!$AO46,0,MATCH(VLOOKUP('RES Veda input'!BT$3,'RES Assumptions T15'!$V$3:$W$35,2,FALSE),'RES Techs T15'!$G$3:$U$3,0)))</f>
        <v/>
      </c>
      <c r="BU46" s="9" t="str">
        <f ca="1">IF(OFFSET('RES Techs T15'!$AO46,0,MATCH(VLOOKUP('RES Veda input'!BU$3,'RES Assumptions T15'!$V$3:$W$35,2,FALSE),'RES Techs T15'!$G$3:$U$3,0))=0,"",OFFSET('RES Techs T15'!$AO46,0,MATCH(VLOOKUP('RES Veda input'!BU$3,'RES Assumptions T15'!$V$3:$W$35,2,FALSE),'RES Techs T15'!$G$3:$U$3,0)))</f>
        <v/>
      </c>
      <c r="BV46" s="9">
        <f ca="1">IF(OFFSET('RES Techs T15'!$AO46,0,MATCH(VLOOKUP('RES Veda input'!BV$3,'RES Assumptions T15'!$V$3:$W$35,2,FALSE),'RES Techs T15'!$G$3:$U$3,0))=0,"",OFFSET('RES Techs T15'!$AO46,0,MATCH(VLOOKUP('RES Veda input'!BV$3,'RES Assumptions T15'!$V$3:$W$35,2,FALSE),'RES Techs T15'!$G$3:$U$3,0)))</f>
        <v>9.8000000000000007</v>
      </c>
      <c r="BW46" s="9" t="str">
        <f ca="1">IF(OFFSET('RES Techs T15'!$AO46,0,MATCH(VLOOKUP('RES Veda input'!BW$3,'RES Assumptions T15'!$V$3:$W$35,2,FALSE),'RES Techs T15'!$G$3:$U$3,0))=0,"",OFFSET('RES Techs T15'!$AO46,0,MATCH(VLOOKUP('RES Veda input'!BW$3,'RES Assumptions T15'!$V$3:$W$35,2,FALSE),'RES Techs T15'!$G$3:$U$3,0)))</f>
        <v/>
      </c>
      <c r="BX46" s="9">
        <f ca="1">IF(OFFSET('RES Techs T15'!$AO46,0,MATCH(VLOOKUP('RES Veda input'!BX$3,'RES Assumptions T15'!$V$3:$W$35,2,FALSE),'RES Techs T15'!$G$3:$U$3,0))=0,"",OFFSET('RES Techs T15'!$AO46,0,MATCH(VLOOKUP('RES Veda input'!BX$3,'RES Assumptions T15'!$V$3:$W$35,2,FALSE),'RES Techs T15'!$G$3:$U$3,0)))</f>
        <v>14</v>
      </c>
      <c r="BY46" s="9">
        <f ca="1">IF(OFFSET('RES Techs T15'!$AO46,0,MATCH(VLOOKUP('RES Veda input'!BY$3,'RES Assumptions T15'!$V$3:$W$35,2,FALSE),'RES Techs T15'!$G$3:$U$3,0))=0,"",OFFSET('RES Techs T15'!$AO46,0,MATCH(VLOOKUP('RES Veda input'!BY$3,'RES Assumptions T15'!$V$3:$W$35,2,FALSE),'RES Techs T15'!$G$3:$U$3,0)))</f>
        <v>8.4</v>
      </c>
      <c r="BZ46" s="9" t="str">
        <f ca="1">IF(OFFSET('RES Techs T15'!$AO46,0,MATCH(VLOOKUP('RES Veda input'!BZ$3,'RES Assumptions T15'!$V$3:$W$35,2,FALSE),'RES Techs T15'!$G$3:$U$3,0))=0,"",OFFSET('RES Techs T15'!$AO46,0,MATCH(VLOOKUP('RES Veda input'!BZ$3,'RES Assumptions T15'!$V$3:$W$35,2,FALSE),'RES Techs T15'!$G$3:$U$3,0)))</f>
        <v/>
      </c>
      <c r="CA46" s="9">
        <f ca="1">IF(OFFSET('RES Techs T15'!$AO46,0,MATCH(VLOOKUP('RES Veda input'!CA$3,'RES Assumptions T15'!$V$3:$W$35,2,FALSE),'RES Techs T15'!$G$3:$U$3,0))=0,"",OFFSET('RES Techs T15'!$AO46,0,MATCH(VLOOKUP('RES Veda input'!CA$3,'RES Assumptions T15'!$V$3:$W$35,2,FALSE),'RES Techs T15'!$G$3:$U$3,0)))</f>
        <v>9.8000000000000007</v>
      </c>
      <c r="CB46" s="9" t="str">
        <f ca="1">IF(OFFSET('RES Techs T15'!$AO46,0,MATCH(VLOOKUP('RES Veda input'!CB$3,'RES Assumptions T15'!$V$3:$W$35,2,FALSE),'RES Techs T15'!$G$3:$U$3,0))=0,"",OFFSET('RES Techs T15'!$AO46,0,MATCH(VLOOKUP('RES Veda input'!CB$3,'RES Assumptions T15'!$V$3:$W$35,2,FALSE),'RES Techs T15'!$G$3:$U$3,0)))</f>
        <v/>
      </c>
      <c r="CC46" s="9">
        <f ca="1">IF(OFFSET('RES Techs T15'!$AO46,0,MATCH(VLOOKUP('RES Veda input'!CC$3,'RES Assumptions T15'!$V$3:$W$35,2,FALSE),'RES Techs T15'!$G$3:$U$3,0))=0,"",OFFSET('RES Techs T15'!$AO46,0,MATCH(VLOOKUP('RES Veda input'!CC$3,'RES Assumptions T15'!$V$3:$W$35,2,FALSE),'RES Techs T15'!$G$3:$U$3,0)))</f>
        <v>8.4</v>
      </c>
      <c r="CD46" s="9" t="str">
        <f ca="1">IF(OFFSET('RES Techs T15'!$AO46,0,MATCH(VLOOKUP('RES Veda input'!CD$3,'RES Assumptions T15'!$V$3:$W$35,2,FALSE),'RES Techs T15'!$G$3:$U$3,0))=0,"",OFFSET('RES Techs T15'!$AO46,0,MATCH(VLOOKUP('RES Veda input'!CD$3,'RES Assumptions T15'!$V$3:$W$35,2,FALSE),'RES Techs T15'!$G$3:$U$3,0)))</f>
        <v/>
      </c>
      <c r="CE46" s="9" t="str">
        <f ca="1">IF(OFFSET('RES Techs T15'!$AO46,0,MATCH(VLOOKUP('RES Veda input'!CE$3,'RES Assumptions T15'!$V$3:$W$35,2,FALSE),'RES Techs T15'!$G$3:$U$3,0))=0,"",OFFSET('RES Techs T15'!$AO46,0,MATCH(VLOOKUP('RES Veda input'!CE$3,'RES Assumptions T15'!$V$3:$W$35,2,FALSE),'RES Techs T15'!$G$3:$U$3,0)))</f>
        <v/>
      </c>
      <c r="CF46" s="9" t="str">
        <f ca="1">IF(OFFSET('RES Techs T15'!$AO46,0,MATCH(VLOOKUP('RES Veda input'!CF$3,'RES Assumptions T15'!$V$3:$W$35,2,FALSE),'RES Techs T15'!$G$3:$U$3,0))=0,"",OFFSET('RES Techs T15'!$AO46,0,MATCH(VLOOKUP('RES Veda input'!CF$3,'RES Assumptions T15'!$V$3:$W$35,2,FALSE),'RES Techs T15'!$G$3:$U$3,0)))</f>
        <v/>
      </c>
      <c r="CG46" s="9" t="str">
        <f ca="1">IF(OFFSET('RES Techs T15'!$AO46,0,MATCH(VLOOKUP('RES Veda input'!CG$3,'RES Assumptions T15'!$V$3:$W$35,2,FALSE),'RES Techs T15'!$G$3:$U$3,0))=0,"",OFFSET('RES Techs T15'!$AO46,0,MATCH(VLOOKUP('RES Veda input'!CG$3,'RES Assumptions T15'!$V$3:$W$35,2,FALSE),'RES Techs T15'!$G$3:$U$3,0)))</f>
        <v/>
      </c>
      <c r="CH46" s="9" t="str">
        <f ca="1">IF(OFFSET('RES Techs T15'!$AO46,0,MATCH(VLOOKUP('RES Veda input'!CH$3,'RES Assumptions T15'!$V$3:$W$35,2,FALSE),'RES Techs T15'!$G$3:$U$3,0))=0,"",OFFSET('RES Techs T15'!$AO46,0,MATCH(VLOOKUP('RES Veda input'!CH$3,'RES Assumptions T15'!$V$3:$W$35,2,FALSE),'RES Techs T15'!$G$3:$U$3,0)))</f>
        <v/>
      </c>
      <c r="CI46" s="9" t="str">
        <f ca="1">IF(OFFSET('RES Techs T15'!$AO46,0,MATCH(VLOOKUP('RES Veda input'!CI$3,'RES Assumptions T15'!$V$3:$W$35,2,FALSE),'RES Techs T15'!$G$3:$U$3,0))=0,"",OFFSET('RES Techs T15'!$AO46,0,MATCH(VLOOKUP('RES Veda input'!CI$3,'RES Assumptions T15'!$V$3:$W$35,2,FALSE),'RES Techs T15'!$G$3:$U$3,0)))</f>
        <v/>
      </c>
      <c r="CJ46" s="9">
        <f ca="1">IF(OFFSET('RES Techs T15'!$AO46,0,MATCH(VLOOKUP('RES Veda input'!CJ$3,'RES Assumptions T15'!$V$3:$W$35,2,FALSE),'RES Techs T15'!$G$3:$U$3,0))=0,"",OFFSET('RES Techs T15'!$AO46,0,MATCH(VLOOKUP('RES Veda input'!CJ$3,'RES Assumptions T15'!$V$3:$W$35,2,FALSE),'RES Techs T15'!$G$3:$U$3,0)))</f>
        <v>9.8000000000000007</v>
      </c>
      <c r="CK46" s="9" t="str">
        <f ca="1">IF(OFFSET('RES Techs T15'!$AO46,0,MATCH(VLOOKUP('RES Veda input'!CK$3,'RES Assumptions T15'!$V$3:$W$35,2,FALSE),'RES Techs T15'!$G$3:$U$3,0))=0,"",OFFSET('RES Techs T15'!$AO46,0,MATCH(VLOOKUP('RES Veda input'!CK$3,'RES Assumptions T15'!$V$3:$W$35,2,FALSE),'RES Techs T15'!$G$3:$U$3,0)))</f>
        <v/>
      </c>
      <c r="CL46" s="9" t="str">
        <f ca="1">IF(OFFSET('RES Techs T15'!$AO46,0,MATCH(VLOOKUP('RES Veda input'!CL$3,'RES Assumptions T15'!$V$3:$W$35,2,FALSE),'RES Techs T15'!$G$3:$U$3,0))=0,"",OFFSET('RES Techs T15'!$AO46,0,MATCH(VLOOKUP('RES Veda input'!CL$3,'RES Assumptions T15'!$V$3:$W$35,2,FALSE),'RES Techs T15'!$G$3:$U$3,0)))</f>
        <v/>
      </c>
      <c r="CM46" s="9">
        <f ca="1">IF(OFFSET('RES Techs T15'!$AO46,0,MATCH(VLOOKUP('RES Veda input'!CM$3,'RES Assumptions T15'!$V$3:$W$35,2,FALSE),'RES Techs T15'!$G$3:$U$3,0))=0,"",OFFSET('RES Techs T15'!$AO46,0,MATCH(VLOOKUP('RES Veda input'!CM$3,'RES Assumptions T15'!$V$3:$W$35,2,FALSE),'RES Techs T15'!$G$3:$U$3,0)))</f>
        <v>8.4</v>
      </c>
      <c r="CN46" s="9">
        <f ca="1">IF(OFFSET('RES Techs T15'!$AO46,0,MATCH(VLOOKUP('RES Veda input'!CN$3,'RES Assumptions T15'!$V$3:$W$35,2,FALSE),'RES Techs T15'!$G$3:$U$3,0))=0,"",OFFSET('RES Techs T15'!$AO46,0,MATCH(VLOOKUP('RES Veda input'!CN$3,'RES Assumptions T15'!$V$3:$W$35,2,FALSE),'RES Techs T15'!$G$3:$U$3,0)))</f>
        <v>9.8000000000000007</v>
      </c>
      <c r="CO46" s="9">
        <f ca="1">IF(OFFSET('RES Techs T15'!$AO46,0,MATCH(VLOOKUP('RES Veda input'!CO$3,'RES Assumptions T15'!$V$3:$W$35,2,FALSE),'RES Techs T15'!$G$3:$U$3,0))=0,"",OFFSET('RES Techs T15'!$AO46,0,MATCH(VLOOKUP('RES Veda input'!CO$3,'RES Assumptions T15'!$V$3:$W$35,2,FALSE),'RES Techs T15'!$G$3:$U$3,0)))</f>
        <v>11.2</v>
      </c>
      <c r="CP46" s="9">
        <f ca="1">IF(OFFSET('RES Techs T15'!$AO46,0,MATCH(VLOOKUP('RES Veda input'!CP$3,'RES Assumptions T15'!$V$3:$W$35,2,FALSE),'RES Techs T15'!$G$3:$U$3,0))=0,"",OFFSET('RES Techs T15'!$AO46,0,MATCH(VLOOKUP('RES Veda input'!CP$3,'RES Assumptions T15'!$V$3:$W$35,2,FALSE),'RES Techs T15'!$G$3:$U$3,0)))</f>
        <v>9.8000000000000007</v>
      </c>
      <c r="CQ46" s="9" t="str">
        <f ca="1">IF(OFFSET('RES Techs T15'!$AO46,0,MATCH(VLOOKUP('RES Veda input'!CQ$3,'RES Assumptions T15'!$V$3:$W$35,2,FALSE),'RES Techs T15'!$G$3:$U$3,0))=0,"",OFFSET('RES Techs T15'!$AO46,0,MATCH(VLOOKUP('RES Veda input'!CQ$3,'RES Assumptions T15'!$V$3:$W$35,2,FALSE),'RES Techs T15'!$G$3:$U$3,0)))</f>
        <v/>
      </c>
      <c r="CR46" s="9" t="str">
        <f ca="1">IF(OFFSET('RES Techs T15'!$AO46,0,MATCH(VLOOKUP('RES Veda input'!CR$3,'RES Assumptions T15'!$V$3:$W$35,2,FALSE),'RES Techs T15'!$G$3:$U$3,0))=0,"",OFFSET('RES Techs T15'!$AO46,0,MATCH(VLOOKUP('RES Veda input'!CR$3,'RES Assumptions T15'!$V$3:$W$35,2,FALSE),'RES Techs T15'!$G$3:$U$3,0)))</f>
        <v/>
      </c>
      <c r="CS46" s="9">
        <f ca="1">IF(OFFSET('RES Techs T15'!$AO46,0,MATCH(VLOOKUP('RES Veda input'!CS$3,'RES Assumptions T15'!$V$3:$W$35,2,FALSE),'RES Techs T15'!$G$3:$U$3,0))=0,"",OFFSET('RES Techs T15'!$AO46,0,MATCH(VLOOKUP('RES Veda input'!CS$3,'RES Assumptions T15'!$V$3:$W$35,2,FALSE),'RES Techs T15'!$G$3:$U$3,0)))</f>
        <v>9.8000000000000007</v>
      </c>
      <c r="CT46" s="9" t="str">
        <f ca="1">IF(OFFSET('RES Techs T15'!$AO46,0,MATCH(VLOOKUP('RES Veda input'!CT$3,'RES Assumptions T15'!$V$3:$W$35,2,FALSE),'RES Techs T15'!$G$3:$U$3,0))=0,"",OFFSET('RES Techs T15'!$AO46,0,MATCH(VLOOKUP('RES Veda input'!CT$3,'RES Assumptions T15'!$V$3:$W$35,2,FALSE),'RES Techs T15'!$G$3:$U$3,0)))</f>
        <v/>
      </c>
      <c r="CU46" s="9" t="str">
        <f ca="1">IF(OFFSET('RES Techs T15'!$AO46,0,MATCH(VLOOKUP('RES Veda input'!CU$3,'RES Assumptions T15'!$V$3:$W$35,2,FALSE),'RES Techs T15'!$G$3:$U$3,0))=0,"",OFFSET('RES Techs T15'!$AO46,0,MATCH(VLOOKUP('RES Veda input'!CU$3,'RES Assumptions T15'!$V$3:$W$35,2,FALSE),'RES Techs T15'!$G$3:$U$3,0)))</f>
        <v/>
      </c>
      <c r="CV46" s="9" t="str">
        <f ca="1">IF(OFFSET('RES Techs T15'!$AO46,0,MATCH(VLOOKUP('RES Veda input'!CV$3,'RES Assumptions T15'!$V$3:$W$35,2,FALSE),'RES Techs T15'!$G$3:$U$3,0))=0,"",OFFSET('RES Techs T15'!$AO46,0,MATCH(VLOOKUP('RES Veda input'!CV$3,'RES Assumptions T15'!$V$3:$W$35,2,FALSE),'RES Techs T15'!$G$3:$U$3,0)))</f>
        <v/>
      </c>
      <c r="CW46" s="9" t="str">
        <f ca="1">IF(OFFSET('RES Techs T15'!$AO46,0,MATCH(VLOOKUP('RES Veda input'!CW$3,'RES Assumptions T15'!$V$3:$W$35,2,FALSE),'RES Techs T15'!$G$3:$U$3,0))=0,"",OFFSET('RES Techs T15'!$AO46,0,MATCH(VLOOKUP('RES Veda input'!CW$3,'RES Assumptions T15'!$V$3:$W$35,2,FALSE),'RES Techs T15'!$G$3:$U$3,0)))</f>
        <v/>
      </c>
      <c r="CY46" s="8" t="str">
        <f t="shared" si="63"/>
        <v>RLIFLE000</v>
      </c>
      <c r="CZ46" s="10">
        <f ca="1">ROUND('RES Assumptions'!E129*'RES Veda input'!G46/'RES Veda input'!AM46,3)</f>
        <v>14.18</v>
      </c>
      <c r="DA46" s="10">
        <f ca="1">ROUND('RES Assumptions'!F129*'RES Veda input'!H46/'RES Veda input'!AN46,3)</f>
        <v>9.5359999999999996</v>
      </c>
      <c r="DB46" s="10">
        <f ca="1">ROUND('RES Assumptions'!G129*'RES Veda input'!I46/'RES Veda input'!AO46,3)</f>
        <v>0.82499999999999996</v>
      </c>
      <c r="DC46" s="10">
        <f ca="1">ROUND('RES Assumptions'!H129*'RES Veda input'!J46/'RES Veda input'!AP46,3)</f>
        <v>4.7990000000000004</v>
      </c>
      <c r="DD46" s="10">
        <f ca="1">ROUND('RES Assumptions'!I129*'RES Veda input'!K46/'RES Veda input'!AQ46,3)</f>
        <v>0</v>
      </c>
      <c r="DE46" s="10">
        <f ca="1">ROUND('RES Assumptions'!J129*'RES Veda input'!L46/'RES Veda input'!AR46,3)</f>
        <v>40.494</v>
      </c>
      <c r="DF46" s="10">
        <f ca="1">ROUND('RES Assumptions'!K129*'RES Veda input'!M46/'RES Veda input'!AS46,3)</f>
        <v>12.016999999999999</v>
      </c>
      <c r="DG46" s="10">
        <f ca="1">ROUND('RES Assumptions'!L129*'RES Veda input'!N46/'RES Veda input'!AT46,3)</f>
        <v>2.073</v>
      </c>
      <c r="DH46" s="10">
        <f ca="1">ROUND('RES Assumptions'!M129*'RES Veda input'!O46/'RES Veda input'!AU46,3)</f>
        <v>7.7190000000000003</v>
      </c>
      <c r="DI46" s="10">
        <f ca="1">ROUND('RES Assumptions'!N129*'RES Veda input'!P46/'RES Veda input'!AV46,3)</f>
        <v>132.38800000000001</v>
      </c>
      <c r="DJ46" s="10">
        <f ca="1">ROUND('RES Assumptions'!O129*'RES Veda input'!Q46/'RES Veda input'!AW46,3)</f>
        <v>3.6040000000000001</v>
      </c>
      <c r="DK46" s="10">
        <f ca="1">ROUND('RES Assumptions'!P129*'RES Veda input'!R46/'RES Veda input'!AX46,3)</f>
        <v>0.48699999999999999</v>
      </c>
      <c r="DL46" s="10">
        <f ca="1">ROUND('RES Assumptions'!Q129*'RES Veda input'!S46/'RES Veda input'!AY46,3)</f>
        <v>2.3889999999999998</v>
      </c>
      <c r="DM46" s="10">
        <f ca="1">ROUND('RES Assumptions'!R129*'RES Veda input'!T46/'RES Veda input'!AZ46,3)</f>
        <v>4.0250000000000004</v>
      </c>
      <c r="DN46" s="10">
        <f ca="1">ROUND('RES Assumptions'!S129*'RES Veda input'!U46/'RES Veda input'!BA46,3)</f>
        <v>0.29199999999999998</v>
      </c>
      <c r="DO46" s="10">
        <f ca="1">ROUND('RES Assumptions'!T129*'RES Veda input'!V46/'RES Veda input'!BB46,3)</f>
        <v>4.0529999999999999</v>
      </c>
      <c r="DP46" s="10">
        <f ca="1">ROUND('RES Assumptions'!U129*'RES Veda input'!W46/'RES Veda input'!BC46,3)</f>
        <v>7.08</v>
      </c>
      <c r="DQ46" s="10">
        <f ca="1">ROUND('RES Assumptions'!V129*'RES Veda input'!X46/'RES Veda input'!BD46,3)</f>
        <v>7.51</v>
      </c>
      <c r="DR46" s="10">
        <f ca="1">ROUND('RES Assumptions'!W129*'RES Veda input'!Y46/'RES Veda input'!BE46,3)</f>
        <v>5.95</v>
      </c>
      <c r="DS46" s="10">
        <f ca="1">ROUND('RES Assumptions'!X129*'RES Veda input'!Z46/'RES Veda input'!BF46,3)</f>
        <v>163.61199999999999</v>
      </c>
      <c r="DT46" s="10">
        <f ca="1">ROUND('RES Assumptions'!Y129*'RES Veda input'!AA46/'RES Veda input'!BG46,3)</f>
        <v>1.6559999999999999</v>
      </c>
      <c r="DU46" s="10">
        <f ca="1">ROUND('RES Assumptions'!Z129*'RES Veda input'!AB46/'RES Veda input'!BH46,3)</f>
        <v>0.33500000000000002</v>
      </c>
      <c r="DV46" s="10">
        <f ca="1">ROUND('RES Assumptions'!AA129*'RES Veda input'!AC46/'RES Veda input'!BI46,3)</f>
        <v>12.881</v>
      </c>
      <c r="DW46" s="10">
        <f ca="1">ROUND('RES Assumptions'!AB129*'RES Veda input'!AD46/'RES Veda input'!BJ46,3)</f>
        <v>1.925</v>
      </c>
      <c r="DX46" s="10">
        <f ca="1">ROUND('RES Assumptions'!AC129*'RES Veda input'!AE46/'RES Veda input'!BK46,3)</f>
        <v>13.503</v>
      </c>
      <c r="DY46" s="10">
        <f ca="1">ROUND('RES Assumptions'!AD129*'RES Veda input'!AF46/'RES Veda input'!BL46,3)</f>
        <v>6.1840000000000002</v>
      </c>
      <c r="DZ46" s="10">
        <f ca="1">ROUND('RES Assumptions'!AE129*'RES Veda input'!AG46/'RES Veda input'!BM46,3)</f>
        <v>6.0439999999999996</v>
      </c>
      <c r="EA46" s="10">
        <f ca="1">ROUND('RES Assumptions'!AF129*'RES Veda input'!AH46/'RES Veda input'!BN46,3)</f>
        <v>4.8819999999999997</v>
      </c>
      <c r="EB46" s="10">
        <f ca="1">ROUND('RES Assumptions'!AG129*'RES Veda input'!AI46/'RES Veda input'!BO46,3)</f>
        <v>167.58199999999999</v>
      </c>
      <c r="EC46" s="10">
        <f ca="1">ROUND('RES Assumptions'!AH129*'RES Veda input'!AJ46/'RES Veda input'!BP46,3)</f>
        <v>0</v>
      </c>
      <c r="ED46">
        <v>15</v>
      </c>
      <c r="EG46" t="s">
        <v>281</v>
      </c>
      <c r="EH46" t="str">
        <f t="shared" si="64"/>
        <v>RLIFLE000</v>
      </c>
      <c r="EJ46" t="s">
        <v>282</v>
      </c>
      <c r="EK46" t="s">
        <v>283</v>
      </c>
    </row>
    <row r="47" spans="1:141" x14ac:dyDescent="0.45">
      <c r="A47" s="37" t="str">
        <f>'RES Assumptions'!B130</f>
        <v>RL</v>
      </c>
      <c r="B47" s="37" t="s">
        <v>114</v>
      </c>
      <c r="D47" s="51" t="s">
        <v>311</v>
      </c>
      <c r="E47" s="8" t="str">
        <f>'RES Assumptions'!A130</f>
        <v>RESELC</v>
      </c>
      <c r="F47" s="8" t="str">
        <f>VLOOKUP(A47,'RES Assumptions'!$AN$87:$AO$97,2,FALSE)</f>
        <v>RLI</v>
      </c>
      <c r="G47" s="9">
        <f ca="1">OFFSET('RES Techs T15'!$F47,0,MATCH(VLOOKUP('RES Veda input'!G$3,'RES Assumptions T15'!$V$3:$W$35,2,FALSE),'RES Techs T15'!$G$3:$U$3,0))</f>
        <v>1.68</v>
      </c>
      <c r="H47" s="9">
        <f ca="1">OFFSET('RES Techs T15'!$F47,0,MATCH(VLOOKUP('RES Veda input'!H$3,'RES Assumptions T15'!$V$3:$W$35,2,FALSE),'RES Techs T15'!$G$3:$U$3,0))</f>
        <v>1.68</v>
      </c>
      <c r="I47" s="9">
        <f ca="1">OFFSET('RES Techs T15'!$F47,0,MATCH(VLOOKUP('RES Veda input'!I$3,'RES Assumptions T15'!$V$3:$W$35,2,FALSE),'RES Techs T15'!$G$3:$U$3,0))</f>
        <v>1.68</v>
      </c>
      <c r="J47" s="9">
        <f ca="1">OFFSET('RES Techs T15'!$F47,0,MATCH(VLOOKUP('RES Veda input'!J$3,'RES Assumptions T15'!$V$3:$W$35,2,FALSE),'RES Techs T15'!$G$3:$U$3,0))</f>
        <v>1.68</v>
      </c>
      <c r="K47" s="9">
        <f ca="1">OFFSET('RES Techs T15'!$F47,0,MATCH(VLOOKUP('RES Veda input'!K$3,'RES Assumptions T15'!$V$3:$W$35,2,FALSE),'RES Techs T15'!$G$3:$U$3,0))</f>
        <v>1.68</v>
      </c>
      <c r="L47" s="9">
        <f ca="1">OFFSET('RES Techs T15'!$F47,0,MATCH(VLOOKUP('RES Veda input'!L$3,'RES Assumptions T15'!$V$3:$W$35,2,FALSE),'RES Techs T15'!$G$3:$U$3,0))</f>
        <v>1.68</v>
      </c>
      <c r="M47" s="9">
        <f ca="1">OFFSET('RES Techs T15'!$F47,0,MATCH(VLOOKUP('RES Veda input'!M$3,'RES Assumptions T15'!$V$3:$W$35,2,FALSE),'RES Techs T15'!$G$3:$U$3,0))</f>
        <v>1.68</v>
      </c>
      <c r="N47" s="9">
        <f ca="1">OFFSET('RES Techs T15'!$F47,0,MATCH(VLOOKUP('RES Veda input'!N$3,'RES Assumptions T15'!$V$3:$W$35,2,FALSE),'RES Techs T15'!$G$3:$U$3,0))</f>
        <v>1.68</v>
      </c>
      <c r="O47" s="9">
        <f ca="1">OFFSET('RES Techs T15'!$F47,0,MATCH(VLOOKUP('RES Veda input'!O$3,'RES Assumptions T15'!$V$3:$W$35,2,FALSE),'RES Techs T15'!$G$3:$U$3,0))</f>
        <v>1.68</v>
      </c>
      <c r="P47" s="9">
        <f ca="1">OFFSET('RES Techs T15'!$F47,0,MATCH(VLOOKUP('RES Veda input'!P$3,'RES Assumptions T15'!$V$3:$W$35,2,FALSE),'RES Techs T15'!$G$3:$U$3,0))</f>
        <v>1.68</v>
      </c>
      <c r="Q47" s="9">
        <f ca="1">OFFSET('RES Techs T15'!$F47,0,MATCH(VLOOKUP('RES Veda input'!Q$3,'RES Assumptions T15'!$V$3:$W$35,2,FALSE),'RES Techs T15'!$G$3:$U$3,0))</f>
        <v>1.68</v>
      </c>
      <c r="R47" s="9">
        <f ca="1">OFFSET('RES Techs T15'!$F47,0,MATCH(VLOOKUP('RES Veda input'!R$3,'RES Assumptions T15'!$V$3:$W$35,2,FALSE),'RES Techs T15'!$G$3:$U$3,0))</f>
        <v>1.68</v>
      </c>
      <c r="S47" s="9">
        <f ca="1">OFFSET('RES Techs T15'!$F47,0,MATCH(VLOOKUP('RES Veda input'!S$3,'RES Assumptions T15'!$V$3:$W$35,2,FALSE),'RES Techs T15'!$G$3:$U$3,0))</f>
        <v>1.68</v>
      </c>
      <c r="T47" s="9">
        <f ca="1">OFFSET('RES Techs T15'!$F47,0,MATCH(VLOOKUP('RES Veda input'!T$3,'RES Assumptions T15'!$V$3:$W$35,2,FALSE),'RES Techs T15'!$G$3:$U$3,0))</f>
        <v>1.68</v>
      </c>
      <c r="U47" s="9">
        <f ca="1">OFFSET('RES Techs T15'!$F47,0,MATCH(VLOOKUP('RES Veda input'!U$3,'RES Assumptions T15'!$V$3:$W$35,2,FALSE),'RES Techs T15'!$G$3:$U$3,0))</f>
        <v>1.68</v>
      </c>
      <c r="V47" s="9">
        <f ca="1">OFFSET('RES Techs T15'!$F47,0,MATCH(VLOOKUP('RES Veda input'!V$3,'RES Assumptions T15'!$V$3:$W$35,2,FALSE),'RES Techs T15'!$G$3:$U$3,0))</f>
        <v>1.68</v>
      </c>
      <c r="W47" s="9">
        <f ca="1">OFFSET('RES Techs T15'!$F47,0,MATCH(VLOOKUP('RES Veda input'!W$3,'RES Assumptions T15'!$V$3:$W$35,2,FALSE),'RES Techs T15'!$G$3:$U$3,0))</f>
        <v>1.68</v>
      </c>
      <c r="X47" s="9">
        <f ca="1">OFFSET('RES Techs T15'!$F47,0,MATCH(VLOOKUP('RES Veda input'!X$3,'RES Assumptions T15'!$V$3:$W$35,2,FALSE),'RES Techs T15'!$G$3:$U$3,0))</f>
        <v>1.68</v>
      </c>
      <c r="Y47" s="9">
        <f ca="1">OFFSET('RES Techs T15'!$F47,0,MATCH(VLOOKUP('RES Veda input'!Y$3,'RES Assumptions T15'!$V$3:$W$35,2,FALSE),'RES Techs T15'!$G$3:$U$3,0))</f>
        <v>1.68</v>
      </c>
      <c r="Z47" s="9">
        <f ca="1">OFFSET('RES Techs T15'!$F47,0,MATCH(VLOOKUP('RES Veda input'!Z$3,'RES Assumptions T15'!$V$3:$W$35,2,FALSE),'RES Techs T15'!$G$3:$U$3,0))</f>
        <v>1.68</v>
      </c>
      <c r="AA47" s="9">
        <f ca="1">OFFSET('RES Techs T15'!$F47,0,MATCH(VLOOKUP('RES Veda input'!AA$3,'RES Assumptions T15'!$V$3:$W$35,2,FALSE),'RES Techs T15'!$G$3:$U$3,0))</f>
        <v>1.68</v>
      </c>
      <c r="AB47" s="9">
        <f ca="1">OFFSET('RES Techs T15'!$F47,0,MATCH(VLOOKUP('RES Veda input'!AB$3,'RES Assumptions T15'!$V$3:$W$35,2,FALSE),'RES Techs T15'!$G$3:$U$3,0))</f>
        <v>1.68</v>
      </c>
      <c r="AC47" s="9">
        <f ca="1">OFFSET('RES Techs T15'!$F47,0,MATCH(VLOOKUP('RES Veda input'!AC$3,'RES Assumptions T15'!$V$3:$W$35,2,FALSE),'RES Techs T15'!$G$3:$U$3,0))</f>
        <v>1.68</v>
      </c>
      <c r="AD47" s="9">
        <f ca="1">OFFSET('RES Techs T15'!$F47,0,MATCH(VLOOKUP('RES Veda input'!AD$3,'RES Assumptions T15'!$V$3:$W$35,2,FALSE),'RES Techs T15'!$G$3:$U$3,0))</f>
        <v>1.68</v>
      </c>
      <c r="AE47" s="9">
        <f ca="1">OFFSET('RES Techs T15'!$F47,0,MATCH(VLOOKUP('RES Veda input'!AE$3,'RES Assumptions T15'!$V$3:$W$35,2,FALSE),'RES Techs T15'!$G$3:$U$3,0))</f>
        <v>1.68</v>
      </c>
      <c r="AF47" s="9">
        <f ca="1">OFFSET('RES Techs T15'!$F47,0,MATCH(VLOOKUP('RES Veda input'!AF$3,'RES Assumptions T15'!$V$3:$W$35,2,FALSE),'RES Techs T15'!$G$3:$U$3,0))</f>
        <v>1.68</v>
      </c>
      <c r="AG47" s="9">
        <f ca="1">OFFSET('RES Techs T15'!$F47,0,MATCH(VLOOKUP('RES Veda input'!AG$3,'RES Assumptions T15'!$V$3:$W$35,2,FALSE),'RES Techs T15'!$G$3:$U$3,0))</f>
        <v>1.68</v>
      </c>
      <c r="AH47" s="9">
        <f ca="1">OFFSET('RES Techs T15'!$F47,0,MATCH(VLOOKUP('RES Veda input'!AH$3,'RES Assumptions T15'!$V$3:$W$35,2,FALSE),'RES Techs T15'!$G$3:$U$3,0))</f>
        <v>1.68</v>
      </c>
      <c r="AI47" s="9">
        <f ca="1">OFFSET('RES Techs T15'!$F47,0,MATCH(VLOOKUP('RES Veda input'!AI$3,'RES Assumptions T15'!$V$3:$W$35,2,FALSE),'RES Techs T15'!$G$3:$U$3,0))</f>
        <v>1.68</v>
      </c>
      <c r="AJ47" s="9">
        <f ca="1">OFFSET('RES Techs T15'!$F47,0,MATCH(VLOOKUP('RES Veda input'!AJ$3,'RES Assumptions T15'!$V$3:$W$35,2,FALSE),'RES Techs T15'!$G$3:$U$3,0))</f>
        <v>1.68</v>
      </c>
      <c r="AL47" s="8" t="str">
        <f t="shared" si="60"/>
        <v>RLIHAE000</v>
      </c>
      <c r="AM47" s="9">
        <f ca="1">OFFSET('RES Techs T15'!$W47,0,MATCH(VLOOKUP('RES Veda input'!AM$3,'RES Assumptions T15'!$V$3:$W$35,2,FALSE),'RES Techs T15'!$G$3:$U$3,0))</f>
        <v>1</v>
      </c>
      <c r="AN47" s="9">
        <f ca="1">OFFSET('RES Techs T15'!$W47,0,MATCH(VLOOKUP('RES Veda input'!AN$3,'RES Assumptions T15'!$V$3:$W$35,2,FALSE),'RES Techs T15'!$G$3:$U$3,0))</f>
        <v>1</v>
      </c>
      <c r="AO47" s="9">
        <f ca="1">OFFSET('RES Techs T15'!$W47,0,MATCH(VLOOKUP('RES Veda input'!AO$3,'RES Assumptions T15'!$V$3:$W$35,2,FALSE),'RES Techs T15'!$G$3:$U$3,0))</f>
        <v>1</v>
      </c>
      <c r="AP47" s="9">
        <f ca="1">OFFSET('RES Techs T15'!$W47,0,MATCH(VLOOKUP('RES Veda input'!AP$3,'RES Assumptions T15'!$V$3:$W$35,2,FALSE),'RES Techs T15'!$G$3:$U$3,0))</f>
        <v>1</v>
      </c>
      <c r="AQ47" s="9">
        <f ca="1">OFFSET('RES Techs T15'!$W47,0,MATCH(VLOOKUP('RES Veda input'!AQ$3,'RES Assumptions T15'!$V$3:$W$35,2,FALSE),'RES Techs T15'!$G$3:$U$3,0))</f>
        <v>1</v>
      </c>
      <c r="AR47" s="9">
        <f ca="1">OFFSET('RES Techs T15'!$W47,0,MATCH(VLOOKUP('RES Veda input'!AR$3,'RES Assumptions T15'!$V$3:$W$35,2,FALSE),'RES Techs T15'!$G$3:$U$3,0))</f>
        <v>1</v>
      </c>
      <c r="AS47" s="9">
        <f ca="1">OFFSET('RES Techs T15'!$W47,0,MATCH(VLOOKUP('RES Veda input'!AS$3,'RES Assumptions T15'!$V$3:$W$35,2,FALSE),'RES Techs T15'!$G$3:$U$3,0))</f>
        <v>1</v>
      </c>
      <c r="AT47" s="9">
        <f ca="1">OFFSET('RES Techs T15'!$W47,0,MATCH(VLOOKUP('RES Veda input'!AT$3,'RES Assumptions T15'!$V$3:$W$35,2,FALSE),'RES Techs T15'!$G$3:$U$3,0))</f>
        <v>1</v>
      </c>
      <c r="AU47" s="9">
        <f ca="1">OFFSET('RES Techs T15'!$W47,0,MATCH(VLOOKUP('RES Veda input'!AU$3,'RES Assumptions T15'!$V$3:$W$35,2,FALSE),'RES Techs T15'!$G$3:$U$3,0))</f>
        <v>1</v>
      </c>
      <c r="AV47" s="9">
        <f ca="1">OFFSET('RES Techs T15'!$W47,0,MATCH(VLOOKUP('RES Veda input'!AV$3,'RES Assumptions T15'!$V$3:$W$35,2,FALSE),'RES Techs T15'!$G$3:$U$3,0))</f>
        <v>1</v>
      </c>
      <c r="AW47" s="9">
        <f ca="1">OFFSET('RES Techs T15'!$W47,0,MATCH(VLOOKUP('RES Veda input'!AW$3,'RES Assumptions T15'!$V$3:$W$35,2,FALSE),'RES Techs T15'!$G$3:$U$3,0))</f>
        <v>1</v>
      </c>
      <c r="AX47" s="9">
        <f ca="1">OFFSET('RES Techs T15'!$W47,0,MATCH(VLOOKUP('RES Veda input'!AX$3,'RES Assumptions T15'!$V$3:$W$35,2,FALSE),'RES Techs T15'!$G$3:$U$3,0))</f>
        <v>1</v>
      </c>
      <c r="AY47" s="9">
        <f ca="1">OFFSET('RES Techs T15'!$W47,0,MATCH(VLOOKUP('RES Veda input'!AY$3,'RES Assumptions T15'!$V$3:$W$35,2,FALSE),'RES Techs T15'!$G$3:$U$3,0))</f>
        <v>1</v>
      </c>
      <c r="AZ47" s="9">
        <f ca="1">OFFSET('RES Techs T15'!$W47,0,MATCH(VLOOKUP('RES Veda input'!AZ$3,'RES Assumptions T15'!$V$3:$W$35,2,FALSE),'RES Techs T15'!$G$3:$U$3,0))</f>
        <v>1</v>
      </c>
      <c r="BA47" s="9">
        <f ca="1">OFFSET('RES Techs T15'!$W47,0,MATCH(VLOOKUP('RES Veda input'!BA$3,'RES Assumptions T15'!$V$3:$W$35,2,FALSE),'RES Techs T15'!$G$3:$U$3,0))</f>
        <v>1</v>
      </c>
      <c r="BB47" s="9">
        <f ca="1">OFFSET('RES Techs T15'!$W47,0,MATCH(VLOOKUP('RES Veda input'!BB$3,'RES Assumptions T15'!$V$3:$W$35,2,FALSE),'RES Techs T15'!$G$3:$U$3,0))</f>
        <v>1</v>
      </c>
      <c r="BC47" s="9">
        <f ca="1">OFFSET('RES Techs T15'!$W47,0,MATCH(VLOOKUP('RES Veda input'!BC$3,'RES Assumptions T15'!$V$3:$W$35,2,FALSE),'RES Techs T15'!$G$3:$U$3,0))</f>
        <v>1</v>
      </c>
      <c r="BD47" s="9">
        <f ca="1">OFFSET('RES Techs T15'!$W47,0,MATCH(VLOOKUP('RES Veda input'!BD$3,'RES Assumptions T15'!$V$3:$W$35,2,FALSE),'RES Techs T15'!$G$3:$U$3,0))</f>
        <v>1</v>
      </c>
      <c r="BE47" s="9">
        <f ca="1">OFFSET('RES Techs T15'!$W47,0,MATCH(VLOOKUP('RES Veda input'!BE$3,'RES Assumptions T15'!$V$3:$W$35,2,FALSE),'RES Techs T15'!$G$3:$U$3,0))</f>
        <v>1</v>
      </c>
      <c r="BF47" s="9">
        <f ca="1">OFFSET('RES Techs T15'!$W47,0,MATCH(VLOOKUP('RES Veda input'!BF$3,'RES Assumptions T15'!$V$3:$W$35,2,FALSE),'RES Techs T15'!$G$3:$U$3,0))</f>
        <v>1</v>
      </c>
      <c r="BG47" s="9">
        <f ca="1">OFFSET('RES Techs T15'!$W47,0,MATCH(VLOOKUP('RES Veda input'!BG$3,'RES Assumptions T15'!$V$3:$W$35,2,FALSE),'RES Techs T15'!$G$3:$U$3,0))</f>
        <v>1</v>
      </c>
      <c r="BH47" s="9">
        <f ca="1">OFFSET('RES Techs T15'!$W47,0,MATCH(VLOOKUP('RES Veda input'!BH$3,'RES Assumptions T15'!$V$3:$W$35,2,FALSE),'RES Techs T15'!$G$3:$U$3,0))</f>
        <v>1</v>
      </c>
      <c r="BI47" s="9">
        <f ca="1">OFFSET('RES Techs T15'!$W47,0,MATCH(VLOOKUP('RES Veda input'!BI$3,'RES Assumptions T15'!$V$3:$W$35,2,FALSE),'RES Techs T15'!$G$3:$U$3,0))</f>
        <v>1</v>
      </c>
      <c r="BJ47" s="9">
        <f ca="1">OFFSET('RES Techs T15'!$W47,0,MATCH(VLOOKUP('RES Veda input'!BJ$3,'RES Assumptions T15'!$V$3:$W$35,2,FALSE),'RES Techs T15'!$G$3:$U$3,0))</f>
        <v>1</v>
      </c>
      <c r="BK47" s="9">
        <f ca="1">OFFSET('RES Techs T15'!$W47,0,MATCH(VLOOKUP('RES Veda input'!BK$3,'RES Assumptions T15'!$V$3:$W$35,2,FALSE),'RES Techs T15'!$G$3:$U$3,0))</f>
        <v>1</v>
      </c>
      <c r="BL47" s="9">
        <f ca="1">OFFSET('RES Techs T15'!$W47,0,MATCH(VLOOKUP('RES Veda input'!BL$3,'RES Assumptions T15'!$V$3:$W$35,2,FALSE),'RES Techs T15'!$G$3:$U$3,0))</f>
        <v>1</v>
      </c>
      <c r="BM47" s="9">
        <f ca="1">OFFSET('RES Techs T15'!$W47,0,MATCH(VLOOKUP('RES Veda input'!BM$3,'RES Assumptions T15'!$V$3:$W$35,2,FALSE),'RES Techs T15'!$G$3:$U$3,0))</f>
        <v>1</v>
      </c>
      <c r="BN47" s="9">
        <f ca="1">OFFSET('RES Techs T15'!$W47,0,MATCH(VLOOKUP('RES Veda input'!BN$3,'RES Assumptions T15'!$V$3:$W$35,2,FALSE),'RES Techs T15'!$G$3:$U$3,0))</f>
        <v>1</v>
      </c>
      <c r="BO47" s="9">
        <f ca="1">OFFSET('RES Techs T15'!$W47,0,MATCH(VLOOKUP('RES Veda input'!BO$3,'RES Assumptions T15'!$V$3:$W$35,2,FALSE),'RES Techs T15'!$G$3:$U$3,0))</f>
        <v>1</v>
      </c>
      <c r="BP47" s="9">
        <f ca="1">OFFSET('RES Techs T15'!$W47,0,MATCH(VLOOKUP('RES Veda input'!BP$3,'RES Assumptions T15'!$V$3:$W$35,2,FALSE),'RES Techs T15'!$G$3:$U$3,0))</f>
        <v>1</v>
      </c>
      <c r="BR47" s="8" t="str">
        <f t="shared" si="61"/>
        <v>RLIHAE000</v>
      </c>
      <c r="BS47" s="9">
        <f t="shared" ca="1" si="62"/>
        <v>7.2</v>
      </c>
      <c r="BT47" s="9" t="str">
        <f ca="1">IF(OFFSET('RES Techs T15'!$AO47,0,MATCH(VLOOKUP('RES Veda input'!BT$3,'RES Assumptions T15'!$V$3:$W$35,2,FALSE),'RES Techs T15'!$G$3:$U$3,0))=0,"",OFFSET('RES Techs T15'!$AO47,0,MATCH(VLOOKUP('RES Veda input'!BT$3,'RES Assumptions T15'!$V$3:$W$35,2,FALSE),'RES Techs T15'!$G$3:$U$3,0)))</f>
        <v/>
      </c>
      <c r="BU47" s="9" t="str">
        <f ca="1">IF(OFFSET('RES Techs T15'!$AO47,0,MATCH(VLOOKUP('RES Veda input'!BU$3,'RES Assumptions T15'!$V$3:$W$35,2,FALSE),'RES Techs T15'!$G$3:$U$3,0))=0,"",OFFSET('RES Techs T15'!$AO47,0,MATCH(VLOOKUP('RES Veda input'!BU$3,'RES Assumptions T15'!$V$3:$W$35,2,FALSE),'RES Techs T15'!$G$3:$U$3,0)))</f>
        <v/>
      </c>
      <c r="BV47" s="9">
        <f ca="1">IF(OFFSET('RES Techs T15'!$AO47,0,MATCH(VLOOKUP('RES Veda input'!BV$3,'RES Assumptions T15'!$V$3:$W$35,2,FALSE),'RES Techs T15'!$G$3:$U$3,0))=0,"",OFFSET('RES Techs T15'!$AO47,0,MATCH(VLOOKUP('RES Veda input'!BV$3,'RES Assumptions T15'!$V$3:$W$35,2,FALSE),'RES Techs T15'!$G$3:$U$3,0)))</f>
        <v>8.4</v>
      </c>
      <c r="BW47" s="9" t="str">
        <f ca="1">IF(OFFSET('RES Techs T15'!$AO47,0,MATCH(VLOOKUP('RES Veda input'!BW$3,'RES Assumptions T15'!$V$3:$W$35,2,FALSE),'RES Techs T15'!$G$3:$U$3,0))=0,"",OFFSET('RES Techs T15'!$AO47,0,MATCH(VLOOKUP('RES Veda input'!BW$3,'RES Assumptions T15'!$V$3:$W$35,2,FALSE),'RES Techs T15'!$G$3:$U$3,0)))</f>
        <v/>
      </c>
      <c r="BX47" s="9">
        <f ca="1">IF(OFFSET('RES Techs T15'!$AO47,0,MATCH(VLOOKUP('RES Veda input'!BX$3,'RES Assumptions T15'!$V$3:$W$35,2,FALSE),'RES Techs T15'!$G$3:$U$3,0))=0,"",OFFSET('RES Techs T15'!$AO47,0,MATCH(VLOOKUP('RES Veda input'!BX$3,'RES Assumptions T15'!$V$3:$W$35,2,FALSE),'RES Techs T15'!$G$3:$U$3,0)))</f>
        <v>12</v>
      </c>
      <c r="BY47" s="9">
        <f ca="1">IF(OFFSET('RES Techs T15'!$AO47,0,MATCH(VLOOKUP('RES Veda input'!BY$3,'RES Assumptions T15'!$V$3:$W$35,2,FALSE),'RES Techs T15'!$G$3:$U$3,0))=0,"",OFFSET('RES Techs T15'!$AO47,0,MATCH(VLOOKUP('RES Veda input'!BY$3,'RES Assumptions T15'!$V$3:$W$35,2,FALSE),'RES Techs T15'!$G$3:$U$3,0)))</f>
        <v>7.2</v>
      </c>
      <c r="BZ47" s="9" t="str">
        <f ca="1">IF(OFFSET('RES Techs T15'!$AO47,0,MATCH(VLOOKUP('RES Veda input'!BZ$3,'RES Assumptions T15'!$V$3:$W$35,2,FALSE),'RES Techs T15'!$G$3:$U$3,0))=0,"",OFFSET('RES Techs T15'!$AO47,0,MATCH(VLOOKUP('RES Veda input'!BZ$3,'RES Assumptions T15'!$V$3:$W$35,2,FALSE),'RES Techs T15'!$G$3:$U$3,0)))</f>
        <v/>
      </c>
      <c r="CA47" s="9">
        <f ca="1">IF(OFFSET('RES Techs T15'!$AO47,0,MATCH(VLOOKUP('RES Veda input'!CA$3,'RES Assumptions T15'!$V$3:$W$35,2,FALSE),'RES Techs T15'!$G$3:$U$3,0))=0,"",OFFSET('RES Techs T15'!$AO47,0,MATCH(VLOOKUP('RES Veda input'!CA$3,'RES Assumptions T15'!$V$3:$W$35,2,FALSE),'RES Techs T15'!$G$3:$U$3,0)))</f>
        <v>8.4</v>
      </c>
      <c r="CB47" s="9" t="str">
        <f ca="1">IF(OFFSET('RES Techs T15'!$AO47,0,MATCH(VLOOKUP('RES Veda input'!CB$3,'RES Assumptions T15'!$V$3:$W$35,2,FALSE),'RES Techs T15'!$G$3:$U$3,0))=0,"",OFFSET('RES Techs T15'!$AO47,0,MATCH(VLOOKUP('RES Veda input'!CB$3,'RES Assumptions T15'!$V$3:$W$35,2,FALSE),'RES Techs T15'!$G$3:$U$3,0)))</f>
        <v/>
      </c>
      <c r="CC47" s="9">
        <f ca="1">IF(OFFSET('RES Techs T15'!$AO47,0,MATCH(VLOOKUP('RES Veda input'!CC$3,'RES Assumptions T15'!$V$3:$W$35,2,FALSE),'RES Techs T15'!$G$3:$U$3,0))=0,"",OFFSET('RES Techs T15'!$AO47,0,MATCH(VLOOKUP('RES Veda input'!CC$3,'RES Assumptions T15'!$V$3:$W$35,2,FALSE),'RES Techs T15'!$G$3:$U$3,0)))</f>
        <v>7.2</v>
      </c>
      <c r="CD47" s="9" t="str">
        <f ca="1">IF(OFFSET('RES Techs T15'!$AO47,0,MATCH(VLOOKUP('RES Veda input'!CD$3,'RES Assumptions T15'!$V$3:$W$35,2,FALSE),'RES Techs T15'!$G$3:$U$3,0))=0,"",OFFSET('RES Techs T15'!$AO47,0,MATCH(VLOOKUP('RES Veda input'!CD$3,'RES Assumptions T15'!$V$3:$W$35,2,FALSE),'RES Techs T15'!$G$3:$U$3,0)))</f>
        <v/>
      </c>
      <c r="CE47" s="9" t="str">
        <f ca="1">IF(OFFSET('RES Techs T15'!$AO47,0,MATCH(VLOOKUP('RES Veda input'!CE$3,'RES Assumptions T15'!$V$3:$W$35,2,FALSE),'RES Techs T15'!$G$3:$U$3,0))=0,"",OFFSET('RES Techs T15'!$AO47,0,MATCH(VLOOKUP('RES Veda input'!CE$3,'RES Assumptions T15'!$V$3:$W$35,2,FALSE),'RES Techs T15'!$G$3:$U$3,0)))</f>
        <v/>
      </c>
      <c r="CF47" s="9" t="str">
        <f ca="1">IF(OFFSET('RES Techs T15'!$AO47,0,MATCH(VLOOKUP('RES Veda input'!CF$3,'RES Assumptions T15'!$V$3:$W$35,2,FALSE),'RES Techs T15'!$G$3:$U$3,0))=0,"",OFFSET('RES Techs T15'!$AO47,0,MATCH(VLOOKUP('RES Veda input'!CF$3,'RES Assumptions T15'!$V$3:$W$35,2,FALSE),'RES Techs T15'!$G$3:$U$3,0)))</f>
        <v/>
      </c>
      <c r="CG47" s="9" t="str">
        <f ca="1">IF(OFFSET('RES Techs T15'!$AO47,0,MATCH(VLOOKUP('RES Veda input'!CG$3,'RES Assumptions T15'!$V$3:$W$35,2,FALSE),'RES Techs T15'!$G$3:$U$3,0))=0,"",OFFSET('RES Techs T15'!$AO47,0,MATCH(VLOOKUP('RES Veda input'!CG$3,'RES Assumptions T15'!$V$3:$W$35,2,FALSE),'RES Techs T15'!$G$3:$U$3,0)))</f>
        <v/>
      </c>
      <c r="CH47" s="9" t="str">
        <f ca="1">IF(OFFSET('RES Techs T15'!$AO47,0,MATCH(VLOOKUP('RES Veda input'!CH$3,'RES Assumptions T15'!$V$3:$W$35,2,FALSE),'RES Techs T15'!$G$3:$U$3,0))=0,"",OFFSET('RES Techs T15'!$AO47,0,MATCH(VLOOKUP('RES Veda input'!CH$3,'RES Assumptions T15'!$V$3:$W$35,2,FALSE),'RES Techs T15'!$G$3:$U$3,0)))</f>
        <v/>
      </c>
      <c r="CI47" s="9" t="str">
        <f ca="1">IF(OFFSET('RES Techs T15'!$AO47,0,MATCH(VLOOKUP('RES Veda input'!CI$3,'RES Assumptions T15'!$V$3:$W$35,2,FALSE),'RES Techs T15'!$G$3:$U$3,0))=0,"",OFFSET('RES Techs T15'!$AO47,0,MATCH(VLOOKUP('RES Veda input'!CI$3,'RES Assumptions T15'!$V$3:$W$35,2,FALSE),'RES Techs T15'!$G$3:$U$3,0)))</f>
        <v/>
      </c>
      <c r="CJ47" s="9">
        <f ca="1">IF(OFFSET('RES Techs T15'!$AO47,0,MATCH(VLOOKUP('RES Veda input'!CJ$3,'RES Assumptions T15'!$V$3:$W$35,2,FALSE),'RES Techs T15'!$G$3:$U$3,0))=0,"",OFFSET('RES Techs T15'!$AO47,0,MATCH(VLOOKUP('RES Veda input'!CJ$3,'RES Assumptions T15'!$V$3:$W$35,2,FALSE),'RES Techs T15'!$G$3:$U$3,0)))</f>
        <v>8.4</v>
      </c>
      <c r="CK47" s="9" t="str">
        <f ca="1">IF(OFFSET('RES Techs T15'!$AO47,0,MATCH(VLOOKUP('RES Veda input'!CK$3,'RES Assumptions T15'!$V$3:$W$35,2,FALSE),'RES Techs T15'!$G$3:$U$3,0))=0,"",OFFSET('RES Techs T15'!$AO47,0,MATCH(VLOOKUP('RES Veda input'!CK$3,'RES Assumptions T15'!$V$3:$W$35,2,FALSE),'RES Techs T15'!$G$3:$U$3,0)))</f>
        <v/>
      </c>
      <c r="CL47" s="9" t="str">
        <f ca="1">IF(OFFSET('RES Techs T15'!$AO47,0,MATCH(VLOOKUP('RES Veda input'!CL$3,'RES Assumptions T15'!$V$3:$W$35,2,FALSE),'RES Techs T15'!$G$3:$U$3,0))=0,"",OFFSET('RES Techs T15'!$AO47,0,MATCH(VLOOKUP('RES Veda input'!CL$3,'RES Assumptions T15'!$V$3:$W$35,2,FALSE),'RES Techs T15'!$G$3:$U$3,0)))</f>
        <v/>
      </c>
      <c r="CM47" s="9">
        <f ca="1">IF(OFFSET('RES Techs T15'!$AO47,0,MATCH(VLOOKUP('RES Veda input'!CM$3,'RES Assumptions T15'!$V$3:$W$35,2,FALSE),'RES Techs T15'!$G$3:$U$3,0))=0,"",OFFSET('RES Techs T15'!$AO47,0,MATCH(VLOOKUP('RES Veda input'!CM$3,'RES Assumptions T15'!$V$3:$W$35,2,FALSE),'RES Techs T15'!$G$3:$U$3,0)))</f>
        <v>7.2</v>
      </c>
      <c r="CN47" s="9">
        <f ca="1">IF(OFFSET('RES Techs T15'!$AO47,0,MATCH(VLOOKUP('RES Veda input'!CN$3,'RES Assumptions T15'!$V$3:$W$35,2,FALSE),'RES Techs T15'!$G$3:$U$3,0))=0,"",OFFSET('RES Techs T15'!$AO47,0,MATCH(VLOOKUP('RES Veda input'!CN$3,'RES Assumptions T15'!$V$3:$W$35,2,FALSE),'RES Techs T15'!$G$3:$U$3,0)))</f>
        <v>8.4</v>
      </c>
      <c r="CO47" s="9">
        <f ca="1">IF(OFFSET('RES Techs T15'!$AO47,0,MATCH(VLOOKUP('RES Veda input'!CO$3,'RES Assumptions T15'!$V$3:$W$35,2,FALSE),'RES Techs T15'!$G$3:$U$3,0))=0,"",OFFSET('RES Techs T15'!$AO47,0,MATCH(VLOOKUP('RES Veda input'!CO$3,'RES Assumptions T15'!$V$3:$W$35,2,FALSE),'RES Techs T15'!$G$3:$U$3,0)))</f>
        <v>9.6</v>
      </c>
      <c r="CP47" s="9">
        <f ca="1">IF(OFFSET('RES Techs T15'!$AO47,0,MATCH(VLOOKUP('RES Veda input'!CP$3,'RES Assumptions T15'!$V$3:$W$35,2,FALSE),'RES Techs T15'!$G$3:$U$3,0))=0,"",OFFSET('RES Techs T15'!$AO47,0,MATCH(VLOOKUP('RES Veda input'!CP$3,'RES Assumptions T15'!$V$3:$W$35,2,FALSE),'RES Techs T15'!$G$3:$U$3,0)))</f>
        <v>8.4</v>
      </c>
      <c r="CQ47" s="9" t="str">
        <f ca="1">IF(OFFSET('RES Techs T15'!$AO47,0,MATCH(VLOOKUP('RES Veda input'!CQ$3,'RES Assumptions T15'!$V$3:$W$35,2,FALSE),'RES Techs T15'!$G$3:$U$3,0))=0,"",OFFSET('RES Techs T15'!$AO47,0,MATCH(VLOOKUP('RES Veda input'!CQ$3,'RES Assumptions T15'!$V$3:$W$35,2,FALSE),'RES Techs T15'!$G$3:$U$3,0)))</f>
        <v/>
      </c>
      <c r="CR47" s="9" t="str">
        <f ca="1">IF(OFFSET('RES Techs T15'!$AO47,0,MATCH(VLOOKUP('RES Veda input'!CR$3,'RES Assumptions T15'!$V$3:$W$35,2,FALSE),'RES Techs T15'!$G$3:$U$3,0))=0,"",OFFSET('RES Techs T15'!$AO47,0,MATCH(VLOOKUP('RES Veda input'!CR$3,'RES Assumptions T15'!$V$3:$W$35,2,FALSE),'RES Techs T15'!$G$3:$U$3,0)))</f>
        <v/>
      </c>
      <c r="CS47" s="9">
        <f ca="1">IF(OFFSET('RES Techs T15'!$AO47,0,MATCH(VLOOKUP('RES Veda input'!CS$3,'RES Assumptions T15'!$V$3:$W$35,2,FALSE),'RES Techs T15'!$G$3:$U$3,0))=0,"",OFFSET('RES Techs T15'!$AO47,0,MATCH(VLOOKUP('RES Veda input'!CS$3,'RES Assumptions T15'!$V$3:$W$35,2,FALSE),'RES Techs T15'!$G$3:$U$3,0)))</f>
        <v>8.4</v>
      </c>
      <c r="CT47" s="9" t="str">
        <f ca="1">IF(OFFSET('RES Techs T15'!$AO47,0,MATCH(VLOOKUP('RES Veda input'!CT$3,'RES Assumptions T15'!$V$3:$W$35,2,FALSE),'RES Techs T15'!$G$3:$U$3,0))=0,"",OFFSET('RES Techs T15'!$AO47,0,MATCH(VLOOKUP('RES Veda input'!CT$3,'RES Assumptions T15'!$V$3:$W$35,2,FALSE),'RES Techs T15'!$G$3:$U$3,0)))</f>
        <v/>
      </c>
      <c r="CU47" s="9" t="str">
        <f ca="1">IF(OFFSET('RES Techs T15'!$AO47,0,MATCH(VLOOKUP('RES Veda input'!CU$3,'RES Assumptions T15'!$V$3:$W$35,2,FALSE),'RES Techs T15'!$G$3:$U$3,0))=0,"",OFFSET('RES Techs T15'!$AO47,0,MATCH(VLOOKUP('RES Veda input'!CU$3,'RES Assumptions T15'!$V$3:$W$35,2,FALSE),'RES Techs T15'!$G$3:$U$3,0)))</f>
        <v/>
      </c>
      <c r="CV47" s="9" t="str">
        <f ca="1">IF(OFFSET('RES Techs T15'!$AO47,0,MATCH(VLOOKUP('RES Veda input'!CV$3,'RES Assumptions T15'!$V$3:$W$35,2,FALSE),'RES Techs T15'!$G$3:$U$3,0))=0,"",OFFSET('RES Techs T15'!$AO47,0,MATCH(VLOOKUP('RES Veda input'!CV$3,'RES Assumptions T15'!$V$3:$W$35,2,FALSE),'RES Techs T15'!$G$3:$U$3,0)))</f>
        <v/>
      </c>
      <c r="CW47" s="9" t="str">
        <f ca="1">IF(OFFSET('RES Techs T15'!$AO47,0,MATCH(VLOOKUP('RES Veda input'!CW$3,'RES Assumptions T15'!$V$3:$W$35,2,FALSE),'RES Techs T15'!$G$3:$U$3,0))=0,"",OFFSET('RES Techs T15'!$AO47,0,MATCH(VLOOKUP('RES Veda input'!CW$3,'RES Assumptions T15'!$V$3:$W$35,2,FALSE),'RES Techs T15'!$G$3:$U$3,0)))</f>
        <v/>
      </c>
      <c r="CY47" s="8" t="str">
        <f t="shared" si="63"/>
        <v>RLIHAE000</v>
      </c>
      <c r="CZ47" s="10">
        <f ca="1">ROUND('RES Assumptions'!E130*'RES Veda input'!G47/'RES Veda input'!AM47,3)</f>
        <v>8.6310000000000002</v>
      </c>
      <c r="DA47" s="10">
        <f ca="1">ROUND('RES Assumptions'!F130*'RES Veda input'!H47/'RES Veda input'!AN47,3)</f>
        <v>5.8049999999999997</v>
      </c>
      <c r="DB47" s="10">
        <f ca="1">ROUND('RES Assumptions'!G130*'RES Veda input'!I47/'RES Veda input'!AO47,3)</f>
        <v>0</v>
      </c>
      <c r="DC47" s="10">
        <f ca="1">ROUND('RES Assumptions'!H130*'RES Veda input'!J47/'RES Veda input'!AP47,3)</f>
        <v>2.9209999999999998</v>
      </c>
      <c r="DD47" s="10">
        <f ca="1">ROUND('RES Assumptions'!I130*'RES Veda input'!K47/'RES Veda input'!AQ47,3)</f>
        <v>0</v>
      </c>
      <c r="DE47" s="10">
        <f ca="1">ROUND('RES Assumptions'!J130*'RES Veda input'!L47/'RES Veda input'!AR47,3)</f>
        <v>24.649000000000001</v>
      </c>
      <c r="DF47" s="10">
        <f ca="1">ROUND('RES Assumptions'!K130*'RES Veda input'!M47/'RES Veda input'!AS47,3)</f>
        <v>2.4380000000000002</v>
      </c>
      <c r="DG47" s="10">
        <f ca="1">ROUND('RES Assumptions'!L130*'RES Veda input'!N47/'RES Veda input'!AT47,3)</f>
        <v>0</v>
      </c>
      <c r="DH47" s="10">
        <f ca="1">ROUND('RES Assumptions'!M130*'RES Veda input'!O47/'RES Veda input'!AU47,3)</f>
        <v>9.3970000000000002</v>
      </c>
      <c r="DI47" s="10">
        <f ca="1">ROUND('RES Assumptions'!N130*'RES Veda input'!P47/'RES Veda input'!AV47,3)</f>
        <v>14.715</v>
      </c>
      <c r="DJ47" s="10">
        <f ca="1">ROUND('RES Assumptions'!O130*'RES Veda input'!Q47/'RES Veda input'!AW47,3)</f>
        <v>1.254</v>
      </c>
      <c r="DK47" s="10">
        <f ca="1">ROUND('RES Assumptions'!P130*'RES Veda input'!R47/'RES Veda input'!AX47,3)</f>
        <v>0.29599999999999999</v>
      </c>
      <c r="DL47" s="10">
        <f ca="1">ROUND('RES Assumptions'!Q130*'RES Veda input'!S47/'RES Veda input'!AY47,3)</f>
        <v>0.83099999999999996</v>
      </c>
      <c r="DM47" s="10">
        <f ca="1">ROUND('RES Assumptions'!R130*'RES Veda input'!T47/'RES Veda input'!AZ47,3)</f>
        <v>1.4</v>
      </c>
      <c r="DN47" s="10">
        <f ca="1">ROUND('RES Assumptions'!S130*'RES Veda input'!U47/'RES Veda input'!BA47,3)</f>
        <v>0.17799999999999999</v>
      </c>
      <c r="DO47" s="10">
        <f ca="1">ROUND('RES Assumptions'!T130*'RES Veda input'!V47/'RES Veda input'!BB47,3)</f>
        <v>1.41</v>
      </c>
      <c r="DP47" s="10">
        <f ca="1">ROUND('RES Assumptions'!U130*'RES Veda input'!W47/'RES Veda input'!BC47,3)</f>
        <v>4.3099999999999996</v>
      </c>
      <c r="DQ47" s="10">
        <f ca="1">ROUND('RES Assumptions'!V130*'RES Veda input'!X47/'RES Veda input'!BD47,3)</f>
        <v>2.6120000000000001</v>
      </c>
      <c r="DR47" s="10">
        <f ca="1">ROUND('RES Assumptions'!W130*'RES Veda input'!Y47/'RES Veda input'!BE47,3)</f>
        <v>2.0699999999999998</v>
      </c>
      <c r="DS47" s="10">
        <f ca="1">ROUND('RES Assumptions'!X130*'RES Veda input'!Z47/'RES Veda input'!BF47,3)</f>
        <v>0</v>
      </c>
      <c r="DT47" s="10">
        <f ca="1">ROUND('RES Assumptions'!Y130*'RES Veda input'!AA47/'RES Veda input'!BG47,3)</f>
        <v>0</v>
      </c>
      <c r="DU47" s="10">
        <f ca="1">ROUND('RES Assumptions'!Z130*'RES Veda input'!AB47/'RES Veda input'!BH47,3)</f>
        <v>0</v>
      </c>
      <c r="DV47" s="10">
        <f ca="1">ROUND('RES Assumptions'!AA130*'RES Veda input'!AC47/'RES Veda input'!BI47,3)</f>
        <v>7.8410000000000002</v>
      </c>
      <c r="DW47" s="10">
        <f ca="1">ROUND('RES Assumptions'!AB130*'RES Veda input'!AD47/'RES Veda input'!BJ47,3)</f>
        <v>0.67</v>
      </c>
      <c r="DX47" s="10">
        <f ca="1">ROUND('RES Assumptions'!AC130*'RES Veda input'!AE47/'RES Veda input'!BK47,3)</f>
        <v>8.2189999999999994</v>
      </c>
      <c r="DY47" s="10">
        <f ca="1">ROUND('RES Assumptions'!AD130*'RES Veda input'!AF47/'RES Veda input'!BL47,3)</f>
        <v>3.7639999999999998</v>
      </c>
      <c r="DZ47" s="10">
        <f ca="1">ROUND('RES Assumptions'!AE130*'RES Veda input'!AG47/'RES Veda input'!BM47,3)</f>
        <v>3.6789999999999998</v>
      </c>
      <c r="EA47" s="10">
        <f ca="1">ROUND('RES Assumptions'!AF130*'RES Veda input'!AH47/'RES Veda input'!BN47,3)</f>
        <v>1.698</v>
      </c>
      <c r="EB47" s="10">
        <f ca="1">ROUND('RES Assumptions'!AG130*'RES Veda input'!AI47/'RES Veda input'!BO47,3)</f>
        <v>58.289000000000001</v>
      </c>
      <c r="EC47" s="10">
        <f ca="1">ROUND('RES Assumptions'!AH130*'RES Veda input'!AJ47/'RES Veda input'!BP47,3)</f>
        <v>0</v>
      </c>
      <c r="ED47">
        <v>15</v>
      </c>
      <c r="EG47" t="s">
        <v>281</v>
      </c>
      <c r="EH47" t="str">
        <f t="shared" si="64"/>
        <v>RLIHAE000</v>
      </c>
      <c r="EJ47" t="s">
        <v>282</v>
      </c>
      <c r="EK47" t="s">
        <v>283</v>
      </c>
    </row>
    <row r="48" spans="1:141" x14ac:dyDescent="0.45">
      <c r="A48" s="37" t="str">
        <f>'RES Assumptions'!B131</f>
        <v>RL</v>
      </c>
      <c r="B48" s="37" t="s">
        <v>112</v>
      </c>
      <c r="D48" s="51" t="s">
        <v>312</v>
      </c>
      <c r="E48" s="8" t="str">
        <f>'RES Assumptions'!A131</f>
        <v>RESELC</v>
      </c>
      <c r="F48" s="8" t="str">
        <f>VLOOKUP(A48,'RES Assumptions'!$AN$87:$AO$97,2,FALSE)</f>
        <v>RLI</v>
      </c>
      <c r="G48" s="9">
        <f ca="1">OFFSET('RES Techs T15'!$F48,0,MATCH(VLOOKUP('RES Veda input'!G$3,'RES Assumptions T15'!$V$3:$W$35,2,FALSE),'RES Techs T15'!$G$3:$U$3,0))</f>
        <v>0.6</v>
      </c>
      <c r="H48" s="9">
        <f ca="1">OFFSET('RES Techs T15'!$F48,0,MATCH(VLOOKUP('RES Veda input'!H$3,'RES Assumptions T15'!$V$3:$W$35,2,FALSE),'RES Techs T15'!$G$3:$U$3,0))</f>
        <v>0.6</v>
      </c>
      <c r="I48" s="9">
        <f ca="1">OFFSET('RES Techs T15'!$F48,0,MATCH(VLOOKUP('RES Veda input'!I$3,'RES Assumptions T15'!$V$3:$W$35,2,FALSE),'RES Techs T15'!$G$3:$U$3,0))</f>
        <v>0.6</v>
      </c>
      <c r="J48" s="9">
        <f ca="1">OFFSET('RES Techs T15'!$F48,0,MATCH(VLOOKUP('RES Veda input'!J$3,'RES Assumptions T15'!$V$3:$W$35,2,FALSE),'RES Techs T15'!$G$3:$U$3,0))</f>
        <v>0.6</v>
      </c>
      <c r="K48" s="9">
        <f ca="1">OFFSET('RES Techs T15'!$F48,0,MATCH(VLOOKUP('RES Veda input'!K$3,'RES Assumptions T15'!$V$3:$W$35,2,FALSE),'RES Techs T15'!$G$3:$U$3,0))</f>
        <v>0.6</v>
      </c>
      <c r="L48" s="9">
        <f ca="1">OFFSET('RES Techs T15'!$F48,0,MATCH(VLOOKUP('RES Veda input'!L$3,'RES Assumptions T15'!$V$3:$W$35,2,FALSE),'RES Techs T15'!$G$3:$U$3,0))</f>
        <v>0.6</v>
      </c>
      <c r="M48" s="9">
        <f ca="1">OFFSET('RES Techs T15'!$F48,0,MATCH(VLOOKUP('RES Veda input'!M$3,'RES Assumptions T15'!$V$3:$W$35,2,FALSE),'RES Techs T15'!$G$3:$U$3,0))</f>
        <v>0.6</v>
      </c>
      <c r="N48" s="9">
        <f ca="1">OFFSET('RES Techs T15'!$F48,0,MATCH(VLOOKUP('RES Veda input'!N$3,'RES Assumptions T15'!$V$3:$W$35,2,FALSE),'RES Techs T15'!$G$3:$U$3,0))</f>
        <v>0.6</v>
      </c>
      <c r="O48" s="9">
        <f ca="1">OFFSET('RES Techs T15'!$F48,0,MATCH(VLOOKUP('RES Veda input'!O$3,'RES Assumptions T15'!$V$3:$W$35,2,FALSE),'RES Techs T15'!$G$3:$U$3,0))</f>
        <v>0.6</v>
      </c>
      <c r="P48" s="9">
        <f ca="1">OFFSET('RES Techs T15'!$F48,0,MATCH(VLOOKUP('RES Veda input'!P$3,'RES Assumptions T15'!$V$3:$W$35,2,FALSE),'RES Techs T15'!$G$3:$U$3,0))</f>
        <v>0.6</v>
      </c>
      <c r="Q48" s="9">
        <f ca="1">OFFSET('RES Techs T15'!$F48,0,MATCH(VLOOKUP('RES Veda input'!Q$3,'RES Assumptions T15'!$V$3:$W$35,2,FALSE),'RES Techs T15'!$G$3:$U$3,0))</f>
        <v>0.6</v>
      </c>
      <c r="R48" s="9">
        <f ca="1">OFFSET('RES Techs T15'!$F48,0,MATCH(VLOOKUP('RES Veda input'!R$3,'RES Assumptions T15'!$V$3:$W$35,2,FALSE),'RES Techs T15'!$G$3:$U$3,0))</f>
        <v>0.6</v>
      </c>
      <c r="S48" s="9">
        <f ca="1">OFFSET('RES Techs T15'!$F48,0,MATCH(VLOOKUP('RES Veda input'!S$3,'RES Assumptions T15'!$V$3:$W$35,2,FALSE),'RES Techs T15'!$G$3:$U$3,0))</f>
        <v>0.6</v>
      </c>
      <c r="T48" s="9">
        <f ca="1">OFFSET('RES Techs T15'!$F48,0,MATCH(VLOOKUP('RES Veda input'!T$3,'RES Assumptions T15'!$V$3:$W$35,2,FALSE),'RES Techs T15'!$G$3:$U$3,0))</f>
        <v>0.6</v>
      </c>
      <c r="U48" s="9">
        <f ca="1">OFFSET('RES Techs T15'!$F48,0,MATCH(VLOOKUP('RES Veda input'!U$3,'RES Assumptions T15'!$V$3:$W$35,2,FALSE),'RES Techs T15'!$G$3:$U$3,0))</f>
        <v>0.6</v>
      </c>
      <c r="V48" s="9">
        <f ca="1">OFFSET('RES Techs T15'!$F48,0,MATCH(VLOOKUP('RES Veda input'!V$3,'RES Assumptions T15'!$V$3:$W$35,2,FALSE),'RES Techs T15'!$G$3:$U$3,0))</f>
        <v>0.6</v>
      </c>
      <c r="W48" s="9">
        <f ca="1">OFFSET('RES Techs T15'!$F48,0,MATCH(VLOOKUP('RES Veda input'!W$3,'RES Assumptions T15'!$V$3:$W$35,2,FALSE),'RES Techs T15'!$G$3:$U$3,0))</f>
        <v>0.6</v>
      </c>
      <c r="X48" s="9">
        <f ca="1">OFFSET('RES Techs T15'!$F48,0,MATCH(VLOOKUP('RES Veda input'!X$3,'RES Assumptions T15'!$V$3:$W$35,2,FALSE),'RES Techs T15'!$G$3:$U$3,0))</f>
        <v>0.6</v>
      </c>
      <c r="Y48" s="9">
        <f ca="1">OFFSET('RES Techs T15'!$F48,0,MATCH(VLOOKUP('RES Veda input'!Y$3,'RES Assumptions T15'!$V$3:$W$35,2,FALSE),'RES Techs T15'!$G$3:$U$3,0))</f>
        <v>0.6</v>
      </c>
      <c r="Z48" s="9">
        <f ca="1">OFFSET('RES Techs T15'!$F48,0,MATCH(VLOOKUP('RES Veda input'!Z$3,'RES Assumptions T15'!$V$3:$W$35,2,FALSE),'RES Techs T15'!$G$3:$U$3,0))</f>
        <v>0.6</v>
      </c>
      <c r="AA48" s="9">
        <f ca="1">OFFSET('RES Techs T15'!$F48,0,MATCH(VLOOKUP('RES Veda input'!AA$3,'RES Assumptions T15'!$V$3:$W$35,2,FALSE),'RES Techs T15'!$G$3:$U$3,0))</f>
        <v>0.6</v>
      </c>
      <c r="AB48" s="9">
        <f ca="1">OFFSET('RES Techs T15'!$F48,0,MATCH(VLOOKUP('RES Veda input'!AB$3,'RES Assumptions T15'!$V$3:$W$35,2,FALSE),'RES Techs T15'!$G$3:$U$3,0))</f>
        <v>0.6</v>
      </c>
      <c r="AC48" s="9">
        <f ca="1">OFFSET('RES Techs T15'!$F48,0,MATCH(VLOOKUP('RES Veda input'!AC$3,'RES Assumptions T15'!$V$3:$W$35,2,FALSE),'RES Techs T15'!$G$3:$U$3,0))</f>
        <v>0.6</v>
      </c>
      <c r="AD48" s="9">
        <f ca="1">OFFSET('RES Techs T15'!$F48,0,MATCH(VLOOKUP('RES Veda input'!AD$3,'RES Assumptions T15'!$V$3:$W$35,2,FALSE),'RES Techs T15'!$G$3:$U$3,0))</f>
        <v>0.6</v>
      </c>
      <c r="AE48" s="9">
        <f ca="1">OFFSET('RES Techs T15'!$F48,0,MATCH(VLOOKUP('RES Veda input'!AE$3,'RES Assumptions T15'!$V$3:$W$35,2,FALSE),'RES Techs T15'!$G$3:$U$3,0))</f>
        <v>0.6</v>
      </c>
      <c r="AF48" s="9">
        <f ca="1">OFFSET('RES Techs T15'!$F48,0,MATCH(VLOOKUP('RES Veda input'!AF$3,'RES Assumptions T15'!$V$3:$W$35,2,FALSE),'RES Techs T15'!$G$3:$U$3,0))</f>
        <v>0.6</v>
      </c>
      <c r="AG48" s="9">
        <f ca="1">OFFSET('RES Techs T15'!$F48,0,MATCH(VLOOKUP('RES Veda input'!AG$3,'RES Assumptions T15'!$V$3:$W$35,2,FALSE),'RES Techs T15'!$G$3:$U$3,0))</f>
        <v>0.6</v>
      </c>
      <c r="AH48" s="9">
        <f ca="1">OFFSET('RES Techs T15'!$F48,0,MATCH(VLOOKUP('RES Veda input'!AH$3,'RES Assumptions T15'!$V$3:$W$35,2,FALSE),'RES Techs T15'!$G$3:$U$3,0))</f>
        <v>0.6</v>
      </c>
      <c r="AI48" s="9">
        <f ca="1">OFFSET('RES Techs T15'!$F48,0,MATCH(VLOOKUP('RES Veda input'!AI$3,'RES Assumptions T15'!$V$3:$W$35,2,FALSE),'RES Techs T15'!$G$3:$U$3,0))</f>
        <v>0.6</v>
      </c>
      <c r="AJ48" s="9">
        <f ca="1">OFFSET('RES Techs T15'!$F48,0,MATCH(VLOOKUP('RES Veda input'!AJ$3,'RES Assumptions T15'!$V$3:$W$35,2,FALSE),'RES Techs T15'!$G$3:$U$3,0))</f>
        <v>0.6</v>
      </c>
      <c r="AL48" s="8" t="str">
        <f t="shared" si="60"/>
        <v>RLIICE000</v>
      </c>
      <c r="AM48" s="9">
        <f ca="1">OFFSET('RES Techs T15'!$W48,0,MATCH(VLOOKUP('RES Veda input'!AM$3,'RES Assumptions T15'!$V$3:$W$35,2,FALSE),'RES Techs T15'!$G$3:$U$3,0))</f>
        <v>1</v>
      </c>
      <c r="AN48" s="9">
        <f ca="1">OFFSET('RES Techs T15'!$W48,0,MATCH(VLOOKUP('RES Veda input'!AN$3,'RES Assumptions T15'!$V$3:$W$35,2,FALSE),'RES Techs T15'!$G$3:$U$3,0))</f>
        <v>1</v>
      </c>
      <c r="AO48" s="9">
        <f ca="1">OFFSET('RES Techs T15'!$W48,0,MATCH(VLOOKUP('RES Veda input'!AO$3,'RES Assumptions T15'!$V$3:$W$35,2,FALSE),'RES Techs T15'!$G$3:$U$3,0))</f>
        <v>1</v>
      </c>
      <c r="AP48" s="9">
        <f ca="1">OFFSET('RES Techs T15'!$W48,0,MATCH(VLOOKUP('RES Veda input'!AP$3,'RES Assumptions T15'!$V$3:$W$35,2,FALSE),'RES Techs T15'!$G$3:$U$3,0))</f>
        <v>1</v>
      </c>
      <c r="AQ48" s="9">
        <f ca="1">OFFSET('RES Techs T15'!$W48,0,MATCH(VLOOKUP('RES Veda input'!AQ$3,'RES Assumptions T15'!$V$3:$W$35,2,FALSE),'RES Techs T15'!$G$3:$U$3,0))</f>
        <v>1</v>
      </c>
      <c r="AR48" s="9">
        <f ca="1">OFFSET('RES Techs T15'!$W48,0,MATCH(VLOOKUP('RES Veda input'!AR$3,'RES Assumptions T15'!$V$3:$W$35,2,FALSE),'RES Techs T15'!$G$3:$U$3,0))</f>
        <v>1</v>
      </c>
      <c r="AS48" s="9">
        <f ca="1">OFFSET('RES Techs T15'!$W48,0,MATCH(VLOOKUP('RES Veda input'!AS$3,'RES Assumptions T15'!$V$3:$W$35,2,FALSE),'RES Techs T15'!$G$3:$U$3,0))</f>
        <v>1</v>
      </c>
      <c r="AT48" s="9">
        <f ca="1">OFFSET('RES Techs T15'!$W48,0,MATCH(VLOOKUP('RES Veda input'!AT$3,'RES Assumptions T15'!$V$3:$W$35,2,FALSE),'RES Techs T15'!$G$3:$U$3,0))</f>
        <v>1</v>
      </c>
      <c r="AU48" s="9">
        <f ca="1">OFFSET('RES Techs T15'!$W48,0,MATCH(VLOOKUP('RES Veda input'!AU$3,'RES Assumptions T15'!$V$3:$W$35,2,FALSE),'RES Techs T15'!$G$3:$U$3,0))</f>
        <v>1</v>
      </c>
      <c r="AV48" s="9">
        <f ca="1">OFFSET('RES Techs T15'!$W48,0,MATCH(VLOOKUP('RES Veda input'!AV$3,'RES Assumptions T15'!$V$3:$W$35,2,FALSE),'RES Techs T15'!$G$3:$U$3,0))</f>
        <v>1</v>
      </c>
      <c r="AW48" s="9">
        <f ca="1">OFFSET('RES Techs T15'!$W48,0,MATCH(VLOOKUP('RES Veda input'!AW$3,'RES Assumptions T15'!$V$3:$W$35,2,FALSE),'RES Techs T15'!$G$3:$U$3,0))</f>
        <v>1</v>
      </c>
      <c r="AX48" s="9">
        <f ca="1">OFFSET('RES Techs T15'!$W48,0,MATCH(VLOOKUP('RES Veda input'!AX$3,'RES Assumptions T15'!$V$3:$W$35,2,FALSE),'RES Techs T15'!$G$3:$U$3,0))</f>
        <v>1</v>
      </c>
      <c r="AY48" s="9">
        <f ca="1">OFFSET('RES Techs T15'!$W48,0,MATCH(VLOOKUP('RES Veda input'!AY$3,'RES Assumptions T15'!$V$3:$W$35,2,FALSE),'RES Techs T15'!$G$3:$U$3,0))</f>
        <v>1</v>
      </c>
      <c r="AZ48" s="9">
        <f ca="1">OFFSET('RES Techs T15'!$W48,0,MATCH(VLOOKUP('RES Veda input'!AZ$3,'RES Assumptions T15'!$V$3:$W$35,2,FALSE),'RES Techs T15'!$G$3:$U$3,0))</f>
        <v>1</v>
      </c>
      <c r="BA48" s="9">
        <f ca="1">OFFSET('RES Techs T15'!$W48,0,MATCH(VLOOKUP('RES Veda input'!BA$3,'RES Assumptions T15'!$V$3:$W$35,2,FALSE),'RES Techs T15'!$G$3:$U$3,0))</f>
        <v>1</v>
      </c>
      <c r="BB48" s="9">
        <f ca="1">OFFSET('RES Techs T15'!$W48,0,MATCH(VLOOKUP('RES Veda input'!BB$3,'RES Assumptions T15'!$V$3:$W$35,2,FALSE),'RES Techs T15'!$G$3:$U$3,0))</f>
        <v>1</v>
      </c>
      <c r="BC48" s="9">
        <f ca="1">OFFSET('RES Techs T15'!$W48,0,MATCH(VLOOKUP('RES Veda input'!BC$3,'RES Assumptions T15'!$V$3:$W$35,2,FALSE),'RES Techs T15'!$G$3:$U$3,0))</f>
        <v>1</v>
      </c>
      <c r="BD48" s="9">
        <f ca="1">OFFSET('RES Techs T15'!$W48,0,MATCH(VLOOKUP('RES Veda input'!BD$3,'RES Assumptions T15'!$V$3:$W$35,2,FALSE),'RES Techs T15'!$G$3:$U$3,0))</f>
        <v>1</v>
      </c>
      <c r="BE48" s="9">
        <f ca="1">OFFSET('RES Techs T15'!$W48,0,MATCH(VLOOKUP('RES Veda input'!BE$3,'RES Assumptions T15'!$V$3:$W$35,2,FALSE),'RES Techs T15'!$G$3:$U$3,0))</f>
        <v>1</v>
      </c>
      <c r="BF48" s="9">
        <f ca="1">OFFSET('RES Techs T15'!$W48,0,MATCH(VLOOKUP('RES Veda input'!BF$3,'RES Assumptions T15'!$V$3:$W$35,2,FALSE),'RES Techs T15'!$G$3:$U$3,0))</f>
        <v>1</v>
      </c>
      <c r="BG48" s="9">
        <f ca="1">OFFSET('RES Techs T15'!$W48,0,MATCH(VLOOKUP('RES Veda input'!BG$3,'RES Assumptions T15'!$V$3:$W$35,2,FALSE),'RES Techs T15'!$G$3:$U$3,0))</f>
        <v>1</v>
      </c>
      <c r="BH48" s="9">
        <f ca="1">OFFSET('RES Techs T15'!$W48,0,MATCH(VLOOKUP('RES Veda input'!BH$3,'RES Assumptions T15'!$V$3:$W$35,2,FALSE),'RES Techs T15'!$G$3:$U$3,0))</f>
        <v>1</v>
      </c>
      <c r="BI48" s="9">
        <f ca="1">OFFSET('RES Techs T15'!$W48,0,MATCH(VLOOKUP('RES Veda input'!BI$3,'RES Assumptions T15'!$V$3:$W$35,2,FALSE),'RES Techs T15'!$G$3:$U$3,0))</f>
        <v>1</v>
      </c>
      <c r="BJ48" s="9">
        <f ca="1">OFFSET('RES Techs T15'!$W48,0,MATCH(VLOOKUP('RES Veda input'!BJ$3,'RES Assumptions T15'!$V$3:$W$35,2,FALSE),'RES Techs T15'!$G$3:$U$3,0))</f>
        <v>1</v>
      </c>
      <c r="BK48" s="9">
        <f ca="1">OFFSET('RES Techs T15'!$W48,0,MATCH(VLOOKUP('RES Veda input'!BK$3,'RES Assumptions T15'!$V$3:$W$35,2,FALSE),'RES Techs T15'!$G$3:$U$3,0))</f>
        <v>1</v>
      </c>
      <c r="BL48" s="9">
        <f ca="1">OFFSET('RES Techs T15'!$W48,0,MATCH(VLOOKUP('RES Veda input'!BL$3,'RES Assumptions T15'!$V$3:$W$35,2,FALSE),'RES Techs T15'!$G$3:$U$3,0))</f>
        <v>1</v>
      </c>
      <c r="BM48" s="9">
        <f ca="1">OFFSET('RES Techs T15'!$W48,0,MATCH(VLOOKUP('RES Veda input'!BM$3,'RES Assumptions T15'!$V$3:$W$35,2,FALSE),'RES Techs T15'!$G$3:$U$3,0))</f>
        <v>1</v>
      </c>
      <c r="BN48" s="9">
        <f ca="1">OFFSET('RES Techs T15'!$W48,0,MATCH(VLOOKUP('RES Veda input'!BN$3,'RES Assumptions T15'!$V$3:$W$35,2,FALSE),'RES Techs T15'!$G$3:$U$3,0))</f>
        <v>1</v>
      </c>
      <c r="BO48" s="9">
        <f ca="1">OFFSET('RES Techs T15'!$W48,0,MATCH(VLOOKUP('RES Veda input'!BO$3,'RES Assumptions T15'!$V$3:$W$35,2,FALSE),'RES Techs T15'!$G$3:$U$3,0))</f>
        <v>1</v>
      </c>
      <c r="BP48" s="9">
        <f ca="1">OFFSET('RES Techs T15'!$W48,0,MATCH(VLOOKUP('RES Veda input'!BP$3,'RES Assumptions T15'!$V$3:$W$35,2,FALSE),'RES Techs T15'!$G$3:$U$3,0))</f>
        <v>1</v>
      </c>
      <c r="BR48" s="8" t="str">
        <f t="shared" si="61"/>
        <v>RLIICE000</v>
      </c>
      <c r="BS48" s="9">
        <f t="shared" ca="1" si="62"/>
        <v>7.2</v>
      </c>
      <c r="BT48" s="9" t="str">
        <f ca="1">IF(OFFSET('RES Techs T15'!$AO48,0,MATCH(VLOOKUP('RES Veda input'!BT$3,'RES Assumptions T15'!$V$3:$W$35,2,FALSE),'RES Techs T15'!$G$3:$U$3,0))=0,"",OFFSET('RES Techs T15'!$AO48,0,MATCH(VLOOKUP('RES Veda input'!BT$3,'RES Assumptions T15'!$V$3:$W$35,2,FALSE),'RES Techs T15'!$G$3:$U$3,0)))</f>
        <v/>
      </c>
      <c r="BU48" s="9" t="str">
        <f ca="1">IF(OFFSET('RES Techs T15'!$AO48,0,MATCH(VLOOKUP('RES Veda input'!BU$3,'RES Assumptions T15'!$V$3:$W$35,2,FALSE),'RES Techs T15'!$G$3:$U$3,0))=0,"",OFFSET('RES Techs T15'!$AO48,0,MATCH(VLOOKUP('RES Veda input'!BU$3,'RES Assumptions T15'!$V$3:$W$35,2,FALSE),'RES Techs T15'!$G$3:$U$3,0)))</f>
        <v/>
      </c>
      <c r="BV48" s="9">
        <f ca="1">IF(OFFSET('RES Techs T15'!$AO48,0,MATCH(VLOOKUP('RES Veda input'!BV$3,'RES Assumptions T15'!$V$3:$W$35,2,FALSE),'RES Techs T15'!$G$3:$U$3,0))=0,"",OFFSET('RES Techs T15'!$AO48,0,MATCH(VLOOKUP('RES Veda input'!BV$3,'RES Assumptions T15'!$V$3:$W$35,2,FALSE),'RES Techs T15'!$G$3:$U$3,0)))</f>
        <v>8.4</v>
      </c>
      <c r="BW48" s="9" t="str">
        <f ca="1">IF(OFFSET('RES Techs T15'!$AO48,0,MATCH(VLOOKUP('RES Veda input'!BW$3,'RES Assumptions T15'!$V$3:$W$35,2,FALSE),'RES Techs T15'!$G$3:$U$3,0))=0,"",OFFSET('RES Techs T15'!$AO48,0,MATCH(VLOOKUP('RES Veda input'!BW$3,'RES Assumptions T15'!$V$3:$W$35,2,FALSE),'RES Techs T15'!$G$3:$U$3,0)))</f>
        <v/>
      </c>
      <c r="BX48" s="9">
        <f ca="1">IF(OFFSET('RES Techs T15'!$AO48,0,MATCH(VLOOKUP('RES Veda input'!BX$3,'RES Assumptions T15'!$V$3:$W$35,2,FALSE),'RES Techs T15'!$G$3:$U$3,0))=0,"",OFFSET('RES Techs T15'!$AO48,0,MATCH(VLOOKUP('RES Veda input'!BX$3,'RES Assumptions T15'!$V$3:$W$35,2,FALSE),'RES Techs T15'!$G$3:$U$3,0)))</f>
        <v>12</v>
      </c>
      <c r="BY48" s="9">
        <f ca="1">IF(OFFSET('RES Techs T15'!$AO48,0,MATCH(VLOOKUP('RES Veda input'!BY$3,'RES Assumptions T15'!$V$3:$W$35,2,FALSE),'RES Techs T15'!$G$3:$U$3,0))=0,"",OFFSET('RES Techs T15'!$AO48,0,MATCH(VLOOKUP('RES Veda input'!BY$3,'RES Assumptions T15'!$V$3:$W$35,2,FALSE),'RES Techs T15'!$G$3:$U$3,0)))</f>
        <v>7.2</v>
      </c>
      <c r="BZ48" s="9" t="str">
        <f ca="1">IF(OFFSET('RES Techs T15'!$AO48,0,MATCH(VLOOKUP('RES Veda input'!BZ$3,'RES Assumptions T15'!$V$3:$W$35,2,FALSE),'RES Techs T15'!$G$3:$U$3,0))=0,"",OFFSET('RES Techs T15'!$AO48,0,MATCH(VLOOKUP('RES Veda input'!BZ$3,'RES Assumptions T15'!$V$3:$W$35,2,FALSE),'RES Techs T15'!$G$3:$U$3,0)))</f>
        <v/>
      </c>
      <c r="CA48" s="9">
        <f ca="1">IF(OFFSET('RES Techs T15'!$AO48,0,MATCH(VLOOKUP('RES Veda input'!CA$3,'RES Assumptions T15'!$V$3:$W$35,2,FALSE),'RES Techs T15'!$G$3:$U$3,0))=0,"",OFFSET('RES Techs T15'!$AO48,0,MATCH(VLOOKUP('RES Veda input'!CA$3,'RES Assumptions T15'!$V$3:$W$35,2,FALSE),'RES Techs T15'!$G$3:$U$3,0)))</f>
        <v>8.4</v>
      </c>
      <c r="CB48" s="9" t="str">
        <f ca="1">IF(OFFSET('RES Techs T15'!$AO48,0,MATCH(VLOOKUP('RES Veda input'!CB$3,'RES Assumptions T15'!$V$3:$W$35,2,FALSE),'RES Techs T15'!$G$3:$U$3,0))=0,"",OFFSET('RES Techs T15'!$AO48,0,MATCH(VLOOKUP('RES Veda input'!CB$3,'RES Assumptions T15'!$V$3:$W$35,2,FALSE),'RES Techs T15'!$G$3:$U$3,0)))</f>
        <v/>
      </c>
      <c r="CC48" s="9">
        <f ca="1">IF(OFFSET('RES Techs T15'!$AO48,0,MATCH(VLOOKUP('RES Veda input'!CC$3,'RES Assumptions T15'!$V$3:$W$35,2,FALSE),'RES Techs T15'!$G$3:$U$3,0))=0,"",OFFSET('RES Techs T15'!$AO48,0,MATCH(VLOOKUP('RES Veda input'!CC$3,'RES Assumptions T15'!$V$3:$W$35,2,FALSE),'RES Techs T15'!$G$3:$U$3,0)))</f>
        <v>7.2</v>
      </c>
      <c r="CD48" s="9" t="str">
        <f ca="1">IF(OFFSET('RES Techs T15'!$AO48,0,MATCH(VLOOKUP('RES Veda input'!CD$3,'RES Assumptions T15'!$V$3:$W$35,2,FALSE),'RES Techs T15'!$G$3:$U$3,0))=0,"",OFFSET('RES Techs T15'!$AO48,0,MATCH(VLOOKUP('RES Veda input'!CD$3,'RES Assumptions T15'!$V$3:$W$35,2,FALSE),'RES Techs T15'!$G$3:$U$3,0)))</f>
        <v/>
      </c>
      <c r="CE48" s="9" t="str">
        <f ca="1">IF(OFFSET('RES Techs T15'!$AO48,0,MATCH(VLOOKUP('RES Veda input'!CE$3,'RES Assumptions T15'!$V$3:$W$35,2,FALSE),'RES Techs T15'!$G$3:$U$3,0))=0,"",OFFSET('RES Techs T15'!$AO48,0,MATCH(VLOOKUP('RES Veda input'!CE$3,'RES Assumptions T15'!$V$3:$W$35,2,FALSE),'RES Techs T15'!$G$3:$U$3,0)))</f>
        <v/>
      </c>
      <c r="CF48" s="9" t="str">
        <f ca="1">IF(OFFSET('RES Techs T15'!$AO48,0,MATCH(VLOOKUP('RES Veda input'!CF$3,'RES Assumptions T15'!$V$3:$W$35,2,FALSE),'RES Techs T15'!$G$3:$U$3,0))=0,"",OFFSET('RES Techs T15'!$AO48,0,MATCH(VLOOKUP('RES Veda input'!CF$3,'RES Assumptions T15'!$V$3:$W$35,2,FALSE),'RES Techs T15'!$G$3:$U$3,0)))</f>
        <v/>
      </c>
      <c r="CG48" s="9" t="str">
        <f ca="1">IF(OFFSET('RES Techs T15'!$AO48,0,MATCH(VLOOKUP('RES Veda input'!CG$3,'RES Assumptions T15'!$V$3:$W$35,2,FALSE),'RES Techs T15'!$G$3:$U$3,0))=0,"",OFFSET('RES Techs T15'!$AO48,0,MATCH(VLOOKUP('RES Veda input'!CG$3,'RES Assumptions T15'!$V$3:$W$35,2,FALSE),'RES Techs T15'!$G$3:$U$3,0)))</f>
        <v/>
      </c>
      <c r="CH48" s="9" t="str">
        <f ca="1">IF(OFFSET('RES Techs T15'!$AO48,0,MATCH(VLOOKUP('RES Veda input'!CH$3,'RES Assumptions T15'!$V$3:$W$35,2,FALSE),'RES Techs T15'!$G$3:$U$3,0))=0,"",OFFSET('RES Techs T15'!$AO48,0,MATCH(VLOOKUP('RES Veda input'!CH$3,'RES Assumptions T15'!$V$3:$W$35,2,FALSE),'RES Techs T15'!$G$3:$U$3,0)))</f>
        <v/>
      </c>
      <c r="CI48" s="9" t="str">
        <f ca="1">IF(OFFSET('RES Techs T15'!$AO48,0,MATCH(VLOOKUP('RES Veda input'!CI$3,'RES Assumptions T15'!$V$3:$W$35,2,FALSE),'RES Techs T15'!$G$3:$U$3,0))=0,"",OFFSET('RES Techs T15'!$AO48,0,MATCH(VLOOKUP('RES Veda input'!CI$3,'RES Assumptions T15'!$V$3:$W$35,2,FALSE),'RES Techs T15'!$G$3:$U$3,0)))</f>
        <v/>
      </c>
      <c r="CJ48" s="9">
        <f ca="1">IF(OFFSET('RES Techs T15'!$AO48,0,MATCH(VLOOKUP('RES Veda input'!CJ$3,'RES Assumptions T15'!$V$3:$W$35,2,FALSE),'RES Techs T15'!$G$3:$U$3,0))=0,"",OFFSET('RES Techs T15'!$AO48,0,MATCH(VLOOKUP('RES Veda input'!CJ$3,'RES Assumptions T15'!$V$3:$W$35,2,FALSE),'RES Techs T15'!$G$3:$U$3,0)))</f>
        <v>8.4</v>
      </c>
      <c r="CK48" s="9" t="str">
        <f ca="1">IF(OFFSET('RES Techs T15'!$AO48,0,MATCH(VLOOKUP('RES Veda input'!CK$3,'RES Assumptions T15'!$V$3:$W$35,2,FALSE),'RES Techs T15'!$G$3:$U$3,0))=0,"",OFFSET('RES Techs T15'!$AO48,0,MATCH(VLOOKUP('RES Veda input'!CK$3,'RES Assumptions T15'!$V$3:$W$35,2,FALSE),'RES Techs T15'!$G$3:$U$3,0)))</f>
        <v/>
      </c>
      <c r="CL48" s="9" t="str">
        <f ca="1">IF(OFFSET('RES Techs T15'!$AO48,0,MATCH(VLOOKUP('RES Veda input'!CL$3,'RES Assumptions T15'!$V$3:$W$35,2,FALSE),'RES Techs T15'!$G$3:$U$3,0))=0,"",OFFSET('RES Techs T15'!$AO48,0,MATCH(VLOOKUP('RES Veda input'!CL$3,'RES Assumptions T15'!$V$3:$W$35,2,FALSE),'RES Techs T15'!$G$3:$U$3,0)))</f>
        <v/>
      </c>
      <c r="CM48" s="9">
        <f ca="1">IF(OFFSET('RES Techs T15'!$AO48,0,MATCH(VLOOKUP('RES Veda input'!CM$3,'RES Assumptions T15'!$V$3:$W$35,2,FALSE),'RES Techs T15'!$G$3:$U$3,0))=0,"",OFFSET('RES Techs T15'!$AO48,0,MATCH(VLOOKUP('RES Veda input'!CM$3,'RES Assumptions T15'!$V$3:$W$35,2,FALSE),'RES Techs T15'!$G$3:$U$3,0)))</f>
        <v>7.2</v>
      </c>
      <c r="CN48" s="9">
        <f ca="1">IF(OFFSET('RES Techs T15'!$AO48,0,MATCH(VLOOKUP('RES Veda input'!CN$3,'RES Assumptions T15'!$V$3:$W$35,2,FALSE),'RES Techs T15'!$G$3:$U$3,0))=0,"",OFFSET('RES Techs T15'!$AO48,0,MATCH(VLOOKUP('RES Veda input'!CN$3,'RES Assumptions T15'!$V$3:$W$35,2,FALSE),'RES Techs T15'!$G$3:$U$3,0)))</f>
        <v>8.4</v>
      </c>
      <c r="CO48" s="9">
        <f ca="1">IF(OFFSET('RES Techs T15'!$AO48,0,MATCH(VLOOKUP('RES Veda input'!CO$3,'RES Assumptions T15'!$V$3:$W$35,2,FALSE),'RES Techs T15'!$G$3:$U$3,0))=0,"",OFFSET('RES Techs T15'!$AO48,0,MATCH(VLOOKUP('RES Veda input'!CO$3,'RES Assumptions T15'!$V$3:$W$35,2,FALSE),'RES Techs T15'!$G$3:$U$3,0)))</f>
        <v>9.6</v>
      </c>
      <c r="CP48" s="9">
        <f ca="1">IF(OFFSET('RES Techs T15'!$AO48,0,MATCH(VLOOKUP('RES Veda input'!CP$3,'RES Assumptions T15'!$V$3:$W$35,2,FALSE),'RES Techs T15'!$G$3:$U$3,0))=0,"",OFFSET('RES Techs T15'!$AO48,0,MATCH(VLOOKUP('RES Veda input'!CP$3,'RES Assumptions T15'!$V$3:$W$35,2,FALSE),'RES Techs T15'!$G$3:$U$3,0)))</f>
        <v>8.4</v>
      </c>
      <c r="CQ48" s="9" t="str">
        <f ca="1">IF(OFFSET('RES Techs T15'!$AO48,0,MATCH(VLOOKUP('RES Veda input'!CQ$3,'RES Assumptions T15'!$V$3:$W$35,2,FALSE),'RES Techs T15'!$G$3:$U$3,0))=0,"",OFFSET('RES Techs T15'!$AO48,0,MATCH(VLOOKUP('RES Veda input'!CQ$3,'RES Assumptions T15'!$V$3:$W$35,2,FALSE),'RES Techs T15'!$G$3:$U$3,0)))</f>
        <v/>
      </c>
      <c r="CR48" s="9" t="str">
        <f ca="1">IF(OFFSET('RES Techs T15'!$AO48,0,MATCH(VLOOKUP('RES Veda input'!CR$3,'RES Assumptions T15'!$V$3:$W$35,2,FALSE),'RES Techs T15'!$G$3:$U$3,0))=0,"",OFFSET('RES Techs T15'!$AO48,0,MATCH(VLOOKUP('RES Veda input'!CR$3,'RES Assumptions T15'!$V$3:$W$35,2,FALSE),'RES Techs T15'!$G$3:$U$3,0)))</f>
        <v/>
      </c>
      <c r="CS48" s="9">
        <f ca="1">IF(OFFSET('RES Techs T15'!$AO48,0,MATCH(VLOOKUP('RES Veda input'!CS$3,'RES Assumptions T15'!$V$3:$W$35,2,FALSE),'RES Techs T15'!$G$3:$U$3,0))=0,"",OFFSET('RES Techs T15'!$AO48,0,MATCH(VLOOKUP('RES Veda input'!CS$3,'RES Assumptions T15'!$V$3:$W$35,2,FALSE),'RES Techs T15'!$G$3:$U$3,0)))</f>
        <v>8.4</v>
      </c>
      <c r="CT48" s="9" t="str">
        <f ca="1">IF(OFFSET('RES Techs T15'!$AO48,0,MATCH(VLOOKUP('RES Veda input'!CT$3,'RES Assumptions T15'!$V$3:$W$35,2,FALSE),'RES Techs T15'!$G$3:$U$3,0))=0,"",OFFSET('RES Techs T15'!$AO48,0,MATCH(VLOOKUP('RES Veda input'!CT$3,'RES Assumptions T15'!$V$3:$W$35,2,FALSE),'RES Techs T15'!$G$3:$U$3,0)))</f>
        <v/>
      </c>
      <c r="CU48" s="9" t="str">
        <f ca="1">IF(OFFSET('RES Techs T15'!$AO48,0,MATCH(VLOOKUP('RES Veda input'!CU$3,'RES Assumptions T15'!$V$3:$W$35,2,FALSE),'RES Techs T15'!$G$3:$U$3,0))=0,"",OFFSET('RES Techs T15'!$AO48,0,MATCH(VLOOKUP('RES Veda input'!CU$3,'RES Assumptions T15'!$V$3:$W$35,2,FALSE),'RES Techs T15'!$G$3:$U$3,0)))</f>
        <v/>
      </c>
      <c r="CV48" s="9" t="str">
        <f ca="1">IF(OFFSET('RES Techs T15'!$AO48,0,MATCH(VLOOKUP('RES Veda input'!CV$3,'RES Assumptions T15'!$V$3:$W$35,2,FALSE),'RES Techs T15'!$G$3:$U$3,0))=0,"",OFFSET('RES Techs T15'!$AO48,0,MATCH(VLOOKUP('RES Veda input'!CV$3,'RES Assumptions T15'!$V$3:$W$35,2,FALSE),'RES Techs T15'!$G$3:$U$3,0)))</f>
        <v/>
      </c>
      <c r="CW48" s="9" t="str">
        <f ca="1">IF(OFFSET('RES Techs T15'!$AO48,0,MATCH(VLOOKUP('RES Veda input'!CW$3,'RES Assumptions T15'!$V$3:$W$35,2,FALSE),'RES Techs T15'!$G$3:$U$3,0))=0,"",OFFSET('RES Techs T15'!$AO48,0,MATCH(VLOOKUP('RES Veda input'!CW$3,'RES Assumptions T15'!$V$3:$W$35,2,FALSE),'RES Techs T15'!$G$3:$U$3,0)))</f>
        <v/>
      </c>
      <c r="CY48" s="8" t="str">
        <f t="shared" si="63"/>
        <v>RLIICE000</v>
      </c>
      <c r="CZ48" s="10">
        <f ca="1">ROUND('RES Assumptions'!E131*'RES Veda input'!G48/'RES Veda input'!AM48,3)</f>
        <v>49.32</v>
      </c>
      <c r="DA48" s="10">
        <f ca="1">ROUND('RES Assumptions'!F131*'RES Veda input'!H48/'RES Veda input'!AN48,3)</f>
        <v>33.168999999999997</v>
      </c>
      <c r="DB48" s="10">
        <f ca="1">ROUND('RES Assumptions'!G131*'RES Veda input'!I48/'RES Veda input'!AO48,3)</f>
        <v>14.172000000000001</v>
      </c>
      <c r="DC48" s="10">
        <f ca="1">ROUND('RES Assumptions'!H131*'RES Veda input'!J48/'RES Veda input'!AP48,3)</f>
        <v>15.648</v>
      </c>
      <c r="DD48" s="10">
        <f ca="1">ROUND('RES Assumptions'!I131*'RES Veda input'!K48/'RES Veda input'!AQ48,3)</f>
        <v>0</v>
      </c>
      <c r="DE48" s="10">
        <f ca="1">ROUND('RES Assumptions'!J131*'RES Veda input'!L48/'RES Veda input'!AR48,3)</f>
        <v>132.047</v>
      </c>
      <c r="DF48" s="10">
        <f ca="1">ROUND('RES Assumptions'!K131*'RES Veda input'!M48/'RES Veda input'!AS48,3)</f>
        <v>8.7080000000000002</v>
      </c>
      <c r="DG48" s="10">
        <f ca="1">ROUND('RES Assumptions'!L131*'RES Veda input'!N48/'RES Veda input'!AT48,3)</f>
        <v>35.594000000000001</v>
      </c>
      <c r="DH48" s="10">
        <f ca="1">ROUND('RES Assumptions'!M131*'RES Veda input'!O48/'RES Veda input'!AU48,3)</f>
        <v>18.457999999999998</v>
      </c>
      <c r="DI48" s="10">
        <f ca="1">ROUND('RES Assumptions'!N131*'RES Veda input'!P48/'RES Veda input'!AV48,3)</f>
        <v>53.555999999999997</v>
      </c>
      <c r="DJ48" s="10">
        <f ca="1">ROUND('RES Assumptions'!O131*'RES Veda input'!Q48/'RES Veda input'!AW48,3)</f>
        <v>6.6040000000000001</v>
      </c>
      <c r="DK48" s="10">
        <f ca="1">ROUND('RES Assumptions'!P131*'RES Veda input'!R48/'RES Veda input'!AX48,3)</f>
        <v>1.6919999999999999</v>
      </c>
      <c r="DL48" s="10">
        <f ca="1">ROUND('RES Assumptions'!Q131*'RES Veda input'!S48/'RES Veda input'!AY48,3)</f>
        <v>4.3780000000000001</v>
      </c>
      <c r="DM48" s="10">
        <f ca="1">ROUND('RES Assumptions'!R131*'RES Veda input'!T48/'RES Veda input'!AZ48,3)</f>
        <v>7.375</v>
      </c>
      <c r="DN48" s="10">
        <f ca="1">ROUND('RES Assumptions'!S131*'RES Veda input'!U48/'RES Veda input'!BA48,3)</f>
        <v>1.016</v>
      </c>
      <c r="DO48" s="10">
        <f ca="1">ROUND('RES Assumptions'!T131*'RES Veda input'!V48/'RES Veda input'!BB48,3)</f>
        <v>7.4269999999999996</v>
      </c>
      <c r="DP48" s="10">
        <f ca="1">ROUND('RES Assumptions'!U131*'RES Veda input'!W48/'RES Veda input'!BC48,3)</f>
        <v>24.626000000000001</v>
      </c>
      <c r="DQ48" s="10">
        <f ca="1">ROUND('RES Assumptions'!V131*'RES Veda input'!X48/'RES Veda input'!BD48,3)</f>
        <v>13.760999999999999</v>
      </c>
      <c r="DR48" s="10">
        <f ca="1">ROUND('RES Assumptions'!W131*'RES Veda input'!Y48/'RES Veda input'!BE48,3)</f>
        <v>10.901999999999999</v>
      </c>
      <c r="DS48" s="10">
        <f ca="1">ROUND('RES Assumptions'!X131*'RES Veda input'!Z48/'RES Veda input'!BF48,3)</f>
        <v>65.207999999999998</v>
      </c>
      <c r="DT48" s="10">
        <f ca="1">ROUND('RES Assumptions'!Y131*'RES Veda input'!AA48/'RES Veda input'!BG48,3)</f>
        <v>28.434999999999999</v>
      </c>
      <c r="DU48" s="10">
        <f ca="1">ROUND('RES Assumptions'!Z131*'RES Veda input'!AB48/'RES Veda input'!BH48,3)</f>
        <v>29.055</v>
      </c>
      <c r="DV48" s="10">
        <f ca="1">ROUND('RES Assumptions'!AA131*'RES Veda input'!AC48/'RES Veda input'!BI48,3)</f>
        <v>44.804000000000002</v>
      </c>
      <c r="DW48" s="10">
        <f ca="1">ROUND('RES Assumptions'!AB131*'RES Veda input'!AD48/'RES Veda input'!BJ48,3)</f>
        <v>3.528</v>
      </c>
      <c r="DX48" s="10">
        <f ca="1">ROUND('RES Assumptions'!AC131*'RES Veda input'!AE48/'RES Veda input'!BK48,3)</f>
        <v>44.031999999999996</v>
      </c>
      <c r="DY48" s="10">
        <f ca="1">ROUND('RES Assumptions'!AD131*'RES Veda input'!AF48/'RES Veda input'!BL48,3)</f>
        <v>21.510999999999999</v>
      </c>
      <c r="DZ48" s="10">
        <f ca="1">ROUND('RES Assumptions'!AE131*'RES Veda input'!AG48/'RES Veda input'!BM48,3)</f>
        <v>21.023</v>
      </c>
      <c r="EA48" s="10">
        <f ca="1">ROUND('RES Assumptions'!AF131*'RES Veda input'!AH48/'RES Veda input'!BN48,3)</f>
        <v>8.9450000000000003</v>
      </c>
      <c r="EB48" s="10">
        <f ca="1">ROUND('RES Assumptions'!AG131*'RES Veda input'!AI48/'RES Veda input'!BO48,3)</f>
        <v>307.06</v>
      </c>
      <c r="EC48" s="10">
        <f ca="1">ROUND('RES Assumptions'!AH131*'RES Veda input'!AJ48/'RES Veda input'!BP48,3)</f>
        <v>0</v>
      </c>
      <c r="ED48">
        <v>15</v>
      </c>
      <c r="EG48" t="s">
        <v>281</v>
      </c>
      <c r="EH48" t="str">
        <f t="shared" si="64"/>
        <v>RLIICE000</v>
      </c>
      <c r="EJ48" t="s">
        <v>282</v>
      </c>
      <c r="EK48" t="s">
        <v>283</v>
      </c>
    </row>
    <row r="49" spans="1:141" x14ac:dyDescent="0.45">
      <c r="A49" s="37" t="str">
        <f>'RES Assumptions'!B132</f>
        <v>RL</v>
      </c>
      <c r="B49" s="37" t="s">
        <v>154</v>
      </c>
      <c r="D49" s="51" t="s">
        <v>313</v>
      </c>
      <c r="E49" s="8" t="str">
        <f>'RES Assumptions'!A132</f>
        <v>RESKER</v>
      </c>
      <c r="F49" s="8" t="str">
        <f>VLOOKUP(A49,'RES Assumptions'!$AN$87:$AO$97,2,FALSE)</f>
        <v>RLI</v>
      </c>
      <c r="G49" s="9">
        <f ca="1">OFFSET('RES Techs T15'!$F49,0,MATCH(VLOOKUP('RES Veda input'!G$3,'RES Assumptions T15'!$V$3:$W$35,2,FALSE),'RES Techs T15'!$G$3:$U$3,0))</f>
        <v>0.4</v>
      </c>
      <c r="H49" s="9">
        <f ca="1">OFFSET('RES Techs T15'!$F49,0,MATCH(VLOOKUP('RES Veda input'!H$3,'RES Assumptions T15'!$V$3:$W$35,2,FALSE),'RES Techs T15'!$G$3:$U$3,0))</f>
        <v>0.4</v>
      </c>
      <c r="I49" s="9">
        <f ca="1">OFFSET('RES Techs T15'!$F49,0,MATCH(VLOOKUP('RES Veda input'!I$3,'RES Assumptions T15'!$V$3:$W$35,2,FALSE),'RES Techs T15'!$G$3:$U$3,0))</f>
        <v>0.4</v>
      </c>
      <c r="J49" s="9">
        <f ca="1">OFFSET('RES Techs T15'!$F49,0,MATCH(VLOOKUP('RES Veda input'!J$3,'RES Assumptions T15'!$V$3:$W$35,2,FALSE),'RES Techs T15'!$G$3:$U$3,0))</f>
        <v>0.4</v>
      </c>
      <c r="K49" s="9">
        <f ca="1">OFFSET('RES Techs T15'!$F49,0,MATCH(VLOOKUP('RES Veda input'!K$3,'RES Assumptions T15'!$V$3:$W$35,2,FALSE),'RES Techs T15'!$G$3:$U$3,0))</f>
        <v>0.4</v>
      </c>
      <c r="L49" s="9">
        <f ca="1">OFFSET('RES Techs T15'!$F49,0,MATCH(VLOOKUP('RES Veda input'!L$3,'RES Assumptions T15'!$V$3:$W$35,2,FALSE),'RES Techs T15'!$G$3:$U$3,0))</f>
        <v>0.4</v>
      </c>
      <c r="M49" s="9">
        <f ca="1">OFFSET('RES Techs T15'!$F49,0,MATCH(VLOOKUP('RES Veda input'!M$3,'RES Assumptions T15'!$V$3:$W$35,2,FALSE),'RES Techs T15'!$G$3:$U$3,0))</f>
        <v>0.4</v>
      </c>
      <c r="N49" s="9">
        <f ca="1">OFFSET('RES Techs T15'!$F49,0,MATCH(VLOOKUP('RES Veda input'!N$3,'RES Assumptions T15'!$V$3:$W$35,2,FALSE),'RES Techs T15'!$G$3:$U$3,0))</f>
        <v>0.4</v>
      </c>
      <c r="O49" s="9">
        <f ca="1">OFFSET('RES Techs T15'!$F49,0,MATCH(VLOOKUP('RES Veda input'!O$3,'RES Assumptions T15'!$V$3:$W$35,2,FALSE),'RES Techs T15'!$G$3:$U$3,0))</f>
        <v>0.4</v>
      </c>
      <c r="P49" s="9">
        <f ca="1">OFFSET('RES Techs T15'!$F49,0,MATCH(VLOOKUP('RES Veda input'!P$3,'RES Assumptions T15'!$V$3:$W$35,2,FALSE),'RES Techs T15'!$G$3:$U$3,0))</f>
        <v>0.4</v>
      </c>
      <c r="Q49" s="9">
        <f ca="1">OFFSET('RES Techs T15'!$F49,0,MATCH(VLOOKUP('RES Veda input'!Q$3,'RES Assumptions T15'!$V$3:$W$35,2,FALSE),'RES Techs T15'!$G$3:$U$3,0))</f>
        <v>0.4</v>
      </c>
      <c r="R49" s="9">
        <f ca="1">OFFSET('RES Techs T15'!$F49,0,MATCH(VLOOKUP('RES Veda input'!R$3,'RES Assumptions T15'!$V$3:$W$35,2,FALSE),'RES Techs T15'!$G$3:$U$3,0))</f>
        <v>0.4</v>
      </c>
      <c r="S49" s="9">
        <f ca="1">OFFSET('RES Techs T15'!$F49,0,MATCH(VLOOKUP('RES Veda input'!S$3,'RES Assumptions T15'!$V$3:$W$35,2,FALSE),'RES Techs T15'!$G$3:$U$3,0))</f>
        <v>0.4</v>
      </c>
      <c r="T49" s="9">
        <f ca="1">OFFSET('RES Techs T15'!$F49,0,MATCH(VLOOKUP('RES Veda input'!T$3,'RES Assumptions T15'!$V$3:$W$35,2,FALSE),'RES Techs T15'!$G$3:$U$3,0))</f>
        <v>0.4</v>
      </c>
      <c r="U49" s="9">
        <f ca="1">OFFSET('RES Techs T15'!$F49,0,MATCH(VLOOKUP('RES Veda input'!U$3,'RES Assumptions T15'!$V$3:$W$35,2,FALSE),'RES Techs T15'!$G$3:$U$3,0))</f>
        <v>0.4</v>
      </c>
      <c r="V49" s="9">
        <f ca="1">OFFSET('RES Techs T15'!$F49,0,MATCH(VLOOKUP('RES Veda input'!V$3,'RES Assumptions T15'!$V$3:$W$35,2,FALSE),'RES Techs T15'!$G$3:$U$3,0))</f>
        <v>0.4</v>
      </c>
      <c r="W49" s="9">
        <f ca="1">OFFSET('RES Techs T15'!$F49,0,MATCH(VLOOKUP('RES Veda input'!W$3,'RES Assumptions T15'!$V$3:$W$35,2,FALSE),'RES Techs T15'!$G$3:$U$3,0))</f>
        <v>0.4</v>
      </c>
      <c r="X49" s="9">
        <f ca="1">OFFSET('RES Techs T15'!$F49,0,MATCH(VLOOKUP('RES Veda input'!X$3,'RES Assumptions T15'!$V$3:$W$35,2,FALSE),'RES Techs T15'!$G$3:$U$3,0))</f>
        <v>0.4</v>
      </c>
      <c r="Y49" s="9">
        <f ca="1">OFFSET('RES Techs T15'!$F49,0,MATCH(VLOOKUP('RES Veda input'!Y$3,'RES Assumptions T15'!$V$3:$W$35,2,FALSE),'RES Techs T15'!$G$3:$U$3,0))</f>
        <v>0.4</v>
      </c>
      <c r="Z49" s="9">
        <f ca="1">OFFSET('RES Techs T15'!$F49,0,MATCH(VLOOKUP('RES Veda input'!Z$3,'RES Assumptions T15'!$V$3:$W$35,2,FALSE),'RES Techs T15'!$G$3:$U$3,0))</f>
        <v>0.4</v>
      </c>
      <c r="AA49" s="9">
        <f ca="1">OFFSET('RES Techs T15'!$F49,0,MATCH(VLOOKUP('RES Veda input'!AA$3,'RES Assumptions T15'!$V$3:$W$35,2,FALSE),'RES Techs T15'!$G$3:$U$3,0))</f>
        <v>0.4</v>
      </c>
      <c r="AB49" s="9">
        <f ca="1">OFFSET('RES Techs T15'!$F49,0,MATCH(VLOOKUP('RES Veda input'!AB$3,'RES Assumptions T15'!$V$3:$W$35,2,FALSE),'RES Techs T15'!$G$3:$U$3,0))</f>
        <v>0.4</v>
      </c>
      <c r="AC49" s="9">
        <f ca="1">OFFSET('RES Techs T15'!$F49,0,MATCH(VLOOKUP('RES Veda input'!AC$3,'RES Assumptions T15'!$V$3:$W$35,2,FALSE),'RES Techs T15'!$G$3:$U$3,0))</f>
        <v>0.4</v>
      </c>
      <c r="AD49" s="9">
        <f ca="1">OFFSET('RES Techs T15'!$F49,0,MATCH(VLOOKUP('RES Veda input'!AD$3,'RES Assumptions T15'!$V$3:$W$35,2,FALSE),'RES Techs T15'!$G$3:$U$3,0))</f>
        <v>0.4</v>
      </c>
      <c r="AE49" s="9">
        <f ca="1">OFFSET('RES Techs T15'!$F49,0,MATCH(VLOOKUP('RES Veda input'!AE$3,'RES Assumptions T15'!$V$3:$W$35,2,FALSE),'RES Techs T15'!$G$3:$U$3,0))</f>
        <v>0.4</v>
      </c>
      <c r="AF49" s="9">
        <f ca="1">OFFSET('RES Techs T15'!$F49,0,MATCH(VLOOKUP('RES Veda input'!AF$3,'RES Assumptions T15'!$V$3:$W$35,2,FALSE),'RES Techs T15'!$G$3:$U$3,0))</f>
        <v>0.4</v>
      </c>
      <c r="AG49" s="9">
        <f ca="1">OFFSET('RES Techs T15'!$F49,0,MATCH(VLOOKUP('RES Veda input'!AG$3,'RES Assumptions T15'!$V$3:$W$35,2,FALSE),'RES Techs T15'!$G$3:$U$3,0))</f>
        <v>0.4</v>
      </c>
      <c r="AH49" s="9">
        <f ca="1">OFFSET('RES Techs T15'!$F49,0,MATCH(VLOOKUP('RES Veda input'!AH$3,'RES Assumptions T15'!$V$3:$W$35,2,FALSE),'RES Techs T15'!$G$3:$U$3,0))</f>
        <v>0.4</v>
      </c>
      <c r="AI49" s="9">
        <f ca="1">OFFSET('RES Techs T15'!$F49,0,MATCH(VLOOKUP('RES Veda input'!AI$3,'RES Assumptions T15'!$V$3:$W$35,2,FALSE),'RES Techs T15'!$G$3:$U$3,0))</f>
        <v>0.4</v>
      </c>
      <c r="AJ49" s="9">
        <f ca="1">OFFSET('RES Techs T15'!$F49,0,MATCH(VLOOKUP('RES Veda input'!AJ$3,'RES Assumptions T15'!$V$3:$W$35,2,FALSE),'RES Techs T15'!$G$3:$U$3,0))</f>
        <v>0.4</v>
      </c>
      <c r="AL49" s="8" t="str">
        <f t="shared" si="60"/>
        <v>RLIKER000</v>
      </c>
      <c r="AM49" s="9">
        <f ca="1">OFFSET('RES Techs T15'!$W49,0,MATCH(VLOOKUP('RES Veda input'!AM$3,'RES Assumptions T15'!$V$3:$W$35,2,FALSE),'RES Techs T15'!$G$3:$U$3,0))</f>
        <v>1</v>
      </c>
      <c r="AN49" s="9">
        <f ca="1">OFFSET('RES Techs T15'!$W49,0,MATCH(VLOOKUP('RES Veda input'!AN$3,'RES Assumptions T15'!$V$3:$W$35,2,FALSE),'RES Techs T15'!$G$3:$U$3,0))</f>
        <v>1</v>
      </c>
      <c r="AO49" s="9">
        <f ca="1">OFFSET('RES Techs T15'!$W49,0,MATCH(VLOOKUP('RES Veda input'!AO$3,'RES Assumptions T15'!$V$3:$W$35,2,FALSE),'RES Techs T15'!$G$3:$U$3,0))</f>
        <v>1</v>
      </c>
      <c r="AP49" s="9">
        <f ca="1">OFFSET('RES Techs T15'!$W49,0,MATCH(VLOOKUP('RES Veda input'!AP$3,'RES Assumptions T15'!$V$3:$W$35,2,FALSE),'RES Techs T15'!$G$3:$U$3,0))</f>
        <v>1</v>
      </c>
      <c r="AQ49" s="9">
        <f ca="1">OFFSET('RES Techs T15'!$W49,0,MATCH(VLOOKUP('RES Veda input'!AQ$3,'RES Assumptions T15'!$V$3:$W$35,2,FALSE),'RES Techs T15'!$G$3:$U$3,0))</f>
        <v>1</v>
      </c>
      <c r="AR49" s="9">
        <f ca="1">OFFSET('RES Techs T15'!$W49,0,MATCH(VLOOKUP('RES Veda input'!AR$3,'RES Assumptions T15'!$V$3:$W$35,2,FALSE),'RES Techs T15'!$G$3:$U$3,0))</f>
        <v>1</v>
      </c>
      <c r="AS49" s="9">
        <f ca="1">OFFSET('RES Techs T15'!$W49,0,MATCH(VLOOKUP('RES Veda input'!AS$3,'RES Assumptions T15'!$V$3:$W$35,2,FALSE),'RES Techs T15'!$G$3:$U$3,0))</f>
        <v>1</v>
      </c>
      <c r="AT49" s="9">
        <f ca="1">OFFSET('RES Techs T15'!$W49,0,MATCH(VLOOKUP('RES Veda input'!AT$3,'RES Assumptions T15'!$V$3:$W$35,2,FALSE),'RES Techs T15'!$G$3:$U$3,0))</f>
        <v>1</v>
      </c>
      <c r="AU49" s="9">
        <f ca="1">OFFSET('RES Techs T15'!$W49,0,MATCH(VLOOKUP('RES Veda input'!AU$3,'RES Assumptions T15'!$V$3:$W$35,2,FALSE),'RES Techs T15'!$G$3:$U$3,0))</f>
        <v>1</v>
      </c>
      <c r="AV49" s="9">
        <f ca="1">OFFSET('RES Techs T15'!$W49,0,MATCH(VLOOKUP('RES Veda input'!AV$3,'RES Assumptions T15'!$V$3:$W$35,2,FALSE),'RES Techs T15'!$G$3:$U$3,0))</f>
        <v>1</v>
      </c>
      <c r="AW49" s="9">
        <f ca="1">OFFSET('RES Techs T15'!$W49,0,MATCH(VLOOKUP('RES Veda input'!AW$3,'RES Assumptions T15'!$V$3:$W$35,2,FALSE),'RES Techs T15'!$G$3:$U$3,0))</f>
        <v>1</v>
      </c>
      <c r="AX49" s="9">
        <f ca="1">OFFSET('RES Techs T15'!$W49,0,MATCH(VLOOKUP('RES Veda input'!AX$3,'RES Assumptions T15'!$V$3:$W$35,2,FALSE),'RES Techs T15'!$G$3:$U$3,0))</f>
        <v>1</v>
      </c>
      <c r="AY49" s="9">
        <f ca="1">OFFSET('RES Techs T15'!$W49,0,MATCH(VLOOKUP('RES Veda input'!AY$3,'RES Assumptions T15'!$V$3:$W$35,2,FALSE),'RES Techs T15'!$G$3:$U$3,0))</f>
        <v>1</v>
      </c>
      <c r="AZ49" s="9">
        <f ca="1">OFFSET('RES Techs T15'!$W49,0,MATCH(VLOOKUP('RES Veda input'!AZ$3,'RES Assumptions T15'!$V$3:$W$35,2,FALSE),'RES Techs T15'!$G$3:$U$3,0))</f>
        <v>1</v>
      </c>
      <c r="BA49" s="9">
        <f ca="1">OFFSET('RES Techs T15'!$W49,0,MATCH(VLOOKUP('RES Veda input'!BA$3,'RES Assumptions T15'!$V$3:$W$35,2,FALSE),'RES Techs T15'!$G$3:$U$3,0))</f>
        <v>1</v>
      </c>
      <c r="BB49" s="9">
        <f ca="1">OFFSET('RES Techs T15'!$W49,0,MATCH(VLOOKUP('RES Veda input'!BB$3,'RES Assumptions T15'!$V$3:$W$35,2,FALSE),'RES Techs T15'!$G$3:$U$3,0))</f>
        <v>1</v>
      </c>
      <c r="BC49" s="9">
        <f ca="1">OFFSET('RES Techs T15'!$W49,0,MATCH(VLOOKUP('RES Veda input'!BC$3,'RES Assumptions T15'!$V$3:$W$35,2,FALSE),'RES Techs T15'!$G$3:$U$3,0))</f>
        <v>1</v>
      </c>
      <c r="BD49" s="9">
        <f ca="1">OFFSET('RES Techs T15'!$W49,0,MATCH(VLOOKUP('RES Veda input'!BD$3,'RES Assumptions T15'!$V$3:$W$35,2,FALSE),'RES Techs T15'!$G$3:$U$3,0))</f>
        <v>1</v>
      </c>
      <c r="BE49" s="9">
        <f ca="1">OFFSET('RES Techs T15'!$W49,0,MATCH(VLOOKUP('RES Veda input'!BE$3,'RES Assumptions T15'!$V$3:$W$35,2,FALSE),'RES Techs T15'!$G$3:$U$3,0))</f>
        <v>1</v>
      </c>
      <c r="BF49" s="9">
        <f ca="1">OFFSET('RES Techs T15'!$W49,0,MATCH(VLOOKUP('RES Veda input'!BF$3,'RES Assumptions T15'!$V$3:$W$35,2,FALSE),'RES Techs T15'!$G$3:$U$3,0))</f>
        <v>1</v>
      </c>
      <c r="BG49" s="9">
        <f ca="1">OFFSET('RES Techs T15'!$W49,0,MATCH(VLOOKUP('RES Veda input'!BG$3,'RES Assumptions T15'!$V$3:$W$35,2,FALSE),'RES Techs T15'!$G$3:$U$3,0))</f>
        <v>1</v>
      </c>
      <c r="BH49" s="9">
        <f ca="1">OFFSET('RES Techs T15'!$W49,0,MATCH(VLOOKUP('RES Veda input'!BH$3,'RES Assumptions T15'!$V$3:$W$35,2,FALSE),'RES Techs T15'!$G$3:$U$3,0))</f>
        <v>1</v>
      </c>
      <c r="BI49" s="9">
        <f ca="1">OFFSET('RES Techs T15'!$W49,0,MATCH(VLOOKUP('RES Veda input'!BI$3,'RES Assumptions T15'!$V$3:$W$35,2,FALSE),'RES Techs T15'!$G$3:$U$3,0))</f>
        <v>1</v>
      </c>
      <c r="BJ49" s="9">
        <f ca="1">OFFSET('RES Techs T15'!$W49,0,MATCH(VLOOKUP('RES Veda input'!BJ$3,'RES Assumptions T15'!$V$3:$W$35,2,FALSE),'RES Techs T15'!$G$3:$U$3,0))</f>
        <v>1</v>
      </c>
      <c r="BK49" s="9">
        <f ca="1">OFFSET('RES Techs T15'!$W49,0,MATCH(VLOOKUP('RES Veda input'!BK$3,'RES Assumptions T15'!$V$3:$W$35,2,FALSE),'RES Techs T15'!$G$3:$U$3,0))</f>
        <v>1</v>
      </c>
      <c r="BL49" s="9">
        <f ca="1">OFFSET('RES Techs T15'!$W49,0,MATCH(VLOOKUP('RES Veda input'!BL$3,'RES Assumptions T15'!$V$3:$W$35,2,FALSE),'RES Techs T15'!$G$3:$U$3,0))</f>
        <v>1</v>
      </c>
      <c r="BM49" s="9">
        <f ca="1">OFFSET('RES Techs T15'!$W49,0,MATCH(VLOOKUP('RES Veda input'!BM$3,'RES Assumptions T15'!$V$3:$W$35,2,FALSE),'RES Techs T15'!$G$3:$U$3,0))</f>
        <v>1</v>
      </c>
      <c r="BN49" s="9">
        <f ca="1">OFFSET('RES Techs T15'!$W49,0,MATCH(VLOOKUP('RES Veda input'!BN$3,'RES Assumptions T15'!$V$3:$W$35,2,FALSE),'RES Techs T15'!$G$3:$U$3,0))</f>
        <v>1</v>
      </c>
      <c r="BO49" s="9">
        <f ca="1">OFFSET('RES Techs T15'!$W49,0,MATCH(VLOOKUP('RES Veda input'!BO$3,'RES Assumptions T15'!$V$3:$W$35,2,FALSE),'RES Techs T15'!$G$3:$U$3,0))</f>
        <v>1</v>
      </c>
      <c r="BP49" s="9">
        <f ca="1">OFFSET('RES Techs T15'!$W49,0,MATCH(VLOOKUP('RES Veda input'!BP$3,'RES Assumptions T15'!$V$3:$W$35,2,FALSE),'RES Techs T15'!$G$3:$U$3,0))</f>
        <v>1</v>
      </c>
      <c r="BR49" s="8" t="str">
        <f t="shared" si="61"/>
        <v>RLIKER000</v>
      </c>
      <c r="BS49" s="9">
        <f t="shared" ca="1" si="62"/>
        <v>7.2</v>
      </c>
      <c r="BT49" s="9" t="str">
        <f ca="1">IF(OFFSET('RES Techs T15'!$AO49,0,MATCH(VLOOKUP('RES Veda input'!BT$3,'RES Assumptions T15'!$V$3:$W$35,2,FALSE),'RES Techs T15'!$G$3:$U$3,0))=0,"",OFFSET('RES Techs T15'!$AO49,0,MATCH(VLOOKUP('RES Veda input'!BT$3,'RES Assumptions T15'!$V$3:$W$35,2,FALSE),'RES Techs T15'!$G$3:$U$3,0)))</f>
        <v/>
      </c>
      <c r="BU49" s="9" t="str">
        <f ca="1">IF(OFFSET('RES Techs T15'!$AO49,0,MATCH(VLOOKUP('RES Veda input'!BU$3,'RES Assumptions T15'!$V$3:$W$35,2,FALSE),'RES Techs T15'!$G$3:$U$3,0))=0,"",OFFSET('RES Techs T15'!$AO49,0,MATCH(VLOOKUP('RES Veda input'!BU$3,'RES Assumptions T15'!$V$3:$W$35,2,FALSE),'RES Techs T15'!$G$3:$U$3,0)))</f>
        <v/>
      </c>
      <c r="BV49" s="9">
        <f ca="1">IF(OFFSET('RES Techs T15'!$AO49,0,MATCH(VLOOKUP('RES Veda input'!BV$3,'RES Assumptions T15'!$V$3:$W$35,2,FALSE),'RES Techs T15'!$G$3:$U$3,0))=0,"",OFFSET('RES Techs T15'!$AO49,0,MATCH(VLOOKUP('RES Veda input'!BV$3,'RES Assumptions T15'!$V$3:$W$35,2,FALSE),'RES Techs T15'!$G$3:$U$3,0)))</f>
        <v>8.4</v>
      </c>
      <c r="BW49" s="9" t="str">
        <f ca="1">IF(OFFSET('RES Techs T15'!$AO49,0,MATCH(VLOOKUP('RES Veda input'!BW$3,'RES Assumptions T15'!$V$3:$W$35,2,FALSE),'RES Techs T15'!$G$3:$U$3,0))=0,"",OFFSET('RES Techs T15'!$AO49,0,MATCH(VLOOKUP('RES Veda input'!BW$3,'RES Assumptions T15'!$V$3:$W$35,2,FALSE),'RES Techs T15'!$G$3:$U$3,0)))</f>
        <v/>
      </c>
      <c r="BX49" s="9">
        <f ca="1">IF(OFFSET('RES Techs T15'!$AO49,0,MATCH(VLOOKUP('RES Veda input'!BX$3,'RES Assumptions T15'!$V$3:$W$35,2,FALSE),'RES Techs T15'!$G$3:$U$3,0))=0,"",OFFSET('RES Techs T15'!$AO49,0,MATCH(VLOOKUP('RES Veda input'!BX$3,'RES Assumptions T15'!$V$3:$W$35,2,FALSE),'RES Techs T15'!$G$3:$U$3,0)))</f>
        <v>12</v>
      </c>
      <c r="BY49" s="9">
        <f ca="1">IF(OFFSET('RES Techs T15'!$AO49,0,MATCH(VLOOKUP('RES Veda input'!BY$3,'RES Assumptions T15'!$V$3:$W$35,2,FALSE),'RES Techs T15'!$G$3:$U$3,0))=0,"",OFFSET('RES Techs T15'!$AO49,0,MATCH(VLOOKUP('RES Veda input'!BY$3,'RES Assumptions T15'!$V$3:$W$35,2,FALSE),'RES Techs T15'!$G$3:$U$3,0)))</f>
        <v>7.2</v>
      </c>
      <c r="BZ49" s="9" t="str">
        <f ca="1">IF(OFFSET('RES Techs T15'!$AO49,0,MATCH(VLOOKUP('RES Veda input'!BZ$3,'RES Assumptions T15'!$V$3:$W$35,2,FALSE),'RES Techs T15'!$G$3:$U$3,0))=0,"",OFFSET('RES Techs T15'!$AO49,0,MATCH(VLOOKUP('RES Veda input'!BZ$3,'RES Assumptions T15'!$V$3:$W$35,2,FALSE),'RES Techs T15'!$G$3:$U$3,0)))</f>
        <v/>
      </c>
      <c r="CA49" s="9">
        <f ca="1">IF(OFFSET('RES Techs T15'!$AO49,0,MATCH(VLOOKUP('RES Veda input'!CA$3,'RES Assumptions T15'!$V$3:$W$35,2,FALSE),'RES Techs T15'!$G$3:$U$3,0))=0,"",OFFSET('RES Techs T15'!$AO49,0,MATCH(VLOOKUP('RES Veda input'!CA$3,'RES Assumptions T15'!$V$3:$W$35,2,FALSE),'RES Techs T15'!$G$3:$U$3,0)))</f>
        <v>8.4</v>
      </c>
      <c r="CB49" s="9" t="str">
        <f ca="1">IF(OFFSET('RES Techs T15'!$AO49,0,MATCH(VLOOKUP('RES Veda input'!CB$3,'RES Assumptions T15'!$V$3:$W$35,2,FALSE),'RES Techs T15'!$G$3:$U$3,0))=0,"",OFFSET('RES Techs T15'!$AO49,0,MATCH(VLOOKUP('RES Veda input'!CB$3,'RES Assumptions T15'!$V$3:$W$35,2,FALSE),'RES Techs T15'!$G$3:$U$3,0)))</f>
        <v/>
      </c>
      <c r="CC49" s="9">
        <f ca="1">IF(OFFSET('RES Techs T15'!$AO49,0,MATCH(VLOOKUP('RES Veda input'!CC$3,'RES Assumptions T15'!$V$3:$W$35,2,FALSE),'RES Techs T15'!$G$3:$U$3,0))=0,"",OFFSET('RES Techs T15'!$AO49,0,MATCH(VLOOKUP('RES Veda input'!CC$3,'RES Assumptions T15'!$V$3:$W$35,2,FALSE),'RES Techs T15'!$G$3:$U$3,0)))</f>
        <v>7.2</v>
      </c>
      <c r="CD49" s="9" t="str">
        <f ca="1">IF(OFFSET('RES Techs T15'!$AO49,0,MATCH(VLOOKUP('RES Veda input'!CD$3,'RES Assumptions T15'!$V$3:$W$35,2,FALSE),'RES Techs T15'!$G$3:$U$3,0))=0,"",OFFSET('RES Techs T15'!$AO49,0,MATCH(VLOOKUP('RES Veda input'!CD$3,'RES Assumptions T15'!$V$3:$W$35,2,FALSE),'RES Techs T15'!$G$3:$U$3,0)))</f>
        <v/>
      </c>
      <c r="CE49" s="9" t="str">
        <f ca="1">IF(OFFSET('RES Techs T15'!$AO49,0,MATCH(VLOOKUP('RES Veda input'!CE$3,'RES Assumptions T15'!$V$3:$W$35,2,FALSE),'RES Techs T15'!$G$3:$U$3,0))=0,"",OFFSET('RES Techs T15'!$AO49,0,MATCH(VLOOKUP('RES Veda input'!CE$3,'RES Assumptions T15'!$V$3:$W$35,2,FALSE),'RES Techs T15'!$G$3:$U$3,0)))</f>
        <v/>
      </c>
      <c r="CF49" s="9" t="str">
        <f ca="1">IF(OFFSET('RES Techs T15'!$AO49,0,MATCH(VLOOKUP('RES Veda input'!CF$3,'RES Assumptions T15'!$V$3:$W$35,2,FALSE),'RES Techs T15'!$G$3:$U$3,0))=0,"",OFFSET('RES Techs T15'!$AO49,0,MATCH(VLOOKUP('RES Veda input'!CF$3,'RES Assumptions T15'!$V$3:$W$35,2,FALSE),'RES Techs T15'!$G$3:$U$3,0)))</f>
        <v/>
      </c>
      <c r="CG49" s="9" t="str">
        <f ca="1">IF(OFFSET('RES Techs T15'!$AO49,0,MATCH(VLOOKUP('RES Veda input'!CG$3,'RES Assumptions T15'!$V$3:$W$35,2,FALSE),'RES Techs T15'!$G$3:$U$3,0))=0,"",OFFSET('RES Techs T15'!$AO49,0,MATCH(VLOOKUP('RES Veda input'!CG$3,'RES Assumptions T15'!$V$3:$W$35,2,FALSE),'RES Techs T15'!$G$3:$U$3,0)))</f>
        <v/>
      </c>
      <c r="CH49" s="9" t="str">
        <f ca="1">IF(OFFSET('RES Techs T15'!$AO49,0,MATCH(VLOOKUP('RES Veda input'!CH$3,'RES Assumptions T15'!$V$3:$W$35,2,FALSE),'RES Techs T15'!$G$3:$U$3,0))=0,"",OFFSET('RES Techs T15'!$AO49,0,MATCH(VLOOKUP('RES Veda input'!CH$3,'RES Assumptions T15'!$V$3:$W$35,2,FALSE),'RES Techs T15'!$G$3:$U$3,0)))</f>
        <v/>
      </c>
      <c r="CI49" s="9" t="str">
        <f ca="1">IF(OFFSET('RES Techs T15'!$AO49,0,MATCH(VLOOKUP('RES Veda input'!CI$3,'RES Assumptions T15'!$V$3:$W$35,2,FALSE),'RES Techs T15'!$G$3:$U$3,0))=0,"",OFFSET('RES Techs T15'!$AO49,0,MATCH(VLOOKUP('RES Veda input'!CI$3,'RES Assumptions T15'!$V$3:$W$35,2,FALSE),'RES Techs T15'!$G$3:$U$3,0)))</f>
        <v/>
      </c>
      <c r="CJ49" s="9">
        <f ca="1">IF(OFFSET('RES Techs T15'!$AO49,0,MATCH(VLOOKUP('RES Veda input'!CJ$3,'RES Assumptions T15'!$V$3:$W$35,2,FALSE),'RES Techs T15'!$G$3:$U$3,0))=0,"",OFFSET('RES Techs T15'!$AO49,0,MATCH(VLOOKUP('RES Veda input'!CJ$3,'RES Assumptions T15'!$V$3:$W$35,2,FALSE),'RES Techs T15'!$G$3:$U$3,0)))</f>
        <v>8.4</v>
      </c>
      <c r="CK49" s="9" t="str">
        <f ca="1">IF(OFFSET('RES Techs T15'!$AO49,0,MATCH(VLOOKUP('RES Veda input'!CK$3,'RES Assumptions T15'!$V$3:$W$35,2,FALSE),'RES Techs T15'!$G$3:$U$3,0))=0,"",OFFSET('RES Techs T15'!$AO49,0,MATCH(VLOOKUP('RES Veda input'!CK$3,'RES Assumptions T15'!$V$3:$W$35,2,FALSE),'RES Techs T15'!$G$3:$U$3,0)))</f>
        <v/>
      </c>
      <c r="CL49" s="9" t="str">
        <f ca="1">IF(OFFSET('RES Techs T15'!$AO49,0,MATCH(VLOOKUP('RES Veda input'!CL$3,'RES Assumptions T15'!$V$3:$W$35,2,FALSE),'RES Techs T15'!$G$3:$U$3,0))=0,"",OFFSET('RES Techs T15'!$AO49,0,MATCH(VLOOKUP('RES Veda input'!CL$3,'RES Assumptions T15'!$V$3:$W$35,2,FALSE),'RES Techs T15'!$G$3:$U$3,0)))</f>
        <v/>
      </c>
      <c r="CM49" s="9">
        <f ca="1">IF(OFFSET('RES Techs T15'!$AO49,0,MATCH(VLOOKUP('RES Veda input'!CM$3,'RES Assumptions T15'!$V$3:$W$35,2,FALSE),'RES Techs T15'!$G$3:$U$3,0))=0,"",OFFSET('RES Techs T15'!$AO49,0,MATCH(VLOOKUP('RES Veda input'!CM$3,'RES Assumptions T15'!$V$3:$W$35,2,FALSE),'RES Techs T15'!$G$3:$U$3,0)))</f>
        <v>7.2</v>
      </c>
      <c r="CN49" s="9">
        <f ca="1">IF(OFFSET('RES Techs T15'!$AO49,0,MATCH(VLOOKUP('RES Veda input'!CN$3,'RES Assumptions T15'!$V$3:$W$35,2,FALSE),'RES Techs T15'!$G$3:$U$3,0))=0,"",OFFSET('RES Techs T15'!$AO49,0,MATCH(VLOOKUP('RES Veda input'!CN$3,'RES Assumptions T15'!$V$3:$W$35,2,FALSE),'RES Techs T15'!$G$3:$U$3,0)))</f>
        <v>8.4</v>
      </c>
      <c r="CO49" s="9">
        <f ca="1">IF(OFFSET('RES Techs T15'!$AO49,0,MATCH(VLOOKUP('RES Veda input'!CO$3,'RES Assumptions T15'!$V$3:$W$35,2,FALSE),'RES Techs T15'!$G$3:$U$3,0))=0,"",OFFSET('RES Techs T15'!$AO49,0,MATCH(VLOOKUP('RES Veda input'!CO$3,'RES Assumptions T15'!$V$3:$W$35,2,FALSE),'RES Techs T15'!$G$3:$U$3,0)))</f>
        <v>9.6</v>
      </c>
      <c r="CP49" s="9">
        <f ca="1">IF(OFFSET('RES Techs T15'!$AO49,0,MATCH(VLOOKUP('RES Veda input'!CP$3,'RES Assumptions T15'!$V$3:$W$35,2,FALSE),'RES Techs T15'!$G$3:$U$3,0))=0,"",OFFSET('RES Techs T15'!$AO49,0,MATCH(VLOOKUP('RES Veda input'!CP$3,'RES Assumptions T15'!$V$3:$W$35,2,FALSE),'RES Techs T15'!$G$3:$U$3,0)))</f>
        <v>8.4</v>
      </c>
      <c r="CQ49" s="9" t="str">
        <f ca="1">IF(OFFSET('RES Techs T15'!$AO49,0,MATCH(VLOOKUP('RES Veda input'!CQ$3,'RES Assumptions T15'!$V$3:$W$35,2,FALSE),'RES Techs T15'!$G$3:$U$3,0))=0,"",OFFSET('RES Techs T15'!$AO49,0,MATCH(VLOOKUP('RES Veda input'!CQ$3,'RES Assumptions T15'!$V$3:$W$35,2,FALSE),'RES Techs T15'!$G$3:$U$3,0)))</f>
        <v/>
      </c>
      <c r="CR49" s="9" t="str">
        <f ca="1">IF(OFFSET('RES Techs T15'!$AO49,0,MATCH(VLOOKUP('RES Veda input'!CR$3,'RES Assumptions T15'!$V$3:$W$35,2,FALSE),'RES Techs T15'!$G$3:$U$3,0))=0,"",OFFSET('RES Techs T15'!$AO49,0,MATCH(VLOOKUP('RES Veda input'!CR$3,'RES Assumptions T15'!$V$3:$W$35,2,FALSE),'RES Techs T15'!$G$3:$U$3,0)))</f>
        <v/>
      </c>
      <c r="CS49" s="9">
        <f ca="1">IF(OFFSET('RES Techs T15'!$AO49,0,MATCH(VLOOKUP('RES Veda input'!CS$3,'RES Assumptions T15'!$V$3:$W$35,2,FALSE),'RES Techs T15'!$G$3:$U$3,0))=0,"",OFFSET('RES Techs T15'!$AO49,0,MATCH(VLOOKUP('RES Veda input'!CS$3,'RES Assumptions T15'!$V$3:$W$35,2,FALSE),'RES Techs T15'!$G$3:$U$3,0)))</f>
        <v>8.4</v>
      </c>
      <c r="CT49" s="9" t="str">
        <f ca="1">IF(OFFSET('RES Techs T15'!$AO49,0,MATCH(VLOOKUP('RES Veda input'!CT$3,'RES Assumptions T15'!$V$3:$W$35,2,FALSE),'RES Techs T15'!$G$3:$U$3,0))=0,"",OFFSET('RES Techs T15'!$AO49,0,MATCH(VLOOKUP('RES Veda input'!CT$3,'RES Assumptions T15'!$V$3:$W$35,2,FALSE),'RES Techs T15'!$G$3:$U$3,0)))</f>
        <v/>
      </c>
      <c r="CU49" s="9" t="str">
        <f ca="1">IF(OFFSET('RES Techs T15'!$AO49,0,MATCH(VLOOKUP('RES Veda input'!CU$3,'RES Assumptions T15'!$V$3:$W$35,2,FALSE),'RES Techs T15'!$G$3:$U$3,0))=0,"",OFFSET('RES Techs T15'!$AO49,0,MATCH(VLOOKUP('RES Veda input'!CU$3,'RES Assumptions T15'!$V$3:$W$35,2,FALSE),'RES Techs T15'!$G$3:$U$3,0)))</f>
        <v/>
      </c>
      <c r="CV49" s="9" t="str">
        <f ca="1">IF(OFFSET('RES Techs T15'!$AO49,0,MATCH(VLOOKUP('RES Veda input'!CV$3,'RES Assumptions T15'!$V$3:$W$35,2,FALSE),'RES Techs T15'!$G$3:$U$3,0))=0,"",OFFSET('RES Techs T15'!$AO49,0,MATCH(VLOOKUP('RES Veda input'!CV$3,'RES Assumptions T15'!$V$3:$W$35,2,FALSE),'RES Techs T15'!$G$3:$U$3,0)))</f>
        <v/>
      </c>
      <c r="CW49" s="9" t="str">
        <f ca="1">IF(OFFSET('RES Techs T15'!$AO49,0,MATCH(VLOOKUP('RES Veda input'!CW$3,'RES Assumptions T15'!$V$3:$W$35,2,FALSE),'RES Techs T15'!$G$3:$U$3,0))=0,"",OFFSET('RES Techs T15'!$AO49,0,MATCH(VLOOKUP('RES Veda input'!CW$3,'RES Assumptions T15'!$V$3:$W$35,2,FALSE),'RES Techs T15'!$G$3:$U$3,0)))</f>
        <v/>
      </c>
      <c r="CY49" s="8" t="str">
        <f t="shared" si="63"/>
        <v>RLIKER000</v>
      </c>
      <c r="CZ49" s="10">
        <f ca="1">ROUND('RES Assumptions'!E132*'RES Veda input'!G49/'RES Veda input'!AM49,3)</f>
        <v>3.3000000000000002E-2</v>
      </c>
      <c r="DA49" s="10">
        <f ca="1">ROUND('RES Assumptions'!F132*'RES Veda input'!H49/'RES Veda input'!AN49,3)</f>
        <v>0.36799999999999999</v>
      </c>
      <c r="DB49" s="10">
        <f ca="1">ROUND('RES Assumptions'!G132*'RES Veda input'!I49/'RES Veda input'!AO49,3)</f>
        <v>0</v>
      </c>
      <c r="DC49" s="10">
        <f ca="1">ROUND('RES Assumptions'!H132*'RES Veda input'!J49/'RES Veda input'!AP49,3)</f>
        <v>0</v>
      </c>
      <c r="DD49" s="10">
        <f ca="1">ROUND('RES Assumptions'!I132*'RES Veda input'!K49/'RES Veda input'!AQ49,3)</f>
        <v>0</v>
      </c>
      <c r="DE49" s="10">
        <f ca="1">ROUND('RES Assumptions'!J132*'RES Veda input'!L49/'RES Veda input'!AR49,3)</f>
        <v>8.3000000000000004E-2</v>
      </c>
      <c r="DF49" s="10">
        <f ca="1">ROUND('RES Assumptions'!K132*'RES Veda input'!M49/'RES Veda input'!AS49,3)</f>
        <v>0</v>
      </c>
      <c r="DG49" s="10">
        <f ca="1">ROUND('RES Assumptions'!L132*'RES Veda input'!N49/'RES Veda input'!AT49,3)</f>
        <v>0</v>
      </c>
      <c r="DH49" s="10">
        <f ca="1">ROUND('RES Assumptions'!M132*'RES Veda input'!O49/'RES Veda input'!AU49,3)</f>
        <v>0</v>
      </c>
      <c r="DI49" s="10">
        <f ca="1">ROUND('RES Assumptions'!N132*'RES Veda input'!P49/'RES Veda input'!AV49,3)</f>
        <v>0</v>
      </c>
      <c r="DJ49" s="10">
        <f ca="1">ROUND('RES Assumptions'!O132*'RES Veda input'!Q49/'RES Veda input'!AW49,3)</f>
        <v>0</v>
      </c>
      <c r="DK49" s="10">
        <f ca="1">ROUND('RES Assumptions'!P132*'RES Veda input'!R49/'RES Veda input'!AX49,3)</f>
        <v>0</v>
      </c>
      <c r="DL49" s="10">
        <f ca="1">ROUND('RES Assumptions'!Q132*'RES Veda input'!S49/'RES Veda input'!AY49,3)</f>
        <v>0</v>
      </c>
      <c r="DM49" s="10">
        <f ca="1">ROUND('RES Assumptions'!R132*'RES Veda input'!T49/'RES Veda input'!AZ49,3)</f>
        <v>0</v>
      </c>
      <c r="DN49" s="10">
        <f ca="1">ROUND('RES Assumptions'!S132*'RES Veda input'!U49/'RES Veda input'!BA49,3)</f>
        <v>0</v>
      </c>
      <c r="DO49" s="10">
        <f ca="1">ROUND('RES Assumptions'!T132*'RES Veda input'!V49/'RES Veda input'!BB49,3)</f>
        <v>0</v>
      </c>
      <c r="DP49" s="10">
        <f ca="1">ROUND('RES Assumptions'!U132*'RES Veda input'!W49/'RES Veda input'!BC49,3)</f>
        <v>0</v>
      </c>
      <c r="DQ49" s="10">
        <f ca="1">ROUND('RES Assumptions'!V132*'RES Veda input'!X49/'RES Veda input'!BD49,3)</f>
        <v>0</v>
      </c>
      <c r="DR49" s="10">
        <f ca="1">ROUND('RES Assumptions'!W132*'RES Veda input'!Y49/'RES Veda input'!BE49,3)</f>
        <v>0</v>
      </c>
      <c r="DS49" s="10">
        <f ca="1">ROUND('RES Assumptions'!X132*'RES Veda input'!Z49/'RES Veda input'!BF49,3)</f>
        <v>0</v>
      </c>
      <c r="DT49" s="10">
        <f ca="1">ROUND('RES Assumptions'!Y132*'RES Veda input'!AA49/'RES Veda input'!BG49,3)</f>
        <v>1E-3</v>
      </c>
      <c r="DU49" s="10">
        <f ca="1">ROUND('RES Assumptions'!Z132*'RES Veda input'!AB49/'RES Veda input'!BH49,3)</f>
        <v>0</v>
      </c>
      <c r="DV49" s="10">
        <f ca="1">ROUND('RES Assumptions'!AA132*'RES Veda input'!AC49/'RES Veda input'!BI49,3)</f>
        <v>2E-3</v>
      </c>
      <c r="DW49" s="10">
        <f ca="1">ROUND('RES Assumptions'!AB132*'RES Veda input'!AD49/'RES Veda input'!BJ49,3)</f>
        <v>0</v>
      </c>
      <c r="DX49" s="10">
        <f ca="1">ROUND('RES Assumptions'!AC132*'RES Veda input'!AE49/'RES Veda input'!BK49,3)</f>
        <v>0</v>
      </c>
      <c r="DY49" s="10">
        <f ca="1">ROUND('RES Assumptions'!AD132*'RES Veda input'!AF49/'RES Veda input'!BL49,3)</f>
        <v>0</v>
      </c>
      <c r="DZ49" s="10">
        <f ca="1">ROUND('RES Assumptions'!AE132*'RES Veda input'!AG49/'RES Veda input'!BM49,3)</f>
        <v>8.2000000000000003E-2</v>
      </c>
      <c r="EA49" s="10">
        <f ca="1">ROUND('RES Assumptions'!AF132*'RES Veda input'!AH49/'RES Veda input'!BN49,3)</f>
        <v>0</v>
      </c>
      <c r="EB49" s="10">
        <f ca="1">ROUND('RES Assumptions'!AG132*'RES Veda input'!AI49/'RES Veda input'!BO49,3)</f>
        <v>0</v>
      </c>
      <c r="EC49" s="10">
        <f ca="1">ROUND('RES Assumptions'!AH132*'RES Veda input'!AJ49/'RES Veda input'!BP49,3)</f>
        <v>0</v>
      </c>
      <c r="ED49">
        <v>10</v>
      </c>
      <c r="EG49" t="s">
        <v>281</v>
      </c>
      <c r="EH49" t="str">
        <f t="shared" si="64"/>
        <v>RLIKER000</v>
      </c>
      <c r="EJ49" t="s">
        <v>282</v>
      </c>
      <c r="EK49" t="s">
        <v>283</v>
      </c>
    </row>
    <row r="50" spans="1:141" x14ac:dyDescent="0.45">
      <c r="A50" s="37" t="str">
        <f>'RES Assumptions'!B133</f>
        <v>ROT</v>
      </c>
      <c r="B50" s="37" t="s">
        <v>155</v>
      </c>
      <c r="D50" s="51" t="s">
        <v>155</v>
      </c>
      <c r="E50" s="8" t="str">
        <f>'RES Assumptions'!A133</f>
        <v>RESBIO</v>
      </c>
      <c r="F50" s="8" t="str">
        <f>VLOOKUP(A50,'RES Assumptions'!$AN$87:$AO$97,2,FALSE)</f>
        <v>ROT</v>
      </c>
      <c r="G50" s="9">
        <f ca="1">OFFSET('RES Techs T15'!$F50,0,MATCH(VLOOKUP('RES Veda input'!G$3,'RES Assumptions T15'!$V$3:$W$35,2,FALSE),'RES Techs T15'!$G$3:$U$3,0))</f>
        <v>1</v>
      </c>
      <c r="H50" s="9">
        <f ca="1">OFFSET('RES Techs T15'!$F50,0,MATCH(VLOOKUP('RES Veda input'!H$3,'RES Assumptions T15'!$V$3:$W$35,2,FALSE),'RES Techs T15'!$G$3:$U$3,0))</f>
        <v>1</v>
      </c>
      <c r="I50" s="9">
        <f ca="1">OFFSET('RES Techs T15'!$F50,0,MATCH(VLOOKUP('RES Veda input'!I$3,'RES Assumptions T15'!$V$3:$W$35,2,FALSE),'RES Techs T15'!$G$3:$U$3,0))</f>
        <v>1</v>
      </c>
      <c r="J50" s="9">
        <f ca="1">OFFSET('RES Techs T15'!$F50,0,MATCH(VLOOKUP('RES Veda input'!J$3,'RES Assumptions T15'!$V$3:$W$35,2,FALSE),'RES Techs T15'!$G$3:$U$3,0))</f>
        <v>1</v>
      </c>
      <c r="K50" s="9">
        <f ca="1">OFFSET('RES Techs T15'!$F50,0,MATCH(VLOOKUP('RES Veda input'!K$3,'RES Assumptions T15'!$V$3:$W$35,2,FALSE),'RES Techs T15'!$G$3:$U$3,0))</f>
        <v>1</v>
      </c>
      <c r="L50" s="9">
        <f ca="1">OFFSET('RES Techs T15'!$F50,0,MATCH(VLOOKUP('RES Veda input'!L$3,'RES Assumptions T15'!$V$3:$W$35,2,FALSE),'RES Techs T15'!$G$3:$U$3,0))</f>
        <v>1</v>
      </c>
      <c r="M50" s="9">
        <f ca="1">OFFSET('RES Techs T15'!$F50,0,MATCH(VLOOKUP('RES Veda input'!M$3,'RES Assumptions T15'!$V$3:$W$35,2,FALSE),'RES Techs T15'!$G$3:$U$3,0))</f>
        <v>1</v>
      </c>
      <c r="N50" s="9">
        <f ca="1">OFFSET('RES Techs T15'!$F50,0,MATCH(VLOOKUP('RES Veda input'!N$3,'RES Assumptions T15'!$V$3:$W$35,2,FALSE),'RES Techs T15'!$G$3:$U$3,0))</f>
        <v>1</v>
      </c>
      <c r="O50" s="9">
        <f ca="1">OFFSET('RES Techs T15'!$F50,0,MATCH(VLOOKUP('RES Veda input'!O$3,'RES Assumptions T15'!$V$3:$W$35,2,FALSE),'RES Techs T15'!$G$3:$U$3,0))</f>
        <v>1</v>
      </c>
      <c r="P50" s="9">
        <f ca="1">OFFSET('RES Techs T15'!$F50,0,MATCH(VLOOKUP('RES Veda input'!P$3,'RES Assumptions T15'!$V$3:$W$35,2,FALSE),'RES Techs T15'!$G$3:$U$3,0))</f>
        <v>1</v>
      </c>
      <c r="Q50" s="9">
        <f ca="1">OFFSET('RES Techs T15'!$F50,0,MATCH(VLOOKUP('RES Veda input'!Q$3,'RES Assumptions T15'!$V$3:$W$35,2,FALSE),'RES Techs T15'!$G$3:$U$3,0))</f>
        <v>1</v>
      </c>
      <c r="R50" s="9">
        <f ca="1">OFFSET('RES Techs T15'!$F50,0,MATCH(VLOOKUP('RES Veda input'!R$3,'RES Assumptions T15'!$V$3:$W$35,2,FALSE),'RES Techs T15'!$G$3:$U$3,0))</f>
        <v>1</v>
      </c>
      <c r="S50" s="9">
        <f ca="1">OFFSET('RES Techs T15'!$F50,0,MATCH(VLOOKUP('RES Veda input'!S$3,'RES Assumptions T15'!$V$3:$W$35,2,FALSE),'RES Techs T15'!$G$3:$U$3,0))</f>
        <v>1</v>
      </c>
      <c r="T50" s="9">
        <f ca="1">OFFSET('RES Techs T15'!$F50,0,MATCH(VLOOKUP('RES Veda input'!T$3,'RES Assumptions T15'!$V$3:$W$35,2,FALSE),'RES Techs T15'!$G$3:$U$3,0))</f>
        <v>1</v>
      </c>
      <c r="U50" s="9">
        <f ca="1">OFFSET('RES Techs T15'!$F50,0,MATCH(VLOOKUP('RES Veda input'!U$3,'RES Assumptions T15'!$V$3:$W$35,2,FALSE),'RES Techs T15'!$G$3:$U$3,0))</f>
        <v>1</v>
      </c>
      <c r="V50" s="9">
        <f ca="1">OFFSET('RES Techs T15'!$F50,0,MATCH(VLOOKUP('RES Veda input'!V$3,'RES Assumptions T15'!$V$3:$W$35,2,FALSE),'RES Techs T15'!$G$3:$U$3,0))</f>
        <v>1</v>
      </c>
      <c r="W50" s="9">
        <f ca="1">OFFSET('RES Techs T15'!$F50,0,MATCH(VLOOKUP('RES Veda input'!W$3,'RES Assumptions T15'!$V$3:$W$35,2,FALSE),'RES Techs T15'!$G$3:$U$3,0))</f>
        <v>1</v>
      </c>
      <c r="X50" s="9">
        <f ca="1">OFFSET('RES Techs T15'!$F50,0,MATCH(VLOOKUP('RES Veda input'!X$3,'RES Assumptions T15'!$V$3:$W$35,2,FALSE),'RES Techs T15'!$G$3:$U$3,0))</f>
        <v>1</v>
      </c>
      <c r="Y50" s="9">
        <f ca="1">OFFSET('RES Techs T15'!$F50,0,MATCH(VLOOKUP('RES Veda input'!Y$3,'RES Assumptions T15'!$V$3:$W$35,2,FALSE),'RES Techs T15'!$G$3:$U$3,0))</f>
        <v>1</v>
      </c>
      <c r="Z50" s="9">
        <f ca="1">OFFSET('RES Techs T15'!$F50,0,MATCH(VLOOKUP('RES Veda input'!Z$3,'RES Assumptions T15'!$V$3:$W$35,2,FALSE),'RES Techs T15'!$G$3:$U$3,0))</f>
        <v>1</v>
      </c>
      <c r="AA50" s="9">
        <f ca="1">OFFSET('RES Techs T15'!$F50,0,MATCH(VLOOKUP('RES Veda input'!AA$3,'RES Assumptions T15'!$V$3:$W$35,2,FALSE),'RES Techs T15'!$G$3:$U$3,0))</f>
        <v>1</v>
      </c>
      <c r="AB50" s="9">
        <f ca="1">OFFSET('RES Techs T15'!$F50,0,MATCH(VLOOKUP('RES Veda input'!AB$3,'RES Assumptions T15'!$V$3:$W$35,2,FALSE),'RES Techs T15'!$G$3:$U$3,0))</f>
        <v>1</v>
      </c>
      <c r="AC50" s="9">
        <f ca="1">OFFSET('RES Techs T15'!$F50,0,MATCH(VLOOKUP('RES Veda input'!AC$3,'RES Assumptions T15'!$V$3:$W$35,2,FALSE),'RES Techs T15'!$G$3:$U$3,0))</f>
        <v>1</v>
      </c>
      <c r="AD50" s="9">
        <f ca="1">OFFSET('RES Techs T15'!$F50,0,MATCH(VLOOKUP('RES Veda input'!AD$3,'RES Assumptions T15'!$V$3:$W$35,2,FALSE),'RES Techs T15'!$G$3:$U$3,0))</f>
        <v>1</v>
      </c>
      <c r="AE50" s="9">
        <f ca="1">OFFSET('RES Techs T15'!$F50,0,MATCH(VLOOKUP('RES Veda input'!AE$3,'RES Assumptions T15'!$V$3:$W$35,2,FALSE),'RES Techs T15'!$G$3:$U$3,0))</f>
        <v>1</v>
      </c>
      <c r="AF50" s="9">
        <f ca="1">OFFSET('RES Techs T15'!$F50,0,MATCH(VLOOKUP('RES Veda input'!AF$3,'RES Assumptions T15'!$V$3:$W$35,2,FALSE),'RES Techs T15'!$G$3:$U$3,0))</f>
        <v>1</v>
      </c>
      <c r="AG50" s="9">
        <f ca="1">OFFSET('RES Techs T15'!$F50,0,MATCH(VLOOKUP('RES Veda input'!AG$3,'RES Assumptions T15'!$V$3:$W$35,2,FALSE),'RES Techs T15'!$G$3:$U$3,0))</f>
        <v>1</v>
      </c>
      <c r="AH50" s="9">
        <f ca="1">OFFSET('RES Techs T15'!$F50,0,MATCH(VLOOKUP('RES Veda input'!AH$3,'RES Assumptions T15'!$V$3:$W$35,2,FALSE),'RES Techs T15'!$G$3:$U$3,0))</f>
        <v>1</v>
      </c>
      <c r="AI50" s="9">
        <f ca="1">OFFSET('RES Techs T15'!$F50,0,MATCH(VLOOKUP('RES Veda input'!AI$3,'RES Assumptions T15'!$V$3:$W$35,2,FALSE),'RES Techs T15'!$G$3:$U$3,0))</f>
        <v>1</v>
      </c>
      <c r="AJ50" s="9">
        <f ca="1">OFFSET('RES Techs T15'!$F50,0,MATCH(VLOOKUP('RES Veda input'!AJ$3,'RES Assumptions T15'!$V$3:$W$35,2,FALSE),'RES Techs T15'!$G$3:$U$3,0))</f>
        <v>1</v>
      </c>
      <c r="AL50" s="8" t="str">
        <f t="shared" si="60"/>
        <v>ROTBIO000</v>
      </c>
      <c r="AM50" s="9">
        <f ca="1">OFFSET('RES Techs T15'!$W50,0,MATCH(VLOOKUP('RES Veda input'!AM$3,'RES Assumptions T15'!$V$3:$W$35,2,FALSE),'RES Techs T15'!$G$3:$U$3,0))</f>
        <v>1</v>
      </c>
      <c r="AN50" s="9">
        <f ca="1">OFFSET('RES Techs T15'!$W50,0,MATCH(VLOOKUP('RES Veda input'!AN$3,'RES Assumptions T15'!$V$3:$W$35,2,FALSE),'RES Techs T15'!$G$3:$U$3,0))</f>
        <v>1</v>
      </c>
      <c r="AO50" s="9">
        <f ca="1">OFFSET('RES Techs T15'!$W50,0,MATCH(VLOOKUP('RES Veda input'!AO$3,'RES Assumptions T15'!$V$3:$W$35,2,FALSE),'RES Techs T15'!$G$3:$U$3,0))</f>
        <v>1</v>
      </c>
      <c r="AP50" s="9">
        <f ca="1">OFFSET('RES Techs T15'!$W50,0,MATCH(VLOOKUP('RES Veda input'!AP$3,'RES Assumptions T15'!$V$3:$W$35,2,FALSE),'RES Techs T15'!$G$3:$U$3,0))</f>
        <v>1</v>
      </c>
      <c r="AQ50" s="9">
        <f ca="1">OFFSET('RES Techs T15'!$W50,0,MATCH(VLOOKUP('RES Veda input'!AQ$3,'RES Assumptions T15'!$V$3:$W$35,2,FALSE),'RES Techs T15'!$G$3:$U$3,0))</f>
        <v>1</v>
      </c>
      <c r="AR50" s="9">
        <f ca="1">OFFSET('RES Techs T15'!$W50,0,MATCH(VLOOKUP('RES Veda input'!AR$3,'RES Assumptions T15'!$V$3:$W$35,2,FALSE),'RES Techs T15'!$G$3:$U$3,0))</f>
        <v>1</v>
      </c>
      <c r="AS50" s="9">
        <f ca="1">OFFSET('RES Techs T15'!$W50,0,MATCH(VLOOKUP('RES Veda input'!AS$3,'RES Assumptions T15'!$V$3:$W$35,2,FALSE),'RES Techs T15'!$G$3:$U$3,0))</f>
        <v>1</v>
      </c>
      <c r="AT50" s="9">
        <f ca="1">OFFSET('RES Techs T15'!$W50,0,MATCH(VLOOKUP('RES Veda input'!AT$3,'RES Assumptions T15'!$V$3:$W$35,2,FALSE),'RES Techs T15'!$G$3:$U$3,0))</f>
        <v>1</v>
      </c>
      <c r="AU50" s="9">
        <f ca="1">OFFSET('RES Techs T15'!$W50,0,MATCH(VLOOKUP('RES Veda input'!AU$3,'RES Assumptions T15'!$V$3:$W$35,2,FALSE),'RES Techs T15'!$G$3:$U$3,0))</f>
        <v>1</v>
      </c>
      <c r="AV50" s="9">
        <f ca="1">OFFSET('RES Techs T15'!$W50,0,MATCH(VLOOKUP('RES Veda input'!AV$3,'RES Assumptions T15'!$V$3:$W$35,2,FALSE),'RES Techs T15'!$G$3:$U$3,0))</f>
        <v>1</v>
      </c>
      <c r="AW50" s="9">
        <f ca="1">OFFSET('RES Techs T15'!$W50,0,MATCH(VLOOKUP('RES Veda input'!AW$3,'RES Assumptions T15'!$V$3:$W$35,2,FALSE),'RES Techs T15'!$G$3:$U$3,0))</f>
        <v>1</v>
      </c>
      <c r="AX50" s="9">
        <f ca="1">OFFSET('RES Techs T15'!$W50,0,MATCH(VLOOKUP('RES Veda input'!AX$3,'RES Assumptions T15'!$V$3:$W$35,2,FALSE),'RES Techs T15'!$G$3:$U$3,0))</f>
        <v>1</v>
      </c>
      <c r="AY50" s="9">
        <f ca="1">OFFSET('RES Techs T15'!$W50,0,MATCH(VLOOKUP('RES Veda input'!AY$3,'RES Assumptions T15'!$V$3:$W$35,2,FALSE),'RES Techs T15'!$G$3:$U$3,0))</f>
        <v>1</v>
      </c>
      <c r="AZ50" s="9">
        <f ca="1">OFFSET('RES Techs T15'!$W50,0,MATCH(VLOOKUP('RES Veda input'!AZ$3,'RES Assumptions T15'!$V$3:$W$35,2,FALSE),'RES Techs T15'!$G$3:$U$3,0))</f>
        <v>1</v>
      </c>
      <c r="BA50" s="9">
        <f ca="1">OFFSET('RES Techs T15'!$W50,0,MATCH(VLOOKUP('RES Veda input'!BA$3,'RES Assumptions T15'!$V$3:$W$35,2,FALSE),'RES Techs T15'!$G$3:$U$3,0))</f>
        <v>1</v>
      </c>
      <c r="BB50" s="9">
        <f ca="1">OFFSET('RES Techs T15'!$W50,0,MATCH(VLOOKUP('RES Veda input'!BB$3,'RES Assumptions T15'!$V$3:$W$35,2,FALSE),'RES Techs T15'!$G$3:$U$3,0))</f>
        <v>1</v>
      </c>
      <c r="BC50" s="9">
        <f ca="1">OFFSET('RES Techs T15'!$W50,0,MATCH(VLOOKUP('RES Veda input'!BC$3,'RES Assumptions T15'!$V$3:$W$35,2,FALSE),'RES Techs T15'!$G$3:$U$3,0))</f>
        <v>1</v>
      </c>
      <c r="BD50" s="9">
        <f ca="1">OFFSET('RES Techs T15'!$W50,0,MATCH(VLOOKUP('RES Veda input'!BD$3,'RES Assumptions T15'!$V$3:$W$35,2,FALSE),'RES Techs T15'!$G$3:$U$3,0))</f>
        <v>1</v>
      </c>
      <c r="BE50" s="9">
        <f ca="1">OFFSET('RES Techs T15'!$W50,0,MATCH(VLOOKUP('RES Veda input'!BE$3,'RES Assumptions T15'!$V$3:$W$35,2,FALSE),'RES Techs T15'!$G$3:$U$3,0))</f>
        <v>1</v>
      </c>
      <c r="BF50" s="9">
        <f ca="1">OFFSET('RES Techs T15'!$W50,0,MATCH(VLOOKUP('RES Veda input'!BF$3,'RES Assumptions T15'!$V$3:$W$35,2,FALSE),'RES Techs T15'!$G$3:$U$3,0))</f>
        <v>1</v>
      </c>
      <c r="BG50" s="9">
        <f ca="1">OFFSET('RES Techs T15'!$W50,0,MATCH(VLOOKUP('RES Veda input'!BG$3,'RES Assumptions T15'!$V$3:$W$35,2,FALSE),'RES Techs T15'!$G$3:$U$3,0))</f>
        <v>1</v>
      </c>
      <c r="BH50" s="9">
        <f ca="1">OFFSET('RES Techs T15'!$W50,0,MATCH(VLOOKUP('RES Veda input'!BH$3,'RES Assumptions T15'!$V$3:$W$35,2,FALSE),'RES Techs T15'!$G$3:$U$3,0))</f>
        <v>1</v>
      </c>
      <c r="BI50" s="9">
        <f ca="1">OFFSET('RES Techs T15'!$W50,0,MATCH(VLOOKUP('RES Veda input'!BI$3,'RES Assumptions T15'!$V$3:$W$35,2,FALSE),'RES Techs T15'!$G$3:$U$3,0))</f>
        <v>1</v>
      </c>
      <c r="BJ50" s="9">
        <f ca="1">OFFSET('RES Techs T15'!$W50,0,MATCH(VLOOKUP('RES Veda input'!BJ$3,'RES Assumptions T15'!$V$3:$W$35,2,FALSE),'RES Techs T15'!$G$3:$U$3,0))</f>
        <v>1</v>
      </c>
      <c r="BK50" s="9">
        <f ca="1">OFFSET('RES Techs T15'!$W50,0,MATCH(VLOOKUP('RES Veda input'!BK$3,'RES Assumptions T15'!$V$3:$W$35,2,FALSE),'RES Techs T15'!$G$3:$U$3,0))</f>
        <v>1</v>
      </c>
      <c r="BL50" s="9">
        <f ca="1">OFFSET('RES Techs T15'!$W50,0,MATCH(VLOOKUP('RES Veda input'!BL$3,'RES Assumptions T15'!$V$3:$W$35,2,FALSE),'RES Techs T15'!$G$3:$U$3,0))</f>
        <v>1</v>
      </c>
      <c r="BM50" s="9">
        <f ca="1">OFFSET('RES Techs T15'!$W50,0,MATCH(VLOOKUP('RES Veda input'!BM$3,'RES Assumptions T15'!$V$3:$W$35,2,FALSE),'RES Techs T15'!$G$3:$U$3,0))</f>
        <v>1</v>
      </c>
      <c r="BN50" s="9">
        <f ca="1">OFFSET('RES Techs T15'!$W50,0,MATCH(VLOOKUP('RES Veda input'!BN$3,'RES Assumptions T15'!$V$3:$W$35,2,FALSE),'RES Techs T15'!$G$3:$U$3,0))</f>
        <v>1</v>
      </c>
      <c r="BO50" s="9">
        <f ca="1">OFFSET('RES Techs T15'!$W50,0,MATCH(VLOOKUP('RES Veda input'!BO$3,'RES Assumptions T15'!$V$3:$W$35,2,FALSE),'RES Techs T15'!$G$3:$U$3,0))</f>
        <v>1</v>
      </c>
      <c r="BP50" s="9">
        <f ca="1">OFFSET('RES Techs T15'!$W50,0,MATCH(VLOOKUP('RES Veda input'!BP$3,'RES Assumptions T15'!$V$3:$W$35,2,FALSE),'RES Techs T15'!$G$3:$U$3,0))</f>
        <v>1</v>
      </c>
      <c r="BR50" s="8" t="str">
        <f t="shared" si="61"/>
        <v>ROTBIO000</v>
      </c>
      <c r="BS50" s="9">
        <f t="shared" ca="1" si="62"/>
        <v>0</v>
      </c>
      <c r="BT50" s="9" t="str">
        <f ca="1">IF(OFFSET('RES Techs T15'!$AO50,0,MATCH(VLOOKUP('RES Veda input'!BT$3,'RES Assumptions T15'!$V$3:$W$35,2,FALSE),'RES Techs T15'!$G$3:$U$3,0))=0,"",OFFSET('RES Techs T15'!$AO50,0,MATCH(VLOOKUP('RES Veda input'!BT$3,'RES Assumptions T15'!$V$3:$W$35,2,FALSE),'RES Techs T15'!$G$3:$U$3,0)))</f>
        <v/>
      </c>
      <c r="BU50" s="9" t="str">
        <f ca="1">IF(OFFSET('RES Techs T15'!$AO50,0,MATCH(VLOOKUP('RES Veda input'!BU$3,'RES Assumptions T15'!$V$3:$W$35,2,FALSE),'RES Techs T15'!$G$3:$U$3,0))=0,"",OFFSET('RES Techs T15'!$AO50,0,MATCH(VLOOKUP('RES Veda input'!BU$3,'RES Assumptions T15'!$V$3:$W$35,2,FALSE),'RES Techs T15'!$G$3:$U$3,0)))</f>
        <v/>
      </c>
      <c r="BV50" s="9" t="str">
        <f ca="1">IF(OFFSET('RES Techs T15'!$AO50,0,MATCH(VLOOKUP('RES Veda input'!BV$3,'RES Assumptions T15'!$V$3:$W$35,2,FALSE),'RES Techs T15'!$G$3:$U$3,0))=0,"",OFFSET('RES Techs T15'!$AO50,0,MATCH(VLOOKUP('RES Veda input'!BV$3,'RES Assumptions T15'!$V$3:$W$35,2,FALSE),'RES Techs T15'!$G$3:$U$3,0)))</f>
        <v/>
      </c>
      <c r="BW50" s="9" t="str">
        <f ca="1">IF(OFFSET('RES Techs T15'!$AO50,0,MATCH(VLOOKUP('RES Veda input'!BW$3,'RES Assumptions T15'!$V$3:$W$35,2,FALSE),'RES Techs T15'!$G$3:$U$3,0))=0,"",OFFSET('RES Techs T15'!$AO50,0,MATCH(VLOOKUP('RES Veda input'!BW$3,'RES Assumptions T15'!$V$3:$W$35,2,FALSE),'RES Techs T15'!$G$3:$U$3,0)))</f>
        <v/>
      </c>
      <c r="BX50" s="9" t="str">
        <f ca="1">IF(OFFSET('RES Techs T15'!$AO50,0,MATCH(VLOOKUP('RES Veda input'!BX$3,'RES Assumptions T15'!$V$3:$W$35,2,FALSE),'RES Techs T15'!$G$3:$U$3,0))=0,"",OFFSET('RES Techs T15'!$AO50,0,MATCH(VLOOKUP('RES Veda input'!BX$3,'RES Assumptions T15'!$V$3:$W$35,2,FALSE),'RES Techs T15'!$G$3:$U$3,0)))</f>
        <v/>
      </c>
      <c r="BY50" s="9" t="str">
        <f ca="1">IF(OFFSET('RES Techs T15'!$AO50,0,MATCH(VLOOKUP('RES Veda input'!BY$3,'RES Assumptions T15'!$V$3:$W$35,2,FALSE),'RES Techs T15'!$G$3:$U$3,0))=0,"",OFFSET('RES Techs T15'!$AO50,0,MATCH(VLOOKUP('RES Veda input'!BY$3,'RES Assumptions T15'!$V$3:$W$35,2,FALSE),'RES Techs T15'!$G$3:$U$3,0)))</f>
        <v/>
      </c>
      <c r="BZ50" s="9" t="str">
        <f ca="1">IF(OFFSET('RES Techs T15'!$AO50,0,MATCH(VLOOKUP('RES Veda input'!BZ$3,'RES Assumptions T15'!$V$3:$W$35,2,FALSE),'RES Techs T15'!$G$3:$U$3,0))=0,"",OFFSET('RES Techs T15'!$AO50,0,MATCH(VLOOKUP('RES Veda input'!BZ$3,'RES Assumptions T15'!$V$3:$W$35,2,FALSE),'RES Techs T15'!$G$3:$U$3,0)))</f>
        <v/>
      </c>
      <c r="CA50" s="9" t="str">
        <f ca="1">IF(OFFSET('RES Techs T15'!$AO50,0,MATCH(VLOOKUP('RES Veda input'!CA$3,'RES Assumptions T15'!$V$3:$W$35,2,FALSE),'RES Techs T15'!$G$3:$U$3,0))=0,"",OFFSET('RES Techs T15'!$AO50,0,MATCH(VLOOKUP('RES Veda input'!CA$3,'RES Assumptions T15'!$V$3:$W$35,2,FALSE),'RES Techs T15'!$G$3:$U$3,0)))</f>
        <v/>
      </c>
      <c r="CB50" s="9" t="str">
        <f ca="1">IF(OFFSET('RES Techs T15'!$AO50,0,MATCH(VLOOKUP('RES Veda input'!CB$3,'RES Assumptions T15'!$V$3:$W$35,2,FALSE),'RES Techs T15'!$G$3:$U$3,0))=0,"",OFFSET('RES Techs T15'!$AO50,0,MATCH(VLOOKUP('RES Veda input'!CB$3,'RES Assumptions T15'!$V$3:$W$35,2,FALSE),'RES Techs T15'!$G$3:$U$3,0)))</f>
        <v/>
      </c>
      <c r="CC50" s="9" t="str">
        <f ca="1">IF(OFFSET('RES Techs T15'!$AO50,0,MATCH(VLOOKUP('RES Veda input'!CC$3,'RES Assumptions T15'!$V$3:$W$35,2,FALSE),'RES Techs T15'!$G$3:$U$3,0))=0,"",OFFSET('RES Techs T15'!$AO50,0,MATCH(VLOOKUP('RES Veda input'!CC$3,'RES Assumptions T15'!$V$3:$W$35,2,FALSE),'RES Techs T15'!$G$3:$U$3,0)))</f>
        <v/>
      </c>
      <c r="CD50" s="9" t="str">
        <f ca="1">IF(OFFSET('RES Techs T15'!$AO50,0,MATCH(VLOOKUP('RES Veda input'!CD$3,'RES Assumptions T15'!$V$3:$W$35,2,FALSE),'RES Techs T15'!$G$3:$U$3,0))=0,"",OFFSET('RES Techs T15'!$AO50,0,MATCH(VLOOKUP('RES Veda input'!CD$3,'RES Assumptions T15'!$V$3:$W$35,2,FALSE),'RES Techs T15'!$G$3:$U$3,0)))</f>
        <v/>
      </c>
      <c r="CE50" s="9" t="str">
        <f ca="1">IF(OFFSET('RES Techs T15'!$AO50,0,MATCH(VLOOKUP('RES Veda input'!CE$3,'RES Assumptions T15'!$V$3:$W$35,2,FALSE),'RES Techs T15'!$G$3:$U$3,0))=0,"",OFFSET('RES Techs T15'!$AO50,0,MATCH(VLOOKUP('RES Veda input'!CE$3,'RES Assumptions T15'!$V$3:$W$35,2,FALSE),'RES Techs T15'!$G$3:$U$3,0)))</f>
        <v/>
      </c>
      <c r="CF50" s="9" t="str">
        <f ca="1">IF(OFFSET('RES Techs T15'!$AO50,0,MATCH(VLOOKUP('RES Veda input'!CF$3,'RES Assumptions T15'!$V$3:$W$35,2,FALSE),'RES Techs T15'!$G$3:$U$3,0))=0,"",OFFSET('RES Techs T15'!$AO50,0,MATCH(VLOOKUP('RES Veda input'!CF$3,'RES Assumptions T15'!$V$3:$W$35,2,FALSE),'RES Techs T15'!$G$3:$U$3,0)))</f>
        <v/>
      </c>
      <c r="CG50" s="9" t="str">
        <f ca="1">IF(OFFSET('RES Techs T15'!$AO50,0,MATCH(VLOOKUP('RES Veda input'!CG$3,'RES Assumptions T15'!$V$3:$W$35,2,FALSE),'RES Techs T15'!$G$3:$U$3,0))=0,"",OFFSET('RES Techs T15'!$AO50,0,MATCH(VLOOKUP('RES Veda input'!CG$3,'RES Assumptions T15'!$V$3:$W$35,2,FALSE),'RES Techs T15'!$G$3:$U$3,0)))</f>
        <v/>
      </c>
      <c r="CH50" s="9" t="str">
        <f ca="1">IF(OFFSET('RES Techs T15'!$AO50,0,MATCH(VLOOKUP('RES Veda input'!CH$3,'RES Assumptions T15'!$V$3:$W$35,2,FALSE),'RES Techs T15'!$G$3:$U$3,0))=0,"",OFFSET('RES Techs T15'!$AO50,0,MATCH(VLOOKUP('RES Veda input'!CH$3,'RES Assumptions T15'!$V$3:$W$35,2,FALSE),'RES Techs T15'!$G$3:$U$3,0)))</f>
        <v/>
      </c>
      <c r="CI50" s="9" t="str">
        <f ca="1">IF(OFFSET('RES Techs T15'!$AO50,0,MATCH(VLOOKUP('RES Veda input'!CI$3,'RES Assumptions T15'!$V$3:$W$35,2,FALSE),'RES Techs T15'!$G$3:$U$3,0))=0,"",OFFSET('RES Techs T15'!$AO50,0,MATCH(VLOOKUP('RES Veda input'!CI$3,'RES Assumptions T15'!$V$3:$W$35,2,FALSE),'RES Techs T15'!$G$3:$U$3,0)))</f>
        <v/>
      </c>
      <c r="CJ50" s="9" t="str">
        <f ca="1">IF(OFFSET('RES Techs T15'!$AO50,0,MATCH(VLOOKUP('RES Veda input'!CJ$3,'RES Assumptions T15'!$V$3:$W$35,2,FALSE),'RES Techs T15'!$G$3:$U$3,0))=0,"",OFFSET('RES Techs T15'!$AO50,0,MATCH(VLOOKUP('RES Veda input'!CJ$3,'RES Assumptions T15'!$V$3:$W$35,2,FALSE),'RES Techs T15'!$G$3:$U$3,0)))</f>
        <v/>
      </c>
      <c r="CK50" s="9" t="str">
        <f ca="1">IF(OFFSET('RES Techs T15'!$AO50,0,MATCH(VLOOKUP('RES Veda input'!CK$3,'RES Assumptions T15'!$V$3:$W$35,2,FALSE),'RES Techs T15'!$G$3:$U$3,0))=0,"",OFFSET('RES Techs T15'!$AO50,0,MATCH(VLOOKUP('RES Veda input'!CK$3,'RES Assumptions T15'!$V$3:$W$35,2,FALSE),'RES Techs T15'!$G$3:$U$3,0)))</f>
        <v/>
      </c>
      <c r="CL50" s="9" t="str">
        <f ca="1">IF(OFFSET('RES Techs T15'!$AO50,0,MATCH(VLOOKUP('RES Veda input'!CL$3,'RES Assumptions T15'!$V$3:$W$35,2,FALSE),'RES Techs T15'!$G$3:$U$3,0))=0,"",OFFSET('RES Techs T15'!$AO50,0,MATCH(VLOOKUP('RES Veda input'!CL$3,'RES Assumptions T15'!$V$3:$W$35,2,FALSE),'RES Techs T15'!$G$3:$U$3,0)))</f>
        <v/>
      </c>
      <c r="CM50" s="9" t="str">
        <f ca="1">IF(OFFSET('RES Techs T15'!$AO50,0,MATCH(VLOOKUP('RES Veda input'!CM$3,'RES Assumptions T15'!$V$3:$W$35,2,FALSE),'RES Techs T15'!$G$3:$U$3,0))=0,"",OFFSET('RES Techs T15'!$AO50,0,MATCH(VLOOKUP('RES Veda input'!CM$3,'RES Assumptions T15'!$V$3:$W$35,2,FALSE),'RES Techs T15'!$G$3:$U$3,0)))</f>
        <v/>
      </c>
      <c r="CN50" s="9" t="str">
        <f ca="1">IF(OFFSET('RES Techs T15'!$AO50,0,MATCH(VLOOKUP('RES Veda input'!CN$3,'RES Assumptions T15'!$V$3:$W$35,2,FALSE),'RES Techs T15'!$G$3:$U$3,0))=0,"",OFFSET('RES Techs T15'!$AO50,0,MATCH(VLOOKUP('RES Veda input'!CN$3,'RES Assumptions T15'!$V$3:$W$35,2,FALSE),'RES Techs T15'!$G$3:$U$3,0)))</f>
        <v/>
      </c>
      <c r="CO50" s="9" t="str">
        <f ca="1">IF(OFFSET('RES Techs T15'!$AO50,0,MATCH(VLOOKUP('RES Veda input'!CO$3,'RES Assumptions T15'!$V$3:$W$35,2,FALSE),'RES Techs T15'!$G$3:$U$3,0))=0,"",OFFSET('RES Techs T15'!$AO50,0,MATCH(VLOOKUP('RES Veda input'!CO$3,'RES Assumptions T15'!$V$3:$W$35,2,FALSE),'RES Techs T15'!$G$3:$U$3,0)))</f>
        <v/>
      </c>
      <c r="CP50" s="9" t="str">
        <f ca="1">IF(OFFSET('RES Techs T15'!$AO50,0,MATCH(VLOOKUP('RES Veda input'!CP$3,'RES Assumptions T15'!$V$3:$W$35,2,FALSE),'RES Techs T15'!$G$3:$U$3,0))=0,"",OFFSET('RES Techs T15'!$AO50,0,MATCH(VLOOKUP('RES Veda input'!CP$3,'RES Assumptions T15'!$V$3:$W$35,2,FALSE),'RES Techs T15'!$G$3:$U$3,0)))</f>
        <v/>
      </c>
      <c r="CQ50" s="9" t="str">
        <f ca="1">IF(OFFSET('RES Techs T15'!$AO50,0,MATCH(VLOOKUP('RES Veda input'!CQ$3,'RES Assumptions T15'!$V$3:$W$35,2,FALSE),'RES Techs T15'!$G$3:$U$3,0))=0,"",OFFSET('RES Techs T15'!$AO50,0,MATCH(VLOOKUP('RES Veda input'!CQ$3,'RES Assumptions T15'!$V$3:$W$35,2,FALSE),'RES Techs T15'!$G$3:$U$3,0)))</f>
        <v/>
      </c>
      <c r="CR50" s="9" t="str">
        <f ca="1">IF(OFFSET('RES Techs T15'!$AO50,0,MATCH(VLOOKUP('RES Veda input'!CR$3,'RES Assumptions T15'!$V$3:$W$35,2,FALSE),'RES Techs T15'!$G$3:$U$3,0))=0,"",OFFSET('RES Techs T15'!$AO50,0,MATCH(VLOOKUP('RES Veda input'!CR$3,'RES Assumptions T15'!$V$3:$W$35,2,FALSE),'RES Techs T15'!$G$3:$U$3,0)))</f>
        <v/>
      </c>
      <c r="CS50" s="9" t="str">
        <f ca="1">IF(OFFSET('RES Techs T15'!$AO50,0,MATCH(VLOOKUP('RES Veda input'!CS$3,'RES Assumptions T15'!$V$3:$W$35,2,FALSE),'RES Techs T15'!$G$3:$U$3,0))=0,"",OFFSET('RES Techs T15'!$AO50,0,MATCH(VLOOKUP('RES Veda input'!CS$3,'RES Assumptions T15'!$V$3:$W$35,2,FALSE),'RES Techs T15'!$G$3:$U$3,0)))</f>
        <v/>
      </c>
      <c r="CT50" s="9" t="str">
        <f ca="1">IF(OFFSET('RES Techs T15'!$AO50,0,MATCH(VLOOKUP('RES Veda input'!CT$3,'RES Assumptions T15'!$V$3:$W$35,2,FALSE),'RES Techs T15'!$G$3:$U$3,0))=0,"",OFFSET('RES Techs T15'!$AO50,0,MATCH(VLOOKUP('RES Veda input'!CT$3,'RES Assumptions T15'!$V$3:$W$35,2,FALSE),'RES Techs T15'!$G$3:$U$3,0)))</f>
        <v/>
      </c>
      <c r="CU50" s="9" t="str">
        <f ca="1">IF(OFFSET('RES Techs T15'!$AO50,0,MATCH(VLOOKUP('RES Veda input'!CU$3,'RES Assumptions T15'!$V$3:$W$35,2,FALSE),'RES Techs T15'!$G$3:$U$3,0))=0,"",OFFSET('RES Techs T15'!$AO50,0,MATCH(VLOOKUP('RES Veda input'!CU$3,'RES Assumptions T15'!$V$3:$W$35,2,FALSE),'RES Techs T15'!$G$3:$U$3,0)))</f>
        <v/>
      </c>
      <c r="CV50" s="9" t="str">
        <f ca="1">IF(OFFSET('RES Techs T15'!$AO50,0,MATCH(VLOOKUP('RES Veda input'!CV$3,'RES Assumptions T15'!$V$3:$W$35,2,FALSE),'RES Techs T15'!$G$3:$U$3,0))=0,"",OFFSET('RES Techs T15'!$AO50,0,MATCH(VLOOKUP('RES Veda input'!CV$3,'RES Assumptions T15'!$V$3:$W$35,2,FALSE),'RES Techs T15'!$G$3:$U$3,0)))</f>
        <v/>
      </c>
      <c r="CW50" s="9" t="str">
        <f ca="1">IF(OFFSET('RES Techs T15'!$AO50,0,MATCH(VLOOKUP('RES Veda input'!CW$3,'RES Assumptions T15'!$V$3:$W$35,2,FALSE),'RES Techs T15'!$G$3:$U$3,0))=0,"",OFFSET('RES Techs T15'!$AO50,0,MATCH(VLOOKUP('RES Veda input'!CW$3,'RES Assumptions T15'!$V$3:$W$35,2,FALSE),'RES Techs T15'!$G$3:$U$3,0)))</f>
        <v/>
      </c>
      <c r="CY50" s="8" t="str">
        <f t="shared" si="63"/>
        <v>ROTBIO000</v>
      </c>
      <c r="CZ50" s="10">
        <f ca="1">ROUND('RES Assumptions'!E133*'RES Veda input'!G50/'RES Veda input'!AM50,3)</f>
        <v>0</v>
      </c>
      <c r="DA50" s="10">
        <f ca="1">ROUND('RES Assumptions'!F133*'RES Veda input'!H50/'RES Veda input'!AN50,3)</f>
        <v>0</v>
      </c>
      <c r="DB50" s="10">
        <f ca="1">ROUND('RES Assumptions'!G133*'RES Veda input'!I50/'RES Veda input'!AO50,3)</f>
        <v>0</v>
      </c>
      <c r="DC50" s="10">
        <f ca="1">ROUND('RES Assumptions'!H133*'RES Veda input'!J50/'RES Veda input'!AP50,3)</f>
        <v>0.34200000000000003</v>
      </c>
      <c r="DD50" s="10">
        <f ca="1">ROUND('RES Assumptions'!I133*'RES Veda input'!K50/'RES Veda input'!AQ50,3)</f>
        <v>0</v>
      </c>
      <c r="DE50" s="10">
        <f ca="1">ROUND('RES Assumptions'!J133*'RES Veda input'!L50/'RES Veda input'!AR50,3)</f>
        <v>0</v>
      </c>
      <c r="DF50" s="10">
        <f ca="1">ROUND('RES Assumptions'!K133*'RES Veda input'!M50/'RES Veda input'!AS50,3)</f>
        <v>0</v>
      </c>
      <c r="DG50" s="10">
        <f ca="1">ROUND('RES Assumptions'!L133*'RES Veda input'!N50/'RES Veda input'!AT50,3)</f>
        <v>0</v>
      </c>
      <c r="DH50" s="10">
        <f ca="1">ROUND('RES Assumptions'!M133*'RES Veda input'!O50/'RES Veda input'!AU50,3)</f>
        <v>0</v>
      </c>
      <c r="DI50" s="10">
        <f ca="1">ROUND('RES Assumptions'!N133*'RES Veda input'!P50/'RES Veda input'!AV50,3)</f>
        <v>0</v>
      </c>
      <c r="DJ50" s="10">
        <f ca="1">ROUND('RES Assumptions'!O133*'RES Veda input'!Q50/'RES Veda input'!AW50,3)</f>
        <v>0.309</v>
      </c>
      <c r="DK50" s="10">
        <f ca="1">ROUND('RES Assumptions'!P133*'RES Veda input'!R50/'RES Veda input'!AX50,3)</f>
        <v>9.7859999999999996</v>
      </c>
      <c r="DL50" s="10">
        <f ca="1">ROUND('RES Assumptions'!Q133*'RES Veda input'!S50/'RES Veda input'!AY50,3)</f>
        <v>0.108</v>
      </c>
      <c r="DM50" s="10">
        <f ca="1">ROUND('RES Assumptions'!R133*'RES Veda input'!T50/'RES Veda input'!AZ50,3)</f>
        <v>0.752</v>
      </c>
      <c r="DN50" s="10">
        <f ca="1">ROUND('RES Assumptions'!S133*'RES Veda input'!U50/'RES Veda input'!BA50,3)</f>
        <v>5.7869999999999999</v>
      </c>
      <c r="DO50" s="10">
        <f ca="1">ROUND('RES Assumptions'!T133*'RES Veda input'!V50/'RES Veda input'!BB50,3)</f>
        <v>0.28100000000000003</v>
      </c>
      <c r="DP50" s="10">
        <f ca="1">ROUND('RES Assumptions'!U133*'RES Veda input'!W50/'RES Veda input'!BC50,3)</f>
        <v>0</v>
      </c>
      <c r="DQ50" s="10">
        <f ca="1">ROUND('RES Assumptions'!V133*'RES Veda input'!X50/'RES Veda input'!BD50,3)</f>
        <v>0.69799999999999995</v>
      </c>
      <c r="DR50" s="10">
        <f ca="1">ROUND('RES Assumptions'!W133*'RES Veda input'!Y50/'RES Veda input'!BE50,3)</f>
        <v>0.66500000000000004</v>
      </c>
      <c r="DS50" s="10">
        <f ca="1">ROUND('RES Assumptions'!X133*'RES Veda input'!Z50/'RES Veda input'!BF50,3)</f>
        <v>0</v>
      </c>
      <c r="DT50" s="10">
        <f ca="1">ROUND('RES Assumptions'!Y133*'RES Veda input'!AA50/'RES Veda input'!BG50,3)</f>
        <v>0</v>
      </c>
      <c r="DU50" s="10">
        <f ca="1">ROUND('RES Assumptions'!Z133*'RES Veda input'!AB50/'RES Veda input'!BH50,3)</f>
        <v>0</v>
      </c>
      <c r="DV50" s="10">
        <f ca="1">ROUND('RES Assumptions'!AA133*'RES Veda input'!AC50/'RES Veda input'!BI50,3)</f>
        <v>0</v>
      </c>
      <c r="DW50" s="10">
        <f ca="1">ROUND('RES Assumptions'!AB133*'RES Veda input'!AD50/'RES Veda input'!BJ50,3)</f>
        <v>0.05</v>
      </c>
      <c r="DX50" s="10">
        <f ca="1">ROUND('RES Assumptions'!AC133*'RES Veda input'!AE50/'RES Veda input'!BK50,3)</f>
        <v>0.93899999999999995</v>
      </c>
      <c r="DY50" s="10">
        <f ca="1">ROUND('RES Assumptions'!AD133*'RES Veda input'!AF50/'RES Veda input'!BL50,3)</f>
        <v>0</v>
      </c>
      <c r="DZ50" s="10">
        <f ca="1">ROUND('RES Assumptions'!AE133*'RES Veda input'!AG50/'RES Veda input'!BM50,3)</f>
        <v>0</v>
      </c>
      <c r="EA50" s="10">
        <f ca="1">ROUND('RES Assumptions'!AF133*'RES Veda input'!AH50/'RES Veda input'!BN50,3)</f>
        <v>7.1999999999999995E-2</v>
      </c>
      <c r="EB50" s="10">
        <f ca="1">ROUND('RES Assumptions'!AG133*'RES Veda input'!AI50/'RES Veda input'!BO50,3)</f>
        <v>0</v>
      </c>
      <c r="EC50" s="10">
        <f ca="1">ROUND('RES Assumptions'!AH133*'RES Veda input'!AJ50/'RES Veda input'!BP50,3)</f>
        <v>0</v>
      </c>
      <c r="ED50">
        <v>10</v>
      </c>
      <c r="EG50" t="s">
        <v>281</v>
      </c>
      <c r="EH50" t="str">
        <f t="shared" si="64"/>
        <v>ROTBIO000</v>
      </c>
      <c r="EJ50" t="s">
        <v>282</v>
      </c>
      <c r="EK50" t="s">
        <v>283</v>
      </c>
    </row>
    <row r="51" spans="1:141" x14ac:dyDescent="0.45">
      <c r="A51" s="37" t="str">
        <f>'RES Assumptions'!B134</f>
        <v>ROT</v>
      </c>
      <c r="B51" s="37" t="s">
        <v>156</v>
      </c>
      <c r="D51" s="51" t="s">
        <v>156</v>
      </c>
      <c r="E51" s="8" t="str">
        <f>'RES Assumptions'!A134</f>
        <v>RESCOA</v>
      </c>
      <c r="F51" s="8" t="str">
        <f>VLOOKUP(A51,'RES Assumptions'!$AN$87:$AO$97,2,FALSE)</f>
        <v>ROT</v>
      </c>
      <c r="G51" s="9">
        <f ca="1">OFFSET('RES Techs T15'!$F51,0,MATCH(VLOOKUP('RES Veda input'!G$3,'RES Assumptions T15'!$V$3:$W$35,2,FALSE),'RES Techs T15'!$G$3:$U$3,0))</f>
        <v>1</v>
      </c>
      <c r="H51" s="9">
        <f ca="1">OFFSET('RES Techs T15'!$F51,0,MATCH(VLOOKUP('RES Veda input'!H$3,'RES Assumptions T15'!$V$3:$W$35,2,FALSE),'RES Techs T15'!$G$3:$U$3,0))</f>
        <v>1</v>
      </c>
      <c r="I51" s="9">
        <f ca="1">OFFSET('RES Techs T15'!$F51,0,MATCH(VLOOKUP('RES Veda input'!I$3,'RES Assumptions T15'!$V$3:$W$35,2,FALSE),'RES Techs T15'!$G$3:$U$3,0))</f>
        <v>1</v>
      </c>
      <c r="J51" s="9">
        <f ca="1">OFFSET('RES Techs T15'!$F51,0,MATCH(VLOOKUP('RES Veda input'!J$3,'RES Assumptions T15'!$V$3:$W$35,2,FALSE),'RES Techs T15'!$G$3:$U$3,0))</f>
        <v>1</v>
      </c>
      <c r="K51" s="9">
        <f ca="1">OFFSET('RES Techs T15'!$F51,0,MATCH(VLOOKUP('RES Veda input'!K$3,'RES Assumptions T15'!$V$3:$W$35,2,FALSE),'RES Techs T15'!$G$3:$U$3,0))</f>
        <v>1</v>
      </c>
      <c r="L51" s="9">
        <f ca="1">OFFSET('RES Techs T15'!$F51,0,MATCH(VLOOKUP('RES Veda input'!L$3,'RES Assumptions T15'!$V$3:$W$35,2,FALSE),'RES Techs T15'!$G$3:$U$3,0))</f>
        <v>1</v>
      </c>
      <c r="M51" s="9">
        <f ca="1">OFFSET('RES Techs T15'!$F51,0,MATCH(VLOOKUP('RES Veda input'!M$3,'RES Assumptions T15'!$V$3:$W$35,2,FALSE),'RES Techs T15'!$G$3:$U$3,0))</f>
        <v>1</v>
      </c>
      <c r="N51" s="9">
        <f ca="1">OFFSET('RES Techs T15'!$F51,0,MATCH(VLOOKUP('RES Veda input'!N$3,'RES Assumptions T15'!$V$3:$W$35,2,FALSE),'RES Techs T15'!$G$3:$U$3,0))</f>
        <v>1</v>
      </c>
      <c r="O51" s="9">
        <f ca="1">OFFSET('RES Techs T15'!$F51,0,MATCH(VLOOKUP('RES Veda input'!O$3,'RES Assumptions T15'!$V$3:$W$35,2,FALSE),'RES Techs T15'!$G$3:$U$3,0))</f>
        <v>1</v>
      </c>
      <c r="P51" s="9">
        <f ca="1">OFFSET('RES Techs T15'!$F51,0,MATCH(VLOOKUP('RES Veda input'!P$3,'RES Assumptions T15'!$V$3:$W$35,2,FALSE),'RES Techs T15'!$G$3:$U$3,0))</f>
        <v>1</v>
      </c>
      <c r="Q51" s="9">
        <f ca="1">OFFSET('RES Techs T15'!$F51,0,MATCH(VLOOKUP('RES Veda input'!Q$3,'RES Assumptions T15'!$V$3:$W$35,2,FALSE),'RES Techs T15'!$G$3:$U$3,0))</f>
        <v>1</v>
      </c>
      <c r="R51" s="9">
        <f ca="1">OFFSET('RES Techs T15'!$F51,0,MATCH(VLOOKUP('RES Veda input'!R$3,'RES Assumptions T15'!$V$3:$W$35,2,FALSE),'RES Techs T15'!$G$3:$U$3,0))</f>
        <v>1</v>
      </c>
      <c r="S51" s="9">
        <f ca="1">OFFSET('RES Techs T15'!$F51,0,MATCH(VLOOKUP('RES Veda input'!S$3,'RES Assumptions T15'!$V$3:$W$35,2,FALSE),'RES Techs T15'!$G$3:$U$3,0))</f>
        <v>1</v>
      </c>
      <c r="T51" s="9">
        <f ca="1">OFFSET('RES Techs T15'!$F51,0,MATCH(VLOOKUP('RES Veda input'!T$3,'RES Assumptions T15'!$V$3:$W$35,2,FALSE),'RES Techs T15'!$G$3:$U$3,0))</f>
        <v>1</v>
      </c>
      <c r="U51" s="9">
        <f ca="1">OFFSET('RES Techs T15'!$F51,0,MATCH(VLOOKUP('RES Veda input'!U$3,'RES Assumptions T15'!$V$3:$W$35,2,FALSE),'RES Techs T15'!$G$3:$U$3,0))</f>
        <v>1</v>
      </c>
      <c r="V51" s="9">
        <f ca="1">OFFSET('RES Techs T15'!$F51,0,MATCH(VLOOKUP('RES Veda input'!V$3,'RES Assumptions T15'!$V$3:$W$35,2,FALSE),'RES Techs T15'!$G$3:$U$3,0))</f>
        <v>1</v>
      </c>
      <c r="W51" s="9">
        <f ca="1">OFFSET('RES Techs T15'!$F51,0,MATCH(VLOOKUP('RES Veda input'!W$3,'RES Assumptions T15'!$V$3:$W$35,2,FALSE),'RES Techs T15'!$G$3:$U$3,0))</f>
        <v>1</v>
      </c>
      <c r="X51" s="9">
        <f ca="1">OFFSET('RES Techs T15'!$F51,0,MATCH(VLOOKUP('RES Veda input'!X$3,'RES Assumptions T15'!$V$3:$W$35,2,FALSE),'RES Techs T15'!$G$3:$U$3,0))</f>
        <v>1</v>
      </c>
      <c r="Y51" s="9">
        <f ca="1">OFFSET('RES Techs T15'!$F51,0,MATCH(VLOOKUP('RES Veda input'!Y$3,'RES Assumptions T15'!$V$3:$W$35,2,FALSE),'RES Techs T15'!$G$3:$U$3,0))</f>
        <v>1</v>
      </c>
      <c r="Z51" s="9">
        <f ca="1">OFFSET('RES Techs T15'!$F51,0,MATCH(VLOOKUP('RES Veda input'!Z$3,'RES Assumptions T15'!$V$3:$W$35,2,FALSE),'RES Techs T15'!$G$3:$U$3,0))</f>
        <v>1</v>
      </c>
      <c r="AA51" s="9">
        <f ca="1">OFFSET('RES Techs T15'!$F51,0,MATCH(VLOOKUP('RES Veda input'!AA$3,'RES Assumptions T15'!$V$3:$W$35,2,FALSE),'RES Techs T15'!$G$3:$U$3,0))</f>
        <v>1</v>
      </c>
      <c r="AB51" s="9">
        <f ca="1">OFFSET('RES Techs T15'!$F51,0,MATCH(VLOOKUP('RES Veda input'!AB$3,'RES Assumptions T15'!$V$3:$W$35,2,FALSE),'RES Techs T15'!$G$3:$U$3,0))</f>
        <v>1</v>
      </c>
      <c r="AC51" s="9">
        <f ca="1">OFFSET('RES Techs T15'!$F51,0,MATCH(VLOOKUP('RES Veda input'!AC$3,'RES Assumptions T15'!$V$3:$W$35,2,FALSE),'RES Techs T15'!$G$3:$U$3,0))</f>
        <v>1</v>
      </c>
      <c r="AD51" s="9">
        <f ca="1">OFFSET('RES Techs T15'!$F51,0,MATCH(VLOOKUP('RES Veda input'!AD$3,'RES Assumptions T15'!$V$3:$W$35,2,FALSE),'RES Techs T15'!$G$3:$U$3,0))</f>
        <v>1</v>
      </c>
      <c r="AE51" s="9">
        <f ca="1">OFFSET('RES Techs T15'!$F51,0,MATCH(VLOOKUP('RES Veda input'!AE$3,'RES Assumptions T15'!$V$3:$W$35,2,FALSE),'RES Techs T15'!$G$3:$U$3,0))</f>
        <v>1</v>
      </c>
      <c r="AF51" s="9">
        <f ca="1">OFFSET('RES Techs T15'!$F51,0,MATCH(VLOOKUP('RES Veda input'!AF$3,'RES Assumptions T15'!$V$3:$W$35,2,FALSE),'RES Techs T15'!$G$3:$U$3,0))</f>
        <v>1</v>
      </c>
      <c r="AG51" s="9">
        <f ca="1">OFFSET('RES Techs T15'!$F51,0,MATCH(VLOOKUP('RES Veda input'!AG$3,'RES Assumptions T15'!$V$3:$W$35,2,FALSE),'RES Techs T15'!$G$3:$U$3,0))</f>
        <v>1</v>
      </c>
      <c r="AH51" s="9">
        <f ca="1">OFFSET('RES Techs T15'!$F51,0,MATCH(VLOOKUP('RES Veda input'!AH$3,'RES Assumptions T15'!$V$3:$W$35,2,FALSE),'RES Techs T15'!$G$3:$U$3,0))</f>
        <v>1</v>
      </c>
      <c r="AI51" s="9">
        <f ca="1">OFFSET('RES Techs T15'!$F51,0,MATCH(VLOOKUP('RES Veda input'!AI$3,'RES Assumptions T15'!$V$3:$W$35,2,FALSE),'RES Techs T15'!$G$3:$U$3,0))</f>
        <v>1</v>
      </c>
      <c r="AJ51" s="9">
        <f ca="1">OFFSET('RES Techs T15'!$F51,0,MATCH(VLOOKUP('RES Veda input'!AJ$3,'RES Assumptions T15'!$V$3:$W$35,2,FALSE),'RES Techs T15'!$G$3:$U$3,0))</f>
        <v>1</v>
      </c>
      <c r="AL51" s="8" t="str">
        <f t="shared" si="60"/>
        <v>ROTCOA000</v>
      </c>
      <c r="AM51" s="9">
        <f ca="1">OFFSET('RES Techs T15'!$W51,0,MATCH(VLOOKUP('RES Veda input'!AM$3,'RES Assumptions T15'!$V$3:$W$35,2,FALSE),'RES Techs T15'!$G$3:$U$3,0))</f>
        <v>1</v>
      </c>
      <c r="AN51" s="9">
        <f ca="1">OFFSET('RES Techs T15'!$W51,0,MATCH(VLOOKUP('RES Veda input'!AN$3,'RES Assumptions T15'!$V$3:$W$35,2,FALSE),'RES Techs T15'!$G$3:$U$3,0))</f>
        <v>1</v>
      </c>
      <c r="AO51" s="9">
        <f ca="1">OFFSET('RES Techs T15'!$W51,0,MATCH(VLOOKUP('RES Veda input'!AO$3,'RES Assumptions T15'!$V$3:$W$35,2,FALSE),'RES Techs T15'!$G$3:$U$3,0))</f>
        <v>1</v>
      </c>
      <c r="AP51" s="9">
        <f ca="1">OFFSET('RES Techs T15'!$W51,0,MATCH(VLOOKUP('RES Veda input'!AP$3,'RES Assumptions T15'!$V$3:$W$35,2,FALSE),'RES Techs T15'!$G$3:$U$3,0))</f>
        <v>1</v>
      </c>
      <c r="AQ51" s="9">
        <f ca="1">OFFSET('RES Techs T15'!$W51,0,MATCH(VLOOKUP('RES Veda input'!AQ$3,'RES Assumptions T15'!$V$3:$W$35,2,FALSE),'RES Techs T15'!$G$3:$U$3,0))</f>
        <v>1</v>
      </c>
      <c r="AR51" s="9">
        <f ca="1">OFFSET('RES Techs T15'!$W51,0,MATCH(VLOOKUP('RES Veda input'!AR$3,'RES Assumptions T15'!$V$3:$W$35,2,FALSE),'RES Techs T15'!$G$3:$U$3,0))</f>
        <v>1</v>
      </c>
      <c r="AS51" s="9">
        <f ca="1">OFFSET('RES Techs T15'!$W51,0,MATCH(VLOOKUP('RES Veda input'!AS$3,'RES Assumptions T15'!$V$3:$W$35,2,FALSE),'RES Techs T15'!$G$3:$U$3,0))</f>
        <v>1</v>
      </c>
      <c r="AT51" s="9">
        <f ca="1">OFFSET('RES Techs T15'!$W51,0,MATCH(VLOOKUP('RES Veda input'!AT$3,'RES Assumptions T15'!$V$3:$W$35,2,FALSE),'RES Techs T15'!$G$3:$U$3,0))</f>
        <v>1</v>
      </c>
      <c r="AU51" s="9">
        <f ca="1">OFFSET('RES Techs T15'!$W51,0,MATCH(VLOOKUP('RES Veda input'!AU$3,'RES Assumptions T15'!$V$3:$W$35,2,FALSE),'RES Techs T15'!$G$3:$U$3,0))</f>
        <v>1</v>
      </c>
      <c r="AV51" s="9">
        <f ca="1">OFFSET('RES Techs T15'!$W51,0,MATCH(VLOOKUP('RES Veda input'!AV$3,'RES Assumptions T15'!$V$3:$W$35,2,FALSE),'RES Techs T15'!$G$3:$U$3,0))</f>
        <v>1</v>
      </c>
      <c r="AW51" s="9">
        <f ca="1">OFFSET('RES Techs T15'!$W51,0,MATCH(VLOOKUP('RES Veda input'!AW$3,'RES Assumptions T15'!$V$3:$W$35,2,FALSE),'RES Techs T15'!$G$3:$U$3,0))</f>
        <v>1</v>
      </c>
      <c r="AX51" s="9">
        <f ca="1">OFFSET('RES Techs T15'!$W51,0,MATCH(VLOOKUP('RES Veda input'!AX$3,'RES Assumptions T15'!$V$3:$W$35,2,FALSE),'RES Techs T15'!$G$3:$U$3,0))</f>
        <v>1</v>
      </c>
      <c r="AY51" s="9">
        <f ca="1">OFFSET('RES Techs T15'!$W51,0,MATCH(VLOOKUP('RES Veda input'!AY$3,'RES Assumptions T15'!$V$3:$W$35,2,FALSE),'RES Techs T15'!$G$3:$U$3,0))</f>
        <v>1</v>
      </c>
      <c r="AZ51" s="9">
        <f ca="1">OFFSET('RES Techs T15'!$W51,0,MATCH(VLOOKUP('RES Veda input'!AZ$3,'RES Assumptions T15'!$V$3:$W$35,2,FALSE),'RES Techs T15'!$G$3:$U$3,0))</f>
        <v>1</v>
      </c>
      <c r="BA51" s="9">
        <f ca="1">OFFSET('RES Techs T15'!$W51,0,MATCH(VLOOKUP('RES Veda input'!BA$3,'RES Assumptions T15'!$V$3:$W$35,2,FALSE),'RES Techs T15'!$G$3:$U$3,0))</f>
        <v>1</v>
      </c>
      <c r="BB51" s="9">
        <f ca="1">OFFSET('RES Techs T15'!$W51,0,MATCH(VLOOKUP('RES Veda input'!BB$3,'RES Assumptions T15'!$V$3:$W$35,2,FALSE),'RES Techs T15'!$G$3:$U$3,0))</f>
        <v>1</v>
      </c>
      <c r="BC51" s="9">
        <f ca="1">OFFSET('RES Techs T15'!$W51,0,MATCH(VLOOKUP('RES Veda input'!BC$3,'RES Assumptions T15'!$V$3:$W$35,2,FALSE),'RES Techs T15'!$G$3:$U$3,0))</f>
        <v>1</v>
      </c>
      <c r="BD51" s="9">
        <f ca="1">OFFSET('RES Techs T15'!$W51,0,MATCH(VLOOKUP('RES Veda input'!BD$3,'RES Assumptions T15'!$V$3:$W$35,2,FALSE),'RES Techs T15'!$G$3:$U$3,0))</f>
        <v>1</v>
      </c>
      <c r="BE51" s="9">
        <f ca="1">OFFSET('RES Techs T15'!$W51,0,MATCH(VLOOKUP('RES Veda input'!BE$3,'RES Assumptions T15'!$V$3:$W$35,2,FALSE),'RES Techs T15'!$G$3:$U$3,0))</f>
        <v>1</v>
      </c>
      <c r="BF51" s="9">
        <f ca="1">OFFSET('RES Techs T15'!$W51,0,MATCH(VLOOKUP('RES Veda input'!BF$3,'RES Assumptions T15'!$V$3:$W$35,2,FALSE),'RES Techs T15'!$G$3:$U$3,0))</f>
        <v>1</v>
      </c>
      <c r="BG51" s="9">
        <f ca="1">OFFSET('RES Techs T15'!$W51,0,MATCH(VLOOKUP('RES Veda input'!BG$3,'RES Assumptions T15'!$V$3:$W$35,2,FALSE),'RES Techs T15'!$G$3:$U$3,0))</f>
        <v>1</v>
      </c>
      <c r="BH51" s="9">
        <f ca="1">OFFSET('RES Techs T15'!$W51,0,MATCH(VLOOKUP('RES Veda input'!BH$3,'RES Assumptions T15'!$V$3:$W$35,2,FALSE),'RES Techs T15'!$G$3:$U$3,0))</f>
        <v>1</v>
      </c>
      <c r="BI51" s="9">
        <f ca="1">OFFSET('RES Techs T15'!$W51,0,MATCH(VLOOKUP('RES Veda input'!BI$3,'RES Assumptions T15'!$V$3:$W$35,2,FALSE),'RES Techs T15'!$G$3:$U$3,0))</f>
        <v>1</v>
      </c>
      <c r="BJ51" s="9">
        <f ca="1">OFFSET('RES Techs T15'!$W51,0,MATCH(VLOOKUP('RES Veda input'!BJ$3,'RES Assumptions T15'!$V$3:$W$35,2,FALSE),'RES Techs T15'!$G$3:$U$3,0))</f>
        <v>1</v>
      </c>
      <c r="BK51" s="9">
        <f ca="1">OFFSET('RES Techs T15'!$W51,0,MATCH(VLOOKUP('RES Veda input'!BK$3,'RES Assumptions T15'!$V$3:$W$35,2,FALSE),'RES Techs T15'!$G$3:$U$3,0))</f>
        <v>1</v>
      </c>
      <c r="BL51" s="9">
        <f ca="1">OFFSET('RES Techs T15'!$W51,0,MATCH(VLOOKUP('RES Veda input'!BL$3,'RES Assumptions T15'!$V$3:$W$35,2,FALSE),'RES Techs T15'!$G$3:$U$3,0))</f>
        <v>1</v>
      </c>
      <c r="BM51" s="9">
        <f ca="1">OFFSET('RES Techs T15'!$W51,0,MATCH(VLOOKUP('RES Veda input'!BM$3,'RES Assumptions T15'!$V$3:$W$35,2,FALSE),'RES Techs T15'!$G$3:$U$3,0))</f>
        <v>1</v>
      </c>
      <c r="BN51" s="9">
        <f ca="1">OFFSET('RES Techs T15'!$W51,0,MATCH(VLOOKUP('RES Veda input'!BN$3,'RES Assumptions T15'!$V$3:$W$35,2,FALSE),'RES Techs T15'!$G$3:$U$3,0))</f>
        <v>1</v>
      </c>
      <c r="BO51" s="9">
        <f ca="1">OFFSET('RES Techs T15'!$W51,0,MATCH(VLOOKUP('RES Veda input'!BO$3,'RES Assumptions T15'!$V$3:$W$35,2,FALSE),'RES Techs T15'!$G$3:$U$3,0))</f>
        <v>1</v>
      </c>
      <c r="BP51" s="9">
        <f ca="1">OFFSET('RES Techs T15'!$W51,0,MATCH(VLOOKUP('RES Veda input'!BP$3,'RES Assumptions T15'!$V$3:$W$35,2,FALSE),'RES Techs T15'!$G$3:$U$3,0))</f>
        <v>1</v>
      </c>
      <c r="BR51" s="8" t="str">
        <f t="shared" si="61"/>
        <v>ROTCOA000</v>
      </c>
      <c r="BS51" s="9">
        <f t="shared" ca="1" si="62"/>
        <v>0</v>
      </c>
      <c r="BT51" s="9" t="str">
        <f ca="1">IF(OFFSET('RES Techs T15'!$AO51,0,MATCH(VLOOKUP('RES Veda input'!BT$3,'RES Assumptions T15'!$V$3:$W$35,2,FALSE),'RES Techs T15'!$G$3:$U$3,0))=0,"",OFFSET('RES Techs T15'!$AO51,0,MATCH(VLOOKUP('RES Veda input'!BT$3,'RES Assumptions T15'!$V$3:$W$35,2,FALSE),'RES Techs T15'!$G$3:$U$3,0)))</f>
        <v/>
      </c>
      <c r="BU51" s="9" t="str">
        <f ca="1">IF(OFFSET('RES Techs T15'!$AO51,0,MATCH(VLOOKUP('RES Veda input'!BU$3,'RES Assumptions T15'!$V$3:$W$35,2,FALSE),'RES Techs T15'!$G$3:$U$3,0))=0,"",OFFSET('RES Techs T15'!$AO51,0,MATCH(VLOOKUP('RES Veda input'!BU$3,'RES Assumptions T15'!$V$3:$W$35,2,FALSE),'RES Techs T15'!$G$3:$U$3,0)))</f>
        <v/>
      </c>
      <c r="BV51" s="9" t="str">
        <f ca="1">IF(OFFSET('RES Techs T15'!$AO51,0,MATCH(VLOOKUP('RES Veda input'!BV$3,'RES Assumptions T15'!$V$3:$W$35,2,FALSE),'RES Techs T15'!$G$3:$U$3,0))=0,"",OFFSET('RES Techs T15'!$AO51,0,MATCH(VLOOKUP('RES Veda input'!BV$3,'RES Assumptions T15'!$V$3:$W$35,2,FALSE),'RES Techs T15'!$G$3:$U$3,0)))</f>
        <v/>
      </c>
      <c r="BW51" s="9" t="str">
        <f ca="1">IF(OFFSET('RES Techs T15'!$AO51,0,MATCH(VLOOKUP('RES Veda input'!BW$3,'RES Assumptions T15'!$V$3:$W$35,2,FALSE),'RES Techs T15'!$G$3:$U$3,0))=0,"",OFFSET('RES Techs T15'!$AO51,0,MATCH(VLOOKUP('RES Veda input'!BW$3,'RES Assumptions T15'!$V$3:$W$35,2,FALSE),'RES Techs T15'!$G$3:$U$3,0)))</f>
        <v/>
      </c>
      <c r="BX51" s="9" t="str">
        <f ca="1">IF(OFFSET('RES Techs T15'!$AO51,0,MATCH(VLOOKUP('RES Veda input'!BX$3,'RES Assumptions T15'!$V$3:$W$35,2,FALSE),'RES Techs T15'!$G$3:$U$3,0))=0,"",OFFSET('RES Techs T15'!$AO51,0,MATCH(VLOOKUP('RES Veda input'!BX$3,'RES Assumptions T15'!$V$3:$W$35,2,FALSE),'RES Techs T15'!$G$3:$U$3,0)))</f>
        <v/>
      </c>
      <c r="BY51" s="9" t="str">
        <f ca="1">IF(OFFSET('RES Techs T15'!$AO51,0,MATCH(VLOOKUP('RES Veda input'!BY$3,'RES Assumptions T15'!$V$3:$W$35,2,FALSE),'RES Techs T15'!$G$3:$U$3,0))=0,"",OFFSET('RES Techs T15'!$AO51,0,MATCH(VLOOKUP('RES Veda input'!BY$3,'RES Assumptions T15'!$V$3:$W$35,2,FALSE),'RES Techs T15'!$G$3:$U$3,0)))</f>
        <v/>
      </c>
      <c r="BZ51" s="9" t="str">
        <f ca="1">IF(OFFSET('RES Techs T15'!$AO51,0,MATCH(VLOOKUP('RES Veda input'!BZ$3,'RES Assumptions T15'!$V$3:$W$35,2,FALSE),'RES Techs T15'!$G$3:$U$3,0))=0,"",OFFSET('RES Techs T15'!$AO51,0,MATCH(VLOOKUP('RES Veda input'!BZ$3,'RES Assumptions T15'!$V$3:$W$35,2,FALSE),'RES Techs T15'!$G$3:$U$3,0)))</f>
        <v/>
      </c>
      <c r="CA51" s="9" t="str">
        <f ca="1">IF(OFFSET('RES Techs T15'!$AO51,0,MATCH(VLOOKUP('RES Veda input'!CA$3,'RES Assumptions T15'!$V$3:$W$35,2,FALSE),'RES Techs T15'!$G$3:$U$3,0))=0,"",OFFSET('RES Techs T15'!$AO51,0,MATCH(VLOOKUP('RES Veda input'!CA$3,'RES Assumptions T15'!$V$3:$W$35,2,FALSE),'RES Techs T15'!$G$3:$U$3,0)))</f>
        <v/>
      </c>
      <c r="CB51" s="9" t="str">
        <f ca="1">IF(OFFSET('RES Techs T15'!$AO51,0,MATCH(VLOOKUP('RES Veda input'!CB$3,'RES Assumptions T15'!$V$3:$W$35,2,FALSE),'RES Techs T15'!$G$3:$U$3,0))=0,"",OFFSET('RES Techs T15'!$AO51,0,MATCH(VLOOKUP('RES Veda input'!CB$3,'RES Assumptions T15'!$V$3:$W$35,2,FALSE),'RES Techs T15'!$G$3:$U$3,0)))</f>
        <v/>
      </c>
      <c r="CC51" s="9" t="str">
        <f ca="1">IF(OFFSET('RES Techs T15'!$AO51,0,MATCH(VLOOKUP('RES Veda input'!CC$3,'RES Assumptions T15'!$V$3:$W$35,2,FALSE),'RES Techs T15'!$G$3:$U$3,0))=0,"",OFFSET('RES Techs T15'!$AO51,0,MATCH(VLOOKUP('RES Veda input'!CC$3,'RES Assumptions T15'!$V$3:$W$35,2,FALSE),'RES Techs T15'!$G$3:$U$3,0)))</f>
        <v/>
      </c>
      <c r="CD51" s="9" t="str">
        <f ca="1">IF(OFFSET('RES Techs T15'!$AO51,0,MATCH(VLOOKUP('RES Veda input'!CD$3,'RES Assumptions T15'!$V$3:$W$35,2,FALSE),'RES Techs T15'!$G$3:$U$3,0))=0,"",OFFSET('RES Techs T15'!$AO51,0,MATCH(VLOOKUP('RES Veda input'!CD$3,'RES Assumptions T15'!$V$3:$W$35,2,FALSE),'RES Techs T15'!$G$3:$U$3,0)))</f>
        <v/>
      </c>
      <c r="CE51" s="9" t="str">
        <f ca="1">IF(OFFSET('RES Techs T15'!$AO51,0,MATCH(VLOOKUP('RES Veda input'!CE$3,'RES Assumptions T15'!$V$3:$W$35,2,FALSE),'RES Techs T15'!$G$3:$U$3,0))=0,"",OFFSET('RES Techs T15'!$AO51,0,MATCH(VLOOKUP('RES Veda input'!CE$3,'RES Assumptions T15'!$V$3:$W$35,2,FALSE),'RES Techs T15'!$G$3:$U$3,0)))</f>
        <v/>
      </c>
      <c r="CF51" s="9" t="str">
        <f ca="1">IF(OFFSET('RES Techs T15'!$AO51,0,MATCH(VLOOKUP('RES Veda input'!CF$3,'RES Assumptions T15'!$V$3:$W$35,2,FALSE),'RES Techs T15'!$G$3:$U$3,0))=0,"",OFFSET('RES Techs T15'!$AO51,0,MATCH(VLOOKUP('RES Veda input'!CF$3,'RES Assumptions T15'!$V$3:$W$35,2,FALSE),'RES Techs T15'!$G$3:$U$3,0)))</f>
        <v/>
      </c>
      <c r="CG51" s="9" t="str">
        <f ca="1">IF(OFFSET('RES Techs T15'!$AO51,0,MATCH(VLOOKUP('RES Veda input'!CG$3,'RES Assumptions T15'!$V$3:$W$35,2,FALSE),'RES Techs T15'!$G$3:$U$3,0))=0,"",OFFSET('RES Techs T15'!$AO51,0,MATCH(VLOOKUP('RES Veda input'!CG$3,'RES Assumptions T15'!$V$3:$W$35,2,FALSE),'RES Techs T15'!$G$3:$U$3,0)))</f>
        <v/>
      </c>
      <c r="CH51" s="9" t="str">
        <f ca="1">IF(OFFSET('RES Techs T15'!$AO51,0,MATCH(VLOOKUP('RES Veda input'!CH$3,'RES Assumptions T15'!$V$3:$W$35,2,FALSE),'RES Techs T15'!$G$3:$U$3,0))=0,"",OFFSET('RES Techs T15'!$AO51,0,MATCH(VLOOKUP('RES Veda input'!CH$3,'RES Assumptions T15'!$V$3:$W$35,2,FALSE),'RES Techs T15'!$G$3:$U$3,0)))</f>
        <v/>
      </c>
      <c r="CI51" s="9" t="str">
        <f ca="1">IF(OFFSET('RES Techs T15'!$AO51,0,MATCH(VLOOKUP('RES Veda input'!CI$3,'RES Assumptions T15'!$V$3:$W$35,2,FALSE),'RES Techs T15'!$G$3:$U$3,0))=0,"",OFFSET('RES Techs T15'!$AO51,0,MATCH(VLOOKUP('RES Veda input'!CI$3,'RES Assumptions T15'!$V$3:$W$35,2,FALSE),'RES Techs T15'!$G$3:$U$3,0)))</f>
        <v/>
      </c>
      <c r="CJ51" s="9" t="str">
        <f ca="1">IF(OFFSET('RES Techs T15'!$AO51,0,MATCH(VLOOKUP('RES Veda input'!CJ$3,'RES Assumptions T15'!$V$3:$W$35,2,FALSE),'RES Techs T15'!$G$3:$U$3,0))=0,"",OFFSET('RES Techs T15'!$AO51,0,MATCH(VLOOKUP('RES Veda input'!CJ$3,'RES Assumptions T15'!$V$3:$W$35,2,FALSE),'RES Techs T15'!$G$3:$U$3,0)))</f>
        <v/>
      </c>
      <c r="CK51" s="9" t="str">
        <f ca="1">IF(OFFSET('RES Techs T15'!$AO51,0,MATCH(VLOOKUP('RES Veda input'!CK$3,'RES Assumptions T15'!$V$3:$W$35,2,FALSE),'RES Techs T15'!$G$3:$U$3,0))=0,"",OFFSET('RES Techs T15'!$AO51,0,MATCH(VLOOKUP('RES Veda input'!CK$3,'RES Assumptions T15'!$V$3:$W$35,2,FALSE),'RES Techs T15'!$G$3:$U$3,0)))</f>
        <v/>
      </c>
      <c r="CL51" s="9" t="str">
        <f ca="1">IF(OFFSET('RES Techs T15'!$AO51,0,MATCH(VLOOKUP('RES Veda input'!CL$3,'RES Assumptions T15'!$V$3:$W$35,2,FALSE),'RES Techs T15'!$G$3:$U$3,0))=0,"",OFFSET('RES Techs T15'!$AO51,0,MATCH(VLOOKUP('RES Veda input'!CL$3,'RES Assumptions T15'!$V$3:$W$35,2,FALSE),'RES Techs T15'!$G$3:$U$3,0)))</f>
        <v/>
      </c>
      <c r="CM51" s="9" t="str">
        <f ca="1">IF(OFFSET('RES Techs T15'!$AO51,0,MATCH(VLOOKUP('RES Veda input'!CM$3,'RES Assumptions T15'!$V$3:$W$35,2,FALSE),'RES Techs T15'!$G$3:$U$3,0))=0,"",OFFSET('RES Techs T15'!$AO51,0,MATCH(VLOOKUP('RES Veda input'!CM$3,'RES Assumptions T15'!$V$3:$W$35,2,FALSE),'RES Techs T15'!$G$3:$U$3,0)))</f>
        <v/>
      </c>
      <c r="CN51" s="9" t="str">
        <f ca="1">IF(OFFSET('RES Techs T15'!$AO51,0,MATCH(VLOOKUP('RES Veda input'!CN$3,'RES Assumptions T15'!$V$3:$W$35,2,FALSE),'RES Techs T15'!$G$3:$U$3,0))=0,"",OFFSET('RES Techs T15'!$AO51,0,MATCH(VLOOKUP('RES Veda input'!CN$3,'RES Assumptions T15'!$V$3:$W$35,2,FALSE),'RES Techs T15'!$G$3:$U$3,0)))</f>
        <v/>
      </c>
      <c r="CO51" s="9" t="str">
        <f ca="1">IF(OFFSET('RES Techs T15'!$AO51,0,MATCH(VLOOKUP('RES Veda input'!CO$3,'RES Assumptions T15'!$V$3:$W$35,2,FALSE),'RES Techs T15'!$G$3:$U$3,0))=0,"",OFFSET('RES Techs T15'!$AO51,0,MATCH(VLOOKUP('RES Veda input'!CO$3,'RES Assumptions T15'!$V$3:$W$35,2,FALSE),'RES Techs T15'!$G$3:$U$3,0)))</f>
        <v/>
      </c>
      <c r="CP51" s="9" t="str">
        <f ca="1">IF(OFFSET('RES Techs T15'!$AO51,0,MATCH(VLOOKUP('RES Veda input'!CP$3,'RES Assumptions T15'!$V$3:$W$35,2,FALSE),'RES Techs T15'!$G$3:$U$3,0))=0,"",OFFSET('RES Techs T15'!$AO51,0,MATCH(VLOOKUP('RES Veda input'!CP$3,'RES Assumptions T15'!$V$3:$W$35,2,FALSE),'RES Techs T15'!$G$3:$U$3,0)))</f>
        <v/>
      </c>
      <c r="CQ51" s="9" t="str">
        <f ca="1">IF(OFFSET('RES Techs T15'!$AO51,0,MATCH(VLOOKUP('RES Veda input'!CQ$3,'RES Assumptions T15'!$V$3:$W$35,2,FALSE),'RES Techs T15'!$G$3:$U$3,0))=0,"",OFFSET('RES Techs T15'!$AO51,0,MATCH(VLOOKUP('RES Veda input'!CQ$3,'RES Assumptions T15'!$V$3:$W$35,2,FALSE),'RES Techs T15'!$G$3:$U$3,0)))</f>
        <v/>
      </c>
      <c r="CR51" s="9" t="str">
        <f ca="1">IF(OFFSET('RES Techs T15'!$AO51,0,MATCH(VLOOKUP('RES Veda input'!CR$3,'RES Assumptions T15'!$V$3:$W$35,2,FALSE),'RES Techs T15'!$G$3:$U$3,0))=0,"",OFFSET('RES Techs T15'!$AO51,0,MATCH(VLOOKUP('RES Veda input'!CR$3,'RES Assumptions T15'!$V$3:$W$35,2,FALSE),'RES Techs T15'!$G$3:$U$3,0)))</f>
        <v/>
      </c>
      <c r="CS51" s="9" t="str">
        <f ca="1">IF(OFFSET('RES Techs T15'!$AO51,0,MATCH(VLOOKUP('RES Veda input'!CS$3,'RES Assumptions T15'!$V$3:$W$35,2,FALSE),'RES Techs T15'!$G$3:$U$3,0))=0,"",OFFSET('RES Techs T15'!$AO51,0,MATCH(VLOOKUP('RES Veda input'!CS$3,'RES Assumptions T15'!$V$3:$W$35,2,FALSE),'RES Techs T15'!$G$3:$U$3,0)))</f>
        <v/>
      </c>
      <c r="CT51" s="9" t="str">
        <f ca="1">IF(OFFSET('RES Techs T15'!$AO51,0,MATCH(VLOOKUP('RES Veda input'!CT$3,'RES Assumptions T15'!$V$3:$W$35,2,FALSE),'RES Techs T15'!$G$3:$U$3,0))=0,"",OFFSET('RES Techs T15'!$AO51,0,MATCH(VLOOKUP('RES Veda input'!CT$3,'RES Assumptions T15'!$V$3:$W$35,2,FALSE),'RES Techs T15'!$G$3:$U$3,0)))</f>
        <v/>
      </c>
      <c r="CU51" s="9" t="str">
        <f ca="1">IF(OFFSET('RES Techs T15'!$AO51,0,MATCH(VLOOKUP('RES Veda input'!CU$3,'RES Assumptions T15'!$V$3:$W$35,2,FALSE),'RES Techs T15'!$G$3:$U$3,0))=0,"",OFFSET('RES Techs T15'!$AO51,0,MATCH(VLOOKUP('RES Veda input'!CU$3,'RES Assumptions T15'!$V$3:$W$35,2,FALSE),'RES Techs T15'!$G$3:$U$3,0)))</f>
        <v/>
      </c>
      <c r="CV51" s="9" t="str">
        <f ca="1">IF(OFFSET('RES Techs T15'!$AO51,0,MATCH(VLOOKUP('RES Veda input'!CV$3,'RES Assumptions T15'!$V$3:$W$35,2,FALSE),'RES Techs T15'!$G$3:$U$3,0))=0,"",OFFSET('RES Techs T15'!$AO51,0,MATCH(VLOOKUP('RES Veda input'!CV$3,'RES Assumptions T15'!$V$3:$W$35,2,FALSE),'RES Techs T15'!$G$3:$U$3,0)))</f>
        <v/>
      </c>
      <c r="CW51" s="9" t="str">
        <f ca="1">IF(OFFSET('RES Techs T15'!$AO51,0,MATCH(VLOOKUP('RES Veda input'!CW$3,'RES Assumptions T15'!$V$3:$W$35,2,FALSE),'RES Techs T15'!$G$3:$U$3,0))=0,"",OFFSET('RES Techs T15'!$AO51,0,MATCH(VLOOKUP('RES Veda input'!CW$3,'RES Assumptions T15'!$V$3:$W$35,2,FALSE),'RES Techs T15'!$G$3:$U$3,0)))</f>
        <v/>
      </c>
      <c r="CY51" s="8" t="str">
        <f t="shared" si="63"/>
        <v>ROTCOA000</v>
      </c>
      <c r="CZ51" s="10">
        <f ca="1">ROUND('RES Assumptions'!E134*'RES Veda input'!G51/'RES Veda input'!AM51,3)</f>
        <v>0</v>
      </c>
      <c r="DA51" s="10">
        <f ca="1">ROUND('RES Assumptions'!F134*'RES Veda input'!H51/'RES Veda input'!AN51,3)</f>
        <v>0</v>
      </c>
      <c r="DB51" s="10">
        <f ca="1">ROUND('RES Assumptions'!G134*'RES Veda input'!I51/'RES Veda input'!AO51,3)</f>
        <v>0</v>
      </c>
      <c r="DC51" s="10">
        <f ca="1">ROUND('RES Assumptions'!H134*'RES Veda input'!J51/'RES Veda input'!AP51,3)</f>
        <v>5.524</v>
      </c>
      <c r="DD51" s="10">
        <f ca="1">ROUND('RES Assumptions'!I134*'RES Veda input'!K51/'RES Veda input'!AQ51,3)</f>
        <v>0</v>
      </c>
      <c r="DE51" s="10">
        <f ca="1">ROUND('RES Assumptions'!J134*'RES Veda input'!L51/'RES Veda input'!AR51,3)</f>
        <v>0</v>
      </c>
      <c r="DF51" s="10">
        <f ca="1">ROUND('RES Assumptions'!K134*'RES Veda input'!M51/'RES Veda input'!AS51,3)</f>
        <v>0</v>
      </c>
      <c r="DG51" s="10">
        <f ca="1">ROUND('RES Assumptions'!L134*'RES Veda input'!N51/'RES Veda input'!AT51,3)</f>
        <v>0</v>
      </c>
      <c r="DH51" s="10">
        <f ca="1">ROUND('RES Assumptions'!M134*'RES Veda input'!O51/'RES Veda input'!AU51,3)</f>
        <v>0</v>
      </c>
      <c r="DI51" s="10">
        <f ca="1">ROUND('RES Assumptions'!N134*'RES Veda input'!P51/'RES Veda input'!AV51,3)</f>
        <v>0</v>
      </c>
      <c r="DJ51" s="10">
        <f ca="1">ROUND('RES Assumptions'!O134*'RES Veda input'!Q51/'RES Veda input'!AW51,3)</f>
        <v>1E-3</v>
      </c>
      <c r="DK51" s="10">
        <f ca="1">ROUND('RES Assumptions'!P134*'RES Veda input'!R51/'RES Veda input'!AX51,3)</f>
        <v>0.2</v>
      </c>
      <c r="DL51" s="10">
        <f ca="1">ROUND('RES Assumptions'!Q134*'RES Veda input'!S51/'RES Veda input'!AY51,3)</f>
        <v>8.7999999999999995E-2</v>
      </c>
      <c r="DM51" s="10">
        <f ca="1">ROUND('RES Assumptions'!R134*'RES Veda input'!T51/'RES Veda input'!AZ51,3)</f>
        <v>1E-3</v>
      </c>
      <c r="DN51" s="10">
        <f ca="1">ROUND('RES Assumptions'!S134*'RES Veda input'!U51/'RES Veda input'!BA51,3)</f>
        <v>8.0000000000000002E-3</v>
      </c>
      <c r="DO51" s="10">
        <f ca="1">ROUND('RES Assumptions'!T134*'RES Veda input'!V51/'RES Veda input'!BB51,3)</f>
        <v>1.4999999999999999E-2</v>
      </c>
      <c r="DP51" s="10">
        <f ca="1">ROUND('RES Assumptions'!U134*'RES Veda input'!W51/'RES Veda input'!BC51,3)</f>
        <v>0</v>
      </c>
      <c r="DQ51" s="10">
        <f ca="1">ROUND('RES Assumptions'!V134*'RES Veda input'!X51/'RES Veda input'!BD51,3)</f>
        <v>6.0000000000000001E-3</v>
      </c>
      <c r="DR51" s="10">
        <f ca="1">ROUND('RES Assumptions'!W134*'RES Veda input'!Y51/'RES Veda input'!BE51,3)</f>
        <v>7.8E-2</v>
      </c>
      <c r="DS51" s="10">
        <f ca="1">ROUND('RES Assumptions'!X134*'RES Veda input'!Z51/'RES Veda input'!BF51,3)</f>
        <v>0</v>
      </c>
      <c r="DT51" s="10">
        <f ca="1">ROUND('RES Assumptions'!Y134*'RES Veda input'!AA51/'RES Veda input'!BG51,3)</f>
        <v>0</v>
      </c>
      <c r="DU51" s="10">
        <f ca="1">ROUND('RES Assumptions'!Z134*'RES Veda input'!AB51/'RES Veda input'!BH51,3)</f>
        <v>0</v>
      </c>
      <c r="DV51" s="10">
        <f ca="1">ROUND('RES Assumptions'!AA134*'RES Veda input'!AC51/'RES Veda input'!BI51,3)</f>
        <v>0</v>
      </c>
      <c r="DW51" s="10">
        <f ca="1">ROUND('RES Assumptions'!AB134*'RES Veda input'!AD51/'RES Veda input'!BJ51,3)</f>
        <v>0</v>
      </c>
      <c r="DX51" s="10">
        <f ca="1">ROUND('RES Assumptions'!AC134*'RES Veda input'!AE51/'RES Veda input'!BK51,3)</f>
        <v>1.978</v>
      </c>
      <c r="DY51" s="10">
        <f ca="1">ROUND('RES Assumptions'!AD134*'RES Veda input'!AF51/'RES Veda input'!BL51,3)</f>
        <v>0</v>
      </c>
      <c r="DZ51" s="10">
        <f ca="1">ROUND('RES Assumptions'!AE134*'RES Veda input'!AG51/'RES Veda input'!BM51,3)</f>
        <v>0</v>
      </c>
      <c r="EA51" s="10">
        <f ca="1">ROUND('RES Assumptions'!AF134*'RES Veda input'!AH51/'RES Veda input'!BN51,3)</f>
        <v>0.10299999999999999</v>
      </c>
      <c r="EB51" s="10">
        <f ca="1">ROUND('RES Assumptions'!AG134*'RES Veda input'!AI51/'RES Veda input'!BO51,3)</f>
        <v>0</v>
      </c>
      <c r="EC51" s="10">
        <f ca="1">ROUND('RES Assumptions'!AH134*'RES Veda input'!AJ51/'RES Veda input'!BP51,3)</f>
        <v>0</v>
      </c>
      <c r="ED51">
        <v>10</v>
      </c>
      <c r="EG51" t="s">
        <v>281</v>
      </c>
      <c r="EH51" t="str">
        <f t="shared" si="64"/>
        <v>ROTCOA000</v>
      </c>
      <c r="EJ51" t="s">
        <v>282</v>
      </c>
      <c r="EK51" t="s">
        <v>283</v>
      </c>
    </row>
    <row r="52" spans="1:141" x14ac:dyDescent="0.45">
      <c r="A52" s="37" t="str">
        <f>'RES Assumptions'!B135</f>
        <v>ROT</v>
      </c>
      <c r="B52" s="37" t="s">
        <v>157</v>
      </c>
      <c r="D52" s="51" t="s">
        <v>157</v>
      </c>
      <c r="E52" s="8" t="str">
        <f>'RES Assumptions'!A135</f>
        <v>RESOIL</v>
      </c>
      <c r="F52" s="8" t="str">
        <f>VLOOKUP(A52,'RES Assumptions'!$AN$87:$AO$97,2,FALSE)</f>
        <v>ROT</v>
      </c>
      <c r="G52" s="9">
        <f ca="1">OFFSET('RES Techs T15'!$F52,0,MATCH(VLOOKUP('RES Veda input'!G$3,'RES Assumptions T15'!$V$3:$W$35,2,FALSE),'RES Techs T15'!$G$3:$U$3,0))</f>
        <v>1</v>
      </c>
      <c r="H52" s="9">
        <f ca="1">OFFSET('RES Techs T15'!$F52,0,MATCH(VLOOKUP('RES Veda input'!H$3,'RES Assumptions T15'!$V$3:$W$35,2,FALSE),'RES Techs T15'!$G$3:$U$3,0))</f>
        <v>1</v>
      </c>
      <c r="I52" s="9">
        <f ca="1">OFFSET('RES Techs T15'!$F52,0,MATCH(VLOOKUP('RES Veda input'!I$3,'RES Assumptions T15'!$V$3:$W$35,2,FALSE),'RES Techs T15'!$G$3:$U$3,0))</f>
        <v>1</v>
      </c>
      <c r="J52" s="9">
        <f ca="1">OFFSET('RES Techs T15'!$F52,0,MATCH(VLOOKUP('RES Veda input'!J$3,'RES Assumptions T15'!$V$3:$W$35,2,FALSE),'RES Techs T15'!$G$3:$U$3,0))</f>
        <v>1</v>
      </c>
      <c r="K52" s="9">
        <f ca="1">OFFSET('RES Techs T15'!$F52,0,MATCH(VLOOKUP('RES Veda input'!K$3,'RES Assumptions T15'!$V$3:$W$35,2,FALSE),'RES Techs T15'!$G$3:$U$3,0))</f>
        <v>1</v>
      </c>
      <c r="L52" s="9">
        <f ca="1">OFFSET('RES Techs T15'!$F52,0,MATCH(VLOOKUP('RES Veda input'!L$3,'RES Assumptions T15'!$V$3:$W$35,2,FALSE),'RES Techs T15'!$G$3:$U$3,0))</f>
        <v>1</v>
      </c>
      <c r="M52" s="9">
        <f ca="1">OFFSET('RES Techs T15'!$F52,0,MATCH(VLOOKUP('RES Veda input'!M$3,'RES Assumptions T15'!$V$3:$W$35,2,FALSE),'RES Techs T15'!$G$3:$U$3,0))</f>
        <v>1</v>
      </c>
      <c r="N52" s="9">
        <f ca="1">OFFSET('RES Techs T15'!$F52,0,MATCH(VLOOKUP('RES Veda input'!N$3,'RES Assumptions T15'!$V$3:$W$35,2,FALSE),'RES Techs T15'!$G$3:$U$3,0))</f>
        <v>1</v>
      </c>
      <c r="O52" s="9">
        <f ca="1">OFFSET('RES Techs T15'!$F52,0,MATCH(VLOOKUP('RES Veda input'!O$3,'RES Assumptions T15'!$V$3:$W$35,2,FALSE),'RES Techs T15'!$G$3:$U$3,0))</f>
        <v>1</v>
      </c>
      <c r="P52" s="9">
        <f ca="1">OFFSET('RES Techs T15'!$F52,0,MATCH(VLOOKUP('RES Veda input'!P$3,'RES Assumptions T15'!$V$3:$W$35,2,FALSE),'RES Techs T15'!$G$3:$U$3,0))</f>
        <v>1</v>
      </c>
      <c r="Q52" s="9">
        <f ca="1">OFFSET('RES Techs T15'!$F52,0,MATCH(VLOOKUP('RES Veda input'!Q$3,'RES Assumptions T15'!$V$3:$W$35,2,FALSE),'RES Techs T15'!$G$3:$U$3,0))</f>
        <v>1</v>
      </c>
      <c r="R52" s="9">
        <f ca="1">OFFSET('RES Techs T15'!$F52,0,MATCH(VLOOKUP('RES Veda input'!R$3,'RES Assumptions T15'!$V$3:$W$35,2,FALSE),'RES Techs T15'!$G$3:$U$3,0))</f>
        <v>1</v>
      </c>
      <c r="S52" s="9">
        <f ca="1">OFFSET('RES Techs T15'!$F52,0,MATCH(VLOOKUP('RES Veda input'!S$3,'RES Assumptions T15'!$V$3:$W$35,2,FALSE),'RES Techs T15'!$G$3:$U$3,0))</f>
        <v>1</v>
      </c>
      <c r="T52" s="9">
        <f ca="1">OFFSET('RES Techs T15'!$F52,0,MATCH(VLOOKUP('RES Veda input'!T$3,'RES Assumptions T15'!$V$3:$W$35,2,FALSE),'RES Techs T15'!$G$3:$U$3,0))</f>
        <v>1</v>
      </c>
      <c r="U52" s="9">
        <f ca="1">OFFSET('RES Techs T15'!$F52,0,MATCH(VLOOKUP('RES Veda input'!U$3,'RES Assumptions T15'!$V$3:$W$35,2,FALSE),'RES Techs T15'!$G$3:$U$3,0))</f>
        <v>1</v>
      </c>
      <c r="V52" s="9">
        <f ca="1">OFFSET('RES Techs T15'!$F52,0,MATCH(VLOOKUP('RES Veda input'!V$3,'RES Assumptions T15'!$V$3:$W$35,2,FALSE),'RES Techs T15'!$G$3:$U$3,0))</f>
        <v>1</v>
      </c>
      <c r="W52" s="9">
        <f ca="1">OFFSET('RES Techs T15'!$F52,0,MATCH(VLOOKUP('RES Veda input'!W$3,'RES Assumptions T15'!$V$3:$W$35,2,FALSE),'RES Techs T15'!$G$3:$U$3,0))</f>
        <v>1</v>
      </c>
      <c r="X52" s="9">
        <f ca="1">OFFSET('RES Techs T15'!$F52,0,MATCH(VLOOKUP('RES Veda input'!X$3,'RES Assumptions T15'!$V$3:$W$35,2,FALSE),'RES Techs T15'!$G$3:$U$3,0))</f>
        <v>1</v>
      </c>
      <c r="Y52" s="9">
        <f ca="1">OFFSET('RES Techs T15'!$F52,0,MATCH(VLOOKUP('RES Veda input'!Y$3,'RES Assumptions T15'!$V$3:$W$35,2,FALSE),'RES Techs T15'!$G$3:$U$3,0))</f>
        <v>1</v>
      </c>
      <c r="Z52" s="9">
        <f ca="1">OFFSET('RES Techs T15'!$F52,0,MATCH(VLOOKUP('RES Veda input'!Z$3,'RES Assumptions T15'!$V$3:$W$35,2,FALSE),'RES Techs T15'!$G$3:$U$3,0))</f>
        <v>1</v>
      </c>
      <c r="AA52" s="9">
        <f ca="1">OFFSET('RES Techs T15'!$F52,0,MATCH(VLOOKUP('RES Veda input'!AA$3,'RES Assumptions T15'!$V$3:$W$35,2,FALSE),'RES Techs T15'!$G$3:$U$3,0))</f>
        <v>1</v>
      </c>
      <c r="AB52" s="9">
        <f ca="1">OFFSET('RES Techs T15'!$F52,0,MATCH(VLOOKUP('RES Veda input'!AB$3,'RES Assumptions T15'!$V$3:$W$35,2,FALSE),'RES Techs T15'!$G$3:$U$3,0))</f>
        <v>1</v>
      </c>
      <c r="AC52" s="9">
        <f ca="1">OFFSET('RES Techs T15'!$F52,0,MATCH(VLOOKUP('RES Veda input'!AC$3,'RES Assumptions T15'!$V$3:$W$35,2,FALSE),'RES Techs T15'!$G$3:$U$3,0))</f>
        <v>1</v>
      </c>
      <c r="AD52" s="9">
        <f ca="1">OFFSET('RES Techs T15'!$F52,0,MATCH(VLOOKUP('RES Veda input'!AD$3,'RES Assumptions T15'!$V$3:$W$35,2,FALSE),'RES Techs T15'!$G$3:$U$3,0))</f>
        <v>1</v>
      </c>
      <c r="AE52" s="9">
        <f ca="1">OFFSET('RES Techs T15'!$F52,0,MATCH(VLOOKUP('RES Veda input'!AE$3,'RES Assumptions T15'!$V$3:$W$35,2,FALSE),'RES Techs T15'!$G$3:$U$3,0))</f>
        <v>1</v>
      </c>
      <c r="AF52" s="9">
        <f ca="1">OFFSET('RES Techs T15'!$F52,0,MATCH(VLOOKUP('RES Veda input'!AF$3,'RES Assumptions T15'!$V$3:$W$35,2,FALSE),'RES Techs T15'!$G$3:$U$3,0))</f>
        <v>1</v>
      </c>
      <c r="AG52" s="9">
        <f ca="1">OFFSET('RES Techs T15'!$F52,0,MATCH(VLOOKUP('RES Veda input'!AG$3,'RES Assumptions T15'!$V$3:$W$35,2,FALSE),'RES Techs T15'!$G$3:$U$3,0))</f>
        <v>1</v>
      </c>
      <c r="AH52" s="9">
        <f ca="1">OFFSET('RES Techs T15'!$F52,0,MATCH(VLOOKUP('RES Veda input'!AH$3,'RES Assumptions T15'!$V$3:$W$35,2,FALSE),'RES Techs T15'!$G$3:$U$3,0))</f>
        <v>1</v>
      </c>
      <c r="AI52" s="9">
        <f ca="1">OFFSET('RES Techs T15'!$F52,0,MATCH(VLOOKUP('RES Veda input'!AI$3,'RES Assumptions T15'!$V$3:$W$35,2,FALSE),'RES Techs T15'!$G$3:$U$3,0))</f>
        <v>1</v>
      </c>
      <c r="AJ52" s="9">
        <f ca="1">OFFSET('RES Techs T15'!$F52,0,MATCH(VLOOKUP('RES Veda input'!AJ$3,'RES Assumptions T15'!$V$3:$W$35,2,FALSE),'RES Techs T15'!$G$3:$U$3,0))</f>
        <v>1</v>
      </c>
      <c r="AL52" s="8" t="str">
        <f t="shared" si="60"/>
        <v>ROTDST000</v>
      </c>
      <c r="AM52" s="9">
        <f ca="1">OFFSET('RES Techs T15'!$W52,0,MATCH(VLOOKUP('RES Veda input'!AM$3,'RES Assumptions T15'!$V$3:$W$35,2,FALSE),'RES Techs T15'!$G$3:$U$3,0))</f>
        <v>1</v>
      </c>
      <c r="AN52" s="9">
        <f ca="1">OFFSET('RES Techs T15'!$W52,0,MATCH(VLOOKUP('RES Veda input'!AN$3,'RES Assumptions T15'!$V$3:$W$35,2,FALSE),'RES Techs T15'!$G$3:$U$3,0))</f>
        <v>1</v>
      </c>
      <c r="AO52" s="9">
        <f ca="1">OFFSET('RES Techs T15'!$W52,0,MATCH(VLOOKUP('RES Veda input'!AO$3,'RES Assumptions T15'!$V$3:$W$35,2,FALSE),'RES Techs T15'!$G$3:$U$3,0))</f>
        <v>1</v>
      </c>
      <c r="AP52" s="9">
        <f ca="1">OFFSET('RES Techs T15'!$W52,0,MATCH(VLOOKUP('RES Veda input'!AP$3,'RES Assumptions T15'!$V$3:$W$35,2,FALSE),'RES Techs T15'!$G$3:$U$3,0))</f>
        <v>1</v>
      </c>
      <c r="AQ52" s="9">
        <f ca="1">OFFSET('RES Techs T15'!$W52,0,MATCH(VLOOKUP('RES Veda input'!AQ$3,'RES Assumptions T15'!$V$3:$W$35,2,FALSE),'RES Techs T15'!$G$3:$U$3,0))</f>
        <v>1</v>
      </c>
      <c r="AR52" s="9">
        <f ca="1">OFFSET('RES Techs T15'!$W52,0,MATCH(VLOOKUP('RES Veda input'!AR$3,'RES Assumptions T15'!$V$3:$W$35,2,FALSE),'RES Techs T15'!$G$3:$U$3,0))</f>
        <v>1</v>
      </c>
      <c r="AS52" s="9">
        <f ca="1">OFFSET('RES Techs T15'!$W52,0,MATCH(VLOOKUP('RES Veda input'!AS$3,'RES Assumptions T15'!$V$3:$W$35,2,FALSE),'RES Techs T15'!$G$3:$U$3,0))</f>
        <v>1</v>
      </c>
      <c r="AT52" s="9">
        <f ca="1">OFFSET('RES Techs T15'!$W52,0,MATCH(VLOOKUP('RES Veda input'!AT$3,'RES Assumptions T15'!$V$3:$W$35,2,FALSE),'RES Techs T15'!$G$3:$U$3,0))</f>
        <v>1</v>
      </c>
      <c r="AU52" s="9">
        <f ca="1">OFFSET('RES Techs T15'!$W52,0,MATCH(VLOOKUP('RES Veda input'!AU$3,'RES Assumptions T15'!$V$3:$W$35,2,FALSE),'RES Techs T15'!$G$3:$U$3,0))</f>
        <v>1</v>
      </c>
      <c r="AV52" s="9">
        <f ca="1">OFFSET('RES Techs T15'!$W52,0,MATCH(VLOOKUP('RES Veda input'!AV$3,'RES Assumptions T15'!$V$3:$W$35,2,FALSE),'RES Techs T15'!$G$3:$U$3,0))</f>
        <v>1</v>
      </c>
      <c r="AW52" s="9">
        <f ca="1">OFFSET('RES Techs T15'!$W52,0,MATCH(VLOOKUP('RES Veda input'!AW$3,'RES Assumptions T15'!$V$3:$W$35,2,FALSE),'RES Techs T15'!$G$3:$U$3,0))</f>
        <v>1</v>
      </c>
      <c r="AX52" s="9">
        <f ca="1">OFFSET('RES Techs T15'!$W52,0,MATCH(VLOOKUP('RES Veda input'!AX$3,'RES Assumptions T15'!$V$3:$W$35,2,FALSE),'RES Techs T15'!$G$3:$U$3,0))</f>
        <v>1</v>
      </c>
      <c r="AY52" s="9">
        <f ca="1">OFFSET('RES Techs T15'!$W52,0,MATCH(VLOOKUP('RES Veda input'!AY$3,'RES Assumptions T15'!$V$3:$W$35,2,FALSE),'RES Techs T15'!$G$3:$U$3,0))</f>
        <v>1</v>
      </c>
      <c r="AZ52" s="9">
        <f ca="1">OFFSET('RES Techs T15'!$W52,0,MATCH(VLOOKUP('RES Veda input'!AZ$3,'RES Assumptions T15'!$V$3:$W$35,2,FALSE),'RES Techs T15'!$G$3:$U$3,0))</f>
        <v>1</v>
      </c>
      <c r="BA52" s="9">
        <f ca="1">OFFSET('RES Techs T15'!$W52,0,MATCH(VLOOKUP('RES Veda input'!BA$3,'RES Assumptions T15'!$V$3:$W$35,2,FALSE),'RES Techs T15'!$G$3:$U$3,0))</f>
        <v>1</v>
      </c>
      <c r="BB52" s="9">
        <f ca="1">OFFSET('RES Techs T15'!$W52,0,MATCH(VLOOKUP('RES Veda input'!BB$3,'RES Assumptions T15'!$V$3:$W$35,2,FALSE),'RES Techs T15'!$G$3:$U$3,0))</f>
        <v>1</v>
      </c>
      <c r="BC52" s="9">
        <f ca="1">OFFSET('RES Techs T15'!$W52,0,MATCH(VLOOKUP('RES Veda input'!BC$3,'RES Assumptions T15'!$V$3:$W$35,2,FALSE),'RES Techs T15'!$G$3:$U$3,0))</f>
        <v>1</v>
      </c>
      <c r="BD52" s="9">
        <f ca="1">OFFSET('RES Techs T15'!$W52,0,MATCH(VLOOKUP('RES Veda input'!BD$3,'RES Assumptions T15'!$V$3:$W$35,2,FALSE),'RES Techs T15'!$G$3:$U$3,0))</f>
        <v>1</v>
      </c>
      <c r="BE52" s="9">
        <f ca="1">OFFSET('RES Techs T15'!$W52,0,MATCH(VLOOKUP('RES Veda input'!BE$3,'RES Assumptions T15'!$V$3:$W$35,2,FALSE),'RES Techs T15'!$G$3:$U$3,0))</f>
        <v>1</v>
      </c>
      <c r="BF52" s="9">
        <f ca="1">OFFSET('RES Techs T15'!$W52,0,MATCH(VLOOKUP('RES Veda input'!BF$3,'RES Assumptions T15'!$V$3:$W$35,2,FALSE),'RES Techs T15'!$G$3:$U$3,0))</f>
        <v>1</v>
      </c>
      <c r="BG52" s="9">
        <f ca="1">OFFSET('RES Techs T15'!$W52,0,MATCH(VLOOKUP('RES Veda input'!BG$3,'RES Assumptions T15'!$V$3:$W$35,2,FALSE),'RES Techs T15'!$G$3:$U$3,0))</f>
        <v>1</v>
      </c>
      <c r="BH52" s="9">
        <f ca="1">OFFSET('RES Techs T15'!$W52,0,MATCH(VLOOKUP('RES Veda input'!BH$3,'RES Assumptions T15'!$V$3:$W$35,2,FALSE),'RES Techs T15'!$G$3:$U$3,0))</f>
        <v>1</v>
      </c>
      <c r="BI52" s="9">
        <f ca="1">OFFSET('RES Techs T15'!$W52,0,MATCH(VLOOKUP('RES Veda input'!BI$3,'RES Assumptions T15'!$V$3:$W$35,2,FALSE),'RES Techs T15'!$G$3:$U$3,0))</f>
        <v>1</v>
      </c>
      <c r="BJ52" s="9">
        <f ca="1">OFFSET('RES Techs T15'!$W52,0,MATCH(VLOOKUP('RES Veda input'!BJ$3,'RES Assumptions T15'!$V$3:$W$35,2,FALSE),'RES Techs T15'!$G$3:$U$3,0))</f>
        <v>1</v>
      </c>
      <c r="BK52" s="9">
        <f ca="1">OFFSET('RES Techs T15'!$W52,0,MATCH(VLOOKUP('RES Veda input'!BK$3,'RES Assumptions T15'!$V$3:$W$35,2,FALSE),'RES Techs T15'!$G$3:$U$3,0))</f>
        <v>1</v>
      </c>
      <c r="BL52" s="9">
        <f ca="1">OFFSET('RES Techs T15'!$W52,0,MATCH(VLOOKUP('RES Veda input'!BL$3,'RES Assumptions T15'!$V$3:$W$35,2,FALSE),'RES Techs T15'!$G$3:$U$3,0))</f>
        <v>1</v>
      </c>
      <c r="BM52" s="9">
        <f ca="1">OFFSET('RES Techs T15'!$W52,0,MATCH(VLOOKUP('RES Veda input'!BM$3,'RES Assumptions T15'!$V$3:$W$35,2,FALSE),'RES Techs T15'!$G$3:$U$3,0))</f>
        <v>1</v>
      </c>
      <c r="BN52" s="9">
        <f ca="1">OFFSET('RES Techs T15'!$W52,0,MATCH(VLOOKUP('RES Veda input'!BN$3,'RES Assumptions T15'!$V$3:$W$35,2,FALSE),'RES Techs T15'!$G$3:$U$3,0))</f>
        <v>1</v>
      </c>
      <c r="BO52" s="9">
        <f ca="1">OFFSET('RES Techs T15'!$W52,0,MATCH(VLOOKUP('RES Veda input'!BO$3,'RES Assumptions T15'!$V$3:$W$35,2,FALSE),'RES Techs T15'!$G$3:$U$3,0))</f>
        <v>1</v>
      </c>
      <c r="BP52" s="9">
        <f ca="1">OFFSET('RES Techs T15'!$W52,0,MATCH(VLOOKUP('RES Veda input'!BP$3,'RES Assumptions T15'!$V$3:$W$35,2,FALSE),'RES Techs T15'!$G$3:$U$3,0))</f>
        <v>1</v>
      </c>
      <c r="BR52" s="8" t="str">
        <f t="shared" si="61"/>
        <v>ROTDST000</v>
      </c>
      <c r="BS52" s="9">
        <f t="shared" ca="1" si="62"/>
        <v>0</v>
      </c>
      <c r="BT52" s="9" t="str">
        <f ca="1">IF(OFFSET('RES Techs T15'!$AO52,0,MATCH(VLOOKUP('RES Veda input'!BT$3,'RES Assumptions T15'!$V$3:$W$35,2,FALSE),'RES Techs T15'!$G$3:$U$3,0))=0,"",OFFSET('RES Techs T15'!$AO52,0,MATCH(VLOOKUP('RES Veda input'!BT$3,'RES Assumptions T15'!$V$3:$W$35,2,FALSE),'RES Techs T15'!$G$3:$U$3,0)))</f>
        <v/>
      </c>
      <c r="BU52" s="9" t="str">
        <f ca="1">IF(OFFSET('RES Techs T15'!$AO52,0,MATCH(VLOOKUP('RES Veda input'!BU$3,'RES Assumptions T15'!$V$3:$W$35,2,FALSE),'RES Techs T15'!$G$3:$U$3,0))=0,"",OFFSET('RES Techs T15'!$AO52,0,MATCH(VLOOKUP('RES Veda input'!BU$3,'RES Assumptions T15'!$V$3:$W$35,2,FALSE),'RES Techs T15'!$G$3:$U$3,0)))</f>
        <v/>
      </c>
      <c r="BV52" s="9" t="str">
        <f ca="1">IF(OFFSET('RES Techs T15'!$AO52,0,MATCH(VLOOKUP('RES Veda input'!BV$3,'RES Assumptions T15'!$V$3:$W$35,2,FALSE),'RES Techs T15'!$G$3:$U$3,0))=0,"",OFFSET('RES Techs T15'!$AO52,0,MATCH(VLOOKUP('RES Veda input'!BV$3,'RES Assumptions T15'!$V$3:$W$35,2,FALSE),'RES Techs T15'!$G$3:$U$3,0)))</f>
        <v/>
      </c>
      <c r="BW52" s="9" t="str">
        <f ca="1">IF(OFFSET('RES Techs T15'!$AO52,0,MATCH(VLOOKUP('RES Veda input'!BW$3,'RES Assumptions T15'!$V$3:$W$35,2,FALSE),'RES Techs T15'!$G$3:$U$3,0))=0,"",OFFSET('RES Techs T15'!$AO52,0,MATCH(VLOOKUP('RES Veda input'!BW$3,'RES Assumptions T15'!$V$3:$W$35,2,FALSE),'RES Techs T15'!$G$3:$U$3,0)))</f>
        <v/>
      </c>
      <c r="BX52" s="9" t="str">
        <f ca="1">IF(OFFSET('RES Techs T15'!$AO52,0,MATCH(VLOOKUP('RES Veda input'!BX$3,'RES Assumptions T15'!$V$3:$W$35,2,FALSE),'RES Techs T15'!$G$3:$U$3,0))=0,"",OFFSET('RES Techs T15'!$AO52,0,MATCH(VLOOKUP('RES Veda input'!BX$3,'RES Assumptions T15'!$V$3:$W$35,2,FALSE),'RES Techs T15'!$G$3:$U$3,0)))</f>
        <v/>
      </c>
      <c r="BY52" s="9" t="str">
        <f ca="1">IF(OFFSET('RES Techs T15'!$AO52,0,MATCH(VLOOKUP('RES Veda input'!BY$3,'RES Assumptions T15'!$V$3:$W$35,2,FALSE),'RES Techs T15'!$G$3:$U$3,0))=0,"",OFFSET('RES Techs T15'!$AO52,0,MATCH(VLOOKUP('RES Veda input'!BY$3,'RES Assumptions T15'!$V$3:$W$35,2,FALSE),'RES Techs T15'!$G$3:$U$3,0)))</f>
        <v/>
      </c>
      <c r="BZ52" s="9" t="str">
        <f ca="1">IF(OFFSET('RES Techs T15'!$AO52,0,MATCH(VLOOKUP('RES Veda input'!BZ$3,'RES Assumptions T15'!$V$3:$W$35,2,FALSE),'RES Techs T15'!$G$3:$U$3,0))=0,"",OFFSET('RES Techs T15'!$AO52,0,MATCH(VLOOKUP('RES Veda input'!BZ$3,'RES Assumptions T15'!$V$3:$W$35,2,FALSE),'RES Techs T15'!$G$3:$U$3,0)))</f>
        <v/>
      </c>
      <c r="CA52" s="9" t="str">
        <f ca="1">IF(OFFSET('RES Techs T15'!$AO52,0,MATCH(VLOOKUP('RES Veda input'!CA$3,'RES Assumptions T15'!$V$3:$W$35,2,FALSE),'RES Techs T15'!$G$3:$U$3,0))=0,"",OFFSET('RES Techs T15'!$AO52,0,MATCH(VLOOKUP('RES Veda input'!CA$3,'RES Assumptions T15'!$V$3:$W$35,2,FALSE),'RES Techs T15'!$G$3:$U$3,0)))</f>
        <v/>
      </c>
      <c r="CB52" s="9" t="str">
        <f ca="1">IF(OFFSET('RES Techs T15'!$AO52,0,MATCH(VLOOKUP('RES Veda input'!CB$3,'RES Assumptions T15'!$V$3:$W$35,2,FALSE),'RES Techs T15'!$G$3:$U$3,0))=0,"",OFFSET('RES Techs T15'!$AO52,0,MATCH(VLOOKUP('RES Veda input'!CB$3,'RES Assumptions T15'!$V$3:$W$35,2,FALSE),'RES Techs T15'!$G$3:$U$3,0)))</f>
        <v/>
      </c>
      <c r="CC52" s="9" t="str">
        <f ca="1">IF(OFFSET('RES Techs T15'!$AO52,0,MATCH(VLOOKUP('RES Veda input'!CC$3,'RES Assumptions T15'!$V$3:$W$35,2,FALSE),'RES Techs T15'!$G$3:$U$3,0))=0,"",OFFSET('RES Techs T15'!$AO52,0,MATCH(VLOOKUP('RES Veda input'!CC$3,'RES Assumptions T15'!$V$3:$W$35,2,FALSE),'RES Techs T15'!$G$3:$U$3,0)))</f>
        <v/>
      </c>
      <c r="CD52" s="9" t="str">
        <f ca="1">IF(OFFSET('RES Techs T15'!$AO52,0,MATCH(VLOOKUP('RES Veda input'!CD$3,'RES Assumptions T15'!$V$3:$W$35,2,FALSE),'RES Techs T15'!$G$3:$U$3,0))=0,"",OFFSET('RES Techs T15'!$AO52,0,MATCH(VLOOKUP('RES Veda input'!CD$3,'RES Assumptions T15'!$V$3:$W$35,2,FALSE),'RES Techs T15'!$G$3:$U$3,0)))</f>
        <v/>
      </c>
      <c r="CE52" s="9" t="str">
        <f ca="1">IF(OFFSET('RES Techs T15'!$AO52,0,MATCH(VLOOKUP('RES Veda input'!CE$3,'RES Assumptions T15'!$V$3:$W$35,2,FALSE),'RES Techs T15'!$G$3:$U$3,0))=0,"",OFFSET('RES Techs T15'!$AO52,0,MATCH(VLOOKUP('RES Veda input'!CE$3,'RES Assumptions T15'!$V$3:$W$35,2,FALSE),'RES Techs T15'!$G$3:$U$3,0)))</f>
        <v/>
      </c>
      <c r="CF52" s="9" t="str">
        <f ca="1">IF(OFFSET('RES Techs T15'!$AO52,0,MATCH(VLOOKUP('RES Veda input'!CF$3,'RES Assumptions T15'!$V$3:$W$35,2,FALSE),'RES Techs T15'!$G$3:$U$3,0))=0,"",OFFSET('RES Techs T15'!$AO52,0,MATCH(VLOOKUP('RES Veda input'!CF$3,'RES Assumptions T15'!$V$3:$W$35,2,FALSE),'RES Techs T15'!$G$3:$U$3,0)))</f>
        <v/>
      </c>
      <c r="CG52" s="9" t="str">
        <f ca="1">IF(OFFSET('RES Techs T15'!$AO52,0,MATCH(VLOOKUP('RES Veda input'!CG$3,'RES Assumptions T15'!$V$3:$W$35,2,FALSE),'RES Techs T15'!$G$3:$U$3,0))=0,"",OFFSET('RES Techs T15'!$AO52,0,MATCH(VLOOKUP('RES Veda input'!CG$3,'RES Assumptions T15'!$V$3:$W$35,2,FALSE),'RES Techs T15'!$G$3:$U$3,0)))</f>
        <v/>
      </c>
      <c r="CH52" s="9" t="str">
        <f ca="1">IF(OFFSET('RES Techs T15'!$AO52,0,MATCH(VLOOKUP('RES Veda input'!CH$3,'RES Assumptions T15'!$V$3:$W$35,2,FALSE),'RES Techs T15'!$G$3:$U$3,0))=0,"",OFFSET('RES Techs T15'!$AO52,0,MATCH(VLOOKUP('RES Veda input'!CH$3,'RES Assumptions T15'!$V$3:$W$35,2,FALSE),'RES Techs T15'!$G$3:$U$3,0)))</f>
        <v/>
      </c>
      <c r="CI52" s="9" t="str">
        <f ca="1">IF(OFFSET('RES Techs T15'!$AO52,0,MATCH(VLOOKUP('RES Veda input'!CI$3,'RES Assumptions T15'!$V$3:$W$35,2,FALSE),'RES Techs T15'!$G$3:$U$3,0))=0,"",OFFSET('RES Techs T15'!$AO52,0,MATCH(VLOOKUP('RES Veda input'!CI$3,'RES Assumptions T15'!$V$3:$W$35,2,FALSE),'RES Techs T15'!$G$3:$U$3,0)))</f>
        <v/>
      </c>
      <c r="CJ52" s="9" t="str">
        <f ca="1">IF(OFFSET('RES Techs T15'!$AO52,0,MATCH(VLOOKUP('RES Veda input'!CJ$3,'RES Assumptions T15'!$V$3:$W$35,2,FALSE),'RES Techs T15'!$G$3:$U$3,0))=0,"",OFFSET('RES Techs T15'!$AO52,0,MATCH(VLOOKUP('RES Veda input'!CJ$3,'RES Assumptions T15'!$V$3:$W$35,2,FALSE),'RES Techs T15'!$G$3:$U$3,0)))</f>
        <v/>
      </c>
      <c r="CK52" s="9" t="str">
        <f ca="1">IF(OFFSET('RES Techs T15'!$AO52,0,MATCH(VLOOKUP('RES Veda input'!CK$3,'RES Assumptions T15'!$V$3:$W$35,2,FALSE),'RES Techs T15'!$G$3:$U$3,0))=0,"",OFFSET('RES Techs T15'!$AO52,0,MATCH(VLOOKUP('RES Veda input'!CK$3,'RES Assumptions T15'!$V$3:$W$35,2,FALSE),'RES Techs T15'!$G$3:$U$3,0)))</f>
        <v/>
      </c>
      <c r="CL52" s="9" t="str">
        <f ca="1">IF(OFFSET('RES Techs T15'!$AO52,0,MATCH(VLOOKUP('RES Veda input'!CL$3,'RES Assumptions T15'!$V$3:$W$35,2,FALSE),'RES Techs T15'!$G$3:$U$3,0))=0,"",OFFSET('RES Techs T15'!$AO52,0,MATCH(VLOOKUP('RES Veda input'!CL$3,'RES Assumptions T15'!$V$3:$W$35,2,FALSE),'RES Techs T15'!$G$3:$U$3,0)))</f>
        <v/>
      </c>
      <c r="CM52" s="9" t="str">
        <f ca="1">IF(OFFSET('RES Techs T15'!$AO52,0,MATCH(VLOOKUP('RES Veda input'!CM$3,'RES Assumptions T15'!$V$3:$W$35,2,FALSE),'RES Techs T15'!$G$3:$U$3,0))=0,"",OFFSET('RES Techs T15'!$AO52,0,MATCH(VLOOKUP('RES Veda input'!CM$3,'RES Assumptions T15'!$V$3:$W$35,2,FALSE),'RES Techs T15'!$G$3:$U$3,0)))</f>
        <v/>
      </c>
      <c r="CN52" s="9" t="str">
        <f ca="1">IF(OFFSET('RES Techs T15'!$AO52,0,MATCH(VLOOKUP('RES Veda input'!CN$3,'RES Assumptions T15'!$V$3:$W$35,2,FALSE),'RES Techs T15'!$G$3:$U$3,0))=0,"",OFFSET('RES Techs T15'!$AO52,0,MATCH(VLOOKUP('RES Veda input'!CN$3,'RES Assumptions T15'!$V$3:$W$35,2,FALSE),'RES Techs T15'!$G$3:$U$3,0)))</f>
        <v/>
      </c>
      <c r="CO52" s="9" t="str">
        <f ca="1">IF(OFFSET('RES Techs T15'!$AO52,0,MATCH(VLOOKUP('RES Veda input'!CO$3,'RES Assumptions T15'!$V$3:$W$35,2,FALSE),'RES Techs T15'!$G$3:$U$3,0))=0,"",OFFSET('RES Techs T15'!$AO52,0,MATCH(VLOOKUP('RES Veda input'!CO$3,'RES Assumptions T15'!$V$3:$W$35,2,FALSE),'RES Techs T15'!$G$3:$U$3,0)))</f>
        <v/>
      </c>
      <c r="CP52" s="9" t="str">
        <f ca="1">IF(OFFSET('RES Techs T15'!$AO52,0,MATCH(VLOOKUP('RES Veda input'!CP$3,'RES Assumptions T15'!$V$3:$W$35,2,FALSE),'RES Techs T15'!$G$3:$U$3,0))=0,"",OFFSET('RES Techs T15'!$AO52,0,MATCH(VLOOKUP('RES Veda input'!CP$3,'RES Assumptions T15'!$V$3:$W$35,2,FALSE),'RES Techs T15'!$G$3:$U$3,0)))</f>
        <v/>
      </c>
      <c r="CQ52" s="9" t="str">
        <f ca="1">IF(OFFSET('RES Techs T15'!$AO52,0,MATCH(VLOOKUP('RES Veda input'!CQ$3,'RES Assumptions T15'!$V$3:$W$35,2,FALSE),'RES Techs T15'!$G$3:$U$3,0))=0,"",OFFSET('RES Techs T15'!$AO52,0,MATCH(VLOOKUP('RES Veda input'!CQ$3,'RES Assumptions T15'!$V$3:$W$35,2,FALSE),'RES Techs T15'!$G$3:$U$3,0)))</f>
        <v/>
      </c>
      <c r="CR52" s="9" t="str">
        <f ca="1">IF(OFFSET('RES Techs T15'!$AO52,0,MATCH(VLOOKUP('RES Veda input'!CR$3,'RES Assumptions T15'!$V$3:$W$35,2,FALSE),'RES Techs T15'!$G$3:$U$3,0))=0,"",OFFSET('RES Techs T15'!$AO52,0,MATCH(VLOOKUP('RES Veda input'!CR$3,'RES Assumptions T15'!$V$3:$W$35,2,FALSE),'RES Techs T15'!$G$3:$U$3,0)))</f>
        <v/>
      </c>
      <c r="CS52" s="9" t="str">
        <f ca="1">IF(OFFSET('RES Techs T15'!$AO52,0,MATCH(VLOOKUP('RES Veda input'!CS$3,'RES Assumptions T15'!$V$3:$W$35,2,FALSE),'RES Techs T15'!$G$3:$U$3,0))=0,"",OFFSET('RES Techs T15'!$AO52,0,MATCH(VLOOKUP('RES Veda input'!CS$3,'RES Assumptions T15'!$V$3:$W$35,2,FALSE),'RES Techs T15'!$G$3:$U$3,0)))</f>
        <v/>
      </c>
      <c r="CT52" s="9" t="str">
        <f ca="1">IF(OFFSET('RES Techs T15'!$AO52,0,MATCH(VLOOKUP('RES Veda input'!CT$3,'RES Assumptions T15'!$V$3:$W$35,2,FALSE),'RES Techs T15'!$G$3:$U$3,0))=0,"",OFFSET('RES Techs T15'!$AO52,0,MATCH(VLOOKUP('RES Veda input'!CT$3,'RES Assumptions T15'!$V$3:$W$35,2,FALSE),'RES Techs T15'!$G$3:$U$3,0)))</f>
        <v/>
      </c>
      <c r="CU52" s="9" t="str">
        <f ca="1">IF(OFFSET('RES Techs T15'!$AO52,0,MATCH(VLOOKUP('RES Veda input'!CU$3,'RES Assumptions T15'!$V$3:$W$35,2,FALSE),'RES Techs T15'!$G$3:$U$3,0))=0,"",OFFSET('RES Techs T15'!$AO52,0,MATCH(VLOOKUP('RES Veda input'!CU$3,'RES Assumptions T15'!$V$3:$W$35,2,FALSE),'RES Techs T15'!$G$3:$U$3,0)))</f>
        <v/>
      </c>
      <c r="CV52" s="9" t="str">
        <f ca="1">IF(OFFSET('RES Techs T15'!$AO52,0,MATCH(VLOOKUP('RES Veda input'!CV$3,'RES Assumptions T15'!$V$3:$W$35,2,FALSE),'RES Techs T15'!$G$3:$U$3,0))=0,"",OFFSET('RES Techs T15'!$AO52,0,MATCH(VLOOKUP('RES Veda input'!CV$3,'RES Assumptions T15'!$V$3:$W$35,2,FALSE),'RES Techs T15'!$G$3:$U$3,0)))</f>
        <v/>
      </c>
      <c r="CW52" s="9" t="str">
        <f ca="1">IF(OFFSET('RES Techs T15'!$AO52,0,MATCH(VLOOKUP('RES Veda input'!CW$3,'RES Assumptions T15'!$V$3:$W$35,2,FALSE),'RES Techs T15'!$G$3:$U$3,0))=0,"",OFFSET('RES Techs T15'!$AO52,0,MATCH(VLOOKUP('RES Veda input'!CW$3,'RES Assumptions T15'!$V$3:$W$35,2,FALSE),'RES Techs T15'!$G$3:$U$3,0)))</f>
        <v/>
      </c>
      <c r="CY52" s="8" t="str">
        <f t="shared" si="63"/>
        <v>ROTDST000</v>
      </c>
      <c r="CZ52" s="10">
        <f ca="1">ROUND('RES Assumptions'!E135*'RES Veda input'!G52/'RES Veda input'!AM52,3)</f>
        <v>7.0000000000000001E-3</v>
      </c>
      <c r="DA52" s="10">
        <f ca="1">ROUND('RES Assumptions'!F135*'RES Veda input'!H52/'RES Veda input'!AN52,3)</f>
        <v>0.27600000000000002</v>
      </c>
      <c r="DB52" s="10">
        <f ca="1">ROUND('RES Assumptions'!G135*'RES Veda input'!I52/'RES Veda input'!AO52,3)</f>
        <v>0</v>
      </c>
      <c r="DC52" s="10">
        <f ca="1">ROUND('RES Assumptions'!H135*'RES Veda input'!J52/'RES Veda input'!AP52,3)</f>
        <v>0.224</v>
      </c>
      <c r="DD52" s="10">
        <f ca="1">ROUND('RES Assumptions'!I135*'RES Veda input'!K52/'RES Veda input'!AQ52,3)</f>
        <v>0</v>
      </c>
      <c r="DE52" s="10">
        <f ca="1">ROUND('RES Assumptions'!J135*'RES Veda input'!L52/'RES Veda input'!AR52,3)</f>
        <v>1.9E-2</v>
      </c>
      <c r="DF52" s="10">
        <f ca="1">ROUND('RES Assumptions'!K135*'RES Veda input'!M52/'RES Veda input'!AS52,3)</f>
        <v>0</v>
      </c>
      <c r="DG52" s="10">
        <f ca="1">ROUND('RES Assumptions'!L135*'RES Veda input'!N52/'RES Veda input'!AT52,3)</f>
        <v>0</v>
      </c>
      <c r="DH52" s="10">
        <f ca="1">ROUND('RES Assumptions'!M135*'RES Veda input'!O52/'RES Veda input'!AU52,3)</f>
        <v>0</v>
      </c>
      <c r="DI52" s="10">
        <f ca="1">ROUND('RES Assumptions'!N135*'RES Veda input'!P52/'RES Veda input'!AV52,3)</f>
        <v>0</v>
      </c>
      <c r="DJ52" s="10">
        <f ca="1">ROUND('RES Assumptions'!O135*'RES Veda input'!Q52/'RES Veda input'!AW52,3)</f>
        <v>6.4000000000000001E-2</v>
      </c>
      <c r="DK52" s="10">
        <f ca="1">ROUND('RES Assumptions'!P135*'RES Veda input'!R52/'RES Veda input'!AX52,3)</f>
        <v>0.11899999999999999</v>
      </c>
      <c r="DL52" s="10">
        <f ca="1">ROUND('RES Assumptions'!Q135*'RES Veda input'!S52/'RES Veda input'!AY52,3)</f>
        <v>0.249</v>
      </c>
      <c r="DM52" s="10">
        <f ca="1">ROUND('RES Assumptions'!R135*'RES Veda input'!T52/'RES Veda input'!AZ52,3)</f>
        <v>0.193</v>
      </c>
      <c r="DN52" s="10">
        <f ca="1">ROUND('RES Assumptions'!S135*'RES Veda input'!U52/'RES Veda input'!BA52,3)</f>
        <v>2.1000000000000001E-2</v>
      </c>
      <c r="DO52" s="10">
        <f ca="1">ROUND('RES Assumptions'!T135*'RES Veda input'!V52/'RES Veda input'!BB52,3)</f>
        <v>0.14799999999999999</v>
      </c>
      <c r="DP52" s="10">
        <f ca="1">ROUND('RES Assumptions'!U135*'RES Veda input'!W52/'RES Veda input'!BC52,3)</f>
        <v>2E-3</v>
      </c>
      <c r="DQ52" s="10">
        <f ca="1">ROUND('RES Assumptions'!V135*'RES Veda input'!X52/'RES Veda input'!BD52,3)</f>
        <v>0.32600000000000001</v>
      </c>
      <c r="DR52" s="10">
        <f ca="1">ROUND('RES Assumptions'!W135*'RES Veda input'!Y52/'RES Veda input'!BE52,3)</f>
        <v>1.0669999999999999</v>
      </c>
      <c r="DS52" s="10">
        <f ca="1">ROUND('RES Assumptions'!X135*'RES Veda input'!Z52/'RES Veda input'!BF52,3)</f>
        <v>0</v>
      </c>
      <c r="DT52" s="10">
        <f ca="1">ROUND('RES Assumptions'!Y135*'RES Veda input'!AA52/'RES Veda input'!BG52,3)</f>
        <v>0.14299999999999999</v>
      </c>
      <c r="DU52" s="10">
        <f ca="1">ROUND('RES Assumptions'!Z135*'RES Veda input'!AB52/'RES Veda input'!BH52,3)</f>
        <v>0</v>
      </c>
      <c r="DV52" s="10">
        <f ca="1">ROUND('RES Assumptions'!AA135*'RES Veda input'!AC52/'RES Veda input'!BI52,3)</f>
        <v>1E-3</v>
      </c>
      <c r="DW52" s="10">
        <f ca="1">ROUND('RES Assumptions'!AB135*'RES Veda input'!AD52/'RES Veda input'!BJ52,3)</f>
        <v>1E-3</v>
      </c>
      <c r="DX52" s="10">
        <f ca="1">ROUND('RES Assumptions'!AC135*'RES Veda input'!AE52/'RES Veda input'!BK52,3)</f>
        <v>0.215</v>
      </c>
      <c r="DY52" s="10">
        <f ca="1">ROUND('RES Assumptions'!AD135*'RES Veda input'!AF52/'RES Veda input'!BL52,3)</f>
        <v>0</v>
      </c>
      <c r="DZ52" s="10">
        <f ca="1">ROUND('RES Assumptions'!AE135*'RES Veda input'!AG52/'RES Veda input'!BM52,3)</f>
        <v>5.0000000000000001E-3</v>
      </c>
      <c r="EA52" s="10">
        <f ca="1">ROUND('RES Assumptions'!AF135*'RES Veda input'!AH52/'RES Veda input'!BN52,3)</f>
        <v>1.6E-2</v>
      </c>
      <c r="EB52" s="10">
        <f ca="1">ROUND('RES Assumptions'!AG135*'RES Veda input'!AI52/'RES Veda input'!BO52,3)</f>
        <v>0</v>
      </c>
      <c r="EC52" s="10">
        <f ca="1">ROUND('RES Assumptions'!AH135*'RES Veda input'!AJ52/'RES Veda input'!BP52,3)</f>
        <v>0</v>
      </c>
      <c r="ED52">
        <v>10</v>
      </c>
      <c r="EG52" t="s">
        <v>281</v>
      </c>
      <c r="EH52" t="str">
        <f t="shared" si="64"/>
        <v>ROTDST000</v>
      </c>
      <c r="EJ52" t="s">
        <v>282</v>
      </c>
      <c r="EK52" t="s">
        <v>283</v>
      </c>
    </row>
    <row r="53" spans="1:141" x14ac:dyDescent="0.45">
      <c r="A53" s="37" t="str">
        <f>'RES Assumptions'!B136</f>
        <v>ROT</v>
      </c>
      <c r="B53" s="37" t="s">
        <v>158</v>
      </c>
      <c r="D53" s="51" t="s">
        <v>158</v>
      </c>
      <c r="E53" s="8" t="str">
        <f>'RES Assumptions'!A136</f>
        <v>RESGEO</v>
      </c>
      <c r="F53" s="8" t="str">
        <f>VLOOKUP(A53,'RES Assumptions'!$AN$87:$AO$97,2,FALSE)</f>
        <v>ROT</v>
      </c>
      <c r="G53" s="9">
        <f ca="1">OFFSET('RES Techs T15'!$F53,0,MATCH(VLOOKUP('RES Veda input'!G$3,'RES Assumptions T15'!$V$3:$W$35,2,FALSE),'RES Techs T15'!$G$3:$U$3,0))</f>
        <v>1</v>
      </c>
      <c r="H53" s="9">
        <f ca="1">OFFSET('RES Techs T15'!$F53,0,MATCH(VLOOKUP('RES Veda input'!H$3,'RES Assumptions T15'!$V$3:$W$35,2,FALSE),'RES Techs T15'!$G$3:$U$3,0))</f>
        <v>1</v>
      </c>
      <c r="I53" s="9">
        <f ca="1">OFFSET('RES Techs T15'!$F53,0,MATCH(VLOOKUP('RES Veda input'!I$3,'RES Assumptions T15'!$V$3:$W$35,2,FALSE),'RES Techs T15'!$G$3:$U$3,0))</f>
        <v>1</v>
      </c>
      <c r="J53" s="9">
        <f ca="1">OFFSET('RES Techs T15'!$F53,0,MATCH(VLOOKUP('RES Veda input'!J$3,'RES Assumptions T15'!$V$3:$W$35,2,FALSE),'RES Techs T15'!$G$3:$U$3,0))</f>
        <v>1</v>
      </c>
      <c r="K53" s="9">
        <f ca="1">OFFSET('RES Techs T15'!$F53,0,MATCH(VLOOKUP('RES Veda input'!K$3,'RES Assumptions T15'!$V$3:$W$35,2,FALSE),'RES Techs T15'!$G$3:$U$3,0))</f>
        <v>1</v>
      </c>
      <c r="L53" s="9">
        <f ca="1">OFFSET('RES Techs T15'!$F53,0,MATCH(VLOOKUP('RES Veda input'!L$3,'RES Assumptions T15'!$V$3:$W$35,2,FALSE),'RES Techs T15'!$G$3:$U$3,0))</f>
        <v>1</v>
      </c>
      <c r="M53" s="9">
        <f ca="1">OFFSET('RES Techs T15'!$F53,0,MATCH(VLOOKUP('RES Veda input'!M$3,'RES Assumptions T15'!$V$3:$W$35,2,FALSE),'RES Techs T15'!$G$3:$U$3,0))</f>
        <v>1</v>
      </c>
      <c r="N53" s="9">
        <f ca="1">OFFSET('RES Techs T15'!$F53,0,MATCH(VLOOKUP('RES Veda input'!N$3,'RES Assumptions T15'!$V$3:$W$35,2,FALSE),'RES Techs T15'!$G$3:$U$3,0))</f>
        <v>1</v>
      </c>
      <c r="O53" s="9">
        <f ca="1">OFFSET('RES Techs T15'!$F53,0,MATCH(VLOOKUP('RES Veda input'!O$3,'RES Assumptions T15'!$V$3:$W$35,2,FALSE),'RES Techs T15'!$G$3:$U$3,0))</f>
        <v>1</v>
      </c>
      <c r="P53" s="9">
        <f ca="1">OFFSET('RES Techs T15'!$F53,0,MATCH(VLOOKUP('RES Veda input'!P$3,'RES Assumptions T15'!$V$3:$W$35,2,FALSE),'RES Techs T15'!$G$3:$U$3,0))</f>
        <v>1</v>
      </c>
      <c r="Q53" s="9">
        <f ca="1">OFFSET('RES Techs T15'!$F53,0,MATCH(VLOOKUP('RES Veda input'!Q$3,'RES Assumptions T15'!$V$3:$W$35,2,FALSE),'RES Techs T15'!$G$3:$U$3,0))</f>
        <v>1</v>
      </c>
      <c r="R53" s="9">
        <f ca="1">OFFSET('RES Techs T15'!$F53,0,MATCH(VLOOKUP('RES Veda input'!R$3,'RES Assumptions T15'!$V$3:$W$35,2,FALSE),'RES Techs T15'!$G$3:$U$3,0))</f>
        <v>1</v>
      </c>
      <c r="S53" s="9">
        <f ca="1">OFFSET('RES Techs T15'!$F53,0,MATCH(VLOOKUP('RES Veda input'!S$3,'RES Assumptions T15'!$V$3:$W$35,2,FALSE),'RES Techs T15'!$G$3:$U$3,0))</f>
        <v>1</v>
      </c>
      <c r="T53" s="9">
        <f ca="1">OFFSET('RES Techs T15'!$F53,0,MATCH(VLOOKUP('RES Veda input'!T$3,'RES Assumptions T15'!$V$3:$W$35,2,FALSE),'RES Techs T15'!$G$3:$U$3,0))</f>
        <v>1</v>
      </c>
      <c r="U53" s="9">
        <f ca="1">OFFSET('RES Techs T15'!$F53,0,MATCH(VLOOKUP('RES Veda input'!U$3,'RES Assumptions T15'!$V$3:$W$35,2,FALSE),'RES Techs T15'!$G$3:$U$3,0))</f>
        <v>1</v>
      </c>
      <c r="V53" s="9">
        <f ca="1">OFFSET('RES Techs T15'!$F53,0,MATCH(VLOOKUP('RES Veda input'!V$3,'RES Assumptions T15'!$V$3:$W$35,2,FALSE),'RES Techs T15'!$G$3:$U$3,0))</f>
        <v>1</v>
      </c>
      <c r="W53" s="9">
        <f ca="1">OFFSET('RES Techs T15'!$F53,0,MATCH(VLOOKUP('RES Veda input'!W$3,'RES Assumptions T15'!$V$3:$W$35,2,FALSE),'RES Techs T15'!$G$3:$U$3,0))</f>
        <v>1</v>
      </c>
      <c r="X53" s="9">
        <f ca="1">OFFSET('RES Techs T15'!$F53,0,MATCH(VLOOKUP('RES Veda input'!X$3,'RES Assumptions T15'!$V$3:$W$35,2,FALSE),'RES Techs T15'!$G$3:$U$3,0))</f>
        <v>1</v>
      </c>
      <c r="Y53" s="9">
        <f ca="1">OFFSET('RES Techs T15'!$F53,0,MATCH(VLOOKUP('RES Veda input'!Y$3,'RES Assumptions T15'!$V$3:$W$35,2,FALSE),'RES Techs T15'!$G$3:$U$3,0))</f>
        <v>1</v>
      </c>
      <c r="Z53" s="9">
        <f ca="1">OFFSET('RES Techs T15'!$F53,0,MATCH(VLOOKUP('RES Veda input'!Z$3,'RES Assumptions T15'!$V$3:$W$35,2,FALSE),'RES Techs T15'!$G$3:$U$3,0))</f>
        <v>1</v>
      </c>
      <c r="AA53" s="9">
        <f ca="1">OFFSET('RES Techs T15'!$F53,0,MATCH(VLOOKUP('RES Veda input'!AA$3,'RES Assumptions T15'!$V$3:$W$35,2,FALSE),'RES Techs T15'!$G$3:$U$3,0))</f>
        <v>1</v>
      </c>
      <c r="AB53" s="9">
        <f ca="1">OFFSET('RES Techs T15'!$F53,0,MATCH(VLOOKUP('RES Veda input'!AB$3,'RES Assumptions T15'!$V$3:$W$35,2,FALSE),'RES Techs T15'!$G$3:$U$3,0))</f>
        <v>1</v>
      </c>
      <c r="AC53" s="9">
        <f ca="1">OFFSET('RES Techs T15'!$F53,0,MATCH(VLOOKUP('RES Veda input'!AC$3,'RES Assumptions T15'!$V$3:$W$35,2,FALSE),'RES Techs T15'!$G$3:$U$3,0))</f>
        <v>1</v>
      </c>
      <c r="AD53" s="9">
        <f ca="1">OFFSET('RES Techs T15'!$F53,0,MATCH(VLOOKUP('RES Veda input'!AD$3,'RES Assumptions T15'!$V$3:$W$35,2,FALSE),'RES Techs T15'!$G$3:$U$3,0))</f>
        <v>1</v>
      </c>
      <c r="AE53" s="9">
        <f ca="1">OFFSET('RES Techs T15'!$F53,0,MATCH(VLOOKUP('RES Veda input'!AE$3,'RES Assumptions T15'!$V$3:$W$35,2,FALSE),'RES Techs T15'!$G$3:$U$3,0))</f>
        <v>1</v>
      </c>
      <c r="AF53" s="9">
        <f ca="1">OFFSET('RES Techs T15'!$F53,0,MATCH(VLOOKUP('RES Veda input'!AF$3,'RES Assumptions T15'!$V$3:$W$35,2,FALSE),'RES Techs T15'!$G$3:$U$3,0))</f>
        <v>1</v>
      </c>
      <c r="AG53" s="9">
        <f ca="1">OFFSET('RES Techs T15'!$F53,0,MATCH(VLOOKUP('RES Veda input'!AG$3,'RES Assumptions T15'!$V$3:$W$35,2,FALSE),'RES Techs T15'!$G$3:$U$3,0))</f>
        <v>1</v>
      </c>
      <c r="AH53" s="9">
        <f ca="1">OFFSET('RES Techs T15'!$F53,0,MATCH(VLOOKUP('RES Veda input'!AH$3,'RES Assumptions T15'!$V$3:$W$35,2,FALSE),'RES Techs T15'!$G$3:$U$3,0))</f>
        <v>1</v>
      </c>
      <c r="AI53" s="9">
        <f ca="1">OFFSET('RES Techs T15'!$F53,0,MATCH(VLOOKUP('RES Veda input'!AI$3,'RES Assumptions T15'!$V$3:$W$35,2,FALSE),'RES Techs T15'!$G$3:$U$3,0))</f>
        <v>1</v>
      </c>
      <c r="AJ53" s="9">
        <f ca="1">OFFSET('RES Techs T15'!$F53,0,MATCH(VLOOKUP('RES Veda input'!AJ$3,'RES Assumptions T15'!$V$3:$W$35,2,FALSE),'RES Techs T15'!$G$3:$U$3,0))</f>
        <v>1</v>
      </c>
      <c r="AL53" s="8" t="str">
        <f t="shared" si="60"/>
        <v>ROTGEO000</v>
      </c>
      <c r="AM53" s="9">
        <f ca="1">OFFSET('RES Techs T15'!$W53,0,MATCH(VLOOKUP('RES Veda input'!AM$3,'RES Assumptions T15'!$V$3:$W$35,2,FALSE),'RES Techs T15'!$G$3:$U$3,0))</f>
        <v>1</v>
      </c>
      <c r="AN53" s="9">
        <f ca="1">OFFSET('RES Techs T15'!$W53,0,MATCH(VLOOKUP('RES Veda input'!AN$3,'RES Assumptions T15'!$V$3:$W$35,2,FALSE),'RES Techs T15'!$G$3:$U$3,0))</f>
        <v>1</v>
      </c>
      <c r="AO53" s="9">
        <f ca="1">OFFSET('RES Techs T15'!$W53,0,MATCH(VLOOKUP('RES Veda input'!AO$3,'RES Assumptions T15'!$V$3:$W$35,2,FALSE),'RES Techs T15'!$G$3:$U$3,0))</f>
        <v>1</v>
      </c>
      <c r="AP53" s="9">
        <f ca="1">OFFSET('RES Techs T15'!$W53,0,MATCH(VLOOKUP('RES Veda input'!AP$3,'RES Assumptions T15'!$V$3:$W$35,2,FALSE),'RES Techs T15'!$G$3:$U$3,0))</f>
        <v>1</v>
      </c>
      <c r="AQ53" s="9">
        <f ca="1">OFFSET('RES Techs T15'!$W53,0,MATCH(VLOOKUP('RES Veda input'!AQ$3,'RES Assumptions T15'!$V$3:$W$35,2,FALSE),'RES Techs T15'!$G$3:$U$3,0))</f>
        <v>1</v>
      </c>
      <c r="AR53" s="9">
        <f ca="1">OFFSET('RES Techs T15'!$W53,0,MATCH(VLOOKUP('RES Veda input'!AR$3,'RES Assumptions T15'!$V$3:$W$35,2,FALSE),'RES Techs T15'!$G$3:$U$3,0))</f>
        <v>1</v>
      </c>
      <c r="AS53" s="9">
        <f ca="1">OFFSET('RES Techs T15'!$W53,0,MATCH(VLOOKUP('RES Veda input'!AS$3,'RES Assumptions T15'!$V$3:$W$35,2,FALSE),'RES Techs T15'!$G$3:$U$3,0))</f>
        <v>1</v>
      </c>
      <c r="AT53" s="9">
        <f ca="1">OFFSET('RES Techs T15'!$W53,0,MATCH(VLOOKUP('RES Veda input'!AT$3,'RES Assumptions T15'!$V$3:$W$35,2,FALSE),'RES Techs T15'!$G$3:$U$3,0))</f>
        <v>1</v>
      </c>
      <c r="AU53" s="9">
        <f ca="1">OFFSET('RES Techs T15'!$W53,0,MATCH(VLOOKUP('RES Veda input'!AU$3,'RES Assumptions T15'!$V$3:$W$35,2,FALSE),'RES Techs T15'!$G$3:$U$3,0))</f>
        <v>1</v>
      </c>
      <c r="AV53" s="9">
        <f ca="1">OFFSET('RES Techs T15'!$W53,0,MATCH(VLOOKUP('RES Veda input'!AV$3,'RES Assumptions T15'!$V$3:$W$35,2,FALSE),'RES Techs T15'!$G$3:$U$3,0))</f>
        <v>1</v>
      </c>
      <c r="AW53" s="9">
        <f ca="1">OFFSET('RES Techs T15'!$W53,0,MATCH(VLOOKUP('RES Veda input'!AW$3,'RES Assumptions T15'!$V$3:$W$35,2,FALSE),'RES Techs T15'!$G$3:$U$3,0))</f>
        <v>1</v>
      </c>
      <c r="AX53" s="9">
        <f ca="1">OFFSET('RES Techs T15'!$W53,0,MATCH(VLOOKUP('RES Veda input'!AX$3,'RES Assumptions T15'!$V$3:$W$35,2,FALSE),'RES Techs T15'!$G$3:$U$3,0))</f>
        <v>1</v>
      </c>
      <c r="AY53" s="9">
        <f ca="1">OFFSET('RES Techs T15'!$W53,0,MATCH(VLOOKUP('RES Veda input'!AY$3,'RES Assumptions T15'!$V$3:$W$35,2,FALSE),'RES Techs T15'!$G$3:$U$3,0))</f>
        <v>1</v>
      </c>
      <c r="AZ53" s="9">
        <f ca="1">OFFSET('RES Techs T15'!$W53,0,MATCH(VLOOKUP('RES Veda input'!AZ$3,'RES Assumptions T15'!$V$3:$W$35,2,FALSE),'RES Techs T15'!$G$3:$U$3,0))</f>
        <v>1</v>
      </c>
      <c r="BA53" s="9">
        <f ca="1">OFFSET('RES Techs T15'!$W53,0,MATCH(VLOOKUP('RES Veda input'!BA$3,'RES Assumptions T15'!$V$3:$W$35,2,FALSE),'RES Techs T15'!$G$3:$U$3,0))</f>
        <v>1</v>
      </c>
      <c r="BB53" s="9">
        <f ca="1">OFFSET('RES Techs T15'!$W53,0,MATCH(VLOOKUP('RES Veda input'!BB$3,'RES Assumptions T15'!$V$3:$W$35,2,FALSE),'RES Techs T15'!$G$3:$U$3,0))</f>
        <v>1</v>
      </c>
      <c r="BC53" s="9">
        <f ca="1">OFFSET('RES Techs T15'!$W53,0,MATCH(VLOOKUP('RES Veda input'!BC$3,'RES Assumptions T15'!$V$3:$W$35,2,FALSE),'RES Techs T15'!$G$3:$U$3,0))</f>
        <v>1</v>
      </c>
      <c r="BD53" s="9">
        <f ca="1">OFFSET('RES Techs T15'!$W53,0,MATCH(VLOOKUP('RES Veda input'!BD$3,'RES Assumptions T15'!$V$3:$W$35,2,FALSE),'RES Techs T15'!$G$3:$U$3,0))</f>
        <v>1</v>
      </c>
      <c r="BE53" s="9">
        <f ca="1">OFFSET('RES Techs T15'!$W53,0,MATCH(VLOOKUP('RES Veda input'!BE$3,'RES Assumptions T15'!$V$3:$W$35,2,FALSE),'RES Techs T15'!$G$3:$U$3,0))</f>
        <v>1</v>
      </c>
      <c r="BF53" s="9">
        <f ca="1">OFFSET('RES Techs T15'!$W53,0,MATCH(VLOOKUP('RES Veda input'!BF$3,'RES Assumptions T15'!$V$3:$W$35,2,FALSE),'RES Techs T15'!$G$3:$U$3,0))</f>
        <v>1</v>
      </c>
      <c r="BG53" s="9">
        <f ca="1">OFFSET('RES Techs T15'!$W53,0,MATCH(VLOOKUP('RES Veda input'!BG$3,'RES Assumptions T15'!$V$3:$W$35,2,FALSE),'RES Techs T15'!$G$3:$U$3,0))</f>
        <v>1</v>
      </c>
      <c r="BH53" s="9">
        <f ca="1">OFFSET('RES Techs T15'!$W53,0,MATCH(VLOOKUP('RES Veda input'!BH$3,'RES Assumptions T15'!$V$3:$W$35,2,FALSE),'RES Techs T15'!$G$3:$U$3,0))</f>
        <v>1</v>
      </c>
      <c r="BI53" s="9">
        <f ca="1">OFFSET('RES Techs T15'!$W53,0,MATCH(VLOOKUP('RES Veda input'!BI$3,'RES Assumptions T15'!$V$3:$W$35,2,FALSE),'RES Techs T15'!$G$3:$U$3,0))</f>
        <v>1</v>
      </c>
      <c r="BJ53" s="9">
        <f ca="1">OFFSET('RES Techs T15'!$W53,0,MATCH(VLOOKUP('RES Veda input'!BJ$3,'RES Assumptions T15'!$V$3:$W$35,2,FALSE),'RES Techs T15'!$G$3:$U$3,0))</f>
        <v>1</v>
      </c>
      <c r="BK53" s="9">
        <f ca="1">OFFSET('RES Techs T15'!$W53,0,MATCH(VLOOKUP('RES Veda input'!BK$3,'RES Assumptions T15'!$V$3:$W$35,2,FALSE),'RES Techs T15'!$G$3:$U$3,0))</f>
        <v>1</v>
      </c>
      <c r="BL53" s="9">
        <f ca="1">OFFSET('RES Techs T15'!$W53,0,MATCH(VLOOKUP('RES Veda input'!BL$3,'RES Assumptions T15'!$V$3:$W$35,2,FALSE),'RES Techs T15'!$G$3:$U$3,0))</f>
        <v>1</v>
      </c>
      <c r="BM53" s="9">
        <f ca="1">OFFSET('RES Techs T15'!$W53,0,MATCH(VLOOKUP('RES Veda input'!BM$3,'RES Assumptions T15'!$V$3:$W$35,2,FALSE),'RES Techs T15'!$G$3:$U$3,0))</f>
        <v>1</v>
      </c>
      <c r="BN53" s="9">
        <f ca="1">OFFSET('RES Techs T15'!$W53,0,MATCH(VLOOKUP('RES Veda input'!BN$3,'RES Assumptions T15'!$V$3:$W$35,2,FALSE),'RES Techs T15'!$G$3:$U$3,0))</f>
        <v>1</v>
      </c>
      <c r="BO53" s="9">
        <f ca="1">OFFSET('RES Techs T15'!$W53,0,MATCH(VLOOKUP('RES Veda input'!BO$3,'RES Assumptions T15'!$V$3:$W$35,2,FALSE),'RES Techs T15'!$G$3:$U$3,0))</f>
        <v>1</v>
      </c>
      <c r="BP53" s="9">
        <f ca="1">OFFSET('RES Techs T15'!$W53,0,MATCH(VLOOKUP('RES Veda input'!BP$3,'RES Assumptions T15'!$V$3:$W$35,2,FALSE),'RES Techs T15'!$G$3:$U$3,0))</f>
        <v>1</v>
      </c>
      <c r="BR53" s="8" t="str">
        <f t="shared" si="61"/>
        <v>ROTGEO000</v>
      </c>
      <c r="BS53" s="9">
        <f t="shared" ca="1" si="62"/>
        <v>0</v>
      </c>
      <c r="BT53" s="9" t="str">
        <f ca="1">IF(OFFSET('RES Techs T15'!$AO53,0,MATCH(VLOOKUP('RES Veda input'!BT$3,'RES Assumptions T15'!$V$3:$W$35,2,FALSE),'RES Techs T15'!$G$3:$U$3,0))=0,"",OFFSET('RES Techs T15'!$AO53,0,MATCH(VLOOKUP('RES Veda input'!BT$3,'RES Assumptions T15'!$V$3:$W$35,2,FALSE),'RES Techs T15'!$G$3:$U$3,0)))</f>
        <v/>
      </c>
      <c r="BU53" s="9" t="str">
        <f ca="1">IF(OFFSET('RES Techs T15'!$AO53,0,MATCH(VLOOKUP('RES Veda input'!BU$3,'RES Assumptions T15'!$V$3:$W$35,2,FALSE),'RES Techs T15'!$G$3:$U$3,0))=0,"",OFFSET('RES Techs T15'!$AO53,0,MATCH(VLOOKUP('RES Veda input'!BU$3,'RES Assumptions T15'!$V$3:$W$35,2,FALSE),'RES Techs T15'!$G$3:$U$3,0)))</f>
        <v/>
      </c>
      <c r="BV53" s="9" t="str">
        <f ca="1">IF(OFFSET('RES Techs T15'!$AO53,0,MATCH(VLOOKUP('RES Veda input'!BV$3,'RES Assumptions T15'!$V$3:$W$35,2,FALSE),'RES Techs T15'!$G$3:$U$3,0))=0,"",OFFSET('RES Techs T15'!$AO53,0,MATCH(VLOOKUP('RES Veda input'!BV$3,'RES Assumptions T15'!$V$3:$W$35,2,FALSE),'RES Techs T15'!$G$3:$U$3,0)))</f>
        <v/>
      </c>
      <c r="BW53" s="9" t="str">
        <f ca="1">IF(OFFSET('RES Techs T15'!$AO53,0,MATCH(VLOOKUP('RES Veda input'!BW$3,'RES Assumptions T15'!$V$3:$W$35,2,FALSE),'RES Techs T15'!$G$3:$U$3,0))=0,"",OFFSET('RES Techs T15'!$AO53,0,MATCH(VLOOKUP('RES Veda input'!BW$3,'RES Assumptions T15'!$V$3:$W$35,2,FALSE),'RES Techs T15'!$G$3:$U$3,0)))</f>
        <v/>
      </c>
      <c r="BX53" s="9" t="str">
        <f ca="1">IF(OFFSET('RES Techs T15'!$AO53,0,MATCH(VLOOKUP('RES Veda input'!BX$3,'RES Assumptions T15'!$V$3:$W$35,2,FALSE),'RES Techs T15'!$G$3:$U$3,0))=0,"",OFFSET('RES Techs T15'!$AO53,0,MATCH(VLOOKUP('RES Veda input'!BX$3,'RES Assumptions T15'!$V$3:$W$35,2,FALSE),'RES Techs T15'!$G$3:$U$3,0)))</f>
        <v/>
      </c>
      <c r="BY53" s="9" t="str">
        <f ca="1">IF(OFFSET('RES Techs T15'!$AO53,0,MATCH(VLOOKUP('RES Veda input'!BY$3,'RES Assumptions T15'!$V$3:$W$35,2,FALSE),'RES Techs T15'!$G$3:$U$3,0))=0,"",OFFSET('RES Techs T15'!$AO53,0,MATCH(VLOOKUP('RES Veda input'!BY$3,'RES Assumptions T15'!$V$3:$W$35,2,FALSE),'RES Techs T15'!$G$3:$U$3,0)))</f>
        <v/>
      </c>
      <c r="BZ53" s="9" t="str">
        <f ca="1">IF(OFFSET('RES Techs T15'!$AO53,0,MATCH(VLOOKUP('RES Veda input'!BZ$3,'RES Assumptions T15'!$V$3:$W$35,2,FALSE),'RES Techs T15'!$G$3:$U$3,0))=0,"",OFFSET('RES Techs T15'!$AO53,0,MATCH(VLOOKUP('RES Veda input'!BZ$3,'RES Assumptions T15'!$V$3:$W$35,2,FALSE),'RES Techs T15'!$G$3:$U$3,0)))</f>
        <v/>
      </c>
      <c r="CA53" s="9" t="str">
        <f ca="1">IF(OFFSET('RES Techs T15'!$AO53,0,MATCH(VLOOKUP('RES Veda input'!CA$3,'RES Assumptions T15'!$V$3:$W$35,2,FALSE),'RES Techs T15'!$G$3:$U$3,0))=0,"",OFFSET('RES Techs T15'!$AO53,0,MATCH(VLOOKUP('RES Veda input'!CA$3,'RES Assumptions T15'!$V$3:$W$35,2,FALSE),'RES Techs T15'!$G$3:$U$3,0)))</f>
        <v/>
      </c>
      <c r="CB53" s="9" t="str">
        <f ca="1">IF(OFFSET('RES Techs T15'!$AO53,0,MATCH(VLOOKUP('RES Veda input'!CB$3,'RES Assumptions T15'!$V$3:$W$35,2,FALSE),'RES Techs T15'!$G$3:$U$3,0))=0,"",OFFSET('RES Techs T15'!$AO53,0,MATCH(VLOOKUP('RES Veda input'!CB$3,'RES Assumptions T15'!$V$3:$W$35,2,FALSE),'RES Techs T15'!$G$3:$U$3,0)))</f>
        <v/>
      </c>
      <c r="CC53" s="9" t="str">
        <f ca="1">IF(OFFSET('RES Techs T15'!$AO53,0,MATCH(VLOOKUP('RES Veda input'!CC$3,'RES Assumptions T15'!$V$3:$W$35,2,FALSE),'RES Techs T15'!$G$3:$U$3,0))=0,"",OFFSET('RES Techs T15'!$AO53,0,MATCH(VLOOKUP('RES Veda input'!CC$3,'RES Assumptions T15'!$V$3:$W$35,2,FALSE),'RES Techs T15'!$G$3:$U$3,0)))</f>
        <v/>
      </c>
      <c r="CD53" s="9" t="str">
        <f ca="1">IF(OFFSET('RES Techs T15'!$AO53,0,MATCH(VLOOKUP('RES Veda input'!CD$3,'RES Assumptions T15'!$V$3:$W$35,2,FALSE),'RES Techs T15'!$G$3:$U$3,0))=0,"",OFFSET('RES Techs T15'!$AO53,0,MATCH(VLOOKUP('RES Veda input'!CD$3,'RES Assumptions T15'!$V$3:$W$35,2,FALSE),'RES Techs T15'!$G$3:$U$3,0)))</f>
        <v/>
      </c>
      <c r="CE53" s="9" t="str">
        <f ca="1">IF(OFFSET('RES Techs T15'!$AO53,0,MATCH(VLOOKUP('RES Veda input'!CE$3,'RES Assumptions T15'!$V$3:$W$35,2,FALSE),'RES Techs T15'!$G$3:$U$3,0))=0,"",OFFSET('RES Techs T15'!$AO53,0,MATCH(VLOOKUP('RES Veda input'!CE$3,'RES Assumptions T15'!$V$3:$W$35,2,FALSE),'RES Techs T15'!$G$3:$U$3,0)))</f>
        <v/>
      </c>
      <c r="CF53" s="9" t="str">
        <f ca="1">IF(OFFSET('RES Techs T15'!$AO53,0,MATCH(VLOOKUP('RES Veda input'!CF$3,'RES Assumptions T15'!$V$3:$W$35,2,FALSE),'RES Techs T15'!$G$3:$U$3,0))=0,"",OFFSET('RES Techs T15'!$AO53,0,MATCH(VLOOKUP('RES Veda input'!CF$3,'RES Assumptions T15'!$V$3:$W$35,2,FALSE),'RES Techs T15'!$G$3:$U$3,0)))</f>
        <v/>
      </c>
      <c r="CG53" s="9" t="str">
        <f ca="1">IF(OFFSET('RES Techs T15'!$AO53,0,MATCH(VLOOKUP('RES Veda input'!CG$3,'RES Assumptions T15'!$V$3:$W$35,2,FALSE),'RES Techs T15'!$G$3:$U$3,0))=0,"",OFFSET('RES Techs T15'!$AO53,0,MATCH(VLOOKUP('RES Veda input'!CG$3,'RES Assumptions T15'!$V$3:$W$35,2,FALSE),'RES Techs T15'!$G$3:$U$3,0)))</f>
        <v/>
      </c>
      <c r="CH53" s="9" t="str">
        <f ca="1">IF(OFFSET('RES Techs T15'!$AO53,0,MATCH(VLOOKUP('RES Veda input'!CH$3,'RES Assumptions T15'!$V$3:$W$35,2,FALSE),'RES Techs T15'!$G$3:$U$3,0))=0,"",OFFSET('RES Techs T15'!$AO53,0,MATCH(VLOOKUP('RES Veda input'!CH$3,'RES Assumptions T15'!$V$3:$W$35,2,FALSE),'RES Techs T15'!$G$3:$U$3,0)))</f>
        <v/>
      </c>
      <c r="CI53" s="9" t="str">
        <f ca="1">IF(OFFSET('RES Techs T15'!$AO53,0,MATCH(VLOOKUP('RES Veda input'!CI$3,'RES Assumptions T15'!$V$3:$W$35,2,FALSE),'RES Techs T15'!$G$3:$U$3,0))=0,"",OFFSET('RES Techs T15'!$AO53,0,MATCH(VLOOKUP('RES Veda input'!CI$3,'RES Assumptions T15'!$V$3:$W$35,2,FALSE),'RES Techs T15'!$G$3:$U$3,0)))</f>
        <v/>
      </c>
      <c r="CJ53" s="9" t="str">
        <f ca="1">IF(OFFSET('RES Techs T15'!$AO53,0,MATCH(VLOOKUP('RES Veda input'!CJ$3,'RES Assumptions T15'!$V$3:$W$35,2,FALSE),'RES Techs T15'!$G$3:$U$3,0))=0,"",OFFSET('RES Techs T15'!$AO53,0,MATCH(VLOOKUP('RES Veda input'!CJ$3,'RES Assumptions T15'!$V$3:$W$35,2,FALSE),'RES Techs T15'!$G$3:$U$3,0)))</f>
        <v/>
      </c>
      <c r="CK53" s="9" t="str">
        <f ca="1">IF(OFFSET('RES Techs T15'!$AO53,0,MATCH(VLOOKUP('RES Veda input'!CK$3,'RES Assumptions T15'!$V$3:$W$35,2,FALSE),'RES Techs T15'!$G$3:$U$3,0))=0,"",OFFSET('RES Techs T15'!$AO53,0,MATCH(VLOOKUP('RES Veda input'!CK$3,'RES Assumptions T15'!$V$3:$W$35,2,FALSE),'RES Techs T15'!$G$3:$U$3,0)))</f>
        <v/>
      </c>
      <c r="CL53" s="9" t="str">
        <f ca="1">IF(OFFSET('RES Techs T15'!$AO53,0,MATCH(VLOOKUP('RES Veda input'!CL$3,'RES Assumptions T15'!$V$3:$W$35,2,FALSE),'RES Techs T15'!$G$3:$U$3,0))=0,"",OFFSET('RES Techs T15'!$AO53,0,MATCH(VLOOKUP('RES Veda input'!CL$3,'RES Assumptions T15'!$V$3:$W$35,2,FALSE),'RES Techs T15'!$G$3:$U$3,0)))</f>
        <v/>
      </c>
      <c r="CM53" s="9" t="str">
        <f ca="1">IF(OFFSET('RES Techs T15'!$AO53,0,MATCH(VLOOKUP('RES Veda input'!CM$3,'RES Assumptions T15'!$V$3:$W$35,2,FALSE),'RES Techs T15'!$G$3:$U$3,0))=0,"",OFFSET('RES Techs T15'!$AO53,0,MATCH(VLOOKUP('RES Veda input'!CM$3,'RES Assumptions T15'!$V$3:$W$35,2,FALSE),'RES Techs T15'!$G$3:$U$3,0)))</f>
        <v/>
      </c>
      <c r="CN53" s="9" t="str">
        <f ca="1">IF(OFFSET('RES Techs T15'!$AO53,0,MATCH(VLOOKUP('RES Veda input'!CN$3,'RES Assumptions T15'!$V$3:$W$35,2,FALSE),'RES Techs T15'!$G$3:$U$3,0))=0,"",OFFSET('RES Techs T15'!$AO53,0,MATCH(VLOOKUP('RES Veda input'!CN$3,'RES Assumptions T15'!$V$3:$W$35,2,FALSE),'RES Techs T15'!$G$3:$U$3,0)))</f>
        <v/>
      </c>
      <c r="CO53" s="9" t="str">
        <f ca="1">IF(OFFSET('RES Techs T15'!$AO53,0,MATCH(VLOOKUP('RES Veda input'!CO$3,'RES Assumptions T15'!$V$3:$W$35,2,FALSE),'RES Techs T15'!$G$3:$U$3,0))=0,"",OFFSET('RES Techs T15'!$AO53,0,MATCH(VLOOKUP('RES Veda input'!CO$3,'RES Assumptions T15'!$V$3:$W$35,2,FALSE),'RES Techs T15'!$G$3:$U$3,0)))</f>
        <v/>
      </c>
      <c r="CP53" s="9" t="str">
        <f ca="1">IF(OFFSET('RES Techs T15'!$AO53,0,MATCH(VLOOKUP('RES Veda input'!CP$3,'RES Assumptions T15'!$V$3:$W$35,2,FALSE),'RES Techs T15'!$G$3:$U$3,0))=0,"",OFFSET('RES Techs T15'!$AO53,0,MATCH(VLOOKUP('RES Veda input'!CP$3,'RES Assumptions T15'!$V$3:$W$35,2,FALSE),'RES Techs T15'!$G$3:$U$3,0)))</f>
        <v/>
      </c>
      <c r="CQ53" s="9" t="str">
        <f ca="1">IF(OFFSET('RES Techs T15'!$AO53,0,MATCH(VLOOKUP('RES Veda input'!CQ$3,'RES Assumptions T15'!$V$3:$W$35,2,FALSE),'RES Techs T15'!$G$3:$U$3,0))=0,"",OFFSET('RES Techs T15'!$AO53,0,MATCH(VLOOKUP('RES Veda input'!CQ$3,'RES Assumptions T15'!$V$3:$W$35,2,FALSE),'RES Techs T15'!$G$3:$U$3,0)))</f>
        <v/>
      </c>
      <c r="CR53" s="9" t="str">
        <f ca="1">IF(OFFSET('RES Techs T15'!$AO53,0,MATCH(VLOOKUP('RES Veda input'!CR$3,'RES Assumptions T15'!$V$3:$W$35,2,FALSE),'RES Techs T15'!$G$3:$U$3,0))=0,"",OFFSET('RES Techs T15'!$AO53,0,MATCH(VLOOKUP('RES Veda input'!CR$3,'RES Assumptions T15'!$V$3:$W$35,2,FALSE),'RES Techs T15'!$G$3:$U$3,0)))</f>
        <v/>
      </c>
      <c r="CS53" s="9" t="str">
        <f ca="1">IF(OFFSET('RES Techs T15'!$AO53,0,MATCH(VLOOKUP('RES Veda input'!CS$3,'RES Assumptions T15'!$V$3:$W$35,2,FALSE),'RES Techs T15'!$G$3:$U$3,0))=0,"",OFFSET('RES Techs T15'!$AO53,0,MATCH(VLOOKUP('RES Veda input'!CS$3,'RES Assumptions T15'!$V$3:$W$35,2,FALSE),'RES Techs T15'!$G$3:$U$3,0)))</f>
        <v/>
      </c>
      <c r="CT53" s="9" t="str">
        <f ca="1">IF(OFFSET('RES Techs T15'!$AO53,0,MATCH(VLOOKUP('RES Veda input'!CT$3,'RES Assumptions T15'!$V$3:$W$35,2,FALSE),'RES Techs T15'!$G$3:$U$3,0))=0,"",OFFSET('RES Techs T15'!$AO53,0,MATCH(VLOOKUP('RES Veda input'!CT$3,'RES Assumptions T15'!$V$3:$W$35,2,FALSE),'RES Techs T15'!$G$3:$U$3,0)))</f>
        <v/>
      </c>
      <c r="CU53" s="9" t="str">
        <f ca="1">IF(OFFSET('RES Techs T15'!$AO53,0,MATCH(VLOOKUP('RES Veda input'!CU$3,'RES Assumptions T15'!$V$3:$W$35,2,FALSE),'RES Techs T15'!$G$3:$U$3,0))=0,"",OFFSET('RES Techs T15'!$AO53,0,MATCH(VLOOKUP('RES Veda input'!CU$3,'RES Assumptions T15'!$V$3:$W$35,2,FALSE),'RES Techs T15'!$G$3:$U$3,0)))</f>
        <v/>
      </c>
      <c r="CV53" s="9" t="str">
        <f ca="1">IF(OFFSET('RES Techs T15'!$AO53,0,MATCH(VLOOKUP('RES Veda input'!CV$3,'RES Assumptions T15'!$V$3:$W$35,2,FALSE),'RES Techs T15'!$G$3:$U$3,0))=0,"",OFFSET('RES Techs T15'!$AO53,0,MATCH(VLOOKUP('RES Veda input'!CV$3,'RES Assumptions T15'!$V$3:$W$35,2,FALSE),'RES Techs T15'!$G$3:$U$3,0)))</f>
        <v/>
      </c>
      <c r="CW53" s="9" t="str">
        <f ca="1">IF(OFFSET('RES Techs T15'!$AO53,0,MATCH(VLOOKUP('RES Veda input'!CW$3,'RES Assumptions T15'!$V$3:$W$35,2,FALSE),'RES Techs T15'!$G$3:$U$3,0))=0,"",OFFSET('RES Techs T15'!$AO53,0,MATCH(VLOOKUP('RES Veda input'!CW$3,'RES Assumptions T15'!$V$3:$W$35,2,FALSE),'RES Techs T15'!$G$3:$U$3,0)))</f>
        <v/>
      </c>
      <c r="CY53" s="8" t="str">
        <f t="shared" si="63"/>
        <v>ROTGEO000</v>
      </c>
      <c r="CZ53" s="10">
        <f ca="1">ROUND('RES Assumptions'!E136*'RES Veda input'!G53/'RES Veda input'!AM53,3)</f>
        <v>0</v>
      </c>
      <c r="DA53" s="10">
        <f ca="1">ROUND('RES Assumptions'!F136*'RES Veda input'!H53/'RES Veda input'!AN53,3)</f>
        <v>0</v>
      </c>
      <c r="DB53" s="10">
        <f ca="1">ROUND('RES Assumptions'!G136*'RES Veda input'!I53/'RES Veda input'!AO53,3)</f>
        <v>0</v>
      </c>
      <c r="DC53" s="10">
        <f ca="1">ROUND('RES Assumptions'!H136*'RES Veda input'!J53/'RES Veda input'!AP53,3)</f>
        <v>0</v>
      </c>
      <c r="DD53" s="10">
        <f ca="1">ROUND('RES Assumptions'!I136*'RES Veda input'!K53/'RES Veda input'!AQ53,3)</f>
        <v>0</v>
      </c>
      <c r="DE53" s="10">
        <f ca="1">ROUND('RES Assumptions'!J136*'RES Veda input'!L53/'RES Veda input'!AR53,3)</f>
        <v>0</v>
      </c>
      <c r="DF53" s="10">
        <f ca="1">ROUND('RES Assumptions'!K136*'RES Veda input'!M53/'RES Veda input'!AS53,3)</f>
        <v>0</v>
      </c>
      <c r="DG53" s="10">
        <f ca="1">ROUND('RES Assumptions'!L136*'RES Veda input'!N53/'RES Veda input'!AT53,3)</f>
        <v>0</v>
      </c>
      <c r="DH53" s="10">
        <f ca="1">ROUND('RES Assumptions'!M136*'RES Veda input'!O53/'RES Veda input'!AU53,3)</f>
        <v>0</v>
      </c>
      <c r="DI53" s="10">
        <f ca="1">ROUND('RES Assumptions'!N136*'RES Veda input'!P53/'RES Veda input'!AV53,3)</f>
        <v>0</v>
      </c>
      <c r="DJ53" s="10">
        <f ca="1">ROUND('RES Assumptions'!O136*'RES Veda input'!Q53/'RES Veda input'!AW53,3)</f>
        <v>0</v>
      </c>
      <c r="DK53" s="10">
        <f ca="1">ROUND('RES Assumptions'!P136*'RES Veda input'!R53/'RES Veda input'!AX53,3)</f>
        <v>0</v>
      </c>
      <c r="DL53" s="10">
        <f ca="1">ROUND('RES Assumptions'!Q136*'RES Veda input'!S53/'RES Veda input'!AY53,3)</f>
        <v>0</v>
      </c>
      <c r="DM53" s="10">
        <f ca="1">ROUND('RES Assumptions'!R136*'RES Veda input'!T53/'RES Veda input'!AZ53,3)</f>
        <v>0</v>
      </c>
      <c r="DN53" s="10">
        <f ca="1">ROUND('RES Assumptions'!S136*'RES Veda input'!U53/'RES Veda input'!BA53,3)</f>
        <v>0</v>
      </c>
      <c r="DO53" s="10">
        <f ca="1">ROUND('RES Assumptions'!T136*'RES Veda input'!V53/'RES Veda input'!BB53,3)</f>
        <v>0</v>
      </c>
      <c r="DP53" s="10">
        <f ca="1">ROUND('RES Assumptions'!U136*'RES Veda input'!W53/'RES Veda input'!BC53,3)</f>
        <v>0</v>
      </c>
      <c r="DQ53" s="10">
        <f ca="1">ROUND('RES Assumptions'!V136*'RES Veda input'!X53/'RES Veda input'!BD53,3)</f>
        <v>0</v>
      </c>
      <c r="DR53" s="10">
        <f ca="1">ROUND('RES Assumptions'!W136*'RES Veda input'!Y53/'RES Veda input'!BE53,3)</f>
        <v>0</v>
      </c>
      <c r="DS53" s="10">
        <f ca="1">ROUND('RES Assumptions'!X136*'RES Veda input'!Z53/'RES Veda input'!BF53,3)</f>
        <v>0</v>
      </c>
      <c r="DT53" s="10">
        <f ca="1">ROUND('RES Assumptions'!Y136*'RES Veda input'!AA53/'RES Veda input'!BG53,3)</f>
        <v>0</v>
      </c>
      <c r="DU53" s="10">
        <f ca="1">ROUND('RES Assumptions'!Z136*'RES Veda input'!AB53/'RES Veda input'!BH53,3)</f>
        <v>0</v>
      </c>
      <c r="DV53" s="10">
        <f ca="1">ROUND('RES Assumptions'!AA136*'RES Veda input'!AC53/'RES Veda input'!BI53,3)</f>
        <v>0</v>
      </c>
      <c r="DW53" s="10">
        <f ca="1">ROUND('RES Assumptions'!AB136*'RES Veda input'!AD53/'RES Veda input'!BJ53,3)</f>
        <v>0</v>
      </c>
      <c r="DX53" s="10">
        <f ca="1">ROUND('RES Assumptions'!AC136*'RES Veda input'!AE53/'RES Veda input'!BK53,3)</f>
        <v>0</v>
      </c>
      <c r="DY53" s="10">
        <f ca="1">ROUND('RES Assumptions'!AD136*'RES Veda input'!AF53/'RES Veda input'!BL53,3)</f>
        <v>0</v>
      </c>
      <c r="DZ53" s="10">
        <f ca="1">ROUND('RES Assumptions'!AE136*'RES Veda input'!AG53/'RES Veda input'!BM53,3)</f>
        <v>0</v>
      </c>
      <c r="EA53" s="10">
        <f ca="1">ROUND('RES Assumptions'!AF136*'RES Veda input'!AH53/'RES Veda input'!BN53,3)</f>
        <v>0</v>
      </c>
      <c r="EB53" s="10">
        <f ca="1">ROUND('RES Assumptions'!AG136*'RES Veda input'!AI53/'RES Veda input'!BO53,3)</f>
        <v>0</v>
      </c>
      <c r="EC53" s="10">
        <f ca="1">ROUND('RES Assumptions'!AH136*'RES Veda input'!AJ53/'RES Veda input'!BP53,3)</f>
        <v>0</v>
      </c>
      <c r="ED53">
        <v>10</v>
      </c>
      <c r="EG53" t="s">
        <v>281</v>
      </c>
      <c r="EH53" t="str">
        <f t="shared" si="64"/>
        <v>ROTGEO000</v>
      </c>
      <c r="EJ53" t="s">
        <v>282</v>
      </c>
      <c r="EK53" t="s">
        <v>283</v>
      </c>
    </row>
    <row r="54" spans="1:141" x14ac:dyDescent="0.45">
      <c r="A54" s="37" t="str">
        <f>'RES Assumptions'!B137</f>
        <v>ROT</v>
      </c>
      <c r="B54" s="37" t="s">
        <v>159</v>
      </c>
      <c r="D54" s="51" t="s">
        <v>159</v>
      </c>
      <c r="E54" s="8" t="str">
        <f>'RES Assumptions'!A137</f>
        <v>RESHET</v>
      </c>
      <c r="F54" s="8" t="str">
        <f>VLOOKUP(A54,'RES Assumptions'!$AN$87:$AO$97,2,FALSE)</f>
        <v>ROT</v>
      </c>
      <c r="G54" s="9">
        <f ca="1">OFFSET('RES Techs T15'!$F54,0,MATCH(VLOOKUP('RES Veda input'!G$3,'RES Assumptions T15'!$V$3:$W$35,2,FALSE),'RES Techs T15'!$G$3:$U$3,0))</f>
        <v>1</v>
      </c>
      <c r="H54" s="9">
        <f ca="1">OFFSET('RES Techs T15'!$F54,0,MATCH(VLOOKUP('RES Veda input'!H$3,'RES Assumptions T15'!$V$3:$W$35,2,FALSE),'RES Techs T15'!$G$3:$U$3,0))</f>
        <v>1</v>
      </c>
      <c r="I54" s="9">
        <f ca="1">OFFSET('RES Techs T15'!$F54,0,MATCH(VLOOKUP('RES Veda input'!I$3,'RES Assumptions T15'!$V$3:$W$35,2,FALSE),'RES Techs T15'!$G$3:$U$3,0))</f>
        <v>1</v>
      </c>
      <c r="J54" s="9">
        <f ca="1">OFFSET('RES Techs T15'!$F54,0,MATCH(VLOOKUP('RES Veda input'!J$3,'RES Assumptions T15'!$V$3:$W$35,2,FALSE),'RES Techs T15'!$G$3:$U$3,0))</f>
        <v>1</v>
      </c>
      <c r="K54" s="9">
        <f ca="1">OFFSET('RES Techs T15'!$F54,0,MATCH(VLOOKUP('RES Veda input'!K$3,'RES Assumptions T15'!$V$3:$W$35,2,FALSE),'RES Techs T15'!$G$3:$U$3,0))</f>
        <v>1</v>
      </c>
      <c r="L54" s="9">
        <f ca="1">OFFSET('RES Techs T15'!$F54,0,MATCH(VLOOKUP('RES Veda input'!L$3,'RES Assumptions T15'!$V$3:$W$35,2,FALSE),'RES Techs T15'!$G$3:$U$3,0))</f>
        <v>1</v>
      </c>
      <c r="M54" s="9">
        <f ca="1">OFFSET('RES Techs T15'!$F54,0,MATCH(VLOOKUP('RES Veda input'!M$3,'RES Assumptions T15'!$V$3:$W$35,2,FALSE),'RES Techs T15'!$G$3:$U$3,0))</f>
        <v>1</v>
      </c>
      <c r="N54" s="9">
        <f ca="1">OFFSET('RES Techs T15'!$F54,0,MATCH(VLOOKUP('RES Veda input'!N$3,'RES Assumptions T15'!$V$3:$W$35,2,FALSE),'RES Techs T15'!$G$3:$U$3,0))</f>
        <v>1</v>
      </c>
      <c r="O54" s="9">
        <f ca="1">OFFSET('RES Techs T15'!$F54,0,MATCH(VLOOKUP('RES Veda input'!O$3,'RES Assumptions T15'!$V$3:$W$35,2,FALSE),'RES Techs T15'!$G$3:$U$3,0))</f>
        <v>1</v>
      </c>
      <c r="P54" s="9">
        <f ca="1">OFFSET('RES Techs T15'!$F54,0,MATCH(VLOOKUP('RES Veda input'!P$3,'RES Assumptions T15'!$V$3:$W$35,2,FALSE),'RES Techs T15'!$G$3:$U$3,0))</f>
        <v>1</v>
      </c>
      <c r="Q54" s="9">
        <f ca="1">OFFSET('RES Techs T15'!$F54,0,MATCH(VLOOKUP('RES Veda input'!Q$3,'RES Assumptions T15'!$V$3:$W$35,2,FALSE),'RES Techs T15'!$G$3:$U$3,0))</f>
        <v>1</v>
      </c>
      <c r="R54" s="9">
        <f ca="1">OFFSET('RES Techs T15'!$F54,0,MATCH(VLOOKUP('RES Veda input'!R$3,'RES Assumptions T15'!$V$3:$W$35,2,FALSE),'RES Techs T15'!$G$3:$U$3,0))</f>
        <v>1</v>
      </c>
      <c r="S54" s="9">
        <f ca="1">OFFSET('RES Techs T15'!$F54,0,MATCH(VLOOKUP('RES Veda input'!S$3,'RES Assumptions T15'!$V$3:$W$35,2,FALSE),'RES Techs T15'!$G$3:$U$3,0))</f>
        <v>1</v>
      </c>
      <c r="T54" s="9">
        <f ca="1">OFFSET('RES Techs T15'!$F54,0,MATCH(VLOOKUP('RES Veda input'!T$3,'RES Assumptions T15'!$V$3:$W$35,2,FALSE),'RES Techs T15'!$G$3:$U$3,0))</f>
        <v>1</v>
      </c>
      <c r="U54" s="9">
        <f ca="1">OFFSET('RES Techs T15'!$F54,0,MATCH(VLOOKUP('RES Veda input'!U$3,'RES Assumptions T15'!$V$3:$W$35,2,FALSE),'RES Techs T15'!$G$3:$U$3,0))</f>
        <v>1</v>
      </c>
      <c r="V54" s="9">
        <f ca="1">OFFSET('RES Techs T15'!$F54,0,MATCH(VLOOKUP('RES Veda input'!V$3,'RES Assumptions T15'!$V$3:$W$35,2,FALSE),'RES Techs T15'!$G$3:$U$3,0))</f>
        <v>1</v>
      </c>
      <c r="W54" s="9">
        <f ca="1">OFFSET('RES Techs T15'!$F54,0,MATCH(VLOOKUP('RES Veda input'!W$3,'RES Assumptions T15'!$V$3:$W$35,2,FALSE),'RES Techs T15'!$G$3:$U$3,0))</f>
        <v>1</v>
      </c>
      <c r="X54" s="9">
        <f ca="1">OFFSET('RES Techs T15'!$F54,0,MATCH(VLOOKUP('RES Veda input'!X$3,'RES Assumptions T15'!$V$3:$W$35,2,FALSE),'RES Techs T15'!$G$3:$U$3,0))</f>
        <v>1</v>
      </c>
      <c r="Y54" s="9">
        <f ca="1">OFFSET('RES Techs T15'!$F54,0,MATCH(VLOOKUP('RES Veda input'!Y$3,'RES Assumptions T15'!$V$3:$W$35,2,FALSE),'RES Techs T15'!$G$3:$U$3,0))</f>
        <v>1</v>
      </c>
      <c r="Z54" s="9">
        <f ca="1">OFFSET('RES Techs T15'!$F54,0,MATCH(VLOOKUP('RES Veda input'!Z$3,'RES Assumptions T15'!$V$3:$W$35,2,FALSE),'RES Techs T15'!$G$3:$U$3,0))</f>
        <v>1</v>
      </c>
      <c r="AA54" s="9">
        <f ca="1">OFFSET('RES Techs T15'!$F54,0,MATCH(VLOOKUP('RES Veda input'!AA$3,'RES Assumptions T15'!$V$3:$W$35,2,FALSE),'RES Techs T15'!$G$3:$U$3,0))</f>
        <v>1</v>
      </c>
      <c r="AB54" s="9">
        <f ca="1">OFFSET('RES Techs T15'!$F54,0,MATCH(VLOOKUP('RES Veda input'!AB$3,'RES Assumptions T15'!$V$3:$W$35,2,FALSE),'RES Techs T15'!$G$3:$U$3,0))</f>
        <v>1</v>
      </c>
      <c r="AC54" s="9">
        <f ca="1">OFFSET('RES Techs T15'!$F54,0,MATCH(VLOOKUP('RES Veda input'!AC$3,'RES Assumptions T15'!$V$3:$W$35,2,FALSE),'RES Techs T15'!$G$3:$U$3,0))</f>
        <v>1</v>
      </c>
      <c r="AD54" s="9">
        <f ca="1">OFFSET('RES Techs T15'!$F54,0,MATCH(VLOOKUP('RES Veda input'!AD$3,'RES Assumptions T15'!$V$3:$W$35,2,FALSE),'RES Techs T15'!$G$3:$U$3,0))</f>
        <v>1</v>
      </c>
      <c r="AE54" s="9">
        <f ca="1">OFFSET('RES Techs T15'!$F54,0,MATCH(VLOOKUP('RES Veda input'!AE$3,'RES Assumptions T15'!$V$3:$W$35,2,FALSE),'RES Techs T15'!$G$3:$U$3,0))</f>
        <v>1</v>
      </c>
      <c r="AF54" s="9">
        <f ca="1">OFFSET('RES Techs T15'!$F54,0,MATCH(VLOOKUP('RES Veda input'!AF$3,'RES Assumptions T15'!$V$3:$W$35,2,FALSE),'RES Techs T15'!$G$3:$U$3,0))</f>
        <v>1</v>
      </c>
      <c r="AG54" s="9">
        <f ca="1">OFFSET('RES Techs T15'!$F54,0,MATCH(VLOOKUP('RES Veda input'!AG$3,'RES Assumptions T15'!$V$3:$W$35,2,FALSE),'RES Techs T15'!$G$3:$U$3,0))</f>
        <v>1</v>
      </c>
      <c r="AH54" s="9">
        <f ca="1">OFFSET('RES Techs T15'!$F54,0,MATCH(VLOOKUP('RES Veda input'!AH$3,'RES Assumptions T15'!$V$3:$W$35,2,FALSE),'RES Techs T15'!$G$3:$U$3,0))</f>
        <v>1</v>
      </c>
      <c r="AI54" s="9">
        <f ca="1">OFFSET('RES Techs T15'!$F54,0,MATCH(VLOOKUP('RES Veda input'!AI$3,'RES Assumptions T15'!$V$3:$W$35,2,FALSE),'RES Techs T15'!$G$3:$U$3,0))</f>
        <v>1</v>
      </c>
      <c r="AJ54" s="9">
        <f ca="1">OFFSET('RES Techs T15'!$F54,0,MATCH(VLOOKUP('RES Veda input'!AJ$3,'RES Assumptions T15'!$V$3:$W$35,2,FALSE),'RES Techs T15'!$G$3:$U$3,0))</f>
        <v>1</v>
      </c>
      <c r="AL54" s="8" t="str">
        <f t="shared" si="60"/>
        <v>ROTHET000</v>
      </c>
      <c r="AM54" s="9">
        <f ca="1">OFFSET('RES Techs T15'!$W54,0,MATCH(VLOOKUP('RES Veda input'!AM$3,'RES Assumptions T15'!$V$3:$W$35,2,FALSE),'RES Techs T15'!$G$3:$U$3,0))</f>
        <v>1</v>
      </c>
      <c r="AN54" s="9">
        <f ca="1">OFFSET('RES Techs T15'!$W54,0,MATCH(VLOOKUP('RES Veda input'!AN$3,'RES Assumptions T15'!$V$3:$W$35,2,FALSE),'RES Techs T15'!$G$3:$U$3,0))</f>
        <v>1</v>
      </c>
      <c r="AO54" s="9">
        <f ca="1">OFFSET('RES Techs T15'!$W54,0,MATCH(VLOOKUP('RES Veda input'!AO$3,'RES Assumptions T15'!$V$3:$W$35,2,FALSE),'RES Techs T15'!$G$3:$U$3,0))</f>
        <v>1</v>
      </c>
      <c r="AP54" s="9">
        <f ca="1">OFFSET('RES Techs T15'!$W54,0,MATCH(VLOOKUP('RES Veda input'!AP$3,'RES Assumptions T15'!$V$3:$W$35,2,FALSE),'RES Techs T15'!$G$3:$U$3,0))</f>
        <v>1</v>
      </c>
      <c r="AQ54" s="9">
        <f ca="1">OFFSET('RES Techs T15'!$W54,0,MATCH(VLOOKUP('RES Veda input'!AQ$3,'RES Assumptions T15'!$V$3:$W$35,2,FALSE),'RES Techs T15'!$G$3:$U$3,0))</f>
        <v>1</v>
      </c>
      <c r="AR54" s="9">
        <f ca="1">OFFSET('RES Techs T15'!$W54,0,MATCH(VLOOKUP('RES Veda input'!AR$3,'RES Assumptions T15'!$V$3:$W$35,2,FALSE),'RES Techs T15'!$G$3:$U$3,0))</f>
        <v>1</v>
      </c>
      <c r="AS54" s="9">
        <f ca="1">OFFSET('RES Techs T15'!$W54,0,MATCH(VLOOKUP('RES Veda input'!AS$3,'RES Assumptions T15'!$V$3:$W$35,2,FALSE),'RES Techs T15'!$G$3:$U$3,0))</f>
        <v>1</v>
      </c>
      <c r="AT54" s="9">
        <f ca="1">OFFSET('RES Techs T15'!$W54,0,MATCH(VLOOKUP('RES Veda input'!AT$3,'RES Assumptions T15'!$V$3:$W$35,2,FALSE),'RES Techs T15'!$G$3:$U$3,0))</f>
        <v>1</v>
      </c>
      <c r="AU54" s="9">
        <f ca="1">OFFSET('RES Techs T15'!$W54,0,MATCH(VLOOKUP('RES Veda input'!AU$3,'RES Assumptions T15'!$V$3:$W$35,2,FALSE),'RES Techs T15'!$G$3:$U$3,0))</f>
        <v>1</v>
      </c>
      <c r="AV54" s="9">
        <f ca="1">OFFSET('RES Techs T15'!$W54,0,MATCH(VLOOKUP('RES Veda input'!AV$3,'RES Assumptions T15'!$V$3:$W$35,2,FALSE),'RES Techs T15'!$G$3:$U$3,0))</f>
        <v>1</v>
      </c>
      <c r="AW54" s="9">
        <f ca="1">OFFSET('RES Techs T15'!$W54,0,MATCH(VLOOKUP('RES Veda input'!AW$3,'RES Assumptions T15'!$V$3:$W$35,2,FALSE),'RES Techs T15'!$G$3:$U$3,0))</f>
        <v>1</v>
      </c>
      <c r="AX54" s="9">
        <f ca="1">OFFSET('RES Techs T15'!$W54,0,MATCH(VLOOKUP('RES Veda input'!AX$3,'RES Assumptions T15'!$V$3:$W$35,2,FALSE),'RES Techs T15'!$G$3:$U$3,0))</f>
        <v>1</v>
      </c>
      <c r="AY54" s="9">
        <f ca="1">OFFSET('RES Techs T15'!$W54,0,MATCH(VLOOKUP('RES Veda input'!AY$3,'RES Assumptions T15'!$V$3:$W$35,2,FALSE),'RES Techs T15'!$G$3:$U$3,0))</f>
        <v>1</v>
      </c>
      <c r="AZ54" s="9">
        <f ca="1">OFFSET('RES Techs T15'!$W54,0,MATCH(VLOOKUP('RES Veda input'!AZ$3,'RES Assumptions T15'!$V$3:$W$35,2,FALSE),'RES Techs T15'!$G$3:$U$3,0))</f>
        <v>1</v>
      </c>
      <c r="BA54" s="9">
        <f ca="1">OFFSET('RES Techs T15'!$W54,0,MATCH(VLOOKUP('RES Veda input'!BA$3,'RES Assumptions T15'!$V$3:$W$35,2,FALSE),'RES Techs T15'!$G$3:$U$3,0))</f>
        <v>1</v>
      </c>
      <c r="BB54" s="9">
        <f ca="1">OFFSET('RES Techs T15'!$W54,0,MATCH(VLOOKUP('RES Veda input'!BB$3,'RES Assumptions T15'!$V$3:$W$35,2,FALSE),'RES Techs T15'!$G$3:$U$3,0))</f>
        <v>1</v>
      </c>
      <c r="BC54" s="9">
        <f ca="1">OFFSET('RES Techs T15'!$W54,0,MATCH(VLOOKUP('RES Veda input'!BC$3,'RES Assumptions T15'!$V$3:$W$35,2,FALSE),'RES Techs T15'!$G$3:$U$3,0))</f>
        <v>1</v>
      </c>
      <c r="BD54" s="9">
        <f ca="1">OFFSET('RES Techs T15'!$W54,0,MATCH(VLOOKUP('RES Veda input'!BD$3,'RES Assumptions T15'!$V$3:$W$35,2,FALSE),'RES Techs T15'!$G$3:$U$3,0))</f>
        <v>1</v>
      </c>
      <c r="BE54" s="9">
        <f ca="1">OFFSET('RES Techs T15'!$W54,0,MATCH(VLOOKUP('RES Veda input'!BE$3,'RES Assumptions T15'!$V$3:$W$35,2,FALSE),'RES Techs T15'!$G$3:$U$3,0))</f>
        <v>1</v>
      </c>
      <c r="BF54" s="9">
        <f ca="1">OFFSET('RES Techs T15'!$W54,0,MATCH(VLOOKUP('RES Veda input'!BF$3,'RES Assumptions T15'!$V$3:$W$35,2,FALSE),'RES Techs T15'!$G$3:$U$3,0))</f>
        <v>1</v>
      </c>
      <c r="BG54" s="9">
        <f ca="1">OFFSET('RES Techs T15'!$W54,0,MATCH(VLOOKUP('RES Veda input'!BG$3,'RES Assumptions T15'!$V$3:$W$35,2,FALSE),'RES Techs T15'!$G$3:$U$3,0))</f>
        <v>1</v>
      </c>
      <c r="BH54" s="9">
        <f ca="1">OFFSET('RES Techs T15'!$W54,0,MATCH(VLOOKUP('RES Veda input'!BH$3,'RES Assumptions T15'!$V$3:$W$35,2,FALSE),'RES Techs T15'!$G$3:$U$3,0))</f>
        <v>1</v>
      </c>
      <c r="BI54" s="9">
        <f ca="1">OFFSET('RES Techs T15'!$W54,0,MATCH(VLOOKUP('RES Veda input'!BI$3,'RES Assumptions T15'!$V$3:$W$35,2,FALSE),'RES Techs T15'!$G$3:$U$3,0))</f>
        <v>1</v>
      </c>
      <c r="BJ54" s="9">
        <f ca="1">OFFSET('RES Techs T15'!$W54,0,MATCH(VLOOKUP('RES Veda input'!BJ$3,'RES Assumptions T15'!$V$3:$W$35,2,FALSE),'RES Techs T15'!$G$3:$U$3,0))</f>
        <v>1</v>
      </c>
      <c r="BK54" s="9">
        <f ca="1">OFFSET('RES Techs T15'!$W54,0,MATCH(VLOOKUP('RES Veda input'!BK$3,'RES Assumptions T15'!$V$3:$W$35,2,FALSE),'RES Techs T15'!$G$3:$U$3,0))</f>
        <v>1</v>
      </c>
      <c r="BL54" s="9">
        <f ca="1">OFFSET('RES Techs T15'!$W54,0,MATCH(VLOOKUP('RES Veda input'!BL$3,'RES Assumptions T15'!$V$3:$W$35,2,FALSE),'RES Techs T15'!$G$3:$U$3,0))</f>
        <v>1</v>
      </c>
      <c r="BM54" s="9">
        <f ca="1">OFFSET('RES Techs T15'!$W54,0,MATCH(VLOOKUP('RES Veda input'!BM$3,'RES Assumptions T15'!$V$3:$W$35,2,FALSE),'RES Techs T15'!$G$3:$U$3,0))</f>
        <v>1</v>
      </c>
      <c r="BN54" s="9">
        <f ca="1">OFFSET('RES Techs T15'!$W54,0,MATCH(VLOOKUP('RES Veda input'!BN$3,'RES Assumptions T15'!$V$3:$W$35,2,FALSE),'RES Techs T15'!$G$3:$U$3,0))</f>
        <v>1</v>
      </c>
      <c r="BO54" s="9">
        <f ca="1">OFFSET('RES Techs T15'!$W54,0,MATCH(VLOOKUP('RES Veda input'!BO$3,'RES Assumptions T15'!$V$3:$W$35,2,FALSE),'RES Techs T15'!$G$3:$U$3,0))</f>
        <v>1</v>
      </c>
      <c r="BP54" s="9">
        <f ca="1">OFFSET('RES Techs T15'!$W54,0,MATCH(VLOOKUP('RES Veda input'!BP$3,'RES Assumptions T15'!$V$3:$W$35,2,FALSE),'RES Techs T15'!$G$3:$U$3,0))</f>
        <v>1</v>
      </c>
      <c r="BR54" s="8" t="str">
        <f t="shared" si="61"/>
        <v>ROTHET000</v>
      </c>
      <c r="BS54" s="9">
        <f t="shared" ca="1" si="62"/>
        <v>0</v>
      </c>
      <c r="BT54" s="9" t="str">
        <f ca="1">IF(OFFSET('RES Techs T15'!$AO54,0,MATCH(VLOOKUP('RES Veda input'!BT$3,'RES Assumptions T15'!$V$3:$W$35,2,FALSE),'RES Techs T15'!$G$3:$U$3,0))=0,"",OFFSET('RES Techs T15'!$AO54,0,MATCH(VLOOKUP('RES Veda input'!BT$3,'RES Assumptions T15'!$V$3:$W$35,2,FALSE),'RES Techs T15'!$G$3:$U$3,0)))</f>
        <v/>
      </c>
      <c r="BU54" s="9" t="str">
        <f ca="1">IF(OFFSET('RES Techs T15'!$AO54,0,MATCH(VLOOKUP('RES Veda input'!BU$3,'RES Assumptions T15'!$V$3:$W$35,2,FALSE),'RES Techs T15'!$G$3:$U$3,0))=0,"",OFFSET('RES Techs T15'!$AO54,0,MATCH(VLOOKUP('RES Veda input'!BU$3,'RES Assumptions T15'!$V$3:$W$35,2,FALSE),'RES Techs T15'!$G$3:$U$3,0)))</f>
        <v/>
      </c>
      <c r="BV54" s="9" t="str">
        <f ca="1">IF(OFFSET('RES Techs T15'!$AO54,0,MATCH(VLOOKUP('RES Veda input'!BV$3,'RES Assumptions T15'!$V$3:$W$35,2,FALSE),'RES Techs T15'!$G$3:$U$3,0))=0,"",OFFSET('RES Techs T15'!$AO54,0,MATCH(VLOOKUP('RES Veda input'!BV$3,'RES Assumptions T15'!$V$3:$W$35,2,FALSE),'RES Techs T15'!$G$3:$U$3,0)))</f>
        <v/>
      </c>
      <c r="BW54" s="9" t="str">
        <f ca="1">IF(OFFSET('RES Techs T15'!$AO54,0,MATCH(VLOOKUP('RES Veda input'!BW$3,'RES Assumptions T15'!$V$3:$W$35,2,FALSE),'RES Techs T15'!$G$3:$U$3,0))=0,"",OFFSET('RES Techs T15'!$AO54,0,MATCH(VLOOKUP('RES Veda input'!BW$3,'RES Assumptions T15'!$V$3:$W$35,2,FALSE),'RES Techs T15'!$G$3:$U$3,0)))</f>
        <v/>
      </c>
      <c r="BX54" s="9" t="str">
        <f ca="1">IF(OFFSET('RES Techs T15'!$AO54,0,MATCH(VLOOKUP('RES Veda input'!BX$3,'RES Assumptions T15'!$V$3:$W$35,2,FALSE),'RES Techs T15'!$G$3:$U$3,0))=0,"",OFFSET('RES Techs T15'!$AO54,0,MATCH(VLOOKUP('RES Veda input'!BX$3,'RES Assumptions T15'!$V$3:$W$35,2,FALSE),'RES Techs T15'!$G$3:$U$3,0)))</f>
        <v/>
      </c>
      <c r="BY54" s="9" t="str">
        <f ca="1">IF(OFFSET('RES Techs T15'!$AO54,0,MATCH(VLOOKUP('RES Veda input'!BY$3,'RES Assumptions T15'!$V$3:$W$35,2,FALSE),'RES Techs T15'!$G$3:$U$3,0))=0,"",OFFSET('RES Techs T15'!$AO54,0,MATCH(VLOOKUP('RES Veda input'!BY$3,'RES Assumptions T15'!$V$3:$W$35,2,FALSE),'RES Techs T15'!$G$3:$U$3,0)))</f>
        <v/>
      </c>
      <c r="BZ54" s="9" t="str">
        <f ca="1">IF(OFFSET('RES Techs T15'!$AO54,0,MATCH(VLOOKUP('RES Veda input'!BZ$3,'RES Assumptions T15'!$V$3:$W$35,2,FALSE),'RES Techs T15'!$G$3:$U$3,0))=0,"",OFFSET('RES Techs T15'!$AO54,0,MATCH(VLOOKUP('RES Veda input'!BZ$3,'RES Assumptions T15'!$V$3:$W$35,2,FALSE),'RES Techs T15'!$G$3:$U$3,0)))</f>
        <v/>
      </c>
      <c r="CA54" s="9" t="str">
        <f ca="1">IF(OFFSET('RES Techs T15'!$AO54,0,MATCH(VLOOKUP('RES Veda input'!CA$3,'RES Assumptions T15'!$V$3:$W$35,2,FALSE),'RES Techs T15'!$G$3:$U$3,0))=0,"",OFFSET('RES Techs T15'!$AO54,0,MATCH(VLOOKUP('RES Veda input'!CA$3,'RES Assumptions T15'!$V$3:$W$35,2,FALSE),'RES Techs T15'!$G$3:$U$3,0)))</f>
        <v/>
      </c>
      <c r="CB54" s="9" t="str">
        <f ca="1">IF(OFFSET('RES Techs T15'!$AO54,0,MATCH(VLOOKUP('RES Veda input'!CB$3,'RES Assumptions T15'!$V$3:$W$35,2,FALSE),'RES Techs T15'!$G$3:$U$3,0))=0,"",OFFSET('RES Techs T15'!$AO54,0,MATCH(VLOOKUP('RES Veda input'!CB$3,'RES Assumptions T15'!$V$3:$W$35,2,FALSE),'RES Techs T15'!$G$3:$U$3,0)))</f>
        <v/>
      </c>
      <c r="CC54" s="9" t="str">
        <f ca="1">IF(OFFSET('RES Techs T15'!$AO54,0,MATCH(VLOOKUP('RES Veda input'!CC$3,'RES Assumptions T15'!$V$3:$W$35,2,FALSE),'RES Techs T15'!$G$3:$U$3,0))=0,"",OFFSET('RES Techs T15'!$AO54,0,MATCH(VLOOKUP('RES Veda input'!CC$3,'RES Assumptions T15'!$V$3:$W$35,2,FALSE),'RES Techs T15'!$G$3:$U$3,0)))</f>
        <v/>
      </c>
      <c r="CD54" s="9" t="str">
        <f ca="1">IF(OFFSET('RES Techs T15'!$AO54,0,MATCH(VLOOKUP('RES Veda input'!CD$3,'RES Assumptions T15'!$V$3:$W$35,2,FALSE),'RES Techs T15'!$G$3:$U$3,0))=0,"",OFFSET('RES Techs T15'!$AO54,0,MATCH(VLOOKUP('RES Veda input'!CD$3,'RES Assumptions T15'!$V$3:$W$35,2,FALSE),'RES Techs T15'!$G$3:$U$3,0)))</f>
        <v/>
      </c>
      <c r="CE54" s="9" t="str">
        <f ca="1">IF(OFFSET('RES Techs T15'!$AO54,0,MATCH(VLOOKUP('RES Veda input'!CE$3,'RES Assumptions T15'!$V$3:$W$35,2,FALSE),'RES Techs T15'!$G$3:$U$3,0))=0,"",OFFSET('RES Techs T15'!$AO54,0,MATCH(VLOOKUP('RES Veda input'!CE$3,'RES Assumptions T15'!$V$3:$W$35,2,FALSE),'RES Techs T15'!$G$3:$U$3,0)))</f>
        <v/>
      </c>
      <c r="CF54" s="9" t="str">
        <f ca="1">IF(OFFSET('RES Techs T15'!$AO54,0,MATCH(VLOOKUP('RES Veda input'!CF$3,'RES Assumptions T15'!$V$3:$W$35,2,FALSE),'RES Techs T15'!$G$3:$U$3,0))=0,"",OFFSET('RES Techs T15'!$AO54,0,MATCH(VLOOKUP('RES Veda input'!CF$3,'RES Assumptions T15'!$V$3:$W$35,2,FALSE),'RES Techs T15'!$G$3:$U$3,0)))</f>
        <v/>
      </c>
      <c r="CG54" s="9" t="str">
        <f ca="1">IF(OFFSET('RES Techs T15'!$AO54,0,MATCH(VLOOKUP('RES Veda input'!CG$3,'RES Assumptions T15'!$V$3:$W$35,2,FALSE),'RES Techs T15'!$G$3:$U$3,0))=0,"",OFFSET('RES Techs T15'!$AO54,0,MATCH(VLOOKUP('RES Veda input'!CG$3,'RES Assumptions T15'!$V$3:$W$35,2,FALSE),'RES Techs T15'!$G$3:$U$3,0)))</f>
        <v/>
      </c>
      <c r="CH54" s="9" t="str">
        <f ca="1">IF(OFFSET('RES Techs T15'!$AO54,0,MATCH(VLOOKUP('RES Veda input'!CH$3,'RES Assumptions T15'!$V$3:$W$35,2,FALSE),'RES Techs T15'!$G$3:$U$3,0))=0,"",OFFSET('RES Techs T15'!$AO54,0,MATCH(VLOOKUP('RES Veda input'!CH$3,'RES Assumptions T15'!$V$3:$W$35,2,FALSE),'RES Techs T15'!$G$3:$U$3,0)))</f>
        <v/>
      </c>
      <c r="CI54" s="9" t="str">
        <f ca="1">IF(OFFSET('RES Techs T15'!$AO54,0,MATCH(VLOOKUP('RES Veda input'!CI$3,'RES Assumptions T15'!$V$3:$W$35,2,FALSE),'RES Techs T15'!$G$3:$U$3,0))=0,"",OFFSET('RES Techs T15'!$AO54,0,MATCH(VLOOKUP('RES Veda input'!CI$3,'RES Assumptions T15'!$V$3:$W$35,2,FALSE),'RES Techs T15'!$G$3:$U$3,0)))</f>
        <v/>
      </c>
      <c r="CJ54" s="9" t="str">
        <f ca="1">IF(OFFSET('RES Techs T15'!$AO54,0,MATCH(VLOOKUP('RES Veda input'!CJ$3,'RES Assumptions T15'!$V$3:$W$35,2,FALSE),'RES Techs T15'!$G$3:$U$3,0))=0,"",OFFSET('RES Techs T15'!$AO54,0,MATCH(VLOOKUP('RES Veda input'!CJ$3,'RES Assumptions T15'!$V$3:$W$35,2,FALSE),'RES Techs T15'!$G$3:$U$3,0)))</f>
        <v/>
      </c>
      <c r="CK54" s="9" t="str">
        <f ca="1">IF(OFFSET('RES Techs T15'!$AO54,0,MATCH(VLOOKUP('RES Veda input'!CK$3,'RES Assumptions T15'!$V$3:$W$35,2,FALSE),'RES Techs T15'!$G$3:$U$3,0))=0,"",OFFSET('RES Techs T15'!$AO54,0,MATCH(VLOOKUP('RES Veda input'!CK$3,'RES Assumptions T15'!$V$3:$W$35,2,FALSE),'RES Techs T15'!$G$3:$U$3,0)))</f>
        <v/>
      </c>
      <c r="CL54" s="9" t="str">
        <f ca="1">IF(OFFSET('RES Techs T15'!$AO54,0,MATCH(VLOOKUP('RES Veda input'!CL$3,'RES Assumptions T15'!$V$3:$W$35,2,FALSE),'RES Techs T15'!$G$3:$U$3,0))=0,"",OFFSET('RES Techs T15'!$AO54,0,MATCH(VLOOKUP('RES Veda input'!CL$3,'RES Assumptions T15'!$V$3:$W$35,2,FALSE),'RES Techs T15'!$G$3:$U$3,0)))</f>
        <v/>
      </c>
      <c r="CM54" s="9" t="str">
        <f ca="1">IF(OFFSET('RES Techs T15'!$AO54,0,MATCH(VLOOKUP('RES Veda input'!CM$3,'RES Assumptions T15'!$V$3:$W$35,2,FALSE),'RES Techs T15'!$G$3:$U$3,0))=0,"",OFFSET('RES Techs T15'!$AO54,0,MATCH(VLOOKUP('RES Veda input'!CM$3,'RES Assumptions T15'!$V$3:$W$35,2,FALSE),'RES Techs T15'!$G$3:$U$3,0)))</f>
        <v/>
      </c>
      <c r="CN54" s="9" t="str">
        <f ca="1">IF(OFFSET('RES Techs T15'!$AO54,0,MATCH(VLOOKUP('RES Veda input'!CN$3,'RES Assumptions T15'!$V$3:$W$35,2,FALSE),'RES Techs T15'!$G$3:$U$3,0))=0,"",OFFSET('RES Techs T15'!$AO54,0,MATCH(VLOOKUP('RES Veda input'!CN$3,'RES Assumptions T15'!$V$3:$W$35,2,FALSE),'RES Techs T15'!$G$3:$U$3,0)))</f>
        <v/>
      </c>
      <c r="CO54" s="9" t="str">
        <f ca="1">IF(OFFSET('RES Techs T15'!$AO54,0,MATCH(VLOOKUP('RES Veda input'!CO$3,'RES Assumptions T15'!$V$3:$W$35,2,FALSE),'RES Techs T15'!$G$3:$U$3,0))=0,"",OFFSET('RES Techs T15'!$AO54,0,MATCH(VLOOKUP('RES Veda input'!CO$3,'RES Assumptions T15'!$V$3:$W$35,2,FALSE),'RES Techs T15'!$G$3:$U$3,0)))</f>
        <v/>
      </c>
      <c r="CP54" s="9" t="str">
        <f ca="1">IF(OFFSET('RES Techs T15'!$AO54,0,MATCH(VLOOKUP('RES Veda input'!CP$3,'RES Assumptions T15'!$V$3:$W$35,2,FALSE),'RES Techs T15'!$G$3:$U$3,0))=0,"",OFFSET('RES Techs T15'!$AO54,0,MATCH(VLOOKUP('RES Veda input'!CP$3,'RES Assumptions T15'!$V$3:$W$35,2,FALSE),'RES Techs T15'!$G$3:$U$3,0)))</f>
        <v/>
      </c>
      <c r="CQ54" s="9" t="str">
        <f ca="1">IF(OFFSET('RES Techs T15'!$AO54,0,MATCH(VLOOKUP('RES Veda input'!CQ$3,'RES Assumptions T15'!$V$3:$W$35,2,FALSE),'RES Techs T15'!$G$3:$U$3,0))=0,"",OFFSET('RES Techs T15'!$AO54,0,MATCH(VLOOKUP('RES Veda input'!CQ$3,'RES Assumptions T15'!$V$3:$W$35,2,FALSE),'RES Techs T15'!$G$3:$U$3,0)))</f>
        <v/>
      </c>
      <c r="CR54" s="9" t="str">
        <f ca="1">IF(OFFSET('RES Techs T15'!$AO54,0,MATCH(VLOOKUP('RES Veda input'!CR$3,'RES Assumptions T15'!$V$3:$W$35,2,FALSE),'RES Techs T15'!$G$3:$U$3,0))=0,"",OFFSET('RES Techs T15'!$AO54,0,MATCH(VLOOKUP('RES Veda input'!CR$3,'RES Assumptions T15'!$V$3:$W$35,2,FALSE),'RES Techs T15'!$G$3:$U$3,0)))</f>
        <v/>
      </c>
      <c r="CS54" s="9" t="str">
        <f ca="1">IF(OFFSET('RES Techs T15'!$AO54,0,MATCH(VLOOKUP('RES Veda input'!CS$3,'RES Assumptions T15'!$V$3:$W$35,2,FALSE),'RES Techs T15'!$G$3:$U$3,0))=0,"",OFFSET('RES Techs T15'!$AO54,0,MATCH(VLOOKUP('RES Veda input'!CS$3,'RES Assumptions T15'!$V$3:$W$35,2,FALSE),'RES Techs T15'!$G$3:$U$3,0)))</f>
        <v/>
      </c>
      <c r="CT54" s="9" t="str">
        <f ca="1">IF(OFFSET('RES Techs T15'!$AO54,0,MATCH(VLOOKUP('RES Veda input'!CT$3,'RES Assumptions T15'!$V$3:$W$35,2,FALSE),'RES Techs T15'!$G$3:$U$3,0))=0,"",OFFSET('RES Techs T15'!$AO54,0,MATCH(VLOOKUP('RES Veda input'!CT$3,'RES Assumptions T15'!$V$3:$W$35,2,FALSE),'RES Techs T15'!$G$3:$U$3,0)))</f>
        <v/>
      </c>
      <c r="CU54" s="9" t="str">
        <f ca="1">IF(OFFSET('RES Techs T15'!$AO54,0,MATCH(VLOOKUP('RES Veda input'!CU$3,'RES Assumptions T15'!$V$3:$W$35,2,FALSE),'RES Techs T15'!$G$3:$U$3,0))=0,"",OFFSET('RES Techs T15'!$AO54,0,MATCH(VLOOKUP('RES Veda input'!CU$3,'RES Assumptions T15'!$V$3:$W$35,2,FALSE),'RES Techs T15'!$G$3:$U$3,0)))</f>
        <v/>
      </c>
      <c r="CV54" s="9" t="str">
        <f ca="1">IF(OFFSET('RES Techs T15'!$AO54,0,MATCH(VLOOKUP('RES Veda input'!CV$3,'RES Assumptions T15'!$V$3:$W$35,2,FALSE),'RES Techs T15'!$G$3:$U$3,0))=0,"",OFFSET('RES Techs T15'!$AO54,0,MATCH(VLOOKUP('RES Veda input'!CV$3,'RES Assumptions T15'!$V$3:$W$35,2,FALSE),'RES Techs T15'!$G$3:$U$3,0)))</f>
        <v/>
      </c>
      <c r="CW54" s="9" t="str">
        <f ca="1">IF(OFFSET('RES Techs T15'!$AO54,0,MATCH(VLOOKUP('RES Veda input'!CW$3,'RES Assumptions T15'!$V$3:$W$35,2,FALSE),'RES Techs T15'!$G$3:$U$3,0))=0,"",OFFSET('RES Techs T15'!$AO54,0,MATCH(VLOOKUP('RES Veda input'!CW$3,'RES Assumptions T15'!$V$3:$W$35,2,FALSE),'RES Techs T15'!$G$3:$U$3,0)))</f>
        <v/>
      </c>
      <c r="CY54" s="8" t="str">
        <f t="shared" si="63"/>
        <v>ROTHET000</v>
      </c>
      <c r="CZ54" s="10">
        <f ca="1">ROUND('RES Assumptions'!E137*'RES Veda input'!G54/'RES Veda input'!AM54,3)</f>
        <v>0</v>
      </c>
      <c r="DA54" s="10">
        <f ca="1">ROUND('RES Assumptions'!F137*'RES Veda input'!H54/'RES Veda input'!AN54,3)</f>
        <v>0</v>
      </c>
      <c r="DB54" s="10">
        <f ca="1">ROUND('RES Assumptions'!G137*'RES Veda input'!I54/'RES Veda input'!AO54,3)</f>
        <v>0</v>
      </c>
      <c r="DC54" s="10">
        <f ca="1">ROUND('RES Assumptions'!H137*'RES Veda input'!J54/'RES Veda input'!AP54,3)</f>
        <v>0</v>
      </c>
      <c r="DD54" s="10">
        <f ca="1">ROUND('RES Assumptions'!I137*'RES Veda input'!K54/'RES Veda input'!AQ54,3)</f>
        <v>0</v>
      </c>
      <c r="DE54" s="10">
        <f ca="1">ROUND('RES Assumptions'!J137*'RES Veda input'!L54/'RES Veda input'!AR54,3)</f>
        <v>0</v>
      </c>
      <c r="DF54" s="10">
        <f ca="1">ROUND('RES Assumptions'!K137*'RES Veda input'!M54/'RES Veda input'!AS54,3)</f>
        <v>0</v>
      </c>
      <c r="DG54" s="10">
        <f ca="1">ROUND('RES Assumptions'!L137*'RES Veda input'!N54/'RES Veda input'!AT54,3)</f>
        <v>0</v>
      </c>
      <c r="DH54" s="10">
        <f ca="1">ROUND('RES Assumptions'!M137*'RES Veda input'!O54/'RES Veda input'!AU54,3)</f>
        <v>0</v>
      </c>
      <c r="DI54" s="10">
        <f ca="1">ROUND('RES Assumptions'!N137*'RES Veda input'!P54/'RES Veda input'!AV54,3)</f>
        <v>0</v>
      </c>
      <c r="DJ54" s="10">
        <f ca="1">ROUND('RES Assumptions'!O137*'RES Veda input'!Q54/'RES Veda input'!AW54,3)</f>
        <v>0</v>
      </c>
      <c r="DK54" s="10">
        <f ca="1">ROUND('RES Assumptions'!P137*'RES Veda input'!R54/'RES Veda input'!AX54,3)</f>
        <v>0</v>
      </c>
      <c r="DL54" s="10">
        <f ca="1">ROUND('RES Assumptions'!Q137*'RES Veda input'!S54/'RES Veda input'!AY54,3)</f>
        <v>0</v>
      </c>
      <c r="DM54" s="10">
        <f ca="1">ROUND('RES Assumptions'!R137*'RES Veda input'!T54/'RES Veda input'!AZ54,3)</f>
        <v>0</v>
      </c>
      <c r="DN54" s="10">
        <f ca="1">ROUND('RES Assumptions'!S137*'RES Veda input'!U54/'RES Veda input'!BA54,3)</f>
        <v>0</v>
      </c>
      <c r="DO54" s="10">
        <f ca="1">ROUND('RES Assumptions'!T137*'RES Veda input'!V54/'RES Veda input'!BB54,3)</f>
        <v>0</v>
      </c>
      <c r="DP54" s="10">
        <f ca="1">ROUND('RES Assumptions'!U137*'RES Veda input'!W54/'RES Veda input'!BC54,3)</f>
        <v>0</v>
      </c>
      <c r="DQ54" s="10">
        <f ca="1">ROUND('RES Assumptions'!V137*'RES Veda input'!X54/'RES Veda input'!BD54,3)</f>
        <v>0</v>
      </c>
      <c r="DR54" s="10">
        <f ca="1">ROUND('RES Assumptions'!W137*'RES Veda input'!Y54/'RES Veda input'!BE54,3)</f>
        <v>0</v>
      </c>
      <c r="DS54" s="10">
        <f ca="1">ROUND('RES Assumptions'!X137*'RES Veda input'!Z54/'RES Veda input'!BF54,3)</f>
        <v>0</v>
      </c>
      <c r="DT54" s="10">
        <f ca="1">ROUND('RES Assumptions'!Y137*'RES Veda input'!AA54/'RES Veda input'!BG54,3)</f>
        <v>0</v>
      </c>
      <c r="DU54" s="10">
        <f ca="1">ROUND('RES Assumptions'!Z137*'RES Veda input'!AB54/'RES Veda input'!BH54,3)</f>
        <v>0</v>
      </c>
      <c r="DV54" s="10">
        <f ca="1">ROUND('RES Assumptions'!AA137*'RES Veda input'!AC54/'RES Veda input'!BI54,3)</f>
        <v>0</v>
      </c>
      <c r="DW54" s="10">
        <f ca="1">ROUND('RES Assumptions'!AB137*'RES Veda input'!AD54/'RES Veda input'!BJ54,3)</f>
        <v>0</v>
      </c>
      <c r="DX54" s="10">
        <f ca="1">ROUND('RES Assumptions'!AC137*'RES Veda input'!AE54/'RES Veda input'!BK54,3)</f>
        <v>0</v>
      </c>
      <c r="DY54" s="10">
        <f ca="1">ROUND('RES Assumptions'!AD137*'RES Veda input'!AF54/'RES Veda input'!BL54,3)</f>
        <v>0</v>
      </c>
      <c r="DZ54" s="10">
        <f ca="1">ROUND('RES Assumptions'!AE137*'RES Veda input'!AG54/'RES Veda input'!BM54,3)</f>
        <v>0</v>
      </c>
      <c r="EA54" s="10">
        <f ca="1">ROUND('RES Assumptions'!AF137*'RES Veda input'!AH54/'RES Veda input'!BN54,3)</f>
        <v>0</v>
      </c>
      <c r="EB54" s="10">
        <f ca="1">ROUND('RES Assumptions'!AG137*'RES Veda input'!AI54/'RES Veda input'!BO54,3)</f>
        <v>0</v>
      </c>
      <c r="EC54" s="10">
        <f ca="1">ROUND('RES Assumptions'!AH137*'RES Veda input'!AJ54/'RES Veda input'!BP54,3)</f>
        <v>0</v>
      </c>
      <c r="ED54">
        <v>10</v>
      </c>
      <c r="EG54" t="s">
        <v>281</v>
      </c>
      <c r="EH54" t="str">
        <f t="shared" si="64"/>
        <v>ROTHET000</v>
      </c>
      <c r="EJ54" t="s">
        <v>282</v>
      </c>
      <c r="EK54" t="s">
        <v>283</v>
      </c>
    </row>
    <row r="55" spans="1:141" x14ac:dyDescent="0.45">
      <c r="A55" s="37" t="str">
        <f>'RES Assumptions'!B138</f>
        <v>ROT</v>
      </c>
      <c r="B55" s="37" t="s">
        <v>160</v>
      </c>
      <c r="D55" s="51" t="s">
        <v>160</v>
      </c>
      <c r="E55" s="8" t="str">
        <f>'RES Assumptions'!A138</f>
        <v>RESHFO</v>
      </c>
      <c r="F55" s="8" t="str">
        <f>VLOOKUP(A55,'RES Assumptions'!$AN$87:$AO$97,2,FALSE)</f>
        <v>ROT</v>
      </c>
      <c r="G55" s="9">
        <f ca="1">OFFSET('RES Techs T15'!$F55,0,MATCH(VLOOKUP('RES Veda input'!G$3,'RES Assumptions T15'!$V$3:$W$35,2,FALSE),'RES Techs T15'!$G$3:$U$3,0))</f>
        <v>1</v>
      </c>
      <c r="H55" s="9">
        <f ca="1">OFFSET('RES Techs T15'!$F55,0,MATCH(VLOOKUP('RES Veda input'!H$3,'RES Assumptions T15'!$V$3:$W$35,2,FALSE),'RES Techs T15'!$G$3:$U$3,0))</f>
        <v>1</v>
      </c>
      <c r="I55" s="9">
        <f ca="1">OFFSET('RES Techs T15'!$F55,0,MATCH(VLOOKUP('RES Veda input'!I$3,'RES Assumptions T15'!$V$3:$W$35,2,FALSE),'RES Techs T15'!$G$3:$U$3,0))</f>
        <v>1</v>
      </c>
      <c r="J55" s="9">
        <f ca="1">OFFSET('RES Techs T15'!$F55,0,MATCH(VLOOKUP('RES Veda input'!J$3,'RES Assumptions T15'!$V$3:$W$35,2,FALSE),'RES Techs T15'!$G$3:$U$3,0))</f>
        <v>1</v>
      </c>
      <c r="K55" s="9">
        <f ca="1">OFFSET('RES Techs T15'!$F55,0,MATCH(VLOOKUP('RES Veda input'!K$3,'RES Assumptions T15'!$V$3:$W$35,2,FALSE),'RES Techs T15'!$G$3:$U$3,0))</f>
        <v>1</v>
      </c>
      <c r="L55" s="9">
        <f ca="1">OFFSET('RES Techs T15'!$F55,0,MATCH(VLOOKUP('RES Veda input'!L$3,'RES Assumptions T15'!$V$3:$W$35,2,FALSE),'RES Techs T15'!$G$3:$U$3,0))</f>
        <v>1</v>
      </c>
      <c r="M55" s="9">
        <f ca="1">OFFSET('RES Techs T15'!$F55,0,MATCH(VLOOKUP('RES Veda input'!M$3,'RES Assumptions T15'!$V$3:$W$35,2,FALSE),'RES Techs T15'!$G$3:$U$3,0))</f>
        <v>1</v>
      </c>
      <c r="N55" s="9">
        <f ca="1">OFFSET('RES Techs T15'!$F55,0,MATCH(VLOOKUP('RES Veda input'!N$3,'RES Assumptions T15'!$V$3:$W$35,2,FALSE),'RES Techs T15'!$G$3:$U$3,0))</f>
        <v>1</v>
      </c>
      <c r="O55" s="9">
        <f ca="1">OFFSET('RES Techs T15'!$F55,0,MATCH(VLOOKUP('RES Veda input'!O$3,'RES Assumptions T15'!$V$3:$W$35,2,FALSE),'RES Techs T15'!$G$3:$U$3,0))</f>
        <v>1</v>
      </c>
      <c r="P55" s="9">
        <f ca="1">OFFSET('RES Techs T15'!$F55,0,MATCH(VLOOKUP('RES Veda input'!P$3,'RES Assumptions T15'!$V$3:$W$35,2,FALSE),'RES Techs T15'!$G$3:$U$3,0))</f>
        <v>1</v>
      </c>
      <c r="Q55" s="9">
        <f ca="1">OFFSET('RES Techs T15'!$F55,0,MATCH(VLOOKUP('RES Veda input'!Q$3,'RES Assumptions T15'!$V$3:$W$35,2,FALSE),'RES Techs T15'!$G$3:$U$3,0))</f>
        <v>1</v>
      </c>
      <c r="R55" s="9">
        <f ca="1">OFFSET('RES Techs T15'!$F55,0,MATCH(VLOOKUP('RES Veda input'!R$3,'RES Assumptions T15'!$V$3:$W$35,2,FALSE),'RES Techs T15'!$G$3:$U$3,0))</f>
        <v>1</v>
      </c>
      <c r="S55" s="9">
        <f ca="1">OFFSET('RES Techs T15'!$F55,0,MATCH(VLOOKUP('RES Veda input'!S$3,'RES Assumptions T15'!$V$3:$W$35,2,FALSE),'RES Techs T15'!$G$3:$U$3,0))</f>
        <v>1</v>
      </c>
      <c r="T55" s="9">
        <f ca="1">OFFSET('RES Techs T15'!$F55,0,MATCH(VLOOKUP('RES Veda input'!T$3,'RES Assumptions T15'!$V$3:$W$35,2,FALSE),'RES Techs T15'!$G$3:$U$3,0))</f>
        <v>1</v>
      </c>
      <c r="U55" s="9">
        <f ca="1">OFFSET('RES Techs T15'!$F55,0,MATCH(VLOOKUP('RES Veda input'!U$3,'RES Assumptions T15'!$V$3:$W$35,2,FALSE),'RES Techs T15'!$G$3:$U$3,0))</f>
        <v>1</v>
      </c>
      <c r="V55" s="9">
        <f ca="1">OFFSET('RES Techs T15'!$F55,0,MATCH(VLOOKUP('RES Veda input'!V$3,'RES Assumptions T15'!$V$3:$W$35,2,FALSE),'RES Techs T15'!$G$3:$U$3,0))</f>
        <v>1</v>
      </c>
      <c r="W55" s="9">
        <f ca="1">OFFSET('RES Techs T15'!$F55,0,MATCH(VLOOKUP('RES Veda input'!W$3,'RES Assumptions T15'!$V$3:$W$35,2,FALSE),'RES Techs T15'!$G$3:$U$3,0))</f>
        <v>1</v>
      </c>
      <c r="X55" s="9">
        <f ca="1">OFFSET('RES Techs T15'!$F55,0,MATCH(VLOOKUP('RES Veda input'!X$3,'RES Assumptions T15'!$V$3:$W$35,2,FALSE),'RES Techs T15'!$G$3:$U$3,0))</f>
        <v>1</v>
      </c>
      <c r="Y55" s="9">
        <f ca="1">OFFSET('RES Techs T15'!$F55,0,MATCH(VLOOKUP('RES Veda input'!Y$3,'RES Assumptions T15'!$V$3:$W$35,2,FALSE),'RES Techs T15'!$G$3:$U$3,0))</f>
        <v>1</v>
      </c>
      <c r="Z55" s="9">
        <f ca="1">OFFSET('RES Techs T15'!$F55,0,MATCH(VLOOKUP('RES Veda input'!Z$3,'RES Assumptions T15'!$V$3:$W$35,2,FALSE),'RES Techs T15'!$G$3:$U$3,0))</f>
        <v>1</v>
      </c>
      <c r="AA55" s="9">
        <f ca="1">OFFSET('RES Techs T15'!$F55,0,MATCH(VLOOKUP('RES Veda input'!AA$3,'RES Assumptions T15'!$V$3:$W$35,2,FALSE),'RES Techs T15'!$G$3:$U$3,0))</f>
        <v>1</v>
      </c>
      <c r="AB55" s="9">
        <f ca="1">OFFSET('RES Techs T15'!$F55,0,MATCH(VLOOKUP('RES Veda input'!AB$3,'RES Assumptions T15'!$V$3:$W$35,2,FALSE),'RES Techs T15'!$G$3:$U$3,0))</f>
        <v>1</v>
      </c>
      <c r="AC55" s="9">
        <f ca="1">OFFSET('RES Techs T15'!$F55,0,MATCH(VLOOKUP('RES Veda input'!AC$3,'RES Assumptions T15'!$V$3:$W$35,2,FALSE),'RES Techs T15'!$G$3:$U$3,0))</f>
        <v>1</v>
      </c>
      <c r="AD55" s="9">
        <f ca="1">OFFSET('RES Techs T15'!$F55,0,MATCH(VLOOKUP('RES Veda input'!AD$3,'RES Assumptions T15'!$V$3:$W$35,2,FALSE),'RES Techs T15'!$G$3:$U$3,0))</f>
        <v>1</v>
      </c>
      <c r="AE55" s="9">
        <f ca="1">OFFSET('RES Techs T15'!$F55,0,MATCH(VLOOKUP('RES Veda input'!AE$3,'RES Assumptions T15'!$V$3:$W$35,2,FALSE),'RES Techs T15'!$G$3:$U$3,0))</f>
        <v>1</v>
      </c>
      <c r="AF55" s="9">
        <f ca="1">OFFSET('RES Techs T15'!$F55,0,MATCH(VLOOKUP('RES Veda input'!AF$3,'RES Assumptions T15'!$V$3:$W$35,2,FALSE),'RES Techs T15'!$G$3:$U$3,0))</f>
        <v>1</v>
      </c>
      <c r="AG55" s="9">
        <f ca="1">OFFSET('RES Techs T15'!$F55,0,MATCH(VLOOKUP('RES Veda input'!AG$3,'RES Assumptions T15'!$V$3:$W$35,2,FALSE),'RES Techs T15'!$G$3:$U$3,0))</f>
        <v>1</v>
      </c>
      <c r="AH55" s="9">
        <f ca="1">OFFSET('RES Techs T15'!$F55,0,MATCH(VLOOKUP('RES Veda input'!AH$3,'RES Assumptions T15'!$V$3:$W$35,2,FALSE),'RES Techs T15'!$G$3:$U$3,0))</f>
        <v>1</v>
      </c>
      <c r="AI55" s="9">
        <f ca="1">OFFSET('RES Techs T15'!$F55,0,MATCH(VLOOKUP('RES Veda input'!AI$3,'RES Assumptions T15'!$V$3:$W$35,2,FALSE),'RES Techs T15'!$G$3:$U$3,0))</f>
        <v>1</v>
      </c>
      <c r="AJ55" s="9">
        <f ca="1">OFFSET('RES Techs T15'!$F55,0,MATCH(VLOOKUP('RES Veda input'!AJ$3,'RES Assumptions T15'!$V$3:$W$35,2,FALSE),'RES Techs T15'!$G$3:$U$3,0))</f>
        <v>1</v>
      </c>
      <c r="AL55" s="8" t="str">
        <f t="shared" si="60"/>
        <v>ROTHFO000</v>
      </c>
      <c r="AM55" s="9">
        <f ca="1">OFFSET('RES Techs T15'!$W55,0,MATCH(VLOOKUP('RES Veda input'!AM$3,'RES Assumptions T15'!$V$3:$W$35,2,FALSE),'RES Techs T15'!$G$3:$U$3,0))</f>
        <v>1</v>
      </c>
      <c r="AN55" s="9">
        <f ca="1">OFFSET('RES Techs T15'!$W55,0,MATCH(VLOOKUP('RES Veda input'!AN$3,'RES Assumptions T15'!$V$3:$W$35,2,FALSE),'RES Techs T15'!$G$3:$U$3,0))</f>
        <v>1</v>
      </c>
      <c r="AO55" s="9">
        <f ca="1">OFFSET('RES Techs T15'!$W55,0,MATCH(VLOOKUP('RES Veda input'!AO$3,'RES Assumptions T15'!$V$3:$W$35,2,FALSE),'RES Techs T15'!$G$3:$U$3,0))</f>
        <v>1</v>
      </c>
      <c r="AP55" s="9">
        <f ca="1">OFFSET('RES Techs T15'!$W55,0,MATCH(VLOOKUP('RES Veda input'!AP$3,'RES Assumptions T15'!$V$3:$W$35,2,FALSE),'RES Techs T15'!$G$3:$U$3,0))</f>
        <v>1</v>
      </c>
      <c r="AQ55" s="9">
        <f ca="1">OFFSET('RES Techs T15'!$W55,0,MATCH(VLOOKUP('RES Veda input'!AQ$3,'RES Assumptions T15'!$V$3:$W$35,2,FALSE),'RES Techs T15'!$G$3:$U$3,0))</f>
        <v>1</v>
      </c>
      <c r="AR55" s="9">
        <f ca="1">OFFSET('RES Techs T15'!$W55,0,MATCH(VLOOKUP('RES Veda input'!AR$3,'RES Assumptions T15'!$V$3:$W$35,2,FALSE),'RES Techs T15'!$G$3:$U$3,0))</f>
        <v>1</v>
      </c>
      <c r="AS55" s="9">
        <f ca="1">OFFSET('RES Techs T15'!$W55,0,MATCH(VLOOKUP('RES Veda input'!AS$3,'RES Assumptions T15'!$V$3:$W$35,2,FALSE),'RES Techs T15'!$G$3:$U$3,0))</f>
        <v>1</v>
      </c>
      <c r="AT55" s="9">
        <f ca="1">OFFSET('RES Techs T15'!$W55,0,MATCH(VLOOKUP('RES Veda input'!AT$3,'RES Assumptions T15'!$V$3:$W$35,2,FALSE),'RES Techs T15'!$G$3:$U$3,0))</f>
        <v>1</v>
      </c>
      <c r="AU55" s="9">
        <f ca="1">OFFSET('RES Techs T15'!$W55,0,MATCH(VLOOKUP('RES Veda input'!AU$3,'RES Assumptions T15'!$V$3:$W$35,2,FALSE),'RES Techs T15'!$G$3:$U$3,0))</f>
        <v>1</v>
      </c>
      <c r="AV55" s="9">
        <f ca="1">OFFSET('RES Techs T15'!$W55,0,MATCH(VLOOKUP('RES Veda input'!AV$3,'RES Assumptions T15'!$V$3:$W$35,2,FALSE),'RES Techs T15'!$G$3:$U$3,0))</f>
        <v>1</v>
      </c>
      <c r="AW55" s="9">
        <f ca="1">OFFSET('RES Techs T15'!$W55,0,MATCH(VLOOKUP('RES Veda input'!AW$3,'RES Assumptions T15'!$V$3:$W$35,2,FALSE),'RES Techs T15'!$G$3:$U$3,0))</f>
        <v>1</v>
      </c>
      <c r="AX55" s="9">
        <f ca="1">OFFSET('RES Techs T15'!$W55,0,MATCH(VLOOKUP('RES Veda input'!AX$3,'RES Assumptions T15'!$V$3:$W$35,2,FALSE),'RES Techs T15'!$G$3:$U$3,0))</f>
        <v>1</v>
      </c>
      <c r="AY55" s="9">
        <f ca="1">OFFSET('RES Techs T15'!$W55,0,MATCH(VLOOKUP('RES Veda input'!AY$3,'RES Assumptions T15'!$V$3:$W$35,2,FALSE),'RES Techs T15'!$G$3:$U$3,0))</f>
        <v>1</v>
      </c>
      <c r="AZ55" s="9">
        <f ca="1">OFFSET('RES Techs T15'!$W55,0,MATCH(VLOOKUP('RES Veda input'!AZ$3,'RES Assumptions T15'!$V$3:$W$35,2,FALSE),'RES Techs T15'!$G$3:$U$3,0))</f>
        <v>1</v>
      </c>
      <c r="BA55" s="9">
        <f ca="1">OFFSET('RES Techs T15'!$W55,0,MATCH(VLOOKUP('RES Veda input'!BA$3,'RES Assumptions T15'!$V$3:$W$35,2,FALSE),'RES Techs T15'!$G$3:$U$3,0))</f>
        <v>1</v>
      </c>
      <c r="BB55" s="9">
        <f ca="1">OFFSET('RES Techs T15'!$W55,0,MATCH(VLOOKUP('RES Veda input'!BB$3,'RES Assumptions T15'!$V$3:$W$35,2,FALSE),'RES Techs T15'!$G$3:$U$3,0))</f>
        <v>1</v>
      </c>
      <c r="BC55" s="9">
        <f ca="1">OFFSET('RES Techs T15'!$W55,0,MATCH(VLOOKUP('RES Veda input'!BC$3,'RES Assumptions T15'!$V$3:$W$35,2,FALSE),'RES Techs T15'!$G$3:$U$3,0))</f>
        <v>1</v>
      </c>
      <c r="BD55" s="9">
        <f ca="1">OFFSET('RES Techs T15'!$W55,0,MATCH(VLOOKUP('RES Veda input'!BD$3,'RES Assumptions T15'!$V$3:$W$35,2,FALSE),'RES Techs T15'!$G$3:$U$3,0))</f>
        <v>1</v>
      </c>
      <c r="BE55" s="9">
        <f ca="1">OFFSET('RES Techs T15'!$W55,0,MATCH(VLOOKUP('RES Veda input'!BE$3,'RES Assumptions T15'!$V$3:$W$35,2,FALSE),'RES Techs T15'!$G$3:$U$3,0))</f>
        <v>1</v>
      </c>
      <c r="BF55" s="9">
        <f ca="1">OFFSET('RES Techs T15'!$W55,0,MATCH(VLOOKUP('RES Veda input'!BF$3,'RES Assumptions T15'!$V$3:$W$35,2,FALSE),'RES Techs T15'!$G$3:$U$3,0))</f>
        <v>1</v>
      </c>
      <c r="BG55" s="9">
        <f ca="1">OFFSET('RES Techs T15'!$W55,0,MATCH(VLOOKUP('RES Veda input'!BG$3,'RES Assumptions T15'!$V$3:$W$35,2,FALSE),'RES Techs T15'!$G$3:$U$3,0))</f>
        <v>1</v>
      </c>
      <c r="BH55" s="9">
        <f ca="1">OFFSET('RES Techs T15'!$W55,0,MATCH(VLOOKUP('RES Veda input'!BH$3,'RES Assumptions T15'!$V$3:$W$35,2,FALSE),'RES Techs T15'!$G$3:$U$3,0))</f>
        <v>1</v>
      </c>
      <c r="BI55" s="9">
        <f ca="1">OFFSET('RES Techs T15'!$W55,0,MATCH(VLOOKUP('RES Veda input'!BI$3,'RES Assumptions T15'!$V$3:$W$35,2,FALSE),'RES Techs T15'!$G$3:$U$3,0))</f>
        <v>1</v>
      </c>
      <c r="BJ55" s="9">
        <f ca="1">OFFSET('RES Techs T15'!$W55,0,MATCH(VLOOKUP('RES Veda input'!BJ$3,'RES Assumptions T15'!$V$3:$W$35,2,FALSE),'RES Techs T15'!$G$3:$U$3,0))</f>
        <v>1</v>
      </c>
      <c r="BK55" s="9">
        <f ca="1">OFFSET('RES Techs T15'!$W55,0,MATCH(VLOOKUP('RES Veda input'!BK$3,'RES Assumptions T15'!$V$3:$W$35,2,FALSE),'RES Techs T15'!$G$3:$U$3,0))</f>
        <v>1</v>
      </c>
      <c r="BL55" s="9">
        <f ca="1">OFFSET('RES Techs T15'!$W55,0,MATCH(VLOOKUP('RES Veda input'!BL$3,'RES Assumptions T15'!$V$3:$W$35,2,FALSE),'RES Techs T15'!$G$3:$U$3,0))</f>
        <v>1</v>
      </c>
      <c r="BM55" s="9">
        <f ca="1">OFFSET('RES Techs T15'!$W55,0,MATCH(VLOOKUP('RES Veda input'!BM$3,'RES Assumptions T15'!$V$3:$W$35,2,FALSE),'RES Techs T15'!$G$3:$U$3,0))</f>
        <v>1</v>
      </c>
      <c r="BN55" s="9">
        <f ca="1">OFFSET('RES Techs T15'!$W55,0,MATCH(VLOOKUP('RES Veda input'!BN$3,'RES Assumptions T15'!$V$3:$W$35,2,FALSE),'RES Techs T15'!$G$3:$U$3,0))</f>
        <v>1</v>
      </c>
      <c r="BO55" s="9">
        <f ca="1">OFFSET('RES Techs T15'!$W55,0,MATCH(VLOOKUP('RES Veda input'!BO$3,'RES Assumptions T15'!$V$3:$W$35,2,FALSE),'RES Techs T15'!$G$3:$U$3,0))</f>
        <v>1</v>
      </c>
      <c r="BP55" s="9">
        <f ca="1">OFFSET('RES Techs T15'!$W55,0,MATCH(VLOOKUP('RES Veda input'!BP$3,'RES Assumptions T15'!$V$3:$W$35,2,FALSE),'RES Techs T15'!$G$3:$U$3,0))</f>
        <v>1</v>
      </c>
      <c r="BR55" s="8" t="str">
        <f t="shared" si="61"/>
        <v>ROTHFO000</v>
      </c>
      <c r="BS55" s="9">
        <f t="shared" ca="1" si="62"/>
        <v>0</v>
      </c>
      <c r="BT55" s="9" t="str">
        <f ca="1">IF(OFFSET('RES Techs T15'!$AO55,0,MATCH(VLOOKUP('RES Veda input'!BT$3,'RES Assumptions T15'!$V$3:$W$35,2,FALSE),'RES Techs T15'!$G$3:$U$3,0))=0,"",OFFSET('RES Techs T15'!$AO55,0,MATCH(VLOOKUP('RES Veda input'!BT$3,'RES Assumptions T15'!$V$3:$W$35,2,FALSE),'RES Techs T15'!$G$3:$U$3,0)))</f>
        <v/>
      </c>
      <c r="BU55" s="9" t="str">
        <f ca="1">IF(OFFSET('RES Techs T15'!$AO55,0,MATCH(VLOOKUP('RES Veda input'!BU$3,'RES Assumptions T15'!$V$3:$W$35,2,FALSE),'RES Techs T15'!$G$3:$U$3,0))=0,"",OFFSET('RES Techs T15'!$AO55,0,MATCH(VLOOKUP('RES Veda input'!BU$3,'RES Assumptions T15'!$V$3:$W$35,2,FALSE),'RES Techs T15'!$G$3:$U$3,0)))</f>
        <v/>
      </c>
      <c r="BV55" s="9" t="str">
        <f ca="1">IF(OFFSET('RES Techs T15'!$AO55,0,MATCH(VLOOKUP('RES Veda input'!BV$3,'RES Assumptions T15'!$V$3:$W$35,2,FALSE),'RES Techs T15'!$G$3:$U$3,0))=0,"",OFFSET('RES Techs T15'!$AO55,0,MATCH(VLOOKUP('RES Veda input'!BV$3,'RES Assumptions T15'!$V$3:$W$35,2,FALSE),'RES Techs T15'!$G$3:$U$3,0)))</f>
        <v/>
      </c>
      <c r="BW55" s="9" t="str">
        <f ca="1">IF(OFFSET('RES Techs T15'!$AO55,0,MATCH(VLOOKUP('RES Veda input'!BW$3,'RES Assumptions T15'!$V$3:$W$35,2,FALSE),'RES Techs T15'!$G$3:$U$3,0))=0,"",OFFSET('RES Techs T15'!$AO55,0,MATCH(VLOOKUP('RES Veda input'!BW$3,'RES Assumptions T15'!$V$3:$W$35,2,FALSE),'RES Techs T15'!$G$3:$U$3,0)))</f>
        <v/>
      </c>
      <c r="BX55" s="9" t="str">
        <f ca="1">IF(OFFSET('RES Techs T15'!$AO55,0,MATCH(VLOOKUP('RES Veda input'!BX$3,'RES Assumptions T15'!$V$3:$W$35,2,FALSE),'RES Techs T15'!$G$3:$U$3,0))=0,"",OFFSET('RES Techs T15'!$AO55,0,MATCH(VLOOKUP('RES Veda input'!BX$3,'RES Assumptions T15'!$V$3:$W$35,2,FALSE),'RES Techs T15'!$G$3:$U$3,0)))</f>
        <v/>
      </c>
      <c r="BY55" s="9" t="str">
        <f ca="1">IF(OFFSET('RES Techs T15'!$AO55,0,MATCH(VLOOKUP('RES Veda input'!BY$3,'RES Assumptions T15'!$V$3:$W$35,2,FALSE),'RES Techs T15'!$G$3:$U$3,0))=0,"",OFFSET('RES Techs T15'!$AO55,0,MATCH(VLOOKUP('RES Veda input'!BY$3,'RES Assumptions T15'!$V$3:$W$35,2,FALSE),'RES Techs T15'!$G$3:$U$3,0)))</f>
        <v/>
      </c>
      <c r="BZ55" s="9" t="str">
        <f ca="1">IF(OFFSET('RES Techs T15'!$AO55,0,MATCH(VLOOKUP('RES Veda input'!BZ$3,'RES Assumptions T15'!$V$3:$W$35,2,FALSE),'RES Techs T15'!$G$3:$U$3,0))=0,"",OFFSET('RES Techs T15'!$AO55,0,MATCH(VLOOKUP('RES Veda input'!BZ$3,'RES Assumptions T15'!$V$3:$W$35,2,FALSE),'RES Techs T15'!$G$3:$U$3,0)))</f>
        <v/>
      </c>
      <c r="CA55" s="9" t="str">
        <f ca="1">IF(OFFSET('RES Techs T15'!$AO55,0,MATCH(VLOOKUP('RES Veda input'!CA$3,'RES Assumptions T15'!$V$3:$W$35,2,FALSE),'RES Techs T15'!$G$3:$U$3,0))=0,"",OFFSET('RES Techs T15'!$AO55,0,MATCH(VLOOKUP('RES Veda input'!CA$3,'RES Assumptions T15'!$V$3:$W$35,2,FALSE),'RES Techs T15'!$G$3:$U$3,0)))</f>
        <v/>
      </c>
      <c r="CB55" s="9" t="str">
        <f ca="1">IF(OFFSET('RES Techs T15'!$AO55,0,MATCH(VLOOKUP('RES Veda input'!CB$3,'RES Assumptions T15'!$V$3:$W$35,2,FALSE),'RES Techs T15'!$G$3:$U$3,0))=0,"",OFFSET('RES Techs T15'!$AO55,0,MATCH(VLOOKUP('RES Veda input'!CB$3,'RES Assumptions T15'!$V$3:$W$35,2,FALSE),'RES Techs T15'!$G$3:$U$3,0)))</f>
        <v/>
      </c>
      <c r="CC55" s="9" t="str">
        <f ca="1">IF(OFFSET('RES Techs T15'!$AO55,0,MATCH(VLOOKUP('RES Veda input'!CC$3,'RES Assumptions T15'!$V$3:$W$35,2,FALSE),'RES Techs T15'!$G$3:$U$3,0))=0,"",OFFSET('RES Techs T15'!$AO55,0,MATCH(VLOOKUP('RES Veda input'!CC$3,'RES Assumptions T15'!$V$3:$W$35,2,FALSE),'RES Techs T15'!$G$3:$U$3,0)))</f>
        <v/>
      </c>
      <c r="CD55" s="9" t="str">
        <f ca="1">IF(OFFSET('RES Techs T15'!$AO55,0,MATCH(VLOOKUP('RES Veda input'!CD$3,'RES Assumptions T15'!$V$3:$W$35,2,FALSE),'RES Techs T15'!$G$3:$U$3,0))=0,"",OFFSET('RES Techs T15'!$AO55,0,MATCH(VLOOKUP('RES Veda input'!CD$3,'RES Assumptions T15'!$V$3:$W$35,2,FALSE),'RES Techs T15'!$G$3:$U$3,0)))</f>
        <v/>
      </c>
      <c r="CE55" s="9" t="str">
        <f ca="1">IF(OFFSET('RES Techs T15'!$AO55,0,MATCH(VLOOKUP('RES Veda input'!CE$3,'RES Assumptions T15'!$V$3:$W$35,2,FALSE),'RES Techs T15'!$G$3:$U$3,0))=0,"",OFFSET('RES Techs T15'!$AO55,0,MATCH(VLOOKUP('RES Veda input'!CE$3,'RES Assumptions T15'!$V$3:$W$35,2,FALSE),'RES Techs T15'!$G$3:$U$3,0)))</f>
        <v/>
      </c>
      <c r="CF55" s="9" t="str">
        <f ca="1">IF(OFFSET('RES Techs T15'!$AO55,0,MATCH(VLOOKUP('RES Veda input'!CF$3,'RES Assumptions T15'!$V$3:$W$35,2,FALSE),'RES Techs T15'!$G$3:$U$3,0))=0,"",OFFSET('RES Techs T15'!$AO55,0,MATCH(VLOOKUP('RES Veda input'!CF$3,'RES Assumptions T15'!$V$3:$W$35,2,FALSE),'RES Techs T15'!$G$3:$U$3,0)))</f>
        <v/>
      </c>
      <c r="CG55" s="9" t="str">
        <f ca="1">IF(OFFSET('RES Techs T15'!$AO55,0,MATCH(VLOOKUP('RES Veda input'!CG$3,'RES Assumptions T15'!$V$3:$W$35,2,FALSE),'RES Techs T15'!$G$3:$U$3,0))=0,"",OFFSET('RES Techs T15'!$AO55,0,MATCH(VLOOKUP('RES Veda input'!CG$3,'RES Assumptions T15'!$V$3:$W$35,2,FALSE),'RES Techs T15'!$G$3:$U$3,0)))</f>
        <v/>
      </c>
      <c r="CH55" s="9" t="str">
        <f ca="1">IF(OFFSET('RES Techs T15'!$AO55,0,MATCH(VLOOKUP('RES Veda input'!CH$3,'RES Assumptions T15'!$V$3:$W$35,2,FALSE),'RES Techs T15'!$G$3:$U$3,0))=0,"",OFFSET('RES Techs T15'!$AO55,0,MATCH(VLOOKUP('RES Veda input'!CH$3,'RES Assumptions T15'!$V$3:$W$35,2,FALSE),'RES Techs T15'!$G$3:$U$3,0)))</f>
        <v/>
      </c>
      <c r="CI55" s="9" t="str">
        <f ca="1">IF(OFFSET('RES Techs T15'!$AO55,0,MATCH(VLOOKUP('RES Veda input'!CI$3,'RES Assumptions T15'!$V$3:$W$35,2,FALSE),'RES Techs T15'!$G$3:$U$3,0))=0,"",OFFSET('RES Techs T15'!$AO55,0,MATCH(VLOOKUP('RES Veda input'!CI$3,'RES Assumptions T15'!$V$3:$W$35,2,FALSE),'RES Techs T15'!$G$3:$U$3,0)))</f>
        <v/>
      </c>
      <c r="CJ55" s="9" t="str">
        <f ca="1">IF(OFFSET('RES Techs T15'!$AO55,0,MATCH(VLOOKUP('RES Veda input'!CJ$3,'RES Assumptions T15'!$V$3:$W$35,2,FALSE),'RES Techs T15'!$G$3:$U$3,0))=0,"",OFFSET('RES Techs T15'!$AO55,0,MATCH(VLOOKUP('RES Veda input'!CJ$3,'RES Assumptions T15'!$V$3:$W$35,2,FALSE),'RES Techs T15'!$G$3:$U$3,0)))</f>
        <v/>
      </c>
      <c r="CK55" s="9" t="str">
        <f ca="1">IF(OFFSET('RES Techs T15'!$AO55,0,MATCH(VLOOKUP('RES Veda input'!CK$3,'RES Assumptions T15'!$V$3:$W$35,2,FALSE),'RES Techs T15'!$G$3:$U$3,0))=0,"",OFFSET('RES Techs T15'!$AO55,0,MATCH(VLOOKUP('RES Veda input'!CK$3,'RES Assumptions T15'!$V$3:$W$35,2,FALSE),'RES Techs T15'!$G$3:$U$3,0)))</f>
        <v/>
      </c>
      <c r="CL55" s="9" t="str">
        <f ca="1">IF(OFFSET('RES Techs T15'!$AO55,0,MATCH(VLOOKUP('RES Veda input'!CL$3,'RES Assumptions T15'!$V$3:$W$35,2,FALSE),'RES Techs T15'!$G$3:$U$3,0))=0,"",OFFSET('RES Techs T15'!$AO55,0,MATCH(VLOOKUP('RES Veda input'!CL$3,'RES Assumptions T15'!$V$3:$W$35,2,FALSE),'RES Techs T15'!$G$3:$U$3,0)))</f>
        <v/>
      </c>
      <c r="CM55" s="9" t="str">
        <f ca="1">IF(OFFSET('RES Techs T15'!$AO55,0,MATCH(VLOOKUP('RES Veda input'!CM$3,'RES Assumptions T15'!$V$3:$W$35,2,FALSE),'RES Techs T15'!$G$3:$U$3,0))=0,"",OFFSET('RES Techs T15'!$AO55,0,MATCH(VLOOKUP('RES Veda input'!CM$3,'RES Assumptions T15'!$V$3:$W$35,2,FALSE),'RES Techs T15'!$G$3:$U$3,0)))</f>
        <v/>
      </c>
      <c r="CN55" s="9" t="str">
        <f ca="1">IF(OFFSET('RES Techs T15'!$AO55,0,MATCH(VLOOKUP('RES Veda input'!CN$3,'RES Assumptions T15'!$V$3:$W$35,2,FALSE),'RES Techs T15'!$G$3:$U$3,0))=0,"",OFFSET('RES Techs T15'!$AO55,0,MATCH(VLOOKUP('RES Veda input'!CN$3,'RES Assumptions T15'!$V$3:$W$35,2,FALSE),'RES Techs T15'!$G$3:$U$3,0)))</f>
        <v/>
      </c>
      <c r="CO55" s="9" t="str">
        <f ca="1">IF(OFFSET('RES Techs T15'!$AO55,0,MATCH(VLOOKUP('RES Veda input'!CO$3,'RES Assumptions T15'!$V$3:$W$35,2,FALSE),'RES Techs T15'!$G$3:$U$3,0))=0,"",OFFSET('RES Techs T15'!$AO55,0,MATCH(VLOOKUP('RES Veda input'!CO$3,'RES Assumptions T15'!$V$3:$W$35,2,FALSE),'RES Techs T15'!$G$3:$U$3,0)))</f>
        <v/>
      </c>
      <c r="CP55" s="9" t="str">
        <f ca="1">IF(OFFSET('RES Techs T15'!$AO55,0,MATCH(VLOOKUP('RES Veda input'!CP$3,'RES Assumptions T15'!$V$3:$W$35,2,FALSE),'RES Techs T15'!$G$3:$U$3,0))=0,"",OFFSET('RES Techs T15'!$AO55,0,MATCH(VLOOKUP('RES Veda input'!CP$3,'RES Assumptions T15'!$V$3:$W$35,2,FALSE),'RES Techs T15'!$G$3:$U$3,0)))</f>
        <v/>
      </c>
      <c r="CQ55" s="9" t="str">
        <f ca="1">IF(OFFSET('RES Techs T15'!$AO55,0,MATCH(VLOOKUP('RES Veda input'!CQ$3,'RES Assumptions T15'!$V$3:$W$35,2,FALSE),'RES Techs T15'!$G$3:$U$3,0))=0,"",OFFSET('RES Techs T15'!$AO55,0,MATCH(VLOOKUP('RES Veda input'!CQ$3,'RES Assumptions T15'!$V$3:$W$35,2,FALSE),'RES Techs T15'!$G$3:$U$3,0)))</f>
        <v/>
      </c>
      <c r="CR55" s="9" t="str">
        <f ca="1">IF(OFFSET('RES Techs T15'!$AO55,0,MATCH(VLOOKUP('RES Veda input'!CR$3,'RES Assumptions T15'!$V$3:$W$35,2,FALSE),'RES Techs T15'!$G$3:$U$3,0))=0,"",OFFSET('RES Techs T15'!$AO55,0,MATCH(VLOOKUP('RES Veda input'!CR$3,'RES Assumptions T15'!$V$3:$W$35,2,FALSE),'RES Techs T15'!$G$3:$U$3,0)))</f>
        <v/>
      </c>
      <c r="CS55" s="9" t="str">
        <f ca="1">IF(OFFSET('RES Techs T15'!$AO55,0,MATCH(VLOOKUP('RES Veda input'!CS$3,'RES Assumptions T15'!$V$3:$W$35,2,FALSE),'RES Techs T15'!$G$3:$U$3,0))=0,"",OFFSET('RES Techs T15'!$AO55,0,MATCH(VLOOKUP('RES Veda input'!CS$3,'RES Assumptions T15'!$V$3:$W$35,2,FALSE),'RES Techs T15'!$G$3:$U$3,0)))</f>
        <v/>
      </c>
      <c r="CT55" s="9" t="str">
        <f ca="1">IF(OFFSET('RES Techs T15'!$AO55,0,MATCH(VLOOKUP('RES Veda input'!CT$3,'RES Assumptions T15'!$V$3:$W$35,2,FALSE),'RES Techs T15'!$G$3:$U$3,0))=0,"",OFFSET('RES Techs T15'!$AO55,0,MATCH(VLOOKUP('RES Veda input'!CT$3,'RES Assumptions T15'!$V$3:$W$35,2,FALSE),'RES Techs T15'!$G$3:$U$3,0)))</f>
        <v/>
      </c>
      <c r="CU55" s="9" t="str">
        <f ca="1">IF(OFFSET('RES Techs T15'!$AO55,0,MATCH(VLOOKUP('RES Veda input'!CU$3,'RES Assumptions T15'!$V$3:$W$35,2,FALSE),'RES Techs T15'!$G$3:$U$3,0))=0,"",OFFSET('RES Techs T15'!$AO55,0,MATCH(VLOOKUP('RES Veda input'!CU$3,'RES Assumptions T15'!$V$3:$W$35,2,FALSE),'RES Techs T15'!$G$3:$U$3,0)))</f>
        <v/>
      </c>
      <c r="CV55" s="9" t="str">
        <f ca="1">IF(OFFSET('RES Techs T15'!$AO55,0,MATCH(VLOOKUP('RES Veda input'!CV$3,'RES Assumptions T15'!$V$3:$W$35,2,FALSE),'RES Techs T15'!$G$3:$U$3,0))=0,"",OFFSET('RES Techs T15'!$AO55,0,MATCH(VLOOKUP('RES Veda input'!CV$3,'RES Assumptions T15'!$V$3:$W$35,2,FALSE),'RES Techs T15'!$G$3:$U$3,0)))</f>
        <v/>
      </c>
      <c r="CW55" s="9" t="str">
        <f ca="1">IF(OFFSET('RES Techs T15'!$AO55,0,MATCH(VLOOKUP('RES Veda input'!CW$3,'RES Assumptions T15'!$V$3:$W$35,2,FALSE),'RES Techs T15'!$G$3:$U$3,0))=0,"",OFFSET('RES Techs T15'!$AO55,0,MATCH(VLOOKUP('RES Veda input'!CW$3,'RES Assumptions T15'!$V$3:$W$35,2,FALSE),'RES Techs T15'!$G$3:$U$3,0)))</f>
        <v/>
      </c>
      <c r="CY55" s="8" t="str">
        <f t="shared" si="63"/>
        <v>ROTHFO000</v>
      </c>
      <c r="CZ55" s="10">
        <f ca="1">ROUND('RES Assumptions'!E138*'RES Veda input'!G55/'RES Veda input'!AM55,3)</f>
        <v>0</v>
      </c>
      <c r="DA55" s="10">
        <f ca="1">ROUND('RES Assumptions'!F138*'RES Veda input'!H55/'RES Veda input'!AN55,3)</f>
        <v>0</v>
      </c>
      <c r="DB55" s="10">
        <f ca="1">ROUND('RES Assumptions'!G138*'RES Veda input'!I55/'RES Veda input'!AO55,3)</f>
        <v>0</v>
      </c>
      <c r="DC55" s="10">
        <f ca="1">ROUND('RES Assumptions'!H138*'RES Veda input'!J55/'RES Veda input'!AP55,3)</f>
        <v>0</v>
      </c>
      <c r="DD55" s="10">
        <f ca="1">ROUND('RES Assumptions'!I138*'RES Veda input'!K55/'RES Veda input'!AQ55,3)</f>
        <v>0</v>
      </c>
      <c r="DE55" s="10">
        <f ca="1">ROUND('RES Assumptions'!J138*'RES Veda input'!L55/'RES Veda input'!AR55,3)</f>
        <v>0</v>
      </c>
      <c r="DF55" s="10">
        <f ca="1">ROUND('RES Assumptions'!K138*'RES Veda input'!M55/'RES Veda input'!AS55,3)</f>
        <v>0</v>
      </c>
      <c r="DG55" s="10">
        <f ca="1">ROUND('RES Assumptions'!L138*'RES Veda input'!N55/'RES Veda input'!AT55,3)</f>
        <v>0</v>
      </c>
      <c r="DH55" s="10">
        <f ca="1">ROUND('RES Assumptions'!M138*'RES Veda input'!O55/'RES Veda input'!AU55,3)</f>
        <v>0</v>
      </c>
      <c r="DI55" s="10">
        <f ca="1">ROUND('RES Assumptions'!N138*'RES Veda input'!P55/'RES Veda input'!AV55,3)</f>
        <v>0</v>
      </c>
      <c r="DJ55" s="10">
        <f ca="1">ROUND('RES Assumptions'!O138*'RES Veda input'!Q55/'RES Veda input'!AW55,3)</f>
        <v>0</v>
      </c>
      <c r="DK55" s="10">
        <f ca="1">ROUND('RES Assumptions'!P138*'RES Veda input'!R55/'RES Veda input'!AX55,3)</f>
        <v>0</v>
      </c>
      <c r="DL55" s="10">
        <f ca="1">ROUND('RES Assumptions'!Q138*'RES Veda input'!S55/'RES Veda input'!AY55,3)</f>
        <v>0</v>
      </c>
      <c r="DM55" s="10">
        <f ca="1">ROUND('RES Assumptions'!R138*'RES Veda input'!T55/'RES Veda input'!AZ55,3)</f>
        <v>0</v>
      </c>
      <c r="DN55" s="10">
        <f ca="1">ROUND('RES Assumptions'!S138*'RES Veda input'!U55/'RES Veda input'!BA55,3)</f>
        <v>0</v>
      </c>
      <c r="DO55" s="10">
        <f ca="1">ROUND('RES Assumptions'!T138*'RES Veda input'!V55/'RES Veda input'!BB55,3)</f>
        <v>0</v>
      </c>
      <c r="DP55" s="10">
        <f ca="1">ROUND('RES Assumptions'!U138*'RES Veda input'!W55/'RES Veda input'!BC55,3)</f>
        <v>0</v>
      </c>
      <c r="DQ55" s="10">
        <f ca="1">ROUND('RES Assumptions'!V138*'RES Veda input'!X55/'RES Veda input'!BD55,3)</f>
        <v>0</v>
      </c>
      <c r="DR55" s="10">
        <f ca="1">ROUND('RES Assumptions'!W138*'RES Veda input'!Y55/'RES Veda input'!BE55,3)</f>
        <v>0</v>
      </c>
      <c r="DS55" s="10">
        <f ca="1">ROUND('RES Assumptions'!X138*'RES Veda input'!Z55/'RES Veda input'!BF55,3)</f>
        <v>0</v>
      </c>
      <c r="DT55" s="10">
        <f ca="1">ROUND('RES Assumptions'!Y138*'RES Veda input'!AA55/'RES Veda input'!BG55,3)</f>
        <v>0</v>
      </c>
      <c r="DU55" s="10">
        <f ca="1">ROUND('RES Assumptions'!Z138*'RES Veda input'!AB55/'RES Veda input'!BH55,3)</f>
        <v>0</v>
      </c>
      <c r="DV55" s="10">
        <f ca="1">ROUND('RES Assumptions'!AA138*'RES Veda input'!AC55/'RES Veda input'!BI55,3)</f>
        <v>0</v>
      </c>
      <c r="DW55" s="10">
        <f ca="1">ROUND('RES Assumptions'!AB138*'RES Veda input'!AD55/'RES Veda input'!BJ55,3)</f>
        <v>0</v>
      </c>
      <c r="DX55" s="10">
        <f ca="1">ROUND('RES Assumptions'!AC138*'RES Veda input'!AE55/'RES Veda input'!BK55,3)</f>
        <v>0</v>
      </c>
      <c r="DY55" s="10">
        <f ca="1">ROUND('RES Assumptions'!AD138*'RES Veda input'!AF55/'RES Veda input'!BL55,3)</f>
        <v>0</v>
      </c>
      <c r="DZ55" s="10">
        <f ca="1">ROUND('RES Assumptions'!AE138*'RES Veda input'!AG55/'RES Veda input'!BM55,3)</f>
        <v>0</v>
      </c>
      <c r="EA55" s="10">
        <f ca="1">ROUND('RES Assumptions'!AF138*'RES Veda input'!AH55/'RES Veda input'!BN55,3)</f>
        <v>0</v>
      </c>
      <c r="EB55" s="10">
        <f ca="1">ROUND('RES Assumptions'!AG138*'RES Veda input'!AI55/'RES Veda input'!BO55,3)</f>
        <v>0</v>
      </c>
      <c r="EC55" s="10">
        <f ca="1">ROUND('RES Assumptions'!AH138*'RES Veda input'!AJ55/'RES Veda input'!BP55,3)</f>
        <v>0</v>
      </c>
      <c r="ED55">
        <v>10</v>
      </c>
      <c r="EG55" t="s">
        <v>281</v>
      </c>
      <c r="EH55" t="str">
        <f t="shared" si="64"/>
        <v>ROTHFO000</v>
      </c>
      <c r="EJ55" t="s">
        <v>282</v>
      </c>
      <c r="EK55" t="s">
        <v>283</v>
      </c>
    </row>
    <row r="56" spans="1:141" x14ac:dyDescent="0.45">
      <c r="A56" s="37" t="str">
        <f>'RES Assumptions'!B139</f>
        <v>ROT</v>
      </c>
      <c r="B56" s="37" t="s">
        <v>161</v>
      </c>
      <c r="D56" s="51" t="s">
        <v>161</v>
      </c>
      <c r="E56" s="8" t="str">
        <f>'RES Assumptions'!A139</f>
        <v>RESKER</v>
      </c>
      <c r="F56" s="8" t="str">
        <f>VLOOKUP(A56,'RES Assumptions'!$AN$87:$AO$97,2,FALSE)</f>
        <v>ROT</v>
      </c>
      <c r="G56" s="9">
        <f ca="1">OFFSET('RES Techs T15'!$F56,0,MATCH(VLOOKUP('RES Veda input'!G$3,'RES Assumptions T15'!$V$3:$W$35,2,FALSE),'RES Techs T15'!$G$3:$U$3,0))</f>
        <v>1</v>
      </c>
      <c r="H56" s="9">
        <f ca="1">OFFSET('RES Techs T15'!$F56,0,MATCH(VLOOKUP('RES Veda input'!H$3,'RES Assumptions T15'!$V$3:$W$35,2,FALSE),'RES Techs T15'!$G$3:$U$3,0))</f>
        <v>1</v>
      </c>
      <c r="I56" s="9">
        <f ca="1">OFFSET('RES Techs T15'!$F56,0,MATCH(VLOOKUP('RES Veda input'!I$3,'RES Assumptions T15'!$V$3:$W$35,2,FALSE),'RES Techs T15'!$G$3:$U$3,0))</f>
        <v>1</v>
      </c>
      <c r="J56" s="9">
        <f ca="1">OFFSET('RES Techs T15'!$F56,0,MATCH(VLOOKUP('RES Veda input'!J$3,'RES Assumptions T15'!$V$3:$W$35,2,FALSE),'RES Techs T15'!$G$3:$U$3,0))</f>
        <v>1</v>
      </c>
      <c r="K56" s="9">
        <f ca="1">OFFSET('RES Techs T15'!$F56,0,MATCH(VLOOKUP('RES Veda input'!K$3,'RES Assumptions T15'!$V$3:$W$35,2,FALSE),'RES Techs T15'!$G$3:$U$3,0))</f>
        <v>1</v>
      </c>
      <c r="L56" s="9">
        <f ca="1">OFFSET('RES Techs T15'!$F56,0,MATCH(VLOOKUP('RES Veda input'!L$3,'RES Assumptions T15'!$V$3:$W$35,2,FALSE),'RES Techs T15'!$G$3:$U$3,0))</f>
        <v>1</v>
      </c>
      <c r="M56" s="9">
        <f ca="1">OFFSET('RES Techs T15'!$F56,0,MATCH(VLOOKUP('RES Veda input'!M$3,'RES Assumptions T15'!$V$3:$W$35,2,FALSE),'RES Techs T15'!$G$3:$U$3,0))</f>
        <v>1</v>
      </c>
      <c r="N56" s="9">
        <f ca="1">OFFSET('RES Techs T15'!$F56,0,MATCH(VLOOKUP('RES Veda input'!N$3,'RES Assumptions T15'!$V$3:$W$35,2,FALSE),'RES Techs T15'!$G$3:$U$3,0))</f>
        <v>1</v>
      </c>
      <c r="O56" s="9">
        <f ca="1">OFFSET('RES Techs T15'!$F56,0,MATCH(VLOOKUP('RES Veda input'!O$3,'RES Assumptions T15'!$V$3:$W$35,2,FALSE),'RES Techs T15'!$G$3:$U$3,0))</f>
        <v>1</v>
      </c>
      <c r="P56" s="9">
        <f ca="1">OFFSET('RES Techs T15'!$F56,0,MATCH(VLOOKUP('RES Veda input'!P$3,'RES Assumptions T15'!$V$3:$W$35,2,FALSE),'RES Techs T15'!$G$3:$U$3,0))</f>
        <v>1</v>
      </c>
      <c r="Q56" s="9">
        <f ca="1">OFFSET('RES Techs T15'!$F56,0,MATCH(VLOOKUP('RES Veda input'!Q$3,'RES Assumptions T15'!$V$3:$W$35,2,FALSE),'RES Techs T15'!$G$3:$U$3,0))</f>
        <v>1</v>
      </c>
      <c r="R56" s="9">
        <f ca="1">OFFSET('RES Techs T15'!$F56,0,MATCH(VLOOKUP('RES Veda input'!R$3,'RES Assumptions T15'!$V$3:$W$35,2,FALSE),'RES Techs T15'!$G$3:$U$3,0))</f>
        <v>1</v>
      </c>
      <c r="S56" s="9">
        <f ca="1">OFFSET('RES Techs T15'!$F56,0,MATCH(VLOOKUP('RES Veda input'!S$3,'RES Assumptions T15'!$V$3:$W$35,2,FALSE),'RES Techs T15'!$G$3:$U$3,0))</f>
        <v>1</v>
      </c>
      <c r="T56" s="9">
        <f ca="1">OFFSET('RES Techs T15'!$F56,0,MATCH(VLOOKUP('RES Veda input'!T$3,'RES Assumptions T15'!$V$3:$W$35,2,FALSE),'RES Techs T15'!$G$3:$U$3,0))</f>
        <v>1</v>
      </c>
      <c r="U56" s="9">
        <f ca="1">OFFSET('RES Techs T15'!$F56,0,MATCH(VLOOKUP('RES Veda input'!U$3,'RES Assumptions T15'!$V$3:$W$35,2,FALSE),'RES Techs T15'!$G$3:$U$3,0))</f>
        <v>1</v>
      </c>
      <c r="V56" s="9">
        <f ca="1">OFFSET('RES Techs T15'!$F56,0,MATCH(VLOOKUP('RES Veda input'!V$3,'RES Assumptions T15'!$V$3:$W$35,2,FALSE),'RES Techs T15'!$G$3:$U$3,0))</f>
        <v>1</v>
      </c>
      <c r="W56" s="9">
        <f ca="1">OFFSET('RES Techs T15'!$F56,0,MATCH(VLOOKUP('RES Veda input'!W$3,'RES Assumptions T15'!$V$3:$W$35,2,FALSE),'RES Techs T15'!$G$3:$U$3,0))</f>
        <v>1</v>
      </c>
      <c r="X56" s="9">
        <f ca="1">OFFSET('RES Techs T15'!$F56,0,MATCH(VLOOKUP('RES Veda input'!X$3,'RES Assumptions T15'!$V$3:$W$35,2,FALSE),'RES Techs T15'!$G$3:$U$3,0))</f>
        <v>1</v>
      </c>
      <c r="Y56" s="9">
        <f ca="1">OFFSET('RES Techs T15'!$F56,0,MATCH(VLOOKUP('RES Veda input'!Y$3,'RES Assumptions T15'!$V$3:$W$35,2,FALSE),'RES Techs T15'!$G$3:$U$3,0))</f>
        <v>1</v>
      </c>
      <c r="Z56" s="9">
        <f ca="1">OFFSET('RES Techs T15'!$F56,0,MATCH(VLOOKUP('RES Veda input'!Z$3,'RES Assumptions T15'!$V$3:$W$35,2,FALSE),'RES Techs T15'!$G$3:$U$3,0))</f>
        <v>1</v>
      </c>
      <c r="AA56" s="9">
        <f ca="1">OFFSET('RES Techs T15'!$F56,0,MATCH(VLOOKUP('RES Veda input'!AA$3,'RES Assumptions T15'!$V$3:$W$35,2,FALSE),'RES Techs T15'!$G$3:$U$3,0))</f>
        <v>1</v>
      </c>
      <c r="AB56" s="9">
        <f ca="1">OFFSET('RES Techs T15'!$F56,0,MATCH(VLOOKUP('RES Veda input'!AB$3,'RES Assumptions T15'!$V$3:$W$35,2,FALSE),'RES Techs T15'!$G$3:$U$3,0))</f>
        <v>1</v>
      </c>
      <c r="AC56" s="9">
        <f ca="1">OFFSET('RES Techs T15'!$F56,0,MATCH(VLOOKUP('RES Veda input'!AC$3,'RES Assumptions T15'!$V$3:$W$35,2,FALSE),'RES Techs T15'!$G$3:$U$3,0))</f>
        <v>1</v>
      </c>
      <c r="AD56" s="9">
        <f ca="1">OFFSET('RES Techs T15'!$F56,0,MATCH(VLOOKUP('RES Veda input'!AD$3,'RES Assumptions T15'!$V$3:$W$35,2,FALSE),'RES Techs T15'!$G$3:$U$3,0))</f>
        <v>1</v>
      </c>
      <c r="AE56" s="9">
        <f ca="1">OFFSET('RES Techs T15'!$F56,0,MATCH(VLOOKUP('RES Veda input'!AE$3,'RES Assumptions T15'!$V$3:$W$35,2,FALSE),'RES Techs T15'!$G$3:$U$3,0))</f>
        <v>1</v>
      </c>
      <c r="AF56" s="9">
        <f ca="1">OFFSET('RES Techs T15'!$F56,0,MATCH(VLOOKUP('RES Veda input'!AF$3,'RES Assumptions T15'!$V$3:$W$35,2,FALSE),'RES Techs T15'!$G$3:$U$3,0))</f>
        <v>1</v>
      </c>
      <c r="AG56" s="9">
        <f ca="1">OFFSET('RES Techs T15'!$F56,0,MATCH(VLOOKUP('RES Veda input'!AG$3,'RES Assumptions T15'!$V$3:$W$35,2,FALSE),'RES Techs T15'!$G$3:$U$3,0))</f>
        <v>1</v>
      </c>
      <c r="AH56" s="9">
        <f ca="1">OFFSET('RES Techs T15'!$F56,0,MATCH(VLOOKUP('RES Veda input'!AH$3,'RES Assumptions T15'!$V$3:$W$35,2,FALSE),'RES Techs T15'!$G$3:$U$3,0))</f>
        <v>1</v>
      </c>
      <c r="AI56" s="9">
        <f ca="1">OFFSET('RES Techs T15'!$F56,0,MATCH(VLOOKUP('RES Veda input'!AI$3,'RES Assumptions T15'!$V$3:$W$35,2,FALSE),'RES Techs T15'!$G$3:$U$3,0))</f>
        <v>1</v>
      </c>
      <c r="AJ56" s="9">
        <f ca="1">OFFSET('RES Techs T15'!$F56,0,MATCH(VLOOKUP('RES Veda input'!AJ$3,'RES Assumptions T15'!$V$3:$W$35,2,FALSE),'RES Techs T15'!$G$3:$U$3,0))</f>
        <v>1</v>
      </c>
      <c r="AL56" s="8" t="str">
        <f t="shared" si="60"/>
        <v>ROTKER000</v>
      </c>
      <c r="AM56" s="9">
        <f ca="1">OFFSET('RES Techs T15'!$W56,0,MATCH(VLOOKUP('RES Veda input'!AM$3,'RES Assumptions T15'!$V$3:$W$35,2,FALSE),'RES Techs T15'!$G$3:$U$3,0))</f>
        <v>1</v>
      </c>
      <c r="AN56" s="9">
        <f ca="1">OFFSET('RES Techs T15'!$W56,0,MATCH(VLOOKUP('RES Veda input'!AN$3,'RES Assumptions T15'!$V$3:$W$35,2,FALSE),'RES Techs T15'!$G$3:$U$3,0))</f>
        <v>1</v>
      </c>
      <c r="AO56" s="9">
        <f ca="1">OFFSET('RES Techs T15'!$W56,0,MATCH(VLOOKUP('RES Veda input'!AO$3,'RES Assumptions T15'!$V$3:$W$35,2,FALSE),'RES Techs T15'!$G$3:$U$3,0))</f>
        <v>1</v>
      </c>
      <c r="AP56" s="9">
        <f ca="1">OFFSET('RES Techs T15'!$W56,0,MATCH(VLOOKUP('RES Veda input'!AP$3,'RES Assumptions T15'!$V$3:$W$35,2,FALSE),'RES Techs T15'!$G$3:$U$3,0))</f>
        <v>1</v>
      </c>
      <c r="AQ56" s="9">
        <f ca="1">OFFSET('RES Techs T15'!$W56,0,MATCH(VLOOKUP('RES Veda input'!AQ$3,'RES Assumptions T15'!$V$3:$W$35,2,FALSE),'RES Techs T15'!$G$3:$U$3,0))</f>
        <v>1</v>
      </c>
      <c r="AR56" s="9">
        <f ca="1">OFFSET('RES Techs T15'!$W56,0,MATCH(VLOOKUP('RES Veda input'!AR$3,'RES Assumptions T15'!$V$3:$W$35,2,FALSE),'RES Techs T15'!$G$3:$U$3,0))</f>
        <v>1</v>
      </c>
      <c r="AS56" s="9">
        <f ca="1">OFFSET('RES Techs T15'!$W56,0,MATCH(VLOOKUP('RES Veda input'!AS$3,'RES Assumptions T15'!$V$3:$W$35,2,FALSE),'RES Techs T15'!$G$3:$U$3,0))</f>
        <v>1</v>
      </c>
      <c r="AT56" s="9">
        <f ca="1">OFFSET('RES Techs T15'!$W56,0,MATCH(VLOOKUP('RES Veda input'!AT$3,'RES Assumptions T15'!$V$3:$W$35,2,FALSE),'RES Techs T15'!$G$3:$U$3,0))</f>
        <v>1</v>
      </c>
      <c r="AU56" s="9">
        <f ca="1">OFFSET('RES Techs T15'!$W56,0,MATCH(VLOOKUP('RES Veda input'!AU$3,'RES Assumptions T15'!$V$3:$W$35,2,FALSE),'RES Techs T15'!$G$3:$U$3,0))</f>
        <v>1</v>
      </c>
      <c r="AV56" s="9">
        <f ca="1">OFFSET('RES Techs T15'!$W56,0,MATCH(VLOOKUP('RES Veda input'!AV$3,'RES Assumptions T15'!$V$3:$W$35,2,FALSE),'RES Techs T15'!$G$3:$U$3,0))</f>
        <v>1</v>
      </c>
      <c r="AW56" s="9">
        <f ca="1">OFFSET('RES Techs T15'!$W56,0,MATCH(VLOOKUP('RES Veda input'!AW$3,'RES Assumptions T15'!$V$3:$W$35,2,FALSE),'RES Techs T15'!$G$3:$U$3,0))</f>
        <v>1</v>
      </c>
      <c r="AX56" s="9">
        <f ca="1">OFFSET('RES Techs T15'!$W56,0,MATCH(VLOOKUP('RES Veda input'!AX$3,'RES Assumptions T15'!$V$3:$W$35,2,FALSE),'RES Techs T15'!$G$3:$U$3,0))</f>
        <v>1</v>
      </c>
      <c r="AY56" s="9">
        <f ca="1">OFFSET('RES Techs T15'!$W56,0,MATCH(VLOOKUP('RES Veda input'!AY$3,'RES Assumptions T15'!$V$3:$W$35,2,FALSE),'RES Techs T15'!$G$3:$U$3,0))</f>
        <v>1</v>
      </c>
      <c r="AZ56" s="9">
        <f ca="1">OFFSET('RES Techs T15'!$W56,0,MATCH(VLOOKUP('RES Veda input'!AZ$3,'RES Assumptions T15'!$V$3:$W$35,2,FALSE),'RES Techs T15'!$G$3:$U$3,0))</f>
        <v>1</v>
      </c>
      <c r="BA56" s="9">
        <f ca="1">OFFSET('RES Techs T15'!$W56,0,MATCH(VLOOKUP('RES Veda input'!BA$3,'RES Assumptions T15'!$V$3:$W$35,2,FALSE),'RES Techs T15'!$G$3:$U$3,0))</f>
        <v>1</v>
      </c>
      <c r="BB56" s="9">
        <f ca="1">OFFSET('RES Techs T15'!$W56,0,MATCH(VLOOKUP('RES Veda input'!BB$3,'RES Assumptions T15'!$V$3:$W$35,2,FALSE),'RES Techs T15'!$G$3:$U$3,0))</f>
        <v>1</v>
      </c>
      <c r="BC56" s="9">
        <f ca="1">OFFSET('RES Techs T15'!$W56,0,MATCH(VLOOKUP('RES Veda input'!BC$3,'RES Assumptions T15'!$V$3:$W$35,2,FALSE),'RES Techs T15'!$G$3:$U$3,0))</f>
        <v>1</v>
      </c>
      <c r="BD56" s="9">
        <f ca="1">OFFSET('RES Techs T15'!$W56,0,MATCH(VLOOKUP('RES Veda input'!BD$3,'RES Assumptions T15'!$V$3:$W$35,2,FALSE),'RES Techs T15'!$G$3:$U$3,0))</f>
        <v>1</v>
      </c>
      <c r="BE56" s="9">
        <f ca="1">OFFSET('RES Techs T15'!$W56,0,MATCH(VLOOKUP('RES Veda input'!BE$3,'RES Assumptions T15'!$V$3:$W$35,2,FALSE),'RES Techs T15'!$G$3:$U$3,0))</f>
        <v>1</v>
      </c>
      <c r="BF56" s="9">
        <f ca="1">OFFSET('RES Techs T15'!$W56,0,MATCH(VLOOKUP('RES Veda input'!BF$3,'RES Assumptions T15'!$V$3:$W$35,2,FALSE),'RES Techs T15'!$G$3:$U$3,0))</f>
        <v>1</v>
      </c>
      <c r="BG56" s="9">
        <f ca="1">OFFSET('RES Techs T15'!$W56,0,MATCH(VLOOKUP('RES Veda input'!BG$3,'RES Assumptions T15'!$V$3:$W$35,2,FALSE),'RES Techs T15'!$G$3:$U$3,0))</f>
        <v>1</v>
      </c>
      <c r="BH56" s="9">
        <f ca="1">OFFSET('RES Techs T15'!$W56,0,MATCH(VLOOKUP('RES Veda input'!BH$3,'RES Assumptions T15'!$V$3:$W$35,2,FALSE),'RES Techs T15'!$G$3:$U$3,0))</f>
        <v>1</v>
      </c>
      <c r="BI56" s="9">
        <f ca="1">OFFSET('RES Techs T15'!$W56,0,MATCH(VLOOKUP('RES Veda input'!BI$3,'RES Assumptions T15'!$V$3:$W$35,2,FALSE),'RES Techs T15'!$G$3:$U$3,0))</f>
        <v>1</v>
      </c>
      <c r="BJ56" s="9">
        <f ca="1">OFFSET('RES Techs T15'!$W56,0,MATCH(VLOOKUP('RES Veda input'!BJ$3,'RES Assumptions T15'!$V$3:$W$35,2,FALSE),'RES Techs T15'!$G$3:$U$3,0))</f>
        <v>1</v>
      </c>
      <c r="BK56" s="9">
        <f ca="1">OFFSET('RES Techs T15'!$W56,0,MATCH(VLOOKUP('RES Veda input'!BK$3,'RES Assumptions T15'!$V$3:$W$35,2,FALSE),'RES Techs T15'!$G$3:$U$3,0))</f>
        <v>1</v>
      </c>
      <c r="BL56" s="9">
        <f ca="1">OFFSET('RES Techs T15'!$W56,0,MATCH(VLOOKUP('RES Veda input'!BL$3,'RES Assumptions T15'!$V$3:$W$35,2,FALSE),'RES Techs T15'!$G$3:$U$3,0))</f>
        <v>1</v>
      </c>
      <c r="BM56" s="9">
        <f ca="1">OFFSET('RES Techs T15'!$W56,0,MATCH(VLOOKUP('RES Veda input'!BM$3,'RES Assumptions T15'!$V$3:$W$35,2,FALSE),'RES Techs T15'!$G$3:$U$3,0))</f>
        <v>1</v>
      </c>
      <c r="BN56" s="9">
        <f ca="1">OFFSET('RES Techs T15'!$W56,0,MATCH(VLOOKUP('RES Veda input'!BN$3,'RES Assumptions T15'!$V$3:$W$35,2,FALSE),'RES Techs T15'!$G$3:$U$3,0))</f>
        <v>1</v>
      </c>
      <c r="BO56" s="9">
        <f ca="1">OFFSET('RES Techs T15'!$W56,0,MATCH(VLOOKUP('RES Veda input'!BO$3,'RES Assumptions T15'!$V$3:$W$35,2,FALSE),'RES Techs T15'!$G$3:$U$3,0))</f>
        <v>1</v>
      </c>
      <c r="BP56" s="9">
        <f ca="1">OFFSET('RES Techs T15'!$W56,0,MATCH(VLOOKUP('RES Veda input'!BP$3,'RES Assumptions T15'!$V$3:$W$35,2,FALSE),'RES Techs T15'!$G$3:$U$3,0))</f>
        <v>1</v>
      </c>
      <c r="BR56" s="8" t="str">
        <f t="shared" si="61"/>
        <v>ROTKER000</v>
      </c>
      <c r="BS56" s="9">
        <f t="shared" ca="1" si="62"/>
        <v>0</v>
      </c>
      <c r="BT56" s="9" t="str">
        <f ca="1">IF(OFFSET('RES Techs T15'!$AO56,0,MATCH(VLOOKUP('RES Veda input'!BT$3,'RES Assumptions T15'!$V$3:$W$35,2,FALSE),'RES Techs T15'!$G$3:$U$3,0))=0,"",OFFSET('RES Techs T15'!$AO56,0,MATCH(VLOOKUP('RES Veda input'!BT$3,'RES Assumptions T15'!$V$3:$W$35,2,FALSE),'RES Techs T15'!$G$3:$U$3,0)))</f>
        <v/>
      </c>
      <c r="BU56" s="9" t="str">
        <f ca="1">IF(OFFSET('RES Techs T15'!$AO56,0,MATCH(VLOOKUP('RES Veda input'!BU$3,'RES Assumptions T15'!$V$3:$W$35,2,FALSE),'RES Techs T15'!$G$3:$U$3,0))=0,"",OFFSET('RES Techs T15'!$AO56,0,MATCH(VLOOKUP('RES Veda input'!BU$3,'RES Assumptions T15'!$V$3:$W$35,2,FALSE),'RES Techs T15'!$G$3:$U$3,0)))</f>
        <v/>
      </c>
      <c r="BV56" s="9" t="str">
        <f ca="1">IF(OFFSET('RES Techs T15'!$AO56,0,MATCH(VLOOKUP('RES Veda input'!BV$3,'RES Assumptions T15'!$V$3:$W$35,2,FALSE),'RES Techs T15'!$G$3:$U$3,0))=0,"",OFFSET('RES Techs T15'!$AO56,0,MATCH(VLOOKUP('RES Veda input'!BV$3,'RES Assumptions T15'!$V$3:$W$35,2,FALSE),'RES Techs T15'!$G$3:$U$3,0)))</f>
        <v/>
      </c>
      <c r="BW56" s="9" t="str">
        <f ca="1">IF(OFFSET('RES Techs T15'!$AO56,0,MATCH(VLOOKUP('RES Veda input'!BW$3,'RES Assumptions T15'!$V$3:$W$35,2,FALSE),'RES Techs T15'!$G$3:$U$3,0))=0,"",OFFSET('RES Techs T15'!$AO56,0,MATCH(VLOOKUP('RES Veda input'!BW$3,'RES Assumptions T15'!$V$3:$W$35,2,FALSE),'RES Techs T15'!$G$3:$U$3,0)))</f>
        <v/>
      </c>
      <c r="BX56" s="9" t="str">
        <f ca="1">IF(OFFSET('RES Techs T15'!$AO56,0,MATCH(VLOOKUP('RES Veda input'!BX$3,'RES Assumptions T15'!$V$3:$W$35,2,FALSE),'RES Techs T15'!$G$3:$U$3,0))=0,"",OFFSET('RES Techs T15'!$AO56,0,MATCH(VLOOKUP('RES Veda input'!BX$3,'RES Assumptions T15'!$V$3:$W$35,2,FALSE),'RES Techs T15'!$G$3:$U$3,0)))</f>
        <v/>
      </c>
      <c r="BY56" s="9" t="str">
        <f ca="1">IF(OFFSET('RES Techs T15'!$AO56,0,MATCH(VLOOKUP('RES Veda input'!BY$3,'RES Assumptions T15'!$V$3:$W$35,2,FALSE),'RES Techs T15'!$G$3:$U$3,0))=0,"",OFFSET('RES Techs T15'!$AO56,0,MATCH(VLOOKUP('RES Veda input'!BY$3,'RES Assumptions T15'!$V$3:$W$35,2,FALSE),'RES Techs T15'!$G$3:$U$3,0)))</f>
        <v/>
      </c>
      <c r="BZ56" s="9" t="str">
        <f ca="1">IF(OFFSET('RES Techs T15'!$AO56,0,MATCH(VLOOKUP('RES Veda input'!BZ$3,'RES Assumptions T15'!$V$3:$W$35,2,FALSE),'RES Techs T15'!$G$3:$U$3,0))=0,"",OFFSET('RES Techs T15'!$AO56,0,MATCH(VLOOKUP('RES Veda input'!BZ$3,'RES Assumptions T15'!$V$3:$W$35,2,FALSE),'RES Techs T15'!$G$3:$U$3,0)))</f>
        <v/>
      </c>
      <c r="CA56" s="9" t="str">
        <f ca="1">IF(OFFSET('RES Techs T15'!$AO56,0,MATCH(VLOOKUP('RES Veda input'!CA$3,'RES Assumptions T15'!$V$3:$W$35,2,FALSE),'RES Techs T15'!$G$3:$U$3,0))=0,"",OFFSET('RES Techs T15'!$AO56,0,MATCH(VLOOKUP('RES Veda input'!CA$3,'RES Assumptions T15'!$V$3:$W$35,2,FALSE),'RES Techs T15'!$G$3:$U$3,0)))</f>
        <v/>
      </c>
      <c r="CB56" s="9" t="str">
        <f ca="1">IF(OFFSET('RES Techs T15'!$AO56,0,MATCH(VLOOKUP('RES Veda input'!CB$3,'RES Assumptions T15'!$V$3:$W$35,2,FALSE),'RES Techs T15'!$G$3:$U$3,0))=0,"",OFFSET('RES Techs T15'!$AO56,0,MATCH(VLOOKUP('RES Veda input'!CB$3,'RES Assumptions T15'!$V$3:$W$35,2,FALSE),'RES Techs T15'!$G$3:$U$3,0)))</f>
        <v/>
      </c>
      <c r="CC56" s="9" t="str">
        <f ca="1">IF(OFFSET('RES Techs T15'!$AO56,0,MATCH(VLOOKUP('RES Veda input'!CC$3,'RES Assumptions T15'!$V$3:$W$35,2,FALSE),'RES Techs T15'!$G$3:$U$3,0))=0,"",OFFSET('RES Techs T15'!$AO56,0,MATCH(VLOOKUP('RES Veda input'!CC$3,'RES Assumptions T15'!$V$3:$W$35,2,FALSE),'RES Techs T15'!$G$3:$U$3,0)))</f>
        <v/>
      </c>
      <c r="CD56" s="9" t="str">
        <f ca="1">IF(OFFSET('RES Techs T15'!$AO56,0,MATCH(VLOOKUP('RES Veda input'!CD$3,'RES Assumptions T15'!$V$3:$W$35,2,FALSE),'RES Techs T15'!$G$3:$U$3,0))=0,"",OFFSET('RES Techs T15'!$AO56,0,MATCH(VLOOKUP('RES Veda input'!CD$3,'RES Assumptions T15'!$V$3:$W$35,2,FALSE),'RES Techs T15'!$G$3:$U$3,0)))</f>
        <v/>
      </c>
      <c r="CE56" s="9" t="str">
        <f ca="1">IF(OFFSET('RES Techs T15'!$AO56,0,MATCH(VLOOKUP('RES Veda input'!CE$3,'RES Assumptions T15'!$V$3:$W$35,2,FALSE),'RES Techs T15'!$G$3:$U$3,0))=0,"",OFFSET('RES Techs T15'!$AO56,0,MATCH(VLOOKUP('RES Veda input'!CE$3,'RES Assumptions T15'!$V$3:$W$35,2,FALSE),'RES Techs T15'!$G$3:$U$3,0)))</f>
        <v/>
      </c>
      <c r="CF56" s="9" t="str">
        <f ca="1">IF(OFFSET('RES Techs T15'!$AO56,0,MATCH(VLOOKUP('RES Veda input'!CF$3,'RES Assumptions T15'!$V$3:$W$35,2,FALSE),'RES Techs T15'!$G$3:$U$3,0))=0,"",OFFSET('RES Techs T15'!$AO56,0,MATCH(VLOOKUP('RES Veda input'!CF$3,'RES Assumptions T15'!$V$3:$W$35,2,FALSE),'RES Techs T15'!$G$3:$U$3,0)))</f>
        <v/>
      </c>
      <c r="CG56" s="9" t="str">
        <f ca="1">IF(OFFSET('RES Techs T15'!$AO56,0,MATCH(VLOOKUP('RES Veda input'!CG$3,'RES Assumptions T15'!$V$3:$W$35,2,FALSE),'RES Techs T15'!$G$3:$U$3,0))=0,"",OFFSET('RES Techs T15'!$AO56,0,MATCH(VLOOKUP('RES Veda input'!CG$3,'RES Assumptions T15'!$V$3:$W$35,2,FALSE),'RES Techs T15'!$G$3:$U$3,0)))</f>
        <v/>
      </c>
      <c r="CH56" s="9" t="str">
        <f ca="1">IF(OFFSET('RES Techs T15'!$AO56,0,MATCH(VLOOKUP('RES Veda input'!CH$3,'RES Assumptions T15'!$V$3:$W$35,2,FALSE),'RES Techs T15'!$G$3:$U$3,0))=0,"",OFFSET('RES Techs T15'!$AO56,0,MATCH(VLOOKUP('RES Veda input'!CH$3,'RES Assumptions T15'!$V$3:$W$35,2,FALSE),'RES Techs T15'!$G$3:$U$3,0)))</f>
        <v/>
      </c>
      <c r="CI56" s="9" t="str">
        <f ca="1">IF(OFFSET('RES Techs T15'!$AO56,0,MATCH(VLOOKUP('RES Veda input'!CI$3,'RES Assumptions T15'!$V$3:$W$35,2,FALSE),'RES Techs T15'!$G$3:$U$3,0))=0,"",OFFSET('RES Techs T15'!$AO56,0,MATCH(VLOOKUP('RES Veda input'!CI$3,'RES Assumptions T15'!$V$3:$W$35,2,FALSE),'RES Techs T15'!$G$3:$U$3,0)))</f>
        <v/>
      </c>
      <c r="CJ56" s="9" t="str">
        <f ca="1">IF(OFFSET('RES Techs T15'!$AO56,0,MATCH(VLOOKUP('RES Veda input'!CJ$3,'RES Assumptions T15'!$V$3:$W$35,2,FALSE),'RES Techs T15'!$G$3:$U$3,0))=0,"",OFFSET('RES Techs T15'!$AO56,0,MATCH(VLOOKUP('RES Veda input'!CJ$3,'RES Assumptions T15'!$V$3:$W$35,2,FALSE),'RES Techs T15'!$G$3:$U$3,0)))</f>
        <v/>
      </c>
      <c r="CK56" s="9" t="str">
        <f ca="1">IF(OFFSET('RES Techs T15'!$AO56,0,MATCH(VLOOKUP('RES Veda input'!CK$3,'RES Assumptions T15'!$V$3:$W$35,2,FALSE),'RES Techs T15'!$G$3:$U$3,0))=0,"",OFFSET('RES Techs T15'!$AO56,0,MATCH(VLOOKUP('RES Veda input'!CK$3,'RES Assumptions T15'!$V$3:$W$35,2,FALSE),'RES Techs T15'!$G$3:$U$3,0)))</f>
        <v/>
      </c>
      <c r="CL56" s="9" t="str">
        <f ca="1">IF(OFFSET('RES Techs T15'!$AO56,0,MATCH(VLOOKUP('RES Veda input'!CL$3,'RES Assumptions T15'!$V$3:$W$35,2,FALSE),'RES Techs T15'!$G$3:$U$3,0))=0,"",OFFSET('RES Techs T15'!$AO56,0,MATCH(VLOOKUP('RES Veda input'!CL$3,'RES Assumptions T15'!$V$3:$W$35,2,FALSE),'RES Techs T15'!$G$3:$U$3,0)))</f>
        <v/>
      </c>
      <c r="CM56" s="9" t="str">
        <f ca="1">IF(OFFSET('RES Techs T15'!$AO56,0,MATCH(VLOOKUP('RES Veda input'!CM$3,'RES Assumptions T15'!$V$3:$W$35,2,FALSE),'RES Techs T15'!$G$3:$U$3,0))=0,"",OFFSET('RES Techs T15'!$AO56,0,MATCH(VLOOKUP('RES Veda input'!CM$3,'RES Assumptions T15'!$V$3:$W$35,2,FALSE),'RES Techs T15'!$G$3:$U$3,0)))</f>
        <v/>
      </c>
      <c r="CN56" s="9" t="str">
        <f ca="1">IF(OFFSET('RES Techs T15'!$AO56,0,MATCH(VLOOKUP('RES Veda input'!CN$3,'RES Assumptions T15'!$V$3:$W$35,2,FALSE),'RES Techs T15'!$G$3:$U$3,0))=0,"",OFFSET('RES Techs T15'!$AO56,0,MATCH(VLOOKUP('RES Veda input'!CN$3,'RES Assumptions T15'!$V$3:$W$35,2,FALSE),'RES Techs T15'!$G$3:$U$3,0)))</f>
        <v/>
      </c>
      <c r="CO56" s="9" t="str">
        <f ca="1">IF(OFFSET('RES Techs T15'!$AO56,0,MATCH(VLOOKUP('RES Veda input'!CO$3,'RES Assumptions T15'!$V$3:$W$35,2,FALSE),'RES Techs T15'!$G$3:$U$3,0))=0,"",OFFSET('RES Techs T15'!$AO56,0,MATCH(VLOOKUP('RES Veda input'!CO$3,'RES Assumptions T15'!$V$3:$W$35,2,FALSE),'RES Techs T15'!$G$3:$U$3,0)))</f>
        <v/>
      </c>
      <c r="CP56" s="9" t="str">
        <f ca="1">IF(OFFSET('RES Techs T15'!$AO56,0,MATCH(VLOOKUP('RES Veda input'!CP$3,'RES Assumptions T15'!$V$3:$W$35,2,FALSE),'RES Techs T15'!$G$3:$U$3,0))=0,"",OFFSET('RES Techs T15'!$AO56,0,MATCH(VLOOKUP('RES Veda input'!CP$3,'RES Assumptions T15'!$V$3:$W$35,2,FALSE),'RES Techs T15'!$G$3:$U$3,0)))</f>
        <v/>
      </c>
      <c r="CQ56" s="9" t="str">
        <f ca="1">IF(OFFSET('RES Techs T15'!$AO56,0,MATCH(VLOOKUP('RES Veda input'!CQ$3,'RES Assumptions T15'!$V$3:$W$35,2,FALSE),'RES Techs T15'!$G$3:$U$3,0))=0,"",OFFSET('RES Techs T15'!$AO56,0,MATCH(VLOOKUP('RES Veda input'!CQ$3,'RES Assumptions T15'!$V$3:$W$35,2,FALSE),'RES Techs T15'!$G$3:$U$3,0)))</f>
        <v/>
      </c>
      <c r="CR56" s="9" t="str">
        <f ca="1">IF(OFFSET('RES Techs T15'!$AO56,0,MATCH(VLOOKUP('RES Veda input'!CR$3,'RES Assumptions T15'!$V$3:$W$35,2,FALSE),'RES Techs T15'!$G$3:$U$3,0))=0,"",OFFSET('RES Techs T15'!$AO56,0,MATCH(VLOOKUP('RES Veda input'!CR$3,'RES Assumptions T15'!$V$3:$W$35,2,FALSE),'RES Techs T15'!$G$3:$U$3,0)))</f>
        <v/>
      </c>
      <c r="CS56" s="9" t="str">
        <f ca="1">IF(OFFSET('RES Techs T15'!$AO56,0,MATCH(VLOOKUP('RES Veda input'!CS$3,'RES Assumptions T15'!$V$3:$W$35,2,FALSE),'RES Techs T15'!$G$3:$U$3,0))=0,"",OFFSET('RES Techs T15'!$AO56,0,MATCH(VLOOKUP('RES Veda input'!CS$3,'RES Assumptions T15'!$V$3:$W$35,2,FALSE),'RES Techs T15'!$G$3:$U$3,0)))</f>
        <v/>
      </c>
      <c r="CT56" s="9" t="str">
        <f ca="1">IF(OFFSET('RES Techs T15'!$AO56,0,MATCH(VLOOKUP('RES Veda input'!CT$3,'RES Assumptions T15'!$V$3:$W$35,2,FALSE),'RES Techs T15'!$G$3:$U$3,0))=0,"",OFFSET('RES Techs T15'!$AO56,0,MATCH(VLOOKUP('RES Veda input'!CT$3,'RES Assumptions T15'!$V$3:$W$35,2,FALSE),'RES Techs T15'!$G$3:$U$3,0)))</f>
        <v/>
      </c>
      <c r="CU56" s="9" t="str">
        <f ca="1">IF(OFFSET('RES Techs T15'!$AO56,0,MATCH(VLOOKUP('RES Veda input'!CU$3,'RES Assumptions T15'!$V$3:$W$35,2,FALSE),'RES Techs T15'!$G$3:$U$3,0))=0,"",OFFSET('RES Techs T15'!$AO56,0,MATCH(VLOOKUP('RES Veda input'!CU$3,'RES Assumptions T15'!$V$3:$W$35,2,FALSE),'RES Techs T15'!$G$3:$U$3,0)))</f>
        <v/>
      </c>
      <c r="CV56" s="9" t="str">
        <f ca="1">IF(OFFSET('RES Techs T15'!$AO56,0,MATCH(VLOOKUP('RES Veda input'!CV$3,'RES Assumptions T15'!$V$3:$W$35,2,FALSE),'RES Techs T15'!$G$3:$U$3,0))=0,"",OFFSET('RES Techs T15'!$AO56,0,MATCH(VLOOKUP('RES Veda input'!CV$3,'RES Assumptions T15'!$V$3:$W$35,2,FALSE),'RES Techs T15'!$G$3:$U$3,0)))</f>
        <v/>
      </c>
      <c r="CW56" s="9" t="str">
        <f ca="1">IF(OFFSET('RES Techs T15'!$AO56,0,MATCH(VLOOKUP('RES Veda input'!CW$3,'RES Assumptions T15'!$V$3:$W$35,2,FALSE),'RES Techs T15'!$G$3:$U$3,0))=0,"",OFFSET('RES Techs T15'!$AO56,0,MATCH(VLOOKUP('RES Veda input'!CW$3,'RES Assumptions T15'!$V$3:$W$35,2,FALSE),'RES Techs T15'!$G$3:$U$3,0)))</f>
        <v/>
      </c>
      <c r="CY56" s="8" t="str">
        <f t="shared" si="63"/>
        <v>ROTKER000</v>
      </c>
      <c r="CZ56" s="10">
        <f ca="1">ROUND('RES Assumptions'!E139*'RES Veda input'!G56/'RES Veda input'!AM56,3)</f>
        <v>0</v>
      </c>
      <c r="DA56" s="10">
        <f ca="1">ROUND('RES Assumptions'!F139*'RES Veda input'!H56/'RES Veda input'!AN56,3)</f>
        <v>0</v>
      </c>
      <c r="DB56" s="10">
        <f ca="1">ROUND('RES Assumptions'!G139*'RES Veda input'!I56/'RES Veda input'!AO56,3)</f>
        <v>0.54100000000000004</v>
      </c>
      <c r="DC56" s="10">
        <f ca="1">ROUND('RES Assumptions'!H139*'RES Veda input'!J56/'RES Veda input'!AP56,3)</f>
        <v>1.4E-2</v>
      </c>
      <c r="DD56" s="10">
        <f ca="1">ROUND('RES Assumptions'!I139*'RES Veda input'!K56/'RES Veda input'!AQ56,3)</f>
        <v>0</v>
      </c>
      <c r="DE56" s="10">
        <f ca="1">ROUND('RES Assumptions'!J139*'RES Veda input'!L56/'RES Veda input'!AR56,3)</f>
        <v>0</v>
      </c>
      <c r="DF56" s="10">
        <f ca="1">ROUND('RES Assumptions'!K139*'RES Veda input'!M56/'RES Veda input'!AS56,3)</f>
        <v>0</v>
      </c>
      <c r="DG56" s="10">
        <f ca="1">ROUND('RES Assumptions'!L139*'RES Veda input'!N56/'RES Veda input'!AT56,3)</f>
        <v>0.01</v>
      </c>
      <c r="DH56" s="10">
        <f ca="1">ROUND('RES Assumptions'!M139*'RES Veda input'!O56/'RES Veda input'!AU56,3)</f>
        <v>0</v>
      </c>
      <c r="DI56" s="10">
        <f ca="1">ROUND('RES Assumptions'!N139*'RES Veda input'!P56/'RES Veda input'!AV56,3)</f>
        <v>0</v>
      </c>
      <c r="DJ56" s="10">
        <f ca="1">ROUND('RES Assumptions'!O139*'RES Veda input'!Q56/'RES Veda input'!AW56,3)</f>
        <v>0</v>
      </c>
      <c r="DK56" s="10">
        <f ca="1">ROUND('RES Assumptions'!P139*'RES Veda input'!R56/'RES Veda input'!AX56,3)</f>
        <v>0</v>
      </c>
      <c r="DL56" s="10">
        <f ca="1">ROUND('RES Assumptions'!Q139*'RES Veda input'!S56/'RES Veda input'!AY56,3)</f>
        <v>8.1000000000000003E-2</v>
      </c>
      <c r="DM56" s="10">
        <f ca="1">ROUND('RES Assumptions'!R139*'RES Veda input'!T56/'RES Veda input'!AZ56,3)</f>
        <v>2E-3</v>
      </c>
      <c r="DN56" s="10">
        <f ca="1">ROUND('RES Assumptions'!S139*'RES Veda input'!U56/'RES Veda input'!BA56,3)</f>
        <v>0</v>
      </c>
      <c r="DO56" s="10">
        <f ca="1">ROUND('RES Assumptions'!T139*'RES Veda input'!V56/'RES Veda input'!BB56,3)</f>
        <v>0</v>
      </c>
      <c r="DP56" s="10">
        <f ca="1">ROUND('RES Assumptions'!U139*'RES Veda input'!W56/'RES Veda input'!BC56,3)</f>
        <v>0</v>
      </c>
      <c r="DQ56" s="10">
        <f ca="1">ROUND('RES Assumptions'!V139*'RES Veda input'!X56/'RES Veda input'!BD56,3)</f>
        <v>1.7000000000000001E-2</v>
      </c>
      <c r="DR56" s="10">
        <f ca="1">ROUND('RES Assumptions'!W139*'RES Veda input'!Y56/'RES Veda input'!BE56,3)</f>
        <v>1E-3</v>
      </c>
      <c r="DS56" s="10">
        <f ca="1">ROUND('RES Assumptions'!X139*'RES Veda input'!Z56/'RES Veda input'!BF56,3)</f>
        <v>0</v>
      </c>
      <c r="DT56" s="10">
        <f ca="1">ROUND('RES Assumptions'!Y139*'RES Veda input'!AA56/'RES Veda input'!BG56,3)</f>
        <v>1.2969999999999999</v>
      </c>
      <c r="DU56" s="10">
        <f ca="1">ROUND('RES Assumptions'!Z139*'RES Veda input'!AB56/'RES Veda input'!BH56,3)</f>
        <v>0</v>
      </c>
      <c r="DV56" s="10">
        <f ca="1">ROUND('RES Assumptions'!AA139*'RES Veda input'!AC56/'RES Veda input'!BI56,3)</f>
        <v>0</v>
      </c>
      <c r="DW56" s="10">
        <f ca="1">ROUND('RES Assumptions'!AB139*'RES Veda input'!AD56/'RES Veda input'!BJ56,3)</f>
        <v>0</v>
      </c>
      <c r="DX56" s="10">
        <f ca="1">ROUND('RES Assumptions'!AC139*'RES Veda input'!AE56/'RES Veda input'!BK56,3)</f>
        <v>0</v>
      </c>
      <c r="DY56" s="10">
        <f ca="1">ROUND('RES Assumptions'!AD139*'RES Veda input'!AF56/'RES Veda input'!BL56,3)</f>
        <v>0</v>
      </c>
      <c r="DZ56" s="10">
        <f ca="1">ROUND('RES Assumptions'!AE139*'RES Veda input'!AG56/'RES Veda input'!BM56,3)</f>
        <v>0</v>
      </c>
      <c r="EA56" s="10">
        <f ca="1">ROUND('RES Assumptions'!AF139*'RES Veda input'!AH56/'RES Veda input'!BN56,3)</f>
        <v>0.17899999999999999</v>
      </c>
      <c r="EB56" s="10">
        <f ca="1">ROUND('RES Assumptions'!AG139*'RES Veda input'!AI56/'RES Veda input'!BO56,3)</f>
        <v>0</v>
      </c>
      <c r="EC56" s="10">
        <f ca="1">ROUND('RES Assumptions'!AH139*'RES Veda input'!AJ56/'RES Veda input'!BP56,3)</f>
        <v>0</v>
      </c>
      <c r="ED56">
        <v>10</v>
      </c>
      <c r="EG56" t="s">
        <v>281</v>
      </c>
      <c r="EH56" t="str">
        <f t="shared" si="64"/>
        <v>ROTKER000</v>
      </c>
      <c r="EJ56" t="s">
        <v>282</v>
      </c>
      <c r="EK56" t="s">
        <v>283</v>
      </c>
    </row>
    <row r="57" spans="1:141" x14ac:dyDescent="0.45">
      <c r="A57" s="37" t="str">
        <f>'RES Assumptions'!B140</f>
        <v>ROT</v>
      </c>
      <c r="B57" s="37" t="s">
        <v>162</v>
      </c>
      <c r="D57" s="51" t="s">
        <v>162</v>
      </c>
      <c r="E57" s="8" t="str">
        <f>'RES Assumptions'!A140</f>
        <v>RESLPG</v>
      </c>
      <c r="F57" s="8" t="str">
        <f>VLOOKUP(A57,'RES Assumptions'!$AN$87:$AO$97,2,FALSE)</f>
        <v>ROT</v>
      </c>
      <c r="G57" s="9">
        <f ca="1">OFFSET('RES Techs T15'!$F57,0,MATCH(VLOOKUP('RES Veda input'!G$3,'RES Assumptions T15'!$V$3:$W$35,2,FALSE),'RES Techs T15'!$G$3:$U$3,0))</f>
        <v>1</v>
      </c>
      <c r="H57" s="9">
        <f ca="1">OFFSET('RES Techs T15'!$F57,0,MATCH(VLOOKUP('RES Veda input'!H$3,'RES Assumptions T15'!$V$3:$W$35,2,FALSE),'RES Techs T15'!$G$3:$U$3,0))</f>
        <v>1</v>
      </c>
      <c r="I57" s="9">
        <f ca="1">OFFSET('RES Techs T15'!$F57,0,MATCH(VLOOKUP('RES Veda input'!I$3,'RES Assumptions T15'!$V$3:$W$35,2,FALSE),'RES Techs T15'!$G$3:$U$3,0))</f>
        <v>1</v>
      </c>
      <c r="J57" s="9">
        <f ca="1">OFFSET('RES Techs T15'!$F57,0,MATCH(VLOOKUP('RES Veda input'!J$3,'RES Assumptions T15'!$V$3:$W$35,2,FALSE),'RES Techs T15'!$G$3:$U$3,0))</f>
        <v>1</v>
      </c>
      <c r="K57" s="9">
        <f ca="1">OFFSET('RES Techs T15'!$F57,0,MATCH(VLOOKUP('RES Veda input'!K$3,'RES Assumptions T15'!$V$3:$W$35,2,FALSE),'RES Techs T15'!$G$3:$U$3,0))</f>
        <v>1</v>
      </c>
      <c r="L57" s="9">
        <f ca="1">OFFSET('RES Techs T15'!$F57,0,MATCH(VLOOKUP('RES Veda input'!L$3,'RES Assumptions T15'!$V$3:$W$35,2,FALSE),'RES Techs T15'!$G$3:$U$3,0))</f>
        <v>1</v>
      </c>
      <c r="M57" s="9">
        <f ca="1">OFFSET('RES Techs T15'!$F57,0,MATCH(VLOOKUP('RES Veda input'!M$3,'RES Assumptions T15'!$V$3:$W$35,2,FALSE),'RES Techs T15'!$G$3:$U$3,0))</f>
        <v>1</v>
      </c>
      <c r="N57" s="9">
        <f ca="1">OFFSET('RES Techs T15'!$F57,0,MATCH(VLOOKUP('RES Veda input'!N$3,'RES Assumptions T15'!$V$3:$W$35,2,FALSE),'RES Techs T15'!$G$3:$U$3,0))</f>
        <v>1</v>
      </c>
      <c r="O57" s="9">
        <f ca="1">OFFSET('RES Techs T15'!$F57,0,MATCH(VLOOKUP('RES Veda input'!O$3,'RES Assumptions T15'!$V$3:$W$35,2,FALSE),'RES Techs T15'!$G$3:$U$3,0))</f>
        <v>1</v>
      </c>
      <c r="P57" s="9">
        <f ca="1">OFFSET('RES Techs T15'!$F57,0,MATCH(VLOOKUP('RES Veda input'!P$3,'RES Assumptions T15'!$V$3:$W$35,2,FALSE),'RES Techs T15'!$G$3:$U$3,0))</f>
        <v>1</v>
      </c>
      <c r="Q57" s="9">
        <f ca="1">OFFSET('RES Techs T15'!$F57,0,MATCH(VLOOKUP('RES Veda input'!Q$3,'RES Assumptions T15'!$V$3:$W$35,2,FALSE),'RES Techs T15'!$G$3:$U$3,0))</f>
        <v>1</v>
      </c>
      <c r="R57" s="9">
        <f ca="1">OFFSET('RES Techs T15'!$F57,0,MATCH(VLOOKUP('RES Veda input'!R$3,'RES Assumptions T15'!$V$3:$W$35,2,FALSE),'RES Techs T15'!$G$3:$U$3,0))</f>
        <v>1</v>
      </c>
      <c r="S57" s="9">
        <f ca="1">OFFSET('RES Techs T15'!$F57,0,MATCH(VLOOKUP('RES Veda input'!S$3,'RES Assumptions T15'!$V$3:$W$35,2,FALSE),'RES Techs T15'!$G$3:$U$3,0))</f>
        <v>1</v>
      </c>
      <c r="T57" s="9">
        <f ca="1">OFFSET('RES Techs T15'!$F57,0,MATCH(VLOOKUP('RES Veda input'!T$3,'RES Assumptions T15'!$V$3:$W$35,2,FALSE),'RES Techs T15'!$G$3:$U$3,0))</f>
        <v>1</v>
      </c>
      <c r="U57" s="9">
        <f ca="1">OFFSET('RES Techs T15'!$F57,0,MATCH(VLOOKUP('RES Veda input'!U$3,'RES Assumptions T15'!$V$3:$W$35,2,FALSE),'RES Techs T15'!$G$3:$U$3,0))</f>
        <v>1</v>
      </c>
      <c r="V57" s="9">
        <f ca="1">OFFSET('RES Techs T15'!$F57,0,MATCH(VLOOKUP('RES Veda input'!V$3,'RES Assumptions T15'!$V$3:$W$35,2,FALSE),'RES Techs T15'!$G$3:$U$3,0))</f>
        <v>1</v>
      </c>
      <c r="W57" s="9">
        <f ca="1">OFFSET('RES Techs T15'!$F57,0,MATCH(VLOOKUP('RES Veda input'!W$3,'RES Assumptions T15'!$V$3:$W$35,2,FALSE),'RES Techs T15'!$G$3:$U$3,0))</f>
        <v>1</v>
      </c>
      <c r="X57" s="9">
        <f ca="1">OFFSET('RES Techs T15'!$F57,0,MATCH(VLOOKUP('RES Veda input'!X$3,'RES Assumptions T15'!$V$3:$W$35,2,FALSE),'RES Techs T15'!$G$3:$U$3,0))</f>
        <v>1</v>
      </c>
      <c r="Y57" s="9">
        <f ca="1">OFFSET('RES Techs T15'!$F57,0,MATCH(VLOOKUP('RES Veda input'!Y$3,'RES Assumptions T15'!$V$3:$W$35,2,FALSE),'RES Techs T15'!$G$3:$U$3,0))</f>
        <v>1</v>
      </c>
      <c r="Z57" s="9">
        <f ca="1">OFFSET('RES Techs T15'!$F57,0,MATCH(VLOOKUP('RES Veda input'!Z$3,'RES Assumptions T15'!$V$3:$W$35,2,FALSE),'RES Techs T15'!$G$3:$U$3,0))</f>
        <v>1</v>
      </c>
      <c r="AA57" s="9">
        <f ca="1">OFFSET('RES Techs T15'!$F57,0,MATCH(VLOOKUP('RES Veda input'!AA$3,'RES Assumptions T15'!$V$3:$W$35,2,FALSE),'RES Techs T15'!$G$3:$U$3,0))</f>
        <v>1</v>
      </c>
      <c r="AB57" s="9">
        <f ca="1">OFFSET('RES Techs T15'!$F57,0,MATCH(VLOOKUP('RES Veda input'!AB$3,'RES Assumptions T15'!$V$3:$W$35,2,FALSE),'RES Techs T15'!$G$3:$U$3,0))</f>
        <v>1</v>
      </c>
      <c r="AC57" s="9">
        <f ca="1">OFFSET('RES Techs T15'!$F57,0,MATCH(VLOOKUP('RES Veda input'!AC$3,'RES Assumptions T15'!$V$3:$W$35,2,FALSE),'RES Techs T15'!$G$3:$U$3,0))</f>
        <v>1</v>
      </c>
      <c r="AD57" s="9">
        <f ca="1">OFFSET('RES Techs T15'!$F57,0,MATCH(VLOOKUP('RES Veda input'!AD$3,'RES Assumptions T15'!$V$3:$W$35,2,FALSE),'RES Techs T15'!$G$3:$U$3,0))</f>
        <v>1</v>
      </c>
      <c r="AE57" s="9">
        <f ca="1">OFFSET('RES Techs T15'!$F57,0,MATCH(VLOOKUP('RES Veda input'!AE$3,'RES Assumptions T15'!$V$3:$W$35,2,FALSE),'RES Techs T15'!$G$3:$U$3,0))</f>
        <v>1</v>
      </c>
      <c r="AF57" s="9">
        <f ca="1">OFFSET('RES Techs T15'!$F57,0,MATCH(VLOOKUP('RES Veda input'!AF$3,'RES Assumptions T15'!$V$3:$W$35,2,FALSE),'RES Techs T15'!$G$3:$U$3,0))</f>
        <v>1</v>
      </c>
      <c r="AG57" s="9">
        <f ca="1">OFFSET('RES Techs T15'!$F57,0,MATCH(VLOOKUP('RES Veda input'!AG$3,'RES Assumptions T15'!$V$3:$W$35,2,FALSE),'RES Techs T15'!$G$3:$U$3,0))</f>
        <v>1</v>
      </c>
      <c r="AH57" s="9">
        <f ca="1">OFFSET('RES Techs T15'!$F57,0,MATCH(VLOOKUP('RES Veda input'!AH$3,'RES Assumptions T15'!$V$3:$W$35,2,FALSE),'RES Techs T15'!$G$3:$U$3,0))</f>
        <v>1</v>
      </c>
      <c r="AI57" s="9">
        <f ca="1">OFFSET('RES Techs T15'!$F57,0,MATCH(VLOOKUP('RES Veda input'!AI$3,'RES Assumptions T15'!$V$3:$W$35,2,FALSE),'RES Techs T15'!$G$3:$U$3,0))</f>
        <v>1</v>
      </c>
      <c r="AJ57" s="9">
        <f ca="1">OFFSET('RES Techs T15'!$F57,0,MATCH(VLOOKUP('RES Veda input'!AJ$3,'RES Assumptions T15'!$V$3:$W$35,2,FALSE),'RES Techs T15'!$G$3:$U$3,0))</f>
        <v>1</v>
      </c>
      <c r="AL57" s="8" t="str">
        <f t="shared" si="60"/>
        <v>ROTLPG000</v>
      </c>
      <c r="AM57" s="9">
        <f ca="1">OFFSET('RES Techs T15'!$W57,0,MATCH(VLOOKUP('RES Veda input'!AM$3,'RES Assumptions T15'!$V$3:$W$35,2,FALSE),'RES Techs T15'!$G$3:$U$3,0))</f>
        <v>1</v>
      </c>
      <c r="AN57" s="9">
        <f ca="1">OFFSET('RES Techs T15'!$W57,0,MATCH(VLOOKUP('RES Veda input'!AN$3,'RES Assumptions T15'!$V$3:$W$35,2,FALSE),'RES Techs T15'!$G$3:$U$3,0))</f>
        <v>1</v>
      </c>
      <c r="AO57" s="9">
        <f ca="1">OFFSET('RES Techs T15'!$W57,0,MATCH(VLOOKUP('RES Veda input'!AO$3,'RES Assumptions T15'!$V$3:$W$35,2,FALSE),'RES Techs T15'!$G$3:$U$3,0))</f>
        <v>1</v>
      </c>
      <c r="AP57" s="9">
        <f ca="1">OFFSET('RES Techs T15'!$W57,0,MATCH(VLOOKUP('RES Veda input'!AP$3,'RES Assumptions T15'!$V$3:$W$35,2,FALSE),'RES Techs T15'!$G$3:$U$3,0))</f>
        <v>1</v>
      </c>
      <c r="AQ57" s="9">
        <f ca="1">OFFSET('RES Techs T15'!$W57,0,MATCH(VLOOKUP('RES Veda input'!AQ$3,'RES Assumptions T15'!$V$3:$W$35,2,FALSE),'RES Techs T15'!$G$3:$U$3,0))</f>
        <v>1</v>
      </c>
      <c r="AR57" s="9">
        <f ca="1">OFFSET('RES Techs T15'!$W57,0,MATCH(VLOOKUP('RES Veda input'!AR$3,'RES Assumptions T15'!$V$3:$W$35,2,FALSE),'RES Techs T15'!$G$3:$U$3,0))</f>
        <v>1</v>
      </c>
      <c r="AS57" s="9">
        <f ca="1">OFFSET('RES Techs T15'!$W57,0,MATCH(VLOOKUP('RES Veda input'!AS$3,'RES Assumptions T15'!$V$3:$W$35,2,FALSE),'RES Techs T15'!$G$3:$U$3,0))</f>
        <v>1</v>
      </c>
      <c r="AT57" s="9">
        <f ca="1">OFFSET('RES Techs T15'!$W57,0,MATCH(VLOOKUP('RES Veda input'!AT$3,'RES Assumptions T15'!$V$3:$W$35,2,FALSE),'RES Techs T15'!$G$3:$U$3,0))</f>
        <v>1</v>
      </c>
      <c r="AU57" s="9">
        <f ca="1">OFFSET('RES Techs T15'!$W57,0,MATCH(VLOOKUP('RES Veda input'!AU$3,'RES Assumptions T15'!$V$3:$W$35,2,FALSE),'RES Techs T15'!$G$3:$U$3,0))</f>
        <v>1</v>
      </c>
      <c r="AV57" s="9">
        <f ca="1">OFFSET('RES Techs T15'!$W57,0,MATCH(VLOOKUP('RES Veda input'!AV$3,'RES Assumptions T15'!$V$3:$W$35,2,FALSE),'RES Techs T15'!$G$3:$U$3,0))</f>
        <v>1</v>
      </c>
      <c r="AW57" s="9">
        <f ca="1">OFFSET('RES Techs T15'!$W57,0,MATCH(VLOOKUP('RES Veda input'!AW$3,'RES Assumptions T15'!$V$3:$W$35,2,FALSE),'RES Techs T15'!$G$3:$U$3,0))</f>
        <v>1</v>
      </c>
      <c r="AX57" s="9">
        <f ca="1">OFFSET('RES Techs T15'!$W57,0,MATCH(VLOOKUP('RES Veda input'!AX$3,'RES Assumptions T15'!$V$3:$W$35,2,FALSE),'RES Techs T15'!$G$3:$U$3,0))</f>
        <v>1</v>
      </c>
      <c r="AY57" s="9">
        <f ca="1">OFFSET('RES Techs T15'!$W57,0,MATCH(VLOOKUP('RES Veda input'!AY$3,'RES Assumptions T15'!$V$3:$W$35,2,FALSE),'RES Techs T15'!$G$3:$U$3,0))</f>
        <v>1</v>
      </c>
      <c r="AZ57" s="9">
        <f ca="1">OFFSET('RES Techs T15'!$W57,0,MATCH(VLOOKUP('RES Veda input'!AZ$3,'RES Assumptions T15'!$V$3:$W$35,2,FALSE),'RES Techs T15'!$G$3:$U$3,0))</f>
        <v>1</v>
      </c>
      <c r="BA57" s="9">
        <f ca="1">OFFSET('RES Techs T15'!$W57,0,MATCH(VLOOKUP('RES Veda input'!BA$3,'RES Assumptions T15'!$V$3:$W$35,2,FALSE),'RES Techs T15'!$G$3:$U$3,0))</f>
        <v>1</v>
      </c>
      <c r="BB57" s="9">
        <f ca="1">OFFSET('RES Techs T15'!$W57,0,MATCH(VLOOKUP('RES Veda input'!BB$3,'RES Assumptions T15'!$V$3:$W$35,2,FALSE),'RES Techs T15'!$G$3:$U$3,0))</f>
        <v>1</v>
      </c>
      <c r="BC57" s="9">
        <f ca="1">OFFSET('RES Techs T15'!$W57,0,MATCH(VLOOKUP('RES Veda input'!BC$3,'RES Assumptions T15'!$V$3:$W$35,2,FALSE),'RES Techs T15'!$G$3:$U$3,0))</f>
        <v>1</v>
      </c>
      <c r="BD57" s="9">
        <f ca="1">OFFSET('RES Techs T15'!$W57,0,MATCH(VLOOKUP('RES Veda input'!BD$3,'RES Assumptions T15'!$V$3:$W$35,2,FALSE),'RES Techs T15'!$G$3:$U$3,0))</f>
        <v>1</v>
      </c>
      <c r="BE57" s="9">
        <f ca="1">OFFSET('RES Techs T15'!$W57,0,MATCH(VLOOKUP('RES Veda input'!BE$3,'RES Assumptions T15'!$V$3:$W$35,2,FALSE),'RES Techs T15'!$G$3:$U$3,0))</f>
        <v>1</v>
      </c>
      <c r="BF57" s="9">
        <f ca="1">OFFSET('RES Techs T15'!$W57,0,MATCH(VLOOKUP('RES Veda input'!BF$3,'RES Assumptions T15'!$V$3:$W$35,2,FALSE),'RES Techs T15'!$G$3:$U$3,0))</f>
        <v>1</v>
      </c>
      <c r="BG57" s="9">
        <f ca="1">OFFSET('RES Techs T15'!$W57,0,MATCH(VLOOKUP('RES Veda input'!BG$3,'RES Assumptions T15'!$V$3:$W$35,2,FALSE),'RES Techs T15'!$G$3:$U$3,0))</f>
        <v>1</v>
      </c>
      <c r="BH57" s="9">
        <f ca="1">OFFSET('RES Techs T15'!$W57,0,MATCH(VLOOKUP('RES Veda input'!BH$3,'RES Assumptions T15'!$V$3:$W$35,2,FALSE),'RES Techs T15'!$G$3:$U$3,0))</f>
        <v>1</v>
      </c>
      <c r="BI57" s="9">
        <f ca="1">OFFSET('RES Techs T15'!$W57,0,MATCH(VLOOKUP('RES Veda input'!BI$3,'RES Assumptions T15'!$V$3:$W$35,2,FALSE),'RES Techs T15'!$G$3:$U$3,0))</f>
        <v>1</v>
      </c>
      <c r="BJ57" s="9">
        <f ca="1">OFFSET('RES Techs T15'!$W57,0,MATCH(VLOOKUP('RES Veda input'!BJ$3,'RES Assumptions T15'!$V$3:$W$35,2,FALSE),'RES Techs T15'!$G$3:$U$3,0))</f>
        <v>1</v>
      </c>
      <c r="BK57" s="9">
        <f ca="1">OFFSET('RES Techs T15'!$W57,0,MATCH(VLOOKUP('RES Veda input'!BK$3,'RES Assumptions T15'!$V$3:$W$35,2,FALSE),'RES Techs T15'!$G$3:$U$3,0))</f>
        <v>1</v>
      </c>
      <c r="BL57" s="9">
        <f ca="1">OFFSET('RES Techs T15'!$W57,0,MATCH(VLOOKUP('RES Veda input'!BL$3,'RES Assumptions T15'!$V$3:$W$35,2,FALSE),'RES Techs T15'!$G$3:$U$3,0))</f>
        <v>1</v>
      </c>
      <c r="BM57" s="9">
        <f ca="1">OFFSET('RES Techs T15'!$W57,0,MATCH(VLOOKUP('RES Veda input'!BM$3,'RES Assumptions T15'!$V$3:$W$35,2,FALSE),'RES Techs T15'!$G$3:$U$3,0))</f>
        <v>1</v>
      </c>
      <c r="BN57" s="9">
        <f ca="1">OFFSET('RES Techs T15'!$W57,0,MATCH(VLOOKUP('RES Veda input'!BN$3,'RES Assumptions T15'!$V$3:$W$35,2,FALSE),'RES Techs T15'!$G$3:$U$3,0))</f>
        <v>1</v>
      </c>
      <c r="BO57" s="9">
        <f ca="1">OFFSET('RES Techs T15'!$W57,0,MATCH(VLOOKUP('RES Veda input'!BO$3,'RES Assumptions T15'!$V$3:$W$35,2,FALSE),'RES Techs T15'!$G$3:$U$3,0))</f>
        <v>1</v>
      </c>
      <c r="BP57" s="9">
        <f ca="1">OFFSET('RES Techs T15'!$W57,0,MATCH(VLOOKUP('RES Veda input'!BP$3,'RES Assumptions T15'!$V$3:$W$35,2,FALSE),'RES Techs T15'!$G$3:$U$3,0))</f>
        <v>1</v>
      </c>
      <c r="BR57" s="8" t="str">
        <f t="shared" si="61"/>
        <v>ROTLPG000</v>
      </c>
      <c r="BS57" s="9">
        <f t="shared" ca="1" si="62"/>
        <v>0</v>
      </c>
      <c r="BT57" s="9" t="str">
        <f ca="1">IF(OFFSET('RES Techs T15'!$AO57,0,MATCH(VLOOKUP('RES Veda input'!BT$3,'RES Assumptions T15'!$V$3:$W$35,2,FALSE),'RES Techs T15'!$G$3:$U$3,0))=0,"",OFFSET('RES Techs T15'!$AO57,0,MATCH(VLOOKUP('RES Veda input'!BT$3,'RES Assumptions T15'!$V$3:$W$35,2,FALSE),'RES Techs T15'!$G$3:$U$3,0)))</f>
        <v/>
      </c>
      <c r="BU57" s="9" t="str">
        <f ca="1">IF(OFFSET('RES Techs T15'!$AO57,0,MATCH(VLOOKUP('RES Veda input'!BU$3,'RES Assumptions T15'!$V$3:$W$35,2,FALSE),'RES Techs T15'!$G$3:$U$3,0))=0,"",OFFSET('RES Techs T15'!$AO57,0,MATCH(VLOOKUP('RES Veda input'!BU$3,'RES Assumptions T15'!$V$3:$W$35,2,FALSE),'RES Techs T15'!$G$3:$U$3,0)))</f>
        <v/>
      </c>
      <c r="BV57" s="9" t="str">
        <f ca="1">IF(OFFSET('RES Techs T15'!$AO57,0,MATCH(VLOOKUP('RES Veda input'!BV$3,'RES Assumptions T15'!$V$3:$W$35,2,FALSE),'RES Techs T15'!$G$3:$U$3,0))=0,"",OFFSET('RES Techs T15'!$AO57,0,MATCH(VLOOKUP('RES Veda input'!BV$3,'RES Assumptions T15'!$V$3:$W$35,2,FALSE),'RES Techs T15'!$G$3:$U$3,0)))</f>
        <v/>
      </c>
      <c r="BW57" s="9" t="str">
        <f ca="1">IF(OFFSET('RES Techs T15'!$AO57,0,MATCH(VLOOKUP('RES Veda input'!BW$3,'RES Assumptions T15'!$V$3:$W$35,2,FALSE),'RES Techs T15'!$G$3:$U$3,0))=0,"",OFFSET('RES Techs T15'!$AO57,0,MATCH(VLOOKUP('RES Veda input'!BW$3,'RES Assumptions T15'!$V$3:$W$35,2,FALSE),'RES Techs T15'!$G$3:$U$3,0)))</f>
        <v/>
      </c>
      <c r="BX57" s="9" t="str">
        <f ca="1">IF(OFFSET('RES Techs T15'!$AO57,0,MATCH(VLOOKUP('RES Veda input'!BX$3,'RES Assumptions T15'!$V$3:$W$35,2,FALSE),'RES Techs T15'!$G$3:$U$3,0))=0,"",OFFSET('RES Techs T15'!$AO57,0,MATCH(VLOOKUP('RES Veda input'!BX$3,'RES Assumptions T15'!$V$3:$W$35,2,FALSE),'RES Techs T15'!$G$3:$U$3,0)))</f>
        <v/>
      </c>
      <c r="BY57" s="9" t="str">
        <f ca="1">IF(OFFSET('RES Techs T15'!$AO57,0,MATCH(VLOOKUP('RES Veda input'!BY$3,'RES Assumptions T15'!$V$3:$W$35,2,FALSE),'RES Techs T15'!$G$3:$U$3,0))=0,"",OFFSET('RES Techs T15'!$AO57,0,MATCH(VLOOKUP('RES Veda input'!BY$3,'RES Assumptions T15'!$V$3:$W$35,2,FALSE),'RES Techs T15'!$G$3:$U$3,0)))</f>
        <v/>
      </c>
      <c r="BZ57" s="9" t="str">
        <f ca="1">IF(OFFSET('RES Techs T15'!$AO57,0,MATCH(VLOOKUP('RES Veda input'!BZ$3,'RES Assumptions T15'!$V$3:$W$35,2,FALSE),'RES Techs T15'!$G$3:$U$3,0))=0,"",OFFSET('RES Techs T15'!$AO57,0,MATCH(VLOOKUP('RES Veda input'!BZ$3,'RES Assumptions T15'!$V$3:$W$35,2,FALSE),'RES Techs T15'!$G$3:$U$3,0)))</f>
        <v/>
      </c>
      <c r="CA57" s="9" t="str">
        <f ca="1">IF(OFFSET('RES Techs T15'!$AO57,0,MATCH(VLOOKUP('RES Veda input'!CA$3,'RES Assumptions T15'!$V$3:$W$35,2,FALSE),'RES Techs T15'!$G$3:$U$3,0))=0,"",OFFSET('RES Techs T15'!$AO57,0,MATCH(VLOOKUP('RES Veda input'!CA$3,'RES Assumptions T15'!$V$3:$W$35,2,FALSE),'RES Techs T15'!$G$3:$U$3,0)))</f>
        <v/>
      </c>
      <c r="CB57" s="9" t="str">
        <f ca="1">IF(OFFSET('RES Techs T15'!$AO57,0,MATCH(VLOOKUP('RES Veda input'!CB$3,'RES Assumptions T15'!$V$3:$W$35,2,FALSE),'RES Techs T15'!$G$3:$U$3,0))=0,"",OFFSET('RES Techs T15'!$AO57,0,MATCH(VLOOKUP('RES Veda input'!CB$3,'RES Assumptions T15'!$V$3:$W$35,2,FALSE),'RES Techs T15'!$G$3:$U$3,0)))</f>
        <v/>
      </c>
      <c r="CC57" s="9" t="str">
        <f ca="1">IF(OFFSET('RES Techs T15'!$AO57,0,MATCH(VLOOKUP('RES Veda input'!CC$3,'RES Assumptions T15'!$V$3:$W$35,2,FALSE),'RES Techs T15'!$G$3:$U$3,0))=0,"",OFFSET('RES Techs T15'!$AO57,0,MATCH(VLOOKUP('RES Veda input'!CC$3,'RES Assumptions T15'!$V$3:$W$35,2,FALSE),'RES Techs T15'!$G$3:$U$3,0)))</f>
        <v/>
      </c>
      <c r="CD57" s="9" t="str">
        <f ca="1">IF(OFFSET('RES Techs T15'!$AO57,0,MATCH(VLOOKUP('RES Veda input'!CD$3,'RES Assumptions T15'!$V$3:$W$35,2,FALSE),'RES Techs T15'!$G$3:$U$3,0))=0,"",OFFSET('RES Techs T15'!$AO57,0,MATCH(VLOOKUP('RES Veda input'!CD$3,'RES Assumptions T15'!$V$3:$W$35,2,FALSE),'RES Techs T15'!$G$3:$U$3,0)))</f>
        <v/>
      </c>
      <c r="CE57" s="9" t="str">
        <f ca="1">IF(OFFSET('RES Techs T15'!$AO57,0,MATCH(VLOOKUP('RES Veda input'!CE$3,'RES Assumptions T15'!$V$3:$W$35,2,FALSE),'RES Techs T15'!$G$3:$U$3,0))=0,"",OFFSET('RES Techs T15'!$AO57,0,MATCH(VLOOKUP('RES Veda input'!CE$3,'RES Assumptions T15'!$V$3:$W$35,2,FALSE),'RES Techs T15'!$G$3:$U$3,0)))</f>
        <v/>
      </c>
      <c r="CF57" s="9" t="str">
        <f ca="1">IF(OFFSET('RES Techs T15'!$AO57,0,MATCH(VLOOKUP('RES Veda input'!CF$3,'RES Assumptions T15'!$V$3:$W$35,2,FALSE),'RES Techs T15'!$G$3:$U$3,0))=0,"",OFFSET('RES Techs T15'!$AO57,0,MATCH(VLOOKUP('RES Veda input'!CF$3,'RES Assumptions T15'!$V$3:$W$35,2,FALSE),'RES Techs T15'!$G$3:$U$3,0)))</f>
        <v/>
      </c>
      <c r="CG57" s="9" t="str">
        <f ca="1">IF(OFFSET('RES Techs T15'!$AO57,0,MATCH(VLOOKUP('RES Veda input'!CG$3,'RES Assumptions T15'!$V$3:$W$35,2,FALSE),'RES Techs T15'!$G$3:$U$3,0))=0,"",OFFSET('RES Techs T15'!$AO57,0,MATCH(VLOOKUP('RES Veda input'!CG$3,'RES Assumptions T15'!$V$3:$W$35,2,FALSE),'RES Techs T15'!$G$3:$U$3,0)))</f>
        <v/>
      </c>
      <c r="CH57" s="9" t="str">
        <f ca="1">IF(OFFSET('RES Techs T15'!$AO57,0,MATCH(VLOOKUP('RES Veda input'!CH$3,'RES Assumptions T15'!$V$3:$W$35,2,FALSE),'RES Techs T15'!$G$3:$U$3,0))=0,"",OFFSET('RES Techs T15'!$AO57,0,MATCH(VLOOKUP('RES Veda input'!CH$3,'RES Assumptions T15'!$V$3:$W$35,2,FALSE),'RES Techs T15'!$G$3:$U$3,0)))</f>
        <v/>
      </c>
      <c r="CI57" s="9" t="str">
        <f ca="1">IF(OFFSET('RES Techs T15'!$AO57,0,MATCH(VLOOKUP('RES Veda input'!CI$3,'RES Assumptions T15'!$V$3:$W$35,2,FALSE),'RES Techs T15'!$G$3:$U$3,0))=0,"",OFFSET('RES Techs T15'!$AO57,0,MATCH(VLOOKUP('RES Veda input'!CI$3,'RES Assumptions T15'!$V$3:$W$35,2,FALSE),'RES Techs T15'!$G$3:$U$3,0)))</f>
        <v/>
      </c>
      <c r="CJ57" s="9" t="str">
        <f ca="1">IF(OFFSET('RES Techs T15'!$AO57,0,MATCH(VLOOKUP('RES Veda input'!CJ$3,'RES Assumptions T15'!$V$3:$W$35,2,FALSE),'RES Techs T15'!$G$3:$U$3,0))=0,"",OFFSET('RES Techs T15'!$AO57,0,MATCH(VLOOKUP('RES Veda input'!CJ$3,'RES Assumptions T15'!$V$3:$W$35,2,FALSE),'RES Techs T15'!$G$3:$U$3,0)))</f>
        <v/>
      </c>
      <c r="CK57" s="9" t="str">
        <f ca="1">IF(OFFSET('RES Techs T15'!$AO57,0,MATCH(VLOOKUP('RES Veda input'!CK$3,'RES Assumptions T15'!$V$3:$W$35,2,FALSE),'RES Techs T15'!$G$3:$U$3,0))=0,"",OFFSET('RES Techs T15'!$AO57,0,MATCH(VLOOKUP('RES Veda input'!CK$3,'RES Assumptions T15'!$V$3:$W$35,2,FALSE),'RES Techs T15'!$G$3:$U$3,0)))</f>
        <v/>
      </c>
      <c r="CL57" s="9" t="str">
        <f ca="1">IF(OFFSET('RES Techs T15'!$AO57,0,MATCH(VLOOKUP('RES Veda input'!CL$3,'RES Assumptions T15'!$V$3:$W$35,2,FALSE),'RES Techs T15'!$G$3:$U$3,0))=0,"",OFFSET('RES Techs T15'!$AO57,0,MATCH(VLOOKUP('RES Veda input'!CL$3,'RES Assumptions T15'!$V$3:$W$35,2,FALSE),'RES Techs T15'!$G$3:$U$3,0)))</f>
        <v/>
      </c>
      <c r="CM57" s="9" t="str">
        <f ca="1">IF(OFFSET('RES Techs T15'!$AO57,0,MATCH(VLOOKUP('RES Veda input'!CM$3,'RES Assumptions T15'!$V$3:$W$35,2,FALSE),'RES Techs T15'!$G$3:$U$3,0))=0,"",OFFSET('RES Techs T15'!$AO57,0,MATCH(VLOOKUP('RES Veda input'!CM$3,'RES Assumptions T15'!$V$3:$W$35,2,FALSE),'RES Techs T15'!$G$3:$U$3,0)))</f>
        <v/>
      </c>
      <c r="CN57" s="9" t="str">
        <f ca="1">IF(OFFSET('RES Techs T15'!$AO57,0,MATCH(VLOOKUP('RES Veda input'!CN$3,'RES Assumptions T15'!$V$3:$W$35,2,FALSE),'RES Techs T15'!$G$3:$U$3,0))=0,"",OFFSET('RES Techs T15'!$AO57,0,MATCH(VLOOKUP('RES Veda input'!CN$3,'RES Assumptions T15'!$V$3:$W$35,2,FALSE),'RES Techs T15'!$G$3:$U$3,0)))</f>
        <v/>
      </c>
      <c r="CO57" s="9" t="str">
        <f ca="1">IF(OFFSET('RES Techs T15'!$AO57,0,MATCH(VLOOKUP('RES Veda input'!CO$3,'RES Assumptions T15'!$V$3:$W$35,2,FALSE),'RES Techs T15'!$G$3:$U$3,0))=0,"",OFFSET('RES Techs T15'!$AO57,0,MATCH(VLOOKUP('RES Veda input'!CO$3,'RES Assumptions T15'!$V$3:$W$35,2,FALSE),'RES Techs T15'!$G$3:$U$3,0)))</f>
        <v/>
      </c>
      <c r="CP57" s="9" t="str">
        <f ca="1">IF(OFFSET('RES Techs T15'!$AO57,0,MATCH(VLOOKUP('RES Veda input'!CP$3,'RES Assumptions T15'!$V$3:$W$35,2,FALSE),'RES Techs T15'!$G$3:$U$3,0))=0,"",OFFSET('RES Techs T15'!$AO57,0,MATCH(VLOOKUP('RES Veda input'!CP$3,'RES Assumptions T15'!$V$3:$W$35,2,FALSE),'RES Techs T15'!$G$3:$U$3,0)))</f>
        <v/>
      </c>
      <c r="CQ57" s="9" t="str">
        <f ca="1">IF(OFFSET('RES Techs T15'!$AO57,0,MATCH(VLOOKUP('RES Veda input'!CQ$3,'RES Assumptions T15'!$V$3:$W$35,2,FALSE),'RES Techs T15'!$G$3:$U$3,0))=0,"",OFFSET('RES Techs T15'!$AO57,0,MATCH(VLOOKUP('RES Veda input'!CQ$3,'RES Assumptions T15'!$V$3:$W$35,2,FALSE),'RES Techs T15'!$G$3:$U$3,0)))</f>
        <v/>
      </c>
      <c r="CR57" s="9" t="str">
        <f ca="1">IF(OFFSET('RES Techs T15'!$AO57,0,MATCH(VLOOKUP('RES Veda input'!CR$3,'RES Assumptions T15'!$V$3:$W$35,2,FALSE),'RES Techs T15'!$G$3:$U$3,0))=0,"",OFFSET('RES Techs T15'!$AO57,0,MATCH(VLOOKUP('RES Veda input'!CR$3,'RES Assumptions T15'!$V$3:$W$35,2,FALSE),'RES Techs T15'!$G$3:$U$3,0)))</f>
        <v/>
      </c>
      <c r="CS57" s="9" t="str">
        <f ca="1">IF(OFFSET('RES Techs T15'!$AO57,0,MATCH(VLOOKUP('RES Veda input'!CS$3,'RES Assumptions T15'!$V$3:$W$35,2,FALSE),'RES Techs T15'!$G$3:$U$3,0))=0,"",OFFSET('RES Techs T15'!$AO57,0,MATCH(VLOOKUP('RES Veda input'!CS$3,'RES Assumptions T15'!$V$3:$W$35,2,FALSE),'RES Techs T15'!$G$3:$U$3,0)))</f>
        <v/>
      </c>
      <c r="CT57" s="9" t="str">
        <f ca="1">IF(OFFSET('RES Techs T15'!$AO57,0,MATCH(VLOOKUP('RES Veda input'!CT$3,'RES Assumptions T15'!$V$3:$W$35,2,FALSE),'RES Techs T15'!$G$3:$U$3,0))=0,"",OFFSET('RES Techs T15'!$AO57,0,MATCH(VLOOKUP('RES Veda input'!CT$3,'RES Assumptions T15'!$V$3:$W$35,2,FALSE),'RES Techs T15'!$G$3:$U$3,0)))</f>
        <v/>
      </c>
      <c r="CU57" s="9" t="str">
        <f ca="1">IF(OFFSET('RES Techs T15'!$AO57,0,MATCH(VLOOKUP('RES Veda input'!CU$3,'RES Assumptions T15'!$V$3:$W$35,2,FALSE),'RES Techs T15'!$G$3:$U$3,0))=0,"",OFFSET('RES Techs T15'!$AO57,0,MATCH(VLOOKUP('RES Veda input'!CU$3,'RES Assumptions T15'!$V$3:$W$35,2,FALSE),'RES Techs T15'!$G$3:$U$3,0)))</f>
        <v/>
      </c>
      <c r="CV57" s="9" t="str">
        <f ca="1">IF(OFFSET('RES Techs T15'!$AO57,0,MATCH(VLOOKUP('RES Veda input'!CV$3,'RES Assumptions T15'!$V$3:$W$35,2,FALSE),'RES Techs T15'!$G$3:$U$3,0))=0,"",OFFSET('RES Techs T15'!$AO57,0,MATCH(VLOOKUP('RES Veda input'!CV$3,'RES Assumptions T15'!$V$3:$W$35,2,FALSE),'RES Techs T15'!$G$3:$U$3,0)))</f>
        <v/>
      </c>
      <c r="CW57" s="9" t="str">
        <f ca="1">IF(OFFSET('RES Techs T15'!$AO57,0,MATCH(VLOOKUP('RES Veda input'!CW$3,'RES Assumptions T15'!$V$3:$W$35,2,FALSE),'RES Techs T15'!$G$3:$U$3,0))=0,"",OFFSET('RES Techs T15'!$AO57,0,MATCH(VLOOKUP('RES Veda input'!CW$3,'RES Assumptions T15'!$V$3:$W$35,2,FALSE),'RES Techs T15'!$G$3:$U$3,0)))</f>
        <v/>
      </c>
      <c r="CY57" s="8" t="str">
        <f t="shared" si="63"/>
        <v>ROTLPG000</v>
      </c>
      <c r="CZ57" s="10">
        <f ca="1">ROUND('RES Assumptions'!E140*'RES Veda input'!G57/'RES Veda input'!AM57,3)</f>
        <v>7.1230000000000002</v>
      </c>
      <c r="DA57" s="10">
        <f ca="1">ROUND('RES Assumptions'!F140*'RES Veda input'!H57/'RES Veda input'!AN57,3)</f>
        <v>2.214</v>
      </c>
      <c r="DB57" s="10">
        <f ca="1">ROUND('RES Assumptions'!G140*'RES Veda input'!I57/'RES Veda input'!AO57,3)</f>
        <v>1.6579999999999999</v>
      </c>
      <c r="DC57" s="10">
        <f ca="1">ROUND('RES Assumptions'!H140*'RES Veda input'!J57/'RES Veda input'!AP57,3)</f>
        <v>0.13800000000000001</v>
      </c>
      <c r="DD57" s="10">
        <f ca="1">ROUND('RES Assumptions'!I140*'RES Veda input'!K57/'RES Veda input'!AQ57,3)</f>
        <v>0</v>
      </c>
      <c r="DE57" s="10">
        <f ca="1">ROUND('RES Assumptions'!J140*'RES Veda input'!L57/'RES Veda input'!AR57,3)</f>
        <v>4.367</v>
      </c>
      <c r="DF57" s="10">
        <f ca="1">ROUND('RES Assumptions'!K140*'RES Veda input'!M57/'RES Veda input'!AS57,3)</f>
        <v>0</v>
      </c>
      <c r="DG57" s="10">
        <f ca="1">ROUND('RES Assumptions'!L140*'RES Veda input'!N57/'RES Veda input'!AT57,3)</f>
        <v>4.9349999999999996</v>
      </c>
      <c r="DH57" s="10">
        <f ca="1">ROUND('RES Assumptions'!M140*'RES Veda input'!O57/'RES Veda input'!AU57,3)</f>
        <v>0</v>
      </c>
      <c r="DI57" s="10">
        <f ca="1">ROUND('RES Assumptions'!N140*'RES Veda input'!P57/'RES Veda input'!AV57,3)</f>
        <v>0</v>
      </c>
      <c r="DJ57" s="10">
        <f ca="1">ROUND('RES Assumptions'!O140*'RES Veda input'!Q57/'RES Veda input'!AW57,3)</f>
        <v>3.0000000000000001E-3</v>
      </c>
      <c r="DK57" s="10">
        <f ca="1">ROUND('RES Assumptions'!P140*'RES Veda input'!R57/'RES Veda input'!AX57,3)</f>
        <v>8.5000000000000006E-2</v>
      </c>
      <c r="DL57" s="10">
        <f ca="1">ROUND('RES Assumptions'!Q140*'RES Veda input'!S57/'RES Veda input'!AY57,3)</f>
        <v>1.7999999999999999E-2</v>
      </c>
      <c r="DM57" s="10">
        <f ca="1">ROUND('RES Assumptions'!R140*'RES Veda input'!T57/'RES Veda input'!AZ57,3)</f>
        <v>0.121</v>
      </c>
      <c r="DN57" s="10">
        <f ca="1">ROUND('RES Assumptions'!S140*'RES Veda input'!U57/'RES Veda input'!BA57,3)</f>
        <v>5.2999999999999999E-2</v>
      </c>
      <c r="DO57" s="10">
        <f ca="1">ROUND('RES Assumptions'!T140*'RES Veda input'!V57/'RES Veda input'!BB57,3)</f>
        <v>0.12</v>
      </c>
      <c r="DP57" s="10">
        <f ca="1">ROUND('RES Assumptions'!U140*'RES Veda input'!W57/'RES Veda input'!BC57,3)</f>
        <v>1E-3</v>
      </c>
      <c r="DQ57" s="10">
        <f ca="1">ROUND('RES Assumptions'!V140*'RES Veda input'!X57/'RES Veda input'!BD57,3)</f>
        <v>7.9000000000000001E-2</v>
      </c>
      <c r="DR57" s="10">
        <f ca="1">ROUND('RES Assumptions'!W140*'RES Veda input'!Y57/'RES Veda input'!BE57,3)</f>
        <v>8.2000000000000003E-2</v>
      </c>
      <c r="DS57" s="10">
        <f ca="1">ROUND('RES Assumptions'!X140*'RES Veda input'!Z57/'RES Veda input'!BF57,3)</f>
        <v>0</v>
      </c>
      <c r="DT57" s="10">
        <f ca="1">ROUND('RES Assumptions'!Y140*'RES Veda input'!AA57/'RES Veda input'!BG57,3)</f>
        <v>4.1150000000000002</v>
      </c>
      <c r="DU57" s="10">
        <f ca="1">ROUND('RES Assumptions'!Z140*'RES Veda input'!AB57/'RES Veda input'!BH57,3)</f>
        <v>0.47499999999999998</v>
      </c>
      <c r="DV57" s="10">
        <f ca="1">ROUND('RES Assumptions'!AA140*'RES Veda input'!AC57/'RES Veda input'!BI57,3)</f>
        <v>8.0000000000000002E-3</v>
      </c>
      <c r="DW57" s="10">
        <f ca="1">ROUND('RES Assumptions'!AB140*'RES Veda input'!AD57/'RES Veda input'!BJ57,3)</f>
        <v>1E-3</v>
      </c>
      <c r="DX57" s="10">
        <f ca="1">ROUND('RES Assumptions'!AC140*'RES Veda input'!AE57/'RES Veda input'!BK57,3)</f>
        <v>1.0740000000000001</v>
      </c>
      <c r="DY57" s="10">
        <f ca="1">ROUND('RES Assumptions'!AD140*'RES Veda input'!AF57/'RES Veda input'!BL57,3)</f>
        <v>1E-3</v>
      </c>
      <c r="DZ57" s="10">
        <f ca="1">ROUND('RES Assumptions'!AE140*'RES Veda input'!AG57/'RES Veda input'!BM57,3)</f>
        <v>0.183</v>
      </c>
      <c r="EA57" s="10">
        <f ca="1">ROUND('RES Assumptions'!AF140*'RES Veda input'!AH57/'RES Veda input'!BN57,3)</f>
        <v>2.3E-2</v>
      </c>
      <c r="EB57" s="10">
        <f ca="1">ROUND('RES Assumptions'!AG140*'RES Veda input'!AI57/'RES Veda input'!BO57,3)</f>
        <v>0</v>
      </c>
      <c r="EC57" s="10">
        <f ca="1">ROUND('RES Assumptions'!AH140*'RES Veda input'!AJ57/'RES Veda input'!BP57,3)</f>
        <v>0</v>
      </c>
      <c r="ED57">
        <v>10</v>
      </c>
      <c r="EG57" t="s">
        <v>281</v>
      </c>
      <c r="EH57" t="str">
        <f t="shared" si="64"/>
        <v>ROTLPG000</v>
      </c>
      <c r="EJ57" t="s">
        <v>282</v>
      </c>
      <c r="EK57" t="s">
        <v>283</v>
      </c>
    </row>
    <row r="58" spans="1:141" x14ac:dyDescent="0.45">
      <c r="A58" s="37" t="str">
        <f>'RES Assumptions'!B141</f>
        <v>ROT</v>
      </c>
      <c r="B58" s="37" t="s">
        <v>163</v>
      </c>
      <c r="D58" s="51" t="s">
        <v>163</v>
      </c>
      <c r="E58" s="8" t="str">
        <f>'RES Assumptions'!A141</f>
        <v>RESNGA</v>
      </c>
      <c r="F58" s="8" t="str">
        <f>VLOOKUP(A58,'RES Assumptions'!$AN$87:$AO$97,2,FALSE)</f>
        <v>ROT</v>
      </c>
      <c r="G58" s="9">
        <f ca="1">OFFSET('RES Techs T15'!$F58,0,MATCH(VLOOKUP('RES Veda input'!G$3,'RES Assumptions T15'!$V$3:$W$35,2,FALSE),'RES Techs T15'!$G$3:$U$3,0))</f>
        <v>1</v>
      </c>
      <c r="H58" s="9">
        <f ca="1">OFFSET('RES Techs T15'!$F58,0,MATCH(VLOOKUP('RES Veda input'!H$3,'RES Assumptions T15'!$V$3:$W$35,2,FALSE),'RES Techs T15'!$G$3:$U$3,0))</f>
        <v>1</v>
      </c>
      <c r="I58" s="9">
        <f ca="1">OFFSET('RES Techs T15'!$F58,0,MATCH(VLOOKUP('RES Veda input'!I$3,'RES Assumptions T15'!$V$3:$W$35,2,FALSE),'RES Techs T15'!$G$3:$U$3,0))</f>
        <v>1</v>
      </c>
      <c r="J58" s="9">
        <f ca="1">OFFSET('RES Techs T15'!$F58,0,MATCH(VLOOKUP('RES Veda input'!J$3,'RES Assumptions T15'!$V$3:$W$35,2,FALSE),'RES Techs T15'!$G$3:$U$3,0))</f>
        <v>1</v>
      </c>
      <c r="K58" s="9">
        <f ca="1">OFFSET('RES Techs T15'!$F58,0,MATCH(VLOOKUP('RES Veda input'!K$3,'RES Assumptions T15'!$V$3:$W$35,2,FALSE),'RES Techs T15'!$G$3:$U$3,0))</f>
        <v>1</v>
      </c>
      <c r="L58" s="9">
        <f ca="1">OFFSET('RES Techs T15'!$F58,0,MATCH(VLOOKUP('RES Veda input'!L$3,'RES Assumptions T15'!$V$3:$W$35,2,FALSE),'RES Techs T15'!$G$3:$U$3,0))</f>
        <v>1</v>
      </c>
      <c r="M58" s="9">
        <f ca="1">OFFSET('RES Techs T15'!$F58,0,MATCH(VLOOKUP('RES Veda input'!M$3,'RES Assumptions T15'!$V$3:$W$35,2,FALSE),'RES Techs T15'!$G$3:$U$3,0))</f>
        <v>1</v>
      </c>
      <c r="N58" s="9">
        <f ca="1">OFFSET('RES Techs T15'!$F58,0,MATCH(VLOOKUP('RES Veda input'!N$3,'RES Assumptions T15'!$V$3:$W$35,2,FALSE),'RES Techs T15'!$G$3:$U$3,0))</f>
        <v>1</v>
      </c>
      <c r="O58" s="9">
        <f ca="1">OFFSET('RES Techs T15'!$F58,0,MATCH(VLOOKUP('RES Veda input'!O$3,'RES Assumptions T15'!$V$3:$W$35,2,FALSE),'RES Techs T15'!$G$3:$U$3,0))</f>
        <v>1</v>
      </c>
      <c r="P58" s="9">
        <f ca="1">OFFSET('RES Techs T15'!$F58,0,MATCH(VLOOKUP('RES Veda input'!P$3,'RES Assumptions T15'!$V$3:$W$35,2,FALSE),'RES Techs T15'!$G$3:$U$3,0))</f>
        <v>1</v>
      </c>
      <c r="Q58" s="9">
        <f ca="1">OFFSET('RES Techs T15'!$F58,0,MATCH(VLOOKUP('RES Veda input'!Q$3,'RES Assumptions T15'!$V$3:$W$35,2,FALSE),'RES Techs T15'!$G$3:$U$3,0))</f>
        <v>1</v>
      </c>
      <c r="R58" s="9">
        <f ca="1">OFFSET('RES Techs T15'!$F58,0,MATCH(VLOOKUP('RES Veda input'!R$3,'RES Assumptions T15'!$V$3:$W$35,2,FALSE),'RES Techs T15'!$G$3:$U$3,0))</f>
        <v>1</v>
      </c>
      <c r="S58" s="9">
        <f ca="1">OFFSET('RES Techs T15'!$F58,0,MATCH(VLOOKUP('RES Veda input'!S$3,'RES Assumptions T15'!$V$3:$W$35,2,FALSE),'RES Techs T15'!$G$3:$U$3,0))</f>
        <v>1</v>
      </c>
      <c r="T58" s="9">
        <f ca="1">OFFSET('RES Techs T15'!$F58,0,MATCH(VLOOKUP('RES Veda input'!T$3,'RES Assumptions T15'!$V$3:$W$35,2,FALSE),'RES Techs T15'!$G$3:$U$3,0))</f>
        <v>1</v>
      </c>
      <c r="U58" s="9">
        <f ca="1">OFFSET('RES Techs T15'!$F58,0,MATCH(VLOOKUP('RES Veda input'!U$3,'RES Assumptions T15'!$V$3:$W$35,2,FALSE),'RES Techs T15'!$G$3:$U$3,0))</f>
        <v>1</v>
      </c>
      <c r="V58" s="9">
        <f ca="1">OFFSET('RES Techs T15'!$F58,0,MATCH(VLOOKUP('RES Veda input'!V$3,'RES Assumptions T15'!$V$3:$W$35,2,FALSE),'RES Techs T15'!$G$3:$U$3,0))</f>
        <v>1</v>
      </c>
      <c r="W58" s="9">
        <f ca="1">OFFSET('RES Techs T15'!$F58,0,MATCH(VLOOKUP('RES Veda input'!W$3,'RES Assumptions T15'!$V$3:$W$35,2,FALSE),'RES Techs T15'!$G$3:$U$3,0))</f>
        <v>1</v>
      </c>
      <c r="X58" s="9">
        <f ca="1">OFFSET('RES Techs T15'!$F58,0,MATCH(VLOOKUP('RES Veda input'!X$3,'RES Assumptions T15'!$V$3:$W$35,2,FALSE),'RES Techs T15'!$G$3:$U$3,0))</f>
        <v>1</v>
      </c>
      <c r="Y58" s="9">
        <f ca="1">OFFSET('RES Techs T15'!$F58,0,MATCH(VLOOKUP('RES Veda input'!Y$3,'RES Assumptions T15'!$V$3:$W$35,2,FALSE),'RES Techs T15'!$G$3:$U$3,0))</f>
        <v>1</v>
      </c>
      <c r="Z58" s="9">
        <f ca="1">OFFSET('RES Techs T15'!$F58,0,MATCH(VLOOKUP('RES Veda input'!Z$3,'RES Assumptions T15'!$V$3:$W$35,2,FALSE),'RES Techs T15'!$G$3:$U$3,0))</f>
        <v>1</v>
      </c>
      <c r="AA58" s="9">
        <f ca="1">OFFSET('RES Techs T15'!$F58,0,MATCH(VLOOKUP('RES Veda input'!AA$3,'RES Assumptions T15'!$V$3:$W$35,2,FALSE),'RES Techs T15'!$G$3:$U$3,0))</f>
        <v>1</v>
      </c>
      <c r="AB58" s="9">
        <f ca="1">OFFSET('RES Techs T15'!$F58,0,MATCH(VLOOKUP('RES Veda input'!AB$3,'RES Assumptions T15'!$V$3:$W$35,2,FALSE),'RES Techs T15'!$G$3:$U$3,0))</f>
        <v>1</v>
      </c>
      <c r="AC58" s="9">
        <f ca="1">OFFSET('RES Techs T15'!$F58,0,MATCH(VLOOKUP('RES Veda input'!AC$3,'RES Assumptions T15'!$V$3:$W$35,2,FALSE),'RES Techs T15'!$G$3:$U$3,0))</f>
        <v>1</v>
      </c>
      <c r="AD58" s="9">
        <f ca="1">OFFSET('RES Techs T15'!$F58,0,MATCH(VLOOKUP('RES Veda input'!AD$3,'RES Assumptions T15'!$V$3:$W$35,2,FALSE),'RES Techs T15'!$G$3:$U$3,0))</f>
        <v>1</v>
      </c>
      <c r="AE58" s="9">
        <f ca="1">OFFSET('RES Techs T15'!$F58,0,MATCH(VLOOKUP('RES Veda input'!AE$3,'RES Assumptions T15'!$V$3:$W$35,2,FALSE),'RES Techs T15'!$G$3:$U$3,0))</f>
        <v>1</v>
      </c>
      <c r="AF58" s="9">
        <f ca="1">OFFSET('RES Techs T15'!$F58,0,MATCH(VLOOKUP('RES Veda input'!AF$3,'RES Assumptions T15'!$V$3:$W$35,2,FALSE),'RES Techs T15'!$G$3:$U$3,0))</f>
        <v>1</v>
      </c>
      <c r="AG58" s="9">
        <f ca="1">OFFSET('RES Techs T15'!$F58,0,MATCH(VLOOKUP('RES Veda input'!AG$3,'RES Assumptions T15'!$V$3:$W$35,2,FALSE),'RES Techs T15'!$G$3:$U$3,0))</f>
        <v>1</v>
      </c>
      <c r="AH58" s="9">
        <f ca="1">OFFSET('RES Techs T15'!$F58,0,MATCH(VLOOKUP('RES Veda input'!AH$3,'RES Assumptions T15'!$V$3:$W$35,2,FALSE),'RES Techs T15'!$G$3:$U$3,0))</f>
        <v>1</v>
      </c>
      <c r="AI58" s="9">
        <f ca="1">OFFSET('RES Techs T15'!$F58,0,MATCH(VLOOKUP('RES Veda input'!AI$3,'RES Assumptions T15'!$V$3:$W$35,2,FALSE),'RES Techs T15'!$G$3:$U$3,0))</f>
        <v>1</v>
      </c>
      <c r="AJ58" s="9">
        <f ca="1">OFFSET('RES Techs T15'!$F58,0,MATCH(VLOOKUP('RES Veda input'!AJ$3,'RES Assumptions T15'!$V$3:$W$35,2,FALSE),'RES Techs T15'!$G$3:$U$3,0))</f>
        <v>1</v>
      </c>
      <c r="AL58" s="8" t="str">
        <f t="shared" si="60"/>
        <v>ROTNGA000</v>
      </c>
      <c r="AM58" s="9">
        <f ca="1">OFFSET('RES Techs T15'!$W58,0,MATCH(VLOOKUP('RES Veda input'!AM$3,'RES Assumptions T15'!$V$3:$W$35,2,FALSE),'RES Techs T15'!$G$3:$U$3,0))</f>
        <v>1</v>
      </c>
      <c r="AN58" s="9">
        <f ca="1">OFFSET('RES Techs T15'!$W58,0,MATCH(VLOOKUP('RES Veda input'!AN$3,'RES Assumptions T15'!$V$3:$W$35,2,FALSE),'RES Techs T15'!$G$3:$U$3,0))</f>
        <v>1</v>
      </c>
      <c r="AO58" s="9">
        <f ca="1">OFFSET('RES Techs T15'!$W58,0,MATCH(VLOOKUP('RES Veda input'!AO$3,'RES Assumptions T15'!$V$3:$W$35,2,FALSE),'RES Techs T15'!$G$3:$U$3,0))</f>
        <v>1</v>
      </c>
      <c r="AP58" s="9">
        <f ca="1">OFFSET('RES Techs T15'!$W58,0,MATCH(VLOOKUP('RES Veda input'!AP$3,'RES Assumptions T15'!$V$3:$W$35,2,FALSE),'RES Techs T15'!$G$3:$U$3,0))</f>
        <v>1</v>
      </c>
      <c r="AQ58" s="9">
        <f ca="1">OFFSET('RES Techs T15'!$W58,0,MATCH(VLOOKUP('RES Veda input'!AQ$3,'RES Assumptions T15'!$V$3:$W$35,2,FALSE),'RES Techs T15'!$G$3:$U$3,0))</f>
        <v>1</v>
      </c>
      <c r="AR58" s="9">
        <f ca="1">OFFSET('RES Techs T15'!$W58,0,MATCH(VLOOKUP('RES Veda input'!AR$3,'RES Assumptions T15'!$V$3:$W$35,2,FALSE),'RES Techs T15'!$G$3:$U$3,0))</f>
        <v>1</v>
      </c>
      <c r="AS58" s="9">
        <f ca="1">OFFSET('RES Techs T15'!$W58,0,MATCH(VLOOKUP('RES Veda input'!AS$3,'RES Assumptions T15'!$V$3:$W$35,2,FALSE),'RES Techs T15'!$G$3:$U$3,0))</f>
        <v>1</v>
      </c>
      <c r="AT58" s="9">
        <f ca="1">OFFSET('RES Techs T15'!$W58,0,MATCH(VLOOKUP('RES Veda input'!AT$3,'RES Assumptions T15'!$V$3:$W$35,2,FALSE),'RES Techs T15'!$G$3:$U$3,0))</f>
        <v>1</v>
      </c>
      <c r="AU58" s="9">
        <f ca="1">OFFSET('RES Techs T15'!$W58,0,MATCH(VLOOKUP('RES Veda input'!AU$3,'RES Assumptions T15'!$V$3:$W$35,2,FALSE),'RES Techs T15'!$G$3:$U$3,0))</f>
        <v>1</v>
      </c>
      <c r="AV58" s="9">
        <f ca="1">OFFSET('RES Techs T15'!$W58,0,MATCH(VLOOKUP('RES Veda input'!AV$3,'RES Assumptions T15'!$V$3:$W$35,2,FALSE),'RES Techs T15'!$G$3:$U$3,0))</f>
        <v>1</v>
      </c>
      <c r="AW58" s="9">
        <f ca="1">OFFSET('RES Techs T15'!$W58,0,MATCH(VLOOKUP('RES Veda input'!AW$3,'RES Assumptions T15'!$V$3:$W$35,2,FALSE),'RES Techs T15'!$G$3:$U$3,0))</f>
        <v>1</v>
      </c>
      <c r="AX58" s="9">
        <f ca="1">OFFSET('RES Techs T15'!$W58,0,MATCH(VLOOKUP('RES Veda input'!AX$3,'RES Assumptions T15'!$V$3:$W$35,2,FALSE),'RES Techs T15'!$G$3:$U$3,0))</f>
        <v>1</v>
      </c>
      <c r="AY58" s="9">
        <f ca="1">OFFSET('RES Techs T15'!$W58,0,MATCH(VLOOKUP('RES Veda input'!AY$3,'RES Assumptions T15'!$V$3:$W$35,2,FALSE),'RES Techs T15'!$G$3:$U$3,0))</f>
        <v>1</v>
      </c>
      <c r="AZ58" s="9">
        <f ca="1">OFFSET('RES Techs T15'!$W58,0,MATCH(VLOOKUP('RES Veda input'!AZ$3,'RES Assumptions T15'!$V$3:$W$35,2,FALSE),'RES Techs T15'!$G$3:$U$3,0))</f>
        <v>1</v>
      </c>
      <c r="BA58" s="9">
        <f ca="1">OFFSET('RES Techs T15'!$W58,0,MATCH(VLOOKUP('RES Veda input'!BA$3,'RES Assumptions T15'!$V$3:$W$35,2,FALSE),'RES Techs T15'!$G$3:$U$3,0))</f>
        <v>1</v>
      </c>
      <c r="BB58" s="9">
        <f ca="1">OFFSET('RES Techs T15'!$W58,0,MATCH(VLOOKUP('RES Veda input'!BB$3,'RES Assumptions T15'!$V$3:$W$35,2,FALSE),'RES Techs T15'!$G$3:$U$3,0))</f>
        <v>1</v>
      </c>
      <c r="BC58" s="9">
        <f ca="1">OFFSET('RES Techs T15'!$W58,0,MATCH(VLOOKUP('RES Veda input'!BC$3,'RES Assumptions T15'!$V$3:$W$35,2,FALSE),'RES Techs T15'!$G$3:$U$3,0))</f>
        <v>1</v>
      </c>
      <c r="BD58" s="9">
        <f ca="1">OFFSET('RES Techs T15'!$W58,0,MATCH(VLOOKUP('RES Veda input'!BD$3,'RES Assumptions T15'!$V$3:$W$35,2,FALSE),'RES Techs T15'!$G$3:$U$3,0))</f>
        <v>1</v>
      </c>
      <c r="BE58" s="9">
        <f ca="1">OFFSET('RES Techs T15'!$W58,0,MATCH(VLOOKUP('RES Veda input'!BE$3,'RES Assumptions T15'!$V$3:$W$35,2,FALSE),'RES Techs T15'!$G$3:$U$3,0))</f>
        <v>1</v>
      </c>
      <c r="BF58" s="9">
        <f ca="1">OFFSET('RES Techs T15'!$W58,0,MATCH(VLOOKUP('RES Veda input'!BF$3,'RES Assumptions T15'!$V$3:$W$35,2,FALSE),'RES Techs T15'!$G$3:$U$3,0))</f>
        <v>1</v>
      </c>
      <c r="BG58" s="9">
        <f ca="1">OFFSET('RES Techs T15'!$W58,0,MATCH(VLOOKUP('RES Veda input'!BG$3,'RES Assumptions T15'!$V$3:$W$35,2,FALSE),'RES Techs T15'!$G$3:$U$3,0))</f>
        <v>1</v>
      </c>
      <c r="BH58" s="9">
        <f ca="1">OFFSET('RES Techs T15'!$W58,0,MATCH(VLOOKUP('RES Veda input'!BH$3,'RES Assumptions T15'!$V$3:$W$35,2,FALSE),'RES Techs T15'!$G$3:$U$3,0))</f>
        <v>1</v>
      </c>
      <c r="BI58" s="9">
        <f ca="1">OFFSET('RES Techs T15'!$W58,0,MATCH(VLOOKUP('RES Veda input'!BI$3,'RES Assumptions T15'!$V$3:$W$35,2,FALSE),'RES Techs T15'!$G$3:$U$3,0))</f>
        <v>1</v>
      </c>
      <c r="BJ58" s="9">
        <f ca="1">OFFSET('RES Techs T15'!$W58,0,MATCH(VLOOKUP('RES Veda input'!BJ$3,'RES Assumptions T15'!$V$3:$W$35,2,FALSE),'RES Techs T15'!$G$3:$U$3,0))</f>
        <v>1</v>
      </c>
      <c r="BK58" s="9">
        <f ca="1">OFFSET('RES Techs T15'!$W58,0,MATCH(VLOOKUP('RES Veda input'!BK$3,'RES Assumptions T15'!$V$3:$W$35,2,FALSE),'RES Techs T15'!$G$3:$U$3,0))</f>
        <v>1</v>
      </c>
      <c r="BL58" s="9">
        <f ca="1">OFFSET('RES Techs T15'!$W58,0,MATCH(VLOOKUP('RES Veda input'!BL$3,'RES Assumptions T15'!$V$3:$W$35,2,FALSE),'RES Techs T15'!$G$3:$U$3,0))</f>
        <v>1</v>
      </c>
      <c r="BM58" s="9">
        <f ca="1">OFFSET('RES Techs T15'!$W58,0,MATCH(VLOOKUP('RES Veda input'!BM$3,'RES Assumptions T15'!$V$3:$W$35,2,FALSE),'RES Techs T15'!$G$3:$U$3,0))</f>
        <v>1</v>
      </c>
      <c r="BN58" s="9">
        <f ca="1">OFFSET('RES Techs T15'!$W58,0,MATCH(VLOOKUP('RES Veda input'!BN$3,'RES Assumptions T15'!$V$3:$W$35,2,FALSE),'RES Techs T15'!$G$3:$U$3,0))</f>
        <v>1</v>
      </c>
      <c r="BO58" s="9">
        <f ca="1">OFFSET('RES Techs T15'!$W58,0,MATCH(VLOOKUP('RES Veda input'!BO$3,'RES Assumptions T15'!$V$3:$W$35,2,FALSE),'RES Techs T15'!$G$3:$U$3,0))</f>
        <v>1</v>
      </c>
      <c r="BP58" s="9">
        <f ca="1">OFFSET('RES Techs T15'!$W58,0,MATCH(VLOOKUP('RES Veda input'!BP$3,'RES Assumptions T15'!$V$3:$W$35,2,FALSE),'RES Techs T15'!$G$3:$U$3,0))</f>
        <v>1</v>
      </c>
      <c r="BR58" s="8" t="str">
        <f t="shared" si="61"/>
        <v>ROTNGA000</v>
      </c>
      <c r="BS58" s="9">
        <f t="shared" ca="1" si="62"/>
        <v>0</v>
      </c>
      <c r="BT58" s="9" t="str">
        <f ca="1">IF(OFFSET('RES Techs T15'!$AO58,0,MATCH(VLOOKUP('RES Veda input'!BT$3,'RES Assumptions T15'!$V$3:$W$35,2,FALSE),'RES Techs T15'!$G$3:$U$3,0))=0,"",OFFSET('RES Techs T15'!$AO58,0,MATCH(VLOOKUP('RES Veda input'!BT$3,'RES Assumptions T15'!$V$3:$W$35,2,FALSE),'RES Techs T15'!$G$3:$U$3,0)))</f>
        <v/>
      </c>
      <c r="BU58" s="9" t="str">
        <f ca="1">IF(OFFSET('RES Techs T15'!$AO58,0,MATCH(VLOOKUP('RES Veda input'!BU$3,'RES Assumptions T15'!$V$3:$W$35,2,FALSE),'RES Techs T15'!$G$3:$U$3,0))=0,"",OFFSET('RES Techs T15'!$AO58,0,MATCH(VLOOKUP('RES Veda input'!BU$3,'RES Assumptions T15'!$V$3:$W$35,2,FALSE),'RES Techs T15'!$G$3:$U$3,0)))</f>
        <v/>
      </c>
      <c r="BV58" s="9" t="str">
        <f ca="1">IF(OFFSET('RES Techs T15'!$AO58,0,MATCH(VLOOKUP('RES Veda input'!BV$3,'RES Assumptions T15'!$V$3:$W$35,2,FALSE),'RES Techs T15'!$G$3:$U$3,0))=0,"",OFFSET('RES Techs T15'!$AO58,0,MATCH(VLOOKUP('RES Veda input'!BV$3,'RES Assumptions T15'!$V$3:$W$35,2,FALSE),'RES Techs T15'!$G$3:$U$3,0)))</f>
        <v/>
      </c>
      <c r="BW58" s="9" t="str">
        <f ca="1">IF(OFFSET('RES Techs T15'!$AO58,0,MATCH(VLOOKUP('RES Veda input'!BW$3,'RES Assumptions T15'!$V$3:$W$35,2,FALSE),'RES Techs T15'!$G$3:$U$3,0))=0,"",OFFSET('RES Techs T15'!$AO58,0,MATCH(VLOOKUP('RES Veda input'!BW$3,'RES Assumptions T15'!$V$3:$W$35,2,FALSE),'RES Techs T15'!$G$3:$U$3,0)))</f>
        <v/>
      </c>
      <c r="BX58" s="9" t="str">
        <f ca="1">IF(OFFSET('RES Techs T15'!$AO58,0,MATCH(VLOOKUP('RES Veda input'!BX$3,'RES Assumptions T15'!$V$3:$W$35,2,FALSE),'RES Techs T15'!$G$3:$U$3,0))=0,"",OFFSET('RES Techs T15'!$AO58,0,MATCH(VLOOKUP('RES Veda input'!BX$3,'RES Assumptions T15'!$V$3:$W$35,2,FALSE),'RES Techs T15'!$G$3:$U$3,0)))</f>
        <v/>
      </c>
      <c r="BY58" s="9" t="str">
        <f ca="1">IF(OFFSET('RES Techs T15'!$AO58,0,MATCH(VLOOKUP('RES Veda input'!BY$3,'RES Assumptions T15'!$V$3:$W$35,2,FALSE),'RES Techs T15'!$G$3:$U$3,0))=0,"",OFFSET('RES Techs T15'!$AO58,0,MATCH(VLOOKUP('RES Veda input'!BY$3,'RES Assumptions T15'!$V$3:$W$35,2,FALSE),'RES Techs T15'!$G$3:$U$3,0)))</f>
        <v/>
      </c>
      <c r="BZ58" s="9" t="str">
        <f ca="1">IF(OFFSET('RES Techs T15'!$AO58,0,MATCH(VLOOKUP('RES Veda input'!BZ$3,'RES Assumptions T15'!$V$3:$W$35,2,FALSE),'RES Techs T15'!$G$3:$U$3,0))=0,"",OFFSET('RES Techs T15'!$AO58,0,MATCH(VLOOKUP('RES Veda input'!BZ$3,'RES Assumptions T15'!$V$3:$W$35,2,FALSE),'RES Techs T15'!$G$3:$U$3,0)))</f>
        <v/>
      </c>
      <c r="CA58" s="9" t="str">
        <f ca="1">IF(OFFSET('RES Techs T15'!$AO58,0,MATCH(VLOOKUP('RES Veda input'!CA$3,'RES Assumptions T15'!$V$3:$W$35,2,FALSE),'RES Techs T15'!$G$3:$U$3,0))=0,"",OFFSET('RES Techs T15'!$AO58,0,MATCH(VLOOKUP('RES Veda input'!CA$3,'RES Assumptions T15'!$V$3:$W$35,2,FALSE),'RES Techs T15'!$G$3:$U$3,0)))</f>
        <v/>
      </c>
      <c r="CB58" s="9" t="str">
        <f ca="1">IF(OFFSET('RES Techs T15'!$AO58,0,MATCH(VLOOKUP('RES Veda input'!CB$3,'RES Assumptions T15'!$V$3:$W$35,2,FALSE),'RES Techs T15'!$G$3:$U$3,0))=0,"",OFFSET('RES Techs T15'!$AO58,0,MATCH(VLOOKUP('RES Veda input'!CB$3,'RES Assumptions T15'!$V$3:$W$35,2,FALSE),'RES Techs T15'!$G$3:$U$3,0)))</f>
        <v/>
      </c>
      <c r="CC58" s="9" t="str">
        <f ca="1">IF(OFFSET('RES Techs T15'!$AO58,0,MATCH(VLOOKUP('RES Veda input'!CC$3,'RES Assumptions T15'!$V$3:$W$35,2,FALSE),'RES Techs T15'!$G$3:$U$3,0))=0,"",OFFSET('RES Techs T15'!$AO58,0,MATCH(VLOOKUP('RES Veda input'!CC$3,'RES Assumptions T15'!$V$3:$W$35,2,FALSE),'RES Techs T15'!$G$3:$U$3,0)))</f>
        <v/>
      </c>
      <c r="CD58" s="9" t="str">
        <f ca="1">IF(OFFSET('RES Techs T15'!$AO58,0,MATCH(VLOOKUP('RES Veda input'!CD$3,'RES Assumptions T15'!$V$3:$W$35,2,FALSE),'RES Techs T15'!$G$3:$U$3,0))=0,"",OFFSET('RES Techs T15'!$AO58,0,MATCH(VLOOKUP('RES Veda input'!CD$3,'RES Assumptions T15'!$V$3:$W$35,2,FALSE),'RES Techs T15'!$G$3:$U$3,0)))</f>
        <v/>
      </c>
      <c r="CE58" s="9" t="str">
        <f ca="1">IF(OFFSET('RES Techs T15'!$AO58,0,MATCH(VLOOKUP('RES Veda input'!CE$3,'RES Assumptions T15'!$V$3:$W$35,2,FALSE),'RES Techs T15'!$G$3:$U$3,0))=0,"",OFFSET('RES Techs T15'!$AO58,0,MATCH(VLOOKUP('RES Veda input'!CE$3,'RES Assumptions T15'!$V$3:$W$35,2,FALSE),'RES Techs T15'!$G$3:$U$3,0)))</f>
        <v/>
      </c>
      <c r="CF58" s="9" t="str">
        <f ca="1">IF(OFFSET('RES Techs T15'!$AO58,0,MATCH(VLOOKUP('RES Veda input'!CF$3,'RES Assumptions T15'!$V$3:$W$35,2,FALSE),'RES Techs T15'!$G$3:$U$3,0))=0,"",OFFSET('RES Techs T15'!$AO58,0,MATCH(VLOOKUP('RES Veda input'!CF$3,'RES Assumptions T15'!$V$3:$W$35,2,FALSE),'RES Techs T15'!$G$3:$U$3,0)))</f>
        <v/>
      </c>
      <c r="CG58" s="9" t="str">
        <f ca="1">IF(OFFSET('RES Techs T15'!$AO58,0,MATCH(VLOOKUP('RES Veda input'!CG$3,'RES Assumptions T15'!$V$3:$W$35,2,FALSE),'RES Techs T15'!$G$3:$U$3,0))=0,"",OFFSET('RES Techs T15'!$AO58,0,MATCH(VLOOKUP('RES Veda input'!CG$3,'RES Assumptions T15'!$V$3:$W$35,2,FALSE),'RES Techs T15'!$G$3:$U$3,0)))</f>
        <v/>
      </c>
      <c r="CH58" s="9" t="str">
        <f ca="1">IF(OFFSET('RES Techs T15'!$AO58,0,MATCH(VLOOKUP('RES Veda input'!CH$3,'RES Assumptions T15'!$V$3:$W$35,2,FALSE),'RES Techs T15'!$G$3:$U$3,0))=0,"",OFFSET('RES Techs T15'!$AO58,0,MATCH(VLOOKUP('RES Veda input'!CH$3,'RES Assumptions T15'!$V$3:$W$35,2,FALSE),'RES Techs T15'!$G$3:$U$3,0)))</f>
        <v/>
      </c>
      <c r="CI58" s="9" t="str">
        <f ca="1">IF(OFFSET('RES Techs T15'!$AO58,0,MATCH(VLOOKUP('RES Veda input'!CI$3,'RES Assumptions T15'!$V$3:$W$35,2,FALSE),'RES Techs T15'!$G$3:$U$3,0))=0,"",OFFSET('RES Techs T15'!$AO58,0,MATCH(VLOOKUP('RES Veda input'!CI$3,'RES Assumptions T15'!$V$3:$W$35,2,FALSE),'RES Techs T15'!$G$3:$U$3,0)))</f>
        <v/>
      </c>
      <c r="CJ58" s="9" t="str">
        <f ca="1">IF(OFFSET('RES Techs T15'!$AO58,0,MATCH(VLOOKUP('RES Veda input'!CJ$3,'RES Assumptions T15'!$V$3:$W$35,2,FALSE),'RES Techs T15'!$G$3:$U$3,0))=0,"",OFFSET('RES Techs T15'!$AO58,0,MATCH(VLOOKUP('RES Veda input'!CJ$3,'RES Assumptions T15'!$V$3:$W$35,2,FALSE),'RES Techs T15'!$G$3:$U$3,0)))</f>
        <v/>
      </c>
      <c r="CK58" s="9" t="str">
        <f ca="1">IF(OFFSET('RES Techs T15'!$AO58,0,MATCH(VLOOKUP('RES Veda input'!CK$3,'RES Assumptions T15'!$V$3:$W$35,2,FALSE),'RES Techs T15'!$G$3:$U$3,0))=0,"",OFFSET('RES Techs T15'!$AO58,0,MATCH(VLOOKUP('RES Veda input'!CK$3,'RES Assumptions T15'!$V$3:$W$35,2,FALSE),'RES Techs T15'!$G$3:$U$3,0)))</f>
        <v/>
      </c>
      <c r="CL58" s="9" t="str">
        <f ca="1">IF(OFFSET('RES Techs T15'!$AO58,0,MATCH(VLOOKUP('RES Veda input'!CL$3,'RES Assumptions T15'!$V$3:$W$35,2,FALSE),'RES Techs T15'!$G$3:$U$3,0))=0,"",OFFSET('RES Techs T15'!$AO58,0,MATCH(VLOOKUP('RES Veda input'!CL$3,'RES Assumptions T15'!$V$3:$W$35,2,FALSE),'RES Techs T15'!$G$3:$U$3,0)))</f>
        <v/>
      </c>
      <c r="CM58" s="9" t="str">
        <f ca="1">IF(OFFSET('RES Techs T15'!$AO58,0,MATCH(VLOOKUP('RES Veda input'!CM$3,'RES Assumptions T15'!$V$3:$W$35,2,FALSE),'RES Techs T15'!$G$3:$U$3,0))=0,"",OFFSET('RES Techs T15'!$AO58,0,MATCH(VLOOKUP('RES Veda input'!CM$3,'RES Assumptions T15'!$V$3:$W$35,2,FALSE),'RES Techs T15'!$G$3:$U$3,0)))</f>
        <v/>
      </c>
      <c r="CN58" s="9" t="str">
        <f ca="1">IF(OFFSET('RES Techs T15'!$AO58,0,MATCH(VLOOKUP('RES Veda input'!CN$3,'RES Assumptions T15'!$V$3:$W$35,2,FALSE),'RES Techs T15'!$G$3:$U$3,0))=0,"",OFFSET('RES Techs T15'!$AO58,0,MATCH(VLOOKUP('RES Veda input'!CN$3,'RES Assumptions T15'!$V$3:$W$35,2,FALSE),'RES Techs T15'!$G$3:$U$3,0)))</f>
        <v/>
      </c>
      <c r="CO58" s="9" t="str">
        <f ca="1">IF(OFFSET('RES Techs T15'!$AO58,0,MATCH(VLOOKUP('RES Veda input'!CO$3,'RES Assumptions T15'!$V$3:$W$35,2,FALSE),'RES Techs T15'!$G$3:$U$3,0))=0,"",OFFSET('RES Techs T15'!$AO58,0,MATCH(VLOOKUP('RES Veda input'!CO$3,'RES Assumptions T15'!$V$3:$W$35,2,FALSE),'RES Techs T15'!$G$3:$U$3,0)))</f>
        <v/>
      </c>
      <c r="CP58" s="9" t="str">
        <f ca="1">IF(OFFSET('RES Techs T15'!$AO58,0,MATCH(VLOOKUP('RES Veda input'!CP$3,'RES Assumptions T15'!$V$3:$W$35,2,FALSE),'RES Techs T15'!$G$3:$U$3,0))=0,"",OFFSET('RES Techs T15'!$AO58,0,MATCH(VLOOKUP('RES Veda input'!CP$3,'RES Assumptions T15'!$V$3:$W$35,2,FALSE),'RES Techs T15'!$G$3:$U$3,0)))</f>
        <v/>
      </c>
      <c r="CQ58" s="9" t="str">
        <f ca="1">IF(OFFSET('RES Techs T15'!$AO58,0,MATCH(VLOOKUP('RES Veda input'!CQ$3,'RES Assumptions T15'!$V$3:$W$35,2,FALSE),'RES Techs T15'!$G$3:$U$3,0))=0,"",OFFSET('RES Techs T15'!$AO58,0,MATCH(VLOOKUP('RES Veda input'!CQ$3,'RES Assumptions T15'!$V$3:$W$35,2,FALSE),'RES Techs T15'!$G$3:$U$3,0)))</f>
        <v/>
      </c>
      <c r="CR58" s="9" t="str">
        <f ca="1">IF(OFFSET('RES Techs T15'!$AO58,0,MATCH(VLOOKUP('RES Veda input'!CR$3,'RES Assumptions T15'!$V$3:$W$35,2,FALSE),'RES Techs T15'!$G$3:$U$3,0))=0,"",OFFSET('RES Techs T15'!$AO58,0,MATCH(VLOOKUP('RES Veda input'!CR$3,'RES Assumptions T15'!$V$3:$W$35,2,FALSE),'RES Techs T15'!$G$3:$U$3,0)))</f>
        <v/>
      </c>
      <c r="CS58" s="9" t="str">
        <f ca="1">IF(OFFSET('RES Techs T15'!$AO58,0,MATCH(VLOOKUP('RES Veda input'!CS$3,'RES Assumptions T15'!$V$3:$W$35,2,FALSE),'RES Techs T15'!$G$3:$U$3,0))=0,"",OFFSET('RES Techs T15'!$AO58,0,MATCH(VLOOKUP('RES Veda input'!CS$3,'RES Assumptions T15'!$V$3:$W$35,2,FALSE),'RES Techs T15'!$G$3:$U$3,0)))</f>
        <v/>
      </c>
      <c r="CT58" s="9" t="str">
        <f ca="1">IF(OFFSET('RES Techs T15'!$AO58,0,MATCH(VLOOKUP('RES Veda input'!CT$3,'RES Assumptions T15'!$V$3:$W$35,2,FALSE),'RES Techs T15'!$G$3:$U$3,0))=0,"",OFFSET('RES Techs T15'!$AO58,0,MATCH(VLOOKUP('RES Veda input'!CT$3,'RES Assumptions T15'!$V$3:$W$35,2,FALSE),'RES Techs T15'!$G$3:$U$3,0)))</f>
        <v/>
      </c>
      <c r="CU58" s="9" t="str">
        <f ca="1">IF(OFFSET('RES Techs T15'!$AO58,0,MATCH(VLOOKUP('RES Veda input'!CU$3,'RES Assumptions T15'!$V$3:$W$35,2,FALSE),'RES Techs T15'!$G$3:$U$3,0))=0,"",OFFSET('RES Techs T15'!$AO58,0,MATCH(VLOOKUP('RES Veda input'!CU$3,'RES Assumptions T15'!$V$3:$W$35,2,FALSE),'RES Techs T15'!$G$3:$U$3,0)))</f>
        <v/>
      </c>
      <c r="CV58" s="9" t="str">
        <f ca="1">IF(OFFSET('RES Techs T15'!$AO58,0,MATCH(VLOOKUP('RES Veda input'!CV$3,'RES Assumptions T15'!$V$3:$W$35,2,FALSE),'RES Techs T15'!$G$3:$U$3,0))=0,"",OFFSET('RES Techs T15'!$AO58,0,MATCH(VLOOKUP('RES Veda input'!CV$3,'RES Assumptions T15'!$V$3:$W$35,2,FALSE),'RES Techs T15'!$G$3:$U$3,0)))</f>
        <v/>
      </c>
      <c r="CW58" s="9" t="str">
        <f ca="1">IF(OFFSET('RES Techs T15'!$AO58,0,MATCH(VLOOKUP('RES Veda input'!CW$3,'RES Assumptions T15'!$V$3:$W$35,2,FALSE),'RES Techs T15'!$G$3:$U$3,0))=0,"",OFFSET('RES Techs T15'!$AO58,0,MATCH(VLOOKUP('RES Veda input'!CW$3,'RES Assumptions T15'!$V$3:$W$35,2,FALSE),'RES Techs T15'!$G$3:$U$3,0)))</f>
        <v/>
      </c>
      <c r="CY58" s="8" t="str">
        <f t="shared" si="63"/>
        <v>ROTNGA000</v>
      </c>
      <c r="CZ58" s="10">
        <f ca="1">ROUND('RES Assumptions'!E141*'RES Veda input'!G58/'RES Veda input'!AM58,3)</f>
        <v>0</v>
      </c>
      <c r="DA58" s="10">
        <f ca="1">ROUND('RES Assumptions'!F141*'RES Veda input'!H58/'RES Veda input'!AN58,3)</f>
        <v>0</v>
      </c>
      <c r="DB58" s="10">
        <f ca="1">ROUND('RES Assumptions'!G141*'RES Veda input'!I58/'RES Veda input'!AO58,3)</f>
        <v>0</v>
      </c>
      <c r="DC58" s="10">
        <f ca="1">ROUND('RES Assumptions'!H141*'RES Veda input'!J58/'RES Veda input'!AP58,3)</f>
        <v>14.7</v>
      </c>
      <c r="DD58" s="10">
        <f ca="1">ROUND('RES Assumptions'!I141*'RES Veda input'!K58/'RES Veda input'!AQ58,3)</f>
        <v>0</v>
      </c>
      <c r="DE58" s="10">
        <f ca="1">ROUND('RES Assumptions'!J141*'RES Veda input'!L58/'RES Veda input'!AR58,3)</f>
        <v>0</v>
      </c>
      <c r="DF58" s="10">
        <f ca="1">ROUND('RES Assumptions'!K141*'RES Veda input'!M58/'RES Veda input'!AS58,3)</f>
        <v>0</v>
      </c>
      <c r="DG58" s="10">
        <f ca="1">ROUND('RES Assumptions'!L141*'RES Veda input'!N58/'RES Veda input'!AT58,3)</f>
        <v>0</v>
      </c>
      <c r="DH58" s="10">
        <f ca="1">ROUND('RES Assumptions'!M141*'RES Veda input'!O58/'RES Veda input'!AU58,3)</f>
        <v>0</v>
      </c>
      <c r="DI58" s="10">
        <f ca="1">ROUND('RES Assumptions'!N141*'RES Veda input'!P58/'RES Veda input'!AV58,3)</f>
        <v>0</v>
      </c>
      <c r="DJ58" s="10">
        <f ca="1">ROUND('RES Assumptions'!O141*'RES Veda input'!Q58/'RES Veda input'!AW58,3)</f>
        <v>3.0000000000000001E-3</v>
      </c>
      <c r="DK58" s="10">
        <f ca="1">ROUND('RES Assumptions'!P141*'RES Veda input'!R58/'RES Veda input'!AX58,3)</f>
        <v>8.2949999999999999</v>
      </c>
      <c r="DL58" s="10">
        <f ca="1">ROUND('RES Assumptions'!Q141*'RES Veda input'!S58/'RES Veda input'!AY58,3)</f>
        <v>4.8000000000000001E-2</v>
      </c>
      <c r="DM58" s="10">
        <f ca="1">ROUND('RES Assumptions'!R141*'RES Veda input'!T58/'RES Veda input'!AZ58,3)</f>
        <v>7.3999999999999996E-2</v>
      </c>
      <c r="DN58" s="10">
        <f ca="1">ROUND('RES Assumptions'!S141*'RES Veda input'!U58/'RES Veda input'!BA58,3)</f>
        <v>5.931</v>
      </c>
      <c r="DO58" s="10">
        <f ca="1">ROUND('RES Assumptions'!T141*'RES Veda input'!V58/'RES Veda input'!BB58,3)</f>
        <v>1.7000000000000001E-2</v>
      </c>
      <c r="DP58" s="10">
        <f ca="1">ROUND('RES Assumptions'!U141*'RES Veda input'!W58/'RES Veda input'!BC58,3)</f>
        <v>0</v>
      </c>
      <c r="DQ58" s="10">
        <f ca="1">ROUND('RES Assumptions'!V141*'RES Veda input'!X58/'RES Veda input'!BD58,3)</f>
        <v>5.0999999999999997E-2</v>
      </c>
      <c r="DR58" s="10">
        <f ca="1">ROUND('RES Assumptions'!W141*'RES Veda input'!Y58/'RES Veda input'!BE58,3)</f>
        <v>0.10199999999999999</v>
      </c>
      <c r="DS58" s="10">
        <f ca="1">ROUND('RES Assumptions'!X141*'RES Veda input'!Z58/'RES Veda input'!BF58,3)</f>
        <v>0</v>
      </c>
      <c r="DT58" s="10">
        <f ca="1">ROUND('RES Assumptions'!Y141*'RES Veda input'!AA58/'RES Veda input'!BG58,3)</f>
        <v>0</v>
      </c>
      <c r="DU58" s="10">
        <f ca="1">ROUND('RES Assumptions'!Z141*'RES Veda input'!AB58/'RES Veda input'!BH58,3)</f>
        <v>0</v>
      </c>
      <c r="DV58" s="10">
        <f ca="1">ROUND('RES Assumptions'!AA141*'RES Veda input'!AC58/'RES Veda input'!BI58,3)</f>
        <v>0</v>
      </c>
      <c r="DW58" s="10">
        <f ca="1">ROUND('RES Assumptions'!AB141*'RES Veda input'!AD58/'RES Veda input'!BJ58,3)</f>
        <v>0</v>
      </c>
      <c r="DX58" s="10">
        <f ca="1">ROUND('RES Assumptions'!AC141*'RES Veda input'!AE58/'RES Veda input'!BK58,3)</f>
        <v>64.88</v>
      </c>
      <c r="DY58" s="10">
        <f ca="1">ROUND('RES Assumptions'!AD141*'RES Veda input'!AF58/'RES Veda input'!BL58,3)</f>
        <v>0</v>
      </c>
      <c r="DZ58" s="10">
        <f ca="1">ROUND('RES Assumptions'!AE141*'RES Veda input'!AG58/'RES Veda input'!BM58,3)</f>
        <v>0</v>
      </c>
      <c r="EA58" s="10">
        <f ca="1">ROUND('RES Assumptions'!AF141*'RES Veda input'!AH58/'RES Veda input'!BN58,3)</f>
        <v>0.10199999999999999</v>
      </c>
      <c r="EB58" s="10">
        <f ca="1">ROUND('RES Assumptions'!AG141*'RES Veda input'!AI58/'RES Veda input'!BO58,3)</f>
        <v>0</v>
      </c>
      <c r="EC58" s="10">
        <f ca="1">ROUND('RES Assumptions'!AH141*'RES Veda input'!AJ58/'RES Veda input'!BP58,3)</f>
        <v>0</v>
      </c>
      <c r="ED58">
        <v>10</v>
      </c>
      <c r="EG58" t="s">
        <v>281</v>
      </c>
      <c r="EH58" t="str">
        <f t="shared" si="64"/>
        <v>ROTNGA000</v>
      </c>
      <c r="EJ58" t="s">
        <v>282</v>
      </c>
      <c r="EK58" t="s">
        <v>283</v>
      </c>
    </row>
    <row r="59" spans="1:141" x14ac:dyDescent="0.45">
      <c r="A59" s="37" t="str">
        <f>'RES Assumptions'!B142</f>
        <v>ROT</v>
      </c>
      <c r="B59" s="37" t="s">
        <v>380</v>
      </c>
      <c r="D59" s="51" t="s">
        <v>164</v>
      </c>
      <c r="E59" s="8" t="str">
        <f>'RES Assumptions'!A142</f>
        <v>RESSTH</v>
      </c>
      <c r="F59" s="8" t="str">
        <f>VLOOKUP(A59,'RES Assumptions'!$AN$87:$AO$97,2,FALSE)</f>
        <v>ROT</v>
      </c>
      <c r="G59" s="9">
        <f ca="1">OFFSET('RES Techs T15'!$F59,0,MATCH(VLOOKUP('RES Veda input'!G$3,'RES Assumptions T15'!$V$3:$W$35,2,FALSE),'RES Techs T15'!$G$3:$U$3,0))</f>
        <v>1</v>
      </c>
      <c r="H59" s="9">
        <f ca="1">OFFSET('RES Techs T15'!$F59,0,MATCH(VLOOKUP('RES Veda input'!H$3,'RES Assumptions T15'!$V$3:$W$35,2,FALSE),'RES Techs T15'!$G$3:$U$3,0))</f>
        <v>1</v>
      </c>
      <c r="I59" s="9">
        <f ca="1">OFFSET('RES Techs T15'!$F59,0,MATCH(VLOOKUP('RES Veda input'!I$3,'RES Assumptions T15'!$V$3:$W$35,2,FALSE),'RES Techs T15'!$G$3:$U$3,0))</f>
        <v>1</v>
      </c>
      <c r="J59" s="9">
        <f ca="1">OFFSET('RES Techs T15'!$F59,0,MATCH(VLOOKUP('RES Veda input'!J$3,'RES Assumptions T15'!$V$3:$W$35,2,FALSE),'RES Techs T15'!$G$3:$U$3,0))</f>
        <v>1</v>
      </c>
      <c r="K59" s="9">
        <f ca="1">OFFSET('RES Techs T15'!$F59,0,MATCH(VLOOKUP('RES Veda input'!K$3,'RES Assumptions T15'!$V$3:$W$35,2,FALSE),'RES Techs T15'!$G$3:$U$3,0))</f>
        <v>1</v>
      </c>
      <c r="L59" s="9">
        <f ca="1">OFFSET('RES Techs T15'!$F59,0,MATCH(VLOOKUP('RES Veda input'!L$3,'RES Assumptions T15'!$V$3:$W$35,2,FALSE),'RES Techs T15'!$G$3:$U$3,0))</f>
        <v>1</v>
      </c>
      <c r="M59" s="9">
        <f ca="1">OFFSET('RES Techs T15'!$F59,0,MATCH(VLOOKUP('RES Veda input'!M$3,'RES Assumptions T15'!$V$3:$W$35,2,FALSE),'RES Techs T15'!$G$3:$U$3,0))</f>
        <v>1</v>
      </c>
      <c r="N59" s="9">
        <f ca="1">OFFSET('RES Techs T15'!$F59,0,MATCH(VLOOKUP('RES Veda input'!N$3,'RES Assumptions T15'!$V$3:$W$35,2,FALSE),'RES Techs T15'!$G$3:$U$3,0))</f>
        <v>1</v>
      </c>
      <c r="O59" s="9">
        <f ca="1">OFFSET('RES Techs T15'!$F59,0,MATCH(VLOOKUP('RES Veda input'!O$3,'RES Assumptions T15'!$V$3:$W$35,2,FALSE),'RES Techs T15'!$G$3:$U$3,0))</f>
        <v>1</v>
      </c>
      <c r="P59" s="9">
        <f ca="1">OFFSET('RES Techs T15'!$F59,0,MATCH(VLOOKUP('RES Veda input'!P$3,'RES Assumptions T15'!$V$3:$W$35,2,FALSE),'RES Techs T15'!$G$3:$U$3,0))</f>
        <v>1</v>
      </c>
      <c r="Q59" s="9">
        <f ca="1">OFFSET('RES Techs T15'!$F59,0,MATCH(VLOOKUP('RES Veda input'!Q$3,'RES Assumptions T15'!$V$3:$W$35,2,FALSE),'RES Techs T15'!$G$3:$U$3,0))</f>
        <v>1</v>
      </c>
      <c r="R59" s="9">
        <f ca="1">OFFSET('RES Techs T15'!$F59,0,MATCH(VLOOKUP('RES Veda input'!R$3,'RES Assumptions T15'!$V$3:$W$35,2,FALSE),'RES Techs T15'!$G$3:$U$3,0))</f>
        <v>1</v>
      </c>
      <c r="S59" s="9">
        <f ca="1">OFFSET('RES Techs T15'!$F59,0,MATCH(VLOOKUP('RES Veda input'!S$3,'RES Assumptions T15'!$V$3:$W$35,2,FALSE),'RES Techs T15'!$G$3:$U$3,0))</f>
        <v>1</v>
      </c>
      <c r="T59" s="9">
        <f ca="1">OFFSET('RES Techs T15'!$F59,0,MATCH(VLOOKUP('RES Veda input'!T$3,'RES Assumptions T15'!$V$3:$W$35,2,FALSE),'RES Techs T15'!$G$3:$U$3,0))</f>
        <v>1</v>
      </c>
      <c r="U59" s="9">
        <f ca="1">OFFSET('RES Techs T15'!$F59,0,MATCH(VLOOKUP('RES Veda input'!U$3,'RES Assumptions T15'!$V$3:$W$35,2,FALSE),'RES Techs T15'!$G$3:$U$3,0))</f>
        <v>1</v>
      </c>
      <c r="V59" s="9">
        <f ca="1">OFFSET('RES Techs T15'!$F59,0,MATCH(VLOOKUP('RES Veda input'!V$3,'RES Assumptions T15'!$V$3:$W$35,2,FALSE),'RES Techs T15'!$G$3:$U$3,0))</f>
        <v>1</v>
      </c>
      <c r="W59" s="9">
        <f ca="1">OFFSET('RES Techs T15'!$F59,0,MATCH(VLOOKUP('RES Veda input'!W$3,'RES Assumptions T15'!$V$3:$W$35,2,FALSE),'RES Techs T15'!$G$3:$U$3,0))</f>
        <v>1</v>
      </c>
      <c r="X59" s="9">
        <f ca="1">OFFSET('RES Techs T15'!$F59,0,MATCH(VLOOKUP('RES Veda input'!X$3,'RES Assumptions T15'!$V$3:$W$35,2,FALSE),'RES Techs T15'!$G$3:$U$3,0))</f>
        <v>1</v>
      </c>
      <c r="Y59" s="9">
        <f ca="1">OFFSET('RES Techs T15'!$F59,0,MATCH(VLOOKUP('RES Veda input'!Y$3,'RES Assumptions T15'!$V$3:$W$35,2,FALSE),'RES Techs T15'!$G$3:$U$3,0))</f>
        <v>1</v>
      </c>
      <c r="Z59" s="9">
        <f ca="1">OFFSET('RES Techs T15'!$F59,0,MATCH(VLOOKUP('RES Veda input'!Z$3,'RES Assumptions T15'!$V$3:$W$35,2,FALSE),'RES Techs T15'!$G$3:$U$3,0))</f>
        <v>1</v>
      </c>
      <c r="AA59" s="9">
        <f ca="1">OFFSET('RES Techs T15'!$F59,0,MATCH(VLOOKUP('RES Veda input'!AA$3,'RES Assumptions T15'!$V$3:$W$35,2,FALSE),'RES Techs T15'!$G$3:$U$3,0))</f>
        <v>1</v>
      </c>
      <c r="AB59" s="9">
        <f ca="1">OFFSET('RES Techs T15'!$F59,0,MATCH(VLOOKUP('RES Veda input'!AB$3,'RES Assumptions T15'!$V$3:$W$35,2,FALSE),'RES Techs T15'!$G$3:$U$3,0))</f>
        <v>1</v>
      </c>
      <c r="AC59" s="9">
        <f ca="1">OFFSET('RES Techs T15'!$F59,0,MATCH(VLOOKUP('RES Veda input'!AC$3,'RES Assumptions T15'!$V$3:$W$35,2,FALSE),'RES Techs T15'!$G$3:$U$3,0))</f>
        <v>1</v>
      </c>
      <c r="AD59" s="9">
        <f ca="1">OFFSET('RES Techs T15'!$F59,0,MATCH(VLOOKUP('RES Veda input'!AD$3,'RES Assumptions T15'!$V$3:$W$35,2,FALSE),'RES Techs T15'!$G$3:$U$3,0))</f>
        <v>1</v>
      </c>
      <c r="AE59" s="9">
        <f ca="1">OFFSET('RES Techs T15'!$F59,0,MATCH(VLOOKUP('RES Veda input'!AE$3,'RES Assumptions T15'!$V$3:$W$35,2,FALSE),'RES Techs T15'!$G$3:$U$3,0))</f>
        <v>1</v>
      </c>
      <c r="AF59" s="9">
        <f ca="1">OFFSET('RES Techs T15'!$F59,0,MATCH(VLOOKUP('RES Veda input'!AF$3,'RES Assumptions T15'!$V$3:$W$35,2,FALSE),'RES Techs T15'!$G$3:$U$3,0))</f>
        <v>1</v>
      </c>
      <c r="AG59" s="9">
        <f ca="1">OFFSET('RES Techs T15'!$F59,0,MATCH(VLOOKUP('RES Veda input'!AG$3,'RES Assumptions T15'!$V$3:$W$35,2,FALSE),'RES Techs T15'!$G$3:$U$3,0))</f>
        <v>1</v>
      </c>
      <c r="AH59" s="9">
        <f ca="1">OFFSET('RES Techs T15'!$F59,0,MATCH(VLOOKUP('RES Veda input'!AH$3,'RES Assumptions T15'!$V$3:$W$35,2,FALSE),'RES Techs T15'!$G$3:$U$3,0))</f>
        <v>1</v>
      </c>
      <c r="AI59" s="9">
        <f ca="1">OFFSET('RES Techs T15'!$F59,0,MATCH(VLOOKUP('RES Veda input'!AI$3,'RES Assumptions T15'!$V$3:$W$35,2,FALSE),'RES Techs T15'!$G$3:$U$3,0))</f>
        <v>1</v>
      </c>
      <c r="AJ59" s="9">
        <f ca="1">OFFSET('RES Techs T15'!$F59,0,MATCH(VLOOKUP('RES Veda input'!AJ$3,'RES Assumptions T15'!$V$3:$W$35,2,FALSE),'RES Techs T15'!$G$3:$U$3,0))</f>
        <v>1</v>
      </c>
      <c r="AL59" s="8" t="str">
        <f t="shared" si="60"/>
        <v>ROTSOL000</v>
      </c>
      <c r="AM59" s="9">
        <f ca="1">OFFSET('RES Techs T15'!$W59,0,MATCH(VLOOKUP('RES Veda input'!AM$3,'RES Assumptions T15'!$V$3:$W$35,2,FALSE),'RES Techs T15'!$G$3:$U$3,0))</f>
        <v>1</v>
      </c>
      <c r="AN59" s="9">
        <f ca="1">OFFSET('RES Techs T15'!$W59,0,MATCH(VLOOKUP('RES Veda input'!AN$3,'RES Assumptions T15'!$V$3:$W$35,2,FALSE),'RES Techs T15'!$G$3:$U$3,0))</f>
        <v>1</v>
      </c>
      <c r="AO59" s="9">
        <f ca="1">OFFSET('RES Techs T15'!$W59,0,MATCH(VLOOKUP('RES Veda input'!AO$3,'RES Assumptions T15'!$V$3:$W$35,2,FALSE),'RES Techs T15'!$G$3:$U$3,0))</f>
        <v>1</v>
      </c>
      <c r="AP59" s="9">
        <f ca="1">OFFSET('RES Techs T15'!$W59,0,MATCH(VLOOKUP('RES Veda input'!AP$3,'RES Assumptions T15'!$V$3:$W$35,2,FALSE),'RES Techs T15'!$G$3:$U$3,0))</f>
        <v>1</v>
      </c>
      <c r="AQ59" s="9">
        <f ca="1">OFFSET('RES Techs T15'!$W59,0,MATCH(VLOOKUP('RES Veda input'!AQ$3,'RES Assumptions T15'!$V$3:$W$35,2,FALSE),'RES Techs T15'!$G$3:$U$3,0))</f>
        <v>1</v>
      </c>
      <c r="AR59" s="9">
        <f ca="1">OFFSET('RES Techs T15'!$W59,0,MATCH(VLOOKUP('RES Veda input'!AR$3,'RES Assumptions T15'!$V$3:$W$35,2,FALSE),'RES Techs T15'!$G$3:$U$3,0))</f>
        <v>1</v>
      </c>
      <c r="AS59" s="9">
        <f ca="1">OFFSET('RES Techs T15'!$W59,0,MATCH(VLOOKUP('RES Veda input'!AS$3,'RES Assumptions T15'!$V$3:$W$35,2,FALSE),'RES Techs T15'!$G$3:$U$3,0))</f>
        <v>1</v>
      </c>
      <c r="AT59" s="9">
        <f ca="1">OFFSET('RES Techs T15'!$W59,0,MATCH(VLOOKUP('RES Veda input'!AT$3,'RES Assumptions T15'!$V$3:$W$35,2,FALSE),'RES Techs T15'!$G$3:$U$3,0))</f>
        <v>1</v>
      </c>
      <c r="AU59" s="9">
        <f ca="1">OFFSET('RES Techs T15'!$W59,0,MATCH(VLOOKUP('RES Veda input'!AU$3,'RES Assumptions T15'!$V$3:$W$35,2,FALSE),'RES Techs T15'!$G$3:$U$3,0))</f>
        <v>1</v>
      </c>
      <c r="AV59" s="9">
        <f ca="1">OFFSET('RES Techs T15'!$W59,0,MATCH(VLOOKUP('RES Veda input'!AV$3,'RES Assumptions T15'!$V$3:$W$35,2,FALSE),'RES Techs T15'!$G$3:$U$3,0))</f>
        <v>1</v>
      </c>
      <c r="AW59" s="9">
        <f ca="1">OFFSET('RES Techs T15'!$W59,0,MATCH(VLOOKUP('RES Veda input'!AW$3,'RES Assumptions T15'!$V$3:$W$35,2,FALSE),'RES Techs T15'!$G$3:$U$3,0))</f>
        <v>1</v>
      </c>
      <c r="AX59" s="9">
        <f ca="1">OFFSET('RES Techs T15'!$W59,0,MATCH(VLOOKUP('RES Veda input'!AX$3,'RES Assumptions T15'!$V$3:$W$35,2,FALSE),'RES Techs T15'!$G$3:$U$3,0))</f>
        <v>1</v>
      </c>
      <c r="AY59" s="9">
        <f ca="1">OFFSET('RES Techs T15'!$W59,0,MATCH(VLOOKUP('RES Veda input'!AY$3,'RES Assumptions T15'!$V$3:$W$35,2,FALSE),'RES Techs T15'!$G$3:$U$3,0))</f>
        <v>1</v>
      </c>
      <c r="AZ59" s="9">
        <f ca="1">OFFSET('RES Techs T15'!$W59,0,MATCH(VLOOKUP('RES Veda input'!AZ$3,'RES Assumptions T15'!$V$3:$W$35,2,FALSE),'RES Techs T15'!$G$3:$U$3,0))</f>
        <v>1</v>
      </c>
      <c r="BA59" s="9">
        <f ca="1">OFFSET('RES Techs T15'!$W59,0,MATCH(VLOOKUP('RES Veda input'!BA$3,'RES Assumptions T15'!$V$3:$W$35,2,FALSE),'RES Techs T15'!$G$3:$U$3,0))</f>
        <v>1</v>
      </c>
      <c r="BB59" s="9">
        <f ca="1">OFFSET('RES Techs T15'!$W59,0,MATCH(VLOOKUP('RES Veda input'!BB$3,'RES Assumptions T15'!$V$3:$W$35,2,FALSE),'RES Techs T15'!$G$3:$U$3,0))</f>
        <v>1</v>
      </c>
      <c r="BC59" s="9">
        <f ca="1">OFFSET('RES Techs T15'!$W59,0,MATCH(VLOOKUP('RES Veda input'!BC$3,'RES Assumptions T15'!$V$3:$W$35,2,FALSE),'RES Techs T15'!$G$3:$U$3,0))</f>
        <v>1</v>
      </c>
      <c r="BD59" s="9">
        <f ca="1">OFFSET('RES Techs T15'!$W59,0,MATCH(VLOOKUP('RES Veda input'!BD$3,'RES Assumptions T15'!$V$3:$W$35,2,FALSE),'RES Techs T15'!$G$3:$U$3,0))</f>
        <v>1</v>
      </c>
      <c r="BE59" s="9">
        <f ca="1">OFFSET('RES Techs T15'!$W59,0,MATCH(VLOOKUP('RES Veda input'!BE$3,'RES Assumptions T15'!$V$3:$W$35,2,FALSE),'RES Techs T15'!$G$3:$U$3,0))</f>
        <v>1</v>
      </c>
      <c r="BF59" s="9">
        <f ca="1">OFFSET('RES Techs T15'!$W59,0,MATCH(VLOOKUP('RES Veda input'!BF$3,'RES Assumptions T15'!$V$3:$W$35,2,FALSE),'RES Techs T15'!$G$3:$U$3,0))</f>
        <v>1</v>
      </c>
      <c r="BG59" s="9">
        <f ca="1">OFFSET('RES Techs T15'!$W59,0,MATCH(VLOOKUP('RES Veda input'!BG$3,'RES Assumptions T15'!$V$3:$W$35,2,FALSE),'RES Techs T15'!$G$3:$U$3,0))</f>
        <v>1</v>
      </c>
      <c r="BH59" s="9">
        <f ca="1">OFFSET('RES Techs T15'!$W59,0,MATCH(VLOOKUP('RES Veda input'!BH$3,'RES Assumptions T15'!$V$3:$W$35,2,FALSE),'RES Techs T15'!$G$3:$U$3,0))</f>
        <v>1</v>
      </c>
      <c r="BI59" s="9">
        <f ca="1">OFFSET('RES Techs T15'!$W59,0,MATCH(VLOOKUP('RES Veda input'!BI$3,'RES Assumptions T15'!$V$3:$W$35,2,FALSE),'RES Techs T15'!$G$3:$U$3,0))</f>
        <v>1</v>
      </c>
      <c r="BJ59" s="9">
        <f ca="1">OFFSET('RES Techs T15'!$W59,0,MATCH(VLOOKUP('RES Veda input'!BJ$3,'RES Assumptions T15'!$V$3:$W$35,2,FALSE),'RES Techs T15'!$G$3:$U$3,0))</f>
        <v>1</v>
      </c>
      <c r="BK59" s="9">
        <f ca="1">OFFSET('RES Techs T15'!$W59,0,MATCH(VLOOKUP('RES Veda input'!BK$3,'RES Assumptions T15'!$V$3:$W$35,2,FALSE),'RES Techs T15'!$G$3:$U$3,0))</f>
        <v>1</v>
      </c>
      <c r="BL59" s="9">
        <f ca="1">OFFSET('RES Techs T15'!$W59,0,MATCH(VLOOKUP('RES Veda input'!BL$3,'RES Assumptions T15'!$V$3:$W$35,2,FALSE),'RES Techs T15'!$G$3:$U$3,0))</f>
        <v>1</v>
      </c>
      <c r="BM59" s="9">
        <f ca="1">OFFSET('RES Techs T15'!$W59,0,MATCH(VLOOKUP('RES Veda input'!BM$3,'RES Assumptions T15'!$V$3:$W$35,2,FALSE),'RES Techs T15'!$G$3:$U$3,0))</f>
        <v>1</v>
      </c>
      <c r="BN59" s="9">
        <f ca="1">OFFSET('RES Techs T15'!$W59,0,MATCH(VLOOKUP('RES Veda input'!BN$3,'RES Assumptions T15'!$V$3:$W$35,2,FALSE),'RES Techs T15'!$G$3:$U$3,0))</f>
        <v>1</v>
      </c>
      <c r="BO59" s="9">
        <f ca="1">OFFSET('RES Techs T15'!$W59,0,MATCH(VLOOKUP('RES Veda input'!BO$3,'RES Assumptions T15'!$V$3:$W$35,2,FALSE),'RES Techs T15'!$G$3:$U$3,0))</f>
        <v>1</v>
      </c>
      <c r="BP59" s="9">
        <f ca="1">OFFSET('RES Techs T15'!$W59,0,MATCH(VLOOKUP('RES Veda input'!BP$3,'RES Assumptions T15'!$V$3:$W$35,2,FALSE),'RES Techs T15'!$G$3:$U$3,0))</f>
        <v>1</v>
      </c>
      <c r="BR59" s="8" t="str">
        <f t="shared" si="61"/>
        <v>ROTSOL000</v>
      </c>
      <c r="BS59" s="9">
        <f t="shared" ca="1" si="62"/>
        <v>0</v>
      </c>
      <c r="BT59" s="9" t="str">
        <f ca="1">IF(OFFSET('RES Techs T15'!$AO59,0,MATCH(VLOOKUP('RES Veda input'!BT$3,'RES Assumptions T15'!$V$3:$W$35,2,FALSE),'RES Techs T15'!$G$3:$U$3,0))=0,"",OFFSET('RES Techs T15'!$AO59,0,MATCH(VLOOKUP('RES Veda input'!BT$3,'RES Assumptions T15'!$V$3:$W$35,2,FALSE),'RES Techs T15'!$G$3:$U$3,0)))</f>
        <v/>
      </c>
      <c r="BU59" s="9" t="str">
        <f ca="1">IF(OFFSET('RES Techs T15'!$AO59,0,MATCH(VLOOKUP('RES Veda input'!BU$3,'RES Assumptions T15'!$V$3:$W$35,2,FALSE),'RES Techs T15'!$G$3:$U$3,0))=0,"",OFFSET('RES Techs T15'!$AO59,0,MATCH(VLOOKUP('RES Veda input'!BU$3,'RES Assumptions T15'!$V$3:$W$35,2,FALSE),'RES Techs T15'!$G$3:$U$3,0)))</f>
        <v/>
      </c>
      <c r="BV59" s="9" t="str">
        <f ca="1">IF(OFFSET('RES Techs T15'!$AO59,0,MATCH(VLOOKUP('RES Veda input'!BV$3,'RES Assumptions T15'!$V$3:$W$35,2,FALSE),'RES Techs T15'!$G$3:$U$3,0))=0,"",OFFSET('RES Techs T15'!$AO59,0,MATCH(VLOOKUP('RES Veda input'!BV$3,'RES Assumptions T15'!$V$3:$W$35,2,FALSE),'RES Techs T15'!$G$3:$U$3,0)))</f>
        <v/>
      </c>
      <c r="BW59" s="9" t="str">
        <f ca="1">IF(OFFSET('RES Techs T15'!$AO59,0,MATCH(VLOOKUP('RES Veda input'!BW$3,'RES Assumptions T15'!$V$3:$W$35,2,FALSE),'RES Techs T15'!$G$3:$U$3,0))=0,"",OFFSET('RES Techs T15'!$AO59,0,MATCH(VLOOKUP('RES Veda input'!BW$3,'RES Assumptions T15'!$V$3:$W$35,2,FALSE),'RES Techs T15'!$G$3:$U$3,0)))</f>
        <v/>
      </c>
      <c r="BX59" s="9" t="str">
        <f ca="1">IF(OFFSET('RES Techs T15'!$AO59,0,MATCH(VLOOKUP('RES Veda input'!BX$3,'RES Assumptions T15'!$V$3:$W$35,2,FALSE),'RES Techs T15'!$G$3:$U$3,0))=0,"",OFFSET('RES Techs T15'!$AO59,0,MATCH(VLOOKUP('RES Veda input'!BX$3,'RES Assumptions T15'!$V$3:$W$35,2,FALSE),'RES Techs T15'!$G$3:$U$3,0)))</f>
        <v/>
      </c>
      <c r="BY59" s="9" t="str">
        <f ca="1">IF(OFFSET('RES Techs T15'!$AO59,0,MATCH(VLOOKUP('RES Veda input'!BY$3,'RES Assumptions T15'!$V$3:$W$35,2,FALSE),'RES Techs T15'!$G$3:$U$3,0))=0,"",OFFSET('RES Techs T15'!$AO59,0,MATCH(VLOOKUP('RES Veda input'!BY$3,'RES Assumptions T15'!$V$3:$W$35,2,FALSE),'RES Techs T15'!$G$3:$U$3,0)))</f>
        <v/>
      </c>
      <c r="BZ59" s="9" t="str">
        <f ca="1">IF(OFFSET('RES Techs T15'!$AO59,0,MATCH(VLOOKUP('RES Veda input'!BZ$3,'RES Assumptions T15'!$V$3:$W$35,2,FALSE),'RES Techs T15'!$G$3:$U$3,0))=0,"",OFFSET('RES Techs T15'!$AO59,0,MATCH(VLOOKUP('RES Veda input'!BZ$3,'RES Assumptions T15'!$V$3:$W$35,2,FALSE),'RES Techs T15'!$G$3:$U$3,0)))</f>
        <v/>
      </c>
      <c r="CA59" s="9" t="str">
        <f ca="1">IF(OFFSET('RES Techs T15'!$AO59,0,MATCH(VLOOKUP('RES Veda input'!CA$3,'RES Assumptions T15'!$V$3:$W$35,2,FALSE),'RES Techs T15'!$G$3:$U$3,0))=0,"",OFFSET('RES Techs T15'!$AO59,0,MATCH(VLOOKUP('RES Veda input'!CA$3,'RES Assumptions T15'!$V$3:$W$35,2,FALSE),'RES Techs T15'!$G$3:$U$3,0)))</f>
        <v/>
      </c>
      <c r="CB59" s="9" t="str">
        <f ca="1">IF(OFFSET('RES Techs T15'!$AO59,0,MATCH(VLOOKUP('RES Veda input'!CB$3,'RES Assumptions T15'!$V$3:$W$35,2,FALSE),'RES Techs T15'!$G$3:$U$3,0))=0,"",OFFSET('RES Techs T15'!$AO59,0,MATCH(VLOOKUP('RES Veda input'!CB$3,'RES Assumptions T15'!$V$3:$W$35,2,FALSE),'RES Techs T15'!$G$3:$U$3,0)))</f>
        <v/>
      </c>
      <c r="CC59" s="9" t="str">
        <f ca="1">IF(OFFSET('RES Techs T15'!$AO59,0,MATCH(VLOOKUP('RES Veda input'!CC$3,'RES Assumptions T15'!$V$3:$W$35,2,FALSE),'RES Techs T15'!$G$3:$U$3,0))=0,"",OFFSET('RES Techs T15'!$AO59,0,MATCH(VLOOKUP('RES Veda input'!CC$3,'RES Assumptions T15'!$V$3:$W$35,2,FALSE),'RES Techs T15'!$G$3:$U$3,0)))</f>
        <v/>
      </c>
      <c r="CD59" s="9" t="str">
        <f ca="1">IF(OFFSET('RES Techs T15'!$AO59,0,MATCH(VLOOKUP('RES Veda input'!CD$3,'RES Assumptions T15'!$V$3:$W$35,2,FALSE),'RES Techs T15'!$G$3:$U$3,0))=0,"",OFFSET('RES Techs T15'!$AO59,0,MATCH(VLOOKUP('RES Veda input'!CD$3,'RES Assumptions T15'!$V$3:$W$35,2,FALSE),'RES Techs T15'!$G$3:$U$3,0)))</f>
        <v/>
      </c>
      <c r="CE59" s="9" t="str">
        <f ca="1">IF(OFFSET('RES Techs T15'!$AO59,0,MATCH(VLOOKUP('RES Veda input'!CE$3,'RES Assumptions T15'!$V$3:$W$35,2,FALSE),'RES Techs T15'!$G$3:$U$3,0))=0,"",OFFSET('RES Techs T15'!$AO59,0,MATCH(VLOOKUP('RES Veda input'!CE$3,'RES Assumptions T15'!$V$3:$W$35,2,FALSE),'RES Techs T15'!$G$3:$U$3,0)))</f>
        <v/>
      </c>
      <c r="CF59" s="9" t="str">
        <f ca="1">IF(OFFSET('RES Techs T15'!$AO59,0,MATCH(VLOOKUP('RES Veda input'!CF$3,'RES Assumptions T15'!$V$3:$W$35,2,FALSE),'RES Techs T15'!$G$3:$U$3,0))=0,"",OFFSET('RES Techs T15'!$AO59,0,MATCH(VLOOKUP('RES Veda input'!CF$3,'RES Assumptions T15'!$V$3:$W$35,2,FALSE),'RES Techs T15'!$G$3:$U$3,0)))</f>
        <v/>
      </c>
      <c r="CG59" s="9" t="str">
        <f ca="1">IF(OFFSET('RES Techs T15'!$AO59,0,MATCH(VLOOKUP('RES Veda input'!CG$3,'RES Assumptions T15'!$V$3:$W$35,2,FALSE),'RES Techs T15'!$G$3:$U$3,0))=0,"",OFFSET('RES Techs T15'!$AO59,0,MATCH(VLOOKUP('RES Veda input'!CG$3,'RES Assumptions T15'!$V$3:$W$35,2,FALSE),'RES Techs T15'!$G$3:$U$3,0)))</f>
        <v/>
      </c>
      <c r="CH59" s="9" t="str">
        <f ca="1">IF(OFFSET('RES Techs T15'!$AO59,0,MATCH(VLOOKUP('RES Veda input'!CH$3,'RES Assumptions T15'!$V$3:$W$35,2,FALSE),'RES Techs T15'!$G$3:$U$3,0))=0,"",OFFSET('RES Techs T15'!$AO59,0,MATCH(VLOOKUP('RES Veda input'!CH$3,'RES Assumptions T15'!$V$3:$W$35,2,FALSE),'RES Techs T15'!$G$3:$U$3,0)))</f>
        <v/>
      </c>
      <c r="CI59" s="9" t="str">
        <f ca="1">IF(OFFSET('RES Techs T15'!$AO59,0,MATCH(VLOOKUP('RES Veda input'!CI$3,'RES Assumptions T15'!$V$3:$W$35,2,FALSE),'RES Techs T15'!$G$3:$U$3,0))=0,"",OFFSET('RES Techs T15'!$AO59,0,MATCH(VLOOKUP('RES Veda input'!CI$3,'RES Assumptions T15'!$V$3:$W$35,2,FALSE),'RES Techs T15'!$G$3:$U$3,0)))</f>
        <v/>
      </c>
      <c r="CJ59" s="9" t="str">
        <f ca="1">IF(OFFSET('RES Techs T15'!$AO59,0,MATCH(VLOOKUP('RES Veda input'!CJ$3,'RES Assumptions T15'!$V$3:$W$35,2,FALSE),'RES Techs T15'!$G$3:$U$3,0))=0,"",OFFSET('RES Techs T15'!$AO59,0,MATCH(VLOOKUP('RES Veda input'!CJ$3,'RES Assumptions T15'!$V$3:$W$35,2,FALSE),'RES Techs T15'!$G$3:$U$3,0)))</f>
        <v/>
      </c>
      <c r="CK59" s="9" t="str">
        <f ca="1">IF(OFFSET('RES Techs T15'!$AO59,0,MATCH(VLOOKUP('RES Veda input'!CK$3,'RES Assumptions T15'!$V$3:$W$35,2,FALSE),'RES Techs T15'!$G$3:$U$3,0))=0,"",OFFSET('RES Techs T15'!$AO59,0,MATCH(VLOOKUP('RES Veda input'!CK$3,'RES Assumptions T15'!$V$3:$W$35,2,FALSE),'RES Techs T15'!$G$3:$U$3,0)))</f>
        <v/>
      </c>
      <c r="CL59" s="9" t="str">
        <f ca="1">IF(OFFSET('RES Techs T15'!$AO59,0,MATCH(VLOOKUP('RES Veda input'!CL$3,'RES Assumptions T15'!$V$3:$W$35,2,FALSE),'RES Techs T15'!$G$3:$U$3,0))=0,"",OFFSET('RES Techs T15'!$AO59,0,MATCH(VLOOKUP('RES Veda input'!CL$3,'RES Assumptions T15'!$V$3:$W$35,2,FALSE),'RES Techs T15'!$G$3:$U$3,0)))</f>
        <v/>
      </c>
      <c r="CM59" s="9" t="str">
        <f ca="1">IF(OFFSET('RES Techs T15'!$AO59,0,MATCH(VLOOKUP('RES Veda input'!CM$3,'RES Assumptions T15'!$V$3:$W$35,2,FALSE),'RES Techs T15'!$G$3:$U$3,0))=0,"",OFFSET('RES Techs T15'!$AO59,0,MATCH(VLOOKUP('RES Veda input'!CM$3,'RES Assumptions T15'!$V$3:$W$35,2,FALSE),'RES Techs T15'!$G$3:$U$3,0)))</f>
        <v/>
      </c>
      <c r="CN59" s="9" t="str">
        <f ca="1">IF(OFFSET('RES Techs T15'!$AO59,0,MATCH(VLOOKUP('RES Veda input'!CN$3,'RES Assumptions T15'!$V$3:$W$35,2,FALSE),'RES Techs T15'!$G$3:$U$3,0))=0,"",OFFSET('RES Techs T15'!$AO59,0,MATCH(VLOOKUP('RES Veda input'!CN$3,'RES Assumptions T15'!$V$3:$W$35,2,FALSE),'RES Techs T15'!$G$3:$U$3,0)))</f>
        <v/>
      </c>
      <c r="CO59" s="9" t="str">
        <f ca="1">IF(OFFSET('RES Techs T15'!$AO59,0,MATCH(VLOOKUP('RES Veda input'!CO$3,'RES Assumptions T15'!$V$3:$W$35,2,FALSE),'RES Techs T15'!$G$3:$U$3,0))=0,"",OFFSET('RES Techs T15'!$AO59,0,MATCH(VLOOKUP('RES Veda input'!CO$3,'RES Assumptions T15'!$V$3:$W$35,2,FALSE),'RES Techs T15'!$G$3:$U$3,0)))</f>
        <v/>
      </c>
      <c r="CP59" s="9" t="str">
        <f ca="1">IF(OFFSET('RES Techs T15'!$AO59,0,MATCH(VLOOKUP('RES Veda input'!CP$3,'RES Assumptions T15'!$V$3:$W$35,2,FALSE),'RES Techs T15'!$G$3:$U$3,0))=0,"",OFFSET('RES Techs T15'!$AO59,0,MATCH(VLOOKUP('RES Veda input'!CP$3,'RES Assumptions T15'!$V$3:$W$35,2,FALSE),'RES Techs T15'!$G$3:$U$3,0)))</f>
        <v/>
      </c>
      <c r="CQ59" s="9" t="str">
        <f ca="1">IF(OFFSET('RES Techs T15'!$AO59,0,MATCH(VLOOKUP('RES Veda input'!CQ$3,'RES Assumptions T15'!$V$3:$W$35,2,FALSE),'RES Techs T15'!$G$3:$U$3,0))=0,"",OFFSET('RES Techs T15'!$AO59,0,MATCH(VLOOKUP('RES Veda input'!CQ$3,'RES Assumptions T15'!$V$3:$W$35,2,FALSE),'RES Techs T15'!$G$3:$U$3,0)))</f>
        <v/>
      </c>
      <c r="CR59" s="9" t="str">
        <f ca="1">IF(OFFSET('RES Techs T15'!$AO59,0,MATCH(VLOOKUP('RES Veda input'!CR$3,'RES Assumptions T15'!$V$3:$W$35,2,FALSE),'RES Techs T15'!$G$3:$U$3,0))=0,"",OFFSET('RES Techs T15'!$AO59,0,MATCH(VLOOKUP('RES Veda input'!CR$3,'RES Assumptions T15'!$V$3:$W$35,2,FALSE),'RES Techs T15'!$G$3:$U$3,0)))</f>
        <v/>
      </c>
      <c r="CS59" s="9" t="str">
        <f ca="1">IF(OFFSET('RES Techs T15'!$AO59,0,MATCH(VLOOKUP('RES Veda input'!CS$3,'RES Assumptions T15'!$V$3:$W$35,2,FALSE),'RES Techs T15'!$G$3:$U$3,0))=0,"",OFFSET('RES Techs T15'!$AO59,0,MATCH(VLOOKUP('RES Veda input'!CS$3,'RES Assumptions T15'!$V$3:$W$35,2,FALSE),'RES Techs T15'!$G$3:$U$3,0)))</f>
        <v/>
      </c>
      <c r="CT59" s="9" t="str">
        <f ca="1">IF(OFFSET('RES Techs T15'!$AO59,0,MATCH(VLOOKUP('RES Veda input'!CT$3,'RES Assumptions T15'!$V$3:$W$35,2,FALSE),'RES Techs T15'!$G$3:$U$3,0))=0,"",OFFSET('RES Techs T15'!$AO59,0,MATCH(VLOOKUP('RES Veda input'!CT$3,'RES Assumptions T15'!$V$3:$W$35,2,FALSE),'RES Techs T15'!$G$3:$U$3,0)))</f>
        <v/>
      </c>
      <c r="CU59" s="9" t="str">
        <f ca="1">IF(OFFSET('RES Techs T15'!$AO59,0,MATCH(VLOOKUP('RES Veda input'!CU$3,'RES Assumptions T15'!$V$3:$W$35,2,FALSE),'RES Techs T15'!$G$3:$U$3,0))=0,"",OFFSET('RES Techs T15'!$AO59,0,MATCH(VLOOKUP('RES Veda input'!CU$3,'RES Assumptions T15'!$V$3:$W$35,2,FALSE),'RES Techs T15'!$G$3:$U$3,0)))</f>
        <v/>
      </c>
      <c r="CV59" s="9" t="str">
        <f ca="1">IF(OFFSET('RES Techs T15'!$AO59,0,MATCH(VLOOKUP('RES Veda input'!CV$3,'RES Assumptions T15'!$V$3:$W$35,2,FALSE),'RES Techs T15'!$G$3:$U$3,0))=0,"",OFFSET('RES Techs T15'!$AO59,0,MATCH(VLOOKUP('RES Veda input'!CV$3,'RES Assumptions T15'!$V$3:$W$35,2,FALSE),'RES Techs T15'!$G$3:$U$3,0)))</f>
        <v/>
      </c>
      <c r="CW59" s="9" t="str">
        <f ca="1">IF(OFFSET('RES Techs T15'!$AO59,0,MATCH(VLOOKUP('RES Veda input'!CW$3,'RES Assumptions T15'!$V$3:$W$35,2,FALSE),'RES Techs T15'!$G$3:$U$3,0))=0,"",OFFSET('RES Techs T15'!$AO59,0,MATCH(VLOOKUP('RES Veda input'!CW$3,'RES Assumptions T15'!$V$3:$W$35,2,FALSE),'RES Techs T15'!$G$3:$U$3,0)))</f>
        <v/>
      </c>
      <c r="CY59" s="8" t="str">
        <f t="shared" si="63"/>
        <v>ROTSOL000</v>
      </c>
      <c r="CZ59" s="10">
        <f ca="1">ROUND('RES Assumptions'!E142*'RES Veda input'!G59/'RES Veda input'!AM59,3)</f>
        <v>0</v>
      </c>
      <c r="DA59" s="10">
        <f ca="1">ROUND('RES Assumptions'!F142*'RES Veda input'!H59/'RES Veda input'!AN59,3)</f>
        <v>0</v>
      </c>
      <c r="DB59" s="10">
        <f ca="1">ROUND('RES Assumptions'!G142*'RES Veda input'!I59/'RES Veda input'!AO59,3)</f>
        <v>0</v>
      </c>
      <c r="DC59" s="10">
        <f ca="1">ROUND('RES Assumptions'!H142*'RES Veda input'!J59/'RES Veda input'!AP59,3)</f>
        <v>0</v>
      </c>
      <c r="DD59" s="10">
        <f ca="1">ROUND('RES Assumptions'!I142*'RES Veda input'!K59/'RES Veda input'!AQ59,3)</f>
        <v>0</v>
      </c>
      <c r="DE59" s="10">
        <f ca="1">ROUND('RES Assumptions'!J142*'RES Veda input'!L59/'RES Veda input'!AR59,3)</f>
        <v>0</v>
      </c>
      <c r="DF59" s="10">
        <f ca="1">ROUND('RES Assumptions'!K142*'RES Veda input'!M59/'RES Veda input'!AS59,3)</f>
        <v>0</v>
      </c>
      <c r="DG59" s="10">
        <f ca="1">ROUND('RES Assumptions'!L142*'RES Veda input'!N59/'RES Veda input'!AT59,3)</f>
        <v>0</v>
      </c>
      <c r="DH59" s="10">
        <f ca="1">ROUND('RES Assumptions'!M142*'RES Veda input'!O59/'RES Veda input'!AU59,3)</f>
        <v>0</v>
      </c>
      <c r="DI59" s="10">
        <f ca="1">ROUND('RES Assumptions'!N142*'RES Veda input'!P59/'RES Veda input'!AV59,3)</f>
        <v>0</v>
      </c>
      <c r="DJ59" s="10">
        <f ca="1">ROUND('RES Assumptions'!O142*'RES Veda input'!Q59/'RES Veda input'!AW59,3)</f>
        <v>0</v>
      </c>
      <c r="DK59" s="10">
        <f ca="1">ROUND('RES Assumptions'!P142*'RES Veda input'!R59/'RES Veda input'!AX59,3)</f>
        <v>0</v>
      </c>
      <c r="DL59" s="10">
        <f ca="1">ROUND('RES Assumptions'!Q142*'RES Veda input'!S59/'RES Veda input'!AY59,3)</f>
        <v>0</v>
      </c>
      <c r="DM59" s="10">
        <f ca="1">ROUND('RES Assumptions'!R142*'RES Veda input'!T59/'RES Veda input'!AZ59,3)</f>
        <v>0</v>
      </c>
      <c r="DN59" s="10">
        <f ca="1">ROUND('RES Assumptions'!S142*'RES Veda input'!U59/'RES Veda input'!BA59,3)</f>
        <v>0</v>
      </c>
      <c r="DO59" s="10">
        <f ca="1">ROUND('RES Assumptions'!T142*'RES Veda input'!V59/'RES Veda input'!BB59,3)</f>
        <v>0</v>
      </c>
      <c r="DP59" s="10">
        <f ca="1">ROUND('RES Assumptions'!U142*'RES Veda input'!W59/'RES Veda input'!BC59,3)</f>
        <v>0</v>
      </c>
      <c r="DQ59" s="10">
        <f ca="1">ROUND('RES Assumptions'!V142*'RES Veda input'!X59/'RES Veda input'!BD59,3)</f>
        <v>0</v>
      </c>
      <c r="DR59" s="10">
        <f ca="1">ROUND('RES Assumptions'!W142*'RES Veda input'!Y59/'RES Veda input'!BE59,3)</f>
        <v>0</v>
      </c>
      <c r="DS59" s="10">
        <f ca="1">ROUND('RES Assumptions'!X142*'RES Veda input'!Z59/'RES Veda input'!BF59,3)</f>
        <v>0</v>
      </c>
      <c r="DT59" s="10">
        <f ca="1">ROUND('RES Assumptions'!Y142*'RES Veda input'!AA59/'RES Veda input'!BG59,3)</f>
        <v>0</v>
      </c>
      <c r="DU59" s="10">
        <f ca="1">ROUND('RES Assumptions'!Z142*'RES Veda input'!AB59/'RES Veda input'!BH59,3)</f>
        <v>0</v>
      </c>
      <c r="DV59" s="10">
        <f ca="1">ROUND('RES Assumptions'!AA142*'RES Veda input'!AC59/'RES Veda input'!BI59,3)</f>
        <v>0</v>
      </c>
      <c r="DW59" s="10">
        <f ca="1">ROUND('RES Assumptions'!AB142*'RES Veda input'!AD59/'RES Veda input'!BJ59,3)</f>
        <v>0</v>
      </c>
      <c r="DX59" s="10">
        <f ca="1">ROUND('RES Assumptions'!AC142*'RES Veda input'!AE59/'RES Veda input'!BK59,3)</f>
        <v>0</v>
      </c>
      <c r="DY59" s="10">
        <f ca="1">ROUND('RES Assumptions'!AD142*'RES Veda input'!AF59/'RES Veda input'!BL59,3)</f>
        <v>0</v>
      </c>
      <c r="DZ59" s="10">
        <f ca="1">ROUND('RES Assumptions'!AE142*'RES Veda input'!AG59/'RES Veda input'!BM59,3)</f>
        <v>0</v>
      </c>
      <c r="EA59" s="10">
        <f ca="1">ROUND('RES Assumptions'!AF142*'RES Veda input'!AH59/'RES Veda input'!BN59,3)</f>
        <v>0</v>
      </c>
      <c r="EB59" s="10">
        <f ca="1">ROUND('RES Assumptions'!AG142*'RES Veda input'!AI59/'RES Veda input'!BO59,3)</f>
        <v>0</v>
      </c>
      <c r="EC59" s="10">
        <f ca="1">ROUND('RES Assumptions'!AH142*'RES Veda input'!AJ59/'RES Veda input'!BP59,3)</f>
        <v>0</v>
      </c>
      <c r="ED59">
        <v>10</v>
      </c>
      <c r="EG59" t="s">
        <v>281</v>
      </c>
      <c r="EH59" t="str">
        <f t="shared" si="64"/>
        <v>ROTSOL000</v>
      </c>
      <c r="EJ59" t="s">
        <v>282</v>
      </c>
      <c r="EK59" t="s">
        <v>283</v>
      </c>
    </row>
    <row r="60" spans="1:141" x14ac:dyDescent="0.45">
      <c r="A60" s="37" t="str">
        <f>'RES Assumptions'!B143</f>
        <v>RR</v>
      </c>
      <c r="B60" s="37" t="s">
        <v>109</v>
      </c>
      <c r="D60" s="51" t="s">
        <v>109</v>
      </c>
      <c r="E60" s="8" t="str">
        <f>'RES Assumptions'!A143</f>
        <v>RESELC</v>
      </c>
      <c r="F60" s="8" t="str">
        <f>VLOOKUP(A60,'RES Assumptions'!$AN$87:$AO$97,2,FALSE)</f>
        <v>RRF</v>
      </c>
      <c r="G60" s="9">
        <f ca="1">OFFSET('RES Techs T15'!$F60,0,MATCH(VLOOKUP('RES Veda input'!G$3,'RES Assumptions T15'!$V$3:$W$35,2,FALSE),'RES Techs T15'!$G$3:$U$3,0))</f>
        <v>0.7</v>
      </c>
      <c r="H60" s="9">
        <f ca="1">OFFSET('RES Techs T15'!$F60,0,MATCH(VLOOKUP('RES Veda input'!H$3,'RES Assumptions T15'!$V$3:$W$35,2,FALSE),'RES Techs T15'!$G$3:$U$3,0))</f>
        <v>0.7</v>
      </c>
      <c r="I60" s="9">
        <f ca="1">OFFSET('RES Techs T15'!$F60,0,MATCH(VLOOKUP('RES Veda input'!I$3,'RES Assumptions T15'!$V$3:$W$35,2,FALSE),'RES Techs T15'!$G$3:$U$3,0))</f>
        <v>0.7</v>
      </c>
      <c r="J60" s="9">
        <f ca="1">OFFSET('RES Techs T15'!$F60,0,MATCH(VLOOKUP('RES Veda input'!J$3,'RES Assumptions T15'!$V$3:$W$35,2,FALSE),'RES Techs T15'!$G$3:$U$3,0))</f>
        <v>0.7</v>
      </c>
      <c r="K60" s="9">
        <f ca="1">OFFSET('RES Techs T15'!$F60,0,MATCH(VLOOKUP('RES Veda input'!K$3,'RES Assumptions T15'!$V$3:$W$35,2,FALSE),'RES Techs T15'!$G$3:$U$3,0))</f>
        <v>0.7</v>
      </c>
      <c r="L60" s="9">
        <f ca="1">OFFSET('RES Techs T15'!$F60,0,MATCH(VLOOKUP('RES Veda input'!L$3,'RES Assumptions T15'!$V$3:$W$35,2,FALSE),'RES Techs T15'!$G$3:$U$3,0))</f>
        <v>0.7</v>
      </c>
      <c r="M60" s="9">
        <f ca="1">OFFSET('RES Techs T15'!$F60,0,MATCH(VLOOKUP('RES Veda input'!M$3,'RES Assumptions T15'!$V$3:$W$35,2,FALSE),'RES Techs T15'!$G$3:$U$3,0))</f>
        <v>0.7</v>
      </c>
      <c r="N60" s="9">
        <f ca="1">OFFSET('RES Techs T15'!$F60,0,MATCH(VLOOKUP('RES Veda input'!N$3,'RES Assumptions T15'!$V$3:$W$35,2,FALSE),'RES Techs T15'!$G$3:$U$3,0))</f>
        <v>0.7</v>
      </c>
      <c r="O60" s="9">
        <f ca="1">OFFSET('RES Techs T15'!$F60,0,MATCH(VLOOKUP('RES Veda input'!O$3,'RES Assumptions T15'!$V$3:$W$35,2,FALSE),'RES Techs T15'!$G$3:$U$3,0))</f>
        <v>0.7</v>
      </c>
      <c r="P60" s="9">
        <f ca="1">OFFSET('RES Techs T15'!$F60,0,MATCH(VLOOKUP('RES Veda input'!P$3,'RES Assumptions T15'!$V$3:$W$35,2,FALSE),'RES Techs T15'!$G$3:$U$3,0))</f>
        <v>0.7</v>
      </c>
      <c r="Q60" s="9">
        <f ca="1">OFFSET('RES Techs T15'!$F60,0,MATCH(VLOOKUP('RES Veda input'!Q$3,'RES Assumptions T15'!$V$3:$W$35,2,FALSE),'RES Techs T15'!$G$3:$U$3,0))</f>
        <v>0.7</v>
      </c>
      <c r="R60" s="9">
        <f ca="1">OFFSET('RES Techs T15'!$F60,0,MATCH(VLOOKUP('RES Veda input'!R$3,'RES Assumptions T15'!$V$3:$W$35,2,FALSE),'RES Techs T15'!$G$3:$U$3,0))</f>
        <v>0.7</v>
      </c>
      <c r="S60" s="9">
        <f ca="1">OFFSET('RES Techs T15'!$F60,0,MATCH(VLOOKUP('RES Veda input'!S$3,'RES Assumptions T15'!$V$3:$W$35,2,FALSE),'RES Techs T15'!$G$3:$U$3,0))</f>
        <v>0.7</v>
      </c>
      <c r="T60" s="9">
        <f ca="1">OFFSET('RES Techs T15'!$F60,0,MATCH(VLOOKUP('RES Veda input'!T$3,'RES Assumptions T15'!$V$3:$W$35,2,FALSE),'RES Techs T15'!$G$3:$U$3,0))</f>
        <v>0.7</v>
      </c>
      <c r="U60" s="9">
        <f ca="1">OFFSET('RES Techs T15'!$F60,0,MATCH(VLOOKUP('RES Veda input'!U$3,'RES Assumptions T15'!$V$3:$W$35,2,FALSE),'RES Techs T15'!$G$3:$U$3,0))</f>
        <v>0.7</v>
      </c>
      <c r="V60" s="9">
        <f ca="1">OFFSET('RES Techs T15'!$F60,0,MATCH(VLOOKUP('RES Veda input'!V$3,'RES Assumptions T15'!$V$3:$W$35,2,FALSE),'RES Techs T15'!$G$3:$U$3,0))</f>
        <v>0.7</v>
      </c>
      <c r="W60" s="9">
        <f ca="1">OFFSET('RES Techs T15'!$F60,0,MATCH(VLOOKUP('RES Veda input'!W$3,'RES Assumptions T15'!$V$3:$W$35,2,FALSE),'RES Techs T15'!$G$3:$U$3,0))</f>
        <v>0.7</v>
      </c>
      <c r="X60" s="9">
        <f ca="1">OFFSET('RES Techs T15'!$F60,0,MATCH(VLOOKUP('RES Veda input'!X$3,'RES Assumptions T15'!$V$3:$W$35,2,FALSE),'RES Techs T15'!$G$3:$U$3,0))</f>
        <v>0.7</v>
      </c>
      <c r="Y60" s="9">
        <f ca="1">OFFSET('RES Techs T15'!$F60,0,MATCH(VLOOKUP('RES Veda input'!Y$3,'RES Assumptions T15'!$V$3:$W$35,2,FALSE),'RES Techs T15'!$G$3:$U$3,0))</f>
        <v>0.7</v>
      </c>
      <c r="Z60" s="9">
        <f ca="1">OFFSET('RES Techs T15'!$F60,0,MATCH(VLOOKUP('RES Veda input'!Z$3,'RES Assumptions T15'!$V$3:$W$35,2,FALSE),'RES Techs T15'!$G$3:$U$3,0))</f>
        <v>0.7</v>
      </c>
      <c r="AA60" s="9">
        <f ca="1">OFFSET('RES Techs T15'!$F60,0,MATCH(VLOOKUP('RES Veda input'!AA$3,'RES Assumptions T15'!$V$3:$W$35,2,FALSE),'RES Techs T15'!$G$3:$U$3,0))</f>
        <v>0.7</v>
      </c>
      <c r="AB60" s="9">
        <f ca="1">OFFSET('RES Techs T15'!$F60,0,MATCH(VLOOKUP('RES Veda input'!AB$3,'RES Assumptions T15'!$V$3:$W$35,2,FALSE),'RES Techs T15'!$G$3:$U$3,0))</f>
        <v>0.7</v>
      </c>
      <c r="AC60" s="9">
        <f ca="1">OFFSET('RES Techs T15'!$F60,0,MATCH(VLOOKUP('RES Veda input'!AC$3,'RES Assumptions T15'!$V$3:$W$35,2,FALSE),'RES Techs T15'!$G$3:$U$3,0))</f>
        <v>0.7</v>
      </c>
      <c r="AD60" s="9">
        <f ca="1">OFFSET('RES Techs T15'!$F60,0,MATCH(VLOOKUP('RES Veda input'!AD$3,'RES Assumptions T15'!$V$3:$W$35,2,FALSE),'RES Techs T15'!$G$3:$U$3,0))</f>
        <v>0.7</v>
      </c>
      <c r="AE60" s="9">
        <f ca="1">OFFSET('RES Techs T15'!$F60,0,MATCH(VLOOKUP('RES Veda input'!AE$3,'RES Assumptions T15'!$V$3:$W$35,2,FALSE),'RES Techs T15'!$G$3:$U$3,0))</f>
        <v>0.7</v>
      </c>
      <c r="AF60" s="9">
        <f ca="1">OFFSET('RES Techs T15'!$F60,0,MATCH(VLOOKUP('RES Veda input'!AF$3,'RES Assumptions T15'!$V$3:$W$35,2,FALSE),'RES Techs T15'!$G$3:$U$3,0))</f>
        <v>0.7</v>
      </c>
      <c r="AG60" s="9">
        <f ca="1">OFFSET('RES Techs T15'!$F60,0,MATCH(VLOOKUP('RES Veda input'!AG$3,'RES Assumptions T15'!$V$3:$W$35,2,FALSE),'RES Techs T15'!$G$3:$U$3,0))</f>
        <v>0.7</v>
      </c>
      <c r="AH60" s="9">
        <f ca="1">OFFSET('RES Techs T15'!$F60,0,MATCH(VLOOKUP('RES Veda input'!AH$3,'RES Assumptions T15'!$V$3:$W$35,2,FALSE),'RES Techs T15'!$G$3:$U$3,0))</f>
        <v>0.7</v>
      </c>
      <c r="AI60" s="9">
        <f ca="1">OFFSET('RES Techs T15'!$F60,0,MATCH(VLOOKUP('RES Veda input'!AI$3,'RES Assumptions T15'!$V$3:$W$35,2,FALSE),'RES Techs T15'!$G$3:$U$3,0))</f>
        <v>0.7</v>
      </c>
      <c r="AJ60" s="9">
        <f ca="1">OFFSET('RES Techs T15'!$F60,0,MATCH(VLOOKUP('RES Veda input'!AJ$3,'RES Assumptions T15'!$V$3:$W$35,2,FALSE),'RES Techs T15'!$G$3:$U$3,0))</f>
        <v>0.7</v>
      </c>
      <c r="AL60" s="8" t="str">
        <f t="shared" si="60"/>
        <v>RRFFRE000</v>
      </c>
      <c r="AM60" s="9">
        <f ca="1">OFFSET('RES Techs T15'!$W60,0,MATCH(VLOOKUP('RES Veda input'!AM$3,'RES Assumptions T15'!$V$3:$W$35,2,FALSE),'RES Techs T15'!$G$3:$U$3,0))</f>
        <v>1</v>
      </c>
      <c r="AN60" s="9">
        <f ca="1">OFFSET('RES Techs T15'!$W60,0,MATCH(VLOOKUP('RES Veda input'!AN$3,'RES Assumptions T15'!$V$3:$W$35,2,FALSE),'RES Techs T15'!$G$3:$U$3,0))</f>
        <v>1</v>
      </c>
      <c r="AO60" s="9">
        <f ca="1">OFFSET('RES Techs T15'!$W60,0,MATCH(VLOOKUP('RES Veda input'!AO$3,'RES Assumptions T15'!$V$3:$W$35,2,FALSE),'RES Techs T15'!$G$3:$U$3,0))</f>
        <v>1</v>
      </c>
      <c r="AP60" s="9">
        <f ca="1">OFFSET('RES Techs T15'!$W60,0,MATCH(VLOOKUP('RES Veda input'!AP$3,'RES Assumptions T15'!$V$3:$W$35,2,FALSE),'RES Techs T15'!$G$3:$U$3,0))</f>
        <v>1</v>
      </c>
      <c r="AQ60" s="9">
        <f ca="1">OFFSET('RES Techs T15'!$W60,0,MATCH(VLOOKUP('RES Veda input'!AQ$3,'RES Assumptions T15'!$V$3:$W$35,2,FALSE),'RES Techs T15'!$G$3:$U$3,0))</f>
        <v>1</v>
      </c>
      <c r="AR60" s="9">
        <f ca="1">OFFSET('RES Techs T15'!$W60,0,MATCH(VLOOKUP('RES Veda input'!AR$3,'RES Assumptions T15'!$V$3:$W$35,2,FALSE),'RES Techs T15'!$G$3:$U$3,0))</f>
        <v>1</v>
      </c>
      <c r="AS60" s="9">
        <f ca="1">OFFSET('RES Techs T15'!$W60,0,MATCH(VLOOKUP('RES Veda input'!AS$3,'RES Assumptions T15'!$V$3:$W$35,2,FALSE),'RES Techs T15'!$G$3:$U$3,0))</f>
        <v>1</v>
      </c>
      <c r="AT60" s="9">
        <f ca="1">OFFSET('RES Techs T15'!$W60,0,MATCH(VLOOKUP('RES Veda input'!AT$3,'RES Assumptions T15'!$V$3:$W$35,2,FALSE),'RES Techs T15'!$G$3:$U$3,0))</f>
        <v>1</v>
      </c>
      <c r="AU60" s="9">
        <f ca="1">OFFSET('RES Techs T15'!$W60,0,MATCH(VLOOKUP('RES Veda input'!AU$3,'RES Assumptions T15'!$V$3:$W$35,2,FALSE),'RES Techs T15'!$G$3:$U$3,0))</f>
        <v>1</v>
      </c>
      <c r="AV60" s="9">
        <f ca="1">OFFSET('RES Techs T15'!$W60,0,MATCH(VLOOKUP('RES Veda input'!AV$3,'RES Assumptions T15'!$V$3:$W$35,2,FALSE),'RES Techs T15'!$G$3:$U$3,0))</f>
        <v>1</v>
      </c>
      <c r="AW60" s="9">
        <f ca="1">OFFSET('RES Techs T15'!$W60,0,MATCH(VLOOKUP('RES Veda input'!AW$3,'RES Assumptions T15'!$V$3:$W$35,2,FALSE),'RES Techs T15'!$G$3:$U$3,0))</f>
        <v>1</v>
      </c>
      <c r="AX60" s="9">
        <f ca="1">OFFSET('RES Techs T15'!$W60,0,MATCH(VLOOKUP('RES Veda input'!AX$3,'RES Assumptions T15'!$V$3:$W$35,2,FALSE),'RES Techs T15'!$G$3:$U$3,0))</f>
        <v>1</v>
      </c>
      <c r="AY60" s="9">
        <f ca="1">OFFSET('RES Techs T15'!$W60,0,MATCH(VLOOKUP('RES Veda input'!AY$3,'RES Assumptions T15'!$V$3:$W$35,2,FALSE),'RES Techs T15'!$G$3:$U$3,0))</f>
        <v>1</v>
      </c>
      <c r="AZ60" s="9">
        <f ca="1">OFFSET('RES Techs T15'!$W60,0,MATCH(VLOOKUP('RES Veda input'!AZ$3,'RES Assumptions T15'!$V$3:$W$35,2,FALSE),'RES Techs T15'!$G$3:$U$3,0))</f>
        <v>1</v>
      </c>
      <c r="BA60" s="9">
        <f ca="1">OFFSET('RES Techs T15'!$W60,0,MATCH(VLOOKUP('RES Veda input'!BA$3,'RES Assumptions T15'!$V$3:$W$35,2,FALSE),'RES Techs T15'!$G$3:$U$3,0))</f>
        <v>1</v>
      </c>
      <c r="BB60" s="9">
        <f ca="1">OFFSET('RES Techs T15'!$W60,0,MATCH(VLOOKUP('RES Veda input'!BB$3,'RES Assumptions T15'!$V$3:$W$35,2,FALSE),'RES Techs T15'!$G$3:$U$3,0))</f>
        <v>1</v>
      </c>
      <c r="BC60" s="9">
        <f ca="1">OFFSET('RES Techs T15'!$W60,0,MATCH(VLOOKUP('RES Veda input'!BC$3,'RES Assumptions T15'!$V$3:$W$35,2,FALSE),'RES Techs T15'!$G$3:$U$3,0))</f>
        <v>1</v>
      </c>
      <c r="BD60" s="9">
        <f ca="1">OFFSET('RES Techs T15'!$W60,0,MATCH(VLOOKUP('RES Veda input'!BD$3,'RES Assumptions T15'!$V$3:$W$35,2,FALSE),'RES Techs T15'!$G$3:$U$3,0))</f>
        <v>1</v>
      </c>
      <c r="BE60" s="9">
        <f ca="1">OFFSET('RES Techs T15'!$W60,0,MATCH(VLOOKUP('RES Veda input'!BE$3,'RES Assumptions T15'!$V$3:$W$35,2,FALSE),'RES Techs T15'!$G$3:$U$3,0))</f>
        <v>1</v>
      </c>
      <c r="BF60" s="9">
        <f ca="1">OFFSET('RES Techs T15'!$W60,0,MATCH(VLOOKUP('RES Veda input'!BF$3,'RES Assumptions T15'!$V$3:$W$35,2,FALSE),'RES Techs T15'!$G$3:$U$3,0))</f>
        <v>1</v>
      </c>
      <c r="BG60" s="9">
        <f ca="1">OFFSET('RES Techs T15'!$W60,0,MATCH(VLOOKUP('RES Veda input'!BG$3,'RES Assumptions T15'!$V$3:$W$35,2,FALSE),'RES Techs T15'!$G$3:$U$3,0))</f>
        <v>1</v>
      </c>
      <c r="BH60" s="9">
        <f ca="1">OFFSET('RES Techs T15'!$W60,0,MATCH(VLOOKUP('RES Veda input'!BH$3,'RES Assumptions T15'!$V$3:$W$35,2,FALSE),'RES Techs T15'!$G$3:$U$3,0))</f>
        <v>1</v>
      </c>
      <c r="BI60" s="9">
        <f ca="1">OFFSET('RES Techs T15'!$W60,0,MATCH(VLOOKUP('RES Veda input'!BI$3,'RES Assumptions T15'!$V$3:$W$35,2,FALSE),'RES Techs T15'!$G$3:$U$3,0))</f>
        <v>1</v>
      </c>
      <c r="BJ60" s="9">
        <f ca="1">OFFSET('RES Techs T15'!$W60,0,MATCH(VLOOKUP('RES Veda input'!BJ$3,'RES Assumptions T15'!$V$3:$W$35,2,FALSE),'RES Techs T15'!$G$3:$U$3,0))</f>
        <v>1</v>
      </c>
      <c r="BK60" s="9">
        <f ca="1">OFFSET('RES Techs T15'!$W60,0,MATCH(VLOOKUP('RES Veda input'!BK$3,'RES Assumptions T15'!$V$3:$W$35,2,FALSE),'RES Techs T15'!$G$3:$U$3,0))</f>
        <v>1</v>
      </c>
      <c r="BL60" s="9">
        <f ca="1">OFFSET('RES Techs T15'!$W60,0,MATCH(VLOOKUP('RES Veda input'!BL$3,'RES Assumptions T15'!$V$3:$W$35,2,FALSE),'RES Techs T15'!$G$3:$U$3,0))</f>
        <v>1</v>
      </c>
      <c r="BM60" s="9">
        <f ca="1">OFFSET('RES Techs T15'!$W60,0,MATCH(VLOOKUP('RES Veda input'!BM$3,'RES Assumptions T15'!$V$3:$W$35,2,FALSE),'RES Techs T15'!$G$3:$U$3,0))</f>
        <v>1</v>
      </c>
      <c r="BN60" s="9">
        <f ca="1">OFFSET('RES Techs T15'!$W60,0,MATCH(VLOOKUP('RES Veda input'!BN$3,'RES Assumptions T15'!$V$3:$W$35,2,FALSE),'RES Techs T15'!$G$3:$U$3,0))</f>
        <v>1</v>
      </c>
      <c r="BO60" s="9">
        <f ca="1">OFFSET('RES Techs T15'!$W60,0,MATCH(VLOOKUP('RES Veda input'!BO$3,'RES Assumptions T15'!$V$3:$W$35,2,FALSE),'RES Techs T15'!$G$3:$U$3,0))</f>
        <v>1</v>
      </c>
      <c r="BP60" s="9">
        <f ca="1">OFFSET('RES Techs T15'!$W60,0,MATCH(VLOOKUP('RES Veda input'!BP$3,'RES Assumptions T15'!$V$3:$W$35,2,FALSE),'RES Techs T15'!$G$3:$U$3,0))</f>
        <v>1</v>
      </c>
      <c r="BR60" s="8" t="str">
        <f t="shared" si="61"/>
        <v>RRFFRE000</v>
      </c>
      <c r="BS60" s="9">
        <f t="shared" ca="1" si="62"/>
        <v>8.4</v>
      </c>
      <c r="BT60" s="9" t="str">
        <f ca="1">IF(OFFSET('RES Techs T15'!$AO60,0,MATCH(VLOOKUP('RES Veda input'!BT$3,'RES Assumptions T15'!$V$3:$W$35,2,FALSE),'RES Techs T15'!$G$3:$U$3,0))=0,"",OFFSET('RES Techs T15'!$AO60,0,MATCH(VLOOKUP('RES Veda input'!BT$3,'RES Assumptions T15'!$V$3:$W$35,2,FALSE),'RES Techs T15'!$G$3:$U$3,0)))</f>
        <v/>
      </c>
      <c r="BU60" s="9" t="str">
        <f ca="1">IF(OFFSET('RES Techs T15'!$AO60,0,MATCH(VLOOKUP('RES Veda input'!BU$3,'RES Assumptions T15'!$V$3:$W$35,2,FALSE),'RES Techs T15'!$G$3:$U$3,0))=0,"",OFFSET('RES Techs T15'!$AO60,0,MATCH(VLOOKUP('RES Veda input'!BU$3,'RES Assumptions T15'!$V$3:$W$35,2,FALSE),'RES Techs T15'!$G$3:$U$3,0)))</f>
        <v/>
      </c>
      <c r="BV60" s="9">
        <f ca="1">IF(OFFSET('RES Techs T15'!$AO60,0,MATCH(VLOOKUP('RES Veda input'!BV$3,'RES Assumptions T15'!$V$3:$W$35,2,FALSE),'RES Techs T15'!$G$3:$U$3,0))=0,"",OFFSET('RES Techs T15'!$AO60,0,MATCH(VLOOKUP('RES Veda input'!BV$3,'RES Assumptions T15'!$V$3:$W$35,2,FALSE),'RES Techs T15'!$G$3:$U$3,0)))</f>
        <v>9.8000000000000007</v>
      </c>
      <c r="BW60" s="9" t="str">
        <f ca="1">IF(OFFSET('RES Techs T15'!$AO60,0,MATCH(VLOOKUP('RES Veda input'!BW$3,'RES Assumptions T15'!$V$3:$W$35,2,FALSE),'RES Techs T15'!$G$3:$U$3,0))=0,"",OFFSET('RES Techs T15'!$AO60,0,MATCH(VLOOKUP('RES Veda input'!BW$3,'RES Assumptions T15'!$V$3:$W$35,2,FALSE),'RES Techs T15'!$G$3:$U$3,0)))</f>
        <v/>
      </c>
      <c r="BX60" s="9">
        <f ca="1">IF(OFFSET('RES Techs T15'!$AO60,0,MATCH(VLOOKUP('RES Veda input'!BX$3,'RES Assumptions T15'!$V$3:$W$35,2,FALSE),'RES Techs T15'!$G$3:$U$3,0))=0,"",OFFSET('RES Techs T15'!$AO60,0,MATCH(VLOOKUP('RES Veda input'!BX$3,'RES Assumptions T15'!$V$3:$W$35,2,FALSE),'RES Techs T15'!$G$3:$U$3,0)))</f>
        <v>14</v>
      </c>
      <c r="BY60" s="9">
        <f ca="1">IF(OFFSET('RES Techs T15'!$AO60,0,MATCH(VLOOKUP('RES Veda input'!BY$3,'RES Assumptions T15'!$V$3:$W$35,2,FALSE),'RES Techs T15'!$G$3:$U$3,0))=0,"",OFFSET('RES Techs T15'!$AO60,0,MATCH(VLOOKUP('RES Veda input'!BY$3,'RES Assumptions T15'!$V$3:$W$35,2,FALSE),'RES Techs T15'!$G$3:$U$3,0)))</f>
        <v>8.4</v>
      </c>
      <c r="BZ60" s="9" t="str">
        <f ca="1">IF(OFFSET('RES Techs T15'!$AO60,0,MATCH(VLOOKUP('RES Veda input'!BZ$3,'RES Assumptions T15'!$V$3:$W$35,2,FALSE),'RES Techs T15'!$G$3:$U$3,0))=0,"",OFFSET('RES Techs T15'!$AO60,0,MATCH(VLOOKUP('RES Veda input'!BZ$3,'RES Assumptions T15'!$V$3:$W$35,2,FALSE),'RES Techs T15'!$G$3:$U$3,0)))</f>
        <v/>
      </c>
      <c r="CA60" s="9">
        <f ca="1">IF(OFFSET('RES Techs T15'!$AO60,0,MATCH(VLOOKUP('RES Veda input'!CA$3,'RES Assumptions T15'!$V$3:$W$35,2,FALSE),'RES Techs T15'!$G$3:$U$3,0))=0,"",OFFSET('RES Techs T15'!$AO60,0,MATCH(VLOOKUP('RES Veda input'!CA$3,'RES Assumptions T15'!$V$3:$W$35,2,FALSE),'RES Techs T15'!$G$3:$U$3,0)))</f>
        <v>9.8000000000000007</v>
      </c>
      <c r="CB60" s="9" t="str">
        <f ca="1">IF(OFFSET('RES Techs T15'!$AO60,0,MATCH(VLOOKUP('RES Veda input'!CB$3,'RES Assumptions T15'!$V$3:$W$35,2,FALSE),'RES Techs T15'!$G$3:$U$3,0))=0,"",OFFSET('RES Techs T15'!$AO60,0,MATCH(VLOOKUP('RES Veda input'!CB$3,'RES Assumptions T15'!$V$3:$W$35,2,FALSE),'RES Techs T15'!$G$3:$U$3,0)))</f>
        <v/>
      </c>
      <c r="CC60" s="9">
        <f ca="1">IF(OFFSET('RES Techs T15'!$AO60,0,MATCH(VLOOKUP('RES Veda input'!CC$3,'RES Assumptions T15'!$V$3:$W$35,2,FALSE),'RES Techs T15'!$G$3:$U$3,0))=0,"",OFFSET('RES Techs T15'!$AO60,0,MATCH(VLOOKUP('RES Veda input'!CC$3,'RES Assumptions T15'!$V$3:$W$35,2,FALSE),'RES Techs T15'!$G$3:$U$3,0)))</f>
        <v>8.4</v>
      </c>
      <c r="CD60" s="9" t="str">
        <f ca="1">IF(OFFSET('RES Techs T15'!$AO60,0,MATCH(VLOOKUP('RES Veda input'!CD$3,'RES Assumptions T15'!$V$3:$W$35,2,FALSE),'RES Techs T15'!$G$3:$U$3,0))=0,"",OFFSET('RES Techs T15'!$AO60,0,MATCH(VLOOKUP('RES Veda input'!CD$3,'RES Assumptions T15'!$V$3:$W$35,2,FALSE),'RES Techs T15'!$G$3:$U$3,0)))</f>
        <v/>
      </c>
      <c r="CE60" s="9" t="str">
        <f ca="1">IF(OFFSET('RES Techs T15'!$AO60,0,MATCH(VLOOKUP('RES Veda input'!CE$3,'RES Assumptions T15'!$V$3:$W$35,2,FALSE),'RES Techs T15'!$G$3:$U$3,0))=0,"",OFFSET('RES Techs T15'!$AO60,0,MATCH(VLOOKUP('RES Veda input'!CE$3,'RES Assumptions T15'!$V$3:$W$35,2,FALSE),'RES Techs T15'!$G$3:$U$3,0)))</f>
        <v/>
      </c>
      <c r="CF60" s="9" t="str">
        <f ca="1">IF(OFFSET('RES Techs T15'!$AO60,0,MATCH(VLOOKUP('RES Veda input'!CF$3,'RES Assumptions T15'!$V$3:$W$35,2,FALSE),'RES Techs T15'!$G$3:$U$3,0))=0,"",OFFSET('RES Techs T15'!$AO60,0,MATCH(VLOOKUP('RES Veda input'!CF$3,'RES Assumptions T15'!$V$3:$W$35,2,FALSE),'RES Techs T15'!$G$3:$U$3,0)))</f>
        <v/>
      </c>
      <c r="CG60" s="9" t="str">
        <f ca="1">IF(OFFSET('RES Techs T15'!$AO60,0,MATCH(VLOOKUP('RES Veda input'!CG$3,'RES Assumptions T15'!$V$3:$W$35,2,FALSE),'RES Techs T15'!$G$3:$U$3,0))=0,"",OFFSET('RES Techs T15'!$AO60,0,MATCH(VLOOKUP('RES Veda input'!CG$3,'RES Assumptions T15'!$V$3:$W$35,2,FALSE),'RES Techs T15'!$G$3:$U$3,0)))</f>
        <v/>
      </c>
      <c r="CH60" s="9" t="str">
        <f ca="1">IF(OFFSET('RES Techs T15'!$AO60,0,MATCH(VLOOKUP('RES Veda input'!CH$3,'RES Assumptions T15'!$V$3:$W$35,2,FALSE),'RES Techs T15'!$G$3:$U$3,0))=0,"",OFFSET('RES Techs T15'!$AO60,0,MATCH(VLOOKUP('RES Veda input'!CH$3,'RES Assumptions T15'!$V$3:$W$35,2,FALSE),'RES Techs T15'!$G$3:$U$3,0)))</f>
        <v/>
      </c>
      <c r="CI60" s="9" t="str">
        <f ca="1">IF(OFFSET('RES Techs T15'!$AO60,0,MATCH(VLOOKUP('RES Veda input'!CI$3,'RES Assumptions T15'!$V$3:$W$35,2,FALSE),'RES Techs T15'!$G$3:$U$3,0))=0,"",OFFSET('RES Techs T15'!$AO60,0,MATCH(VLOOKUP('RES Veda input'!CI$3,'RES Assumptions T15'!$V$3:$W$35,2,FALSE),'RES Techs T15'!$G$3:$U$3,0)))</f>
        <v/>
      </c>
      <c r="CJ60" s="9">
        <f ca="1">IF(OFFSET('RES Techs T15'!$AO60,0,MATCH(VLOOKUP('RES Veda input'!CJ$3,'RES Assumptions T15'!$V$3:$W$35,2,FALSE),'RES Techs T15'!$G$3:$U$3,0))=0,"",OFFSET('RES Techs T15'!$AO60,0,MATCH(VLOOKUP('RES Veda input'!CJ$3,'RES Assumptions T15'!$V$3:$W$35,2,FALSE),'RES Techs T15'!$G$3:$U$3,0)))</f>
        <v>9.8000000000000007</v>
      </c>
      <c r="CK60" s="9" t="str">
        <f ca="1">IF(OFFSET('RES Techs T15'!$AO60,0,MATCH(VLOOKUP('RES Veda input'!CK$3,'RES Assumptions T15'!$V$3:$W$35,2,FALSE),'RES Techs T15'!$G$3:$U$3,0))=0,"",OFFSET('RES Techs T15'!$AO60,0,MATCH(VLOOKUP('RES Veda input'!CK$3,'RES Assumptions T15'!$V$3:$W$35,2,FALSE),'RES Techs T15'!$G$3:$U$3,0)))</f>
        <v/>
      </c>
      <c r="CL60" s="9" t="str">
        <f ca="1">IF(OFFSET('RES Techs T15'!$AO60,0,MATCH(VLOOKUP('RES Veda input'!CL$3,'RES Assumptions T15'!$V$3:$W$35,2,FALSE),'RES Techs T15'!$G$3:$U$3,0))=0,"",OFFSET('RES Techs T15'!$AO60,0,MATCH(VLOOKUP('RES Veda input'!CL$3,'RES Assumptions T15'!$V$3:$W$35,2,FALSE),'RES Techs T15'!$G$3:$U$3,0)))</f>
        <v/>
      </c>
      <c r="CM60" s="9">
        <f ca="1">IF(OFFSET('RES Techs T15'!$AO60,0,MATCH(VLOOKUP('RES Veda input'!CM$3,'RES Assumptions T15'!$V$3:$W$35,2,FALSE),'RES Techs T15'!$G$3:$U$3,0))=0,"",OFFSET('RES Techs T15'!$AO60,0,MATCH(VLOOKUP('RES Veda input'!CM$3,'RES Assumptions T15'!$V$3:$W$35,2,FALSE),'RES Techs T15'!$G$3:$U$3,0)))</f>
        <v>8.4</v>
      </c>
      <c r="CN60" s="9">
        <f ca="1">IF(OFFSET('RES Techs T15'!$AO60,0,MATCH(VLOOKUP('RES Veda input'!CN$3,'RES Assumptions T15'!$V$3:$W$35,2,FALSE),'RES Techs T15'!$G$3:$U$3,0))=0,"",OFFSET('RES Techs T15'!$AO60,0,MATCH(VLOOKUP('RES Veda input'!CN$3,'RES Assumptions T15'!$V$3:$W$35,2,FALSE),'RES Techs T15'!$G$3:$U$3,0)))</f>
        <v>9.8000000000000007</v>
      </c>
      <c r="CO60" s="9">
        <f ca="1">IF(OFFSET('RES Techs T15'!$AO60,0,MATCH(VLOOKUP('RES Veda input'!CO$3,'RES Assumptions T15'!$V$3:$W$35,2,FALSE),'RES Techs T15'!$G$3:$U$3,0))=0,"",OFFSET('RES Techs T15'!$AO60,0,MATCH(VLOOKUP('RES Veda input'!CO$3,'RES Assumptions T15'!$V$3:$W$35,2,FALSE),'RES Techs T15'!$G$3:$U$3,0)))</f>
        <v>11.2</v>
      </c>
      <c r="CP60" s="9">
        <f ca="1">IF(OFFSET('RES Techs T15'!$AO60,0,MATCH(VLOOKUP('RES Veda input'!CP$3,'RES Assumptions T15'!$V$3:$W$35,2,FALSE),'RES Techs T15'!$G$3:$U$3,0))=0,"",OFFSET('RES Techs T15'!$AO60,0,MATCH(VLOOKUP('RES Veda input'!CP$3,'RES Assumptions T15'!$V$3:$W$35,2,FALSE),'RES Techs T15'!$G$3:$U$3,0)))</f>
        <v>9.8000000000000007</v>
      </c>
      <c r="CQ60" s="9" t="str">
        <f ca="1">IF(OFFSET('RES Techs T15'!$AO60,0,MATCH(VLOOKUP('RES Veda input'!CQ$3,'RES Assumptions T15'!$V$3:$W$35,2,FALSE),'RES Techs T15'!$G$3:$U$3,0))=0,"",OFFSET('RES Techs T15'!$AO60,0,MATCH(VLOOKUP('RES Veda input'!CQ$3,'RES Assumptions T15'!$V$3:$W$35,2,FALSE),'RES Techs T15'!$G$3:$U$3,0)))</f>
        <v/>
      </c>
      <c r="CR60" s="9" t="str">
        <f ca="1">IF(OFFSET('RES Techs T15'!$AO60,0,MATCH(VLOOKUP('RES Veda input'!CR$3,'RES Assumptions T15'!$V$3:$W$35,2,FALSE),'RES Techs T15'!$G$3:$U$3,0))=0,"",OFFSET('RES Techs T15'!$AO60,0,MATCH(VLOOKUP('RES Veda input'!CR$3,'RES Assumptions T15'!$V$3:$W$35,2,FALSE),'RES Techs T15'!$G$3:$U$3,0)))</f>
        <v/>
      </c>
      <c r="CS60" s="9">
        <f ca="1">IF(OFFSET('RES Techs T15'!$AO60,0,MATCH(VLOOKUP('RES Veda input'!CS$3,'RES Assumptions T15'!$V$3:$W$35,2,FALSE),'RES Techs T15'!$G$3:$U$3,0))=0,"",OFFSET('RES Techs T15'!$AO60,0,MATCH(VLOOKUP('RES Veda input'!CS$3,'RES Assumptions T15'!$V$3:$W$35,2,FALSE),'RES Techs T15'!$G$3:$U$3,0)))</f>
        <v>9.8000000000000007</v>
      </c>
      <c r="CT60" s="9" t="str">
        <f ca="1">IF(OFFSET('RES Techs T15'!$AO60,0,MATCH(VLOOKUP('RES Veda input'!CT$3,'RES Assumptions T15'!$V$3:$W$35,2,FALSE),'RES Techs T15'!$G$3:$U$3,0))=0,"",OFFSET('RES Techs T15'!$AO60,0,MATCH(VLOOKUP('RES Veda input'!CT$3,'RES Assumptions T15'!$V$3:$W$35,2,FALSE),'RES Techs T15'!$G$3:$U$3,0)))</f>
        <v/>
      </c>
      <c r="CU60" s="9" t="str">
        <f ca="1">IF(OFFSET('RES Techs T15'!$AO60,0,MATCH(VLOOKUP('RES Veda input'!CU$3,'RES Assumptions T15'!$V$3:$W$35,2,FALSE),'RES Techs T15'!$G$3:$U$3,0))=0,"",OFFSET('RES Techs T15'!$AO60,0,MATCH(VLOOKUP('RES Veda input'!CU$3,'RES Assumptions T15'!$V$3:$W$35,2,FALSE),'RES Techs T15'!$G$3:$U$3,0)))</f>
        <v/>
      </c>
      <c r="CV60" s="9">
        <f ca="1">IF(OFFSET('RES Techs T15'!$AO60,0,MATCH(VLOOKUP('RES Veda input'!CV$3,'RES Assumptions T15'!$V$3:$W$35,2,FALSE),'RES Techs T15'!$G$3:$U$3,0))=0,"",OFFSET('RES Techs T15'!$AO60,0,MATCH(VLOOKUP('RES Veda input'!CV$3,'RES Assumptions T15'!$V$3:$W$35,2,FALSE),'RES Techs T15'!$G$3:$U$3,0)))</f>
        <v>5.66</v>
      </c>
      <c r="CW60" s="9">
        <f ca="1">IF(OFFSET('RES Techs T15'!$AO60,0,MATCH(VLOOKUP('RES Veda input'!CW$3,'RES Assumptions T15'!$V$3:$W$35,2,FALSE),'RES Techs T15'!$G$3:$U$3,0))=0,"",OFFSET('RES Techs T15'!$AO60,0,MATCH(VLOOKUP('RES Veda input'!CW$3,'RES Assumptions T15'!$V$3:$W$35,2,FALSE),'RES Techs T15'!$G$3:$U$3,0)))</f>
        <v>5.66</v>
      </c>
      <c r="CY60" s="8" t="str">
        <f t="shared" si="63"/>
        <v>RRFFRE000</v>
      </c>
      <c r="CZ60" s="10">
        <f ca="1">ROUND('RES Assumptions'!E143*'RES Veda input'!G60/'RES Veda input'!AM60,3)</f>
        <v>9.4939999999999998</v>
      </c>
      <c r="DA60" s="10">
        <f ca="1">ROUND('RES Assumptions'!F143*'RES Veda input'!H60/'RES Veda input'!AN60,3)</f>
        <v>6.3849999999999998</v>
      </c>
      <c r="DB60" s="10">
        <f ca="1">ROUND('RES Assumptions'!G143*'RES Veda input'!I60/'RES Veda input'!AO60,3)</f>
        <v>0.28599999999999998</v>
      </c>
      <c r="DC60" s="10">
        <f ca="1">ROUND('RES Assumptions'!H143*'RES Veda input'!J60/'RES Veda input'!AP60,3)</f>
        <v>6.3390000000000004</v>
      </c>
      <c r="DD60" s="10">
        <f ca="1">ROUND('RES Assumptions'!I143*'RES Veda input'!K60/'RES Veda input'!AQ60,3)</f>
        <v>12.076000000000001</v>
      </c>
      <c r="DE60" s="10">
        <f ca="1">ROUND('RES Assumptions'!J143*'RES Veda input'!L60/'RES Veda input'!AR60,3)</f>
        <v>11.571</v>
      </c>
      <c r="DF60" s="10">
        <f ca="1">ROUND('RES Assumptions'!K143*'RES Veda input'!M60/'RES Veda input'!AS60,3)</f>
        <v>5.9359999999999999</v>
      </c>
      <c r="DG60" s="10">
        <f ca="1">ROUND('RES Assumptions'!L143*'RES Veda input'!N60/'RES Veda input'!AT60,3)</f>
        <v>0.71899999999999997</v>
      </c>
      <c r="DH60" s="10">
        <f ca="1">ROUND('RES Assumptions'!M143*'RES Veda input'!O60/'RES Veda input'!AU60,3)</f>
        <v>14.439</v>
      </c>
      <c r="DI60" s="10">
        <f ca="1">ROUND('RES Assumptions'!N143*'RES Veda input'!P60/'RES Veda input'!AV60,3)</f>
        <v>89.450999999999993</v>
      </c>
      <c r="DJ60" s="10">
        <f ca="1">ROUND('RES Assumptions'!O143*'RES Veda input'!Q60/'RES Veda input'!AW60,3)</f>
        <v>5.9489999999999998</v>
      </c>
      <c r="DK60" s="10">
        <f ca="1">ROUND('RES Assumptions'!P143*'RES Veda input'!R60/'RES Veda input'!AX60,3)</f>
        <v>8.3239999999999998</v>
      </c>
      <c r="DL60" s="10">
        <f ca="1">ROUND('RES Assumptions'!Q143*'RES Veda input'!S60/'RES Veda input'!AY60,3)</f>
        <v>3.944</v>
      </c>
      <c r="DM60" s="10">
        <f ca="1">ROUND('RES Assumptions'!R143*'RES Veda input'!T60/'RES Veda input'!AZ60,3)</f>
        <v>6.6440000000000001</v>
      </c>
      <c r="DN60" s="10">
        <f ca="1">ROUND('RES Assumptions'!S143*'RES Veda input'!U60/'RES Veda input'!BA60,3)</f>
        <v>4.9969999999999999</v>
      </c>
      <c r="DO60" s="10">
        <f ca="1">ROUND('RES Assumptions'!T143*'RES Veda input'!V60/'RES Veda input'!BB60,3)</f>
        <v>6.6909999999999998</v>
      </c>
      <c r="DP60" s="10">
        <f ca="1">ROUND('RES Assumptions'!U143*'RES Veda input'!W60/'RES Veda input'!BC60,3)</f>
        <v>16.312000000000001</v>
      </c>
      <c r="DQ60" s="10">
        <f ca="1">ROUND('RES Assumptions'!V143*'RES Veda input'!X60/'RES Veda input'!BD60,3)</f>
        <v>12.397</v>
      </c>
      <c r="DR60" s="10">
        <f ca="1">ROUND('RES Assumptions'!W143*'RES Veda input'!Y60/'RES Veda input'!BE60,3)</f>
        <v>9.8209999999999997</v>
      </c>
      <c r="DS60" s="10">
        <f ca="1">ROUND('RES Assumptions'!X143*'RES Veda input'!Z60/'RES Veda input'!BF60,3)</f>
        <v>2.7109999999999999</v>
      </c>
      <c r="DT60" s="10">
        <f ca="1">ROUND('RES Assumptions'!Y143*'RES Veda input'!AA60/'RES Veda input'!BG60,3)</f>
        <v>0.57399999999999995</v>
      </c>
      <c r="DU60" s="10">
        <f ca="1">ROUND('RES Assumptions'!Z143*'RES Veda input'!AB60/'RES Veda input'!BH60,3)</f>
        <v>0.65</v>
      </c>
      <c r="DV60" s="10">
        <f ca="1">ROUND('RES Assumptions'!AA143*'RES Veda input'!AC60/'RES Veda input'!BI60,3)</f>
        <v>29.677</v>
      </c>
      <c r="DW60" s="10">
        <f ca="1">ROUND('RES Assumptions'!AB143*'RES Veda input'!AD60/'RES Veda input'!BJ60,3)</f>
        <v>3.1779999999999999</v>
      </c>
      <c r="DX60" s="10">
        <f ca="1">ROUND('RES Assumptions'!AC143*'RES Veda input'!AE60/'RES Veda input'!BK60,3)</f>
        <v>17.838000000000001</v>
      </c>
      <c r="DY60" s="10">
        <f ca="1">ROUND('RES Assumptions'!AD143*'RES Veda input'!AF60/'RES Veda input'!BL60,3)</f>
        <v>14.249000000000001</v>
      </c>
      <c r="DZ60" s="10">
        <f ca="1">ROUND('RES Assumptions'!AE143*'RES Veda input'!AG60/'RES Veda input'!BM60,3)</f>
        <v>4.0469999999999997</v>
      </c>
      <c r="EA60" s="10">
        <f ca="1">ROUND('RES Assumptions'!AF143*'RES Veda input'!AH60/'RES Veda input'!BN60,3)</f>
        <v>8.0579999999999998</v>
      </c>
      <c r="EB60" s="10">
        <f ca="1">ROUND('RES Assumptions'!AG143*'RES Veda input'!AI60/'RES Veda input'!BO60,3)</f>
        <v>112.623</v>
      </c>
      <c r="EC60" s="10">
        <f ca="1">ROUND('RES Assumptions'!AH143*'RES Veda input'!AJ60/'RES Veda input'!BP60,3)</f>
        <v>0</v>
      </c>
      <c r="ED60">
        <v>15</v>
      </c>
      <c r="EG60" t="s">
        <v>281</v>
      </c>
      <c r="EH60" t="str">
        <f t="shared" si="64"/>
        <v>RRFFRE000</v>
      </c>
      <c r="EJ60" t="s">
        <v>282</v>
      </c>
      <c r="EK60" t="s">
        <v>283</v>
      </c>
    </row>
    <row r="61" spans="1:141" x14ac:dyDescent="0.45">
      <c r="A61" s="37" t="str">
        <f>'RES Assumptions'!B144</f>
        <v>RR</v>
      </c>
      <c r="B61" s="37" t="s">
        <v>107</v>
      </c>
      <c r="D61" s="51" t="s">
        <v>107</v>
      </c>
      <c r="E61" s="8" t="str">
        <f>'RES Assumptions'!A144</f>
        <v>RESELC</v>
      </c>
      <c r="F61" s="8" t="str">
        <f>VLOOKUP(A61,'RES Assumptions'!$AN$87:$AO$97,2,FALSE)</f>
        <v>RRF</v>
      </c>
      <c r="G61" s="9">
        <f ca="1">OFFSET('RES Techs T15'!$F61,0,MATCH(VLOOKUP('RES Veda input'!G$3,'RES Assumptions T15'!$V$3:$W$35,2,FALSE),'RES Techs T15'!$G$3:$U$3,0))</f>
        <v>0.8</v>
      </c>
      <c r="H61" s="9">
        <f ca="1">OFFSET('RES Techs T15'!$F61,0,MATCH(VLOOKUP('RES Veda input'!H$3,'RES Assumptions T15'!$V$3:$W$35,2,FALSE),'RES Techs T15'!$G$3:$U$3,0))</f>
        <v>0.8</v>
      </c>
      <c r="I61" s="9">
        <f ca="1">OFFSET('RES Techs T15'!$F61,0,MATCH(VLOOKUP('RES Veda input'!I$3,'RES Assumptions T15'!$V$3:$W$35,2,FALSE),'RES Techs T15'!$G$3:$U$3,0))</f>
        <v>0.8</v>
      </c>
      <c r="J61" s="9">
        <f ca="1">OFFSET('RES Techs T15'!$F61,0,MATCH(VLOOKUP('RES Veda input'!J$3,'RES Assumptions T15'!$V$3:$W$35,2,FALSE),'RES Techs T15'!$G$3:$U$3,0))</f>
        <v>0.8</v>
      </c>
      <c r="K61" s="9">
        <f ca="1">OFFSET('RES Techs T15'!$F61,0,MATCH(VLOOKUP('RES Veda input'!K$3,'RES Assumptions T15'!$V$3:$W$35,2,FALSE),'RES Techs T15'!$G$3:$U$3,0))</f>
        <v>0.8</v>
      </c>
      <c r="L61" s="9">
        <f ca="1">OFFSET('RES Techs T15'!$F61,0,MATCH(VLOOKUP('RES Veda input'!L$3,'RES Assumptions T15'!$V$3:$W$35,2,FALSE),'RES Techs T15'!$G$3:$U$3,0))</f>
        <v>0.8</v>
      </c>
      <c r="M61" s="9">
        <f ca="1">OFFSET('RES Techs T15'!$F61,0,MATCH(VLOOKUP('RES Veda input'!M$3,'RES Assumptions T15'!$V$3:$W$35,2,FALSE),'RES Techs T15'!$G$3:$U$3,0))</f>
        <v>0.8</v>
      </c>
      <c r="N61" s="9">
        <f ca="1">OFFSET('RES Techs T15'!$F61,0,MATCH(VLOOKUP('RES Veda input'!N$3,'RES Assumptions T15'!$V$3:$W$35,2,FALSE),'RES Techs T15'!$G$3:$U$3,0))</f>
        <v>0.8</v>
      </c>
      <c r="O61" s="9">
        <f ca="1">OFFSET('RES Techs T15'!$F61,0,MATCH(VLOOKUP('RES Veda input'!O$3,'RES Assumptions T15'!$V$3:$W$35,2,FALSE),'RES Techs T15'!$G$3:$U$3,0))</f>
        <v>0.8</v>
      </c>
      <c r="P61" s="9">
        <f ca="1">OFFSET('RES Techs T15'!$F61,0,MATCH(VLOOKUP('RES Veda input'!P$3,'RES Assumptions T15'!$V$3:$W$35,2,FALSE),'RES Techs T15'!$G$3:$U$3,0))</f>
        <v>0.8</v>
      </c>
      <c r="Q61" s="9">
        <f ca="1">OFFSET('RES Techs T15'!$F61,0,MATCH(VLOOKUP('RES Veda input'!Q$3,'RES Assumptions T15'!$V$3:$W$35,2,FALSE),'RES Techs T15'!$G$3:$U$3,0))</f>
        <v>0.8</v>
      </c>
      <c r="R61" s="9">
        <f ca="1">OFFSET('RES Techs T15'!$F61,0,MATCH(VLOOKUP('RES Veda input'!R$3,'RES Assumptions T15'!$V$3:$W$35,2,FALSE),'RES Techs T15'!$G$3:$U$3,0))</f>
        <v>0.8</v>
      </c>
      <c r="S61" s="9">
        <f ca="1">OFFSET('RES Techs T15'!$F61,0,MATCH(VLOOKUP('RES Veda input'!S$3,'RES Assumptions T15'!$V$3:$W$35,2,FALSE),'RES Techs T15'!$G$3:$U$3,0))</f>
        <v>0.8</v>
      </c>
      <c r="T61" s="9">
        <f ca="1">OFFSET('RES Techs T15'!$F61,0,MATCH(VLOOKUP('RES Veda input'!T$3,'RES Assumptions T15'!$V$3:$W$35,2,FALSE),'RES Techs T15'!$G$3:$U$3,0))</f>
        <v>0.8</v>
      </c>
      <c r="U61" s="9">
        <f ca="1">OFFSET('RES Techs T15'!$F61,0,MATCH(VLOOKUP('RES Veda input'!U$3,'RES Assumptions T15'!$V$3:$W$35,2,FALSE),'RES Techs T15'!$G$3:$U$3,0))</f>
        <v>0.8</v>
      </c>
      <c r="V61" s="9">
        <f ca="1">OFFSET('RES Techs T15'!$F61,0,MATCH(VLOOKUP('RES Veda input'!V$3,'RES Assumptions T15'!$V$3:$W$35,2,FALSE),'RES Techs T15'!$G$3:$U$3,0))</f>
        <v>0.8</v>
      </c>
      <c r="W61" s="9">
        <f ca="1">OFFSET('RES Techs T15'!$F61,0,MATCH(VLOOKUP('RES Veda input'!W$3,'RES Assumptions T15'!$V$3:$W$35,2,FALSE),'RES Techs T15'!$G$3:$U$3,0))</f>
        <v>0.8</v>
      </c>
      <c r="X61" s="9">
        <f ca="1">OFFSET('RES Techs T15'!$F61,0,MATCH(VLOOKUP('RES Veda input'!X$3,'RES Assumptions T15'!$V$3:$W$35,2,FALSE),'RES Techs T15'!$G$3:$U$3,0))</f>
        <v>0.8</v>
      </c>
      <c r="Y61" s="9">
        <f ca="1">OFFSET('RES Techs T15'!$F61,0,MATCH(VLOOKUP('RES Veda input'!Y$3,'RES Assumptions T15'!$V$3:$W$35,2,FALSE),'RES Techs T15'!$G$3:$U$3,0))</f>
        <v>0.8</v>
      </c>
      <c r="Z61" s="9">
        <f ca="1">OFFSET('RES Techs T15'!$F61,0,MATCH(VLOOKUP('RES Veda input'!Z$3,'RES Assumptions T15'!$V$3:$W$35,2,FALSE),'RES Techs T15'!$G$3:$U$3,0))</f>
        <v>0.8</v>
      </c>
      <c r="AA61" s="9">
        <f ca="1">OFFSET('RES Techs T15'!$F61,0,MATCH(VLOOKUP('RES Veda input'!AA$3,'RES Assumptions T15'!$V$3:$W$35,2,FALSE),'RES Techs T15'!$G$3:$U$3,0))</f>
        <v>0.8</v>
      </c>
      <c r="AB61" s="9">
        <f ca="1">OFFSET('RES Techs T15'!$F61,0,MATCH(VLOOKUP('RES Veda input'!AB$3,'RES Assumptions T15'!$V$3:$W$35,2,FALSE),'RES Techs T15'!$G$3:$U$3,0))</f>
        <v>0.8</v>
      </c>
      <c r="AC61" s="9">
        <f ca="1">OFFSET('RES Techs T15'!$F61,0,MATCH(VLOOKUP('RES Veda input'!AC$3,'RES Assumptions T15'!$V$3:$W$35,2,FALSE),'RES Techs T15'!$G$3:$U$3,0))</f>
        <v>0.8</v>
      </c>
      <c r="AD61" s="9">
        <f ca="1">OFFSET('RES Techs T15'!$F61,0,MATCH(VLOOKUP('RES Veda input'!AD$3,'RES Assumptions T15'!$V$3:$W$35,2,FALSE),'RES Techs T15'!$G$3:$U$3,0))</f>
        <v>0.8</v>
      </c>
      <c r="AE61" s="9">
        <f ca="1">OFFSET('RES Techs T15'!$F61,0,MATCH(VLOOKUP('RES Veda input'!AE$3,'RES Assumptions T15'!$V$3:$W$35,2,FALSE),'RES Techs T15'!$G$3:$U$3,0))</f>
        <v>0.8</v>
      </c>
      <c r="AF61" s="9">
        <f ca="1">OFFSET('RES Techs T15'!$F61,0,MATCH(VLOOKUP('RES Veda input'!AF$3,'RES Assumptions T15'!$V$3:$W$35,2,FALSE),'RES Techs T15'!$G$3:$U$3,0))</f>
        <v>0.8</v>
      </c>
      <c r="AG61" s="9">
        <f ca="1">OFFSET('RES Techs T15'!$F61,0,MATCH(VLOOKUP('RES Veda input'!AG$3,'RES Assumptions T15'!$V$3:$W$35,2,FALSE),'RES Techs T15'!$G$3:$U$3,0))</f>
        <v>0.8</v>
      </c>
      <c r="AH61" s="9">
        <f ca="1">OFFSET('RES Techs T15'!$F61,0,MATCH(VLOOKUP('RES Veda input'!AH$3,'RES Assumptions T15'!$V$3:$W$35,2,FALSE),'RES Techs T15'!$G$3:$U$3,0))</f>
        <v>0.8</v>
      </c>
      <c r="AI61" s="9">
        <f ca="1">OFFSET('RES Techs T15'!$F61,0,MATCH(VLOOKUP('RES Veda input'!AI$3,'RES Assumptions T15'!$V$3:$W$35,2,FALSE),'RES Techs T15'!$G$3:$U$3,0))</f>
        <v>0.8</v>
      </c>
      <c r="AJ61" s="9">
        <f ca="1">OFFSET('RES Techs T15'!$F61,0,MATCH(VLOOKUP('RES Veda input'!AJ$3,'RES Assumptions T15'!$V$3:$W$35,2,FALSE),'RES Techs T15'!$G$3:$U$3,0))</f>
        <v>0.8</v>
      </c>
      <c r="AL61" s="8" t="str">
        <f t="shared" si="60"/>
        <v>RRFRFE000</v>
      </c>
      <c r="AM61" s="9">
        <f ca="1">OFFSET('RES Techs T15'!$W61,0,MATCH(VLOOKUP('RES Veda input'!AM$3,'RES Assumptions T15'!$V$3:$W$35,2,FALSE),'RES Techs T15'!$G$3:$U$3,0))</f>
        <v>1</v>
      </c>
      <c r="AN61" s="9">
        <f ca="1">OFFSET('RES Techs T15'!$W61,0,MATCH(VLOOKUP('RES Veda input'!AN$3,'RES Assumptions T15'!$V$3:$W$35,2,FALSE),'RES Techs T15'!$G$3:$U$3,0))</f>
        <v>1</v>
      </c>
      <c r="AO61" s="9">
        <f ca="1">OFFSET('RES Techs T15'!$W61,0,MATCH(VLOOKUP('RES Veda input'!AO$3,'RES Assumptions T15'!$V$3:$W$35,2,FALSE),'RES Techs T15'!$G$3:$U$3,0))</f>
        <v>1</v>
      </c>
      <c r="AP61" s="9">
        <f ca="1">OFFSET('RES Techs T15'!$W61,0,MATCH(VLOOKUP('RES Veda input'!AP$3,'RES Assumptions T15'!$V$3:$W$35,2,FALSE),'RES Techs T15'!$G$3:$U$3,0))</f>
        <v>1</v>
      </c>
      <c r="AQ61" s="9">
        <f ca="1">OFFSET('RES Techs T15'!$W61,0,MATCH(VLOOKUP('RES Veda input'!AQ$3,'RES Assumptions T15'!$V$3:$W$35,2,FALSE),'RES Techs T15'!$G$3:$U$3,0))</f>
        <v>1</v>
      </c>
      <c r="AR61" s="9">
        <f ca="1">OFFSET('RES Techs T15'!$W61,0,MATCH(VLOOKUP('RES Veda input'!AR$3,'RES Assumptions T15'!$V$3:$W$35,2,FALSE),'RES Techs T15'!$G$3:$U$3,0))</f>
        <v>1</v>
      </c>
      <c r="AS61" s="9">
        <f ca="1">OFFSET('RES Techs T15'!$W61,0,MATCH(VLOOKUP('RES Veda input'!AS$3,'RES Assumptions T15'!$V$3:$W$35,2,FALSE),'RES Techs T15'!$G$3:$U$3,0))</f>
        <v>1</v>
      </c>
      <c r="AT61" s="9">
        <f ca="1">OFFSET('RES Techs T15'!$W61,0,MATCH(VLOOKUP('RES Veda input'!AT$3,'RES Assumptions T15'!$V$3:$W$35,2,FALSE),'RES Techs T15'!$G$3:$U$3,0))</f>
        <v>1</v>
      </c>
      <c r="AU61" s="9">
        <f ca="1">OFFSET('RES Techs T15'!$W61,0,MATCH(VLOOKUP('RES Veda input'!AU$3,'RES Assumptions T15'!$V$3:$W$35,2,FALSE),'RES Techs T15'!$G$3:$U$3,0))</f>
        <v>1</v>
      </c>
      <c r="AV61" s="9">
        <f ca="1">OFFSET('RES Techs T15'!$W61,0,MATCH(VLOOKUP('RES Veda input'!AV$3,'RES Assumptions T15'!$V$3:$W$35,2,FALSE),'RES Techs T15'!$G$3:$U$3,0))</f>
        <v>1</v>
      </c>
      <c r="AW61" s="9">
        <f ca="1">OFFSET('RES Techs T15'!$W61,0,MATCH(VLOOKUP('RES Veda input'!AW$3,'RES Assumptions T15'!$V$3:$W$35,2,FALSE),'RES Techs T15'!$G$3:$U$3,0))</f>
        <v>1</v>
      </c>
      <c r="AX61" s="9">
        <f ca="1">OFFSET('RES Techs T15'!$W61,0,MATCH(VLOOKUP('RES Veda input'!AX$3,'RES Assumptions T15'!$V$3:$W$35,2,FALSE),'RES Techs T15'!$G$3:$U$3,0))</f>
        <v>1</v>
      </c>
      <c r="AY61" s="9">
        <f ca="1">OFFSET('RES Techs T15'!$W61,0,MATCH(VLOOKUP('RES Veda input'!AY$3,'RES Assumptions T15'!$V$3:$W$35,2,FALSE),'RES Techs T15'!$G$3:$U$3,0))</f>
        <v>1</v>
      </c>
      <c r="AZ61" s="9">
        <f ca="1">OFFSET('RES Techs T15'!$W61,0,MATCH(VLOOKUP('RES Veda input'!AZ$3,'RES Assumptions T15'!$V$3:$W$35,2,FALSE),'RES Techs T15'!$G$3:$U$3,0))</f>
        <v>1</v>
      </c>
      <c r="BA61" s="9">
        <f ca="1">OFFSET('RES Techs T15'!$W61,0,MATCH(VLOOKUP('RES Veda input'!BA$3,'RES Assumptions T15'!$V$3:$W$35,2,FALSE),'RES Techs T15'!$G$3:$U$3,0))</f>
        <v>1</v>
      </c>
      <c r="BB61" s="9">
        <f ca="1">OFFSET('RES Techs T15'!$W61,0,MATCH(VLOOKUP('RES Veda input'!BB$3,'RES Assumptions T15'!$V$3:$W$35,2,FALSE),'RES Techs T15'!$G$3:$U$3,0))</f>
        <v>1</v>
      </c>
      <c r="BC61" s="9">
        <f ca="1">OFFSET('RES Techs T15'!$W61,0,MATCH(VLOOKUP('RES Veda input'!BC$3,'RES Assumptions T15'!$V$3:$W$35,2,FALSE),'RES Techs T15'!$G$3:$U$3,0))</f>
        <v>1</v>
      </c>
      <c r="BD61" s="9">
        <f ca="1">OFFSET('RES Techs T15'!$W61,0,MATCH(VLOOKUP('RES Veda input'!BD$3,'RES Assumptions T15'!$V$3:$W$35,2,FALSE),'RES Techs T15'!$G$3:$U$3,0))</f>
        <v>1</v>
      </c>
      <c r="BE61" s="9">
        <f ca="1">OFFSET('RES Techs T15'!$W61,0,MATCH(VLOOKUP('RES Veda input'!BE$3,'RES Assumptions T15'!$V$3:$W$35,2,FALSE),'RES Techs T15'!$G$3:$U$3,0))</f>
        <v>1</v>
      </c>
      <c r="BF61" s="9">
        <f ca="1">OFFSET('RES Techs T15'!$W61,0,MATCH(VLOOKUP('RES Veda input'!BF$3,'RES Assumptions T15'!$V$3:$W$35,2,FALSE),'RES Techs T15'!$G$3:$U$3,0))</f>
        <v>1</v>
      </c>
      <c r="BG61" s="9">
        <f ca="1">OFFSET('RES Techs T15'!$W61,0,MATCH(VLOOKUP('RES Veda input'!BG$3,'RES Assumptions T15'!$V$3:$W$35,2,FALSE),'RES Techs T15'!$G$3:$U$3,0))</f>
        <v>1</v>
      </c>
      <c r="BH61" s="9">
        <f ca="1">OFFSET('RES Techs T15'!$W61,0,MATCH(VLOOKUP('RES Veda input'!BH$3,'RES Assumptions T15'!$V$3:$W$35,2,FALSE),'RES Techs T15'!$G$3:$U$3,0))</f>
        <v>1</v>
      </c>
      <c r="BI61" s="9">
        <f ca="1">OFFSET('RES Techs T15'!$W61,0,MATCH(VLOOKUP('RES Veda input'!BI$3,'RES Assumptions T15'!$V$3:$W$35,2,FALSE),'RES Techs T15'!$G$3:$U$3,0))</f>
        <v>1</v>
      </c>
      <c r="BJ61" s="9">
        <f ca="1">OFFSET('RES Techs T15'!$W61,0,MATCH(VLOOKUP('RES Veda input'!BJ$3,'RES Assumptions T15'!$V$3:$W$35,2,FALSE),'RES Techs T15'!$G$3:$U$3,0))</f>
        <v>1</v>
      </c>
      <c r="BK61" s="9">
        <f ca="1">OFFSET('RES Techs T15'!$W61,0,MATCH(VLOOKUP('RES Veda input'!BK$3,'RES Assumptions T15'!$V$3:$W$35,2,FALSE),'RES Techs T15'!$G$3:$U$3,0))</f>
        <v>1</v>
      </c>
      <c r="BL61" s="9">
        <f ca="1">OFFSET('RES Techs T15'!$W61,0,MATCH(VLOOKUP('RES Veda input'!BL$3,'RES Assumptions T15'!$V$3:$W$35,2,FALSE),'RES Techs T15'!$G$3:$U$3,0))</f>
        <v>1</v>
      </c>
      <c r="BM61" s="9">
        <f ca="1">OFFSET('RES Techs T15'!$W61,0,MATCH(VLOOKUP('RES Veda input'!BM$3,'RES Assumptions T15'!$V$3:$W$35,2,FALSE),'RES Techs T15'!$G$3:$U$3,0))</f>
        <v>1</v>
      </c>
      <c r="BN61" s="9">
        <f ca="1">OFFSET('RES Techs T15'!$W61,0,MATCH(VLOOKUP('RES Veda input'!BN$3,'RES Assumptions T15'!$V$3:$W$35,2,FALSE),'RES Techs T15'!$G$3:$U$3,0))</f>
        <v>1</v>
      </c>
      <c r="BO61" s="9">
        <f ca="1">OFFSET('RES Techs T15'!$W61,0,MATCH(VLOOKUP('RES Veda input'!BO$3,'RES Assumptions T15'!$V$3:$W$35,2,FALSE),'RES Techs T15'!$G$3:$U$3,0))</f>
        <v>1</v>
      </c>
      <c r="BP61" s="9">
        <f ca="1">OFFSET('RES Techs T15'!$W61,0,MATCH(VLOOKUP('RES Veda input'!BP$3,'RES Assumptions T15'!$V$3:$W$35,2,FALSE),'RES Techs T15'!$G$3:$U$3,0))</f>
        <v>1</v>
      </c>
      <c r="BR61" s="8" t="str">
        <f t="shared" si="61"/>
        <v>RRFRFE000</v>
      </c>
      <c r="BS61" s="9">
        <f t="shared" ca="1" si="62"/>
        <v>7.2</v>
      </c>
      <c r="BT61" s="9" t="str">
        <f ca="1">IF(OFFSET('RES Techs T15'!$AO61,0,MATCH(VLOOKUP('RES Veda input'!BT$3,'RES Assumptions T15'!$V$3:$W$35,2,FALSE),'RES Techs T15'!$G$3:$U$3,0))=0,"",OFFSET('RES Techs T15'!$AO61,0,MATCH(VLOOKUP('RES Veda input'!BT$3,'RES Assumptions T15'!$V$3:$W$35,2,FALSE),'RES Techs T15'!$G$3:$U$3,0)))</f>
        <v/>
      </c>
      <c r="BU61" s="9" t="str">
        <f ca="1">IF(OFFSET('RES Techs T15'!$AO61,0,MATCH(VLOOKUP('RES Veda input'!BU$3,'RES Assumptions T15'!$V$3:$W$35,2,FALSE),'RES Techs T15'!$G$3:$U$3,0))=0,"",OFFSET('RES Techs T15'!$AO61,0,MATCH(VLOOKUP('RES Veda input'!BU$3,'RES Assumptions T15'!$V$3:$W$35,2,FALSE),'RES Techs T15'!$G$3:$U$3,0)))</f>
        <v/>
      </c>
      <c r="BV61" s="9">
        <f ca="1">IF(OFFSET('RES Techs T15'!$AO61,0,MATCH(VLOOKUP('RES Veda input'!BV$3,'RES Assumptions T15'!$V$3:$W$35,2,FALSE),'RES Techs T15'!$G$3:$U$3,0))=0,"",OFFSET('RES Techs T15'!$AO61,0,MATCH(VLOOKUP('RES Veda input'!BV$3,'RES Assumptions T15'!$V$3:$W$35,2,FALSE),'RES Techs T15'!$G$3:$U$3,0)))</f>
        <v>8.4</v>
      </c>
      <c r="BW61" s="9" t="str">
        <f ca="1">IF(OFFSET('RES Techs T15'!$AO61,0,MATCH(VLOOKUP('RES Veda input'!BW$3,'RES Assumptions T15'!$V$3:$W$35,2,FALSE),'RES Techs T15'!$G$3:$U$3,0))=0,"",OFFSET('RES Techs T15'!$AO61,0,MATCH(VLOOKUP('RES Veda input'!BW$3,'RES Assumptions T15'!$V$3:$W$35,2,FALSE),'RES Techs T15'!$G$3:$U$3,0)))</f>
        <v/>
      </c>
      <c r="BX61" s="9">
        <f ca="1">IF(OFFSET('RES Techs T15'!$AO61,0,MATCH(VLOOKUP('RES Veda input'!BX$3,'RES Assumptions T15'!$V$3:$W$35,2,FALSE),'RES Techs T15'!$G$3:$U$3,0))=0,"",OFFSET('RES Techs T15'!$AO61,0,MATCH(VLOOKUP('RES Veda input'!BX$3,'RES Assumptions T15'!$V$3:$W$35,2,FALSE),'RES Techs T15'!$G$3:$U$3,0)))</f>
        <v>12</v>
      </c>
      <c r="BY61" s="9">
        <f ca="1">IF(OFFSET('RES Techs T15'!$AO61,0,MATCH(VLOOKUP('RES Veda input'!BY$3,'RES Assumptions T15'!$V$3:$W$35,2,FALSE),'RES Techs T15'!$G$3:$U$3,0))=0,"",OFFSET('RES Techs T15'!$AO61,0,MATCH(VLOOKUP('RES Veda input'!BY$3,'RES Assumptions T15'!$V$3:$W$35,2,FALSE),'RES Techs T15'!$G$3:$U$3,0)))</f>
        <v>7.2</v>
      </c>
      <c r="BZ61" s="9" t="str">
        <f ca="1">IF(OFFSET('RES Techs T15'!$AO61,0,MATCH(VLOOKUP('RES Veda input'!BZ$3,'RES Assumptions T15'!$V$3:$W$35,2,FALSE),'RES Techs T15'!$G$3:$U$3,0))=0,"",OFFSET('RES Techs T15'!$AO61,0,MATCH(VLOOKUP('RES Veda input'!BZ$3,'RES Assumptions T15'!$V$3:$W$35,2,FALSE),'RES Techs T15'!$G$3:$U$3,0)))</f>
        <v/>
      </c>
      <c r="CA61" s="9">
        <f ca="1">IF(OFFSET('RES Techs T15'!$AO61,0,MATCH(VLOOKUP('RES Veda input'!CA$3,'RES Assumptions T15'!$V$3:$W$35,2,FALSE),'RES Techs T15'!$G$3:$U$3,0))=0,"",OFFSET('RES Techs T15'!$AO61,0,MATCH(VLOOKUP('RES Veda input'!CA$3,'RES Assumptions T15'!$V$3:$W$35,2,FALSE),'RES Techs T15'!$G$3:$U$3,0)))</f>
        <v>8.4</v>
      </c>
      <c r="CB61" s="9" t="str">
        <f ca="1">IF(OFFSET('RES Techs T15'!$AO61,0,MATCH(VLOOKUP('RES Veda input'!CB$3,'RES Assumptions T15'!$V$3:$W$35,2,FALSE),'RES Techs T15'!$G$3:$U$3,0))=0,"",OFFSET('RES Techs T15'!$AO61,0,MATCH(VLOOKUP('RES Veda input'!CB$3,'RES Assumptions T15'!$V$3:$W$35,2,FALSE),'RES Techs T15'!$G$3:$U$3,0)))</f>
        <v/>
      </c>
      <c r="CC61" s="9">
        <f ca="1">IF(OFFSET('RES Techs T15'!$AO61,0,MATCH(VLOOKUP('RES Veda input'!CC$3,'RES Assumptions T15'!$V$3:$W$35,2,FALSE),'RES Techs T15'!$G$3:$U$3,0))=0,"",OFFSET('RES Techs T15'!$AO61,0,MATCH(VLOOKUP('RES Veda input'!CC$3,'RES Assumptions T15'!$V$3:$W$35,2,FALSE),'RES Techs T15'!$G$3:$U$3,0)))</f>
        <v>7.2</v>
      </c>
      <c r="CD61" s="9" t="str">
        <f ca="1">IF(OFFSET('RES Techs T15'!$AO61,0,MATCH(VLOOKUP('RES Veda input'!CD$3,'RES Assumptions T15'!$V$3:$W$35,2,FALSE),'RES Techs T15'!$G$3:$U$3,0))=0,"",OFFSET('RES Techs T15'!$AO61,0,MATCH(VLOOKUP('RES Veda input'!CD$3,'RES Assumptions T15'!$V$3:$W$35,2,FALSE),'RES Techs T15'!$G$3:$U$3,0)))</f>
        <v/>
      </c>
      <c r="CE61" s="9" t="str">
        <f ca="1">IF(OFFSET('RES Techs T15'!$AO61,0,MATCH(VLOOKUP('RES Veda input'!CE$3,'RES Assumptions T15'!$V$3:$W$35,2,FALSE),'RES Techs T15'!$G$3:$U$3,0))=0,"",OFFSET('RES Techs T15'!$AO61,0,MATCH(VLOOKUP('RES Veda input'!CE$3,'RES Assumptions T15'!$V$3:$W$35,2,FALSE),'RES Techs T15'!$G$3:$U$3,0)))</f>
        <v/>
      </c>
      <c r="CF61" s="9" t="str">
        <f ca="1">IF(OFFSET('RES Techs T15'!$AO61,0,MATCH(VLOOKUP('RES Veda input'!CF$3,'RES Assumptions T15'!$V$3:$W$35,2,FALSE),'RES Techs T15'!$G$3:$U$3,0))=0,"",OFFSET('RES Techs T15'!$AO61,0,MATCH(VLOOKUP('RES Veda input'!CF$3,'RES Assumptions T15'!$V$3:$W$35,2,FALSE),'RES Techs T15'!$G$3:$U$3,0)))</f>
        <v/>
      </c>
      <c r="CG61" s="9" t="str">
        <f ca="1">IF(OFFSET('RES Techs T15'!$AO61,0,MATCH(VLOOKUP('RES Veda input'!CG$3,'RES Assumptions T15'!$V$3:$W$35,2,FALSE),'RES Techs T15'!$G$3:$U$3,0))=0,"",OFFSET('RES Techs T15'!$AO61,0,MATCH(VLOOKUP('RES Veda input'!CG$3,'RES Assumptions T15'!$V$3:$W$35,2,FALSE),'RES Techs T15'!$G$3:$U$3,0)))</f>
        <v/>
      </c>
      <c r="CH61" s="9" t="str">
        <f ca="1">IF(OFFSET('RES Techs T15'!$AO61,0,MATCH(VLOOKUP('RES Veda input'!CH$3,'RES Assumptions T15'!$V$3:$W$35,2,FALSE),'RES Techs T15'!$G$3:$U$3,0))=0,"",OFFSET('RES Techs T15'!$AO61,0,MATCH(VLOOKUP('RES Veda input'!CH$3,'RES Assumptions T15'!$V$3:$W$35,2,FALSE),'RES Techs T15'!$G$3:$U$3,0)))</f>
        <v/>
      </c>
      <c r="CI61" s="9" t="str">
        <f ca="1">IF(OFFSET('RES Techs T15'!$AO61,0,MATCH(VLOOKUP('RES Veda input'!CI$3,'RES Assumptions T15'!$V$3:$W$35,2,FALSE),'RES Techs T15'!$G$3:$U$3,0))=0,"",OFFSET('RES Techs T15'!$AO61,0,MATCH(VLOOKUP('RES Veda input'!CI$3,'RES Assumptions T15'!$V$3:$W$35,2,FALSE),'RES Techs T15'!$G$3:$U$3,0)))</f>
        <v/>
      </c>
      <c r="CJ61" s="9">
        <f ca="1">IF(OFFSET('RES Techs T15'!$AO61,0,MATCH(VLOOKUP('RES Veda input'!CJ$3,'RES Assumptions T15'!$V$3:$W$35,2,FALSE),'RES Techs T15'!$G$3:$U$3,0))=0,"",OFFSET('RES Techs T15'!$AO61,0,MATCH(VLOOKUP('RES Veda input'!CJ$3,'RES Assumptions T15'!$V$3:$W$35,2,FALSE),'RES Techs T15'!$G$3:$U$3,0)))</f>
        <v>8.4</v>
      </c>
      <c r="CK61" s="9" t="str">
        <f ca="1">IF(OFFSET('RES Techs T15'!$AO61,0,MATCH(VLOOKUP('RES Veda input'!CK$3,'RES Assumptions T15'!$V$3:$W$35,2,FALSE),'RES Techs T15'!$G$3:$U$3,0))=0,"",OFFSET('RES Techs T15'!$AO61,0,MATCH(VLOOKUP('RES Veda input'!CK$3,'RES Assumptions T15'!$V$3:$W$35,2,FALSE),'RES Techs T15'!$G$3:$U$3,0)))</f>
        <v/>
      </c>
      <c r="CL61" s="9" t="str">
        <f ca="1">IF(OFFSET('RES Techs T15'!$AO61,0,MATCH(VLOOKUP('RES Veda input'!CL$3,'RES Assumptions T15'!$V$3:$W$35,2,FALSE),'RES Techs T15'!$G$3:$U$3,0))=0,"",OFFSET('RES Techs T15'!$AO61,0,MATCH(VLOOKUP('RES Veda input'!CL$3,'RES Assumptions T15'!$V$3:$W$35,2,FALSE),'RES Techs T15'!$G$3:$U$3,0)))</f>
        <v/>
      </c>
      <c r="CM61" s="9">
        <f ca="1">IF(OFFSET('RES Techs T15'!$AO61,0,MATCH(VLOOKUP('RES Veda input'!CM$3,'RES Assumptions T15'!$V$3:$W$35,2,FALSE),'RES Techs T15'!$G$3:$U$3,0))=0,"",OFFSET('RES Techs T15'!$AO61,0,MATCH(VLOOKUP('RES Veda input'!CM$3,'RES Assumptions T15'!$V$3:$W$35,2,FALSE),'RES Techs T15'!$G$3:$U$3,0)))</f>
        <v>7.2</v>
      </c>
      <c r="CN61" s="9">
        <f ca="1">IF(OFFSET('RES Techs T15'!$AO61,0,MATCH(VLOOKUP('RES Veda input'!CN$3,'RES Assumptions T15'!$V$3:$W$35,2,FALSE),'RES Techs T15'!$G$3:$U$3,0))=0,"",OFFSET('RES Techs T15'!$AO61,0,MATCH(VLOOKUP('RES Veda input'!CN$3,'RES Assumptions T15'!$V$3:$W$35,2,FALSE),'RES Techs T15'!$G$3:$U$3,0)))</f>
        <v>8.4</v>
      </c>
      <c r="CO61" s="9">
        <f ca="1">IF(OFFSET('RES Techs T15'!$AO61,0,MATCH(VLOOKUP('RES Veda input'!CO$3,'RES Assumptions T15'!$V$3:$W$35,2,FALSE),'RES Techs T15'!$G$3:$U$3,0))=0,"",OFFSET('RES Techs T15'!$AO61,0,MATCH(VLOOKUP('RES Veda input'!CO$3,'RES Assumptions T15'!$V$3:$W$35,2,FALSE),'RES Techs T15'!$G$3:$U$3,0)))</f>
        <v>9.6</v>
      </c>
      <c r="CP61" s="9">
        <f ca="1">IF(OFFSET('RES Techs T15'!$AO61,0,MATCH(VLOOKUP('RES Veda input'!CP$3,'RES Assumptions T15'!$V$3:$W$35,2,FALSE),'RES Techs T15'!$G$3:$U$3,0))=0,"",OFFSET('RES Techs T15'!$AO61,0,MATCH(VLOOKUP('RES Veda input'!CP$3,'RES Assumptions T15'!$V$3:$W$35,2,FALSE),'RES Techs T15'!$G$3:$U$3,0)))</f>
        <v>8.4</v>
      </c>
      <c r="CQ61" s="9" t="str">
        <f ca="1">IF(OFFSET('RES Techs T15'!$AO61,0,MATCH(VLOOKUP('RES Veda input'!CQ$3,'RES Assumptions T15'!$V$3:$W$35,2,FALSE),'RES Techs T15'!$G$3:$U$3,0))=0,"",OFFSET('RES Techs T15'!$AO61,0,MATCH(VLOOKUP('RES Veda input'!CQ$3,'RES Assumptions T15'!$V$3:$W$35,2,FALSE),'RES Techs T15'!$G$3:$U$3,0)))</f>
        <v/>
      </c>
      <c r="CR61" s="9" t="str">
        <f ca="1">IF(OFFSET('RES Techs T15'!$AO61,0,MATCH(VLOOKUP('RES Veda input'!CR$3,'RES Assumptions T15'!$V$3:$W$35,2,FALSE),'RES Techs T15'!$G$3:$U$3,0))=0,"",OFFSET('RES Techs T15'!$AO61,0,MATCH(VLOOKUP('RES Veda input'!CR$3,'RES Assumptions T15'!$V$3:$W$35,2,FALSE),'RES Techs T15'!$G$3:$U$3,0)))</f>
        <v/>
      </c>
      <c r="CS61" s="9">
        <f ca="1">IF(OFFSET('RES Techs T15'!$AO61,0,MATCH(VLOOKUP('RES Veda input'!CS$3,'RES Assumptions T15'!$V$3:$W$35,2,FALSE),'RES Techs T15'!$G$3:$U$3,0))=0,"",OFFSET('RES Techs T15'!$AO61,0,MATCH(VLOOKUP('RES Veda input'!CS$3,'RES Assumptions T15'!$V$3:$W$35,2,FALSE),'RES Techs T15'!$G$3:$U$3,0)))</f>
        <v>8.4</v>
      </c>
      <c r="CT61" s="9" t="str">
        <f ca="1">IF(OFFSET('RES Techs T15'!$AO61,0,MATCH(VLOOKUP('RES Veda input'!CT$3,'RES Assumptions T15'!$V$3:$W$35,2,FALSE),'RES Techs T15'!$G$3:$U$3,0))=0,"",OFFSET('RES Techs T15'!$AO61,0,MATCH(VLOOKUP('RES Veda input'!CT$3,'RES Assumptions T15'!$V$3:$W$35,2,FALSE),'RES Techs T15'!$G$3:$U$3,0)))</f>
        <v/>
      </c>
      <c r="CU61" s="9" t="str">
        <f ca="1">IF(OFFSET('RES Techs T15'!$AO61,0,MATCH(VLOOKUP('RES Veda input'!CU$3,'RES Assumptions T15'!$V$3:$W$35,2,FALSE),'RES Techs T15'!$G$3:$U$3,0))=0,"",OFFSET('RES Techs T15'!$AO61,0,MATCH(VLOOKUP('RES Veda input'!CU$3,'RES Assumptions T15'!$V$3:$W$35,2,FALSE),'RES Techs T15'!$G$3:$U$3,0)))</f>
        <v/>
      </c>
      <c r="CV61" s="9">
        <f ca="1">IF(OFFSET('RES Techs T15'!$AO61,0,MATCH(VLOOKUP('RES Veda input'!CV$3,'RES Assumptions T15'!$V$3:$W$35,2,FALSE),'RES Techs T15'!$G$3:$U$3,0))=0,"",OFFSET('RES Techs T15'!$AO61,0,MATCH(VLOOKUP('RES Veda input'!CV$3,'RES Assumptions T15'!$V$3:$W$35,2,FALSE),'RES Techs T15'!$G$3:$U$3,0)))</f>
        <v>5.66</v>
      </c>
      <c r="CW61" s="9">
        <f ca="1">IF(OFFSET('RES Techs T15'!$AO61,0,MATCH(VLOOKUP('RES Veda input'!CW$3,'RES Assumptions T15'!$V$3:$W$35,2,FALSE),'RES Techs T15'!$G$3:$U$3,0))=0,"",OFFSET('RES Techs T15'!$AO61,0,MATCH(VLOOKUP('RES Veda input'!CW$3,'RES Assumptions T15'!$V$3:$W$35,2,FALSE),'RES Techs T15'!$G$3:$U$3,0)))</f>
        <v>5.66</v>
      </c>
      <c r="CY61" s="8" t="str">
        <f t="shared" si="63"/>
        <v>RRFRFE000</v>
      </c>
      <c r="CZ61" s="10">
        <f ca="1">ROUND('RES Assumptions'!E144*'RES Veda input'!G61/'RES Veda input'!AM61,3)</f>
        <v>38.47</v>
      </c>
      <c r="DA61" s="10">
        <f ca="1">ROUND('RES Assumptions'!F144*'RES Veda input'!H61/'RES Veda input'!AN61,3)</f>
        <v>25.872</v>
      </c>
      <c r="DB61" s="10">
        <f ca="1">ROUND('RES Assumptions'!G144*'RES Veda input'!I61/'RES Veda input'!AO61,3)</f>
        <v>32.371000000000002</v>
      </c>
      <c r="DC61" s="10">
        <f ca="1">ROUND('RES Assumptions'!H144*'RES Veda input'!J61/'RES Veda input'!AP61,3)</f>
        <v>25.687000000000001</v>
      </c>
      <c r="DD61" s="10">
        <f ca="1">ROUND('RES Assumptions'!I144*'RES Veda input'!K61/'RES Veda input'!AQ61,3)</f>
        <v>124.214</v>
      </c>
      <c r="DE61" s="10">
        <f ca="1">ROUND('RES Assumptions'!J144*'RES Veda input'!L61/'RES Veda input'!AR61,3)</f>
        <v>251.249</v>
      </c>
      <c r="DF61" s="10">
        <f ca="1">ROUND('RES Assumptions'!K144*'RES Veda input'!M61/'RES Veda input'!AS61,3)</f>
        <v>24.053999999999998</v>
      </c>
      <c r="DG61" s="10">
        <f ca="1">ROUND('RES Assumptions'!L144*'RES Veda input'!N61/'RES Veda input'!AT61,3)</f>
        <v>81.3</v>
      </c>
      <c r="DH61" s="10">
        <f ca="1">ROUND('RES Assumptions'!M144*'RES Veda input'!O61/'RES Veda input'!AU61,3)</f>
        <v>58.506</v>
      </c>
      <c r="DI61" s="10">
        <f ca="1">ROUND('RES Assumptions'!N144*'RES Veda input'!P61/'RES Veda input'!AV61,3)</f>
        <v>362.45100000000002</v>
      </c>
      <c r="DJ61" s="10">
        <f ca="1">ROUND('RES Assumptions'!O144*'RES Veda input'!Q61/'RES Veda input'!AW61,3)</f>
        <v>24.105</v>
      </c>
      <c r="DK61" s="10">
        <f ca="1">ROUND('RES Assumptions'!P144*'RES Veda input'!R61/'RES Veda input'!AX61,3)</f>
        <v>33.728000000000002</v>
      </c>
      <c r="DL61" s="10">
        <f ca="1">ROUND('RES Assumptions'!Q144*'RES Veda input'!S61/'RES Veda input'!AY61,3)</f>
        <v>15.98</v>
      </c>
      <c r="DM61" s="10">
        <f ca="1">ROUND('RES Assumptions'!R144*'RES Veda input'!T61/'RES Veda input'!AZ61,3)</f>
        <v>26.919</v>
      </c>
      <c r="DN61" s="10">
        <f ca="1">ROUND('RES Assumptions'!S144*'RES Veda input'!U61/'RES Veda input'!BA61,3)</f>
        <v>20.248999999999999</v>
      </c>
      <c r="DO61" s="10">
        <f ca="1">ROUND('RES Assumptions'!T144*'RES Veda input'!V61/'RES Veda input'!BB61,3)</f>
        <v>27.111000000000001</v>
      </c>
      <c r="DP61" s="10">
        <f ca="1">ROUND('RES Assumptions'!U144*'RES Veda input'!W61/'RES Veda input'!BC61,3)</f>
        <v>66.094999999999999</v>
      </c>
      <c r="DQ61" s="10">
        <f ca="1">ROUND('RES Assumptions'!V144*'RES Veda input'!X61/'RES Veda input'!BD61,3)</f>
        <v>50.231999999999999</v>
      </c>
      <c r="DR61" s="10">
        <f ca="1">ROUND('RES Assumptions'!W144*'RES Veda input'!Y61/'RES Veda input'!BE61,3)</f>
        <v>39.795999999999999</v>
      </c>
      <c r="DS61" s="10">
        <f ca="1">ROUND('RES Assumptions'!X144*'RES Veda input'!Z61/'RES Veda input'!BF61,3)</f>
        <v>151.791</v>
      </c>
      <c r="DT61" s="10">
        <f ca="1">ROUND('RES Assumptions'!Y144*'RES Veda input'!AA61/'RES Veda input'!BG61,3)</f>
        <v>64.948999999999998</v>
      </c>
      <c r="DU61" s="10">
        <f ca="1">ROUND('RES Assumptions'!Z144*'RES Veda input'!AB61/'RES Veda input'!BH61,3)</f>
        <v>36.401000000000003</v>
      </c>
      <c r="DV61" s="10">
        <f ca="1">ROUND('RES Assumptions'!AA144*'RES Veda input'!AC61/'RES Veda input'!BI61,3)</f>
        <v>120.249</v>
      </c>
      <c r="DW61" s="10">
        <f ca="1">ROUND('RES Assumptions'!AB144*'RES Veda input'!AD61/'RES Veda input'!BJ61,3)</f>
        <v>12.877000000000001</v>
      </c>
      <c r="DX61" s="10">
        <f ca="1">ROUND('RES Assumptions'!AC144*'RES Veda input'!AE61/'RES Veda input'!BK61,3)</f>
        <v>72.278999999999996</v>
      </c>
      <c r="DY61" s="10">
        <f ca="1">ROUND('RES Assumptions'!AD144*'RES Veda input'!AF61/'RES Veda input'!BL61,3)</f>
        <v>57.734000000000002</v>
      </c>
      <c r="DZ61" s="10">
        <f ca="1">ROUND('RES Assumptions'!AE144*'RES Veda input'!AG61/'RES Veda input'!BM61,3)</f>
        <v>16.398</v>
      </c>
      <c r="EA61" s="10">
        <f ca="1">ROUND('RES Assumptions'!AF144*'RES Veda input'!AH61/'RES Veda input'!BN61,3)</f>
        <v>32.652999999999999</v>
      </c>
      <c r="EB61" s="10">
        <f ca="1">ROUND('RES Assumptions'!AG144*'RES Veda input'!AI61/'RES Veda input'!BO61,3)</f>
        <v>456.34399999999999</v>
      </c>
      <c r="EC61" s="10">
        <f ca="1">ROUND('RES Assumptions'!AH144*'RES Veda input'!AJ61/'RES Veda input'!BP61,3)</f>
        <v>0</v>
      </c>
      <c r="ED61">
        <v>15</v>
      </c>
      <c r="EG61" t="s">
        <v>281</v>
      </c>
      <c r="EH61" t="str">
        <f t="shared" si="64"/>
        <v>RRFRFE000</v>
      </c>
      <c r="EJ61" t="s">
        <v>282</v>
      </c>
      <c r="EK61" t="s">
        <v>283</v>
      </c>
    </row>
    <row r="62" spans="1:141" x14ac:dyDescent="0.45">
      <c r="A62" s="8"/>
    </row>
    <row r="63" spans="1:141" x14ac:dyDescent="0.45">
      <c r="A63" s="8"/>
      <c r="F63" t="s">
        <v>42</v>
      </c>
    </row>
    <row r="64" spans="1:141" x14ac:dyDescent="0.45">
      <c r="A64" s="8"/>
      <c r="F64" t="s">
        <v>41</v>
      </c>
      <c r="G64" s="38" t="str">
        <f>G3</f>
        <v>Africa_north</v>
      </c>
      <c r="H64" s="38" t="str">
        <f t="shared" ref="H64:U64" si="65">H3</f>
        <v>Africa_other</v>
      </c>
      <c r="I64" s="38" t="str">
        <f t="shared" si="65"/>
        <v>Arg-Chi</v>
      </c>
      <c r="J64" s="38" t="str">
        <f t="shared" si="65"/>
        <v>Asia_central</v>
      </c>
      <c r="K64" s="38" t="str">
        <f t="shared" si="65"/>
        <v>Asia_east</v>
      </c>
      <c r="L64" s="38" t="str">
        <f t="shared" si="65"/>
        <v>Asia_other</v>
      </c>
      <c r="M64" s="38" t="str">
        <f t="shared" si="65"/>
        <v>Australia_NZ</v>
      </c>
      <c r="N64" s="38" t="str">
        <f t="shared" si="65"/>
        <v>Brazil</v>
      </c>
      <c r="O64" s="38" t="str">
        <f t="shared" si="65"/>
        <v>Canada</v>
      </c>
      <c r="P64" s="38" t="str">
        <f t="shared" si="65"/>
        <v>China</v>
      </c>
      <c r="Q64" s="38" t="str">
        <f t="shared" si="65"/>
        <v>EU_north</v>
      </c>
      <c r="R64" s="38" t="str">
        <f t="shared" si="65"/>
        <v>EU_northeast</v>
      </c>
      <c r="S64" s="38" t="str">
        <f t="shared" si="65"/>
        <v>EU_northwest</v>
      </c>
      <c r="T64" s="38" t="str">
        <f t="shared" si="65"/>
        <v>EU_south</v>
      </c>
      <c r="U64" s="38" t="str">
        <f t="shared" si="65"/>
        <v>EU_southeast</v>
      </c>
      <c r="V64" s="38" t="str">
        <f t="shared" ref="V64:W64" si="66">V3</f>
        <v>EU_southwest</v>
      </c>
      <c r="W64" s="38" t="str">
        <f t="shared" si="66"/>
        <v>Europe_other</v>
      </c>
      <c r="X64" s="38" t="str">
        <f t="shared" ref="X64:AJ64" si="67">X3</f>
        <v>France</v>
      </c>
      <c r="Y64" s="38" t="str">
        <f t="shared" si="67"/>
        <v>Germany</v>
      </c>
      <c r="Z64" s="38" t="str">
        <f t="shared" si="67"/>
        <v>India</v>
      </c>
      <c r="AA64" s="38" t="str">
        <f t="shared" si="67"/>
        <v>LatAm_other</v>
      </c>
      <c r="AB64" s="38" t="str">
        <f t="shared" si="67"/>
        <v>Mexico</v>
      </c>
      <c r="AC64" s="38" t="str">
        <f t="shared" si="67"/>
        <v>MidEast_other</v>
      </c>
      <c r="AD64" s="38" t="str">
        <f t="shared" si="67"/>
        <v>Nor-Ice</v>
      </c>
      <c r="AE64" s="38" t="str">
        <f t="shared" si="67"/>
        <v>Russia</v>
      </c>
      <c r="AF64" s="38" t="str">
        <f t="shared" si="67"/>
        <v>SaudiArabia</v>
      </c>
      <c r="AG64" s="38" t="str">
        <f t="shared" si="67"/>
        <v>SouthAfrica</v>
      </c>
      <c r="AH64" s="38" t="str">
        <f t="shared" si="67"/>
        <v>UK</v>
      </c>
      <c r="AI64" s="38" t="str">
        <f t="shared" si="67"/>
        <v>USA</v>
      </c>
      <c r="AJ64" s="38" t="str">
        <f t="shared" si="67"/>
        <v>\I:</v>
      </c>
    </row>
    <row r="65" spans="1:36" x14ac:dyDescent="0.45">
      <c r="A65" s="37" t="s">
        <v>63</v>
      </c>
      <c r="F65" s="8" t="s">
        <v>192</v>
      </c>
      <c r="G65" s="10" cm="1">
        <f t="array" aca="1" ref="G65" ca="1">SUMPRODUCT(--($A$4:$A$61=$A65),G$4:G$61,'RES Assumptions'!E$87:E$144)</f>
        <v>242.52783677429761</v>
      </c>
      <c r="H65" s="10" cm="1">
        <f t="array" aca="1" ref="H65" ca="1">SUMPRODUCT(--($A$4:$A$61=$A65),H$4:H$61,'RES Assumptions'!F$87:F$144)</f>
        <v>163.1041110066426</v>
      </c>
      <c r="I65" s="10" cm="1">
        <f t="array" aca="1" ref="I65" ca="1">SUMPRODUCT(--($A$4:$A$61=$A65),I$4:I$61,'RES Assumptions'!G$87:G$144)</f>
        <v>59.868896076702725</v>
      </c>
      <c r="J65" s="10" cm="1">
        <f t="array" aca="1" ref="J65" ca="1">SUMPRODUCT(--($A$4:$A$61=$A65),J$4:J$61,'RES Assumptions'!H$87:H$144)</f>
        <v>12.268665734255464</v>
      </c>
      <c r="K65" s="10" cm="1">
        <f t="array" aca="1" ref="K65" ca="1">SUMPRODUCT(--($A$4:$A$61=$A65),K$4:K$61,'RES Assumptions'!I$87:I$144)</f>
        <v>173.42304889412543</v>
      </c>
      <c r="L65" s="10" cm="1">
        <f t="array" aca="1" ref="L65" ca="1">SUMPRODUCT(--($A$4:$A$61=$A65),L$4:L$61,'RES Assumptions'!J$87:J$144)</f>
        <v>446.53007411929616</v>
      </c>
      <c r="M65" s="10" cm="1">
        <f t="array" aca="1" ref="M65" ca="1">SUMPRODUCT(--($A$4:$A$61=$A65),M$4:M$61,'RES Assumptions'!K$87:K$144)</f>
        <v>61.505405710870406</v>
      </c>
      <c r="N65" s="10" cm="1">
        <f t="array" aca="1" ref="N65" ca="1">SUMPRODUCT(--($A$4:$A$61=$A65),N$4:N$61,'RES Assumptions'!L$87:L$144)</f>
        <v>150.36007714436963</v>
      </c>
      <c r="O65" s="10" cm="1">
        <f t="array" aca="1" ref="O65" ca="1">SUMPRODUCT(--($A$4:$A$61=$A65),O$4:O$61,'RES Assumptions'!M$87:M$144)</f>
        <v>91.822705584434502</v>
      </c>
      <c r="P65" s="10" cm="1">
        <f t="array" aca="1" ref="P65" ca="1">SUMPRODUCT(--($A$4:$A$61=$A65),P$4:P$61,'RES Assumptions'!N$87:N$144)</f>
        <v>1269.7210533133616</v>
      </c>
      <c r="Q65" s="10" cm="1">
        <f t="array" aca="1" ref="Q65" ca="1">SUMPRODUCT(--($A$4:$A$61=$A65),Q$4:Q$61,'RES Assumptions'!O$87:O$144)</f>
        <v>16.28214006674358</v>
      </c>
      <c r="R65" s="10" cm="1">
        <f t="array" aca="1" ref="R65" ca="1">SUMPRODUCT(--($A$4:$A$61=$A65),R$4:R$61,'RES Assumptions'!P$87:P$144)</f>
        <v>11.960684090272876</v>
      </c>
      <c r="S65" s="10" cm="1">
        <f t="array" aca="1" ref="S65" ca="1">SUMPRODUCT(--($A$4:$A$61=$A65),S$4:S$61,'RES Assumptions'!Q$87:Q$144)</f>
        <v>10.794025081893786</v>
      </c>
      <c r="T65" s="10" cm="1">
        <f t="array" aca="1" ref="T65" ca="1">SUMPRODUCT(--($A$4:$A$61=$A65),T$4:T$61,'RES Assumptions'!R$87:R$144)</f>
        <v>18.183141102084285</v>
      </c>
      <c r="U65" s="10" cm="1">
        <f t="array" aca="1" ref="U65" ca="1">SUMPRODUCT(--($A$4:$A$61=$A65),U$4:U$61,'RES Assumptions'!S$87:S$144)</f>
        <v>7.1808545981411038</v>
      </c>
      <c r="V65" s="10" cm="1">
        <f t="array" aca="1" ref="V65" ca="1">SUMPRODUCT(--($A$4:$A$61=$A65),V$4:V$61,'RES Assumptions'!T$87:T$144)</f>
        <v>18.31249421955264</v>
      </c>
      <c r="W65" s="10" cm="1">
        <f t="array" aca="1" ref="W65" ca="1">SUMPRODUCT(--($A$4:$A$61=$A65),W$4:W$61,'RES Assumptions'!U$87:U$144)</f>
        <v>613.47207757138517</v>
      </c>
      <c r="X65" s="10" cm="1">
        <f t="array" aca="1" ref="X65" ca="1">SUMPRODUCT(--($A$4:$A$61=$A65),X$4:X$61,'RES Assumptions'!V$87:V$144)</f>
        <v>33.929951102638185</v>
      </c>
      <c r="Y65" s="10" cm="1">
        <f t="array" aca="1" ref="Y65" ca="1">SUMPRODUCT(--($A$4:$A$61=$A65),Y$4:Y$61,'RES Assumptions'!W$87:W$144)</f>
        <v>26.880830391323187</v>
      </c>
      <c r="Z65" s="10" cm="1">
        <f t="array" aca="1" ref="Z65" ca="1">SUMPRODUCT(--($A$4:$A$61=$A65),Z$4:Z$61,'RES Assumptions'!X$87:X$144)</f>
        <v>719.32487951606038</v>
      </c>
      <c r="AA65" s="10" cm="1">
        <f t="array" aca="1" ref="AA65" ca="1">SUMPRODUCT(--($A$4:$A$61=$A65),AA$4:AA$61,'RES Assumptions'!Y$87:Y$144)</f>
        <v>120.11951692603415</v>
      </c>
      <c r="AB65" s="10" cm="1">
        <f t="array" aca="1" ref="AB65" ca="1">SUMPRODUCT(--($A$4:$A$61=$A65),AB$4:AB$61,'RES Assumptions'!Z$87:Z$144)</f>
        <v>115.73267135170403</v>
      </c>
      <c r="AC65" s="10" cm="1">
        <f t="array" aca="1" ref="AC65" ca="1">SUMPRODUCT(--($A$4:$A$61=$A65),AC$4:AC$61,'RES Assumptions'!AA$87:AA$144)</f>
        <v>1116.1162033807332</v>
      </c>
      <c r="AD65" s="10" cm="1">
        <f t="array" aca="1" ref="AD65" ca="1">SUMPRODUCT(--($A$4:$A$61=$A65),AD$4:AD$61,'RES Assumptions'!AB$87:AB$144)</f>
        <v>8.6978716176554478</v>
      </c>
      <c r="AE65" s="10" cm="1">
        <f t="array" aca="1" ref="AE65" ca="1">SUMPRODUCT(--($A$4:$A$61=$A65),AE$4:AE$61,'RES Assumptions'!AC$87:AC$144)</f>
        <v>34.522276511172358</v>
      </c>
      <c r="AF65" s="10" cm="1">
        <f t="array" aca="1" ref="AF65" ca="1">SUMPRODUCT(--($A$4:$A$61=$A65),AF$4:AF$61,'RES Assumptions'!AD$87:AD$144)</f>
        <v>535.87067224235284</v>
      </c>
      <c r="AG65" s="10" cm="1">
        <f t="array" aca="1" ref="AG65" ca="1">SUMPRODUCT(--($A$4:$A$61=$A65),AG$4:AG$61,'RES Assumptions'!AE$87:AE$144)</f>
        <v>103.37776136988899</v>
      </c>
      <c r="AH65" s="10" cm="1">
        <f t="array" aca="1" ref="AH65" ca="1">SUMPRODUCT(--($A$4:$A$61=$A65),AH$4:AH$61,'RES Assumptions'!AF$87:AF$144)</f>
        <v>22.055639787966975</v>
      </c>
      <c r="AI65" s="10" cm="1">
        <f t="array" aca="1" ref="AI65" ca="1">SUMPRODUCT(--($A$4:$A$61=$A65),AI$4:AI$61,'RES Assumptions'!AG$87:AG$144)</f>
        <v>3547.381029459485</v>
      </c>
      <c r="AJ65" s="10" cm="1">
        <f t="array" aca="1" ref="AJ65" ca="1">SUMPRODUCT(--($A$4:$A$61=$A65),AJ$4:AJ$61,'RES Assumptions'!AH$87:AH$144)</f>
        <v>0</v>
      </c>
    </row>
    <row r="66" spans="1:36" x14ac:dyDescent="0.45">
      <c r="A66" s="37" t="s">
        <v>66</v>
      </c>
      <c r="F66" s="8" t="s">
        <v>66</v>
      </c>
      <c r="G66" s="10" cm="1">
        <f t="array" aca="1" ref="G66" ca="1">SUMPRODUCT(--($A$4:$A$61=$A66),G$4:G$61,'RES Assumptions'!E$87:E$144)</f>
        <v>0</v>
      </c>
      <c r="H66" s="10" cm="1">
        <f t="array" aca="1" ref="H66" ca="1">SUMPRODUCT(--($A$4:$A$61=$A66),H$4:H$61,'RES Assumptions'!F$87:F$144)</f>
        <v>0</v>
      </c>
      <c r="I66" s="10" cm="1">
        <f t="array" aca="1" ref="I66" ca="1">SUMPRODUCT(--($A$4:$A$61=$A66),I$4:I$61,'RES Assumptions'!G$87:G$144)</f>
        <v>0</v>
      </c>
      <c r="J66" s="10" cm="1">
        <f t="array" aca="1" ref="J66" ca="1">SUMPRODUCT(--($A$4:$A$61=$A66),J$4:J$61,'RES Assumptions'!H$87:H$144)</f>
        <v>0</v>
      </c>
      <c r="K66" s="10" cm="1">
        <f t="array" aca="1" ref="K66" ca="1">SUMPRODUCT(--($A$4:$A$61=$A66),K$4:K$61,'RES Assumptions'!I$87:I$144)</f>
        <v>0</v>
      </c>
      <c r="L66" s="10" cm="1">
        <f t="array" aca="1" ref="L66" ca="1">SUMPRODUCT(--($A$4:$A$61=$A66),L$4:L$61,'RES Assumptions'!J$87:J$144)</f>
        <v>0</v>
      </c>
      <c r="M66" s="10" cm="1">
        <f t="array" aca="1" ref="M66" ca="1">SUMPRODUCT(--($A$4:$A$61=$A66),M$4:M$61,'RES Assumptions'!K$87:K$144)</f>
        <v>0</v>
      </c>
      <c r="N66" s="10" cm="1">
        <f t="array" aca="1" ref="N66" ca="1">SUMPRODUCT(--($A$4:$A$61=$A66),N$4:N$61,'RES Assumptions'!L$87:L$144)</f>
        <v>0</v>
      </c>
      <c r="O66" s="10" cm="1">
        <f t="array" aca="1" ref="O66" ca="1">SUMPRODUCT(--($A$4:$A$61=$A66),O$4:O$61,'RES Assumptions'!M$87:M$144)</f>
        <v>0</v>
      </c>
      <c r="P66" s="10" cm="1">
        <f t="array" aca="1" ref="P66" ca="1">SUMPRODUCT(--($A$4:$A$61=$A66),P$4:P$61,'RES Assumptions'!N$87:N$144)</f>
        <v>0</v>
      </c>
      <c r="Q66" s="10" cm="1">
        <f t="array" aca="1" ref="Q66" ca="1">SUMPRODUCT(--($A$4:$A$61=$A66),Q$4:Q$61,'RES Assumptions'!O$87:O$144)</f>
        <v>0</v>
      </c>
      <c r="R66" s="10" cm="1">
        <f t="array" aca="1" ref="R66" ca="1">SUMPRODUCT(--($A$4:$A$61=$A66),R$4:R$61,'RES Assumptions'!P$87:P$144)</f>
        <v>0</v>
      </c>
      <c r="S66" s="10" cm="1">
        <f t="array" aca="1" ref="S66" ca="1">SUMPRODUCT(--($A$4:$A$61=$A66),S$4:S$61,'RES Assumptions'!Q$87:Q$144)</f>
        <v>0</v>
      </c>
      <c r="T66" s="10" cm="1">
        <f t="array" aca="1" ref="T66" ca="1">SUMPRODUCT(--($A$4:$A$61=$A66),T$4:T$61,'RES Assumptions'!R$87:R$144)</f>
        <v>0</v>
      </c>
      <c r="U66" s="10" cm="1">
        <f t="array" aca="1" ref="U66" ca="1">SUMPRODUCT(--($A$4:$A$61=$A66),U$4:U$61,'RES Assumptions'!S$87:S$144)</f>
        <v>0</v>
      </c>
      <c r="V66" s="10" cm="1">
        <f t="array" aca="1" ref="V66" ca="1">SUMPRODUCT(--($A$4:$A$61=$A66),V$4:V$61,'RES Assumptions'!T$87:T$144)</f>
        <v>0</v>
      </c>
      <c r="W66" s="10" cm="1">
        <f t="array" aca="1" ref="W66" ca="1">SUMPRODUCT(--($A$4:$A$61=$A66),W$4:W$61,'RES Assumptions'!U$87:U$144)</f>
        <v>0</v>
      </c>
      <c r="X66" s="10" cm="1">
        <f t="array" aca="1" ref="X66" ca="1">SUMPRODUCT(--($A$4:$A$61=$A66),X$4:X$61,'RES Assumptions'!V$87:V$144)</f>
        <v>0</v>
      </c>
      <c r="Y66" s="10" cm="1">
        <f t="array" aca="1" ref="Y66" ca="1">SUMPRODUCT(--($A$4:$A$61=$A66),Y$4:Y$61,'RES Assumptions'!W$87:W$144)</f>
        <v>0</v>
      </c>
      <c r="Z66" s="10" cm="1">
        <f t="array" aca="1" ref="Z66" ca="1">SUMPRODUCT(--($A$4:$A$61=$A66),Z$4:Z$61,'RES Assumptions'!X$87:X$144)</f>
        <v>0</v>
      </c>
      <c r="AA66" s="10" cm="1">
        <f t="array" aca="1" ref="AA66" ca="1">SUMPRODUCT(--($A$4:$A$61=$A66),AA$4:AA$61,'RES Assumptions'!Y$87:Y$144)</f>
        <v>0</v>
      </c>
      <c r="AB66" s="10" cm="1">
        <f t="array" aca="1" ref="AB66" ca="1">SUMPRODUCT(--($A$4:$A$61=$A66),AB$4:AB$61,'RES Assumptions'!Z$87:Z$144)</f>
        <v>0</v>
      </c>
      <c r="AC66" s="10" cm="1">
        <f t="array" aca="1" ref="AC66" ca="1">SUMPRODUCT(--($A$4:$A$61=$A66),AC$4:AC$61,'RES Assumptions'!AA$87:AA$144)</f>
        <v>0</v>
      </c>
      <c r="AD66" s="10" cm="1">
        <f t="array" aca="1" ref="AD66" ca="1">SUMPRODUCT(--($A$4:$A$61=$A66),AD$4:AD$61,'RES Assumptions'!AB$87:AB$144)</f>
        <v>0</v>
      </c>
      <c r="AE66" s="10" cm="1">
        <f t="array" aca="1" ref="AE66" ca="1">SUMPRODUCT(--($A$4:$A$61=$A66),AE$4:AE$61,'RES Assumptions'!AC$87:AC$144)</f>
        <v>0</v>
      </c>
      <c r="AF66" s="10" cm="1">
        <f t="array" aca="1" ref="AF66" ca="1">SUMPRODUCT(--($A$4:$A$61=$A66),AF$4:AF$61,'RES Assumptions'!AD$87:AD$144)</f>
        <v>0</v>
      </c>
      <c r="AG66" s="10" cm="1">
        <f t="array" aca="1" ref="AG66" ca="1">SUMPRODUCT(--($A$4:$A$61=$A66),AG$4:AG$61,'RES Assumptions'!AE$87:AE$144)</f>
        <v>0</v>
      </c>
      <c r="AH66" s="10" cm="1">
        <f t="array" aca="1" ref="AH66" ca="1">SUMPRODUCT(--($A$4:$A$61=$A66),AH$4:AH$61,'RES Assumptions'!AF$87:AF$144)</f>
        <v>0</v>
      </c>
      <c r="AI66" s="10" cm="1">
        <f t="array" aca="1" ref="AI66" ca="1">SUMPRODUCT(--($A$4:$A$61=$A66),AI$4:AI$61,'RES Assumptions'!AG$87:AG$144)</f>
        <v>0</v>
      </c>
      <c r="AJ66" s="10" cm="1">
        <f t="array" aca="1" ref="AJ66" ca="1">SUMPRODUCT(--($A$4:$A$61=$A66),AJ$4:AJ$61,'RES Assumptions'!AH$87:AH$144)</f>
        <v>0</v>
      </c>
    </row>
    <row r="67" spans="1:36" x14ac:dyDescent="0.45">
      <c r="A67" s="37" t="s">
        <v>68</v>
      </c>
      <c r="F67" s="8" t="s">
        <v>68</v>
      </c>
      <c r="G67" s="10" cm="1">
        <f t="array" aca="1" ref="G67" ca="1">SUMPRODUCT(--($A$4:$A$61=$A67),G$4:G$61,'RES Assumptions'!E$87:E$144)</f>
        <v>0</v>
      </c>
      <c r="H67" s="10" cm="1">
        <f t="array" aca="1" ref="H67" ca="1">SUMPRODUCT(--($A$4:$A$61=$A67),H$4:H$61,'RES Assumptions'!F$87:F$144)</f>
        <v>0</v>
      </c>
      <c r="I67" s="10" cm="1">
        <f t="array" aca="1" ref="I67" ca="1">SUMPRODUCT(--($A$4:$A$61=$A67),I$4:I$61,'RES Assumptions'!G$87:G$144)</f>
        <v>0</v>
      </c>
      <c r="J67" s="10" cm="1">
        <f t="array" aca="1" ref="J67" ca="1">SUMPRODUCT(--($A$4:$A$61=$A67),J$4:J$61,'RES Assumptions'!H$87:H$144)</f>
        <v>0</v>
      </c>
      <c r="K67" s="10" cm="1">
        <f t="array" aca="1" ref="K67" ca="1">SUMPRODUCT(--($A$4:$A$61=$A67),K$4:K$61,'RES Assumptions'!I$87:I$144)</f>
        <v>0</v>
      </c>
      <c r="L67" s="10" cm="1">
        <f t="array" aca="1" ref="L67" ca="1">SUMPRODUCT(--($A$4:$A$61=$A67),L$4:L$61,'RES Assumptions'!J$87:J$144)</f>
        <v>0</v>
      </c>
      <c r="M67" s="10" cm="1">
        <f t="array" aca="1" ref="M67" ca="1">SUMPRODUCT(--($A$4:$A$61=$A67),M$4:M$61,'RES Assumptions'!K$87:K$144)</f>
        <v>0</v>
      </c>
      <c r="N67" s="10" cm="1">
        <f t="array" aca="1" ref="N67" ca="1">SUMPRODUCT(--($A$4:$A$61=$A67),N$4:N$61,'RES Assumptions'!L$87:L$144)</f>
        <v>0</v>
      </c>
      <c r="O67" s="10" cm="1">
        <f t="array" aca="1" ref="O67" ca="1">SUMPRODUCT(--($A$4:$A$61=$A67),O$4:O$61,'RES Assumptions'!M$87:M$144)</f>
        <v>0</v>
      </c>
      <c r="P67" s="10" cm="1">
        <f t="array" aca="1" ref="P67" ca="1">SUMPRODUCT(--($A$4:$A$61=$A67),P$4:P$61,'RES Assumptions'!N$87:N$144)</f>
        <v>0</v>
      </c>
      <c r="Q67" s="10" cm="1">
        <f t="array" aca="1" ref="Q67" ca="1">SUMPRODUCT(--($A$4:$A$61=$A67),Q$4:Q$61,'RES Assumptions'!O$87:O$144)</f>
        <v>0</v>
      </c>
      <c r="R67" s="10" cm="1">
        <f t="array" aca="1" ref="R67" ca="1">SUMPRODUCT(--($A$4:$A$61=$A67),R$4:R$61,'RES Assumptions'!P$87:P$144)</f>
        <v>0</v>
      </c>
      <c r="S67" s="10" cm="1">
        <f t="array" aca="1" ref="S67" ca="1">SUMPRODUCT(--($A$4:$A$61=$A67),S$4:S$61,'RES Assumptions'!Q$87:Q$144)</f>
        <v>0</v>
      </c>
      <c r="T67" s="10" cm="1">
        <f t="array" aca="1" ref="T67" ca="1">SUMPRODUCT(--($A$4:$A$61=$A67),T$4:T$61,'RES Assumptions'!R$87:R$144)</f>
        <v>0</v>
      </c>
      <c r="U67" s="10" cm="1">
        <f t="array" aca="1" ref="U67" ca="1">SUMPRODUCT(--($A$4:$A$61=$A67),U$4:U$61,'RES Assumptions'!S$87:S$144)</f>
        <v>0</v>
      </c>
      <c r="V67" s="10" cm="1">
        <f t="array" aca="1" ref="V67" ca="1">SUMPRODUCT(--($A$4:$A$61=$A67),V$4:V$61,'RES Assumptions'!T$87:T$144)</f>
        <v>0</v>
      </c>
      <c r="W67" s="10" cm="1">
        <f t="array" aca="1" ref="W67" ca="1">SUMPRODUCT(--($A$4:$A$61=$A67),W$4:W$61,'RES Assumptions'!U$87:U$144)</f>
        <v>0</v>
      </c>
      <c r="X67" s="10" cm="1">
        <f t="array" aca="1" ref="X67" ca="1">SUMPRODUCT(--($A$4:$A$61=$A67),X$4:X$61,'RES Assumptions'!V$87:V$144)</f>
        <v>0</v>
      </c>
      <c r="Y67" s="10" cm="1">
        <f t="array" aca="1" ref="Y67" ca="1">SUMPRODUCT(--($A$4:$A$61=$A67),Y$4:Y$61,'RES Assumptions'!W$87:W$144)</f>
        <v>0</v>
      </c>
      <c r="Z67" s="10" cm="1">
        <f t="array" aca="1" ref="Z67" ca="1">SUMPRODUCT(--($A$4:$A$61=$A67),Z$4:Z$61,'RES Assumptions'!X$87:X$144)</f>
        <v>0</v>
      </c>
      <c r="AA67" s="10" cm="1">
        <f t="array" aca="1" ref="AA67" ca="1">SUMPRODUCT(--($A$4:$A$61=$A67),AA$4:AA$61,'RES Assumptions'!Y$87:Y$144)</f>
        <v>0</v>
      </c>
      <c r="AB67" s="10" cm="1">
        <f t="array" aca="1" ref="AB67" ca="1">SUMPRODUCT(--($A$4:$A$61=$A67),AB$4:AB$61,'RES Assumptions'!Z$87:Z$144)</f>
        <v>0</v>
      </c>
      <c r="AC67" s="10" cm="1">
        <f t="array" aca="1" ref="AC67" ca="1">SUMPRODUCT(--($A$4:$A$61=$A67),AC$4:AC$61,'RES Assumptions'!AA$87:AA$144)</f>
        <v>0</v>
      </c>
      <c r="AD67" s="10" cm="1">
        <f t="array" aca="1" ref="AD67" ca="1">SUMPRODUCT(--($A$4:$A$61=$A67),AD$4:AD$61,'RES Assumptions'!AB$87:AB$144)</f>
        <v>0</v>
      </c>
      <c r="AE67" s="10" cm="1">
        <f t="array" aca="1" ref="AE67" ca="1">SUMPRODUCT(--($A$4:$A$61=$A67),AE$4:AE$61,'RES Assumptions'!AC$87:AC$144)</f>
        <v>0</v>
      </c>
      <c r="AF67" s="10" cm="1">
        <f t="array" aca="1" ref="AF67" ca="1">SUMPRODUCT(--($A$4:$A$61=$A67),AF$4:AF$61,'RES Assumptions'!AD$87:AD$144)</f>
        <v>0</v>
      </c>
      <c r="AG67" s="10" cm="1">
        <f t="array" aca="1" ref="AG67" ca="1">SUMPRODUCT(--($A$4:$A$61=$A67),AG$4:AG$61,'RES Assumptions'!AE$87:AE$144)</f>
        <v>0</v>
      </c>
      <c r="AH67" s="10" cm="1">
        <f t="array" aca="1" ref="AH67" ca="1">SUMPRODUCT(--($A$4:$A$61=$A67),AH$4:AH$61,'RES Assumptions'!AF$87:AF$144)</f>
        <v>0</v>
      </c>
      <c r="AI67" s="10" cm="1">
        <f t="array" aca="1" ref="AI67" ca="1">SUMPRODUCT(--($A$4:$A$61=$A67),AI$4:AI$61,'RES Assumptions'!AG$87:AG$144)</f>
        <v>0</v>
      </c>
      <c r="AJ67" s="10" cm="1">
        <f t="array" aca="1" ref="AJ67" ca="1">SUMPRODUCT(--($A$4:$A$61=$A67),AJ$4:AJ$61,'RES Assumptions'!AH$87:AH$144)</f>
        <v>0</v>
      </c>
    </row>
    <row r="68" spans="1:36" x14ac:dyDescent="0.45">
      <c r="A68" s="37" t="s">
        <v>69</v>
      </c>
      <c r="F68" s="8" t="s">
        <v>69</v>
      </c>
      <c r="G68" s="10" cm="1">
        <f t="array" aca="1" ref="G68" ca="1">SUMPRODUCT(--($A$4:$A$61=$A68),G$4:G$61,'RES Assumptions'!E$87:E$144)</f>
        <v>0</v>
      </c>
      <c r="H68" s="10" cm="1">
        <f t="array" aca="1" ref="H68" ca="1">SUMPRODUCT(--($A$4:$A$61=$A68),H$4:H$61,'RES Assumptions'!F$87:F$144)</f>
        <v>0</v>
      </c>
      <c r="I68" s="10" cm="1">
        <f t="array" aca="1" ref="I68" ca="1">SUMPRODUCT(--($A$4:$A$61=$A68),I$4:I$61,'RES Assumptions'!G$87:G$144)</f>
        <v>0</v>
      </c>
      <c r="J68" s="10" cm="1">
        <f t="array" aca="1" ref="J68" ca="1">SUMPRODUCT(--($A$4:$A$61=$A68),J$4:J$61,'RES Assumptions'!H$87:H$144)</f>
        <v>0</v>
      </c>
      <c r="K68" s="10" cm="1">
        <f t="array" aca="1" ref="K68" ca="1">SUMPRODUCT(--($A$4:$A$61=$A68),K$4:K$61,'RES Assumptions'!I$87:I$144)</f>
        <v>0</v>
      </c>
      <c r="L68" s="10" cm="1">
        <f t="array" aca="1" ref="L68" ca="1">SUMPRODUCT(--($A$4:$A$61=$A68),L$4:L$61,'RES Assumptions'!J$87:J$144)</f>
        <v>0</v>
      </c>
      <c r="M68" s="10" cm="1">
        <f t="array" aca="1" ref="M68" ca="1">SUMPRODUCT(--($A$4:$A$61=$A68),M$4:M$61,'RES Assumptions'!K$87:K$144)</f>
        <v>0</v>
      </c>
      <c r="N68" s="10" cm="1">
        <f t="array" aca="1" ref="N68" ca="1">SUMPRODUCT(--($A$4:$A$61=$A68),N$4:N$61,'RES Assumptions'!L$87:L$144)</f>
        <v>0</v>
      </c>
      <c r="O68" s="10" cm="1">
        <f t="array" aca="1" ref="O68" ca="1">SUMPRODUCT(--($A$4:$A$61=$A68),O$4:O$61,'RES Assumptions'!M$87:M$144)</f>
        <v>0</v>
      </c>
      <c r="P68" s="10" cm="1">
        <f t="array" aca="1" ref="P68" ca="1">SUMPRODUCT(--($A$4:$A$61=$A68),P$4:P$61,'RES Assumptions'!N$87:N$144)</f>
        <v>0</v>
      </c>
      <c r="Q68" s="10" cm="1">
        <f t="array" aca="1" ref="Q68" ca="1">SUMPRODUCT(--($A$4:$A$61=$A68),Q$4:Q$61,'RES Assumptions'!O$87:O$144)</f>
        <v>0</v>
      </c>
      <c r="R68" s="10" cm="1">
        <f t="array" aca="1" ref="R68" ca="1">SUMPRODUCT(--($A$4:$A$61=$A68),R$4:R$61,'RES Assumptions'!P$87:P$144)</f>
        <v>0</v>
      </c>
      <c r="S68" s="10" cm="1">
        <f t="array" aca="1" ref="S68" ca="1">SUMPRODUCT(--($A$4:$A$61=$A68),S$4:S$61,'RES Assumptions'!Q$87:Q$144)</f>
        <v>0</v>
      </c>
      <c r="T68" s="10" cm="1">
        <f t="array" aca="1" ref="T68" ca="1">SUMPRODUCT(--($A$4:$A$61=$A68),T$4:T$61,'RES Assumptions'!R$87:R$144)</f>
        <v>0</v>
      </c>
      <c r="U68" s="10" cm="1">
        <f t="array" aca="1" ref="U68" ca="1">SUMPRODUCT(--($A$4:$A$61=$A68),U$4:U$61,'RES Assumptions'!S$87:S$144)</f>
        <v>0</v>
      </c>
      <c r="V68" s="10" cm="1">
        <f t="array" aca="1" ref="V68" ca="1">SUMPRODUCT(--($A$4:$A$61=$A68),V$4:V$61,'RES Assumptions'!T$87:T$144)</f>
        <v>0</v>
      </c>
      <c r="W68" s="10" cm="1">
        <f t="array" aca="1" ref="W68" ca="1">SUMPRODUCT(--($A$4:$A$61=$A68),W$4:W$61,'RES Assumptions'!U$87:U$144)</f>
        <v>0</v>
      </c>
      <c r="X68" s="10" cm="1">
        <f t="array" aca="1" ref="X68" ca="1">SUMPRODUCT(--($A$4:$A$61=$A68),X$4:X$61,'RES Assumptions'!V$87:V$144)</f>
        <v>0</v>
      </c>
      <c r="Y68" s="10" cm="1">
        <f t="array" aca="1" ref="Y68" ca="1">SUMPRODUCT(--($A$4:$A$61=$A68),Y$4:Y$61,'RES Assumptions'!W$87:W$144)</f>
        <v>0</v>
      </c>
      <c r="Z68" s="10" cm="1">
        <f t="array" aca="1" ref="Z68" ca="1">SUMPRODUCT(--($A$4:$A$61=$A68),Z$4:Z$61,'RES Assumptions'!X$87:X$144)</f>
        <v>0</v>
      </c>
      <c r="AA68" s="10" cm="1">
        <f t="array" aca="1" ref="AA68" ca="1">SUMPRODUCT(--($A$4:$A$61=$A68),AA$4:AA$61,'RES Assumptions'!Y$87:Y$144)</f>
        <v>0</v>
      </c>
      <c r="AB68" s="10" cm="1">
        <f t="array" aca="1" ref="AB68" ca="1">SUMPRODUCT(--($A$4:$A$61=$A68),AB$4:AB$61,'RES Assumptions'!Z$87:Z$144)</f>
        <v>0</v>
      </c>
      <c r="AC68" s="10" cm="1">
        <f t="array" aca="1" ref="AC68" ca="1">SUMPRODUCT(--($A$4:$A$61=$A68),AC$4:AC$61,'RES Assumptions'!AA$87:AA$144)</f>
        <v>0</v>
      </c>
      <c r="AD68" s="10" cm="1">
        <f t="array" aca="1" ref="AD68" ca="1">SUMPRODUCT(--($A$4:$A$61=$A68),AD$4:AD$61,'RES Assumptions'!AB$87:AB$144)</f>
        <v>0</v>
      </c>
      <c r="AE68" s="10" cm="1">
        <f t="array" aca="1" ref="AE68" ca="1">SUMPRODUCT(--($A$4:$A$61=$A68),AE$4:AE$61,'RES Assumptions'!AC$87:AC$144)</f>
        <v>0</v>
      </c>
      <c r="AF68" s="10" cm="1">
        <f t="array" aca="1" ref="AF68" ca="1">SUMPRODUCT(--($A$4:$A$61=$A68),AF$4:AF$61,'RES Assumptions'!AD$87:AD$144)</f>
        <v>0</v>
      </c>
      <c r="AG68" s="10" cm="1">
        <f t="array" aca="1" ref="AG68" ca="1">SUMPRODUCT(--($A$4:$A$61=$A68),AG$4:AG$61,'RES Assumptions'!AE$87:AE$144)</f>
        <v>0</v>
      </c>
      <c r="AH68" s="10" cm="1">
        <f t="array" aca="1" ref="AH68" ca="1">SUMPRODUCT(--($A$4:$A$61=$A68),AH$4:AH$61,'RES Assumptions'!AF$87:AF$144)</f>
        <v>0</v>
      </c>
      <c r="AI68" s="10" cm="1">
        <f t="array" aca="1" ref="AI68" ca="1">SUMPRODUCT(--($A$4:$A$61=$A68),AI$4:AI$61,'RES Assumptions'!AG$87:AG$144)</f>
        <v>0</v>
      </c>
      <c r="AJ68" s="10" cm="1">
        <f t="array" aca="1" ref="AJ68" ca="1">SUMPRODUCT(--($A$4:$A$61=$A68),AJ$4:AJ$61,'RES Assumptions'!AH$87:AH$144)</f>
        <v>0</v>
      </c>
    </row>
    <row r="69" spans="1:36" x14ac:dyDescent="0.45">
      <c r="A69" s="37" t="s">
        <v>190</v>
      </c>
      <c r="F69" s="8" t="s">
        <v>190</v>
      </c>
      <c r="G69" s="10" cm="1">
        <f t="array" aca="1" ref="G69" ca="1">SUMPRODUCT(--($A$4:$A$61=$A69),G$4:G$61,'RES Assumptions'!E$87:E$144)</f>
        <v>143.85132101969998</v>
      </c>
      <c r="H69" s="10" cm="1">
        <f t="array" aca="1" ref="H69" ca="1">SUMPRODUCT(--($A$4:$A$61=$A69),H$4:H$61,'RES Assumptions'!F$87:F$144)</f>
        <v>96.742469417579983</v>
      </c>
      <c r="I69" s="10" cm="1">
        <f t="array" aca="1" ref="I69" ca="1">SUMPRODUCT(--($A$4:$A$61=$A69),I$4:I$61,'RES Assumptions'!G$87:G$144)</f>
        <v>86.741258062285937</v>
      </c>
      <c r="J69" s="10" cm="1">
        <f t="array" aca="1" ref="J69" ca="1">SUMPRODUCT(--($A$4:$A$61=$A69),J$4:J$61,'RES Assumptions'!H$87:H$144)</f>
        <v>90.203075872194049</v>
      </c>
      <c r="K69" s="10" cm="1">
        <f t="array" aca="1" ref="K69" ca="1">SUMPRODUCT(--($A$4:$A$61=$A69),K$4:K$61,'RES Assumptions'!I$87:I$144)</f>
        <v>614.33374632702771</v>
      </c>
      <c r="L69" s="10" cm="1">
        <f t="array" aca="1" ref="L69" ca="1">SUMPRODUCT(--($A$4:$A$61=$A69),L$4:L$61,'RES Assumptions'!J$87:J$144)</f>
        <v>822.43800457817565</v>
      </c>
      <c r="M69" s="10" cm="1">
        <f t="array" aca="1" ref="M69" ca="1">SUMPRODUCT(--($A$4:$A$61=$A69),M$4:M$61,'RES Assumptions'!K$87:K$144)</f>
        <v>75.277391665758927</v>
      </c>
      <c r="N69" s="10" cm="1">
        <f t="array" aca="1" ref="N69" ca="1">SUMPRODUCT(--($A$4:$A$61=$A69),N$4:N$61,'RES Assumptions'!L$87:L$144)</f>
        <v>217.84972011401916</v>
      </c>
      <c r="O69" s="10" cm="1">
        <f t="array" aca="1" ref="O69" ca="1">SUMPRODUCT(--($A$4:$A$61=$A69),O$4:O$61,'RES Assumptions'!M$87:M$144)</f>
        <v>76.058035782775377</v>
      </c>
      <c r="P69" s="10" cm="1">
        <f t="array" aca="1" ref="P69" ca="1">SUMPRODUCT(--($A$4:$A$61=$A69),P$4:P$61,'RES Assumptions'!N$87:N$144)</f>
        <v>1600.8914826047594</v>
      </c>
      <c r="Q69" s="10" cm="1">
        <f t="array" aca="1" ref="Q69" ca="1">SUMPRODUCT(--($A$4:$A$61=$A69),Q$4:Q$61,'RES Assumptions'!O$87:O$144)</f>
        <v>110.43207344972051</v>
      </c>
      <c r="R69" s="10" cm="1">
        <f t="array" aca="1" ref="R69" ca="1">SUMPRODUCT(--($A$4:$A$61=$A69),R$4:R$61,'RES Assumptions'!P$87:P$144)</f>
        <v>120.47200758722586</v>
      </c>
      <c r="S69" s="10" cm="1">
        <f t="array" aca="1" ref="S69" ca="1">SUMPRODUCT(--($A$4:$A$61=$A69),S$4:S$61,'RES Assumptions'!Q$87:Q$144)</f>
        <v>73.209453166202934</v>
      </c>
      <c r="T69" s="10" cm="1">
        <f t="array" aca="1" ref="T69" ca="1">SUMPRODUCT(--($A$4:$A$61=$A69),T$4:T$61,'RES Assumptions'!R$87:R$144)</f>
        <v>123.32543298981724</v>
      </c>
      <c r="U69" s="10" cm="1">
        <f t="array" aca="1" ref="U69" ca="1">SUMPRODUCT(--($A$4:$A$61=$A69),U$4:U$61,'RES Assumptions'!S$87:S$144)</f>
        <v>72.327967455771528</v>
      </c>
      <c r="V69" s="10" cm="1">
        <f t="array" aca="1" ref="V69" ca="1">SUMPRODUCT(--($A$4:$A$61=$A69),V$4:V$61,'RES Assumptions'!T$87:T$144)</f>
        <v>124.20275826221142</v>
      </c>
      <c r="W69" s="10" cm="1">
        <f t="array" aca="1" ref="W69" ca="1">SUMPRODUCT(--($A$4:$A$61=$A69),W$4:W$61,'RES Assumptions'!U$87:U$144)</f>
        <v>122.68475189378411</v>
      </c>
      <c r="X69" s="10" cm="1">
        <f t="array" aca="1" ref="X69" ca="1">SUMPRODUCT(--($A$4:$A$61=$A69),X$4:X$61,'RES Assumptions'!V$87:V$144)</f>
        <v>230.12668094934006</v>
      </c>
      <c r="Y69" s="10" cm="1">
        <f t="array" aca="1" ref="Y69" ca="1">SUMPRODUCT(--($A$4:$A$61=$A69),Y$4:Y$61,'RES Assumptions'!W$87:W$144)</f>
        <v>182.31668711825432</v>
      </c>
      <c r="Z69" s="10" cm="1">
        <f t="array" aca="1" ref="Z69" ca="1">SUMPRODUCT(--($A$4:$A$61=$A69),Z$4:Z$61,'RES Assumptions'!X$87:X$144)</f>
        <v>503.01982083112398</v>
      </c>
      <c r="AA69" s="10" cm="1">
        <f t="array" aca="1" ref="AA69" ca="1">SUMPRODUCT(--($A$4:$A$61=$A69),AA$4:AA$61,'RES Assumptions'!Y$87:Y$144)</f>
        <v>174.03557938748779</v>
      </c>
      <c r="AB69" s="10" cm="1">
        <f t="array" aca="1" ref="AB69" ca="1">SUMPRODUCT(--($A$4:$A$61=$A69),AB$4:AB$61,'RES Assumptions'!Z$87:Z$144)</f>
        <v>77.247435508886554</v>
      </c>
      <c r="AC69" s="10" cm="1">
        <f t="array" aca="1" ref="AC69" ca="1">SUMPRODUCT(--($A$4:$A$61=$A69),AC$4:AC$61,'RES Assumptions'!AA$87:AA$144)</f>
        <v>223.20565923469266</v>
      </c>
      <c r="AD69" s="10" cm="1">
        <f t="array" aca="1" ref="AD69" ca="1">SUMPRODUCT(--($A$4:$A$61=$A69),AD$4:AD$61,'RES Assumptions'!AB$87:AB$144)</f>
        <v>58.992490753659894</v>
      </c>
      <c r="AE69" s="10" cm="1">
        <f t="array" aca="1" ref="AE69" ca="1">SUMPRODUCT(--($A$4:$A$61=$A69),AE$4:AE$61,'RES Assumptions'!AC$87:AC$144)</f>
        <v>253.81859730055797</v>
      </c>
      <c r="AF69" s="10" cm="1">
        <f t="array" aca="1" ref="AF69" ca="1">SUMPRODUCT(--($A$4:$A$61=$A69),AF$4:AF$61,'RES Assumptions'!AD$87:AD$144)</f>
        <v>107.16569323166681</v>
      </c>
      <c r="AG69" s="10" cm="1">
        <f t="array" aca="1" ref="AG69" ca="1">SUMPRODUCT(--($A$4:$A$61=$A69),AG$4:AG$61,'RES Assumptions'!AE$87:AE$144)</f>
        <v>61.316786291039996</v>
      </c>
      <c r="AH69" s="10" cm="1">
        <f t="array" aca="1" ref="AH69" ca="1">SUMPRODUCT(--($A$4:$A$61=$A69),AH$4:AH$61,'RES Assumptions'!AF$87:AF$144)</f>
        <v>149.59028868816728</v>
      </c>
      <c r="AI69" s="10" cm="1">
        <f t="array" aca="1" ref="AI69" ca="1">SUMPRODUCT(--($A$4:$A$61=$A69),AI$4:AI$61,'RES Assumptions'!AG$87:AG$144)</f>
        <v>1259.5111667481583</v>
      </c>
      <c r="AJ69" s="10" cm="1">
        <f t="array" aca="1" ref="AJ69" ca="1">SUMPRODUCT(--($A$4:$A$61=$A69),AJ$4:AJ$61,'RES Assumptions'!AH$87:AH$144)</f>
        <v>0</v>
      </c>
    </row>
    <row r="70" spans="1:36" x14ac:dyDescent="0.45">
      <c r="A70" s="37" t="s">
        <v>62</v>
      </c>
      <c r="F70" s="8" t="s">
        <v>193</v>
      </c>
      <c r="G70" s="10" cm="1">
        <f t="array" aca="1" ref="G70" ca="1">SUMPRODUCT(--($A$4:$A$61=$A70),G$4:G$61,'RES Assumptions'!E$87:E$144)</f>
        <v>3.6710249536488884</v>
      </c>
      <c r="H70" s="10" cm="1">
        <f t="array" aca="1" ref="H70" ca="1">SUMPRODUCT(--($A$4:$A$61=$A70),H$4:H$61,'RES Assumptions'!F$87:F$144)</f>
        <v>1.5193114629183204</v>
      </c>
      <c r="I70" s="10" cm="1">
        <f t="array" aca="1" ref="I70" ca="1">SUMPRODUCT(--($A$4:$A$61=$A70),I$4:I$61,'RES Assumptions'!G$87:G$144)</f>
        <v>7.3119863322907701</v>
      </c>
      <c r="J70" s="10" cm="1">
        <f t="array" aca="1" ref="J70" ca="1">SUMPRODUCT(--($A$4:$A$61=$A70),J$4:J$61,'RES Assumptions'!H$87:H$144)</f>
        <v>582.66276096072863</v>
      </c>
      <c r="K70" s="10" cm="1">
        <f t="array" aca="1" ref="K70" ca="1">SUMPRODUCT(--($A$4:$A$61=$A70),K$4:K$61,'RES Assumptions'!I$87:I$144)</f>
        <v>592.22972550714451</v>
      </c>
      <c r="L70" s="10" cm="1">
        <f t="array" aca="1" ref="L70" ca="1">SUMPRODUCT(--($A$4:$A$61=$A70),L$4:L$61,'RES Assumptions'!J$87:J$144)</f>
        <v>0</v>
      </c>
      <c r="M70" s="10" cm="1">
        <f t="array" aca="1" ref="M70" ca="1">SUMPRODUCT(--($A$4:$A$61=$A70),M$4:M$61,'RES Assumptions'!K$87:K$144)</f>
        <v>117.4148423220211</v>
      </c>
      <c r="N70" s="10" cm="1">
        <f t="array" aca="1" ref="N70" ca="1">SUMPRODUCT(--($A$4:$A$61=$A70),N$4:N$61,'RES Assumptions'!L$87:L$144)</f>
        <v>22.241265376730912</v>
      </c>
      <c r="O70" s="10" cm="1">
        <f t="array" aca="1" ref="O70" ca="1">SUMPRODUCT(--($A$4:$A$61=$A70),O$4:O$61,'RES Assumptions'!M$87:M$144)</f>
        <v>675.89118772463007</v>
      </c>
      <c r="P70" s="10" cm="1">
        <f t="array" aca="1" ref="P70" ca="1">SUMPRODUCT(--($A$4:$A$61=$A70),P$4:P$61,'RES Assumptions'!N$87:N$144)</f>
        <v>2662.5354545723344</v>
      </c>
      <c r="Q70" s="10" cm="1">
        <f t="array" aca="1" ref="Q70" ca="1">SUMPRODUCT(--($A$4:$A$61=$A70),Q$4:Q$61,'RES Assumptions'!O$87:O$144)</f>
        <v>298.49318508157222</v>
      </c>
      <c r="R70" s="10" cm="1">
        <f t="array" aca="1" ref="R70" ca="1">SUMPRODUCT(--($A$4:$A$61=$A70),R$4:R$61,'RES Assumptions'!P$87:P$144)</f>
        <v>619.45449077992657</v>
      </c>
      <c r="S70" s="10" cm="1">
        <f t="array" aca="1" ref="S70" ca="1">SUMPRODUCT(--($A$4:$A$61=$A70),S$4:S$61,'RES Assumptions'!Q$87:Q$144)</f>
        <v>412.94478436484269</v>
      </c>
      <c r="T70" s="10" cm="1">
        <f t="array" aca="1" ref="T70" ca="1">SUMPRODUCT(--($A$4:$A$61=$A70),T$4:T$61,'RES Assumptions'!R$87:R$144)</f>
        <v>637.42355721764977</v>
      </c>
      <c r="U70" s="10" cm="1">
        <f t="array" aca="1" ref="U70" ca="1">SUMPRODUCT(--($A$4:$A$61=$A70),U$4:U$61,'RES Assumptions'!S$87:S$144)</f>
        <v>249.30414123351309</v>
      </c>
      <c r="V70" s="10" cm="1">
        <f t="array" aca="1" ref="V70" ca="1">SUMPRODUCT(--($A$4:$A$61=$A70),V$4:V$61,'RES Assumptions'!T$87:T$144)</f>
        <v>242.85116156073863</v>
      </c>
      <c r="W70" s="10" cm="1">
        <f t="array" aca="1" ref="W70" ca="1">SUMPRODUCT(--($A$4:$A$61=$A70),W$4:W$61,'RES Assumptions'!U$87:U$144)</f>
        <v>790.92073593952682</v>
      </c>
      <c r="X70" s="10" cm="1">
        <f t="array" aca="1" ref="X70" ca="1">SUMPRODUCT(--($A$4:$A$61=$A70),X$4:X$61,'RES Assumptions'!V$87:V$144)</f>
        <v>595.26398897046818</v>
      </c>
      <c r="Y70" s="10" cm="1">
        <f t="array" aca="1" ref="Y70" ca="1">SUMPRODUCT(--($A$4:$A$61=$A70),Y$4:Y$61,'RES Assumptions'!W$87:W$144)</f>
        <v>1136.0205128475725</v>
      </c>
      <c r="Z70" s="10" cm="1">
        <f t="array" aca="1" ref="Z70" ca="1">SUMPRODUCT(--($A$4:$A$61=$A70),Z$4:Z$61,'RES Assumptions'!X$87:X$144)</f>
        <v>0</v>
      </c>
      <c r="AA70" s="10" cm="1">
        <f t="array" aca="1" ref="AA70" ca="1">SUMPRODUCT(--($A$4:$A$61=$A70),AA$4:AA$61,'RES Assumptions'!Y$87:Y$144)</f>
        <v>47.651287272333299</v>
      </c>
      <c r="AB70" s="10" cm="1">
        <f t="array" aca="1" ref="AB70" ca="1">SUMPRODUCT(--($A$4:$A$61=$A70),AB$4:AB$61,'RES Assumptions'!Z$87:Z$144)</f>
        <v>31.633603558631062</v>
      </c>
      <c r="AC70" s="10" cm="1">
        <f t="array" aca="1" ref="AC70" ca="1">SUMPRODUCT(--($A$4:$A$61=$A70),AC$4:AC$61,'RES Assumptions'!AA$87:AA$144)</f>
        <v>973.77710324248585</v>
      </c>
      <c r="AD70" s="10" cm="1">
        <f t="array" aca="1" ref="AD70" ca="1">SUMPRODUCT(--($A$4:$A$61=$A70),AD$4:AD$61,'RES Assumptions'!AB$87:AB$144)</f>
        <v>48.052242595747408</v>
      </c>
      <c r="AE70" s="10" cm="1">
        <f t="array" aca="1" ref="AE70" ca="1">SUMPRODUCT(--($A$4:$A$61=$A70),AE$4:AE$61,'RES Assumptions'!AC$87:AC$144)</f>
        <v>2979.4427581803284</v>
      </c>
      <c r="AF70" s="10" cm="1">
        <f t="array" aca="1" ref="AF70" ca="1">SUMPRODUCT(--($A$4:$A$61=$A70),AF$4:AF$61,'RES Assumptions'!AD$87:AD$144)</f>
        <v>27.67142929481918</v>
      </c>
      <c r="AG70" s="10" cm="1">
        <f t="array" aca="1" ref="AG70" ca="1">SUMPRODUCT(--($A$4:$A$61=$A70),AG$4:AG$61,'RES Assumptions'!AE$87:AE$144)</f>
        <v>26.075963017507483</v>
      </c>
      <c r="AH70" s="10" cm="1">
        <f t="array" aca="1" ref="AH70" ca="1">SUMPRODUCT(--($A$4:$A$61=$A70),AH$4:AH$61,'RES Assumptions'!AF$87:AF$144)</f>
        <v>704.06836691388537</v>
      </c>
      <c r="AI70" s="10" cm="1">
        <f t="array" aca="1" ref="AI70" ca="1">SUMPRODUCT(--($A$4:$A$61=$A70),AI$4:AI$61,'RES Assumptions'!AG$87:AG$144)</f>
        <v>3581.5809802219378</v>
      </c>
      <c r="AJ70" s="10" cm="1">
        <f t="array" aca="1" ref="AJ70" ca="1">SUMPRODUCT(--($A$4:$A$61=$A70),AJ$4:AJ$61,'RES Assumptions'!AH$87:AH$144)</f>
        <v>0</v>
      </c>
    </row>
    <row r="71" spans="1:36" x14ac:dyDescent="0.45">
      <c r="A71" s="37" t="s">
        <v>64</v>
      </c>
      <c r="F71" s="8" t="s">
        <v>64</v>
      </c>
      <c r="G71" s="10" cm="1">
        <f t="array" aca="1" ref="G71" ca="1">SUMPRODUCT(--($A$4:$A$61=$A71),G$4:G$61,'RES Assumptions'!E$87:E$144)</f>
        <v>260.72973588697823</v>
      </c>
      <c r="H71" s="10" cm="1">
        <f t="array" aca="1" ref="H71" ca="1">SUMPRODUCT(--($A$4:$A$61=$A71),H$4:H$61,'RES Assumptions'!F$87:F$144)</f>
        <v>361.48015210624277</v>
      </c>
      <c r="I71" s="10" cm="1">
        <f t="array" aca="1" ref="I71" ca="1">SUMPRODUCT(--($A$4:$A$61=$A71),I$4:I$61,'RES Assumptions'!G$87:G$144)</f>
        <v>189.69291927761111</v>
      </c>
      <c r="J71" s="10" cm="1">
        <f t="array" aca="1" ref="J71" ca="1">SUMPRODUCT(--($A$4:$A$61=$A71),J$4:J$61,'RES Assumptions'!H$87:H$144)</f>
        <v>141.04848436618178</v>
      </c>
      <c r="K71" s="10" cm="1">
        <f t="array" aca="1" ref="K71" ca="1">SUMPRODUCT(--($A$4:$A$61=$A71),K$4:K$61,'RES Assumptions'!I$87:I$144)</f>
        <v>608.47484803128827</v>
      </c>
      <c r="L71" s="10" cm="1">
        <f t="array" aca="1" ref="L71" ca="1">SUMPRODUCT(--($A$4:$A$61=$A71),L$4:L$61,'RES Assumptions'!J$87:J$144)</f>
        <v>74.308618710002548</v>
      </c>
      <c r="M71" s="10" cm="1">
        <f t="array" aca="1" ref="M71" ca="1">SUMPRODUCT(--($A$4:$A$61=$A71),M$4:M$61,'RES Assumptions'!K$87:K$144)</f>
        <v>104.34399559824014</v>
      </c>
      <c r="N71" s="10" cm="1">
        <f t="array" aca="1" ref="N71" ca="1">SUMPRODUCT(--($A$4:$A$61=$A71),N$4:N$61,'RES Assumptions'!L$87:L$144)</f>
        <v>85.182736064770538</v>
      </c>
      <c r="O71" s="10" cm="1">
        <f t="array" aca="1" ref="O71" ca="1">SUMPRODUCT(--($A$4:$A$61=$A71),O$4:O$61,'RES Assumptions'!M$87:M$144)</f>
        <v>198.47766083427319</v>
      </c>
      <c r="P71" s="10" cm="1">
        <f t="array" aca="1" ref="P71" ca="1">SUMPRODUCT(--($A$4:$A$61=$A71),P$4:P$61,'RES Assumptions'!N$87:N$144)</f>
        <v>3231.3129489734324</v>
      </c>
      <c r="Q71" s="10" cm="1">
        <f t="array" aca="1" ref="Q71" ca="1">SUMPRODUCT(--($A$4:$A$61=$A71),Q$4:Q$61,'RES Assumptions'!O$87:O$144)</f>
        <v>69.418307484773237</v>
      </c>
      <c r="R71" s="10" cm="1">
        <f t="array" aca="1" ref="R71" ca="1">SUMPRODUCT(--($A$4:$A$61=$A71),R$4:R$61,'RES Assumptions'!P$87:P$144)</f>
        <v>194.3443858246039</v>
      </c>
      <c r="S71" s="10" cm="1">
        <f t="array" aca="1" ref="S71" ca="1">SUMPRODUCT(--($A$4:$A$61=$A71),S$4:S$61,'RES Assumptions'!Q$87:Q$144)</f>
        <v>89.422136577546667</v>
      </c>
      <c r="T71" s="10" cm="1">
        <f t="array" aca="1" ref="T71" ca="1">SUMPRODUCT(--($A$4:$A$61=$A71),T$4:T$61,'RES Assumptions'!R$87:R$144)</f>
        <v>154.36979803728045</v>
      </c>
      <c r="U71" s="10" cm="1">
        <f t="array" aca="1" ref="U71" ca="1">SUMPRODUCT(--($A$4:$A$61=$A71),U$4:U$61,'RES Assumptions'!S$87:S$144)</f>
        <v>80.174408350395453</v>
      </c>
      <c r="V71" s="10" cm="1">
        <f t="array" aca="1" ref="V71" ca="1">SUMPRODUCT(--($A$4:$A$61=$A71),V$4:V$61,'RES Assumptions'!T$87:T$144)</f>
        <v>72.067257060145266</v>
      </c>
      <c r="W71" s="10" cm="1">
        <f t="array" aca="1" ref="W71" ca="1">SUMPRODUCT(--($A$4:$A$61=$A71),W$4:W$61,'RES Assumptions'!U$87:U$144)</f>
        <v>253.36550405712487</v>
      </c>
      <c r="X71" s="10" cm="1">
        <f t="array" aca="1" ref="X71" ca="1">SUMPRODUCT(--($A$4:$A$61=$A71),X$4:X$61,'RES Assumptions'!V$87:V$144)</f>
        <v>145.15170474845209</v>
      </c>
      <c r="Y71" s="10" cm="1">
        <f t="array" aca="1" ref="Y71" ca="1">SUMPRODUCT(--($A$4:$A$61=$A71),Y$4:Y$61,'RES Assumptions'!W$87:W$144)</f>
        <v>255.55643206300445</v>
      </c>
      <c r="Z71" s="10" cm="1">
        <f t="array" aca="1" ref="Z71" ca="1">SUMPRODUCT(--($A$4:$A$61=$A71),Z$4:Z$61,'RES Assumptions'!X$87:X$144)</f>
        <v>153.97832565961821</v>
      </c>
      <c r="AA71" s="10" cm="1">
        <f t="array" aca="1" ref="AA71" ca="1">SUMPRODUCT(--($A$4:$A$61=$A71),AA$4:AA$61,'RES Assumptions'!Y$87:Y$144)</f>
        <v>108.66192073466824</v>
      </c>
      <c r="AB71" s="10" cm="1">
        <f t="array" aca="1" ref="AB71" ca="1">SUMPRODUCT(--($A$4:$A$61=$A71),AB$4:AB$61,'RES Assumptions'!Z$87:Z$144)</f>
        <v>89.903804179477405</v>
      </c>
      <c r="AC71" s="10" cm="1">
        <f t="array" aca="1" ref="AC71" ca="1">SUMPRODUCT(--($A$4:$A$61=$A71),AC$4:AC$61,'RES Assumptions'!AA$87:AA$144)</f>
        <v>390.16417172250789</v>
      </c>
      <c r="AD71" s="10" cm="1">
        <f t="array" aca="1" ref="AD71" ca="1">SUMPRODUCT(--($A$4:$A$61=$A71),AD$4:AD$61,'RES Assumptions'!AB$87:AB$144)</f>
        <v>17.37296200898626</v>
      </c>
      <c r="AE71" s="10" cm="1">
        <f t="array" aca="1" ref="AE71" ca="1">SUMPRODUCT(--($A$4:$A$61=$A71),AE$4:AE$61,'RES Assumptions'!AC$87:AC$144)</f>
        <v>995.05182514847684</v>
      </c>
      <c r="AF71" s="10" cm="1">
        <f t="array" aca="1" ref="AF71" ca="1">SUMPRODUCT(--($A$4:$A$61=$A71),AF$4:AF$61,'RES Assumptions'!AD$87:AD$144)</f>
        <v>26.598462150788734</v>
      </c>
      <c r="AG71" s="10" cm="1">
        <f t="array" aca="1" ref="AG71" ca="1">SUMPRODUCT(--($A$4:$A$61=$A71),AG$4:AG$61,'RES Assumptions'!AE$87:AE$144)</f>
        <v>41.762693057707494</v>
      </c>
      <c r="AH71" s="10" cm="1">
        <f t="array" aca="1" ref="AH71" ca="1">SUMPRODUCT(--($A$4:$A$61=$A71),AH$4:AH$61,'RES Assumptions'!AF$87:AF$144)</f>
        <v>163.66133637448701</v>
      </c>
      <c r="AI71" s="10" cm="1">
        <f t="array" aca="1" ref="AI71" ca="1">SUMPRODUCT(--($A$4:$A$61=$A71),AI$4:AI$61,'RES Assumptions'!AG$87:AG$144)</f>
        <v>1385.4243076444143</v>
      </c>
      <c r="AJ71" s="10" cm="1">
        <f t="array" aca="1" ref="AJ71" ca="1">SUMPRODUCT(--($A$4:$A$61=$A71),AJ$4:AJ$61,'RES Assumptions'!AH$87:AH$144)</f>
        <v>0</v>
      </c>
    </row>
    <row r="72" spans="1:36" x14ac:dyDescent="0.45">
      <c r="A72" s="37" t="s">
        <v>67</v>
      </c>
      <c r="F72" s="8" t="s">
        <v>194</v>
      </c>
      <c r="G72" s="10" cm="1">
        <f t="array" aca="1" ref="G72" ca="1">SUMPRODUCT(--($A$4:$A$61=$A72),G$4:G$61,'RES Assumptions'!E$87:E$144)</f>
        <v>284.71630051329009</v>
      </c>
      <c r="H72" s="10" cm="1">
        <f t="array" aca="1" ref="H72" ca="1">SUMPRODUCT(--($A$4:$A$61=$A72),H$4:H$61,'RES Assumptions'!F$87:F$144)</f>
        <v>1882.6271176970781</v>
      </c>
      <c r="I72" s="10" cm="1">
        <f t="array" aca="1" ref="I72" ca="1">SUMPRODUCT(--($A$4:$A$61=$A72),I$4:I$61,'RES Assumptions'!G$87:G$144)</f>
        <v>119.53716088805334</v>
      </c>
      <c r="J72" s="10" cm="1">
        <f t="array" aca="1" ref="J72" ca="1">SUMPRODUCT(--($A$4:$A$61=$A72),J$4:J$61,'RES Assumptions'!H$87:H$144)</f>
        <v>62.705702142109757</v>
      </c>
      <c r="K72" s="10" cm="1">
        <f t="array" aca="1" ref="K72" ca="1">SUMPRODUCT(--($A$4:$A$61=$A72),K$4:K$61,'RES Assumptions'!I$87:I$144)</f>
        <v>135.78648248844223</v>
      </c>
      <c r="L72" s="10" cm="1">
        <f t="array" aca="1" ref="L72" ca="1">SUMPRODUCT(--($A$4:$A$61=$A72),L$4:L$61,'RES Assumptions'!J$87:J$144)</f>
        <v>1440.03618665709</v>
      </c>
      <c r="M72" s="10" cm="1">
        <f t="array" aca="1" ref="M72" ca="1">SUMPRODUCT(--($A$4:$A$61=$A72),M$4:M$61,'RES Assumptions'!K$87:K$144)</f>
        <v>17.290190040783216</v>
      </c>
      <c r="N72" s="10" cm="1">
        <f t="array" aca="1" ref="N72" ca="1">SUMPRODUCT(--($A$4:$A$61=$A72),N$4:N$61,'RES Assumptions'!L$87:L$144)</f>
        <v>168.31031851279897</v>
      </c>
      <c r="O72" s="10" cm="1">
        <f t="array" aca="1" ref="O72" ca="1">SUMPRODUCT(--($A$4:$A$61=$A72),O$4:O$61,'RES Assumptions'!M$87:M$144)</f>
        <v>29.384073484866118</v>
      </c>
      <c r="P72" s="10" cm="1">
        <f t="array" aca="1" ref="P72" ca="1">SUMPRODUCT(--($A$4:$A$61=$A72),P$4:P$61,'RES Assumptions'!N$87:N$144)</f>
        <v>1111.9193749062788</v>
      </c>
      <c r="Q72" s="10" cm="1">
        <f t="array" aca="1" ref="Q72" ca="1">SUMPRODUCT(--($A$4:$A$61=$A72),Q$4:Q$61,'RES Assumptions'!O$87:O$144)</f>
        <v>24.502004106651782</v>
      </c>
      <c r="R72" s="10" cm="1">
        <f t="array" aca="1" ref="R72" ca="1">SUMPRODUCT(--($A$4:$A$61=$A72),R$4:R$61,'RES Assumptions'!P$87:P$144)</f>
        <v>66.378568295729977</v>
      </c>
      <c r="S72" s="10" cm="1">
        <f t="array" aca="1" ref="S72" ca="1">SUMPRODUCT(--($A$4:$A$61=$A72),S$4:S$61,'RES Assumptions'!Q$87:Q$144)</f>
        <v>25.89847007338118</v>
      </c>
      <c r="T72" s="10" cm="1">
        <f t="array" aca="1" ref="T72" ca="1">SUMPRODUCT(--($A$4:$A$61=$A72),T$4:T$61,'RES Assumptions'!R$87:R$144)</f>
        <v>41.308892335306005</v>
      </c>
      <c r="U72" s="10" cm="1">
        <f t="array" aca="1" ref="U72" ca="1">SUMPRODUCT(--($A$4:$A$61=$A72),U$4:U$61,'RES Assumptions'!S$87:S$144)</f>
        <v>36.247450869972127</v>
      </c>
      <c r="V72" s="10" cm="1">
        <f t="array" aca="1" ref="V72" ca="1">SUMPRODUCT(--($A$4:$A$61=$A72),V$4:V$61,'RES Assumptions'!T$87:T$144)</f>
        <v>31.074018279370847</v>
      </c>
      <c r="W72" s="10" cm="1">
        <f t="array" aca="1" ref="W72" ca="1">SUMPRODUCT(--($A$4:$A$61=$A72),W$4:W$61,'RES Assumptions'!U$87:U$144)</f>
        <v>75.603574927452371</v>
      </c>
      <c r="X72" s="10" cm="1">
        <f t="array" aca="1" ref="X72" ca="1">SUMPRODUCT(--($A$4:$A$61=$A72),X$4:X$61,'RES Assumptions'!V$87:V$144)</f>
        <v>60.534654262077474</v>
      </c>
      <c r="Y72" s="10" cm="1">
        <f t="array" aca="1" ref="Y72" ca="1">SUMPRODUCT(--($A$4:$A$61=$A72),Y$4:Y$61,'RES Assumptions'!W$87:W$144)</f>
        <v>63.956852079331753</v>
      </c>
      <c r="Z72" s="10" cm="1">
        <f t="array" aca="1" ref="Z72" ca="1">SUMPRODUCT(--($A$4:$A$61=$A72),Z$4:Z$61,'RES Assumptions'!X$87:X$144)</f>
        <v>1422.323517793573</v>
      </c>
      <c r="AA72" s="10" cm="1">
        <f t="array" aca="1" ref="AA72" ca="1">SUMPRODUCT(--($A$4:$A$61=$A72),AA$4:AA$61,'RES Assumptions'!Y$87:Y$144)</f>
        <v>229.46762150969968</v>
      </c>
      <c r="AB72" s="10" cm="1">
        <f t="array" aca="1" ref="AB72" ca="1">SUMPRODUCT(--($A$4:$A$61=$A72),AB$4:AB$61,'RES Assumptions'!Z$87:Z$144)</f>
        <v>86.673113620541258</v>
      </c>
      <c r="AC72" s="10" cm="1">
        <f t="array" aca="1" ref="AC72" ca="1">SUMPRODUCT(--($A$4:$A$61=$A72),AC$4:AC$61,'RES Assumptions'!AA$87:AA$144)</f>
        <v>214.44690364125591</v>
      </c>
      <c r="AD72" s="10" cm="1">
        <f t="array" aca="1" ref="AD72" ca="1">SUMPRODUCT(--($A$4:$A$61=$A72),AD$4:AD$61,'RES Assumptions'!AB$87:AB$144)</f>
        <v>12.451298979338409</v>
      </c>
      <c r="AE72" s="10" cm="1">
        <f t="array" aca="1" ref="AE72" ca="1">SUMPRODUCT(--($A$4:$A$61=$A72),AE$4:AE$61,'RES Assumptions'!AC$87:AC$144)</f>
        <v>240.45100567207604</v>
      </c>
      <c r="AF72" s="10" cm="1">
        <f t="array" aca="1" ref="AF72" ca="1">SUMPRODUCT(--($A$4:$A$61=$A72),AF$4:AF$61,'RES Assumptions'!AD$87:AD$144)</f>
        <v>22.71070127275221</v>
      </c>
      <c r="AG72" s="10" cm="1">
        <f t="array" aca="1" ref="AG72" ca="1">SUMPRODUCT(--($A$4:$A$61=$A72),AG$4:AG$61,'RES Assumptions'!AE$87:AE$144)</f>
        <v>31.707783969411611</v>
      </c>
      <c r="AH72" s="10" cm="1">
        <f t="array" aca="1" ref="AH72" ca="1">SUMPRODUCT(--($A$4:$A$61=$A72),AH$4:AH$61,'RES Assumptions'!AF$87:AF$144)</f>
        <v>50.096895498966205</v>
      </c>
      <c r="AI72" s="10" cm="1">
        <f t="array" aca="1" ref="AI72" ca="1">SUMPRODUCT(--($A$4:$A$61=$A72),AI$4:AI$61,'RES Assumptions'!AG$87:AG$144)</f>
        <v>272.06130535706632</v>
      </c>
      <c r="AJ72" s="10" cm="1">
        <f t="array" aca="1" ref="AJ72" ca="1">SUMPRODUCT(--($A$4:$A$61=$A72),AJ$4:AJ$61,'RES Assumptions'!AH$87:AH$144)</f>
        <v>0</v>
      </c>
    </row>
    <row r="73" spans="1:36" x14ac:dyDescent="0.45">
      <c r="A73" s="37" t="s">
        <v>71</v>
      </c>
      <c r="F73" s="8" t="s">
        <v>195</v>
      </c>
      <c r="G73" s="10" cm="1">
        <f t="array" aca="1" ref="G73" ca="1">SUMPRODUCT(--($A$4:$A$61=$A73),G$4:G$61,'RES Assumptions'!E$87:E$144)</f>
        <v>96.824754187004643</v>
      </c>
      <c r="H73" s="10" cm="1">
        <f t="array" aca="1" ref="H73" ca="1">SUMPRODUCT(--($A$4:$A$61=$A73),H$4:H$61,'RES Assumptions'!F$87:F$144)</f>
        <v>65.462251280317048</v>
      </c>
      <c r="I73" s="10" cm="1">
        <f t="array" aca="1" ref="I73" ca="1">SUMPRODUCT(--($A$4:$A$61=$A73),I$4:I$61,'RES Assumptions'!G$87:G$144)</f>
        <v>29.349777447363319</v>
      </c>
      <c r="J73" s="10" cm="1">
        <f t="array" aca="1" ref="J73" ca="1">SUMPRODUCT(--($A$4:$A$61=$A73),J$4:J$61,'RES Assumptions'!H$87:H$144)</f>
        <v>35.886377030733172</v>
      </c>
      <c r="K73" s="10" cm="1">
        <f t="array" aca="1" ref="K73" ca="1">SUMPRODUCT(--($A$4:$A$61=$A73),K$4:K$61,'RES Assumptions'!I$87:I$144)</f>
        <v>0</v>
      </c>
      <c r="L73" s="10" cm="1">
        <f t="array" aca="1" ref="L73" ca="1">SUMPRODUCT(--($A$4:$A$61=$A73),L$4:L$61,'RES Assumptions'!J$87:J$144)</f>
        <v>302.91091839696128</v>
      </c>
      <c r="M73" s="10" cm="1">
        <f t="array" aca="1" ref="M73" ca="1">SUMPRODUCT(--($A$4:$A$61=$A73),M$4:M$61,'RES Assumptions'!K$87:K$144)</f>
        <v>44.06413422374029</v>
      </c>
      <c r="N73" s="10" cm="1">
        <f t="array" aca="1" ref="N73" ca="1">SUMPRODUCT(--($A$4:$A$61=$A73),N$4:N$61,'RES Assumptions'!L$87:L$144)</f>
        <v>73.710631405087312</v>
      </c>
      <c r="O73" s="10" cm="1">
        <f t="array" aca="1" ref="O73" ca="1">SUMPRODUCT(--($A$4:$A$61=$A73),O$4:O$61,'RES Assumptions'!M$87:M$144)</f>
        <v>75.843751862602701</v>
      </c>
      <c r="P73" s="10" cm="1">
        <f t="array" aca="1" ref="P73" ca="1">SUMPRODUCT(--($A$4:$A$61=$A73),P$4:P$61,'RES Assumptions'!N$87:N$144)</f>
        <v>350.81590651374529</v>
      </c>
      <c r="Q73" s="10" cm="1">
        <f t="array" aca="1" ref="Q73" ca="1">SUMPRODUCT(--($A$4:$A$61=$A73),Q$4:Q$61,'RES Assumptions'!O$87:O$144)</f>
        <v>24.892333270901602</v>
      </c>
      <c r="R73" s="10" cm="1">
        <f t="array" aca="1" ref="R73" ca="1">SUMPRODUCT(--($A$4:$A$61=$A73),R$4:R$61,'RES Assumptions'!P$87:P$144)</f>
        <v>3.320893240815411</v>
      </c>
      <c r="S73" s="10" cm="1">
        <f t="array" aca="1" ref="S73" ca="1">SUMPRODUCT(--($A$4:$A$61=$A73),S$4:S$61,'RES Assumptions'!Q$87:Q$144)</f>
        <v>16.502036499598098</v>
      </c>
      <c r="T73" s="10" cm="1">
        <f t="array" aca="1" ref="T73" ca="1">SUMPRODUCT(--($A$4:$A$61=$A73),T$4:T$61,'RES Assumptions'!R$87:R$144)</f>
        <v>27.798606716901617</v>
      </c>
      <c r="U73" s="10" cm="1">
        <f t="array" aca="1" ref="U73" ca="1">SUMPRODUCT(--($A$4:$A$61=$A73),U$4:U$61,'RES Assumptions'!S$87:S$144)</f>
        <v>1.9937698645212691</v>
      </c>
      <c r="V73" s="10" cm="1">
        <f t="array" aca="1" ref="V73" ca="1">SUMPRODUCT(--($A$4:$A$61=$A73),V$4:V$61,'RES Assumptions'!T$87:T$144)</f>
        <v>27.996363332214685</v>
      </c>
      <c r="W73" s="10" cm="1">
        <f t="array" aca="1" ref="W73" ca="1">SUMPRODUCT(--($A$4:$A$61=$A73),W$4:W$61,'RES Assumptions'!U$87:U$144)</f>
        <v>48.329323495874505</v>
      </c>
      <c r="X73" s="10" cm="1">
        <f t="array" aca="1" ref="X73" ca="1">SUMPRODUCT(--($A$4:$A$61=$A73),X$4:X$61,'RES Assumptions'!V$87:V$144)</f>
        <v>51.872520887924281</v>
      </c>
      <c r="Y73" s="10" cm="1">
        <f t="array" aca="1" ref="Y73" ca="1">SUMPRODUCT(--($A$4:$A$61=$A73),Y$4:Y$61,'RES Assumptions'!W$87:W$144)</f>
        <v>41.095739623693227</v>
      </c>
      <c r="Z73" s="10" cm="1">
        <f t="array" aca="1" ref="Z73" ca="1">SUMPRODUCT(--($A$4:$A$61=$A73),Z$4:Z$61,'RES Assumptions'!X$87:X$144)</f>
        <v>299.95523067104688</v>
      </c>
      <c r="AA73" s="10" cm="1">
        <f t="array" aca="1" ref="AA73" ca="1">SUMPRODUCT(--($A$4:$A$61=$A73),AA$4:AA$61,'RES Assumptions'!Y$87:Y$144)</f>
        <v>58.886848415023884</v>
      </c>
      <c r="AB73" s="10" cm="1">
        <f t="array" aca="1" ref="AB73" ca="1">SUMPRODUCT(--($A$4:$A$61=$A73),AB$4:AB$61,'RES Assumptions'!Z$87:Z$144)</f>
        <v>58.518289846832687</v>
      </c>
      <c r="AC73" s="10" cm="1">
        <f t="array" aca="1" ref="AC73" ca="1">SUMPRODUCT(--($A$4:$A$61=$A73),AC$4:AC$61,'RES Assumptions'!AA$87:AA$144)</f>
        <v>87.92921106487313</v>
      </c>
      <c r="AD73" s="10" cm="1">
        <f t="array" aca="1" ref="AD73" ca="1">SUMPRODUCT(--($A$4:$A$61=$A73),AD$4:AD$61,'RES Assumptions'!AB$87:AB$144)</f>
        <v>13.297411652686849</v>
      </c>
      <c r="AE73" s="10" cm="1">
        <f t="array" aca="1" ref="AE73" ca="1">SUMPRODUCT(--($A$4:$A$61=$A73),AE$4:AE$61,'RES Assumptions'!AC$87:AC$144)</f>
        <v>100.9791494587767</v>
      </c>
      <c r="AF73" s="10" cm="1">
        <f t="array" aca="1" ref="AF73" ca="1">SUMPRODUCT(--($A$4:$A$61=$A73),AF$4:AF$61,'RES Assumptions'!AD$87:AD$144)</f>
        <v>42.216108516616202</v>
      </c>
      <c r="AG73" s="10" cm="1">
        <f t="array" aca="1" ref="AG73" ca="1">SUMPRODUCT(--($A$4:$A$61=$A73),AG$4:AG$61,'RES Assumptions'!AE$87:AE$144)</f>
        <v>41.339100392502218</v>
      </c>
      <c r="AH73" s="10" cm="1">
        <f t="array" aca="1" ref="AH73" ca="1">SUMPRODUCT(--($A$4:$A$61=$A73),AH$4:AH$61,'RES Assumptions'!AF$87:AF$144)</f>
        <v>33.718929689494715</v>
      </c>
      <c r="AI73" s="10" cm="1">
        <f t="array" aca="1" ref="AI73" ca="1">SUMPRODUCT(--($A$4:$A$61=$A73),AI$4:AI$61,'RES Assumptions'!AG$87:AG$144)</f>
        <v>1157.4613274943417</v>
      </c>
      <c r="AJ73" s="10" cm="1">
        <f t="array" aca="1" ref="AJ73" ca="1">SUMPRODUCT(--($A$4:$A$61=$A73),AJ$4:AJ$61,'RES Assumptions'!AH$87:AH$144)</f>
        <v>0</v>
      </c>
    </row>
    <row r="74" spans="1:36" x14ac:dyDescent="0.45">
      <c r="A74" s="37" t="s">
        <v>70</v>
      </c>
      <c r="F74" s="8" t="s">
        <v>70</v>
      </c>
      <c r="G74" s="10" cm="1">
        <f t="array" aca="1" ref="G74" ca="1">SUMPRODUCT(--($A$4:$A$61=$A74),G$4:G$61,'RES Assumptions'!E$87:E$144)</f>
        <v>7.1296233265692068</v>
      </c>
      <c r="H74" s="10" cm="1">
        <f t="array" aca="1" ref="H74" ca="1">SUMPRODUCT(--($A$4:$A$61=$A74),H$4:H$61,'RES Assumptions'!F$87:F$144)</f>
        <v>2.4902730011797702</v>
      </c>
      <c r="I74" s="10" cm="1">
        <f t="array" aca="1" ref="I74" ca="1">SUMPRODUCT(--($A$4:$A$61=$A74),I$4:I$61,'RES Assumptions'!G$87:G$144)</f>
        <v>2.1988687750018179</v>
      </c>
      <c r="J74" s="10" cm="1">
        <f t="array" aca="1" ref="J74" ca="1">SUMPRODUCT(--($A$4:$A$61=$A74),J$4:J$61,'RES Assumptions'!H$87:H$144)</f>
        <v>20.940863294311331</v>
      </c>
      <c r="K74" s="10" cm="1">
        <f t="array" aca="1" ref="K74" ca="1">SUMPRODUCT(--($A$4:$A$61=$A74),K$4:K$61,'RES Assumptions'!I$87:I$144)</f>
        <v>0</v>
      </c>
      <c r="L74" s="10" cm="1">
        <f t="array" aca="1" ref="L74" ca="1">SUMPRODUCT(--($A$4:$A$61=$A74),L$4:L$61,'RES Assumptions'!J$87:J$144)</f>
        <v>4.3866285225878139</v>
      </c>
      <c r="M74" s="10" cm="1">
        <f t="array" aca="1" ref="M74" ca="1">SUMPRODUCT(--($A$4:$A$61=$A74),M$4:M$61,'RES Assumptions'!K$87:K$144)</f>
        <v>0</v>
      </c>
      <c r="N74" s="10" cm="1">
        <f t="array" aca="1" ref="N74" ca="1">SUMPRODUCT(--($A$4:$A$61=$A74),N$4:N$61,'RES Assumptions'!L$87:L$144)</f>
        <v>4.9444973603204101</v>
      </c>
      <c r="O74" s="10" cm="1">
        <f t="array" aca="1" ref="O74" ca="1">SUMPRODUCT(--($A$4:$A$61=$A74),O$4:O$61,'RES Assumptions'!M$87:M$144)</f>
        <v>0</v>
      </c>
      <c r="P74" s="10" cm="1">
        <f t="array" aca="1" ref="P74" ca="1">SUMPRODUCT(--($A$4:$A$61=$A74),P$4:P$61,'RES Assumptions'!N$87:N$144)</f>
        <v>0</v>
      </c>
      <c r="Q74" s="10" cm="1">
        <f t="array" aca="1" ref="Q74" ca="1">SUMPRODUCT(--($A$4:$A$61=$A74),Q$4:Q$61,'RES Assumptions'!O$87:O$144)</f>
        <v>0.38011316662404848</v>
      </c>
      <c r="R74" s="10" cm="1">
        <f t="array" aca="1" ref="R74" ca="1">SUMPRODUCT(--($A$4:$A$61=$A74),R$4:R$61,'RES Assumptions'!P$87:P$144)</f>
        <v>18.484165526515049</v>
      </c>
      <c r="S74" s="10" cm="1">
        <f t="array" aca="1" ref="S74" ca="1">SUMPRODUCT(--($A$4:$A$61=$A74),S$4:S$61,'RES Assumptions'!Q$87:Q$144)</f>
        <v>0.59190712456460126</v>
      </c>
      <c r="T74" s="10" cm="1">
        <f t="array" aca="1" ref="T74" ca="1">SUMPRODUCT(--($A$4:$A$61=$A74),T$4:T$61,'RES Assumptions'!R$87:R$144)</f>
        <v>1.1431650062496723</v>
      </c>
      <c r="U74" s="10" cm="1">
        <f t="array" aca="1" ref="U74" ca="1">SUMPRODUCT(--($A$4:$A$61=$A74),U$4:U$61,'RES Assumptions'!S$87:S$144)</f>
        <v>11.798732340570805</v>
      </c>
      <c r="V74" s="10" cm="1">
        <f t="array" aca="1" ref="V74" ca="1">SUMPRODUCT(--($A$4:$A$61=$A74),V$4:V$61,'RES Assumptions'!T$87:T$144)</f>
        <v>0.58105538178198513</v>
      </c>
      <c r="W74" s="10" cm="1">
        <f t="array" aca="1" ref="W74" ca="1">SUMPRODUCT(--($A$4:$A$61=$A74),W$4:W$61,'RES Assumptions'!U$87:U$144)</f>
        <v>2.2199344218867376E-3</v>
      </c>
      <c r="X74" s="10" cm="1">
        <f t="array" aca="1" ref="X74" ca="1">SUMPRODUCT(--($A$4:$A$61=$A74),X$4:X$61,'RES Assumptions'!V$87:V$144)</f>
        <v>1.1768136095062611</v>
      </c>
      <c r="Y74" s="10" cm="1">
        <f t="array" aca="1" ref="Y74" ca="1">SUMPRODUCT(--($A$4:$A$61=$A74),Y$4:Y$61,'RES Assumptions'!W$87:W$144)</f>
        <v>1.9932333884094777</v>
      </c>
      <c r="Z74" s="10" cm="1">
        <f t="array" aca="1" ref="Z74" ca="1">SUMPRODUCT(--($A$4:$A$61=$A74),Z$4:Z$61,'RES Assumptions'!X$87:X$144)</f>
        <v>0</v>
      </c>
      <c r="AA74" s="10" cm="1">
        <f t="array" aca="1" ref="AA74" ca="1">SUMPRODUCT(--($A$4:$A$61=$A74),AA$4:AA$61,'RES Assumptions'!Y$87:Y$144)</f>
        <v>5.5552832937948224</v>
      </c>
      <c r="AB74" s="10" cm="1">
        <f t="array" aca="1" ref="AB74" ca="1">SUMPRODUCT(--($A$4:$A$61=$A74),AB$4:AB$61,'RES Assumptions'!Z$87:Z$144)</f>
        <v>0.474844844253271</v>
      </c>
      <c r="AC74" s="10" cm="1">
        <f t="array" aca="1" ref="AC74" ca="1">SUMPRODUCT(--($A$4:$A$61=$A74),AC$4:AC$61,'RES Assumptions'!AA$87:AA$144)</f>
        <v>8.1242878324962846E-3</v>
      </c>
      <c r="AD74" s="10" cm="1">
        <f t="array" aca="1" ref="AD74" ca="1">SUMPRODUCT(--($A$4:$A$61=$A74),AD$4:AD$61,'RES Assumptions'!AB$87:AB$144)</f>
        <v>5.200458832588109E-2</v>
      </c>
      <c r="AE74" s="10" cm="1">
        <f t="array" aca="1" ref="AE74" ca="1">SUMPRODUCT(--($A$4:$A$61=$A74),AE$4:AE$61,'RES Assumptions'!AC$87:AC$144)</f>
        <v>69.086330491762951</v>
      </c>
      <c r="AF74" s="10" cm="1">
        <f t="array" aca="1" ref="AF74" ca="1">SUMPRODUCT(--($A$4:$A$61=$A74),AF$4:AF$61,'RES Assumptions'!AD$87:AD$144)</f>
        <v>1.2888486976834397E-3</v>
      </c>
      <c r="AG74" s="10" cm="1">
        <f t="array" aca="1" ref="AG74" ca="1">SUMPRODUCT(--($A$4:$A$61=$A74),AG$4:AG$61,'RES Assumptions'!AE$87:AE$144)</f>
        <v>0.18759895328487844</v>
      </c>
      <c r="AH74" s="10" cm="1">
        <f t="array" aca="1" ref="AH74" ca="1">SUMPRODUCT(--($A$4:$A$61=$A74),AH$4:AH$61,'RES Assumptions'!AF$87:AF$144)</f>
        <v>0.49447900451697768</v>
      </c>
      <c r="AI74" s="10" cm="1">
        <f t="array" aca="1" ref="AI74" ca="1">SUMPRODUCT(--($A$4:$A$61=$A74),AI$4:AI$61,'RES Assumptions'!AG$87:AG$144)</f>
        <v>0</v>
      </c>
      <c r="AJ74" s="10" cm="1">
        <f t="array" aca="1" ref="AJ74" ca="1">SUMPRODUCT(--($A$4:$A$61=$A74),AJ$4:AJ$61,'RES Assumptions'!AH$87:AH$144)</f>
        <v>0</v>
      </c>
    </row>
    <row r="75" spans="1:36" x14ac:dyDescent="0.45">
      <c r="A75" s="37" t="s">
        <v>120</v>
      </c>
      <c r="F75" s="8" t="s">
        <v>65</v>
      </c>
      <c r="G75" s="10" cm="1">
        <f t="array" aca="1" ref="G75" ca="1">SUMPRODUCT(--($A$4:$A$61=$A75),G$4:G$61,'RES Assumptions'!E$87:E$144)</f>
        <v>47.964140465711402</v>
      </c>
      <c r="H75" s="10" cm="1">
        <f t="array" aca="1" ref="H75" ca="1">SUMPRODUCT(--($A$4:$A$61=$A75),H$4:H$61,'RES Assumptions'!F$87:F$144)</f>
        <v>32.256703374375959</v>
      </c>
      <c r="I75" s="10" cm="1">
        <f t="array" aca="1" ref="I75" ca="1">SUMPRODUCT(--($A$4:$A$61=$A75),I$4:I$61,'RES Assumptions'!G$87:G$144)</f>
        <v>32.657398097841366</v>
      </c>
      <c r="J75" s="10" cm="1">
        <f t="array" aca="1" ref="J75" ca="1">SUMPRODUCT(--($A$4:$A$61=$A75),J$4:J$61,'RES Assumptions'!H$87:H$144)</f>
        <v>32.026252297438091</v>
      </c>
      <c r="K75" s="10" cm="1">
        <f t="array" aca="1" ref="K75" ca="1">SUMPRODUCT(--($A$4:$A$61=$A75),K$4:K$61,'RES Assumptions'!I$87:I$144)</f>
        <v>136.29014845404123</v>
      </c>
      <c r="L75" s="10" cm="1">
        <f t="array" aca="1" ref="L75" ca="1">SUMPRODUCT(--($A$4:$A$61=$A75),L$4:L$61,'RES Assumptions'!J$87:J$144)</f>
        <v>262.8192684628836</v>
      </c>
      <c r="M75" s="10" cm="1">
        <f t="array" aca="1" ref="M75" ca="1">SUMPRODUCT(--($A$4:$A$61=$A75),M$4:M$61,'RES Assumptions'!K$87:K$144)</f>
        <v>29.990184803850607</v>
      </c>
      <c r="N75" s="10" cm="1">
        <f t="array" aca="1" ref="N75" ca="1">SUMPRODUCT(--($A$4:$A$61=$A75),N$4:N$61,'RES Assumptions'!L$87:L$144)</f>
        <v>82.018697839939463</v>
      </c>
      <c r="O75" s="10" cm="1">
        <f t="array" aca="1" ref="O75" ca="1">SUMPRODUCT(--($A$4:$A$61=$A75),O$4:O$61,'RES Assumptions'!M$87:M$144)</f>
        <v>72.944595251188915</v>
      </c>
      <c r="P75" s="10" cm="1">
        <f t="array" aca="1" ref="P75" ca="1">SUMPRODUCT(--($A$4:$A$61=$A75),P$4:P$61,'RES Assumptions'!N$87:N$144)</f>
        <v>451.90149884021309</v>
      </c>
      <c r="Q75" s="10" cm="1">
        <f t="array" aca="1" ref="Q75" ca="1">SUMPRODUCT(--($A$4:$A$61=$A75),Q$4:Q$61,'RES Assumptions'!O$87:O$144)</f>
        <v>30.054072942250567</v>
      </c>
      <c r="R75" s="10" cm="1">
        <f t="array" aca="1" ref="R75" ca="1">SUMPRODUCT(--($A$4:$A$61=$A75),R$4:R$61,'RES Assumptions'!P$87:P$144)</f>
        <v>42.052184975422087</v>
      </c>
      <c r="S75" s="10" cm="1">
        <f t="array" aca="1" ref="S75" ca="1">SUMPRODUCT(--($A$4:$A$61=$A75),S$4:S$61,'RES Assumptions'!Q$87:Q$144)</f>
        <v>19.923942173567042</v>
      </c>
      <c r="T75" s="10" cm="1">
        <f t="array" aca="1" ref="T75" ca="1">SUMPRODUCT(--($A$4:$A$61=$A75),T$4:T$61,'RES Assumptions'!R$87:R$144)</f>
        <v>33.562998890880486</v>
      </c>
      <c r="U75" s="10" cm="1">
        <f t="array" aca="1" ref="U75" ca="1">SUMPRODUCT(--($A$4:$A$61=$A75),U$4:U$61,'RES Assumptions'!S$87:S$144)</f>
        <v>25.246936008302402</v>
      </c>
      <c r="V75" s="10" cm="1">
        <f t="array" aca="1" ref="V75" ca="1">SUMPRODUCT(--($A$4:$A$61=$A75),V$4:V$61,'RES Assumptions'!T$87:T$144)</f>
        <v>33.801762837865681</v>
      </c>
      <c r="W75" s="10" cm="1">
        <f t="array" aca="1" ref="W75" ca="1">SUMPRODUCT(--($A$4:$A$61=$A75),W$4:W$61,'RES Assumptions'!U$87:U$144)</f>
        <v>82.406894949076346</v>
      </c>
      <c r="X75" s="10" cm="1">
        <f t="array" aca="1" ref="X75" ca="1">SUMPRODUCT(--($A$4:$A$61=$A75),X$4:X$61,'RES Assumptions'!V$87:V$144)</f>
        <v>62.628943197000112</v>
      </c>
      <c r="Y75" s="10" cm="1">
        <f t="array" aca="1" ref="Y75" ca="1">SUMPRODUCT(--($A$4:$A$61=$A75),Y$4:Y$61,'RES Assumptions'!W$87:W$144)</f>
        <v>49.617460236642486</v>
      </c>
      <c r="Z75" s="10" cm="1">
        <f t="array" aca="1" ref="Z75" ca="1">SUMPRODUCT(--($A$4:$A$61=$A75),Z$4:Z$61,'RES Assumptions'!X$87:X$144)</f>
        <v>154.50140606222095</v>
      </c>
      <c r="AA75" s="10" cm="1">
        <f t="array" aca="1" ref="AA75" ca="1">SUMPRODUCT(--($A$4:$A$61=$A75),AA$4:AA$61,'RES Assumptions'!Y$87:Y$144)</f>
        <v>65.523020143015444</v>
      </c>
      <c r="AB75" s="10" cm="1">
        <f t="array" aca="1" ref="AB75" ca="1">SUMPRODUCT(--($A$4:$A$61=$A75),AB$4:AB$61,'RES Assumptions'!Z$87:Z$144)</f>
        <v>37.051075916961118</v>
      </c>
      <c r="AC75" s="10" cm="1">
        <f t="array" aca="1" ref="AC75" ca="1">SUMPRODUCT(--($A$4:$A$61=$A75),AC$4:AC$61,'RES Assumptions'!AA$87:AA$144)</f>
        <v>149.92641733112208</v>
      </c>
      <c r="AD75" s="10" cm="1">
        <f t="array" aca="1" ref="AD75" ca="1">SUMPRODUCT(--($A$4:$A$61=$A75),AD$4:AD$61,'RES Assumptions'!AB$87:AB$144)</f>
        <v>16.054797893138932</v>
      </c>
      <c r="AE75" s="10" cm="1">
        <f t="array" aca="1" ref="AE75" ca="1">SUMPRODUCT(--($A$4:$A$61=$A75),AE$4:AE$61,'RES Assumptions'!AC$87:AC$144)</f>
        <v>90.117308709594738</v>
      </c>
      <c r="AF75" s="10" cm="1">
        <f t="array" aca="1" ref="AF75" ca="1">SUMPRODUCT(--($A$4:$A$61=$A75),AF$4:AF$61,'RES Assumptions'!AD$87:AD$144)</f>
        <v>71.982800535250092</v>
      </c>
      <c r="AG75" s="10" cm="1">
        <f t="array" aca="1" ref="AG75" ca="1">SUMPRODUCT(--($A$4:$A$61=$A75),AG$4:AG$61,'RES Assumptions'!AE$87:AE$144)</f>
        <v>20.444768457612483</v>
      </c>
      <c r="AH75" s="10" cm="1">
        <f t="array" aca="1" ref="AH75" ca="1">SUMPRODUCT(--($A$4:$A$61=$A75),AH$4:AH$61,'RES Assumptions'!AF$87:AF$144)</f>
        <v>40.710975600158648</v>
      </c>
      <c r="AI75" s="10" cm="1">
        <f t="array" aca="1" ref="AI75" ca="1">SUMPRODUCT(--($A$4:$A$61=$A75),AI$4:AI$61,'RES Assumptions'!AG$87:AG$144)</f>
        <v>568.96779938356963</v>
      </c>
      <c r="AJ75" s="10" cm="1">
        <f t="array" aca="1" ref="AJ75" ca="1">SUMPRODUCT(--($A$4:$A$61=$A75),AJ$4:AJ$61,'RES Assumptions'!AH$87:AH$144)</f>
        <v>0</v>
      </c>
    </row>
    <row r="77" spans="1:36" x14ac:dyDescent="0.45">
      <c r="F77" s="8"/>
      <c r="G77" s="38" t="str">
        <f>G64</f>
        <v>Africa_north</v>
      </c>
      <c r="H77" s="38" t="str">
        <f t="shared" ref="H77:U77" si="68">H64</f>
        <v>Africa_other</v>
      </c>
      <c r="I77" s="38" t="str">
        <f t="shared" si="68"/>
        <v>Arg-Chi</v>
      </c>
      <c r="J77" s="38" t="str">
        <f t="shared" si="68"/>
        <v>Asia_central</v>
      </c>
      <c r="K77" s="38" t="str">
        <f t="shared" si="68"/>
        <v>Asia_east</v>
      </c>
      <c r="L77" s="38" t="str">
        <f t="shared" si="68"/>
        <v>Asia_other</v>
      </c>
      <c r="M77" s="38" t="str">
        <f t="shared" si="68"/>
        <v>Australia_NZ</v>
      </c>
      <c r="N77" s="38" t="str">
        <f t="shared" si="68"/>
        <v>Brazil</v>
      </c>
      <c r="O77" s="38" t="str">
        <f t="shared" si="68"/>
        <v>Canada</v>
      </c>
      <c r="P77" s="38" t="str">
        <f t="shared" si="68"/>
        <v>China</v>
      </c>
      <c r="Q77" s="38" t="str">
        <f t="shared" si="68"/>
        <v>EU_north</v>
      </c>
      <c r="R77" s="38" t="str">
        <f t="shared" si="68"/>
        <v>EU_northeast</v>
      </c>
      <c r="S77" s="38" t="str">
        <f t="shared" si="68"/>
        <v>EU_northwest</v>
      </c>
      <c r="T77" s="38" t="str">
        <f t="shared" si="68"/>
        <v>EU_south</v>
      </c>
      <c r="U77" s="38" t="str">
        <f t="shared" si="68"/>
        <v>EU_southeast</v>
      </c>
      <c r="V77" s="38" t="str">
        <f t="shared" ref="V77:W77" si="69">V64</f>
        <v>EU_southwest</v>
      </c>
      <c r="W77" s="38" t="str">
        <f t="shared" si="69"/>
        <v>Europe_other</v>
      </c>
      <c r="X77" s="38" t="str">
        <f t="shared" ref="X77:AJ77" si="70">X64</f>
        <v>France</v>
      </c>
      <c r="Y77" s="38" t="str">
        <f t="shared" si="70"/>
        <v>Germany</v>
      </c>
      <c r="Z77" s="38" t="str">
        <f t="shared" si="70"/>
        <v>India</v>
      </c>
      <c r="AA77" s="38" t="str">
        <f t="shared" si="70"/>
        <v>LatAm_other</v>
      </c>
      <c r="AB77" s="38" t="str">
        <f t="shared" si="70"/>
        <v>Mexico</v>
      </c>
      <c r="AC77" s="38" t="str">
        <f t="shared" si="70"/>
        <v>MidEast_other</v>
      </c>
      <c r="AD77" s="38" t="str">
        <f t="shared" si="70"/>
        <v>Nor-Ice</v>
      </c>
      <c r="AE77" s="38" t="str">
        <f t="shared" si="70"/>
        <v>Russia</v>
      </c>
      <c r="AF77" s="38" t="str">
        <f t="shared" si="70"/>
        <v>SaudiArabia</v>
      </c>
      <c r="AG77" s="38" t="str">
        <f t="shared" si="70"/>
        <v>SouthAfrica</v>
      </c>
      <c r="AH77" s="38" t="str">
        <f t="shared" si="70"/>
        <v>UK</v>
      </c>
      <c r="AI77" s="38" t="str">
        <f t="shared" si="70"/>
        <v>USA</v>
      </c>
      <c r="AJ77" s="38" t="str">
        <f t="shared" si="70"/>
        <v>\I:</v>
      </c>
    </row>
    <row r="78" spans="1:36" x14ac:dyDescent="0.45">
      <c r="F78" s="8" t="str">
        <f>F65</f>
        <v>RSC</v>
      </c>
      <c r="G78" s="11">
        <f ca="1">IFERROR(G65/G$92,"")</f>
        <v>1.222510651756761</v>
      </c>
      <c r="H78" s="11">
        <f t="shared" ref="H78:AJ78" ca="1" si="71">IFERROR(H65/H$92,"")</f>
        <v>0.15690848154503589</v>
      </c>
      <c r="I78" s="11">
        <f t="shared" ca="1" si="71"/>
        <v>0.9370518099927333</v>
      </c>
      <c r="J78" s="11">
        <f t="shared" ca="1" si="71"/>
        <v>0.13554200308295436</v>
      </c>
      <c r="K78" s="11">
        <f t="shared" ca="1" si="71"/>
        <v>0.97442857637221059</v>
      </c>
      <c r="L78" s="11">
        <f t="shared" ca="1" si="71"/>
        <v>0.37314143684704482</v>
      </c>
      <c r="M78" s="11">
        <f t="shared" ca="1" si="71"/>
        <v>2.026871171885662</v>
      </c>
      <c r="N78" s="11">
        <f t="shared" ca="1" si="71"/>
        <v>0.71243817647178209</v>
      </c>
      <c r="O78" s="11">
        <f t="shared" ca="1" si="71"/>
        <v>2.4425219741878759</v>
      </c>
      <c r="P78" s="11">
        <f t="shared" ca="1" si="71"/>
        <v>0.90356980892442151</v>
      </c>
      <c r="Q78" s="11">
        <f t="shared" ca="1" si="71"/>
        <v>0.75328210948374941</v>
      </c>
      <c r="R78" s="11">
        <f t="shared" ca="1" si="71"/>
        <v>0.1733273467850395</v>
      </c>
      <c r="S78" s="11">
        <f t="shared" ca="1" si="71"/>
        <v>0.31388709535604875</v>
      </c>
      <c r="T78" s="11">
        <f t="shared" ca="1" si="71"/>
        <v>0.25189591211494339</v>
      </c>
      <c r="U78" s="11">
        <f t="shared" ca="1" si="71"/>
        <v>0.16987203860843345</v>
      </c>
      <c r="V78" s="11">
        <f t="shared" ca="1" si="71"/>
        <v>0.31892298857802776</v>
      </c>
      <c r="W78" s="11">
        <f t="shared" ca="1" si="71"/>
        <v>3.7221283525209525</v>
      </c>
      <c r="X78" s="11">
        <f t="shared" ca="1" si="71"/>
        <v>0.49575753312785675</v>
      </c>
      <c r="Y78" s="11">
        <f t="shared" ca="1" si="71"/>
        <v>0.32350294719559031</v>
      </c>
      <c r="Z78" s="11">
        <f t="shared" ca="1" si="71"/>
        <v>0.52643029194249236</v>
      </c>
      <c r="AA78" s="11">
        <f t="shared" ca="1" si="71"/>
        <v>0.48999357525988207</v>
      </c>
      <c r="AB78" s="11">
        <f t="shared" ca="1" si="71"/>
        <v>0.90716648391315002</v>
      </c>
      <c r="AC78" s="11">
        <f t="shared" ca="1" si="71"/>
        <v>5.0144890769009693</v>
      </c>
      <c r="AD78" s="11">
        <f t="shared" ca="1" si="71"/>
        <v>1.5236801250451213</v>
      </c>
      <c r="AE78" s="11">
        <f t="shared" ca="1" si="71"/>
        <v>0.23906400365062641</v>
      </c>
      <c r="AF78" s="11">
        <f t="shared" ca="1" si="71"/>
        <v>15.637412557957097</v>
      </c>
      <c r="AG78" s="11">
        <f t="shared" ca="1" si="71"/>
        <v>1.7653818736180693</v>
      </c>
      <c r="AH78" s="11">
        <f t="shared" ca="1" si="71"/>
        <v>0.32978766973531282</v>
      </c>
      <c r="AI78" s="11">
        <f t="shared" ca="1" si="71"/>
        <v>10.804315869580865</v>
      </c>
      <c r="AJ78" s="11" t="str">
        <f t="shared" ca="1" si="71"/>
        <v/>
      </c>
    </row>
    <row r="79" spans="1:36" x14ac:dyDescent="0.45">
      <c r="F79" s="8" t="str">
        <f t="shared" ref="F79:F88" si="72">F66</f>
        <v>RCD</v>
      </c>
      <c r="G79" s="11">
        <f t="shared" ref="G79:AJ79" ca="1" si="73">IFERROR(G66/G$92,"")</f>
        <v>0</v>
      </c>
      <c r="H79" s="11">
        <f t="shared" ca="1" si="73"/>
        <v>0</v>
      </c>
      <c r="I79" s="11">
        <f t="shared" ca="1" si="73"/>
        <v>0</v>
      </c>
      <c r="J79" s="11">
        <f t="shared" ca="1" si="73"/>
        <v>0</v>
      </c>
      <c r="K79" s="11">
        <f t="shared" ca="1" si="73"/>
        <v>0</v>
      </c>
      <c r="L79" s="11">
        <f t="shared" ca="1" si="73"/>
        <v>0</v>
      </c>
      <c r="M79" s="11">
        <f t="shared" ca="1" si="73"/>
        <v>0</v>
      </c>
      <c r="N79" s="11">
        <f t="shared" ca="1" si="73"/>
        <v>0</v>
      </c>
      <c r="O79" s="11">
        <f t="shared" ca="1" si="73"/>
        <v>0</v>
      </c>
      <c r="P79" s="11">
        <f t="shared" ca="1" si="73"/>
        <v>0</v>
      </c>
      <c r="Q79" s="11">
        <f t="shared" ca="1" si="73"/>
        <v>0</v>
      </c>
      <c r="R79" s="11">
        <f t="shared" ca="1" si="73"/>
        <v>0</v>
      </c>
      <c r="S79" s="11">
        <f t="shared" ca="1" si="73"/>
        <v>0</v>
      </c>
      <c r="T79" s="11">
        <f t="shared" ca="1" si="73"/>
        <v>0</v>
      </c>
      <c r="U79" s="11">
        <f t="shared" ca="1" si="73"/>
        <v>0</v>
      </c>
      <c r="V79" s="11">
        <f t="shared" ca="1" si="73"/>
        <v>0</v>
      </c>
      <c r="W79" s="11">
        <f t="shared" ca="1" si="73"/>
        <v>0</v>
      </c>
      <c r="X79" s="11">
        <f t="shared" ca="1" si="73"/>
        <v>0</v>
      </c>
      <c r="Y79" s="11">
        <f t="shared" ca="1" si="73"/>
        <v>0</v>
      </c>
      <c r="Z79" s="11">
        <f t="shared" ca="1" si="73"/>
        <v>0</v>
      </c>
      <c r="AA79" s="11">
        <f t="shared" ca="1" si="73"/>
        <v>0</v>
      </c>
      <c r="AB79" s="11">
        <f t="shared" ca="1" si="73"/>
        <v>0</v>
      </c>
      <c r="AC79" s="11">
        <f t="shared" ca="1" si="73"/>
        <v>0</v>
      </c>
      <c r="AD79" s="11">
        <f t="shared" ca="1" si="73"/>
        <v>0</v>
      </c>
      <c r="AE79" s="11">
        <f t="shared" ca="1" si="73"/>
        <v>0</v>
      </c>
      <c r="AF79" s="11">
        <f t="shared" ca="1" si="73"/>
        <v>0</v>
      </c>
      <c r="AG79" s="11">
        <f t="shared" ca="1" si="73"/>
        <v>0</v>
      </c>
      <c r="AH79" s="11">
        <f t="shared" ca="1" si="73"/>
        <v>0</v>
      </c>
      <c r="AI79" s="11">
        <f t="shared" ca="1" si="73"/>
        <v>0</v>
      </c>
      <c r="AJ79" s="11" t="str">
        <f t="shared" ca="1" si="73"/>
        <v/>
      </c>
    </row>
    <row r="80" spans="1:36" x14ac:dyDescent="0.45">
      <c r="F80" s="8" t="str">
        <f t="shared" si="72"/>
        <v>RCW</v>
      </c>
      <c r="G80" s="11">
        <f t="shared" ref="G80:AJ80" ca="1" si="74">IFERROR(G67/G$92,"")</f>
        <v>0</v>
      </c>
      <c r="H80" s="11">
        <f t="shared" ca="1" si="74"/>
        <v>0</v>
      </c>
      <c r="I80" s="11">
        <f t="shared" ca="1" si="74"/>
        <v>0</v>
      </c>
      <c r="J80" s="11">
        <f t="shared" ca="1" si="74"/>
        <v>0</v>
      </c>
      <c r="K80" s="11">
        <f t="shared" ca="1" si="74"/>
        <v>0</v>
      </c>
      <c r="L80" s="11">
        <f t="shared" ca="1" si="74"/>
        <v>0</v>
      </c>
      <c r="M80" s="11">
        <f t="shared" ca="1" si="74"/>
        <v>0</v>
      </c>
      <c r="N80" s="11">
        <f t="shared" ca="1" si="74"/>
        <v>0</v>
      </c>
      <c r="O80" s="11">
        <f t="shared" ca="1" si="74"/>
        <v>0</v>
      </c>
      <c r="P80" s="11">
        <f t="shared" ca="1" si="74"/>
        <v>0</v>
      </c>
      <c r="Q80" s="11">
        <f t="shared" ca="1" si="74"/>
        <v>0</v>
      </c>
      <c r="R80" s="11">
        <f t="shared" ca="1" si="74"/>
        <v>0</v>
      </c>
      <c r="S80" s="11">
        <f t="shared" ca="1" si="74"/>
        <v>0</v>
      </c>
      <c r="T80" s="11">
        <f t="shared" ca="1" si="74"/>
        <v>0</v>
      </c>
      <c r="U80" s="11">
        <f t="shared" ca="1" si="74"/>
        <v>0</v>
      </c>
      <c r="V80" s="11">
        <f t="shared" ca="1" si="74"/>
        <v>0</v>
      </c>
      <c r="W80" s="11">
        <f t="shared" ca="1" si="74"/>
        <v>0</v>
      </c>
      <c r="X80" s="11">
        <f t="shared" ca="1" si="74"/>
        <v>0</v>
      </c>
      <c r="Y80" s="11">
        <f t="shared" ca="1" si="74"/>
        <v>0</v>
      </c>
      <c r="Z80" s="11">
        <f t="shared" ca="1" si="74"/>
        <v>0</v>
      </c>
      <c r="AA80" s="11">
        <f t="shared" ca="1" si="74"/>
        <v>0</v>
      </c>
      <c r="AB80" s="11">
        <f t="shared" ca="1" si="74"/>
        <v>0</v>
      </c>
      <c r="AC80" s="11">
        <f t="shared" ca="1" si="74"/>
        <v>0</v>
      </c>
      <c r="AD80" s="11">
        <f t="shared" ca="1" si="74"/>
        <v>0</v>
      </c>
      <c r="AE80" s="11">
        <f t="shared" ca="1" si="74"/>
        <v>0</v>
      </c>
      <c r="AF80" s="11">
        <f t="shared" ca="1" si="74"/>
        <v>0</v>
      </c>
      <c r="AG80" s="11">
        <f t="shared" ca="1" si="74"/>
        <v>0</v>
      </c>
      <c r="AH80" s="11">
        <f t="shared" ca="1" si="74"/>
        <v>0</v>
      </c>
      <c r="AI80" s="11">
        <f t="shared" ca="1" si="74"/>
        <v>0</v>
      </c>
      <c r="AJ80" s="11" t="str">
        <f t="shared" ca="1" si="74"/>
        <v/>
      </c>
    </row>
    <row r="81" spans="5:36" x14ac:dyDescent="0.45">
      <c r="F81" s="8" t="str">
        <f t="shared" si="72"/>
        <v>RDW</v>
      </c>
      <c r="G81" s="11">
        <f t="shared" ref="G81:AJ81" ca="1" si="75">IFERROR(G68/G$92,"")</f>
        <v>0</v>
      </c>
      <c r="H81" s="11">
        <f t="shared" ca="1" si="75"/>
        <v>0</v>
      </c>
      <c r="I81" s="11">
        <f t="shared" ca="1" si="75"/>
        <v>0</v>
      </c>
      <c r="J81" s="11">
        <f t="shared" ca="1" si="75"/>
        <v>0</v>
      </c>
      <c r="K81" s="11">
        <f t="shared" ca="1" si="75"/>
        <v>0</v>
      </c>
      <c r="L81" s="11">
        <f t="shared" ca="1" si="75"/>
        <v>0</v>
      </c>
      <c r="M81" s="11">
        <f t="shared" ca="1" si="75"/>
        <v>0</v>
      </c>
      <c r="N81" s="11">
        <f t="shared" ca="1" si="75"/>
        <v>0</v>
      </c>
      <c r="O81" s="11">
        <f t="shared" ca="1" si="75"/>
        <v>0</v>
      </c>
      <c r="P81" s="11">
        <f t="shared" ca="1" si="75"/>
        <v>0</v>
      </c>
      <c r="Q81" s="11">
        <f t="shared" ca="1" si="75"/>
        <v>0</v>
      </c>
      <c r="R81" s="11">
        <f t="shared" ca="1" si="75"/>
        <v>0</v>
      </c>
      <c r="S81" s="11">
        <f t="shared" ca="1" si="75"/>
        <v>0</v>
      </c>
      <c r="T81" s="11">
        <f t="shared" ca="1" si="75"/>
        <v>0</v>
      </c>
      <c r="U81" s="11">
        <f t="shared" ca="1" si="75"/>
        <v>0</v>
      </c>
      <c r="V81" s="11">
        <f t="shared" ca="1" si="75"/>
        <v>0</v>
      </c>
      <c r="W81" s="11">
        <f t="shared" ca="1" si="75"/>
        <v>0</v>
      </c>
      <c r="X81" s="11">
        <f t="shared" ca="1" si="75"/>
        <v>0</v>
      </c>
      <c r="Y81" s="11">
        <f t="shared" ca="1" si="75"/>
        <v>0</v>
      </c>
      <c r="Z81" s="11">
        <f t="shared" ca="1" si="75"/>
        <v>0</v>
      </c>
      <c r="AA81" s="11">
        <f t="shared" ca="1" si="75"/>
        <v>0</v>
      </c>
      <c r="AB81" s="11">
        <f t="shared" ca="1" si="75"/>
        <v>0</v>
      </c>
      <c r="AC81" s="11">
        <f t="shared" ca="1" si="75"/>
        <v>0</v>
      </c>
      <c r="AD81" s="11">
        <f t="shared" ca="1" si="75"/>
        <v>0</v>
      </c>
      <c r="AE81" s="11">
        <f t="shared" ca="1" si="75"/>
        <v>0</v>
      </c>
      <c r="AF81" s="11">
        <f t="shared" ca="1" si="75"/>
        <v>0</v>
      </c>
      <c r="AG81" s="11">
        <f t="shared" ca="1" si="75"/>
        <v>0</v>
      </c>
      <c r="AH81" s="11">
        <f t="shared" ca="1" si="75"/>
        <v>0</v>
      </c>
      <c r="AI81" s="11">
        <f t="shared" ca="1" si="75"/>
        <v>0</v>
      </c>
      <c r="AJ81" s="11" t="str">
        <f t="shared" ca="1" si="75"/>
        <v/>
      </c>
    </row>
    <row r="82" spans="5:36" x14ac:dyDescent="0.45">
      <c r="F82" s="8" t="str">
        <f t="shared" si="72"/>
        <v>REA</v>
      </c>
      <c r="G82" s="11">
        <f t="shared" ref="G82:AJ82" ca="1" si="76">IFERROR(G69/G$92,"")</f>
        <v>0.72511170080457155</v>
      </c>
      <c r="H82" s="11">
        <f t="shared" ca="1" si="76"/>
        <v>9.3067635656414183E-2</v>
      </c>
      <c r="I82" s="11">
        <f t="shared" ca="1" si="76"/>
        <v>1.3576507701791642</v>
      </c>
      <c r="J82" s="11">
        <f t="shared" ca="1" si="76"/>
        <v>0.99654728988366692</v>
      </c>
      <c r="K82" s="11">
        <f t="shared" ca="1" si="76"/>
        <v>3.4518154401512788</v>
      </c>
      <c r="L82" s="11">
        <f t="shared" ca="1" si="76"/>
        <v>0.68726770386338742</v>
      </c>
      <c r="M82" s="11">
        <f t="shared" ca="1" si="76"/>
        <v>2.480718130359497</v>
      </c>
      <c r="N82" s="11">
        <f t="shared" ca="1" si="76"/>
        <v>1.0322185269557884</v>
      </c>
      <c r="O82" s="11">
        <f t="shared" ca="1" si="76"/>
        <v>2.0231752324284416</v>
      </c>
      <c r="P82" s="11">
        <f t="shared" ca="1" si="76"/>
        <v>1.1392401561517798</v>
      </c>
      <c r="Q82" s="11">
        <f t="shared" ca="1" si="76"/>
        <v>5.1090645886764614</v>
      </c>
      <c r="R82" s="11">
        <f t="shared" ca="1" si="76"/>
        <v>1.745810965272691</v>
      </c>
      <c r="S82" s="11">
        <f t="shared" ca="1" si="76"/>
        <v>2.1289095061943684</v>
      </c>
      <c r="T82" s="11">
        <f t="shared" ca="1" si="76"/>
        <v>1.7084601750343027</v>
      </c>
      <c r="U82" s="11">
        <f t="shared" ca="1" si="76"/>
        <v>1.7110079465049919</v>
      </c>
      <c r="V82" s="11">
        <f t="shared" ca="1" si="76"/>
        <v>2.1630649751864586</v>
      </c>
      <c r="W82" s="11">
        <f t="shared" ca="1" si="76"/>
        <v>0.74436703827439599</v>
      </c>
      <c r="X82" s="11">
        <f t="shared" ca="1" si="76"/>
        <v>3.3624285313360049</v>
      </c>
      <c r="Y82" s="11">
        <f t="shared" ca="1" si="76"/>
        <v>2.194128110890861</v>
      </c>
      <c r="Z82" s="11">
        <f t="shared" ca="1" si="76"/>
        <v>0.36812972646120806</v>
      </c>
      <c r="AA82" s="11">
        <f t="shared" ca="1" si="76"/>
        <v>0.709928893728491</v>
      </c>
      <c r="AB82" s="11">
        <f t="shared" ca="1" si="76"/>
        <v>0.60550131301253018</v>
      </c>
      <c r="AC82" s="11">
        <f t="shared" ca="1" si="76"/>
        <v>1.0028188254454002</v>
      </c>
      <c r="AD82" s="11">
        <f t="shared" ca="1" si="76"/>
        <v>10.334216189832516</v>
      </c>
      <c r="AE82" s="11">
        <f t="shared" ca="1" si="76"/>
        <v>1.7576734851776101</v>
      </c>
      <c r="AF82" s="11">
        <f t="shared" ca="1" si="76"/>
        <v>3.127236185758548</v>
      </c>
      <c r="AG82" s="11">
        <f t="shared" ca="1" si="76"/>
        <v>1.047106666194886</v>
      </c>
      <c r="AH82" s="11">
        <f t="shared" ca="1" si="76"/>
        <v>2.2367536464944595</v>
      </c>
      <c r="AI82" s="11">
        <f t="shared" ca="1" si="76"/>
        <v>3.8361135648529174</v>
      </c>
      <c r="AJ82" s="11" t="str">
        <f t="shared" ca="1" si="76"/>
        <v/>
      </c>
    </row>
    <row r="83" spans="5:36" x14ac:dyDescent="0.45">
      <c r="F83" s="8" t="str">
        <f t="shared" si="72"/>
        <v>RSH</v>
      </c>
      <c r="G83" s="11">
        <f t="shared" ref="G83:AJ83" ca="1" si="77">IFERROR(G70/G$92,"")</f>
        <v>1.8504544337634758E-2</v>
      </c>
      <c r="H83" s="11">
        <f t="shared" ca="1" si="77"/>
        <v>1.4615993010180593E-3</v>
      </c>
      <c r="I83" s="11">
        <f t="shared" ca="1" si="77"/>
        <v>0.11444523744912437</v>
      </c>
      <c r="J83" s="11">
        <f t="shared" ca="1" si="77"/>
        <v>6.4371529433680887</v>
      </c>
      <c r="K83" s="11">
        <f t="shared" ca="1" si="77"/>
        <v>3.3276174764032773</v>
      </c>
      <c r="L83" s="11">
        <f t="shared" ca="1" si="77"/>
        <v>0</v>
      </c>
      <c r="M83" s="11">
        <f t="shared" ca="1" si="77"/>
        <v>3.8693307735053915</v>
      </c>
      <c r="N83" s="11">
        <f t="shared" ca="1" si="77"/>
        <v>0.1053838681674054</v>
      </c>
      <c r="O83" s="11">
        <f t="shared" ca="1" si="77"/>
        <v>17.97898534648715</v>
      </c>
      <c r="P83" s="11">
        <f t="shared" ca="1" si="77"/>
        <v>1.8947363640734123</v>
      </c>
      <c r="Q83" s="11">
        <f t="shared" ca="1" si="77"/>
        <v>13.80958370355917</v>
      </c>
      <c r="R83" s="11">
        <f t="shared" ca="1" si="77"/>
        <v>8.976777793862194</v>
      </c>
      <c r="S83" s="11">
        <f t="shared" ca="1" si="77"/>
        <v>12.008313666431578</v>
      </c>
      <c r="T83" s="11">
        <f t="shared" ca="1" si="77"/>
        <v>8.8303988539409524</v>
      </c>
      <c r="U83" s="11">
        <f t="shared" ca="1" si="77"/>
        <v>5.8975992517415277</v>
      </c>
      <c r="V83" s="11">
        <f t="shared" ca="1" si="77"/>
        <v>4.2293975520767857</v>
      </c>
      <c r="W83" s="11">
        <f t="shared" ca="1" si="77"/>
        <v>4.7987652632726219</v>
      </c>
      <c r="X83" s="11">
        <f t="shared" ca="1" si="77"/>
        <v>8.6975252584110372</v>
      </c>
      <c r="Y83" s="11">
        <f t="shared" ca="1" si="77"/>
        <v>13.671675265636967</v>
      </c>
      <c r="Z83" s="11">
        <f t="shared" ca="1" si="77"/>
        <v>0</v>
      </c>
      <c r="AA83" s="11">
        <f t="shared" ca="1" si="77"/>
        <v>0.19437994102726688</v>
      </c>
      <c r="AB83" s="11">
        <f t="shared" ca="1" si="77"/>
        <v>0.24795889163033066</v>
      </c>
      <c r="AC83" s="11">
        <f t="shared" ca="1" si="77"/>
        <v>4.3749876874424425</v>
      </c>
      <c r="AD83" s="11">
        <f t="shared" ca="1" si="77"/>
        <v>8.4177199003912975</v>
      </c>
      <c r="AE83" s="11">
        <f t="shared" ca="1" si="77"/>
        <v>20.632402796146479</v>
      </c>
      <c r="AF83" s="11">
        <f t="shared" ca="1" si="77"/>
        <v>0.80748878109106548</v>
      </c>
      <c r="AG83" s="11">
        <f t="shared" ca="1" si="77"/>
        <v>0.44529918077381825</v>
      </c>
      <c r="AH83" s="11">
        <f t="shared" ca="1" si="77"/>
        <v>10.527605106497814</v>
      </c>
      <c r="AI83" s="11">
        <f t="shared" ca="1" si="77"/>
        <v>10.908479213662893</v>
      </c>
      <c r="AJ83" s="11" t="str">
        <f t="shared" ca="1" si="77"/>
        <v/>
      </c>
    </row>
    <row r="84" spans="5:36" x14ac:dyDescent="0.45">
      <c r="F84" s="8" t="str">
        <f t="shared" si="72"/>
        <v>RHW</v>
      </c>
      <c r="G84" s="11">
        <f t="shared" ref="G84:AJ84" ca="1" si="78">IFERROR(G71/G$92,"")</f>
        <v>1.3142610085133846</v>
      </c>
      <c r="H84" s="11">
        <f t="shared" ca="1" si="78"/>
        <v>0.34774906301012365</v>
      </c>
      <c r="I84" s="11">
        <f t="shared" ca="1" si="78"/>
        <v>2.9690223972755208</v>
      </c>
      <c r="J84" s="11">
        <f t="shared" ca="1" si="78"/>
        <v>1.5582781792992786</v>
      </c>
      <c r="K84" s="11">
        <f t="shared" ca="1" si="78"/>
        <v>3.4188954911489273</v>
      </c>
      <c r="L84" s="11">
        <f t="shared" ca="1" si="78"/>
        <v>6.2095760985992988E-2</v>
      </c>
      <c r="M84" s="11">
        <f t="shared" ca="1" si="78"/>
        <v>3.4385894084112754</v>
      </c>
      <c r="N84" s="11">
        <f t="shared" ca="1" si="78"/>
        <v>0.40361400646657442</v>
      </c>
      <c r="O84" s="11">
        <f t="shared" ca="1" si="78"/>
        <v>5.2795879285798355</v>
      </c>
      <c r="P84" s="11">
        <f t="shared" ca="1" si="78"/>
        <v>2.2994946931531741</v>
      </c>
      <c r="Q84" s="11">
        <f t="shared" ca="1" si="78"/>
        <v>3.2115906683377293</v>
      </c>
      <c r="R84" s="11">
        <f t="shared" ca="1" si="78"/>
        <v>2.8163269344218693</v>
      </c>
      <c r="S84" s="11">
        <f t="shared" ca="1" si="78"/>
        <v>2.6003696024331884</v>
      </c>
      <c r="T84" s="11">
        <f t="shared" ca="1" si="78"/>
        <v>2.138526058907559</v>
      </c>
      <c r="U84" s="11">
        <f t="shared" ca="1" si="78"/>
        <v>1.8966252560290406</v>
      </c>
      <c r="V84" s="11">
        <f t="shared" ca="1" si="78"/>
        <v>1.2550941845869414</v>
      </c>
      <c r="W84" s="11">
        <f t="shared" ca="1" si="78"/>
        <v>1.5372483291092416</v>
      </c>
      <c r="X84" s="11">
        <f t="shared" ca="1" si="78"/>
        <v>2.120841579102672</v>
      </c>
      <c r="Y84" s="11">
        <f t="shared" ca="1" si="78"/>
        <v>3.075547062484258</v>
      </c>
      <c r="Z84" s="11">
        <f t="shared" ca="1" si="78"/>
        <v>0.11268740625841117</v>
      </c>
      <c r="AA84" s="11">
        <f t="shared" ca="1" si="78"/>
        <v>0.44325555411758588</v>
      </c>
      <c r="AB84" s="11">
        <f t="shared" ca="1" si="78"/>
        <v>0.70470781478865463</v>
      </c>
      <c r="AC84" s="11">
        <f t="shared" ca="1" si="78"/>
        <v>1.7529303591995529</v>
      </c>
      <c r="AD84" s="11">
        <f t="shared" ca="1" si="78"/>
        <v>3.0433694689772466</v>
      </c>
      <c r="AE84" s="11">
        <f t="shared" ca="1" si="78"/>
        <v>6.8906543020960127</v>
      </c>
      <c r="AF84" s="11">
        <f t="shared" ca="1" si="78"/>
        <v>0.77617818552865547</v>
      </c>
      <c r="AG84" s="11">
        <f t="shared" ca="1" si="78"/>
        <v>0.71318144580200404</v>
      </c>
      <c r="AH84" s="11">
        <f t="shared" ca="1" si="78"/>
        <v>2.4471514436935942</v>
      </c>
      <c r="AI84" s="11">
        <f t="shared" ca="1" si="78"/>
        <v>4.2196092578942359</v>
      </c>
      <c r="AJ84" s="11" t="str">
        <f t="shared" ca="1" si="78"/>
        <v/>
      </c>
    </row>
    <row r="85" spans="5:36" x14ac:dyDescent="0.45">
      <c r="F85" s="8" t="str">
        <f t="shared" si="72"/>
        <v>RCK</v>
      </c>
      <c r="G85" s="11">
        <f t="shared" ref="G85:AJ85" ca="1" si="79">IFERROR(G72/G$92,"")</f>
        <v>1.4351701426760237</v>
      </c>
      <c r="H85" s="11">
        <f t="shared" ca="1" si="79"/>
        <v>1.8111141437834488</v>
      </c>
      <c r="I85" s="11">
        <f t="shared" ca="1" si="79"/>
        <v>1.8709633935463743</v>
      </c>
      <c r="J85" s="11">
        <f t="shared" ca="1" si="79"/>
        <v>0.69276127145055388</v>
      </c>
      <c r="K85" s="11">
        <f t="shared" ca="1" si="79"/>
        <v>0.76295642168406663</v>
      </c>
      <c r="L85" s="11">
        <f t="shared" ca="1" si="79"/>
        <v>1.2033616612739264</v>
      </c>
      <c r="M85" s="11">
        <f t="shared" ca="1" si="79"/>
        <v>0.56978711618992306</v>
      </c>
      <c r="N85" s="11">
        <f t="shared" ca="1" si="79"/>
        <v>0.79749025592418366</v>
      </c>
      <c r="O85" s="11">
        <f t="shared" ca="1" si="79"/>
        <v>0.78162851683716061</v>
      </c>
      <c r="P85" s="11">
        <f t="shared" ca="1" si="79"/>
        <v>0.79127362226660169</v>
      </c>
      <c r="Q85" s="11">
        <f t="shared" ca="1" si="79"/>
        <v>1.1335685152184984</v>
      </c>
      <c r="R85" s="11">
        <f t="shared" ca="1" si="79"/>
        <v>0.96191999046652632</v>
      </c>
      <c r="S85" s="11">
        <f t="shared" ca="1" si="79"/>
        <v>0.75311994217387213</v>
      </c>
      <c r="T85" s="11">
        <f t="shared" ca="1" si="79"/>
        <v>0.57226312301273075</v>
      </c>
      <c r="U85" s="11">
        <f t="shared" ca="1" si="79"/>
        <v>0.85747849221667338</v>
      </c>
      <c r="V85" s="11">
        <f t="shared" ca="1" si="79"/>
        <v>0.54117252723574183</v>
      </c>
      <c r="W85" s="11">
        <f t="shared" ca="1" si="79"/>
        <v>0.45871070595982838</v>
      </c>
      <c r="X85" s="11">
        <f t="shared" ca="1" si="79"/>
        <v>0.88448435351213328</v>
      </c>
      <c r="Y85" s="11">
        <f t="shared" ca="1" si="79"/>
        <v>0.76970204565164035</v>
      </c>
      <c r="Z85" s="11">
        <f t="shared" ca="1" si="79"/>
        <v>1.040912397208452</v>
      </c>
      <c r="AA85" s="11">
        <f t="shared" ca="1" si="79"/>
        <v>0.93604822219818584</v>
      </c>
      <c r="AB85" s="11">
        <f t="shared" ca="1" si="79"/>
        <v>0.6793841601911117</v>
      </c>
      <c r="AC85" s="11">
        <f t="shared" ca="1" si="79"/>
        <v>0.96346747106357389</v>
      </c>
      <c r="AD85" s="11">
        <f t="shared" ca="1" si="79"/>
        <v>2.1811999095620678</v>
      </c>
      <c r="AE85" s="11">
        <f t="shared" ca="1" si="79"/>
        <v>1.6651039823281306</v>
      </c>
      <c r="AF85" s="11">
        <f t="shared" ca="1" si="79"/>
        <v>0.66272819857163889</v>
      </c>
      <c r="AG85" s="11">
        <f t="shared" ca="1" si="79"/>
        <v>0.54147377860032841</v>
      </c>
      <c r="AH85" s="11">
        <f t="shared" ca="1" si="79"/>
        <v>0.74907545582020207</v>
      </c>
      <c r="AI85" s="11">
        <f t="shared" ca="1" si="79"/>
        <v>0.8286215251639093</v>
      </c>
      <c r="AJ85" s="11" t="str">
        <f t="shared" ca="1" si="79"/>
        <v/>
      </c>
    </row>
    <row r="86" spans="5:36" x14ac:dyDescent="0.45">
      <c r="F86" s="8" t="str">
        <f t="shared" si="72"/>
        <v>RLI</v>
      </c>
      <c r="G86" s="11">
        <f t="shared" ref="G86:AJ86" ca="1" si="80">IFERROR(G73/G$92,"")</f>
        <v>0.48806477195234538</v>
      </c>
      <c r="H86" s="11">
        <f t="shared" ca="1" si="80"/>
        <v>6.2975619581383868E-2</v>
      </c>
      <c r="I86" s="11">
        <f t="shared" ca="1" si="80"/>
        <v>0.4593747986383514</v>
      </c>
      <c r="J86" s="11">
        <f t="shared" ca="1" si="80"/>
        <v>0.39646621168873841</v>
      </c>
      <c r="K86" s="11">
        <f t="shared" ca="1" si="80"/>
        <v>0</v>
      </c>
      <c r="L86" s="11">
        <f t="shared" ca="1" si="80"/>
        <v>0.25312654595601336</v>
      </c>
      <c r="M86" s="11">
        <f t="shared" ca="1" si="80"/>
        <v>1.4521052635933529</v>
      </c>
      <c r="N86" s="11">
        <f t="shared" ca="1" si="80"/>
        <v>0.34925672307551436</v>
      </c>
      <c r="O86" s="11">
        <f t="shared" ca="1" si="80"/>
        <v>2.0174751914592108</v>
      </c>
      <c r="P86" s="11">
        <f t="shared" ca="1" si="80"/>
        <v>0.24965063057676309</v>
      </c>
      <c r="Q86" s="11">
        <f t="shared" ca="1" si="80"/>
        <v>1.1516268278870947</v>
      </c>
      <c r="R86" s="11">
        <f t="shared" ca="1" si="80"/>
        <v>4.8124472650775817E-2</v>
      </c>
      <c r="S86" s="11">
        <f t="shared" ca="1" si="80"/>
        <v>0.47987439949598171</v>
      </c>
      <c r="T86" s="11">
        <f t="shared" ca="1" si="80"/>
        <v>0.38510152647255552</v>
      </c>
      <c r="U86" s="11">
        <f t="shared" ca="1" si="80"/>
        <v>4.7165103647964571E-2</v>
      </c>
      <c r="V86" s="11">
        <f t="shared" ca="1" si="80"/>
        <v>0.48757333414979998</v>
      </c>
      <c r="W86" s="11">
        <f t="shared" ca="1" si="80"/>
        <v>0.29322923050433264</v>
      </c>
      <c r="X86" s="11">
        <f t="shared" ca="1" si="80"/>
        <v>0.75792013123535062</v>
      </c>
      <c r="Y86" s="11">
        <f t="shared" ca="1" si="80"/>
        <v>0.49457523044893342</v>
      </c>
      <c r="Z86" s="11">
        <f t="shared" ca="1" si="80"/>
        <v>0.21951905758920892</v>
      </c>
      <c r="AA86" s="11">
        <f t="shared" ca="1" si="80"/>
        <v>0.24021223302481123</v>
      </c>
      <c r="AB86" s="11">
        <f t="shared" ca="1" si="80"/>
        <v>0.45869356185201521</v>
      </c>
      <c r="AC86" s="11">
        <f t="shared" ca="1" si="80"/>
        <v>0.39504853266153872</v>
      </c>
      <c r="AD86" s="11">
        <f t="shared" ca="1" si="80"/>
        <v>2.3294206606378718</v>
      </c>
      <c r="AE86" s="11">
        <f t="shared" ca="1" si="80"/>
        <v>0.69927253340426787</v>
      </c>
      <c r="AF86" s="11">
        <f t="shared" ca="1" si="80"/>
        <v>1.2319216924177072</v>
      </c>
      <c r="AG86" s="11">
        <f t="shared" ca="1" si="80"/>
        <v>0.70594775450281544</v>
      </c>
      <c r="AH86" s="11">
        <f t="shared" ca="1" si="80"/>
        <v>0.50418339051466421</v>
      </c>
      <c r="AI86" s="11">
        <f t="shared" ca="1" si="80"/>
        <v>3.5252987162133884</v>
      </c>
      <c r="AJ86" s="11" t="str">
        <f t="shared" ca="1" si="80"/>
        <v/>
      </c>
    </row>
    <row r="87" spans="5:36" x14ac:dyDescent="0.45">
      <c r="F87" s="8" t="str">
        <f t="shared" si="72"/>
        <v>ROT</v>
      </c>
      <c r="G87" s="11">
        <f t="shared" ref="G87:AJ87" ca="1" si="81">IFERROR(G74/G$92,"")</f>
        <v>3.5938309497460651E-2</v>
      </c>
      <c r="H87" s="11">
        <f t="shared" ca="1" si="81"/>
        <v>2.3956781520473361E-3</v>
      </c>
      <c r="I87" s="11">
        <f t="shared" ca="1" si="81"/>
        <v>3.4416100856647647E-2</v>
      </c>
      <c r="J87" s="11">
        <f t="shared" ca="1" si="81"/>
        <v>0.23135087536636037</v>
      </c>
      <c r="K87" s="11">
        <f t="shared" ca="1" si="81"/>
        <v>0</v>
      </c>
      <c r="L87" s="11">
        <f t="shared" ca="1" si="81"/>
        <v>3.6656721791046608E-3</v>
      </c>
      <c r="M87" s="11">
        <f t="shared" ca="1" si="81"/>
        <v>0</v>
      </c>
      <c r="N87" s="11">
        <f t="shared" ca="1" si="81"/>
        <v>2.3428085099836106E-2</v>
      </c>
      <c r="O87" s="11">
        <f t="shared" ca="1" si="81"/>
        <v>0</v>
      </c>
      <c r="P87" s="11">
        <f t="shared" ca="1" si="81"/>
        <v>0</v>
      </c>
      <c r="Q87" s="11">
        <f t="shared" ca="1" si="81"/>
        <v>1.7585676503419093E-2</v>
      </c>
      <c r="R87" s="11">
        <f t="shared" ca="1" si="81"/>
        <v>0.26786188348974721</v>
      </c>
      <c r="S87" s="11">
        <f t="shared" ca="1" si="81"/>
        <v>1.7212486226457505E-2</v>
      </c>
      <c r="T87" s="11">
        <f t="shared" ca="1" si="81"/>
        <v>1.5836570278505852E-2</v>
      </c>
      <c r="U87" s="11">
        <f t="shared" ca="1" si="81"/>
        <v>0.27911367488305072</v>
      </c>
      <c r="V87" s="11">
        <f t="shared" ca="1" si="81"/>
        <v>1.0119425386051243E-2</v>
      </c>
      <c r="W87" s="11">
        <f t="shared" ca="1" si="81"/>
        <v>1.3469041468281572E-5</v>
      </c>
      <c r="X87" s="11">
        <f t="shared" ca="1" si="81"/>
        <v>1.7194667043146733E-2</v>
      </c>
      <c r="Y87" s="11">
        <f t="shared" ca="1" si="81"/>
        <v>2.3987982001004628E-2</v>
      </c>
      <c r="Z87" s="11">
        <f t="shared" ca="1" si="81"/>
        <v>0</v>
      </c>
      <c r="AA87" s="11">
        <f t="shared" ca="1" si="81"/>
        <v>2.2661206041847255E-2</v>
      </c>
      <c r="AB87" s="11">
        <f t="shared" ca="1" si="81"/>
        <v>3.7220546517626437E-3</v>
      </c>
      <c r="AC87" s="11">
        <f t="shared" ca="1" si="81"/>
        <v>3.6500816375797204E-5</v>
      </c>
      <c r="AD87" s="11">
        <f t="shared" ca="1" si="81"/>
        <v>9.1100859068160879E-3</v>
      </c>
      <c r="AE87" s="11">
        <f t="shared" ca="1" si="81"/>
        <v>0.478417312935494</v>
      </c>
      <c r="AF87" s="11">
        <f t="shared" ca="1" si="81"/>
        <v>3.761030385582793E-5</v>
      </c>
      <c r="AG87" s="11">
        <f t="shared" ca="1" si="81"/>
        <v>3.2036270398026999E-3</v>
      </c>
      <c r="AH87" s="11">
        <f t="shared" ca="1" si="81"/>
        <v>7.3937133631308237E-3</v>
      </c>
      <c r="AI87" s="11">
        <f t="shared" ca="1" si="81"/>
        <v>0</v>
      </c>
      <c r="AJ87" s="11" t="str">
        <f t="shared" ca="1" si="81"/>
        <v/>
      </c>
    </row>
    <row r="88" spans="5:36" x14ac:dyDescent="0.45">
      <c r="F88" s="8" t="str">
        <f t="shared" si="72"/>
        <v>RRF</v>
      </c>
      <c r="G88" s="11">
        <f t="shared" ref="G88:AJ88" ca="1" si="82">IFERROR(G75/G$92,"")</f>
        <v>0.24177295852541006</v>
      </c>
      <c r="H88" s="11">
        <f t="shared" ca="1" si="82"/>
        <v>3.1031408803152961E-2</v>
      </c>
      <c r="I88" s="11">
        <f t="shared" ca="1" si="82"/>
        <v>0.51114478473144553</v>
      </c>
      <c r="J88" s="11">
        <f t="shared" ca="1" si="82"/>
        <v>0.353820250845579</v>
      </c>
      <c r="K88" s="11">
        <f t="shared" ca="1" si="82"/>
        <v>0.76578641754076149</v>
      </c>
      <c r="L88" s="11">
        <f t="shared" ca="1" si="82"/>
        <v>0.21962408614638862</v>
      </c>
      <c r="M88" s="11">
        <f t="shared" ca="1" si="82"/>
        <v>0.98830729292636699</v>
      </c>
      <c r="N88" s="11">
        <f t="shared" ca="1" si="82"/>
        <v>0.3886221172231199</v>
      </c>
      <c r="O88" s="11">
        <f t="shared" ca="1" si="82"/>
        <v>1.9403564256276078</v>
      </c>
      <c r="P88" s="11">
        <f t="shared" ca="1" si="82"/>
        <v>0.32158602859595042</v>
      </c>
      <c r="Q88" s="11">
        <f t="shared" ca="1" si="82"/>
        <v>1.390431194653444</v>
      </c>
      <c r="R88" s="11">
        <f t="shared" ca="1" si="82"/>
        <v>0.60939605070175562</v>
      </c>
      <c r="S88" s="11">
        <f t="shared" ca="1" si="82"/>
        <v>0.57938241661058043</v>
      </c>
      <c r="T88" s="11">
        <f t="shared" ca="1" si="82"/>
        <v>0.46495719147018383</v>
      </c>
      <c r="U88" s="11">
        <f t="shared" ca="1" si="82"/>
        <v>0.59724764367979477</v>
      </c>
      <c r="V88" s="11">
        <f t="shared" ca="1" si="82"/>
        <v>0.58867782259544055</v>
      </c>
      <c r="W88" s="11">
        <f t="shared" ca="1" si="82"/>
        <v>0.49998859173420324</v>
      </c>
      <c r="X88" s="11">
        <f t="shared" ca="1" si="82"/>
        <v>0.91508444229191011</v>
      </c>
      <c r="Y88" s="11">
        <f t="shared" ca="1" si="82"/>
        <v>0.59713165051980899</v>
      </c>
      <c r="Z88" s="11">
        <f t="shared" ca="1" si="82"/>
        <v>0.11307021710910331</v>
      </c>
      <c r="AA88" s="11">
        <f t="shared" ca="1" si="82"/>
        <v>0.2672826175405883</v>
      </c>
      <c r="AB88" s="11">
        <f t="shared" ca="1" si="82"/>
        <v>0.29042355863925129</v>
      </c>
      <c r="AC88" s="11">
        <f t="shared" ca="1" si="82"/>
        <v>0.67358970308699118</v>
      </c>
      <c r="AD88" s="11">
        <f t="shared" ca="1" si="82"/>
        <v>2.8124554530946302</v>
      </c>
      <c r="AE88" s="11">
        <f t="shared" ca="1" si="82"/>
        <v>0.62405515497690356</v>
      </c>
      <c r="AF88" s="11">
        <f t="shared" ca="1" si="82"/>
        <v>2.1005530015976799</v>
      </c>
      <c r="AG88" s="11">
        <f t="shared" ca="1" si="82"/>
        <v>0.34913527984269493</v>
      </c>
      <c r="AH88" s="11">
        <f t="shared" ca="1" si="82"/>
        <v>0.60873218391752981</v>
      </c>
      <c r="AI88" s="11">
        <f t="shared" ca="1" si="82"/>
        <v>1.7329144439544655</v>
      </c>
      <c r="AJ88" s="11" t="str">
        <f t="shared" ca="1" si="82"/>
        <v/>
      </c>
    </row>
    <row r="90" spans="5:36" ht="14.65" thickBot="1" x14ac:dyDescent="0.5">
      <c r="E90" s="64" t="str">
        <f>'RES balance'!C34</f>
        <v>Year</v>
      </c>
      <c r="F90" s="64" t="str">
        <f>'RES balance'!D34</f>
        <v>Drvr</v>
      </c>
      <c r="G90" s="64" t="str">
        <f>'RES balance'!E34</f>
        <v>Africa_north</v>
      </c>
      <c r="H90" s="64" t="str">
        <f>'RES balance'!F34</f>
        <v>Africa_other</v>
      </c>
      <c r="I90" s="64" t="str">
        <f>'RES balance'!G34</f>
        <v>Arg-Chi</v>
      </c>
      <c r="J90" s="64" t="str">
        <f>'RES balance'!H34</f>
        <v>Asia_central</v>
      </c>
      <c r="K90" s="64" t="str">
        <f>'RES balance'!I34</f>
        <v>Asia_east</v>
      </c>
      <c r="L90" s="64" t="str">
        <f>'RES balance'!J34</f>
        <v>Asia_other</v>
      </c>
      <c r="M90" s="64" t="str">
        <f>'RES balance'!K34</f>
        <v>Australia_NZ</v>
      </c>
      <c r="N90" s="64" t="str">
        <f>'RES balance'!L34</f>
        <v>Brazil</v>
      </c>
      <c r="O90" s="64" t="str">
        <f>'RES balance'!M34</f>
        <v>Canada</v>
      </c>
      <c r="P90" s="64" t="str">
        <f>'RES balance'!N34</f>
        <v>China</v>
      </c>
      <c r="Q90" s="64" t="str">
        <f>'RES balance'!O34</f>
        <v>EU_north</v>
      </c>
      <c r="R90" s="64" t="str">
        <f>'RES balance'!P34</f>
        <v>EU_northeast</v>
      </c>
      <c r="S90" s="64" t="str">
        <f>'RES balance'!Q34</f>
        <v>EU_northwest</v>
      </c>
      <c r="T90" s="64" t="str">
        <f>'RES balance'!R34</f>
        <v>EU_south</v>
      </c>
      <c r="U90" s="64" t="str">
        <f>'RES balance'!S34</f>
        <v>EU_southeast</v>
      </c>
      <c r="V90" s="64" t="str">
        <f>'RES balance'!T34</f>
        <v>EU_southwest</v>
      </c>
      <c r="W90" s="64" t="str">
        <f>'RES balance'!U34</f>
        <v>Europe_other</v>
      </c>
      <c r="X90" s="64" t="str">
        <f>'RES balance'!V34</f>
        <v>France</v>
      </c>
      <c r="Y90" s="64" t="str">
        <f>'RES balance'!W34</f>
        <v>Germany</v>
      </c>
      <c r="Z90" s="64" t="str">
        <f>'RES balance'!X34</f>
        <v>India</v>
      </c>
      <c r="AA90" s="64" t="str">
        <f>'RES balance'!Y34</f>
        <v>LatAm_other</v>
      </c>
      <c r="AB90" s="64" t="str">
        <f>'RES balance'!Z34</f>
        <v>Mexico</v>
      </c>
      <c r="AC90" s="64" t="str">
        <f>'RES balance'!AA34</f>
        <v>MidEast_other</v>
      </c>
      <c r="AD90" s="64" t="str">
        <f>'RES balance'!AB34</f>
        <v>Nor-Ice</v>
      </c>
      <c r="AE90" s="64" t="str">
        <f>'RES balance'!AC34</f>
        <v>Russia</v>
      </c>
      <c r="AF90" s="64" t="str">
        <f>'RES balance'!AD34</f>
        <v>SaudiArabia</v>
      </c>
      <c r="AG90" s="64" t="str">
        <f>'RES balance'!AE34</f>
        <v>SouthAfrica</v>
      </c>
      <c r="AH90" s="64" t="str">
        <f>'RES balance'!AF34</f>
        <v>UK</v>
      </c>
      <c r="AI90" s="64" t="str">
        <f>'RES balance'!AG34</f>
        <v>USA</v>
      </c>
      <c r="AJ90" s="64">
        <f>'RES balance'!AH34</f>
        <v>0</v>
      </c>
    </row>
    <row r="91" spans="5:36" ht="15" thickTop="1" thickBot="1" x14ac:dyDescent="0.5">
      <c r="E91" s="64">
        <f>'RES balance'!C35</f>
        <v>2019</v>
      </c>
      <c r="F91" s="64" t="str">
        <f>'RES balance'!D35</f>
        <v>GDP</v>
      </c>
      <c r="G91" s="62">
        <f>'RES balance'!E35</f>
        <v>2018.2739999999999</v>
      </c>
      <c r="H91" s="62">
        <f>'RES balance'!F35</f>
        <v>2783.9391930000002</v>
      </c>
      <c r="I91" s="62">
        <f>'RES balance'!G35</f>
        <v>1015.21</v>
      </c>
      <c r="J91" s="62">
        <f>'RES balance'!H35</f>
        <v>1001.7532</v>
      </c>
      <c r="K91" s="62">
        <f>'RES balance'!I35</f>
        <v>6334.56</v>
      </c>
      <c r="L91" s="62">
        <f>'RES balance'!J35</f>
        <v>10498.5182938</v>
      </c>
      <c r="M91" s="62">
        <f>'RES balance'!K35</f>
        <v>1111.5350000000001</v>
      </c>
      <c r="N91" s="62">
        <f>'RES balance'!L35</f>
        <v>2724.93</v>
      </c>
      <c r="O91" s="62">
        <f>'RES balance'!M35</f>
        <v>1586.46</v>
      </c>
      <c r="P91" s="62">
        <f>'RES balance'!N35</f>
        <v>21698.553</v>
      </c>
      <c r="Q91" s="62">
        <f>'RES balance'!O35</f>
        <v>819.16</v>
      </c>
      <c r="R91" s="62">
        <f>'RES balance'!P35</f>
        <v>1871.7913000000001</v>
      </c>
      <c r="S91" s="62">
        <f>'RES balance'!Q35</f>
        <v>1517.9468999999999</v>
      </c>
      <c r="T91" s="62">
        <f>'RES balance'!R35</f>
        <v>2016.78901</v>
      </c>
      <c r="U91" s="62">
        <f>'RES balance'!S35</f>
        <v>805.75800000000004</v>
      </c>
      <c r="V91" s="62">
        <f>'RES balance'!T35</f>
        <v>1655.67</v>
      </c>
      <c r="W91" s="62">
        <f>'RES balance'!U35</f>
        <v>2703.2985239</v>
      </c>
      <c r="X91" s="62">
        <f>'RES balance'!V35</f>
        <v>2313.4717470000001</v>
      </c>
      <c r="Y91" s="62">
        <f>'RES balance'!W35</f>
        <v>3218.77</v>
      </c>
      <c r="Z91" s="62">
        <f>'RES balance'!X35</f>
        <v>8348.0499999999993</v>
      </c>
      <c r="AA91" s="62">
        <f>'RES balance'!Y35</f>
        <v>2670.5199213999999</v>
      </c>
      <c r="AB91" s="62">
        <f>'RES balance'!Z35</f>
        <v>1782.59</v>
      </c>
      <c r="AC91" s="62">
        <f>'RES balance'!AA35</f>
        <v>3897.7242999999999</v>
      </c>
      <c r="AD91" s="62">
        <f>'RES balance'!AB35</f>
        <v>281.30889999999999</v>
      </c>
      <c r="AE91" s="62">
        <f>'RES balance'!AC35</f>
        <v>2310.67</v>
      </c>
      <c r="AF91" s="62">
        <f>'RES balance'!AD35</f>
        <v>1712.87</v>
      </c>
      <c r="AG91" s="62">
        <f>'RES balance'!AE35</f>
        <v>625.81200000000001</v>
      </c>
      <c r="AH91" s="62">
        <f>'RES balance'!AF35</f>
        <v>2365.1179000000002</v>
      </c>
      <c r="AI91" s="62">
        <f>'RES balance'!AG35</f>
        <v>16690.099999999999</v>
      </c>
      <c r="AJ91" s="62">
        <f>'RES balance'!AH35</f>
        <v>0</v>
      </c>
    </row>
    <row r="92" spans="5:36" ht="15" thickTop="1" thickBot="1" x14ac:dyDescent="0.5">
      <c r="E92" s="64">
        <f>'RES balance'!C36</f>
        <v>2019</v>
      </c>
      <c r="F92" s="64" t="str">
        <f>'RES balance'!D36</f>
        <v>POP</v>
      </c>
      <c r="G92" s="62">
        <f>'RES balance'!E36</f>
        <v>198.38505000000001</v>
      </c>
      <c r="H92" s="62">
        <f>'RES balance'!F36</f>
        <v>1039.485625</v>
      </c>
      <c r="I92" s="62">
        <f>'RES balance'!G36</f>
        <v>63.890700000000002</v>
      </c>
      <c r="J92" s="62">
        <f>'RES balance'!H36</f>
        <v>90.515600000000006</v>
      </c>
      <c r="K92" s="62">
        <f>'RES balance'!I36</f>
        <v>177.97409999999999</v>
      </c>
      <c r="L92" s="62">
        <f>'RES balance'!J36</f>
        <v>1196.67780103</v>
      </c>
      <c r="M92" s="62">
        <f>'RES balance'!K36</f>
        <v>30.344999999999999</v>
      </c>
      <c r="N92" s="62">
        <f>'RES balance'!L36</f>
        <v>211.05</v>
      </c>
      <c r="O92" s="62">
        <f>'RES balance'!M36</f>
        <v>37.593400000000003</v>
      </c>
      <c r="P92" s="62">
        <f>'RES balance'!N36</f>
        <v>1405.2274</v>
      </c>
      <c r="Q92" s="62">
        <f>'RES balance'!O36</f>
        <v>21.614930000000001</v>
      </c>
      <c r="R92" s="62">
        <f>'RES balance'!P36</f>
        <v>69.006330000000005</v>
      </c>
      <c r="S92" s="62">
        <f>'RES balance'!Q36</f>
        <v>34.388241000000001</v>
      </c>
      <c r="T92" s="62">
        <f>'RES balance'!R36</f>
        <v>72.185137699999999</v>
      </c>
      <c r="U92" s="62">
        <f>'RES balance'!S36</f>
        <v>42.27214</v>
      </c>
      <c r="V92" s="62">
        <f>'RES balance'!T36</f>
        <v>57.419800000000002</v>
      </c>
      <c r="W92" s="62">
        <f>'RES balance'!U36</f>
        <v>164.817550463</v>
      </c>
      <c r="X92" s="62">
        <f>'RES balance'!V36</f>
        <v>68.440616300000002</v>
      </c>
      <c r="Y92" s="62">
        <f>'RES balance'!W36</f>
        <v>83.093000000000004</v>
      </c>
      <c r="Z92" s="62">
        <f>'RES balance'!X36</f>
        <v>1366.42</v>
      </c>
      <c r="AA92" s="62">
        <f>'RES balance'!Y36</f>
        <v>245.14508555</v>
      </c>
      <c r="AB92" s="62">
        <f>'RES balance'!Z36</f>
        <v>127.57599999999999</v>
      </c>
      <c r="AC92" s="62">
        <f>'RES balance'!AA36</f>
        <v>222.57825</v>
      </c>
      <c r="AD92" s="62">
        <f>'RES balance'!AB36</f>
        <v>5.7084630000000001</v>
      </c>
      <c r="AE92" s="62">
        <f>'RES balance'!AC36</f>
        <v>144.40600000000001</v>
      </c>
      <c r="AF92" s="62">
        <f>'RES balance'!AD36</f>
        <v>34.268500000000003</v>
      </c>
      <c r="AG92" s="62">
        <f>'RES balance'!AE36</f>
        <v>58.558300000000003</v>
      </c>
      <c r="AH92" s="62">
        <f>'RES balance'!AF36</f>
        <v>66.878303259999996</v>
      </c>
      <c r="AI92" s="62">
        <f>'RES balance'!AG36</f>
        <v>328.33</v>
      </c>
      <c r="AJ92" s="62">
        <f>'RES balance'!AH36</f>
        <v>0</v>
      </c>
    </row>
    <row r="93" spans="5:36" ht="14.65" thickTop="1" x14ac:dyDescent="0.45"/>
  </sheetData>
  <conditionalFormatting sqref="G79:U88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78:AJ7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78:AJ88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79:AJ8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79:AJ8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78:W78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79:W8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79:W8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78:AJ78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79:AJ8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79:AJ8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EF536-CCA9-49DF-8F85-CD27531186D7}">
  <dimension ref="A2:BD62"/>
  <sheetViews>
    <sheetView tabSelected="1" topLeftCell="A20" workbookViewId="0">
      <selection activeCell="G38" sqref="G38"/>
    </sheetView>
  </sheetViews>
  <sheetFormatPr defaultRowHeight="14.25" x14ac:dyDescent="0.45"/>
  <cols>
    <col min="1" max="1" width="4.86328125" bestFit="1" customWidth="1"/>
    <col min="2" max="2" width="12.19921875" bestFit="1" customWidth="1"/>
    <col min="4" max="4" width="11.1328125" bestFit="1" customWidth="1"/>
    <col min="6" max="6" width="9.796875" bestFit="1" customWidth="1"/>
    <col min="7" max="7" width="5" bestFit="1" customWidth="1"/>
    <col min="8" max="9" width="4.46484375" bestFit="1" customWidth="1"/>
    <col min="10" max="11" width="5" bestFit="1" customWidth="1"/>
    <col min="12" max="12" width="4.46484375" bestFit="1" customWidth="1"/>
    <col min="13" max="14" width="5" bestFit="1" customWidth="1"/>
    <col min="15" max="15" width="4.46484375" bestFit="1" customWidth="1"/>
    <col min="16" max="16" width="5" bestFit="1" customWidth="1"/>
    <col min="17" max="17" width="4.46484375" bestFit="1" customWidth="1"/>
    <col min="18" max="18" width="5" bestFit="1" customWidth="1"/>
    <col min="19" max="19" width="4.46484375" bestFit="1" customWidth="1"/>
    <col min="20" max="21" width="5" bestFit="1" customWidth="1"/>
    <col min="23" max="23" width="11.796875" customWidth="1"/>
    <col min="24" max="38" width="4.46484375" bestFit="1" customWidth="1"/>
    <col min="40" max="40" width="11.1328125" bestFit="1" customWidth="1"/>
    <col min="41" max="41" width="5" bestFit="1" customWidth="1"/>
    <col min="42" max="45" width="4.46484375" bestFit="1" customWidth="1"/>
    <col min="46" max="46" width="5.46484375" bestFit="1" customWidth="1"/>
    <col min="47" max="48" width="4.46484375" bestFit="1" customWidth="1"/>
    <col min="49" max="55" width="5.46484375" bestFit="1" customWidth="1"/>
    <col min="56" max="56" width="4.46484375" bestFit="1" customWidth="1"/>
  </cols>
  <sheetData>
    <row r="2" spans="1:56" x14ac:dyDescent="0.45">
      <c r="F2" t="s">
        <v>337</v>
      </c>
      <c r="W2" t="s">
        <v>354</v>
      </c>
      <c r="AN2" t="s">
        <v>355</v>
      </c>
    </row>
    <row r="3" spans="1:56" x14ac:dyDescent="0.45">
      <c r="D3" s="8" t="s">
        <v>36</v>
      </c>
      <c r="E3" s="8" t="s">
        <v>37</v>
      </c>
      <c r="F3" s="8" t="s">
        <v>38</v>
      </c>
      <c r="G3" s="38" t="s">
        <v>9</v>
      </c>
      <c r="H3" s="38" t="s">
        <v>15</v>
      </c>
      <c r="I3" s="38" t="s">
        <v>8</v>
      </c>
      <c r="J3" s="38" t="s">
        <v>14</v>
      </c>
      <c r="K3" s="38" t="s">
        <v>6</v>
      </c>
      <c r="L3" s="38" t="s">
        <v>4</v>
      </c>
      <c r="M3" s="38" t="s">
        <v>13</v>
      </c>
      <c r="N3" s="38" t="s">
        <v>7</v>
      </c>
      <c r="O3" s="38" t="s">
        <v>2</v>
      </c>
      <c r="P3" s="38" t="s">
        <v>11</v>
      </c>
      <c r="Q3" s="38" t="s">
        <v>0</v>
      </c>
      <c r="R3" s="38" t="s">
        <v>12</v>
      </c>
      <c r="S3" s="38" t="s">
        <v>3</v>
      </c>
      <c r="T3" s="38" t="s">
        <v>5</v>
      </c>
      <c r="U3" s="38" t="s">
        <v>1</v>
      </c>
      <c r="W3" t="s">
        <v>36</v>
      </c>
      <c r="X3" s="38" t="str">
        <f>G3</f>
        <v>AFR</v>
      </c>
      <c r="Y3" s="38" t="str">
        <f t="shared" ref="Y3:AL3" si="0">H3</f>
        <v>AUS</v>
      </c>
      <c r="Z3" s="38" t="str">
        <f t="shared" si="0"/>
        <v>CAN</v>
      </c>
      <c r="AA3" s="38" t="str">
        <f t="shared" si="0"/>
        <v>CHI</v>
      </c>
      <c r="AB3" s="38" t="str">
        <f t="shared" si="0"/>
        <v>CSA</v>
      </c>
      <c r="AC3" s="38" t="str">
        <f t="shared" si="0"/>
        <v>EEU</v>
      </c>
      <c r="AD3" s="38" t="str">
        <f t="shared" si="0"/>
        <v>FSU</v>
      </c>
      <c r="AE3" s="38" t="str">
        <f t="shared" si="0"/>
        <v>IND</v>
      </c>
      <c r="AF3" s="38" t="str">
        <f t="shared" si="0"/>
        <v>JPN</v>
      </c>
      <c r="AG3" s="38" t="str">
        <f t="shared" si="0"/>
        <v>MEA</v>
      </c>
      <c r="AH3" s="38" t="str">
        <f t="shared" si="0"/>
        <v>MEX</v>
      </c>
      <c r="AI3" s="38" t="str">
        <f t="shared" si="0"/>
        <v>ODA</v>
      </c>
      <c r="AJ3" s="38" t="str">
        <f t="shared" si="0"/>
        <v>SKO</v>
      </c>
      <c r="AK3" s="38" t="str">
        <f t="shared" si="0"/>
        <v>USA</v>
      </c>
      <c r="AL3" s="38" t="str">
        <f t="shared" si="0"/>
        <v>WEU</v>
      </c>
      <c r="AN3" t="s">
        <v>36</v>
      </c>
      <c r="AO3">
        <v>2018</v>
      </c>
      <c r="AP3" s="38" t="str">
        <f>X3</f>
        <v>AFR</v>
      </c>
      <c r="AQ3" s="38" t="str">
        <f t="shared" ref="AQ3:BD3" si="1">Y3</f>
        <v>AUS</v>
      </c>
      <c r="AR3" s="38" t="str">
        <f t="shared" si="1"/>
        <v>CAN</v>
      </c>
      <c r="AS3" s="38" t="str">
        <f t="shared" si="1"/>
        <v>CHI</v>
      </c>
      <c r="AT3" s="38" t="str">
        <f t="shared" si="1"/>
        <v>CSA</v>
      </c>
      <c r="AU3" s="38" t="str">
        <f t="shared" si="1"/>
        <v>EEU</v>
      </c>
      <c r="AV3" s="38" t="str">
        <f t="shared" si="1"/>
        <v>FSU</v>
      </c>
      <c r="AW3" s="38" t="str">
        <f t="shared" si="1"/>
        <v>IND</v>
      </c>
      <c r="AX3" s="38" t="str">
        <f t="shared" si="1"/>
        <v>JPN</v>
      </c>
      <c r="AY3" s="38" t="str">
        <f t="shared" si="1"/>
        <v>MEA</v>
      </c>
      <c r="AZ3" s="38" t="str">
        <f t="shared" si="1"/>
        <v>MEX</v>
      </c>
      <c r="BA3" s="38" t="str">
        <f t="shared" si="1"/>
        <v>ODA</v>
      </c>
      <c r="BB3" s="38" t="str">
        <f t="shared" si="1"/>
        <v>SKO</v>
      </c>
      <c r="BC3" s="38" t="str">
        <f t="shared" si="1"/>
        <v>USA</v>
      </c>
      <c r="BD3" s="38" t="str">
        <f t="shared" si="1"/>
        <v>WEU</v>
      </c>
    </row>
    <row r="4" spans="1:56" x14ac:dyDescent="0.45">
      <c r="A4" s="37" t="str">
        <f>'RES Assumptions'!B87</f>
        <v>RC</v>
      </c>
      <c r="B4" s="37" t="s">
        <v>100</v>
      </c>
      <c r="D4" s="51" t="s">
        <v>285</v>
      </c>
      <c r="E4" s="8" t="str">
        <f>'RES Assumptions'!A87</f>
        <v>RESELC</v>
      </c>
      <c r="F4" s="8" t="str">
        <f>VLOOKUP(A4,'RES Assumptions'!$AN$87:$AO$97,2,FALSE)</f>
        <v>RSC</v>
      </c>
      <c r="G4" s="9">
        <v>2.9</v>
      </c>
      <c r="H4" s="9">
        <f>$G4</f>
        <v>2.9</v>
      </c>
      <c r="I4" s="9">
        <f t="shared" ref="I4:U19" si="2">$G4</f>
        <v>2.9</v>
      </c>
      <c r="J4" s="9">
        <f t="shared" si="2"/>
        <v>2.9</v>
      </c>
      <c r="K4" s="9">
        <f t="shared" si="2"/>
        <v>2.9</v>
      </c>
      <c r="L4" s="9">
        <f t="shared" si="2"/>
        <v>2.9</v>
      </c>
      <c r="M4" s="9">
        <f t="shared" si="2"/>
        <v>2.9</v>
      </c>
      <c r="N4" s="9">
        <f t="shared" si="2"/>
        <v>2.9</v>
      </c>
      <c r="O4" s="9">
        <f t="shared" si="2"/>
        <v>2.9</v>
      </c>
      <c r="P4" s="9">
        <f t="shared" si="2"/>
        <v>2.9</v>
      </c>
      <c r="Q4" s="9">
        <f t="shared" si="2"/>
        <v>2.9</v>
      </c>
      <c r="R4" s="9">
        <f t="shared" si="2"/>
        <v>2.9</v>
      </c>
      <c r="S4" s="9">
        <f t="shared" si="2"/>
        <v>2.9</v>
      </c>
      <c r="T4" s="9">
        <f t="shared" si="2"/>
        <v>2.9</v>
      </c>
      <c r="U4" s="9">
        <f t="shared" si="2"/>
        <v>2.9</v>
      </c>
      <c r="W4" s="8" t="str">
        <f>$D4</f>
        <v>RSCCAE000</v>
      </c>
      <c r="X4" s="9">
        <v>0.16</v>
      </c>
      <c r="Y4" s="9">
        <v>0.05</v>
      </c>
      <c r="Z4" s="9">
        <v>0.05</v>
      </c>
      <c r="AA4" s="9">
        <v>0.13</v>
      </c>
      <c r="AB4" s="9">
        <v>0.13</v>
      </c>
      <c r="AC4" s="9">
        <v>0.1</v>
      </c>
      <c r="AD4" s="9">
        <v>0.1</v>
      </c>
      <c r="AE4" s="9">
        <v>0.13</v>
      </c>
      <c r="AF4" s="9">
        <v>0.13</v>
      </c>
      <c r="AG4" s="9">
        <v>0.13</v>
      </c>
      <c r="AH4" s="39">
        <v>0.13</v>
      </c>
      <c r="AI4" s="9">
        <v>0.15</v>
      </c>
      <c r="AJ4" s="9">
        <v>0.13</v>
      </c>
      <c r="AK4" s="9">
        <v>0.13</v>
      </c>
      <c r="AL4" s="9">
        <v>0.13</v>
      </c>
      <c r="AN4" s="8" t="str">
        <f>$D4</f>
        <v>RSCCAE000</v>
      </c>
      <c r="AO4" s="9">
        <f>MIN(AP4:BD4)</f>
        <v>2</v>
      </c>
      <c r="AP4" s="9"/>
      <c r="AQ4" s="9"/>
      <c r="AR4" s="9"/>
      <c r="AS4" s="9">
        <v>7.2</v>
      </c>
      <c r="AT4" s="9">
        <v>8.4</v>
      </c>
      <c r="AU4" s="9"/>
      <c r="AV4" s="9"/>
      <c r="AW4" s="9">
        <v>7.2</v>
      </c>
      <c r="AX4" s="9">
        <v>12</v>
      </c>
      <c r="AY4" s="9">
        <v>8.4</v>
      </c>
      <c r="AZ4" s="9"/>
      <c r="BA4" s="9">
        <v>7.2</v>
      </c>
      <c r="BB4" s="9">
        <v>9.6</v>
      </c>
      <c r="BC4" s="9">
        <v>2</v>
      </c>
      <c r="BD4" s="9"/>
    </row>
    <row r="5" spans="1:56" x14ac:dyDescent="0.45">
      <c r="A5" s="37" t="str">
        <f>'RES Assumptions'!B88</f>
        <v>RC</v>
      </c>
      <c r="B5" s="37" t="s">
        <v>102</v>
      </c>
      <c r="D5" s="51" t="s">
        <v>286</v>
      </c>
      <c r="E5" s="8" t="str">
        <f>'RES Assumptions'!A88</f>
        <v>RESELC</v>
      </c>
      <c r="F5" s="8" t="str">
        <f>VLOOKUP(A5,'RES Assumptions'!$AN$87:$AO$97,2,FALSE)</f>
        <v>RSC</v>
      </c>
      <c r="G5" s="9">
        <v>3.1</v>
      </c>
      <c r="H5" s="9">
        <f t="shared" ref="H5:U20" si="3">$G5</f>
        <v>3.1</v>
      </c>
      <c r="I5" s="9">
        <f t="shared" si="2"/>
        <v>3.1</v>
      </c>
      <c r="J5" s="9">
        <f t="shared" si="2"/>
        <v>3.1</v>
      </c>
      <c r="K5" s="9">
        <f t="shared" si="2"/>
        <v>3.1</v>
      </c>
      <c r="L5" s="9">
        <f t="shared" si="2"/>
        <v>3.1</v>
      </c>
      <c r="M5" s="9">
        <f t="shared" si="2"/>
        <v>3.1</v>
      </c>
      <c r="N5" s="9">
        <f t="shared" si="2"/>
        <v>3.1</v>
      </c>
      <c r="O5" s="9">
        <f t="shared" si="2"/>
        <v>3.1</v>
      </c>
      <c r="P5" s="9">
        <f t="shared" si="2"/>
        <v>3.1</v>
      </c>
      <c r="Q5" s="9">
        <f t="shared" si="2"/>
        <v>3.1</v>
      </c>
      <c r="R5" s="9">
        <f t="shared" si="2"/>
        <v>3.1</v>
      </c>
      <c r="S5" s="9">
        <f t="shared" si="2"/>
        <v>3.1</v>
      </c>
      <c r="T5" s="9">
        <f t="shared" si="2"/>
        <v>3.1</v>
      </c>
      <c r="U5" s="9">
        <f t="shared" si="2"/>
        <v>3.1</v>
      </c>
      <c r="W5" s="8" t="str">
        <f t="shared" ref="W5:W61" si="4">$D5</f>
        <v>RSCEHP000</v>
      </c>
      <c r="X5" s="9">
        <v>0.16</v>
      </c>
      <c r="Y5" s="9">
        <v>0.05</v>
      </c>
      <c r="Z5" s="9">
        <v>0.05</v>
      </c>
      <c r="AA5" s="9">
        <v>0.13</v>
      </c>
      <c r="AB5" s="9">
        <v>0.13</v>
      </c>
      <c r="AC5" s="9">
        <v>0.1</v>
      </c>
      <c r="AD5" s="9">
        <v>0.1</v>
      </c>
      <c r="AE5" s="9">
        <v>0.13</v>
      </c>
      <c r="AF5" s="9">
        <v>0.13</v>
      </c>
      <c r="AG5" s="9">
        <v>0.13</v>
      </c>
      <c r="AH5" s="39">
        <v>0.13</v>
      </c>
      <c r="AI5" s="9">
        <v>0.15</v>
      </c>
      <c r="AJ5" s="9">
        <v>0.13</v>
      </c>
      <c r="AK5" s="9">
        <v>0.13</v>
      </c>
      <c r="AL5" s="9">
        <v>0.13</v>
      </c>
      <c r="AN5" s="8" t="str">
        <f t="shared" ref="AN5:AN61" si="5">$D5</f>
        <v>RSCEHP000</v>
      </c>
      <c r="AO5" s="9">
        <f t="shared" ref="AO5:AO61" si="6">MIN(AP5:BD5)</f>
        <v>2</v>
      </c>
      <c r="AP5" s="9"/>
      <c r="AQ5" s="9"/>
      <c r="AR5" s="9"/>
      <c r="AS5" s="9">
        <v>8.4</v>
      </c>
      <c r="AT5" s="9">
        <v>9.8000000000000007</v>
      </c>
      <c r="AU5" s="9"/>
      <c r="AV5" s="9"/>
      <c r="AW5" s="9">
        <v>8.4</v>
      </c>
      <c r="AX5" s="9">
        <v>14</v>
      </c>
      <c r="AY5" s="9">
        <v>9.8000000000000007</v>
      </c>
      <c r="AZ5" s="9"/>
      <c r="BA5" s="9">
        <v>8.4</v>
      </c>
      <c r="BB5" s="9">
        <v>11.2</v>
      </c>
      <c r="BC5" s="9">
        <v>2</v>
      </c>
      <c r="BD5" s="9"/>
    </row>
    <row r="6" spans="1:56" x14ac:dyDescent="0.45">
      <c r="A6" s="37" t="str">
        <f>'RES Assumptions'!B89</f>
        <v>RC</v>
      </c>
      <c r="B6" s="37" t="s">
        <v>121</v>
      </c>
      <c r="D6" s="51" t="s">
        <v>287</v>
      </c>
      <c r="E6" s="8" t="str">
        <f>'RES Assumptions'!A89</f>
        <v>RESGEO</v>
      </c>
      <c r="F6" s="8" t="str">
        <f>VLOOKUP(A6,'RES Assumptions'!$AN$87:$AO$97,2,FALSE)</f>
        <v>RSC</v>
      </c>
      <c r="G6" s="9">
        <v>0.9</v>
      </c>
      <c r="H6" s="9">
        <f t="shared" si="3"/>
        <v>0.9</v>
      </c>
      <c r="I6" s="9">
        <f t="shared" si="2"/>
        <v>0.9</v>
      </c>
      <c r="J6" s="9">
        <f t="shared" si="2"/>
        <v>0.9</v>
      </c>
      <c r="K6" s="9">
        <f t="shared" si="2"/>
        <v>0.9</v>
      </c>
      <c r="L6" s="9">
        <f t="shared" si="2"/>
        <v>0.9</v>
      </c>
      <c r="M6" s="9">
        <f t="shared" si="2"/>
        <v>0.9</v>
      </c>
      <c r="N6" s="9">
        <f t="shared" si="2"/>
        <v>0.9</v>
      </c>
      <c r="O6" s="9">
        <f t="shared" si="2"/>
        <v>0.9</v>
      </c>
      <c r="P6" s="9">
        <f t="shared" si="2"/>
        <v>0.9</v>
      </c>
      <c r="Q6" s="9">
        <f t="shared" si="2"/>
        <v>0.9</v>
      </c>
      <c r="R6" s="9">
        <f t="shared" si="2"/>
        <v>0.9</v>
      </c>
      <c r="S6" s="9">
        <f t="shared" si="2"/>
        <v>0.9</v>
      </c>
      <c r="T6" s="9">
        <f t="shared" si="2"/>
        <v>0.9</v>
      </c>
      <c r="U6" s="9">
        <f t="shared" si="2"/>
        <v>0.9</v>
      </c>
      <c r="W6" s="8" t="str">
        <f t="shared" si="4"/>
        <v>RSCGEO000</v>
      </c>
      <c r="X6" s="9">
        <v>0.16</v>
      </c>
      <c r="Y6" s="9">
        <v>0.05</v>
      </c>
      <c r="Z6" s="9">
        <v>0.05</v>
      </c>
      <c r="AA6" s="9">
        <v>0.13</v>
      </c>
      <c r="AB6" s="9">
        <v>0.13</v>
      </c>
      <c r="AC6" s="9">
        <v>0.1</v>
      </c>
      <c r="AD6" s="9">
        <v>0.1</v>
      </c>
      <c r="AE6" s="9">
        <v>0.13</v>
      </c>
      <c r="AF6" s="9">
        <v>0.13</v>
      </c>
      <c r="AG6" s="9">
        <v>0.13</v>
      </c>
      <c r="AH6" s="39">
        <v>0.13</v>
      </c>
      <c r="AI6" s="9">
        <v>0.15</v>
      </c>
      <c r="AJ6" s="9">
        <v>0.13</v>
      </c>
      <c r="AK6" s="9">
        <v>0.13</v>
      </c>
      <c r="AL6" s="9">
        <v>0.13</v>
      </c>
      <c r="AN6" s="8" t="str">
        <f t="shared" si="5"/>
        <v>RSCGEO000</v>
      </c>
      <c r="AO6" s="9">
        <f t="shared" si="6"/>
        <v>2</v>
      </c>
      <c r="AP6" s="9"/>
      <c r="AQ6" s="9"/>
      <c r="AR6" s="9"/>
      <c r="AS6" s="9">
        <v>7.2</v>
      </c>
      <c r="AT6" s="9">
        <v>8.4</v>
      </c>
      <c r="AU6" s="9"/>
      <c r="AV6" s="9"/>
      <c r="AW6" s="9">
        <v>7.2</v>
      </c>
      <c r="AX6" s="9">
        <v>12</v>
      </c>
      <c r="AY6" s="9">
        <v>8.4</v>
      </c>
      <c r="AZ6" s="9"/>
      <c r="BA6" s="9">
        <v>7.2</v>
      </c>
      <c r="BB6" s="9">
        <v>9.6</v>
      </c>
      <c r="BC6" s="9">
        <v>2</v>
      </c>
      <c r="BD6" s="9"/>
    </row>
    <row r="7" spans="1:56" x14ac:dyDescent="0.45">
      <c r="A7" s="37" t="str">
        <f>'RES Assumptions'!B90</f>
        <v>RC</v>
      </c>
      <c r="B7" s="37" t="s">
        <v>122</v>
      </c>
      <c r="D7" s="51" t="s">
        <v>288</v>
      </c>
      <c r="E7" s="8" t="str">
        <f>'RES Assumptions'!A90</f>
        <v>RESNGA</v>
      </c>
      <c r="F7" s="8" t="str">
        <f>VLOOKUP(A7,'RES Assumptions'!$AN$87:$AO$97,2,FALSE)</f>
        <v>RSC</v>
      </c>
      <c r="G7" s="9">
        <v>1</v>
      </c>
      <c r="H7" s="9">
        <f t="shared" si="3"/>
        <v>1</v>
      </c>
      <c r="I7" s="9">
        <f t="shared" si="2"/>
        <v>1</v>
      </c>
      <c r="J7" s="9">
        <f t="shared" si="2"/>
        <v>1</v>
      </c>
      <c r="K7" s="9">
        <f t="shared" si="2"/>
        <v>1</v>
      </c>
      <c r="L7" s="9">
        <f t="shared" si="2"/>
        <v>1</v>
      </c>
      <c r="M7" s="9">
        <f t="shared" si="2"/>
        <v>1</v>
      </c>
      <c r="N7" s="9">
        <f t="shared" si="2"/>
        <v>1</v>
      </c>
      <c r="O7" s="9">
        <f t="shared" si="2"/>
        <v>1</v>
      </c>
      <c r="P7" s="9">
        <f t="shared" si="2"/>
        <v>1</v>
      </c>
      <c r="Q7" s="9">
        <f t="shared" si="2"/>
        <v>1</v>
      </c>
      <c r="R7" s="9">
        <f t="shared" si="2"/>
        <v>1</v>
      </c>
      <c r="S7" s="9">
        <f t="shared" si="2"/>
        <v>1</v>
      </c>
      <c r="T7" s="9">
        <f t="shared" si="2"/>
        <v>1</v>
      </c>
      <c r="U7" s="9">
        <f t="shared" si="2"/>
        <v>1</v>
      </c>
      <c r="W7" s="8" t="str">
        <f t="shared" si="4"/>
        <v>RSCNHP000</v>
      </c>
      <c r="X7" s="9">
        <v>0.16</v>
      </c>
      <c r="Y7" s="9">
        <v>0.05</v>
      </c>
      <c r="Z7" s="9">
        <v>0.05</v>
      </c>
      <c r="AA7" s="9">
        <v>0.13</v>
      </c>
      <c r="AB7" s="9">
        <v>0.13</v>
      </c>
      <c r="AC7" s="9">
        <v>0.1</v>
      </c>
      <c r="AD7" s="9">
        <v>0.1</v>
      </c>
      <c r="AE7" s="9">
        <v>0.13</v>
      </c>
      <c r="AF7" s="9">
        <v>0.13</v>
      </c>
      <c r="AG7" s="9">
        <v>0.13</v>
      </c>
      <c r="AH7" s="39">
        <v>0.13</v>
      </c>
      <c r="AI7" s="9">
        <v>0.15</v>
      </c>
      <c r="AJ7" s="9">
        <v>0.13</v>
      </c>
      <c r="AK7" s="9">
        <v>0.13</v>
      </c>
      <c r="AL7" s="9">
        <v>0.13</v>
      </c>
      <c r="AN7" s="8" t="str">
        <f t="shared" si="5"/>
        <v>RSCNHP000</v>
      </c>
      <c r="AO7" s="9">
        <f t="shared" si="6"/>
        <v>2</v>
      </c>
      <c r="AP7" s="9"/>
      <c r="AQ7" s="9"/>
      <c r="AR7" s="9"/>
      <c r="AS7" s="9">
        <v>7.2</v>
      </c>
      <c r="AT7" s="9">
        <v>8.4</v>
      </c>
      <c r="AU7" s="9"/>
      <c r="AV7" s="9"/>
      <c r="AW7" s="9">
        <v>7.2</v>
      </c>
      <c r="AX7" s="9">
        <v>12</v>
      </c>
      <c r="AY7" s="9">
        <v>8.4</v>
      </c>
      <c r="AZ7" s="9"/>
      <c r="BA7" s="9">
        <v>7.2</v>
      </c>
      <c r="BB7" s="9">
        <v>9.6</v>
      </c>
      <c r="BC7" s="9">
        <v>2</v>
      </c>
      <c r="BD7" s="9"/>
    </row>
    <row r="8" spans="1:56" x14ac:dyDescent="0.45">
      <c r="A8" s="37" t="str">
        <f>'RES Assumptions'!B91</f>
        <v>RC</v>
      </c>
      <c r="B8" s="37" t="s">
        <v>104</v>
      </c>
      <c r="D8" s="51" t="s">
        <v>289</v>
      </c>
      <c r="E8" s="8" t="str">
        <f>'RES Assumptions'!A91</f>
        <v>RESELC</v>
      </c>
      <c r="F8" s="8" t="str">
        <f>VLOOKUP(A8,'RES Assumptions'!$AN$87:$AO$97,2,FALSE)</f>
        <v>RSC</v>
      </c>
      <c r="G8" s="9">
        <v>3</v>
      </c>
      <c r="H8" s="9">
        <f t="shared" si="3"/>
        <v>3</v>
      </c>
      <c r="I8" s="9">
        <f t="shared" si="2"/>
        <v>3</v>
      </c>
      <c r="J8" s="9">
        <f t="shared" si="2"/>
        <v>3</v>
      </c>
      <c r="K8" s="9">
        <f t="shared" si="2"/>
        <v>3</v>
      </c>
      <c r="L8" s="9">
        <f t="shared" si="2"/>
        <v>3</v>
      </c>
      <c r="M8" s="9">
        <f t="shared" si="2"/>
        <v>3</v>
      </c>
      <c r="N8" s="9">
        <f t="shared" si="2"/>
        <v>3</v>
      </c>
      <c r="O8" s="9">
        <f t="shared" si="2"/>
        <v>3</v>
      </c>
      <c r="P8" s="9">
        <f t="shared" si="2"/>
        <v>3</v>
      </c>
      <c r="Q8" s="9">
        <f t="shared" si="2"/>
        <v>3</v>
      </c>
      <c r="R8" s="9">
        <f t="shared" si="2"/>
        <v>3</v>
      </c>
      <c r="S8" s="9">
        <f t="shared" si="2"/>
        <v>3</v>
      </c>
      <c r="T8" s="9">
        <f t="shared" si="2"/>
        <v>3</v>
      </c>
      <c r="U8" s="9">
        <f t="shared" si="2"/>
        <v>3</v>
      </c>
      <c r="W8" s="8" t="str">
        <f t="shared" si="4"/>
        <v>RSCRAE000</v>
      </c>
      <c r="X8" s="9">
        <v>0.16</v>
      </c>
      <c r="Y8" s="9">
        <v>0.05</v>
      </c>
      <c r="Z8" s="9">
        <v>0.05</v>
      </c>
      <c r="AA8" s="9">
        <v>0.13</v>
      </c>
      <c r="AB8" s="9">
        <v>0.13</v>
      </c>
      <c r="AC8" s="9">
        <v>0.1</v>
      </c>
      <c r="AD8" s="9">
        <v>0.1</v>
      </c>
      <c r="AE8" s="9">
        <v>0.13</v>
      </c>
      <c r="AF8" s="9">
        <v>0.13</v>
      </c>
      <c r="AG8" s="9">
        <v>0.13</v>
      </c>
      <c r="AH8" s="39">
        <v>0.13</v>
      </c>
      <c r="AI8" s="9">
        <v>0.15</v>
      </c>
      <c r="AJ8" s="9">
        <v>0.13</v>
      </c>
      <c r="AK8" s="9">
        <v>0.13</v>
      </c>
      <c r="AL8" s="9">
        <v>0.13</v>
      </c>
      <c r="AN8" s="8" t="str">
        <f t="shared" si="5"/>
        <v>RSCRAE000</v>
      </c>
      <c r="AO8" s="9">
        <f t="shared" si="6"/>
        <v>2</v>
      </c>
      <c r="AP8" s="9"/>
      <c r="AQ8" s="9"/>
      <c r="AR8" s="9"/>
      <c r="AS8" s="9">
        <v>8.4</v>
      </c>
      <c r="AT8" s="9">
        <v>9.8000000000000007</v>
      </c>
      <c r="AU8" s="9"/>
      <c r="AV8" s="9"/>
      <c r="AW8" s="9">
        <v>8.4</v>
      </c>
      <c r="AX8" s="9">
        <v>14</v>
      </c>
      <c r="AY8" s="9">
        <v>9.8000000000000007</v>
      </c>
      <c r="AZ8" s="9"/>
      <c r="BA8" s="9">
        <v>8.4</v>
      </c>
      <c r="BB8" s="9">
        <v>11.2</v>
      </c>
      <c r="BC8" s="9">
        <v>2</v>
      </c>
      <c r="BD8" s="9"/>
    </row>
    <row r="9" spans="1:56" x14ac:dyDescent="0.45">
      <c r="A9" s="37" t="str">
        <f>'RES Assumptions'!B92</f>
        <v>RCD</v>
      </c>
      <c r="B9" s="37" t="s">
        <v>123</v>
      </c>
      <c r="D9" s="51" t="s">
        <v>123</v>
      </c>
      <c r="E9" s="8" t="str">
        <f>'RES Assumptions'!A92</f>
        <v>RESELC</v>
      </c>
      <c r="F9" s="8" t="str">
        <f>VLOOKUP(A9,'RES Assumptions'!$AN$87:$AO$97,2,FALSE)</f>
        <v>RCD</v>
      </c>
      <c r="G9" s="9">
        <v>1</v>
      </c>
      <c r="H9" s="9">
        <f t="shared" si="3"/>
        <v>1</v>
      </c>
      <c r="I9" s="9">
        <f t="shared" si="2"/>
        <v>1</v>
      </c>
      <c r="J9" s="9">
        <f t="shared" si="2"/>
        <v>1</v>
      </c>
      <c r="K9" s="9">
        <f t="shared" si="2"/>
        <v>1</v>
      </c>
      <c r="L9" s="9">
        <f t="shared" si="2"/>
        <v>1</v>
      </c>
      <c r="M9" s="9">
        <f t="shared" si="2"/>
        <v>1</v>
      </c>
      <c r="N9" s="9">
        <f t="shared" si="2"/>
        <v>1</v>
      </c>
      <c r="O9" s="9">
        <f t="shared" si="2"/>
        <v>1</v>
      </c>
      <c r="P9" s="9">
        <f t="shared" si="2"/>
        <v>1</v>
      </c>
      <c r="Q9" s="9">
        <f t="shared" si="2"/>
        <v>1</v>
      </c>
      <c r="R9" s="9">
        <f t="shared" si="2"/>
        <v>1</v>
      </c>
      <c r="S9" s="9">
        <f t="shared" si="2"/>
        <v>1</v>
      </c>
      <c r="T9" s="9">
        <f t="shared" si="2"/>
        <v>1</v>
      </c>
      <c r="U9" s="9">
        <f t="shared" si="2"/>
        <v>1</v>
      </c>
      <c r="W9" s="8" t="str">
        <f t="shared" si="4"/>
        <v>RCDELC000</v>
      </c>
      <c r="X9" s="9">
        <v>1</v>
      </c>
      <c r="Y9" s="9">
        <v>1</v>
      </c>
      <c r="Z9" s="9">
        <v>1</v>
      </c>
      <c r="AA9" s="39">
        <v>1</v>
      </c>
      <c r="AB9" s="9">
        <v>1</v>
      </c>
      <c r="AC9" s="9">
        <v>1</v>
      </c>
      <c r="AD9" s="9">
        <v>1</v>
      </c>
      <c r="AE9" s="9">
        <v>1</v>
      </c>
      <c r="AF9" s="9">
        <v>1</v>
      </c>
      <c r="AG9" s="9">
        <v>1</v>
      </c>
      <c r="AH9" s="9">
        <v>1</v>
      </c>
      <c r="AI9" s="9">
        <v>1</v>
      </c>
      <c r="AJ9" s="9">
        <v>1</v>
      </c>
      <c r="AK9" s="9">
        <v>1</v>
      </c>
      <c r="AL9" s="9">
        <v>1</v>
      </c>
      <c r="AN9" s="8" t="str">
        <f t="shared" si="5"/>
        <v>RCDELC000</v>
      </c>
      <c r="AO9" s="9">
        <f t="shared" si="6"/>
        <v>8.4</v>
      </c>
      <c r="AP9" s="9"/>
      <c r="AQ9" s="9"/>
      <c r="AR9" s="9"/>
      <c r="AS9" s="9"/>
      <c r="AT9" s="9">
        <v>9.8000000000000007</v>
      </c>
      <c r="AU9" s="9"/>
      <c r="AV9" s="9"/>
      <c r="AW9" s="9">
        <v>8.4</v>
      </c>
      <c r="AX9" s="9">
        <v>14</v>
      </c>
      <c r="AY9" s="9">
        <v>9.8000000000000007</v>
      </c>
      <c r="AZ9" s="9">
        <v>11.2</v>
      </c>
      <c r="BA9" s="9">
        <v>8.4</v>
      </c>
      <c r="BB9" s="9">
        <v>11.2</v>
      </c>
      <c r="BC9" s="9">
        <v>14</v>
      </c>
      <c r="BD9" s="9"/>
    </row>
    <row r="10" spans="1:56" x14ac:dyDescent="0.45">
      <c r="A10" s="37" t="str">
        <f>'RES Assumptions'!B93</f>
        <v>RCD</v>
      </c>
      <c r="B10" s="37" t="s">
        <v>124</v>
      </c>
      <c r="D10" s="51" t="s">
        <v>124</v>
      </c>
      <c r="E10" s="8" t="str">
        <f>'RES Assumptions'!A93</f>
        <v>RESNGA</v>
      </c>
      <c r="F10" s="8" t="str">
        <f>VLOOKUP(A10,'RES Assumptions'!$AN$87:$AO$97,2,FALSE)</f>
        <v>RCD</v>
      </c>
      <c r="G10" s="9">
        <v>1</v>
      </c>
      <c r="H10" s="9">
        <f t="shared" si="3"/>
        <v>1</v>
      </c>
      <c r="I10" s="9">
        <f t="shared" si="2"/>
        <v>1</v>
      </c>
      <c r="J10" s="9">
        <f t="shared" si="2"/>
        <v>1</v>
      </c>
      <c r="K10" s="9">
        <f t="shared" si="2"/>
        <v>1</v>
      </c>
      <c r="L10" s="9">
        <f t="shared" si="2"/>
        <v>1</v>
      </c>
      <c r="M10" s="9">
        <f t="shared" si="2"/>
        <v>1</v>
      </c>
      <c r="N10" s="9">
        <f t="shared" si="2"/>
        <v>1</v>
      </c>
      <c r="O10" s="9">
        <f t="shared" si="2"/>
        <v>1</v>
      </c>
      <c r="P10" s="9">
        <f t="shared" si="2"/>
        <v>1</v>
      </c>
      <c r="Q10" s="9">
        <f t="shared" si="2"/>
        <v>1</v>
      </c>
      <c r="R10" s="9">
        <f t="shared" si="2"/>
        <v>1</v>
      </c>
      <c r="S10" s="9">
        <f t="shared" si="2"/>
        <v>1</v>
      </c>
      <c r="T10" s="9">
        <f t="shared" si="2"/>
        <v>1</v>
      </c>
      <c r="U10" s="9">
        <f t="shared" si="2"/>
        <v>1</v>
      </c>
      <c r="W10" s="8" t="str">
        <f t="shared" si="4"/>
        <v>RCDNGA000</v>
      </c>
      <c r="X10" s="9">
        <v>1</v>
      </c>
      <c r="Y10" s="9">
        <v>1</v>
      </c>
      <c r="Z10" s="9">
        <v>1</v>
      </c>
      <c r="AA10" s="39">
        <v>1</v>
      </c>
      <c r="AB10" s="9">
        <v>1</v>
      </c>
      <c r="AC10" s="9">
        <v>1</v>
      </c>
      <c r="AD10" s="9">
        <v>1</v>
      </c>
      <c r="AE10" s="9">
        <v>1</v>
      </c>
      <c r="AF10" s="9">
        <v>1</v>
      </c>
      <c r="AG10" s="9">
        <v>1</v>
      </c>
      <c r="AH10" s="9">
        <v>1</v>
      </c>
      <c r="AI10" s="9">
        <v>1</v>
      </c>
      <c r="AJ10" s="9">
        <v>1</v>
      </c>
      <c r="AK10" s="9">
        <v>1</v>
      </c>
      <c r="AL10" s="9">
        <v>1</v>
      </c>
      <c r="AN10" s="8" t="str">
        <f t="shared" si="5"/>
        <v>RCDNGA000</v>
      </c>
      <c r="AO10" s="9">
        <f t="shared" si="6"/>
        <v>3.6</v>
      </c>
      <c r="AP10" s="9"/>
      <c r="AQ10" s="9"/>
      <c r="AR10" s="9"/>
      <c r="AS10" s="9"/>
      <c r="AT10" s="9">
        <v>4.2</v>
      </c>
      <c r="AU10" s="9"/>
      <c r="AV10" s="9"/>
      <c r="AW10" s="9">
        <v>3.6</v>
      </c>
      <c r="AX10" s="9">
        <v>6</v>
      </c>
      <c r="AY10" s="9">
        <v>4.2</v>
      </c>
      <c r="AZ10" s="9">
        <v>4.8</v>
      </c>
      <c r="BA10" s="9">
        <v>3.6</v>
      </c>
      <c r="BB10" s="9">
        <v>4.8</v>
      </c>
      <c r="BC10" s="9">
        <v>6</v>
      </c>
      <c r="BD10" s="9"/>
    </row>
    <row r="11" spans="1:56" x14ac:dyDescent="0.45">
      <c r="A11" s="37" t="str">
        <f>'RES Assumptions'!B94</f>
        <v>RCW</v>
      </c>
      <c r="B11" s="37" t="s">
        <v>125</v>
      </c>
      <c r="D11" s="51" t="s">
        <v>125</v>
      </c>
      <c r="E11" s="8" t="str">
        <f>'RES Assumptions'!A94</f>
        <v>RESELC</v>
      </c>
      <c r="F11" s="8" t="str">
        <f>VLOOKUP(A11,'RES Assumptions'!$AN$87:$AO$97,2,FALSE)</f>
        <v>RCW</v>
      </c>
      <c r="G11" s="9">
        <v>1</v>
      </c>
      <c r="H11" s="9">
        <f t="shared" si="3"/>
        <v>1</v>
      </c>
      <c r="I11" s="9">
        <f t="shared" si="2"/>
        <v>1</v>
      </c>
      <c r="J11" s="9">
        <f t="shared" si="2"/>
        <v>1</v>
      </c>
      <c r="K11" s="9">
        <f t="shared" si="2"/>
        <v>1</v>
      </c>
      <c r="L11" s="9">
        <f t="shared" si="2"/>
        <v>1</v>
      </c>
      <c r="M11" s="9">
        <f t="shared" si="2"/>
        <v>1</v>
      </c>
      <c r="N11" s="9">
        <f t="shared" si="2"/>
        <v>1</v>
      </c>
      <c r="O11" s="9">
        <f t="shared" si="2"/>
        <v>1</v>
      </c>
      <c r="P11" s="9">
        <f t="shared" si="2"/>
        <v>1</v>
      </c>
      <c r="Q11" s="9">
        <f t="shared" si="2"/>
        <v>1</v>
      </c>
      <c r="R11" s="9">
        <f t="shared" si="2"/>
        <v>1</v>
      </c>
      <c r="S11" s="9">
        <f t="shared" si="2"/>
        <v>1</v>
      </c>
      <c r="T11" s="9">
        <f t="shared" si="2"/>
        <v>1</v>
      </c>
      <c r="U11" s="9">
        <f t="shared" si="2"/>
        <v>1</v>
      </c>
      <c r="W11" s="8" t="str">
        <f t="shared" si="4"/>
        <v>RCWELC000</v>
      </c>
      <c r="X11" s="9">
        <v>1</v>
      </c>
      <c r="Y11" s="9">
        <v>1</v>
      </c>
      <c r="Z11" s="9">
        <v>1</v>
      </c>
      <c r="AA11" s="9">
        <v>1</v>
      </c>
      <c r="AB11" s="9">
        <v>1</v>
      </c>
      <c r="AC11" s="9">
        <v>1</v>
      </c>
      <c r="AD11" s="9">
        <v>1</v>
      </c>
      <c r="AE11" s="9">
        <v>1</v>
      </c>
      <c r="AF11" s="9">
        <v>1</v>
      </c>
      <c r="AG11" s="9">
        <v>1</v>
      </c>
      <c r="AH11" s="9">
        <v>1</v>
      </c>
      <c r="AI11" s="9">
        <v>1</v>
      </c>
      <c r="AJ11" s="9">
        <v>1</v>
      </c>
      <c r="AK11" s="9">
        <v>1</v>
      </c>
      <c r="AL11" s="9">
        <v>1</v>
      </c>
      <c r="AN11" s="8" t="str">
        <f t="shared" si="5"/>
        <v>RCWELC000</v>
      </c>
      <c r="AO11" s="9">
        <f t="shared" si="6"/>
        <v>8.1999999999999993</v>
      </c>
      <c r="AP11" s="9"/>
      <c r="AQ11" s="9"/>
      <c r="AR11" s="9"/>
      <c r="AS11" s="9">
        <v>8.4</v>
      </c>
      <c r="AT11" s="9">
        <v>9.8000000000000007</v>
      </c>
      <c r="AU11" s="9"/>
      <c r="AV11" s="9"/>
      <c r="AW11" s="9">
        <v>8.4</v>
      </c>
      <c r="AX11" s="9">
        <v>14</v>
      </c>
      <c r="AY11" s="9">
        <v>9.8000000000000007</v>
      </c>
      <c r="AZ11" s="9">
        <v>11.2</v>
      </c>
      <c r="BA11" s="9">
        <v>8.4</v>
      </c>
      <c r="BB11" s="9">
        <v>11.2</v>
      </c>
      <c r="BC11" s="9">
        <v>8.1999999999999993</v>
      </c>
      <c r="BD11" s="9"/>
    </row>
    <row r="12" spans="1:56" x14ac:dyDescent="0.45">
      <c r="A12" s="37" t="str">
        <f>'RES Assumptions'!B95</f>
        <v>RDW</v>
      </c>
      <c r="B12" s="37" t="s">
        <v>126</v>
      </c>
      <c r="D12" s="51" t="s">
        <v>126</v>
      </c>
      <c r="E12" s="8" t="str">
        <f>'RES Assumptions'!A95</f>
        <v>RESELC</v>
      </c>
      <c r="F12" s="8" t="str">
        <f>VLOOKUP(A12,'RES Assumptions'!$AN$87:$AO$97,2,FALSE)</f>
        <v>RDW</v>
      </c>
      <c r="G12" s="9">
        <v>1</v>
      </c>
      <c r="H12" s="9">
        <f t="shared" si="3"/>
        <v>1</v>
      </c>
      <c r="I12" s="9">
        <f t="shared" si="2"/>
        <v>1</v>
      </c>
      <c r="J12" s="9">
        <f t="shared" si="2"/>
        <v>1</v>
      </c>
      <c r="K12" s="9">
        <f t="shared" si="2"/>
        <v>1</v>
      </c>
      <c r="L12" s="9">
        <f t="shared" si="2"/>
        <v>1</v>
      </c>
      <c r="M12" s="9">
        <f t="shared" si="2"/>
        <v>1</v>
      </c>
      <c r="N12" s="9">
        <f t="shared" si="2"/>
        <v>1</v>
      </c>
      <c r="O12" s="9">
        <f t="shared" si="2"/>
        <v>1</v>
      </c>
      <c r="P12" s="9">
        <f t="shared" si="2"/>
        <v>1</v>
      </c>
      <c r="Q12" s="9">
        <f t="shared" si="2"/>
        <v>1</v>
      </c>
      <c r="R12" s="9">
        <f t="shared" si="2"/>
        <v>1</v>
      </c>
      <c r="S12" s="9">
        <f t="shared" si="2"/>
        <v>1</v>
      </c>
      <c r="T12" s="9">
        <f t="shared" si="2"/>
        <v>1</v>
      </c>
      <c r="U12" s="9">
        <f t="shared" si="2"/>
        <v>1</v>
      </c>
      <c r="W12" s="8" t="str">
        <f t="shared" si="4"/>
        <v>RDWELC000</v>
      </c>
      <c r="X12" s="9">
        <v>1</v>
      </c>
      <c r="Y12" s="9">
        <v>1</v>
      </c>
      <c r="Z12" s="9">
        <v>1</v>
      </c>
      <c r="AA12" s="39">
        <v>1</v>
      </c>
      <c r="AB12" s="9">
        <v>1</v>
      </c>
      <c r="AC12" s="9">
        <v>1</v>
      </c>
      <c r="AD12" s="9">
        <v>1</v>
      </c>
      <c r="AE12" s="9">
        <v>1</v>
      </c>
      <c r="AF12" s="9">
        <v>1</v>
      </c>
      <c r="AG12" s="9">
        <v>1</v>
      </c>
      <c r="AH12" s="9">
        <v>1</v>
      </c>
      <c r="AI12" s="9">
        <v>1</v>
      </c>
      <c r="AJ12" s="9">
        <v>1</v>
      </c>
      <c r="AK12" s="9">
        <v>1</v>
      </c>
      <c r="AL12" s="9">
        <v>1</v>
      </c>
      <c r="AN12" s="8" t="str">
        <f t="shared" si="5"/>
        <v>RDWELC000</v>
      </c>
      <c r="AO12" s="9">
        <f t="shared" si="6"/>
        <v>8.4</v>
      </c>
      <c r="AP12" s="9"/>
      <c r="AQ12" s="9"/>
      <c r="AR12" s="9"/>
      <c r="AS12" s="9"/>
      <c r="AT12" s="9">
        <v>9.8000000000000007</v>
      </c>
      <c r="AU12" s="9"/>
      <c r="AV12" s="9"/>
      <c r="AW12" s="9">
        <v>8.4</v>
      </c>
      <c r="AX12" s="9">
        <v>14</v>
      </c>
      <c r="AY12" s="9">
        <v>9.8000000000000007</v>
      </c>
      <c r="AZ12" s="9">
        <v>11.2</v>
      </c>
      <c r="BA12" s="9">
        <v>8.4</v>
      </c>
      <c r="BB12" s="9">
        <v>11.2</v>
      </c>
      <c r="BC12" s="9">
        <v>10.199999999999999</v>
      </c>
      <c r="BD12" s="9"/>
    </row>
    <row r="13" spans="1:56" x14ac:dyDescent="0.45">
      <c r="A13" s="37" t="str">
        <f>'RES Assumptions'!B96</f>
        <v>REA</v>
      </c>
      <c r="B13" s="37" t="s">
        <v>127</v>
      </c>
      <c r="D13" s="51" t="s">
        <v>127</v>
      </c>
      <c r="E13" s="8" t="str">
        <f>'RES Assumptions'!A96</f>
        <v>RESELC</v>
      </c>
      <c r="F13" s="8" t="str">
        <f>VLOOKUP(A13,'RES Assumptions'!$AN$87:$AO$97,2,FALSE)</f>
        <v>REA</v>
      </c>
      <c r="G13" s="9">
        <v>1</v>
      </c>
      <c r="H13" s="9">
        <f t="shared" si="3"/>
        <v>1</v>
      </c>
      <c r="I13" s="9">
        <f t="shared" si="2"/>
        <v>1</v>
      </c>
      <c r="J13" s="9">
        <f t="shared" si="2"/>
        <v>1</v>
      </c>
      <c r="K13" s="9">
        <f t="shared" si="2"/>
        <v>1</v>
      </c>
      <c r="L13" s="9">
        <f t="shared" si="2"/>
        <v>1</v>
      </c>
      <c r="M13" s="9">
        <f t="shared" si="2"/>
        <v>1</v>
      </c>
      <c r="N13" s="9">
        <f t="shared" si="2"/>
        <v>1</v>
      </c>
      <c r="O13" s="9">
        <f t="shared" si="2"/>
        <v>1</v>
      </c>
      <c r="P13" s="9">
        <f t="shared" si="2"/>
        <v>1</v>
      </c>
      <c r="Q13" s="9">
        <f t="shared" si="2"/>
        <v>1</v>
      </c>
      <c r="R13" s="9">
        <f t="shared" si="2"/>
        <v>1</v>
      </c>
      <c r="S13" s="9">
        <f t="shared" si="2"/>
        <v>1</v>
      </c>
      <c r="T13" s="9">
        <f t="shared" si="2"/>
        <v>1</v>
      </c>
      <c r="U13" s="9">
        <f t="shared" si="2"/>
        <v>1</v>
      </c>
      <c r="W13" s="8" t="str">
        <f t="shared" si="4"/>
        <v>REAELC000</v>
      </c>
      <c r="X13" s="9">
        <v>1</v>
      </c>
      <c r="Y13" s="9">
        <v>1</v>
      </c>
      <c r="Z13" s="9">
        <v>1</v>
      </c>
      <c r="AA13" s="9">
        <v>1</v>
      </c>
      <c r="AB13" s="9">
        <v>1</v>
      </c>
      <c r="AC13" s="9">
        <v>1</v>
      </c>
      <c r="AD13" s="9">
        <v>1</v>
      </c>
      <c r="AE13" s="9">
        <v>1</v>
      </c>
      <c r="AF13" s="9">
        <v>1</v>
      </c>
      <c r="AG13" s="9">
        <v>1</v>
      </c>
      <c r="AH13" s="9">
        <v>1</v>
      </c>
      <c r="AI13" s="9">
        <v>1</v>
      </c>
      <c r="AJ13" s="9">
        <v>1</v>
      </c>
      <c r="AK13" s="9">
        <v>1</v>
      </c>
      <c r="AL13" s="9">
        <v>1</v>
      </c>
      <c r="AN13" s="8" t="str">
        <f t="shared" si="5"/>
        <v>REAELC000</v>
      </c>
      <c r="AO13" s="9">
        <f t="shared" si="6"/>
        <v>8.4</v>
      </c>
      <c r="AP13" s="9"/>
      <c r="AQ13" s="39"/>
      <c r="AR13" s="39"/>
      <c r="AS13" s="39">
        <v>8.4</v>
      </c>
      <c r="AT13" s="39">
        <v>9.8000000000000007</v>
      </c>
      <c r="AU13" s="39"/>
      <c r="AV13" s="39"/>
      <c r="AW13" s="39">
        <v>8.4</v>
      </c>
      <c r="AX13" s="39">
        <v>14</v>
      </c>
      <c r="AY13" s="39">
        <v>9.8000000000000007</v>
      </c>
      <c r="AZ13" s="39">
        <v>11.2</v>
      </c>
      <c r="BA13" s="39">
        <v>8.4</v>
      </c>
      <c r="BB13" s="39">
        <v>11.2</v>
      </c>
      <c r="BC13" s="39">
        <v>14</v>
      </c>
      <c r="BD13" s="9"/>
    </row>
    <row r="14" spans="1:56" x14ac:dyDescent="0.45">
      <c r="A14" s="37" t="str">
        <f>'RES Assumptions'!B97</f>
        <v>RH</v>
      </c>
      <c r="B14" s="37" t="s">
        <v>128</v>
      </c>
      <c r="D14" s="51" t="s">
        <v>290</v>
      </c>
      <c r="E14" s="8" t="str">
        <f>'RES Assumptions'!A97</f>
        <v>RESBIO</v>
      </c>
      <c r="F14" s="8" t="str">
        <f>VLOOKUP(A14,'RES Assumptions'!$AN$87:$AO$97,2,FALSE)</f>
        <v>RSH</v>
      </c>
      <c r="G14" s="9">
        <v>0.25</v>
      </c>
      <c r="H14" s="9">
        <f t="shared" si="3"/>
        <v>0.25</v>
      </c>
      <c r="I14" s="9">
        <f t="shared" si="2"/>
        <v>0.25</v>
      </c>
      <c r="J14" s="9">
        <f t="shared" si="2"/>
        <v>0.25</v>
      </c>
      <c r="K14" s="9">
        <f t="shared" si="2"/>
        <v>0.25</v>
      </c>
      <c r="L14" s="9">
        <f t="shared" si="2"/>
        <v>0.25</v>
      </c>
      <c r="M14" s="9">
        <f t="shared" si="2"/>
        <v>0.25</v>
      </c>
      <c r="N14" s="9">
        <f t="shared" si="2"/>
        <v>0.25</v>
      </c>
      <c r="O14" s="9">
        <f t="shared" si="2"/>
        <v>0.25</v>
      </c>
      <c r="P14" s="9">
        <f t="shared" si="2"/>
        <v>0.25</v>
      </c>
      <c r="Q14" s="9">
        <f t="shared" si="2"/>
        <v>0.25</v>
      </c>
      <c r="R14" s="9">
        <f t="shared" si="2"/>
        <v>0.25</v>
      </c>
      <c r="S14" s="9">
        <f t="shared" si="2"/>
        <v>0.25</v>
      </c>
      <c r="T14" s="9">
        <f t="shared" si="2"/>
        <v>0.25</v>
      </c>
      <c r="U14" s="9">
        <f t="shared" si="2"/>
        <v>0.25</v>
      </c>
      <c r="W14" s="8" t="str">
        <f t="shared" si="4"/>
        <v>RSHBIO000</v>
      </c>
      <c r="X14" s="9">
        <v>0.18</v>
      </c>
      <c r="Y14" s="9">
        <v>0.21</v>
      </c>
      <c r="Z14" s="9">
        <v>0.24</v>
      </c>
      <c r="AA14" s="9">
        <v>0.18</v>
      </c>
      <c r="AB14" s="9">
        <v>0.18</v>
      </c>
      <c r="AC14" s="9">
        <v>0.18</v>
      </c>
      <c r="AD14" s="9">
        <v>0.18</v>
      </c>
      <c r="AE14" s="9">
        <v>0.18</v>
      </c>
      <c r="AF14" s="9">
        <v>0.18</v>
      </c>
      <c r="AG14" s="9">
        <v>0.18</v>
      </c>
      <c r="AH14" s="9">
        <v>0.18</v>
      </c>
      <c r="AI14" s="9">
        <v>0.11</v>
      </c>
      <c r="AJ14" s="9">
        <v>0.18</v>
      </c>
      <c r="AK14" s="9">
        <v>0.3</v>
      </c>
      <c r="AL14" s="9">
        <v>0.18</v>
      </c>
      <c r="AN14" s="8" t="str">
        <f t="shared" si="5"/>
        <v>RSHBIO000</v>
      </c>
      <c r="AO14" s="9">
        <f t="shared" si="6"/>
        <v>0.3</v>
      </c>
      <c r="AP14" s="9"/>
      <c r="AQ14" s="39"/>
      <c r="AR14" s="39">
        <v>4.2</v>
      </c>
      <c r="AS14" s="39"/>
      <c r="AT14" s="39">
        <v>7</v>
      </c>
      <c r="AU14" s="39"/>
      <c r="AV14" s="39"/>
      <c r="AW14" s="39">
        <v>6</v>
      </c>
      <c r="AX14" s="39">
        <v>10</v>
      </c>
      <c r="AY14" s="39">
        <v>7</v>
      </c>
      <c r="AZ14" s="39">
        <v>8</v>
      </c>
      <c r="BA14" s="39">
        <v>6</v>
      </c>
      <c r="BB14" s="39">
        <v>8</v>
      </c>
      <c r="BC14" s="39">
        <v>0.3</v>
      </c>
      <c r="BD14" s="9"/>
    </row>
    <row r="15" spans="1:56" x14ac:dyDescent="0.45">
      <c r="A15" s="37" t="str">
        <f>'RES Assumptions'!B98</f>
        <v>RH</v>
      </c>
      <c r="B15" s="37" t="s">
        <v>129</v>
      </c>
      <c r="D15" s="51" t="s">
        <v>291</v>
      </c>
      <c r="E15" s="8" t="str">
        <f>'RES Assumptions'!A98</f>
        <v>RESCOA</v>
      </c>
      <c r="F15" s="8" t="str">
        <f>VLOOKUP(A15,'RES Assumptions'!$AN$87:$AO$97,2,FALSE)</f>
        <v>RSH</v>
      </c>
      <c r="G15" s="9">
        <v>0.6</v>
      </c>
      <c r="H15" s="9">
        <f t="shared" si="3"/>
        <v>0.6</v>
      </c>
      <c r="I15" s="9">
        <f t="shared" si="2"/>
        <v>0.6</v>
      </c>
      <c r="J15" s="9">
        <f t="shared" si="2"/>
        <v>0.6</v>
      </c>
      <c r="K15" s="9">
        <f t="shared" si="2"/>
        <v>0.6</v>
      </c>
      <c r="L15" s="9">
        <f t="shared" si="2"/>
        <v>0.6</v>
      </c>
      <c r="M15" s="9">
        <f t="shared" si="2"/>
        <v>0.6</v>
      </c>
      <c r="N15" s="9">
        <f t="shared" si="2"/>
        <v>0.6</v>
      </c>
      <c r="O15" s="9">
        <f t="shared" si="2"/>
        <v>0.6</v>
      </c>
      <c r="P15" s="9">
        <f t="shared" si="2"/>
        <v>0.6</v>
      </c>
      <c r="Q15" s="9">
        <f t="shared" si="2"/>
        <v>0.6</v>
      </c>
      <c r="R15" s="9">
        <f t="shared" si="2"/>
        <v>0.6</v>
      </c>
      <c r="S15" s="9">
        <f t="shared" si="2"/>
        <v>0.6</v>
      </c>
      <c r="T15" s="9">
        <f t="shared" si="2"/>
        <v>0.6</v>
      </c>
      <c r="U15" s="9">
        <f t="shared" si="2"/>
        <v>0.6</v>
      </c>
      <c r="W15" s="8" t="str">
        <f t="shared" si="4"/>
        <v>RSHCOA000</v>
      </c>
      <c r="X15" s="9">
        <v>0.18</v>
      </c>
      <c r="Y15" s="9">
        <v>0.21</v>
      </c>
      <c r="Z15" s="9">
        <v>0.24</v>
      </c>
      <c r="AA15" s="9">
        <v>0.18</v>
      </c>
      <c r="AB15" s="9">
        <v>0.18</v>
      </c>
      <c r="AC15" s="9">
        <v>0.18</v>
      </c>
      <c r="AD15" s="9">
        <v>0.18</v>
      </c>
      <c r="AE15" s="9">
        <v>0.18</v>
      </c>
      <c r="AF15" s="9">
        <v>0.18</v>
      </c>
      <c r="AG15" s="9">
        <v>0.18</v>
      </c>
      <c r="AH15" s="9">
        <v>0.18</v>
      </c>
      <c r="AI15" s="9">
        <v>0.11</v>
      </c>
      <c r="AJ15" s="9">
        <v>0.18</v>
      </c>
      <c r="AK15" s="9">
        <v>0.3</v>
      </c>
      <c r="AL15" s="9">
        <v>0.18</v>
      </c>
      <c r="AN15" s="8" t="str">
        <f t="shared" si="5"/>
        <v>RSHCOA000</v>
      </c>
      <c r="AO15" s="9">
        <f t="shared" si="6"/>
        <v>0.4</v>
      </c>
      <c r="AP15" s="9"/>
      <c r="AQ15" s="39"/>
      <c r="AR15" s="39"/>
      <c r="AS15" s="39"/>
      <c r="AT15" s="39">
        <v>5.6</v>
      </c>
      <c r="AU15" s="39"/>
      <c r="AV15" s="39"/>
      <c r="AW15" s="39">
        <v>4.8</v>
      </c>
      <c r="AX15" s="39">
        <v>8</v>
      </c>
      <c r="AY15" s="39">
        <v>5.6</v>
      </c>
      <c r="AZ15" s="39">
        <v>6.4</v>
      </c>
      <c r="BA15" s="39">
        <v>4.8</v>
      </c>
      <c r="BB15" s="39">
        <v>6.4</v>
      </c>
      <c r="BC15" s="39">
        <v>0.4</v>
      </c>
      <c r="BD15" s="9"/>
    </row>
    <row r="16" spans="1:56" x14ac:dyDescent="0.45">
      <c r="A16" s="37" t="str">
        <f>'RES Assumptions'!B99</f>
        <v>RH</v>
      </c>
      <c r="B16" s="37" t="s">
        <v>130</v>
      </c>
      <c r="D16" s="51" t="s">
        <v>292</v>
      </c>
      <c r="E16" s="8" t="str">
        <f>'RES Assumptions'!A99</f>
        <v>RESOIL</v>
      </c>
      <c r="F16" s="8" t="str">
        <f>VLOOKUP(A16,'RES Assumptions'!$AN$87:$AO$97,2,FALSE)</f>
        <v>RSH</v>
      </c>
      <c r="G16" s="9">
        <v>0.75</v>
      </c>
      <c r="H16" s="9">
        <f t="shared" si="3"/>
        <v>0.75</v>
      </c>
      <c r="I16" s="9">
        <f t="shared" si="2"/>
        <v>0.75</v>
      </c>
      <c r="J16" s="9">
        <f t="shared" si="2"/>
        <v>0.75</v>
      </c>
      <c r="K16" s="9">
        <f t="shared" si="2"/>
        <v>0.75</v>
      </c>
      <c r="L16" s="9">
        <f t="shared" si="2"/>
        <v>0.75</v>
      </c>
      <c r="M16" s="9">
        <f t="shared" si="2"/>
        <v>0.75</v>
      </c>
      <c r="N16" s="9">
        <f t="shared" si="2"/>
        <v>0.75</v>
      </c>
      <c r="O16" s="9">
        <f t="shared" si="2"/>
        <v>0.75</v>
      </c>
      <c r="P16" s="9">
        <f t="shared" si="2"/>
        <v>0.75</v>
      </c>
      <c r="Q16" s="9">
        <f t="shared" si="2"/>
        <v>0.75</v>
      </c>
      <c r="R16" s="9">
        <f t="shared" si="2"/>
        <v>0.75</v>
      </c>
      <c r="S16" s="9">
        <f t="shared" si="2"/>
        <v>0.75</v>
      </c>
      <c r="T16" s="9">
        <f t="shared" si="2"/>
        <v>0.75</v>
      </c>
      <c r="U16" s="9">
        <f t="shared" si="2"/>
        <v>0.75</v>
      </c>
      <c r="W16" s="8" t="str">
        <f t="shared" si="4"/>
        <v>RSHDST000</v>
      </c>
      <c r="X16" s="9">
        <v>0.18</v>
      </c>
      <c r="Y16" s="9">
        <v>0.21</v>
      </c>
      <c r="Z16" s="9">
        <v>0.24</v>
      </c>
      <c r="AA16" s="9">
        <v>0.18</v>
      </c>
      <c r="AB16" s="9">
        <v>0.18</v>
      </c>
      <c r="AC16" s="9">
        <v>0.18</v>
      </c>
      <c r="AD16" s="9">
        <v>0.18</v>
      </c>
      <c r="AE16" s="9">
        <v>0.18</v>
      </c>
      <c r="AF16" s="9">
        <v>0.18</v>
      </c>
      <c r="AG16" s="9">
        <v>0.18</v>
      </c>
      <c r="AH16" s="9">
        <v>0.18</v>
      </c>
      <c r="AI16" s="9">
        <v>0.11</v>
      </c>
      <c r="AJ16" s="9">
        <v>0.18</v>
      </c>
      <c r="AK16" s="9">
        <v>0.3</v>
      </c>
      <c r="AL16" s="9">
        <v>0.18</v>
      </c>
      <c r="AN16" s="8" t="str">
        <f t="shared" si="5"/>
        <v>RSHDST000</v>
      </c>
      <c r="AO16" s="9">
        <f t="shared" si="6"/>
        <v>0.811755652744242</v>
      </c>
      <c r="AP16" s="9"/>
      <c r="AQ16" s="39"/>
      <c r="AR16" s="39">
        <v>4.2</v>
      </c>
      <c r="AS16" s="39"/>
      <c r="AT16" s="39">
        <v>1.4</v>
      </c>
      <c r="AU16" s="39"/>
      <c r="AV16" s="39"/>
      <c r="AW16" s="39">
        <v>1.2</v>
      </c>
      <c r="AX16" s="39">
        <v>2</v>
      </c>
      <c r="AY16" s="39">
        <v>1.4</v>
      </c>
      <c r="AZ16" s="39">
        <v>1.6</v>
      </c>
      <c r="BA16" s="39">
        <v>1.2</v>
      </c>
      <c r="BB16" s="39">
        <v>1.6</v>
      </c>
      <c r="BC16" s="39">
        <v>0.811755652744242</v>
      </c>
      <c r="BD16" s="9"/>
    </row>
    <row r="17" spans="1:56" x14ac:dyDescent="0.45">
      <c r="A17" s="37" t="str">
        <f>'RES Assumptions'!B100</f>
        <v>RH</v>
      </c>
      <c r="B17" s="37" t="s">
        <v>97</v>
      </c>
      <c r="D17" s="51" t="s">
        <v>293</v>
      </c>
      <c r="E17" s="8" t="str">
        <f>'RES Assumptions'!A100</f>
        <v>RESELC</v>
      </c>
      <c r="F17" s="8" t="str">
        <f>VLOOKUP(A17,'RES Assumptions'!$AN$87:$AO$97,2,FALSE)</f>
        <v>RSH</v>
      </c>
      <c r="G17" s="9">
        <v>2</v>
      </c>
      <c r="H17" s="9">
        <f t="shared" si="3"/>
        <v>2</v>
      </c>
      <c r="I17" s="9">
        <f t="shared" si="2"/>
        <v>2</v>
      </c>
      <c r="J17" s="9">
        <f t="shared" si="2"/>
        <v>2</v>
      </c>
      <c r="K17" s="9">
        <f t="shared" si="2"/>
        <v>2</v>
      </c>
      <c r="L17" s="9">
        <f t="shared" si="2"/>
        <v>2</v>
      </c>
      <c r="M17" s="9">
        <f t="shared" si="2"/>
        <v>2</v>
      </c>
      <c r="N17" s="9">
        <f t="shared" si="2"/>
        <v>2</v>
      </c>
      <c r="O17" s="9">
        <f t="shared" si="2"/>
        <v>2</v>
      </c>
      <c r="P17" s="9">
        <f t="shared" si="2"/>
        <v>2</v>
      </c>
      <c r="Q17" s="9">
        <f t="shared" si="2"/>
        <v>2</v>
      </c>
      <c r="R17" s="9">
        <f t="shared" si="2"/>
        <v>2</v>
      </c>
      <c r="S17" s="9">
        <f t="shared" si="2"/>
        <v>2</v>
      </c>
      <c r="T17" s="9">
        <f t="shared" si="2"/>
        <v>2</v>
      </c>
      <c r="U17" s="9">
        <f t="shared" si="2"/>
        <v>2</v>
      </c>
      <c r="W17" s="8" t="str">
        <f t="shared" si="4"/>
        <v>RSHEHP000</v>
      </c>
      <c r="X17" s="9">
        <v>0.18</v>
      </c>
      <c r="Y17" s="9">
        <v>0.21</v>
      </c>
      <c r="Z17" s="9">
        <v>0.24</v>
      </c>
      <c r="AA17" s="9">
        <v>0.18</v>
      </c>
      <c r="AB17" s="9">
        <v>0.18</v>
      </c>
      <c r="AC17" s="9">
        <v>0.18</v>
      </c>
      <c r="AD17" s="9">
        <v>0.18</v>
      </c>
      <c r="AE17" s="9">
        <v>0.18</v>
      </c>
      <c r="AF17" s="9">
        <v>0.18</v>
      </c>
      <c r="AG17" s="9">
        <v>0.18</v>
      </c>
      <c r="AH17" s="9">
        <v>0.18</v>
      </c>
      <c r="AI17" s="9">
        <v>0.11</v>
      </c>
      <c r="AJ17" s="9">
        <v>0.18</v>
      </c>
      <c r="AK17" s="9">
        <v>0.3</v>
      </c>
      <c r="AL17" s="9">
        <v>0.18</v>
      </c>
      <c r="AN17" s="8" t="str">
        <f t="shared" si="5"/>
        <v>RSHEHP000</v>
      </c>
      <c r="AO17" s="9">
        <f t="shared" si="6"/>
        <v>2.64</v>
      </c>
      <c r="AP17" s="9"/>
      <c r="AQ17" s="39"/>
      <c r="AR17" s="39"/>
      <c r="AS17" s="39"/>
      <c r="AT17" s="39">
        <v>9.8000000000000007</v>
      </c>
      <c r="AU17" s="39"/>
      <c r="AV17" s="39"/>
      <c r="AW17" s="39">
        <v>8.4</v>
      </c>
      <c r="AX17" s="39">
        <v>14</v>
      </c>
      <c r="AY17" s="39">
        <v>9.8000000000000007</v>
      </c>
      <c r="AZ17" s="39">
        <v>11.2</v>
      </c>
      <c r="BA17" s="39">
        <v>8.4</v>
      </c>
      <c r="BB17" s="39">
        <v>11.2</v>
      </c>
      <c r="BC17" s="39">
        <v>2.64</v>
      </c>
      <c r="BD17" s="9"/>
    </row>
    <row r="18" spans="1:56" x14ac:dyDescent="0.45">
      <c r="A18" s="37" t="str">
        <f>'RES Assumptions'!B101</f>
        <v>RH</v>
      </c>
      <c r="B18" s="37" t="s">
        <v>95</v>
      </c>
      <c r="D18" s="51" t="s">
        <v>294</v>
      </c>
      <c r="E18" s="8" t="str">
        <f>'RES Assumptions'!A101</f>
        <v>RESELC</v>
      </c>
      <c r="F18" s="8" t="str">
        <f>VLOOKUP(A18,'RES Assumptions'!$AN$87:$AO$97,2,FALSE)</f>
        <v>RSH</v>
      </c>
      <c r="G18" s="9">
        <v>1</v>
      </c>
      <c r="H18" s="9">
        <f t="shared" si="3"/>
        <v>1</v>
      </c>
      <c r="I18" s="9">
        <f t="shared" si="2"/>
        <v>1</v>
      </c>
      <c r="J18" s="9">
        <f t="shared" si="2"/>
        <v>1</v>
      </c>
      <c r="K18" s="9">
        <f t="shared" si="2"/>
        <v>1</v>
      </c>
      <c r="L18" s="9">
        <f t="shared" si="2"/>
        <v>1</v>
      </c>
      <c r="M18" s="9">
        <f t="shared" si="2"/>
        <v>1</v>
      </c>
      <c r="N18" s="9">
        <f t="shared" si="2"/>
        <v>1</v>
      </c>
      <c r="O18" s="9">
        <f t="shared" si="2"/>
        <v>1</v>
      </c>
      <c r="P18" s="9">
        <f t="shared" si="2"/>
        <v>1</v>
      </c>
      <c r="Q18" s="9">
        <f t="shared" si="2"/>
        <v>1</v>
      </c>
      <c r="R18" s="9">
        <f t="shared" si="2"/>
        <v>1</v>
      </c>
      <c r="S18" s="9">
        <f t="shared" si="2"/>
        <v>1</v>
      </c>
      <c r="T18" s="9">
        <f t="shared" si="2"/>
        <v>1</v>
      </c>
      <c r="U18" s="9">
        <f t="shared" si="2"/>
        <v>1</v>
      </c>
      <c r="W18" s="8" t="str">
        <f t="shared" si="4"/>
        <v>RSHERS000</v>
      </c>
      <c r="X18" s="9">
        <v>0.18</v>
      </c>
      <c r="Y18" s="9">
        <v>0.21</v>
      </c>
      <c r="Z18" s="9">
        <v>0.24</v>
      </c>
      <c r="AA18" s="9">
        <v>0.18</v>
      </c>
      <c r="AB18" s="9">
        <v>0.18</v>
      </c>
      <c r="AC18" s="9">
        <v>0.18</v>
      </c>
      <c r="AD18" s="9">
        <v>0.18</v>
      </c>
      <c r="AE18" s="9">
        <v>0.18</v>
      </c>
      <c r="AF18" s="9">
        <v>0.18</v>
      </c>
      <c r="AG18" s="9">
        <v>0.18</v>
      </c>
      <c r="AH18" s="9">
        <v>0.18</v>
      </c>
      <c r="AI18" s="9">
        <v>0.11</v>
      </c>
      <c r="AJ18" s="9">
        <v>0.18</v>
      </c>
      <c r="AK18" s="9">
        <v>0.3</v>
      </c>
      <c r="AL18" s="9">
        <v>0.18</v>
      </c>
      <c r="AN18" s="8" t="str">
        <f t="shared" si="5"/>
        <v>RSHERS000</v>
      </c>
      <c r="AO18" s="9">
        <f t="shared" si="6"/>
        <v>0.54</v>
      </c>
      <c r="AP18" s="9"/>
      <c r="AQ18" s="39"/>
      <c r="AR18" s="39"/>
      <c r="AS18" s="39"/>
      <c r="AT18" s="39">
        <v>8.4</v>
      </c>
      <c r="AU18" s="39"/>
      <c r="AV18" s="39"/>
      <c r="AW18" s="39">
        <v>7.2</v>
      </c>
      <c r="AX18" s="39">
        <v>12</v>
      </c>
      <c r="AY18" s="39">
        <v>8.4</v>
      </c>
      <c r="AZ18" s="39">
        <v>9.6</v>
      </c>
      <c r="BA18" s="39">
        <v>7.2</v>
      </c>
      <c r="BB18" s="39">
        <v>9.6</v>
      </c>
      <c r="BC18" s="39">
        <v>0.54</v>
      </c>
      <c r="BD18" s="9"/>
    </row>
    <row r="19" spans="1:56" x14ac:dyDescent="0.45">
      <c r="A19" s="37" t="str">
        <f>'RES Assumptions'!B102</f>
        <v>RH</v>
      </c>
      <c r="B19" s="37" t="s">
        <v>131</v>
      </c>
      <c r="D19" s="51" t="s">
        <v>295</v>
      </c>
      <c r="E19" s="8" t="str">
        <f>'RES Assumptions'!A102</f>
        <v>RESGEO</v>
      </c>
      <c r="F19" s="8" t="str">
        <f>VLOOKUP(A19,'RES Assumptions'!$AN$87:$AO$97,2,FALSE)</f>
        <v>RSH</v>
      </c>
      <c r="G19" s="9">
        <v>0.9</v>
      </c>
      <c r="H19" s="9">
        <f t="shared" si="3"/>
        <v>0.9</v>
      </c>
      <c r="I19" s="9">
        <f t="shared" si="2"/>
        <v>0.9</v>
      </c>
      <c r="J19" s="9">
        <f t="shared" si="2"/>
        <v>0.9</v>
      </c>
      <c r="K19" s="9">
        <f t="shared" si="2"/>
        <v>0.9</v>
      </c>
      <c r="L19" s="9">
        <f t="shared" si="2"/>
        <v>0.9</v>
      </c>
      <c r="M19" s="9">
        <f t="shared" si="2"/>
        <v>0.9</v>
      </c>
      <c r="N19" s="9">
        <f t="shared" si="2"/>
        <v>0.9</v>
      </c>
      <c r="O19" s="9">
        <f t="shared" si="2"/>
        <v>0.9</v>
      </c>
      <c r="P19" s="9">
        <f t="shared" si="2"/>
        <v>0.9</v>
      </c>
      <c r="Q19" s="9">
        <f t="shared" si="2"/>
        <v>0.9</v>
      </c>
      <c r="R19" s="9">
        <f t="shared" si="2"/>
        <v>0.9</v>
      </c>
      <c r="S19" s="9">
        <f t="shared" si="2"/>
        <v>0.9</v>
      </c>
      <c r="T19" s="9">
        <f t="shared" si="2"/>
        <v>0.9</v>
      </c>
      <c r="U19" s="9">
        <f t="shared" si="2"/>
        <v>0.9</v>
      </c>
      <c r="W19" s="8" t="str">
        <f t="shared" si="4"/>
        <v>RSHGEO000</v>
      </c>
      <c r="X19" s="9">
        <v>0.18</v>
      </c>
      <c r="Y19" s="9">
        <v>0.21</v>
      </c>
      <c r="Z19" s="9">
        <v>0.24</v>
      </c>
      <c r="AA19" s="9">
        <v>0.18</v>
      </c>
      <c r="AB19" s="9">
        <v>0.18</v>
      </c>
      <c r="AC19" s="9">
        <v>0.18</v>
      </c>
      <c r="AD19" s="9">
        <v>0.18</v>
      </c>
      <c r="AE19" s="9">
        <v>0.18</v>
      </c>
      <c r="AF19" s="9">
        <v>0.18</v>
      </c>
      <c r="AG19" s="9">
        <v>0.18</v>
      </c>
      <c r="AH19" s="9">
        <v>0.18</v>
      </c>
      <c r="AI19" s="9">
        <v>0.11</v>
      </c>
      <c r="AJ19" s="9">
        <v>0.18</v>
      </c>
      <c r="AK19" s="9">
        <v>0.3</v>
      </c>
      <c r="AL19" s="9">
        <v>0.18</v>
      </c>
      <c r="AN19" s="8" t="str">
        <f t="shared" si="5"/>
        <v>RSHGEO000</v>
      </c>
      <c r="AO19" s="9">
        <f t="shared" si="6"/>
        <v>2</v>
      </c>
      <c r="AP19" s="9"/>
      <c r="AQ19" s="39"/>
      <c r="AR19" s="39"/>
      <c r="AS19" s="39"/>
      <c r="AT19" s="39">
        <v>12.6</v>
      </c>
      <c r="AU19" s="39"/>
      <c r="AV19" s="39"/>
      <c r="AW19" s="39">
        <v>10.8</v>
      </c>
      <c r="AX19" s="39">
        <v>18</v>
      </c>
      <c r="AY19" s="39">
        <v>12.6</v>
      </c>
      <c r="AZ19" s="39">
        <v>14.4</v>
      </c>
      <c r="BA19" s="39">
        <v>10.8</v>
      </c>
      <c r="BB19" s="39">
        <v>14.4</v>
      </c>
      <c r="BC19" s="39">
        <v>2</v>
      </c>
      <c r="BD19" s="9"/>
    </row>
    <row r="20" spans="1:56" x14ac:dyDescent="0.45">
      <c r="A20" s="37" t="str">
        <f>'RES Assumptions'!B103</f>
        <v>RH</v>
      </c>
      <c r="B20" s="37" t="s">
        <v>132</v>
      </c>
      <c r="D20" s="51" t="s">
        <v>296</v>
      </c>
      <c r="E20" s="8" t="str">
        <f>'RES Assumptions'!A103</f>
        <v>RESHET</v>
      </c>
      <c r="F20" s="8" t="str">
        <f>VLOOKUP(A20,'RES Assumptions'!$AN$87:$AO$97,2,FALSE)</f>
        <v>RSH</v>
      </c>
      <c r="G20" s="9">
        <v>0.9</v>
      </c>
      <c r="H20" s="9">
        <f t="shared" si="3"/>
        <v>0.9</v>
      </c>
      <c r="I20" s="9">
        <f t="shared" si="3"/>
        <v>0.9</v>
      </c>
      <c r="J20" s="9">
        <f t="shared" si="3"/>
        <v>0.9</v>
      </c>
      <c r="K20" s="9">
        <f t="shared" si="3"/>
        <v>0.9</v>
      </c>
      <c r="L20" s="9">
        <f t="shared" si="3"/>
        <v>0.9</v>
      </c>
      <c r="M20" s="9">
        <f t="shared" si="3"/>
        <v>0.9</v>
      </c>
      <c r="N20" s="9">
        <f t="shared" si="3"/>
        <v>0.9</v>
      </c>
      <c r="O20" s="9">
        <f t="shared" si="3"/>
        <v>0.9</v>
      </c>
      <c r="P20" s="9">
        <f t="shared" si="3"/>
        <v>0.9</v>
      </c>
      <c r="Q20" s="9">
        <f t="shared" si="3"/>
        <v>0.9</v>
      </c>
      <c r="R20" s="9">
        <f t="shared" si="3"/>
        <v>0.9</v>
      </c>
      <c r="S20" s="9">
        <f t="shared" si="3"/>
        <v>0.9</v>
      </c>
      <c r="T20" s="9">
        <f t="shared" si="3"/>
        <v>0.9</v>
      </c>
      <c r="U20" s="9">
        <f t="shared" si="3"/>
        <v>0.9</v>
      </c>
      <c r="W20" s="8" t="str">
        <f t="shared" si="4"/>
        <v>RSHHET000</v>
      </c>
      <c r="X20" s="9">
        <v>0.18</v>
      </c>
      <c r="Y20" s="9">
        <v>0.21</v>
      </c>
      <c r="Z20" s="9">
        <v>0.24</v>
      </c>
      <c r="AA20" s="9">
        <v>0.18</v>
      </c>
      <c r="AB20" s="9">
        <v>0.18</v>
      </c>
      <c r="AC20" s="9">
        <v>0.18</v>
      </c>
      <c r="AD20" s="9">
        <v>0.18</v>
      </c>
      <c r="AE20" s="9">
        <v>0.18</v>
      </c>
      <c r="AF20" s="9">
        <v>0.18</v>
      </c>
      <c r="AG20" s="9">
        <v>0.18</v>
      </c>
      <c r="AH20" s="9">
        <v>0.18</v>
      </c>
      <c r="AI20" s="9">
        <v>0.11</v>
      </c>
      <c r="AJ20" s="9">
        <v>0.18</v>
      </c>
      <c r="AK20" s="9">
        <v>0.3</v>
      </c>
      <c r="AL20" s="9">
        <v>0.18</v>
      </c>
      <c r="AN20" s="8" t="str">
        <f t="shared" si="5"/>
        <v>RSHHET000</v>
      </c>
      <c r="AO20" s="9">
        <f t="shared" si="6"/>
        <v>1.2</v>
      </c>
      <c r="AP20" s="9"/>
      <c r="AQ20" s="39"/>
      <c r="AR20" s="39"/>
      <c r="AS20" s="39"/>
      <c r="AT20" s="39">
        <v>1.4</v>
      </c>
      <c r="AU20" s="39"/>
      <c r="AV20" s="39"/>
      <c r="AW20" s="39">
        <v>1.2</v>
      </c>
      <c r="AX20" s="39">
        <v>2</v>
      </c>
      <c r="AY20" s="39">
        <v>1.4</v>
      </c>
      <c r="AZ20" s="39">
        <v>1.6</v>
      </c>
      <c r="BA20" s="39">
        <v>1.2</v>
      </c>
      <c r="BB20" s="39">
        <v>1.6</v>
      </c>
      <c r="BC20" s="39">
        <v>2</v>
      </c>
      <c r="BD20" s="9"/>
    </row>
    <row r="21" spans="1:56" x14ac:dyDescent="0.45">
      <c r="A21" s="37" t="str">
        <f>'RES Assumptions'!B104</f>
        <v>RH</v>
      </c>
      <c r="B21" s="37" t="s">
        <v>133</v>
      </c>
      <c r="D21" s="51" t="s">
        <v>297</v>
      </c>
      <c r="E21" s="8" t="str">
        <f>'RES Assumptions'!A104</f>
        <v>RESHFO</v>
      </c>
      <c r="F21" s="8" t="str">
        <f>VLOOKUP(A21,'RES Assumptions'!$AN$87:$AO$97,2,FALSE)</f>
        <v>RSH</v>
      </c>
      <c r="G21" s="9">
        <v>0.75</v>
      </c>
      <c r="H21" s="9">
        <f t="shared" ref="H21:U36" si="7">$G21</f>
        <v>0.75</v>
      </c>
      <c r="I21" s="9">
        <f t="shared" si="7"/>
        <v>0.75</v>
      </c>
      <c r="J21" s="9">
        <f t="shared" si="7"/>
        <v>0.75</v>
      </c>
      <c r="K21" s="9">
        <f t="shared" si="7"/>
        <v>0.75</v>
      </c>
      <c r="L21" s="9">
        <f t="shared" si="7"/>
        <v>0.75</v>
      </c>
      <c r="M21" s="9">
        <f t="shared" si="7"/>
        <v>0.75</v>
      </c>
      <c r="N21" s="9">
        <f t="shared" si="7"/>
        <v>0.75</v>
      </c>
      <c r="O21" s="9">
        <f t="shared" si="7"/>
        <v>0.75</v>
      </c>
      <c r="P21" s="9">
        <f t="shared" si="7"/>
        <v>0.75</v>
      </c>
      <c r="Q21" s="9">
        <f t="shared" si="7"/>
        <v>0.75</v>
      </c>
      <c r="R21" s="9">
        <f t="shared" si="7"/>
        <v>0.75</v>
      </c>
      <c r="S21" s="9">
        <f t="shared" si="7"/>
        <v>0.75</v>
      </c>
      <c r="T21" s="9">
        <f t="shared" si="7"/>
        <v>0.75</v>
      </c>
      <c r="U21" s="9">
        <f t="shared" si="7"/>
        <v>0.75</v>
      </c>
      <c r="W21" s="8" t="str">
        <f t="shared" si="4"/>
        <v>RSHHFO000</v>
      </c>
      <c r="X21" s="9">
        <v>0.18</v>
      </c>
      <c r="Y21" s="9">
        <v>0.21</v>
      </c>
      <c r="Z21" s="9">
        <v>0.24</v>
      </c>
      <c r="AA21" s="9">
        <v>0.18</v>
      </c>
      <c r="AB21" s="9">
        <v>0.18</v>
      </c>
      <c r="AC21" s="9">
        <v>0.18</v>
      </c>
      <c r="AD21" s="9">
        <v>0.18</v>
      </c>
      <c r="AE21" s="9">
        <v>0.18</v>
      </c>
      <c r="AF21" s="9">
        <v>0.18</v>
      </c>
      <c r="AG21" s="9">
        <v>0.18</v>
      </c>
      <c r="AH21" s="9">
        <v>0.18</v>
      </c>
      <c r="AI21" s="9">
        <v>0.11</v>
      </c>
      <c r="AJ21" s="9">
        <v>0.18</v>
      </c>
      <c r="AK21" s="9">
        <v>0.3</v>
      </c>
      <c r="AL21" s="9">
        <v>0.18</v>
      </c>
      <c r="AN21" s="8" t="str">
        <f t="shared" si="5"/>
        <v>RSHHFO000</v>
      </c>
      <c r="AO21" s="9">
        <f t="shared" si="6"/>
        <v>0.82</v>
      </c>
      <c r="AP21" s="9"/>
      <c r="AQ21" s="39"/>
      <c r="AR21" s="39">
        <v>4.2</v>
      </c>
      <c r="AS21" s="39"/>
      <c r="AT21" s="39">
        <v>11.2</v>
      </c>
      <c r="AU21" s="39"/>
      <c r="AV21" s="39"/>
      <c r="AW21" s="39">
        <v>9.6</v>
      </c>
      <c r="AX21" s="39">
        <v>16</v>
      </c>
      <c r="AY21" s="39">
        <v>11.2</v>
      </c>
      <c r="AZ21" s="39">
        <v>12.8</v>
      </c>
      <c r="BA21" s="39">
        <v>9.6</v>
      </c>
      <c r="BB21" s="39">
        <v>12.8</v>
      </c>
      <c r="BC21" s="39">
        <v>0.82</v>
      </c>
      <c r="BD21" s="9"/>
    </row>
    <row r="22" spans="1:56" x14ac:dyDescent="0.45">
      <c r="A22" s="37" t="str">
        <f>'RES Assumptions'!B105</f>
        <v>RH</v>
      </c>
      <c r="B22" s="37" t="s">
        <v>134</v>
      </c>
      <c r="D22" s="51" t="s">
        <v>298</v>
      </c>
      <c r="E22" s="8" t="str">
        <f>'RES Assumptions'!A105</f>
        <v>RESKER</v>
      </c>
      <c r="F22" s="8" t="str">
        <f>VLOOKUP(A22,'RES Assumptions'!$AN$87:$AO$97,2,FALSE)</f>
        <v>RSH</v>
      </c>
      <c r="G22" s="9">
        <v>0.7</v>
      </c>
      <c r="H22" s="9">
        <f t="shared" si="7"/>
        <v>0.7</v>
      </c>
      <c r="I22" s="9">
        <f t="shared" si="7"/>
        <v>0.7</v>
      </c>
      <c r="J22" s="9">
        <f t="shared" si="7"/>
        <v>0.7</v>
      </c>
      <c r="K22" s="9">
        <f t="shared" si="7"/>
        <v>0.7</v>
      </c>
      <c r="L22" s="9">
        <f t="shared" si="7"/>
        <v>0.7</v>
      </c>
      <c r="M22" s="9">
        <f t="shared" si="7"/>
        <v>0.7</v>
      </c>
      <c r="N22" s="9">
        <f t="shared" si="7"/>
        <v>0.7</v>
      </c>
      <c r="O22" s="9">
        <f t="shared" si="7"/>
        <v>0.7</v>
      </c>
      <c r="P22" s="9">
        <f t="shared" si="7"/>
        <v>0.7</v>
      </c>
      <c r="Q22" s="9">
        <f t="shared" si="7"/>
        <v>0.7</v>
      </c>
      <c r="R22" s="9">
        <f t="shared" si="7"/>
        <v>0.7</v>
      </c>
      <c r="S22" s="9">
        <f t="shared" si="7"/>
        <v>0.7</v>
      </c>
      <c r="T22" s="9">
        <f t="shared" si="7"/>
        <v>0.7</v>
      </c>
      <c r="U22" s="9">
        <f t="shared" si="7"/>
        <v>0.7</v>
      </c>
      <c r="W22" s="8" t="str">
        <f t="shared" si="4"/>
        <v>RSHKER000</v>
      </c>
      <c r="X22" s="9">
        <v>0.18</v>
      </c>
      <c r="Y22" s="9">
        <v>0.21</v>
      </c>
      <c r="Z22" s="9">
        <v>0.24</v>
      </c>
      <c r="AA22" s="9">
        <v>0.18</v>
      </c>
      <c r="AB22" s="9">
        <v>0.18</v>
      </c>
      <c r="AC22" s="9">
        <v>0.18</v>
      </c>
      <c r="AD22" s="9">
        <v>0.18</v>
      </c>
      <c r="AE22" s="9">
        <v>0.18</v>
      </c>
      <c r="AF22" s="9">
        <v>0.18</v>
      </c>
      <c r="AG22" s="9">
        <v>0.18</v>
      </c>
      <c r="AH22" s="9">
        <v>0.18</v>
      </c>
      <c r="AI22" s="9">
        <v>0.11</v>
      </c>
      <c r="AJ22" s="9">
        <v>0.18</v>
      </c>
      <c r="AK22" s="9">
        <v>0.3</v>
      </c>
      <c r="AL22" s="9">
        <v>0.18</v>
      </c>
      <c r="AN22" s="8" t="str">
        <f t="shared" si="5"/>
        <v>RSHKER000</v>
      </c>
      <c r="AO22" s="9">
        <f t="shared" si="6"/>
        <v>0.36</v>
      </c>
      <c r="AP22" s="9"/>
      <c r="AQ22" s="39"/>
      <c r="AR22" s="39"/>
      <c r="AS22" s="39"/>
      <c r="AT22" s="39">
        <v>11.2</v>
      </c>
      <c r="AU22" s="39"/>
      <c r="AV22" s="39"/>
      <c r="AW22" s="39">
        <v>9.6</v>
      </c>
      <c r="AX22" s="39">
        <v>16</v>
      </c>
      <c r="AY22" s="39">
        <v>11.2</v>
      </c>
      <c r="AZ22" s="39">
        <v>12.8</v>
      </c>
      <c r="BA22" s="39">
        <v>9.6</v>
      </c>
      <c r="BB22" s="39">
        <v>12.8</v>
      </c>
      <c r="BC22" s="39">
        <v>0.36</v>
      </c>
      <c r="BD22" s="9"/>
    </row>
    <row r="23" spans="1:56" x14ac:dyDescent="0.45">
      <c r="A23" s="37" t="str">
        <f>'RES Assumptions'!B106</f>
        <v>RH</v>
      </c>
      <c r="B23" s="37" t="s">
        <v>135</v>
      </c>
      <c r="D23" s="51" t="s">
        <v>299</v>
      </c>
      <c r="E23" s="8" t="str">
        <f>'RES Assumptions'!A106</f>
        <v>RESLPG</v>
      </c>
      <c r="F23" s="8" t="str">
        <f>VLOOKUP(A23,'RES Assumptions'!$AN$87:$AO$97,2,FALSE)</f>
        <v>RSH</v>
      </c>
      <c r="G23" s="9">
        <v>0.7</v>
      </c>
      <c r="H23" s="9">
        <f t="shared" si="7"/>
        <v>0.7</v>
      </c>
      <c r="I23" s="9">
        <f t="shared" si="7"/>
        <v>0.7</v>
      </c>
      <c r="J23" s="9">
        <f t="shared" si="7"/>
        <v>0.7</v>
      </c>
      <c r="K23" s="9">
        <f t="shared" si="7"/>
        <v>0.7</v>
      </c>
      <c r="L23" s="9">
        <f t="shared" si="7"/>
        <v>0.7</v>
      </c>
      <c r="M23" s="9">
        <f t="shared" si="7"/>
        <v>0.7</v>
      </c>
      <c r="N23" s="9">
        <f t="shared" si="7"/>
        <v>0.7</v>
      </c>
      <c r="O23" s="9">
        <f t="shared" si="7"/>
        <v>0.7</v>
      </c>
      <c r="P23" s="9">
        <f t="shared" si="7"/>
        <v>0.7</v>
      </c>
      <c r="Q23" s="9">
        <f t="shared" si="7"/>
        <v>0.7</v>
      </c>
      <c r="R23" s="9">
        <f t="shared" si="7"/>
        <v>0.7</v>
      </c>
      <c r="S23" s="9">
        <f t="shared" si="7"/>
        <v>0.7</v>
      </c>
      <c r="T23" s="9">
        <f t="shared" si="7"/>
        <v>0.7</v>
      </c>
      <c r="U23" s="9">
        <f t="shared" si="7"/>
        <v>0.7</v>
      </c>
      <c r="W23" s="8" t="str">
        <f t="shared" si="4"/>
        <v>RSHLPG000</v>
      </c>
      <c r="X23" s="9">
        <v>0.18</v>
      </c>
      <c r="Y23" s="9">
        <v>0.21</v>
      </c>
      <c r="Z23" s="9">
        <v>0.24</v>
      </c>
      <c r="AA23" s="9">
        <v>0.18</v>
      </c>
      <c r="AB23" s="9">
        <v>0.18</v>
      </c>
      <c r="AC23" s="9">
        <v>0.18</v>
      </c>
      <c r="AD23" s="9">
        <v>0.18</v>
      </c>
      <c r="AE23" s="9">
        <v>0.18</v>
      </c>
      <c r="AF23" s="9">
        <v>0.18</v>
      </c>
      <c r="AG23" s="9">
        <v>0.18</v>
      </c>
      <c r="AH23" s="9">
        <v>0.18</v>
      </c>
      <c r="AI23" s="9">
        <v>0.11</v>
      </c>
      <c r="AJ23" s="9">
        <v>0.18</v>
      </c>
      <c r="AK23" s="9">
        <v>0.3</v>
      </c>
      <c r="AL23" s="9">
        <v>0.18</v>
      </c>
      <c r="AN23" s="8" t="str">
        <f t="shared" si="5"/>
        <v>RSHLPG000</v>
      </c>
      <c r="AO23" s="9">
        <f t="shared" si="6"/>
        <v>0.4</v>
      </c>
      <c r="AP23" s="9"/>
      <c r="AQ23" s="39"/>
      <c r="AR23" s="39">
        <v>3.64</v>
      </c>
      <c r="AS23" s="39"/>
      <c r="AT23" s="39">
        <v>2.8</v>
      </c>
      <c r="AU23" s="39"/>
      <c r="AV23" s="39"/>
      <c r="AW23" s="39">
        <v>2.4</v>
      </c>
      <c r="AX23" s="39">
        <v>4</v>
      </c>
      <c r="AY23" s="39">
        <v>2.8</v>
      </c>
      <c r="AZ23" s="39">
        <v>3.2</v>
      </c>
      <c r="BA23" s="39">
        <v>2.4</v>
      </c>
      <c r="BB23" s="39">
        <v>3.2</v>
      </c>
      <c r="BC23" s="39">
        <v>0.4</v>
      </c>
      <c r="BD23" s="9"/>
    </row>
    <row r="24" spans="1:56" x14ac:dyDescent="0.45">
      <c r="A24" s="37" t="str">
        <f>'RES Assumptions'!B107</f>
        <v>RH</v>
      </c>
      <c r="B24" s="37" t="s">
        <v>91</v>
      </c>
      <c r="D24" s="51" t="s">
        <v>300</v>
      </c>
      <c r="E24" s="8" t="str">
        <f>'RES Assumptions'!A107</f>
        <v>RESNGA</v>
      </c>
      <c r="F24" s="8" t="str">
        <f>VLOOKUP(A24,'RES Assumptions'!$AN$87:$AO$97,2,FALSE)</f>
        <v>RSH</v>
      </c>
      <c r="G24" s="9">
        <v>0.74</v>
      </c>
      <c r="H24" s="9">
        <f t="shared" si="7"/>
        <v>0.74</v>
      </c>
      <c r="I24" s="9">
        <f t="shared" si="7"/>
        <v>0.74</v>
      </c>
      <c r="J24" s="9">
        <f t="shared" si="7"/>
        <v>0.74</v>
      </c>
      <c r="K24" s="9">
        <f t="shared" si="7"/>
        <v>0.74</v>
      </c>
      <c r="L24" s="9">
        <f t="shared" si="7"/>
        <v>0.74</v>
      </c>
      <c r="M24" s="9">
        <f t="shared" si="7"/>
        <v>0.74</v>
      </c>
      <c r="N24" s="9">
        <f t="shared" si="7"/>
        <v>0.74</v>
      </c>
      <c r="O24" s="9">
        <f t="shared" si="7"/>
        <v>0.74</v>
      </c>
      <c r="P24" s="9">
        <f t="shared" si="7"/>
        <v>0.74</v>
      </c>
      <c r="Q24" s="9">
        <f t="shared" si="7"/>
        <v>0.74</v>
      </c>
      <c r="R24" s="9">
        <f t="shared" si="7"/>
        <v>0.74</v>
      </c>
      <c r="S24" s="9">
        <f t="shared" si="7"/>
        <v>0.74</v>
      </c>
      <c r="T24" s="9">
        <f t="shared" si="7"/>
        <v>0.74</v>
      </c>
      <c r="U24" s="9">
        <f t="shared" si="7"/>
        <v>0.74</v>
      </c>
      <c r="W24" s="8" t="str">
        <f t="shared" si="4"/>
        <v>RSHNGA000</v>
      </c>
      <c r="X24" s="9">
        <v>0.18</v>
      </c>
      <c r="Y24" s="9">
        <v>0.21</v>
      </c>
      <c r="Z24" s="9">
        <v>0.24</v>
      </c>
      <c r="AA24" s="9">
        <v>0.18</v>
      </c>
      <c r="AB24" s="9">
        <v>0.18</v>
      </c>
      <c r="AC24" s="9">
        <v>0.18</v>
      </c>
      <c r="AD24" s="9">
        <v>0.18</v>
      </c>
      <c r="AE24" s="9">
        <v>0.18</v>
      </c>
      <c r="AF24" s="9">
        <v>0.18</v>
      </c>
      <c r="AG24" s="9">
        <v>0.18</v>
      </c>
      <c r="AH24" s="9">
        <v>0.18</v>
      </c>
      <c r="AI24" s="9">
        <v>0.11</v>
      </c>
      <c r="AJ24" s="9">
        <v>0.18</v>
      </c>
      <c r="AK24" s="9">
        <v>0.3</v>
      </c>
      <c r="AL24" s="9">
        <v>0.18</v>
      </c>
      <c r="AN24" s="8" t="str">
        <f t="shared" si="5"/>
        <v>RSHNGA000</v>
      </c>
      <c r="AO24" s="9">
        <f t="shared" si="6"/>
        <v>0.9</v>
      </c>
      <c r="AP24" s="9"/>
      <c r="AQ24" s="39"/>
      <c r="AR24" s="39">
        <v>3.64</v>
      </c>
      <c r="AS24" s="39"/>
      <c r="AT24" s="39">
        <v>4.2</v>
      </c>
      <c r="AU24" s="39"/>
      <c r="AV24" s="39"/>
      <c r="AW24" s="39">
        <v>3.6</v>
      </c>
      <c r="AX24" s="39">
        <v>6</v>
      </c>
      <c r="AY24" s="39">
        <v>4.2</v>
      </c>
      <c r="AZ24" s="39">
        <v>4.8</v>
      </c>
      <c r="BA24" s="39">
        <v>3.6</v>
      </c>
      <c r="BB24" s="39">
        <v>4.8</v>
      </c>
      <c r="BC24" s="39">
        <v>0.9</v>
      </c>
      <c r="BD24" s="9"/>
    </row>
    <row r="25" spans="1:56" x14ac:dyDescent="0.45">
      <c r="A25" s="37" t="str">
        <f>'RES Assumptions'!B108</f>
        <v>RH</v>
      </c>
      <c r="B25" s="37" t="s">
        <v>93</v>
      </c>
      <c r="D25" s="51" t="s">
        <v>301</v>
      </c>
      <c r="E25" s="8" t="str">
        <f>'RES Assumptions'!A108</f>
        <v>RESNGA</v>
      </c>
      <c r="F25" s="8" t="str">
        <f>VLOOKUP(A25,'RES Assumptions'!$AN$87:$AO$97,2,FALSE)</f>
        <v>RSH</v>
      </c>
      <c r="G25" s="9">
        <v>1.8</v>
      </c>
      <c r="H25" s="9">
        <f t="shared" si="7"/>
        <v>1.8</v>
      </c>
      <c r="I25" s="9">
        <f t="shared" si="7"/>
        <v>1.8</v>
      </c>
      <c r="J25" s="9">
        <f t="shared" si="7"/>
        <v>1.8</v>
      </c>
      <c r="K25" s="9">
        <f t="shared" si="7"/>
        <v>1.8</v>
      </c>
      <c r="L25" s="9">
        <f t="shared" si="7"/>
        <v>1.8</v>
      </c>
      <c r="M25" s="9">
        <f t="shared" si="7"/>
        <v>1.8</v>
      </c>
      <c r="N25" s="9">
        <f t="shared" si="7"/>
        <v>1.8</v>
      </c>
      <c r="O25" s="9">
        <f t="shared" si="7"/>
        <v>1.8</v>
      </c>
      <c r="P25" s="9">
        <f t="shared" si="7"/>
        <v>1.8</v>
      </c>
      <c r="Q25" s="9">
        <f t="shared" si="7"/>
        <v>1.8</v>
      </c>
      <c r="R25" s="9">
        <f t="shared" si="7"/>
        <v>1.8</v>
      </c>
      <c r="S25" s="9">
        <f t="shared" si="7"/>
        <v>1.8</v>
      </c>
      <c r="T25" s="9">
        <f t="shared" si="7"/>
        <v>1.8</v>
      </c>
      <c r="U25" s="9">
        <f t="shared" si="7"/>
        <v>1.8</v>
      </c>
      <c r="W25" s="8" t="str">
        <f t="shared" si="4"/>
        <v>RSHNHP000</v>
      </c>
      <c r="X25" s="9">
        <v>0.18</v>
      </c>
      <c r="Y25" s="9">
        <v>0.21</v>
      </c>
      <c r="Z25" s="9">
        <v>0.24</v>
      </c>
      <c r="AA25" s="9">
        <v>0.18</v>
      </c>
      <c r="AB25" s="9">
        <v>0.18</v>
      </c>
      <c r="AC25" s="9">
        <v>0.18</v>
      </c>
      <c r="AD25" s="9">
        <v>0.18</v>
      </c>
      <c r="AE25" s="9">
        <v>0.18</v>
      </c>
      <c r="AF25" s="9">
        <v>0.18</v>
      </c>
      <c r="AG25" s="9">
        <v>0.18</v>
      </c>
      <c r="AH25" s="9">
        <v>0.18</v>
      </c>
      <c r="AI25" s="9">
        <v>0.11</v>
      </c>
      <c r="AJ25" s="9">
        <v>0.18</v>
      </c>
      <c r="AK25" s="9">
        <v>0.3</v>
      </c>
      <c r="AL25" s="9">
        <v>0.18</v>
      </c>
      <c r="AN25" s="8" t="str">
        <f t="shared" si="5"/>
        <v>RSHNHP000</v>
      </c>
      <c r="AO25" s="9">
        <f t="shared" si="6"/>
        <v>3</v>
      </c>
      <c r="AP25" s="9"/>
      <c r="AQ25" s="39"/>
      <c r="AR25" s="39"/>
      <c r="AS25" s="39"/>
      <c r="AT25" s="39">
        <v>4.2</v>
      </c>
      <c r="AU25" s="39"/>
      <c r="AV25" s="39"/>
      <c r="AW25" s="39">
        <v>3.6</v>
      </c>
      <c r="AX25" s="39">
        <v>6</v>
      </c>
      <c r="AY25" s="39">
        <v>4.2</v>
      </c>
      <c r="AZ25" s="39">
        <v>4.8</v>
      </c>
      <c r="BA25" s="39">
        <v>3.6</v>
      </c>
      <c r="BB25" s="39">
        <v>4.8</v>
      </c>
      <c r="BC25" s="39">
        <v>3</v>
      </c>
      <c r="BD25" s="9"/>
    </row>
    <row r="26" spans="1:56" x14ac:dyDescent="0.45">
      <c r="A26" s="37" t="str">
        <f>'RES Assumptions'!B109</f>
        <v>RHW</v>
      </c>
      <c r="B26" s="37" t="s">
        <v>136</v>
      </c>
      <c r="D26" s="51" t="s">
        <v>136</v>
      </c>
      <c r="E26" s="8" t="str">
        <f>'RES Assumptions'!A109</f>
        <v>RESBIO</v>
      </c>
      <c r="F26" s="8" t="str">
        <f>VLOOKUP(A26,'RES Assumptions'!$AN$87:$AO$97,2,FALSE)</f>
        <v>RHW</v>
      </c>
      <c r="G26" s="9">
        <v>0.15</v>
      </c>
      <c r="H26" s="9">
        <f t="shared" si="7"/>
        <v>0.15</v>
      </c>
      <c r="I26" s="9">
        <f t="shared" si="7"/>
        <v>0.15</v>
      </c>
      <c r="J26" s="9">
        <f t="shared" si="7"/>
        <v>0.15</v>
      </c>
      <c r="K26" s="9">
        <f t="shared" si="7"/>
        <v>0.15</v>
      </c>
      <c r="L26" s="9">
        <f t="shared" si="7"/>
        <v>0.15</v>
      </c>
      <c r="M26" s="9">
        <f t="shared" si="7"/>
        <v>0.15</v>
      </c>
      <c r="N26" s="9">
        <f t="shared" si="7"/>
        <v>0.15</v>
      </c>
      <c r="O26" s="9">
        <f t="shared" si="7"/>
        <v>0.15</v>
      </c>
      <c r="P26" s="9">
        <f t="shared" si="7"/>
        <v>0.15</v>
      </c>
      <c r="Q26" s="9">
        <f t="shared" si="7"/>
        <v>0.15</v>
      </c>
      <c r="R26" s="9">
        <f t="shared" si="7"/>
        <v>0.15</v>
      </c>
      <c r="S26" s="9">
        <f t="shared" si="7"/>
        <v>0.15</v>
      </c>
      <c r="T26" s="9">
        <f t="shared" si="7"/>
        <v>0.15</v>
      </c>
      <c r="U26" s="9">
        <f t="shared" si="7"/>
        <v>0.15</v>
      </c>
      <c r="W26" s="8" t="str">
        <f t="shared" si="4"/>
        <v>RHWBIO000</v>
      </c>
      <c r="X26" s="9">
        <v>0.1</v>
      </c>
      <c r="Y26" s="9">
        <v>0.13</v>
      </c>
      <c r="Z26" s="9">
        <v>0.13</v>
      </c>
      <c r="AA26" s="9">
        <v>0.1</v>
      </c>
      <c r="AB26" s="9">
        <v>0.1</v>
      </c>
      <c r="AC26" s="9">
        <v>0.1</v>
      </c>
      <c r="AD26" s="9">
        <v>0.1</v>
      </c>
      <c r="AE26" s="9">
        <v>0.1</v>
      </c>
      <c r="AF26" s="9">
        <v>0.1</v>
      </c>
      <c r="AG26" s="9">
        <v>0.1</v>
      </c>
      <c r="AH26" s="9">
        <v>0.1</v>
      </c>
      <c r="AI26" s="9">
        <v>0.1</v>
      </c>
      <c r="AJ26" s="9">
        <v>0.1</v>
      </c>
      <c r="AK26" s="9">
        <v>0.1</v>
      </c>
      <c r="AL26" s="9">
        <v>0.1</v>
      </c>
      <c r="AN26" s="8" t="str">
        <f t="shared" si="5"/>
        <v>RHWBIO000</v>
      </c>
      <c r="AO26" s="9">
        <f t="shared" si="6"/>
        <v>1</v>
      </c>
      <c r="AP26" s="9"/>
      <c r="AQ26" s="39"/>
      <c r="AR26" s="39"/>
      <c r="AS26" s="39"/>
      <c r="AT26" s="39">
        <v>8.4</v>
      </c>
      <c r="AU26" s="39"/>
      <c r="AV26" s="39"/>
      <c r="AW26" s="39">
        <v>7.2</v>
      </c>
      <c r="AX26" s="39">
        <v>12</v>
      </c>
      <c r="AY26" s="39">
        <v>8.4</v>
      </c>
      <c r="AZ26" s="39">
        <v>9.6</v>
      </c>
      <c r="BA26" s="39">
        <v>7.2</v>
      </c>
      <c r="BB26" s="39">
        <v>9.6</v>
      </c>
      <c r="BC26" s="39">
        <v>1</v>
      </c>
      <c r="BD26" s="9"/>
    </row>
    <row r="27" spans="1:56" x14ac:dyDescent="0.45">
      <c r="A27" s="37" t="str">
        <f>'RES Assumptions'!B110</f>
        <v>RHW</v>
      </c>
      <c r="B27" s="37" t="s">
        <v>137</v>
      </c>
      <c r="D27" s="51" t="s">
        <v>137</v>
      </c>
      <c r="E27" s="8" t="str">
        <f>'RES Assumptions'!A110</f>
        <v>RESCOA</v>
      </c>
      <c r="F27" s="8" t="str">
        <f>VLOOKUP(A27,'RES Assumptions'!$AN$87:$AO$97,2,FALSE)</f>
        <v>RHW</v>
      </c>
      <c r="G27" s="9">
        <v>0.5</v>
      </c>
      <c r="H27" s="9">
        <f t="shared" si="7"/>
        <v>0.5</v>
      </c>
      <c r="I27" s="9">
        <f t="shared" si="7"/>
        <v>0.5</v>
      </c>
      <c r="J27" s="9">
        <f t="shared" si="7"/>
        <v>0.5</v>
      </c>
      <c r="K27" s="9">
        <f t="shared" si="7"/>
        <v>0.5</v>
      </c>
      <c r="L27" s="9">
        <f t="shared" si="7"/>
        <v>0.5</v>
      </c>
      <c r="M27" s="9">
        <f t="shared" si="7"/>
        <v>0.5</v>
      </c>
      <c r="N27" s="9">
        <f t="shared" si="7"/>
        <v>0.5</v>
      </c>
      <c r="O27" s="9">
        <f t="shared" si="7"/>
        <v>0.5</v>
      </c>
      <c r="P27" s="9">
        <f t="shared" si="7"/>
        <v>0.5</v>
      </c>
      <c r="Q27" s="9">
        <f t="shared" si="7"/>
        <v>0.5</v>
      </c>
      <c r="R27" s="9">
        <f t="shared" si="7"/>
        <v>0.5</v>
      </c>
      <c r="S27" s="9">
        <f t="shared" si="7"/>
        <v>0.5</v>
      </c>
      <c r="T27" s="9">
        <f t="shared" si="7"/>
        <v>0.5</v>
      </c>
      <c r="U27" s="9">
        <f t="shared" si="7"/>
        <v>0.5</v>
      </c>
      <c r="W27" s="8" t="str">
        <f t="shared" si="4"/>
        <v>RHWCOA000</v>
      </c>
      <c r="X27" s="9">
        <v>0.1</v>
      </c>
      <c r="Y27" s="9">
        <v>0.13</v>
      </c>
      <c r="Z27" s="9">
        <v>0.13</v>
      </c>
      <c r="AA27" s="9">
        <v>0.1</v>
      </c>
      <c r="AB27" s="9">
        <v>0.1</v>
      </c>
      <c r="AC27" s="9">
        <v>0.1</v>
      </c>
      <c r="AD27" s="9">
        <v>0.1</v>
      </c>
      <c r="AE27" s="9">
        <v>0.1</v>
      </c>
      <c r="AF27" s="9">
        <v>0.1</v>
      </c>
      <c r="AG27" s="9">
        <v>0.1</v>
      </c>
      <c r="AH27" s="9">
        <v>0.1</v>
      </c>
      <c r="AI27" s="9">
        <v>0.1</v>
      </c>
      <c r="AJ27" s="9">
        <v>0.1</v>
      </c>
      <c r="AK27" s="9">
        <v>0.1</v>
      </c>
      <c r="AL27" s="9">
        <v>0.1</v>
      </c>
      <c r="AN27" s="8" t="str">
        <f t="shared" si="5"/>
        <v>RHWCOA000</v>
      </c>
      <c r="AO27" s="9">
        <f t="shared" si="6"/>
        <v>0.6</v>
      </c>
      <c r="AP27" s="9"/>
      <c r="AQ27" s="9"/>
      <c r="AR27" s="9"/>
      <c r="AS27" s="9"/>
      <c r="AT27" s="9">
        <v>2.8</v>
      </c>
      <c r="AU27" s="9"/>
      <c r="AV27" s="9"/>
      <c r="AW27" s="9">
        <v>2.4</v>
      </c>
      <c r="AX27" s="9">
        <v>4</v>
      </c>
      <c r="AY27" s="9">
        <v>2.8</v>
      </c>
      <c r="AZ27" s="9">
        <v>3.2</v>
      </c>
      <c r="BA27" s="9">
        <v>2.4</v>
      </c>
      <c r="BB27" s="9">
        <v>3.2</v>
      </c>
      <c r="BC27" s="9">
        <v>0.6</v>
      </c>
      <c r="BD27" s="9"/>
    </row>
    <row r="28" spans="1:56" x14ac:dyDescent="0.45">
      <c r="A28" s="37" t="str">
        <f>'RES Assumptions'!B111</f>
        <v>RHW</v>
      </c>
      <c r="B28" s="37" t="s">
        <v>138</v>
      </c>
      <c r="D28" s="51" t="s">
        <v>138</v>
      </c>
      <c r="E28" s="8" t="str">
        <f>'RES Assumptions'!A111</f>
        <v>RESOIL</v>
      </c>
      <c r="F28" s="8" t="str">
        <f>VLOOKUP(A28,'RES Assumptions'!$AN$87:$AO$97,2,FALSE)</f>
        <v>RHW</v>
      </c>
      <c r="G28" s="9">
        <v>0.57999999999999996</v>
      </c>
      <c r="H28" s="9">
        <f t="shared" si="7"/>
        <v>0.57999999999999996</v>
      </c>
      <c r="I28" s="9">
        <f t="shared" si="7"/>
        <v>0.57999999999999996</v>
      </c>
      <c r="J28" s="9">
        <f t="shared" si="7"/>
        <v>0.57999999999999996</v>
      </c>
      <c r="K28" s="9">
        <f t="shared" si="7"/>
        <v>0.57999999999999996</v>
      </c>
      <c r="L28" s="9">
        <f t="shared" si="7"/>
        <v>0.57999999999999996</v>
      </c>
      <c r="M28" s="9">
        <f t="shared" si="7"/>
        <v>0.57999999999999996</v>
      </c>
      <c r="N28" s="9">
        <f t="shared" si="7"/>
        <v>0.57999999999999996</v>
      </c>
      <c r="O28" s="9">
        <f t="shared" si="7"/>
        <v>0.57999999999999996</v>
      </c>
      <c r="P28" s="9">
        <f t="shared" si="7"/>
        <v>0.57999999999999996</v>
      </c>
      <c r="Q28" s="9">
        <f t="shared" si="7"/>
        <v>0.57999999999999996</v>
      </c>
      <c r="R28" s="9">
        <f t="shared" si="7"/>
        <v>0.57999999999999996</v>
      </c>
      <c r="S28" s="9">
        <f t="shared" si="7"/>
        <v>0.57999999999999996</v>
      </c>
      <c r="T28" s="9">
        <f t="shared" si="7"/>
        <v>0.57999999999999996</v>
      </c>
      <c r="U28" s="9">
        <f t="shared" si="7"/>
        <v>0.57999999999999996</v>
      </c>
      <c r="W28" s="8" t="str">
        <f t="shared" si="4"/>
        <v>RHWDST000</v>
      </c>
      <c r="X28" s="9">
        <v>0.1</v>
      </c>
      <c r="Y28" s="9">
        <v>0.13</v>
      </c>
      <c r="Z28" s="9">
        <v>0.13</v>
      </c>
      <c r="AA28" s="9">
        <v>0.1</v>
      </c>
      <c r="AB28" s="9">
        <v>0.1</v>
      </c>
      <c r="AC28" s="9">
        <v>0.1</v>
      </c>
      <c r="AD28" s="9">
        <v>0.1</v>
      </c>
      <c r="AE28" s="9">
        <v>0.1</v>
      </c>
      <c r="AF28" s="9">
        <v>0.1</v>
      </c>
      <c r="AG28" s="9">
        <v>0.1</v>
      </c>
      <c r="AH28" s="9">
        <v>0.1</v>
      </c>
      <c r="AI28" s="9">
        <v>0.1</v>
      </c>
      <c r="AJ28" s="9">
        <v>0.1</v>
      </c>
      <c r="AK28" s="9">
        <v>0.1</v>
      </c>
      <c r="AL28" s="9">
        <v>0.1</v>
      </c>
      <c r="AN28" s="8" t="str">
        <f t="shared" si="5"/>
        <v>RHWDST000</v>
      </c>
      <c r="AO28" s="9">
        <f t="shared" si="6"/>
        <v>0.14000000000000001</v>
      </c>
      <c r="AP28" s="9"/>
      <c r="AQ28" s="9"/>
      <c r="AR28" s="9"/>
      <c r="AS28" s="9"/>
      <c r="AT28" s="9">
        <v>1.4</v>
      </c>
      <c r="AU28" s="9"/>
      <c r="AV28" s="9"/>
      <c r="AW28" s="9">
        <v>1.2</v>
      </c>
      <c r="AX28" s="9">
        <v>2</v>
      </c>
      <c r="AY28" s="9">
        <v>1.4</v>
      </c>
      <c r="AZ28" s="9">
        <v>1.6</v>
      </c>
      <c r="BA28" s="9">
        <v>1.2</v>
      </c>
      <c r="BB28" s="9">
        <v>1.6</v>
      </c>
      <c r="BC28" s="9">
        <v>0.14000000000000001</v>
      </c>
      <c r="BD28" s="9"/>
    </row>
    <row r="29" spans="1:56" x14ac:dyDescent="0.45">
      <c r="A29" s="37" t="str">
        <f>'RES Assumptions'!B112</f>
        <v>RHW</v>
      </c>
      <c r="B29" s="37" t="s">
        <v>139</v>
      </c>
      <c r="D29" s="51" t="s">
        <v>139</v>
      </c>
      <c r="E29" s="8" t="str">
        <f>'RES Assumptions'!A112</f>
        <v>RESELC</v>
      </c>
      <c r="F29" s="8" t="str">
        <f>VLOOKUP(A29,'RES Assumptions'!$AN$87:$AO$97,2,FALSE)</f>
        <v>RHW</v>
      </c>
      <c r="G29" s="9">
        <v>0.9</v>
      </c>
      <c r="H29" s="9">
        <f t="shared" si="7"/>
        <v>0.9</v>
      </c>
      <c r="I29" s="9">
        <f t="shared" si="7"/>
        <v>0.9</v>
      </c>
      <c r="J29" s="9">
        <f t="shared" si="7"/>
        <v>0.9</v>
      </c>
      <c r="K29" s="9">
        <f t="shared" si="7"/>
        <v>0.9</v>
      </c>
      <c r="L29" s="9">
        <f t="shared" si="7"/>
        <v>0.9</v>
      </c>
      <c r="M29" s="9">
        <f t="shared" si="7"/>
        <v>0.9</v>
      </c>
      <c r="N29" s="9">
        <f t="shared" si="7"/>
        <v>0.9</v>
      </c>
      <c r="O29" s="9">
        <f t="shared" si="7"/>
        <v>0.9</v>
      </c>
      <c r="P29" s="9">
        <f t="shared" si="7"/>
        <v>0.9</v>
      </c>
      <c r="Q29" s="9">
        <f t="shared" si="7"/>
        <v>0.9</v>
      </c>
      <c r="R29" s="9">
        <f t="shared" si="7"/>
        <v>0.9</v>
      </c>
      <c r="S29" s="9">
        <f t="shared" si="7"/>
        <v>0.9</v>
      </c>
      <c r="T29" s="9">
        <f t="shared" si="7"/>
        <v>0.9</v>
      </c>
      <c r="U29" s="9">
        <f t="shared" si="7"/>
        <v>0.9</v>
      </c>
      <c r="W29" s="8" t="str">
        <f t="shared" si="4"/>
        <v>RHWELC000</v>
      </c>
      <c r="X29" s="9">
        <v>0.1</v>
      </c>
      <c r="Y29" s="9">
        <v>0.13</v>
      </c>
      <c r="Z29" s="9">
        <v>0.13</v>
      </c>
      <c r="AA29" s="9">
        <v>0.1</v>
      </c>
      <c r="AB29" s="9">
        <v>0.1</v>
      </c>
      <c r="AC29" s="9">
        <v>0.1</v>
      </c>
      <c r="AD29" s="9">
        <v>0.1</v>
      </c>
      <c r="AE29" s="9">
        <v>0.1</v>
      </c>
      <c r="AF29" s="9">
        <v>0.1</v>
      </c>
      <c r="AG29" s="9">
        <v>0.1</v>
      </c>
      <c r="AH29" s="9">
        <v>0.1</v>
      </c>
      <c r="AI29" s="9">
        <v>0.1</v>
      </c>
      <c r="AJ29" s="9">
        <v>0.1</v>
      </c>
      <c r="AK29" s="9">
        <v>0.1</v>
      </c>
      <c r="AL29" s="9">
        <v>0.1</v>
      </c>
      <c r="AN29" s="8" t="str">
        <f t="shared" si="5"/>
        <v>RHWELC000</v>
      </c>
      <c r="AO29" s="9">
        <f t="shared" si="6"/>
        <v>0.16</v>
      </c>
      <c r="AP29" s="9"/>
      <c r="AQ29" s="9"/>
      <c r="AR29" s="9"/>
      <c r="AS29" s="9"/>
      <c r="AT29" s="9">
        <v>12.6</v>
      </c>
      <c r="AU29" s="9"/>
      <c r="AV29" s="9"/>
      <c r="AW29" s="9">
        <v>10.8</v>
      </c>
      <c r="AX29" s="9">
        <v>18</v>
      </c>
      <c r="AY29" s="9">
        <v>12.6</v>
      </c>
      <c r="AZ29" s="9">
        <v>14.4</v>
      </c>
      <c r="BA29" s="9">
        <v>10.8</v>
      </c>
      <c r="BB29" s="9">
        <v>14.4</v>
      </c>
      <c r="BC29" s="9">
        <v>0.16</v>
      </c>
      <c r="BD29" s="9"/>
    </row>
    <row r="30" spans="1:56" x14ac:dyDescent="0.45">
      <c r="A30" s="37" t="str">
        <f>'RES Assumptions'!B113</f>
        <v>RHW</v>
      </c>
      <c r="B30" s="37" t="s">
        <v>140</v>
      </c>
      <c r="D30" s="51" t="s">
        <v>140</v>
      </c>
      <c r="E30" s="8" t="str">
        <f>'RES Assumptions'!A113</f>
        <v>RESGEO</v>
      </c>
      <c r="F30" s="8" t="str">
        <f>VLOOKUP(A30,'RES Assumptions'!$AN$87:$AO$97,2,FALSE)</f>
        <v>RHW</v>
      </c>
      <c r="G30" s="9">
        <v>1</v>
      </c>
      <c r="H30" s="9">
        <f t="shared" si="7"/>
        <v>1</v>
      </c>
      <c r="I30" s="9">
        <f t="shared" si="7"/>
        <v>1</v>
      </c>
      <c r="J30" s="9">
        <f t="shared" si="7"/>
        <v>1</v>
      </c>
      <c r="K30" s="9">
        <f t="shared" si="7"/>
        <v>1</v>
      </c>
      <c r="L30" s="9">
        <f t="shared" si="7"/>
        <v>1</v>
      </c>
      <c r="M30" s="9">
        <f t="shared" si="7"/>
        <v>1</v>
      </c>
      <c r="N30" s="9">
        <f t="shared" si="7"/>
        <v>1</v>
      </c>
      <c r="O30" s="9">
        <f t="shared" si="7"/>
        <v>1</v>
      </c>
      <c r="P30" s="9">
        <f t="shared" si="7"/>
        <v>1</v>
      </c>
      <c r="Q30" s="9">
        <f t="shared" si="7"/>
        <v>1</v>
      </c>
      <c r="R30" s="9">
        <f t="shared" si="7"/>
        <v>1</v>
      </c>
      <c r="S30" s="9">
        <f t="shared" si="7"/>
        <v>1</v>
      </c>
      <c r="T30" s="9">
        <f t="shared" si="7"/>
        <v>1</v>
      </c>
      <c r="U30" s="9">
        <f t="shared" si="7"/>
        <v>1</v>
      </c>
      <c r="W30" s="8" t="str">
        <f t="shared" si="4"/>
        <v>RHWGEO000</v>
      </c>
      <c r="X30" s="9">
        <v>0.1</v>
      </c>
      <c r="Y30" s="9">
        <v>0.1</v>
      </c>
      <c r="Z30" s="9">
        <v>0.1</v>
      </c>
      <c r="AA30" s="9">
        <v>0.1</v>
      </c>
      <c r="AB30" s="9">
        <v>0.1</v>
      </c>
      <c r="AC30" s="9">
        <v>0.1</v>
      </c>
      <c r="AD30" s="9">
        <v>0.1</v>
      </c>
      <c r="AE30" s="9">
        <v>0.1</v>
      </c>
      <c r="AF30" s="9">
        <v>0.1</v>
      </c>
      <c r="AG30" s="9">
        <v>0.1</v>
      </c>
      <c r="AH30" s="9">
        <v>0.1</v>
      </c>
      <c r="AI30" s="9">
        <v>0.1</v>
      </c>
      <c r="AJ30" s="9">
        <v>0.1</v>
      </c>
      <c r="AK30" s="9">
        <v>0.1</v>
      </c>
      <c r="AL30" s="9">
        <v>0.1</v>
      </c>
      <c r="AN30" s="8" t="str">
        <f t="shared" si="5"/>
        <v>RHWGEO000</v>
      </c>
      <c r="AO30" s="9">
        <f t="shared" si="6"/>
        <v>0.98399999999999999</v>
      </c>
      <c r="AP30" s="9">
        <v>1.1479999999999999</v>
      </c>
      <c r="AQ30" s="9">
        <v>1.3120000000000001</v>
      </c>
      <c r="AR30" s="9">
        <v>1.64</v>
      </c>
      <c r="AS30" s="9">
        <v>0.98399999999999999</v>
      </c>
      <c r="AT30" s="9">
        <v>1.1479999999999999</v>
      </c>
      <c r="AU30" s="9">
        <v>1.1479999999999999</v>
      </c>
      <c r="AV30" s="9">
        <v>1.1479999999999999</v>
      </c>
      <c r="AW30" s="9">
        <v>0.98399999999999999</v>
      </c>
      <c r="AX30" s="9">
        <v>1.64</v>
      </c>
      <c r="AY30" s="9">
        <v>1.1479999999999999</v>
      </c>
      <c r="AZ30" s="9">
        <v>1.3120000000000001</v>
      </c>
      <c r="BA30" s="9">
        <v>0.98399999999999999</v>
      </c>
      <c r="BB30" s="9">
        <v>1.3120000000000001</v>
      </c>
      <c r="BC30" s="9">
        <v>1.64</v>
      </c>
      <c r="BD30" s="9">
        <v>1.476</v>
      </c>
    </row>
    <row r="31" spans="1:56" x14ac:dyDescent="0.45">
      <c r="A31" s="37" t="str">
        <f>'RES Assumptions'!B114</f>
        <v>RHW</v>
      </c>
      <c r="B31" s="37" t="s">
        <v>141</v>
      </c>
      <c r="D31" s="51" t="s">
        <v>141</v>
      </c>
      <c r="E31" s="8" t="str">
        <f>'RES Assumptions'!A114</f>
        <v>RESHET</v>
      </c>
      <c r="F31" s="8" t="str">
        <f>VLOOKUP(A31,'RES Assumptions'!$AN$87:$AO$97,2,FALSE)</f>
        <v>RHW</v>
      </c>
      <c r="G31" s="9">
        <v>1</v>
      </c>
      <c r="H31" s="9">
        <f t="shared" si="7"/>
        <v>1</v>
      </c>
      <c r="I31" s="9">
        <f t="shared" si="7"/>
        <v>1</v>
      </c>
      <c r="J31" s="9">
        <f t="shared" si="7"/>
        <v>1</v>
      </c>
      <c r="K31" s="9">
        <f t="shared" si="7"/>
        <v>1</v>
      </c>
      <c r="L31" s="9">
        <f t="shared" si="7"/>
        <v>1</v>
      </c>
      <c r="M31" s="9">
        <f t="shared" si="7"/>
        <v>1</v>
      </c>
      <c r="N31" s="9">
        <f t="shared" si="7"/>
        <v>1</v>
      </c>
      <c r="O31" s="9">
        <f t="shared" si="7"/>
        <v>1</v>
      </c>
      <c r="P31" s="9">
        <f t="shared" si="7"/>
        <v>1</v>
      </c>
      <c r="Q31" s="9">
        <f t="shared" si="7"/>
        <v>1</v>
      </c>
      <c r="R31" s="9">
        <f t="shared" si="7"/>
        <v>1</v>
      </c>
      <c r="S31" s="9">
        <f t="shared" si="7"/>
        <v>1</v>
      </c>
      <c r="T31" s="9">
        <f t="shared" si="7"/>
        <v>1</v>
      </c>
      <c r="U31" s="9">
        <f t="shared" si="7"/>
        <v>1</v>
      </c>
      <c r="W31" s="8" t="str">
        <f t="shared" si="4"/>
        <v>RHWHET000</v>
      </c>
      <c r="X31" s="9">
        <v>0.1</v>
      </c>
      <c r="Y31" s="9">
        <v>0.1</v>
      </c>
      <c r="Z31" s="9">
        <v>0.1</v>
      </c>
      <c r="AA31" s="9">
        <v>0.1</v>
      </c>
      <c r="AB31" s="9">
        <v>0.1</v>
      </c>
      <c r="AC31" s="9">
        <v>0.1</v>
      </c>
      <c r="AD31" s="9">
        <v>0.1</v>
      </c>
      <c r="AE31" s="9">
        <v>0.1</v>
      </c>
      <c r="AF31" s="9">
        <v>0.1</v>
      </c>
      <c r="AG31" s="9">
        <v>0.1</v>
      </c>
      <c r="AH31" s="9">
        <v>0.1</v>
      </c>
      <c r="AI31" s="9">
        <v>0.1</v>
      </c>
      <c r="AJ31" s="9">
        <v>0.1</v>
      </c>
      <c r="AK31" s="9">
        <v>0.1</v>
      </c>
      <c r="AL31" s="9">
        <v>0.1</v>
      </c>
      <c r="AN31" s="8" t="str">
        <f t="shared" si="5"/>
        <v>RHWHET000</v>
      </c>
      <c r="AO31" s="9">
        <f t="shared" si="6"/>
        <v>0.98399999999999999</v>
      </c>
      <c r="AP31" s="9">
        <v>1.1479999999999999</v>
      </c>
      <c r="AQ31" s="9">
        <v>1.3120000000000001</v>
      </c>
      <c r="AR31" s="9">
        <v>1.64</v>
      </c>
      <c r="AS31" s="9">
        <v>0.98399999999999999</v>
      </c>
      <c r="AT31" s="9">
        <v>1.1479999999999999</v>
      </c>
      <c r="AU31" s="9">
        <v>1.1479999999999999</v>
      </c>
      <c r="AV31" s="9">
        <v>1.1479999999999999</v>
      </c>
      <c r="AW31" s="9">
        <v>0.98399999999999999</v>
      </c>
      <c r="AX31" s="9">
        <v>1.64</v>
      </c>
      <c r="AY31" s="9">
        <v>1.1479999999999999</v>
      </c>
      <c r="AZ31" s="9">
        <v>1.3120000000000001</v>
      </c>
      <c r="BA31" s="9">
        <v>0.98399999999999999</v>
      </c>
      <c r="BB31" s="9">
        <v>1.3120000000000001</v>
      </c>
      <c r="BC31" s="9">
        <v>1.64</v>
      </c>
      <c r="BD31" s="9">
        <v>1.476</v>
      </c>
    </row>
    <row r="32" spans="1:56" x14ac:dyDescent="0.45">
      <c r="A32" s="37" t="str">
        <f>'RES Assumptions'!B115</f>
        <v>RHW</v>
      </c>
      <c r="B32" s="37" t="s">
        <v>142</v>
      </c>
      <c r="D32" s="51" t="s">
        <v>142</v>
      </c>
      <c r="E32" s="8" t="str">
        <f>'RES Assumptions'!A115</f>
        <v>RESHFO</v>
      </c>
      <c r="F32" s="8" t="str">
        <f>VLOOKUP(A32,'RES Assumptions'!$AN$87:$AO$97,2,FALSE)</f>
        <v>RHW</v>
      </c>
      <c r="G32" s="9">
        <v>0.57999999999999996</v>
      </c>
      <c r="H32" s="9">
        <f t="shared" si="7"/>
        <v>0.57999999999999996</v>
      </c>
      <c r="I32" s="9">
        <f t="shared" si="7"/>
        <v>0.57999999999999996</v>
      </c>
      <c r="J32" s="9">
        <f t="shared" si="7"/>
        <v>0.57999999999999996</v>
      </c>
      <c r="K32" s="9">
        <f t="shared" si="7"/>
        <v>0.57999999999999996</v>
      </c>
      <c r="L32" s="9">
        <f t="shared" si="7"/>
        <v>0.57999999999999996</v>
      </c>
      <c r="M32" s="9">
        <f t="shared" si="7"/>
        <v>0.57999999999999996</v>
      </c>
      <c r="N32" s="9">
        <f t="shared" si="7"/>
        <v>0.57999999999999996</v>
      </c>
      <c r="O32" s="9">
        <f t="shared" si="7"/>
        <v>0.57999999999999996</v>
      </c>
      <c r="P32" s="9">
        <f t="shared" si="7"/>
        <v>0.57999999999999996</v>
      </c>
      <c r="Q32" s="9">
        <f t="shared" si="7"/>
        <v>0.57999999999999996</v>
      </c>
      <c r="R32" s="9">
        <f t="shared" si="7"/>
        <v>0.57999999999999996</v>
      </c>
      <c r="S32" s="9">
        <f t="shared" si="7"/>
        <v>0.57999999999999996</v>
      </c>
      <c r="T32" s="9">
        <f t="shared" si="7"/>
        <v>0.57999999999999996</v>
      </c>
      <c r="U32" s="9">
        <f t="shared" si="7"/>
        <v>0.57999999999999996</v>
      </c>
      <c r="W32" s="8" t="str">
        <f t="shared" si="4"/>
        <v>RHWHFO000</v>
      </c>
      <c r="X32" s="9">
        <v>0.1</v>
      </c>
      <c r="Y32" s="9">
        <v>0.1</v>
      </c>
      <c r="Z32" s="9">
        <v>0.1</v>
      </c>
      <c r="AA32" s="9">
        <v>0.1</v>
      </c>
      <c r="AB32" s="9">
        <v>0.1</v>
      </c>
      <c r="AC32" s="9">
        <v>0.1</v>
      </c>
      <c r="AD32" s="9">
        <v>0.1</v>
      </c>
      <c r="AE32" s="9">
        <v>0.1</v>
      </c>
      <c r="AF32" s="9">
        <v>0.1</v>
      </c>
      <c r="AG32" s="9">
        <v>0.1</v>
      </c>
      <c r="AH32" s="9">
        <v>0.1</v>
      </c>
      <c r="AI32" s="9">
        <v>0.1</v>
      </c>
      <c r="AJ32" s="9">
        <v>0.1</v>
      </c>
      <c r="AK32" s="9">
        <v>0.1</v>
      </c>
      <c r="AL32" s="9">
        <v>0.1</v>
      </c>
      <c r="AN32" s="8" t="str">
        <f t="shared" si="5"/>
        <v>RHWHFO000</v>
      </c>
      <c r="AO32" s="9">
        <f t="shared" si="6"/>
        <v>8.4000000000000005E-2</v>
      </c>
      <c r="AP32" s="9">
        <v>9.8000000000000004E-2</v>
      </c>
      <c r="AQ32" s="9">
        <v>0.112</v>
      </c>
      <c r="AR32" s="9">
        <v>0.14000000000000001</v>
      </c>
      <c r="AS32" s="9">
        <v>8.4000000000000005E-2</v>
      </c>
      <c r="AT32" s="9">
        <v>9.8000000000000004E-2</v>
      </c>
      <c r="AU32" s="9">
        <v>9.8000000000000004E-2</v>
      </c>
      <c r="AV32" s="9">
        <v>9.8000000000000004E-2</v>
      </c>
      <c r="AW32" s="9">
        <v>8.4000000000000005E-2</v>
      </c>
      <c r="AX32" s="9">
        <v>0.14000000000000001</v>
      </c>
      <c r="AY32" s="9">
        <v>9.8000000000000004E-2</v>
      </c>
      <c r="AZ32" s="9">
        <v>0.112</v>
      </c>
      <c r="BA32" s="9">
        <v>8.4000000000000005E-2</v>
      </c>
      <c r="BB32" s="9">
        <v>0.112</v>
      </c>
      <c r="BC32" s="9">
        <v>0.14000000000000001</v>
      </c>
      <c r="BD32" s="9">
        <v>0.126</v>
      </c>
    </row>
    <row r="33" spans="1:56" x14ac:dyDescent="0.45">
      <c r="A33" s="37" t="str">
        <f>'RES Assumptions'!B116</f>
        <v>RHW</v>
      </c>
      <c r="B33" s="37" t="s">
        <v>143</v>
      </c>
      <c r="D33" s="51" t="s">
        <v>143</v>
      </c>
      <c r="E33" s="8" t="str">
        <f>'RES Assumptions'!A116</f>
        <v>RESKER</v>
      </c>
      <c r="F33" s="8" t="str">
        <f>VLOOKUP(A33,'RES Assumptions'!$AN$87:$AO$97,2,FALSE)</f>
        <v>RHW</v>
      </c>
      <c r="G33" s="9">
        <v>0.57999999999999996</v>
      </c>
      <c r="H33" s="9">
        <f t="shared" si="7"/>
        <v>0.57999999999999996</v>
      </c>
      <c r="I33" s="9">
        <f t="shared" si="7"/>
        <v>0.57999999999999996</v>
      </c>
      <c r="J33" s="9">
        <f t="shared" si="7"/>
        <v>0.57999999999999996</v>
      </c>
      <c r="K33" s="9">
        <f t="shared" si="7"/>
        <v>0.57999999999999996</v>
      </c>
      <c r="L33" s="9">
        <f t="shared" si="7"/>
        <v>0.57999999999999996</v>
      </c>
      <c r="M33" s="9">
        <f t="shared" si="7"/>
        <v>0.57999999999999996</v>
      </c>
      <c r="N33" s="9">
        <f t="shared" si="7"/>
        <v>0.57999999999999996</v>
      </c>
      <c r="O33" s="9">
        <f t="shared" si="7"/>
        <v>0.57999999999999996</v>
      </c>
      <c r="P33" s="9">
        <f t="shared" si="7"/>
        <v>0.57999999999999996</v>
      </c>
      <c r="Q33" s="9">
        <f t="shared" si="7"/>
        <v>0.57999999999999996</v>
      </c>
      <c r="R33" s="9">
        <f t="shared" si="7"/>
        <v>0.57999999999999996</v>
      </c>
      <c r="S33" s="9">
        <f t="shared" si="7"/>
        <v>0.57999999999999996</v>
      </c>
      <c r="T33" s="9">
        <f t="shared" si="7"/>
        <v>0.57999999999999996</v>
      </c>
      <c r="U33" s="9">
        <f t="shared" si="7"/>
        <v>0.57999999999999996</v>
      </c>
      <c r="W33" s="8" t="str">
        <f t="shared" si="4"/>
        <v>RHWKER000</v>
      </c>
      <c r="X33" s="9">
        <v>0.1</v>
      </c>
      <c r="Y33" s="9">
        <v>0.13</v>
      </c>
      <c r="Z33" s="9">
        <v>0.13</v>
      </c>
      <c r="AA33" s="9">
        <v>0.1</v>
      </c>
      <c r="AB33" s="9">
        <v>0.1</v>
      </c>
      <c r="AC33" s="9">
        <v>0.1</v>
      </c>
      <c r="AD33" s="9">
        <v>0.1</v>
      </c>
      <c r="AE33" s="9">
        <v>0.1</v>
      </c>
      <c r="AF33" s="9">
        <v>0.1</v>
      </c>
      <c r="AG33" s="9">
        <v>0.1</v>
      </c>
      <c r="AH33" s="9">
        <v>0.1</v>
      </c>
      <c r="AI33" s="9">
        <v>0.1</v>
      </c>
      <c r="AJ33" s="9">
        <v>0.1</v>
      </c>
      <c r="AK33" s="9">
        <v>0.1</v>
      </c>
      <c r="AL33" s="9">
        <v>0.1</v>
      </c>
      <c r="AN33" s="8" t="str">
        <f t="shared" si="5"/>
        <v>RHWKER000</v>
      </c>
      <c r="AO33" s="9">
        <f t="shared" si="6"/>
        <v>0.2</v>
      </c>
      <c r="AP33" s="9"/>
      <c r="AQ33" s="9"/>
      <c r="AR33" s="9"/>
      <c r="AS33" s="9"/>
      <c r="AT33" s="9">
        <v>5.6</v>
      </c>
      <c r="AU33" s="9"/>
      <c r="AV33" s="9"/>
      <c r="AW33" s="9">
        <v>4.8</v>
      </c>
      <c r="AX33" s="9">
        <v>8</v>
      </c>
      <c r="AY33" s="9">
        <v>5.6</v>
      </c>
      <c r="AZ33" s="9">
        <v>6.4</v>
      </c>
      <c r="BA33" s="9">
        <v>4.8</v>
      </c>
      <c r="BB33" s="9">
        <v>6.4</v>
      </c>
      <c r="BC33" s="9">
        <v>0.2</v>
      </c>
      <c r="BD33" s="9"/>
    </row>
    <row r="34" spans="1:56" x14ac:dyDescent="0.45">
      <c r="A34" s="37" t="str">
        <f>'RES Assumptions'!B117</f>
        <v>RHW</v>
      </c>
      <c r="B34" s="37" t="s">
        <v>144</v>
      </c>
      <c r="D34" s="51" t="s">
        <v>144</v>
      </c>
      <c r="E34" s="8" t="str">
        <f>'RES Assumptions'!A117</f>
        <v>RESLPG</v>
      </c>
      <c r="F34" s="8" t="str">
        <f>VLOOKUP(A34,'RES Assumptions'!$AN$87:$AO$97,2,FALSE)</f>
        <v>RHW</v>
      </c>
      <c r="G34" s="9">
        <v>0.54</v>
      </c>
      <c r="H34" s="9">
        <f t="shared" si="7"/>
        <v>0.54</v>
      </c>
      <c r="I34" s="9">
        <f t="shared" si="7"/>
        <v>0.54</v>
      </c>
      <c r="J34" s="9">
        <f t="shared" si="7"/>
        <v>0.54</v>
      </c>
      <c r="K34" s="9">
        <f t="shared" si="7"/>
        <v>0.54</v>
      </c>
      <c r="L34" s="9">
        <f t="shared" si="7"/>
        <v>0.54</v>
      </c>
      <c r="M34" s="9">
        <f t="shared" si="7"/>
        <v>0.54</v>
      </c>
      <c r="N34" s="9">
        <f t="shared" si="7"/>
        <v>0.54</v>
      </c>
      <c r="O34" s="9">
        <f t="shared" si="7"/>
        <v>0.54</v>
      </c>
      <c r="P34" s="9">
        <f t="shared" si="7"/>
        <v>0.54</v>
      </c>
      <c r="Q34" s="9">
        <f t="shared" si="7"/>
        <v>0.54</v>
      </c>
      <c r="R34" s="9">
        <f t="shared" si="7"/>
        <v>0.54</v>
      </c>
      <c r="S34" s="9">
        <f t="shared" si="7"/>
        <v>0.54</v>
      </c>
      <c r="T34" s="9">
        <f t="shared" si="7"/>
        <v>0.54</v>
      </c>
      <c r="U34" s="9">
        <f t="shared" si="7"/>
        <v>0.54</v>
      </c>
      <c r="W34" s="8" t="str">
        <f t="shared" si="4"/>
        <v>RHWLPG000</v>
      </c>
      <c r="X34" s="9">
        <v>0.1</v>
      </c>
      <c r="Y34" s="9">
        <v>0.13</v>
      </c>
      <c r="Z34" s="9">
        <v>0.13</v>
      </c>
      <c r="AA34" s="9">
        <v>0.1</v>
      </c>
      <c r="AB34" s="9">
        <v>0.1</v>
      </c>
      <c r="AC34" s="9">
        <v>0.1</v>
      </c>
      <c r="AD34" s="9">
        <v>0.1</v>
      </c>
      <c r="AE34" s="9">
        <v>0.1</v>
      </c>
      <c r="AF34" s="9">
        <v>0.1</v>
      </c>
      <c r="AG34" s="9">
        <v>0.1</v>
      </c>
      <c r="AH34" s="9">
        <v>0.1</v>
      </c>
      <c r="AI34" s="9">
        <v>0.1</v>
      </c>
      <c r="AJ34" s="9">
        <v>0.1</v>
      </c>
      <c r="AK34" s="9">
        <v>0.1</v>
      </c>
      <c r="AL34" s="9">
        <v>0.1</v>
      </c>
      <c r="AN34" s="8" t="str">
        <f t="shared" si="5"/>
        <v>RHWLPG000</v>
      </c>
      <c r="AO34" s="9">
        <f t="shared" si="6"/>
        <v>0.2</v>
      </c>
      <c r="AP34" s="9"/>
      <c r="AQ34" s="9"/>
      <c r="AR34" s="9"/>
      <c r="AS34" s="9"/>
      <c r="AT34" s="9">
        <v>7</v>
      </c>
      <c r="AU34" s="9"/>
      <c r="AV34" s="9"/>
      <c r="AW34" s="9">
        <v>6</v>
      </c>
      <c r="AX34" s="9">
        <v>10</v>
      </c>
      <c r="AY34" s="9">
        <v>7</v>
      </c>
      <c r="AZ34" s="9">
        <v>8</v>
      </c>
      <c r="BA34" s="9">
        <v>6</v>
      </c>
      <c r="BB34" s="9">
        <v>8</v>
      </c>
      <c r="BC34" s="9">
        <v>0.2</v>
      </c>
      <c r="BD34" s="9"/>
    </row>
    <row r="35" spans="1:56" x14ac:dyDescent="0.45">
      <c r="A35" s="37" t="str">
        <f>'RES Assumptions'!B118</f>
        <v>RHW</v>
      </c>
      <c r="B35" s="37" t="s">
        <v>145</v>
      </c>
      <c r="D35" s="51" t="s">
        <v>145</v>
      </c>
      <c r="E35" s="8" t="str">
        <f>'RES Assumptions'!A118</f>
        <v>RESNGA</v>
      </c>
      <c r="F35" s="8" t="str">
        <f>VLOOKUP(A35,'RES Assumptions'!$AN$87:$AO$97,2,FALSE)</f>
        <v>RHW</v>
      </c>
      <c r="G35" s="9">
        <v>0.65</v>
      </c>
      <c r="H35" s="9">
        <f t="shared" si="7"/>
        <v>0.65</v>
      </c>
      <c r="I35" s="9">
        <f t="shared" si="7"/>
        <v>0.65</v>
      </c>
      <c r="J35" s="9">
        <f t="shared" si="7"/>
        <v>0.65</v>
      </c>
      <c r="K35" s="9">
        <f t="shared" si="7"/>
        <v>0.65</v>
      </c>
      <c r="L35" s="9">
        <f t="shared" si="7"/>
        <v>0.65</v>
      </c>
      <c r="M35" s="9">
        <f t="shared" si="7"/>
        <v>0.65</v>
      </c>
      <c r="N35" s="9">
        <f t="shared" si="7"/>
        <v>0.65</v>
      </c>
      <c r="O35" s="9">
        <f t="shared" si="7"/>
        <v>0.65</v>
      </c>
      <c r="P35" s="9">
        <f t="shared" si="7"/>
        <v>0.65</v>
      </c>
      <c r="Q35" s="9">
        <f t="shared" si="7"/>
        <v>0.65</v>
      </c>
      <c r="R35" s="9">
        <f t="shared" si="7"/>
        <v>0.65</v>
      </c>
      <c r="S35" s="9">
        <f t="shared" si="7"/>
        <v>0.65</v>
      </c>
      <c r="T35" s="9">
        <f t="shared" si="7"/>
        <v>0.65</v>
      </c>
      <c r="U35" s="9">
        <f t="shared" si="7"/>
        <v>0.65</v>
      </c>
      <c r="W35" s="8" t="str">
        <f t="shared" si="4"/>
        <v>RHWNGA000</v>
      </c>
      <c r="X35" s="9">
        <v>0.1</v>
      </c>
      <c r="Y35" s="9">
        <v>0.13</v>
      </c>
      <c r="Z35" s="9">
        <v>0.13</v>
      </c>
      <c r="AA35" s="9">
        <v>0.1</v>
      </c>
      <c r="AB35" s="9">
        <v>0.1</v>
      </c>
      <c r="AC35" s="9">
        <v>0.1</v>
      </c>
      <c r="AD35" s="9">
        <v>0.1</v>
      </c>
      <c r="AE35" s="9">
        <v>0.1</v>
      </c>
      <c r="AF35" s="9">
        <v>0.1</v>
      </c>
      <c r="AG35" s="9">
        <v>0.1</v>
      </c>
      <c r="AH35" s="9">
        <v>0.1</v>
      </c>
      <c r="AI35" s="9">
        <v>0.1</v>
      </c>
      <c r="AJ35" s="9">
        <v>0.1</v>
      </c>
      <c r="AK35" s="9">
        <v>0.1</v>
      </c>
      <c r="AL35" s="9">
        <v>0.1</v>
      </c>
      <c r="AN35" s="8" t="str">
        <f t="shared" si="5"/>
        <v>RHWNGA000</v>
      </c>
      <c r="AO35" s="9">
        <f t="shared" si="6"/>
        <v>0.06</v>
      </c>
      <c r="AP35" s="9"/>
      <c r="AQ35" s="9"/>
      <c r="AR35" s="9"/>
      <c r="AS35" s="9"/>
      <c r="AT35" s="9">
        <v>4.2</v>
      </c>
      <c r="AU35" s="9"/>
      <c r="AV35" s="9"/>
      <c r="AW35" s="9">
        <v>3.6</v>
      </c>
      <c r="AX35" s="9">
        <v>6</v>
      </c>
      <c r="AY35" s="9">
        <v>4.2</v>
      </c>
      <c r="AZ35" s="9">
        <v>4.8</v>
      </c>
      <c r="BA35" s="9">
        <v>3.6</v>
      </c>
      <c r="BB35" s="9">
        <v>4.8</v>
      </c>
      <c r="BC35" s="9">
        <v>0.06</v>
      </c>
      <c r="BD35" s="9"/>
    </row>
    <row r="36" spans="1:56" x14ac:dyDescent="0.45">
      <c r="A36" s="37" t="str">
        <f>'RES Assumptions'!B119</f>
        <v>RHW</v>
      </c>
      <c r="B36" s="37" t="s">
        <v>378</v>
      </c>
      <c r="D36" s="51" t="s">
        <v>378</v>
      </c>
      <c r="E36" s="8" t="str">
        <f>'RES Assumptions'!A119</f>
        <v>RESSTH</v>
      </c>
      <c r="F36" s="8" t="str">
        <f>VLOOKUP(A36,'RES Assumptions'!$AN$87:$AO$97,2,FALSE)</f>
        <v>RHW</v>
      </c>
      <c r="G36" s="9">
        <v>1</v>
      </c>
      <c r="H36" s="9">
        <f t="shared" si="7"/>
        <v>1</v>
      </c>
      <c r="I36" s="9">
        <f t="shared" si="7"/>
        <v>1</v>
      </c>
      <c r="J36" s="9">
        <f t="shared" si="7"/>
        <v>1</v>
      </c>
      <c r="K36" s="9">
        <f t="shared" si="7"/>
        <v>1</v>
      </c>
      <c r="L36" s="9">
        <f t="shared" si="7"/>
        <v>1</v>
      </c>
      <c r="M36" s="9">
        <f t="shared" si="7"/>
        <v>1</v>
      </c>
      <c r="N36" s="9">
        <f t="shared" si="7"/>
        <v>1</v>
      </c>
      <c r="O36" s="9">
        <f t="shared" si="7"/>
        <v>1</v>
      </c>
      <c r="P36" s="9">
        <f t="shared" si="7"/>
        <v>1</v>
      </c>
      <c r="Q36" s="9">
        <f t="shared" si="7"/>
        <v>1</v>
      </c>
      <c r="R36" s="9">
        <f t="shared" si="7"/>
        <v>1</v>
      </c>
      <c r="S36" s="9">
        <f t="shared" si="7"/>
        <v>1</v>
      </c>
      <c r="T36" s="9">
        <f t="shared" si="7"/>
        <v>1</v>
      </c>
      <c r="U36" s="9">
        <f t="shared" si="7"/>
        <v>1</v>
      </c>
      <c r="W36" s="8" t="str">
        <f t="shared" si="4"/>
        <v>RHWSTH000</v>
      </c>
      <c r="X36" s="9">
        <v>0.1</v>
      </c>
      <c r="Y36" s="9">
        <v>0.13</v>
      </c>
      <c r="Z36" s="9">
        <v>0.13</v>
      </c>
      <c r="AA36" s="9">
        <v>0.1</v>
      </c>
      <c r="AB36" s="9">
        <v>0.1</v>
      </c>
      <c r="AC36" s="9">
        <v>0.1</v>
      </c>
      <c r="AD36" s="9">
        <v>0.1</v>
      </c>
      <c r="AE36" s="9">
        <v>0.1</v>
      </c>
      <c r="AF36" s="9">
        <v>0.1</v>
      </c>
      <c r="AG36" s="9">
        <v>0.1</v>
      </c>
      <c r="AH36" s="9">
        <v>0.1</v>
      </c>
      <c r="AI36" s="9">
        <v>0.1</v>
      </c>
      <c r="AJ36" s="9">
        <v>0.1</v>
      </c>
      <c r="AK36" s="9">
        <v>0.1</v>
      </c>
      <c r="AL36" s="9">
        <v>0.1</v>
      </c>
      <c r="AN36" s="8" t="str">
        <f t="shared" si="5"/>
        <v>RHWSTH000</v>
      </c>
      <c r="AO36" s="9">
        <f t="shared" si="6"/>
        <v>1.64</v>
      </c>
      <c r="AP36" s="9"/>
      <c r="AQ36" s="9"/>
      <c r="AR36" s="9"/>
      <c r="AS36" s="9"/>
      <c r="AT36" s="9">
        <v>12.6</v>
      </c>
      <c r="AU36" s="9"/>
      <c r="AV36" s="9"/>
      <c r="AW36" s="9">
        <v>10.8</v>
      </c>
      <c r="AX36" s="9">
        <v>18</v>
      </c>
      <c r="AY36" s="9">
        <v>12.6</v>
      </c>
      <c r="AZ36" s="9">
        <v>14.4</v>
      </c>
      <c r="BA36" s="9">
        <v>10.8</v>
      </c>
      <c r="BB36" s="9">
        <v>14.4</v>
      </c>
      <c r="BC36" s="9">
        <v>1.64</v>
      </c>
      <c r="BD36" s="9"/>
    </row>
    <row r="37" spans="1:56" x14ac:dyDescent="0.45">
      <c r="A37" s="37" t="str">
        <f>'RES Assumptions'!B120</f>
        <v>RK</v>
      </c>
      <c r="B37" s="37" t="s">
        <v>146</v>
      </c>
      <c r="D37" s="51" t="s">
        <v>302</v>
      </c>
      <c r="E37" s="8" t="str">
        <f>'RES Assumptions'!A120</f>
        <v>RESBIO</v>
      </c>
      <c r="F37" s="8" t="str">
        <f>VLOOKUP(A37,'RES Assumptions'!$AN$87:$AO$97,2,FALSE)</f>
        <v>RCK</v>
      </c>
      <c r="G37" s="53">
        <v>0.2</v>
      </c>
      <c r="H37" s="9">
        <f t="shared" ref="H37:U52" si="8">$G37</f>
        <v>0.2</v>
      </c>
      <c r="I37" s="9">
        <f t="shared" si="8"/>
        <v>0.2</v>
      </c>
      <c r="J37" s="9">
        <f t="shared" si="8"/>
        <v>0.2</v>
      </c>
      <c r="K37" s="9">
        <f t="shared" si="8"/>
        <v>0.2</v>
      </c>
      <c r="L37" s="9">
        <f t="shared" si="8"/>
        <v>0.2</v>
      </c>
      <c r="M37" s="9">
        <f t="shared" si="8"/>
        <v>0.2</v>
      </c>
      <c r="N37" s="9">
        <f t="shared" si="8"/>
        <v>0.2</v>
      </c>
      <c r="O37" s="9">
        <f t="shared" si="8"/>
        <v>0.2</v>
      </c>
      <c r="P37" s="9">
        <f t="shared" si="8"/>
        <v>0.2</v>
      </c>
      <c r="Q37" s="9">
        <f t="shared" si="8"/>
        <v>0.2</v>
      </c>
      <c r="R37" s="9">
        <f t="shared" si="8"/>
        <v>0.2</v>
      </c>
      <c r="S37" s="9">
        <f t="shared" si="8"/>
        <v>0.2</v>
      </c>
      <c r="T37" s="9">
        <f t="shared" si="8"/>
        <v>0.2</v>
      </c>
      <c r="U37" s="9">
        <f t="shared" si="8"/>
        <v>0.2</v>
      </c>
      <c r="W37" s="8" t="str">
        <f t="shared" si="4"/>
        <v>RCKBIO000</v>
      </c>
      <c r="X37" s="9">
        <v>1</v>
      </c>
      <c r="Y37" s="9">
        <v>1</v>
      </c>
      <c r="Z37" s="9">
        <v>1</v>
      </c>
      <c r="AA37" s="9">
        <v>1</v>
      </c>
      <c r="AB37" s="9">
        <v>1</v>
      </c>
      <c r="AC37" s="9">
        <v>1</v>
      </c>
      <c r="AD37" s="9">
        <v>1</v>
      </c>
      <c r="AE37" s="9">
        <v>1</v>
      </c>
      <c r="AF37" s="9">
        <v>1</v>
      </c>
      <c r="AG37" s="9">
        <v>1</v>
      </c>
      <c r="AH37" s="9">
        <v>1</v>
      </c>
      <c r="AI37" s="9">
        <v>1</v>
      </c>
      <c r="AJ37" s="9">
        <v>1</v>
      </c>
      <c r="AK37" s="9">
        <v>1</v>
      </c>
      <c r="AL37" s="9">
        <v>1</v>
      </c>
      <c r="AN37" s="8" t="str">
        <f t="shared" si="5"/>
        <v>RCKBIO000</v>
      </c>
      <c r="AO37" s="9">
        <f t="shared" si="6"/>
        <v>0</v>
      </c>
      <c r="AP37" s="9"/>
      <c r="AQ37" s="9"/>
      <c r="AR37" s="9"/>
      <c r="AS37" s="39"/>
      <c r="AT37" s="39">
        <v>0</v>
      </c>
      <c r="AU37" s="39"/>
      <c r="AV37" s="39"/>
      <c r="AW37" s="39">
        <v>0</v>
      </c>
      <c r="AX37" s="39">
        <v>0</v>
      </c>
      <c r="AY37" s="39">
        <v>0</v>
      </c>
      <c r="AZ37" s="39">
        <v>0</v>
      </c>
      <c r="BA37" s="39">
        <v>0</v>
      </c>
      <c r="BB37" s="39"/>
      <c r="BC37" s="39">
        <v>10</v>
      </c>
      <c r="BD37" s="9"/>
    </row>
    <row r="38" spans="1:56" x14ac:dyDescent="0.45">
      <c r="A38" s="37" t="str">
        <f>'RES Assumptions'!B121</f>
        <v>RK</v>
      </c>
      <c r="B38" s="37" t="s">
        <v>147</v>
      </c>
      <c r="D38" s="51" t="s">
        <v>303</v>
      </c>
      <c r="E38" s="8" t="str">
        <f>'RES Assumptions'!A121</f>
        <v>RESCOA</v>
      </c>
      <c r="F38" s="8" t="str">
        <f>VLOOKUP(A38,'RES Assumptions'!$AN$87:$AO$97,2,FALSE)</f>
        <v>RCK</v>
      </c>
      <c r="G38" s="53">
        <v>0.25</v>
      </c>
      <c r="H38" s="9">
        <f t="shared" si="8"/>
        <v>0.25</v>
      </c>
      <c r="I38" s="9">
        <f t="shared" si="8"/>
        <v>0.25</v>
      </c>
      <c r="J38" s="9">
        <f t="shared" si="8"/>
        <v>0.25</v>
      </c>
      <c r="K38" s="9">
        <f t="shared" si="8"/>
        <v>0.25</v>
      </c>
      <c r="L38" s="9">
        <f t="shared" si="8"/>
        <v>0.25</v>
      </c>
      <c r="M38" s="9">
        <f t="shared" si="8"/>
        <v>0.25</v>
      </c>
      <c r="N38" s="9">
        <f t="shared" si="8"/>
        <v>0.25</v>
      </c>
      <c r="O38" s="9">
        <f t="shared" si="8"/>
        <v>0.25</v>
      </c>
      <c r="P38" s="9">
        <f t="shared" si="8"/>
        <v>0.25</v>
      </c>
      <c r="Q38" s="9">
        <f t="shared" si="8"/>
        <v>0.25</v>
      </c>
      <c r="R38" s="9">
        <f t="shared" si="8"/>
        <v>0.25</v>
      </c>
      <c r="S38" s="9">
        <f t="shared" si="8"/>
        <v>0.25</v>
      </c>
      <c r="T38" s="9">
        <f t="shared" si="8"/>
        <v>0.25</v>
      </c>
      <c r="U38" s="9">
        <f t="shared" si="8"/>
        <v>0.25</v>
      </c>
      <c r="W38" s="8" t="str">
        <f t="shared" si="4"/>
        <v>RCKCOA000</v>
      </c>
      <c r="X38" s="9">
        <v>1</v>
      </c>
      <c r="Y38" s="9">
        <v>1</v>
      </c>
      <c r="Z38" s="9">
        <v>1</v>
      </c>
      <c r="AA38" s="9">
        <v>1</v>
      </c>
      <c r="AB38" s="9">
        <v>1</v>
      </c>
      <c r="AC38" s="9">
        <v>1</v>
      </c>
      <c r="AD38" s="9">
        <v>1</v>
      </c>
      <c r="AE38" s="9">
        <v>1</v>
      </c>
      <c r="AF38" s="9">
        <v>1</v>
      </c>
      <c r="AG38" s="9">
        <v>1</v>
      </c>
      <c r="AH38" s="9">
        <v>1</v>
      </c>
      <c r="AI38" s="9">
        <v>1</v>
      </c>
      <c r="AJ38" s="9">
        <v>1</v>
      </c>
      <c r="AK38" s="9">
        <v>1</v>
      </c>
      <c r="AL38" s="9">
        <v>1</v>
      </c>
      <c r="AN38" s="8" t="str">
        <f t="shared" si="5"/>
        <v>RCKCOA000</v>
      </c>
      <c r="AO38" s="9">
        <f t="shared" si="6"/>
        <v>3.6</v>
      </c>
      <c r="AP38" s="9"/>
      <c r="AQ38" s="9"/>
      <c r="AR38" s="9"/>
      <c r="AS38" s="39"/>
      <c r="AT38" s="39"/>
      <c r="AU38" s="39"/>
      <c r="AV38" s="39"/>
      <c r="AW38" s="39">
        <v>3.6</v>
      </c>
      <c r="AX38" s="39">
        <v>6</v>
      </c>
      <c r="AY38" s="39"/>
      <c r="AZ38" s="39"/>
      <c r="BA38" s="39">
        <v>3.6</v>
      </c>
      <c r="BB38" s="39"/>
      <c r="BC38" s="39">
        <v>6</v>
      </c>
      <c r="BD38" s="9"/>
    </row>
    <row r="39" spans="1:56" x14ac:dyDescent="0.45">
      <c r="A39" s="37" t="str">
        <f>'RES Assumptions'!B122</f>
        <v>RK</v>
      </c>
      <c r="B39" s="37" t="s">
        <v>148</v>
      </c>
      <c r="D39" s="51" t="s">
        <v>304</v>
      </c>
      <c r="E39" s="8" t="str">
        <f>'RES Assumptions'!A122</f>
        <v>RESOIL</v>
      </c>
      <c r="F39" s="8" t="str">
        <f>VLOOKUP(A39,'RES Assumptions'!$AN$87:$AO$97,2,FALSE)</f>
        <v>RCK</v>
      </c>
      <c r="G39" s="53">
        <v>0.5</v>
      </c>
      <c r="H39" s="9">
        <f t="shared" si="8"/>
        <v>0.5</v>
      </c>
      <c r="I39" s="9">
        <f t="shared" si="8"/>
        <v>0.5</v>
      </c>
      <c r="J39" s="9">
        <f t="shared" si="8"/>
        <v>0.5</v>
      </c>
      <c r="K39" s="9">
        <f t="shared" si="8"/>
        <v>0.5</v>
      </c>
      <c r="L39" s="9">
        <f t="shared" si="8"/>
        <v>0.5</v>
      </c>
      <c r="M39" s="9">
        <f t="shared" si="8"/>
        <v>0.5</v>
      </c>
      <c r="N39" s="9">
        <f t="shared" si="8"/>
        <v>0.5</v>
      </c>
      <c r="O39" s="9">
        <f t="shared" si="8"/>
        <v>0.5</v>
      </c>
      <c r="P39" s="9">
        <f t="shared" si="8"/>
        <v>0.5</v>
      </c>
      <c r="Q39" s="9">
        <f t="shared" si="8"/>
        <v>0.5</v>
      </c>
      <c r="R39" s="9">
        <f t="shared" si="8"/>
        <v>0.5</v>
      </c>
      <c r="S39" s="9">
        <f t="shared" si="8"/>
        <v>0.5</v>
      </c>
      <c r="T39" s="9">
        <f t="shared" si="8"/>
        <v>0.5</v>
      </c>
      <c r="U39" s="9">
        <f t="shared" si="8"/>
        <v>0.5</v>
      </c>
      <c r="W39" s="8" t="str">
        <f t="shared" si="4"/>
        <v>RCKDST000</v>
      </c>
      <c r="X39" s="9">
        <v>1</v>
      </c>
      <c r="Y39" s="9">
        <v>1</v>
      </c>
      <c r="Z39" s="9">
        <v>1</v>
      </c>
      <c r="AA39" s="9">
        <v>1</v>
      </c>
      <c r="AB39" s="9">
        <v>1</v>
      </c>
      <c r="AC39" s="9">
        <v>1</v>
      </c>
      <c r="AD39" s="9">
        <v>1</v>
      </c>
      <c r="AE39" s="9">
        <v>1</v>
      </c>
      <c r="AF39" s="9">
        <v>1</v>
      </c>
      <c r="AG39" s="9">
        <v>1</v>
      </c>
      <c r="AH39" s="9">
        <v>1</v>
      </c>
      <c r="AI39" s="9">
        <v>1</v>
      </c>
      <c r="AJ39" s="9">
        <v>1</v>
      </c>
      <c r="AK39" s="9">
        <v>1</v>
      </c>
      <c r="AL39" s="9">
        <v>1</v>
      </c>
      <c r="AN39" s="8" t="str">
        <f t="shared" si="5"/>
        <v>RCKDST000</v>
      </c>
      <c r="AO39" s="9">
        <f t="shared" si="6"/>
        <v>3.6</v>
      </c>
      <c r="AP39" s="9">
        <v>4.2</v>
      </c>
      <c r="AQ39" s="9">
        <v>4.8</v>
      </c>
      <c r="AR39" s="9">
        <v>6</v>
      </c>
      <c r="AS39" s="39">
        <v>3.6</v>
      </c>
      <c r="AT39" s="39">
        <v>4.2</v>
      </c>
      <c r="AU39" s="39">
        <v>4.2</v>
      </c>
      <c r="AV39" s="39">
        <v>4.2</v>
      </c>
      <c r="AW39" s="39">
        <v>3.6</v>
      </c>
      <c r="AX39" s="39">
        <v>6</v>
      </c>
      <c r="AY39" s="39">
        <v>4.2</v>
      </c>
      <c r="AZ39" s="39">
        <v>4.8</v>
      </c>
      <c r="BA39" s="39">
        <v>3.6</v>
      </c>
      <c r="BB39" s="39">
        <v>4.8</v>
      </c>
      <c r="BC39" s="39">
        <v>6</v>
      </c>
      <c r="BD39" s="9">
        <v>5.4</v>
      </c>
    </row>
    <row r="40" spans="1:56" x14ac:dyDescent="0.45">
      <c r="A40" s="37" t="str">
        <f>'RES Assumptions'!B123</f>
        <v>RK</v>
      </c>
      <c r="B40" s="37" t="s">
        <v>149</v>
      </c>
      <c r="D40" s="51" t="s">
        <v>305</v>
      </c>
      <c r="E40" s="8" t="str">
        <f>'RES Assumptions'!A123</f>
        <v>RESELC</v>
      </c>
      <c r="F40" s="8" t="str">
        <f>VLOOKUP(A40,'RES Assumptions'!$AN$87:$AO$97,2,FALSE)</f>
        <v>RCK</v>
      </c>
      <c r="G40" s="53">
        <v>0.75</v>
      </c>
      <c r="H40" s="9">
        <f t="shared" si="8"/>
        <v>0.75</v>
      </c>
      <c r="I40" s="9">
        <f t="shared" si="8"/>
        <v>0.75</v>
      </c>
      <c r="J40" s="9">
        <f t="shared" si="8"/>
        <v>0.75</v>
      </c>
      <c r="K40" s="9">
        <f t="shared" si="8"/>
        <v>0.75</v>
      </c>
      <c r="L40" s="9">
        <f t="shared" si="8"/>
        <v>0.75</v>
      </c>
      <c r="M40" s="9">
        <f t="shared" si="8"/>
        <v>0.75</v>
      </c>
      <c r="N40" s="9">
        <f t="shared" si="8"/>
        <v>0.75</v>
      </c>
      <c r="O40" s="9">
        <f t="shared" si="8"/>
        <v>0.75</v>
      </c>
      <c r="P40" s="9">
        <f t="shared" si="8"/>
        <v>0.75</v>
      </c>
      <c r="Q40" s="9">
        <f t="shared" si="8"/>
        <v>0.75</v>
      </c>
      <c r="R40" s="9">
        <f t="shared" si="8"/>
        <v>0.75</v>
      </c>
      <c r="S40" s="9">
        <f t="shared" si="8"/>
        <v>0.75</v>
      </c>
      <c r="T40" s="9">
        <f t="shared" si="8"/>
        <v>0.75</v>
      </c>
      <c r="U40" s="9">
        <f t="shared" si="8"/>
        <v>0.75</v>
      </c>
      <c r="W40" s="8" t="str">
        <f t="shared" si="4"/>
        <v>RCKELC000</v>
      </c>
      <c r="X40" s="9">
        <v>1</v>
      </c>
      <c r="Y40" s="9">
        <v>1</v>
      </c>
      <c r="Z40" s="9">
        <v>1</v>
      </c>
      <c r="AA40" s="9">
        <v>1</v>
      </c>
      <c r="AB40" s="9">
        <v>1</v>
      </c>
      <c r="AC40" s="9">
        <v>1</v>
      </c>
      <c r="AD40" s="9">
        <v>1</v>
      </c>
      <c r="AE40" s="9">
        <v>1</v>
      </c>
      <c r="AF40" s="9">
        <v>1</v>
      </c>
      <c r="AG40" s="9">
        <v>1</v>
      </c>
      <c r="AH40" s="9">
        <v>1</v>
      </c>
      <c r="AI40" s="9">
        <v>1</v>
      </c>
      <c r="AJ40" s="9">
        <v>1</v>
      </c>
      <c r="AK40" s="9">
        <v>1</v>
      </c>
      <c r="AL40" s="9">
        <v>1</v>
      </c>
      <c r="AN40" s="8" t="str">
        <f t="shared" si="5"/>
        <v>RCKELC000</v>
      </c>
      <c r="AO40" s="9">
        <f t="shared" si="6"/>
        <v>0</v>
      </c>
      <c r="AP40" s="9"/>
      <c r="AQ40" s="9"/>
      <c r="AR40" s="9"/>
      <c r="AS40" s="39"/>
      <c r="AT40" s="39">
        <v>9.8000000000000007</v>
      </c>
      <c r="AU40" s="39"/>
      <c r="AV40" s="39"/>
      <c r="AW40" s="39">
        <v>8.4</v>
      </c>
      <c r="AX40" s="39">
        <v>14</v>
      </c>
      <c r="AY40" s="39">
        <v>9.8000000000000007</v>
      </c>
      <c r="AZ40" s="39">
        <v>11.2</v>
      </c>
      <c r="BA40" s="39">
        <v>8.4</v>
      </c>
      <c r="BB40" s="39">
        <v>11.2</v>
      </c>
      <c r="BC40" s="39">
        <v>0</v>
      </c>
      <c r="BD40" s="9"/>
    </row>
    <row r="41" spans="1:56" x14ac:dyDescent="0.45">
      <c r="A41" s="37" t="str">
        <f>'RES Assumptions'!B124</f>
        <v>RK</v>
      </c>
      <c r="B41" s="37" t="s">
        <v>150</v>
      </c>
      <c r="D41" s="51" t="s">
        <v>306</v>
      </c>
      <c r="E41" s="8" t="str">
        <f>'RES Assumptions'!A124</f>
        <v>RESKER</v>
      </c>
      <c r="F41" s="8" t="str">
        <f>VLOOKUP(A41,'RES Assumptions'!$AN$87:$AO$97,2,FALSE)</f>
        <v>RCK</v>
      </c>
      <c r="G41" s="53">
        <v>0.5</v>
      </c>
      <c r="H41" s="9">
        <f t="shared" si="8"/>
        <v>0.5</v>
      </c>
      <c r="I41" s="9">
        <f t="shared" si="8"/>
        <v>0.5</v>
      </c>
      <c r="J41" s="9">
        <f t="shared" si="8"/>
        <v>0.5</v>
      </c>
      <c r="K41" s="9">
        <f t="shared" si="8"/>
        <v>0.5</v>
      </c>
      <c r="L41" s="9">
        <f t="shared" si="8"/>
        <v>0.5</v>
      </c>
      <c r="M41" s="9">
        <f t="shared" si="8"/>
        <v>0.5</v>
      </c>
      <c r="N41" s="9">
        <f t="shared" si="8"/>
        <v>0.5</v>
      </c>
      <c r="O41" s="9">
        <f t="shared" si="8"/>
        <v>0.5</v>
      </c>
      <c r="P41" s="9">
        <f t="shared" si="8"/>
        <v>0.5</v>
      </c>
      <c r="Q41" s="9">
        <f t="shared" si="8"/>
        <v>0.5</v>
      </c>
      <c r="R41" s="9">
        <f t="shared" si="8"/>
        <v>0.5</v>
      </c>
      <c r="S41" s="9">
        <f t="shared" si="8"/>
        <v>0.5</v>
      </c>
      <c r="T41" s="9">
        <f t="shared" si="8"/>
        <v>0.5</v>
      </c>
      <c r="U41" s="9">
        <f t="shared" si="8"/>
        <v>0.5</v>
      </c>
      <c r="W41" s="8" t="str">
        <f t="shared" si="4"/>
        <v>RCKKER000</v>
      </c>
      <c r="X41" s="9">
        <v>1</v>
      </c>
      <c r="Y41" s="9">
        <v>1</v>
      </c>
      <c r="Z41" s="9">
        <v>1</v>
      </c>
      <c r="AA41" s="9">
        <v>1</v>
      </c>
      <c r="AB41" s="9">
        <v>1</v>
      </c>
      <c r="AC41" s="9">
        <v>1</v>
      </c>
      <c r="AD41" s="9">
        <v>1</v>
      </c>
      <c r="AE41" s="9">
        <v>1</v>
      </c>
      <c r="AF41" s="9">
        <v>1</v>
      </c>
      <c r="AG41" s="9">
        <v>1</v>
      </c>
      <c r="AH41" s="9">
        <v>1</v>
      </c>
      <c r="AI41" s="9">
        <v>1</v>
      </c>
      <c r="AJ41" s="9">
        <v>1</v>
      </c>
      <c r="AK41" s="9">
        <v>1</v>
      </c>
      <c r="AL41" s="9">
        <v>1</v>
      </c>
      <c r="AN41" s="8" t="str">
        <f t="shared" si="5"/>
        <v>RCKKER000</v>
      </c>
      <c r="AO41" s="9">
        <f t="shared" si="6"/>
        <v>3.6</v>
      </c>
      <c r="AP41" s="9"/>
      <c r="AQ41" s="9"/>
      <c r="AR41" s="9"/>
      <c r="AS41" s="39"/>
      <c r="AT41" s="39">
        <v>4.2</v>
      </c>
      <c r="AU41" s="39"/>
      <c r="AV41" s="39"/>
      <c r="AW41" s="39">
        <v>3.6</v>
      </c>
      <c r="AX41" s="39">
        <v>6</v>
      </c>
      <c r="AY41" s="39">
        <v>4.2</v>
      </c>
      <c r="AZ41" s="39">
        <v>4.8</v>
      </c>
      <c r="BA41" s="39">
        <v>3.6</v>
      </c>
      <c r="BB41" s="39">
        <v>4.8</v>
      </c>
      <c r="BC41" s="39">
        <v>6</v>
      </c>
      <c r="BD41" s="9"/>
    </row>
    <row r="42" spans="1:56" x14ac:dyDescent="0.45">
      <c r="A42" s="37" t="str">
        <f>'RES Assumptions'!B125</f>
        <v>RK</v>
      </c>
      <c r="B42" s="37" t="s">
        <v>151</v>
      </c>
      <c r="D42" s="51" t="s">
        <v>307</v>
      </c>
      <c r="E42" s="8" t="str">
        <f>'RES Assumptions'!A125</f>
        <v>RESLPG</v>
      </c>
      <c r="F42" s="8" t="str">
        <f>VLOOKUP(A42,'RES Assumptions'!$AN$87:$AO$97,2,FALSE)</f>
        <v>RCK</v>
      </c>
      <c r="G42" s="53">
        <v>0.52</v>
      </c>
      <c r="H42" s="9">
        <f t="shared" si="8"/>
        <v>0.52</v>
      </c>
      <c r="I42" s="9">
        <f t="shared" si="8"/>
        <v>0.52</v>
      </c>
      <c r="J42" s="9">
        <f t="shared" si="8"/>
        <v>0.52</v>
      </c>
      <c r="K42" s="9">
        <f t="shared" si="8"/>
        <v>0.52</v>
      </c>
      <c r="L42" s="9">
        <f t="shared" si="8"/>
        <v>0.52</v>
      </c>
      <c r="M42" s="9">
        <f t="shared" si="8"/>
        <v>0.52</v>
      </c>
      <c r="N42" s="9">
        <f t="shared" si="8"/>
        <v>0.52</v>
      </c>
      <c r="O42" s="9">
        <f t="shared" si="8"/>
        <v>0.52</v>
      </c>
      <c r="P42" s="9">
        <f t="shared" si="8"/>
        <v>0.52</v>
      </c>
      <c r="Q42" s="9">
        <f t="shared" si="8"/>
        <v>0.52</v>
      </c>
      <c r="R42" s="9">
        <f t="shared" si="8"/>
        <v>0.52</v>
      </c>
      <c r="S42" s="9">
        <f t="shared" si="8"/>
        <v>0.52</v>
      </c>
      <c r="T42" s="9">
        <f t="shared" si="8"/>
        <v>0.52</v>
      </c>
      <c r="U42" s="9">
        <f t="shared" si="8"/>
        <v>0.52</v>
      </c>
      <c r="W42" s="8" t="str">
        <f t="shared" si="4"/>
        <v>RCKLPG000</v>
      </c>
      <c r="X42" s="9">
        <v>1</v>
      </c>
      <c r="Y42" s="9">
        <v>1</v>
      </c>
      <c r="Z42" s="9">
        <v>1</v>
      </c>
      <c r="AA42" s="9">
        <v>1</v>
      </c>
      <c r="AB42" s="9">
        <v>1</v>
      </c>
      <c r="AC42" s="9">
        <v>1</v>
      </c>
      <c r="AD42" s="9">
        <v>1</v>
      </c>
      <c r="AE42" s="9">
        <v>1</v>
      </c>
      <c r="AF42" s="9">
        <v>1</v>
      </c>
      <c r="AG42" s="9">
        <v>1</v>
      </c>
      <c r="AH42" s="9">
        <v>1</v>
      </c>
      <c r="AI42" s="9">
        <v>1</v>
      </c>
      <c r="AJ42" s="9">
        <v>1</v>
      </c>
      <c r="AK42" s="9">
        <v>1</v>
      </c>
      <c r="AL42" s="9">
        <v>1</v>
      </c>
      <c r="AN42" s="8" t="str">
        <f t="shared" si="5"/>
        <v>RCKLPG000</v>
      </c>
      <c r="AO42" s="9">
        <f t="shared" si="6"/>
        <v>3.6</v>
      </c>
      <c r="AP42" s="9"/>
      <c r="AQ42" s="9"/>
      <c r="AR42" s="9"/>
      <c r="AS42" s="39"/>
      <c r="AT42" s="39">
        <v>4.2</v>
      </c>
      <c r="AU42" s="39"/>
      <c r="AV42" s="39"/>
      <c r="AW42" s="39">
        <v>3.6</v>
      </c>
      <c r="AX42" s="39">
        <v>6</v>
      </c>
      <c r="AY42" s="39">
        <v>4.2</v>
      </c>
      <c r="AZ42" s="39">
        <v>9.6</v>
      </c>
      <c r="BA42" s="39">
        <v>3.6</v>
      </c>
      <c r="BB42" s="39">
        <v>4.8</v>
      </c>
      <c r="BC42" s="39">
        <v>10</v>
      </c>
      <c r="BD42" s="9"/>
    </row>
    <row r="43" spans="1:56" x14ac:dyDescent="0.45">
      <c r="A43" s="37" t="str">
        <f>'RES Assumptions'!B126</f>
        <v>RK</v>
      </c>
      <c r="B43" s="37" t="s">
        <v>152</v>
      </c>
      <c r="D43" s="51" t="s">
        <v>308</v>
      </c>
      <c r="E43" s="8" t="str">
        <f>'RES Assumptions'!A126</f>
        <v>RESNGA</v>
      </c>
      <c r="F43" s="8" t="str">
        <f>VLOOKUP(A43,'RES Assumptions'!$AN$87:$AO$97,2,FALSE)</f>
        <v>RCK</v>
      </c>
      <c r="G43" s="53">
        <v>0.5</v>
      </c>
      <c r="H43" s="9">
        <f t="shared" si="8"/>
        <v>0.5</v>
      </c>
      <c r="I43" s="9">
        <f t="shared" si="8"/>
        <v>0.5</v>
      </c>
      <c r="J43" s="9">
        <f t="shared" si="8"/>
        <v>0.5</v>
      </c>
      <c r="K43" s="9">
        <f t="shared" si="8"/>
        <v>0.5</v>
      </c>
      <c r="L43" s="9">
        <f t="shared" si="8"/>
        <v>0.5</v>
      </c>
      <c r="M43" s="9">
        <f t="shared" si="8"/>
        <v>0.5</v>
      </c>
      <c r="N43" s="9">
        <f t="shared" si="8"/>
        <v>0.5</v>
      </c>
      <c r="O43" s="9">
        <f t="shared" si="8"/>
        <v>0.5</v>
      </c>
      <c r="P43" s="9">
        <f t="shared" si="8"/>
        <v>0.5</v>
      </c>
      <c r="Q43" s="9">
        <f t="shared" si="8"/>
        <v>0.5</v>
      </c>
      <c r="R43" s="9">
        <f t="shared" si="8"/>
        <v>0.5</v>
      </c>
      <c r="S43" s="9">
        <f t="shared" si="8"/>
        <v>0.5</v>
      </c>
      <c r="T43" s="9">
        <f t="shared" si="8"/>
        <v>0.5</v>
      </c>
      <c r="U43" s="9">
        <f t="shared" si="8"/>
        <v>0.5</v>
      </c>
      <c r="W43" s="8" t="str">
        <f t="shared" si="4"/>
        <v>RCKNGA000</v>
      </c>
      <c r="X43" s="9">
        <v>1</v>
      </c>
      <c r="Y43" s="9">
        <v>1</v>
      </c>
      <c r="Z43" s="9">
        <v>1</v>
      </c>
      <c r="AA43" s="9">
        <v>1</v>
      </c>
      <c r="AB43" s="9">
        <v>1</v>
      </c>
      <c r="AC43" s="9">
        <v>1</v>
      </c>
      <c r="AD43" s="9">
        <v>1</v>
      </c>
      <c r="AE43" s="9">
        <v>1</v>
      </c>
      <c r="AF43" s="9">
        <v>1</v>
      </c>
      <c r="AG43" s="9">
        <v>1</v>
      </c>
      <c r="AH43" s="9">
        <v>1</v>
      </c>
      <c r="AI43" s="9">
        <v>1</v>
      </c>
      <c r="AJ43" s="9">
        <v>1</v>
      </c>
      <c r="AK43" s="9">
        <v>1</v>
      </c>
      <c r="AL43" s="9">
        <v>1</v>
      </c>
      <c r="AN43" s="8" t="str">
        <f t="shared" si="5"/>
        <v>RCKNGA000</v>
      </c>
      <c r="AO43" s="9">
        <f t="shared" si="6"/>
        <v>3.6</v>
      </c>
      <c r="AP43" s="9"/>
      <c r="AQ43" s="9"/>
      <c r="AR43" s="9"/>
      <c r="AS43" s="39"/>
      <c r="AT43" s="39">
        <v>4.2</v>
      </c>
      <c r="AU43" s="39"/>
      <c r="AV43" s="39"/>
      <c r="AW43" s="39">
        <v>3.6</v>
      </c>
      <c r="AX43" s="39">
        <v>6</v>
      </c>
      <c r="AY43" s="39">
        <v>4.2</v>
      </c>
      <c r="AZ43" s="39">
        <v>4.8</v>
      </c>
      <c r="BA43" s="39">
        <v>3.6</v>
      </c>
      <c r="BB43" s="39">
        <v>4.8</v>
      </c>
      <c r="BC43" s="39">
        <v>6</v>
      </c>
      <c r="BD43" s="9"/>
    </row>
    <row r="44" spans="1:56" x14ac:dyDescent="0.45">
      <c r="A44" s="37" t="str">
        <f>'RES Assumptions'!B127</f>
        <v>RK</v>
      </c>
      <c r="B44" s="37" t="s">
        <v>153</v>
      </c>
      <c r="D44" s="51" t="s">
        <v>375</v>
      </c>
      <c r="E44" s="8" t="str">
        <f>'RES Assumptions'!A127</f>
        <v>RESSTH</v>
      </c>
      <c r="F44" s="8" t="str">
        <f>VLOOKUP(A44,'RES Assumptions'!$AN$87:$AO$97,2,FALSE)</f>
        <v>RCK</v>
      </c>
      <c r="G44" s="53">
        <v>0.5</v>
      </c>
      <c r="H44" s="9">
        <f t="shared" si="8"/>
        <v>0.5</v>
      </c>
      <c r="I44" s="9">
        <f t="shared" si="8"/>
        <v>0.5</v>
      </c>
      <c r="J44" s="9">
        <f t="shared" si="8"/>
        <v>0.5</v>
      </c>
      <c r="K44" s="9">
        <f t="shared" si="8"/>
        <v>0.5</v>
      </c>
      <c r="L44" s="9">
        <f t="shared" si="8"/>
        <v>0.5</v>
      </c>
      <c r="M44" s="9">
        <f t="shared" si="8"/>
        <v>0.5</v>
      </c>
      <c r="N44" s="9">
        <f t="shared" si="8"/>
        <v>0.5</v>
      </c>
      <c r="O44" s="9">
        <f t="shared" si="8"/>
        <v>0.5</v>
      </c>
      <c r="P44" s="9">
        <f t="shared" si="8"/>
        <v>0.5</v>
      </c>
      <c r="Q44" s="9">
        <f t="shared" si="8"/>
        <v>0.5</v>
      </c>
      <c r="R44" s="9">
        <f t="shared" si="8"/>
        <v>0.5</v>
      </c>
      <c r="S44" s="9">
        <f t="shared" si="8"/>
        <v>0.5</v>
      </c>
      <c r="T44" s="9">
        <f t="shared" si="8"/>
        <v>0.5</v>
      </c>
      <c r="U44" s="9">
        <f t="shared" si="8"/>
        <v>0.5</v>
      </c>
      <c r="W44" s="8" t="str">
        <f t="shared" si="4"/>
        <v>RCKSTH000</v>
      </c>
      <c r="X44" s="9">
        <v>1</v>
      </c>
      <c r="Y44" s="9">
        <v>1</v>
      </c>
      <c r="Z44" s="9">
        <v>1</v>
      </c>
      <c r="AA44" s="9">
        <v>1</v>
      </c>
      <c r="AB44" s="9">
        <v>1</v>
      </c>
      <c r="AC44" s="9">
        <v>1</v>
      </c>
      <c r="AD44" s="9">
        <v>1</v>
      </c>
      <c r="AE44" s="9">
        <v>1</v>
      </c>
      <c r="AF44" s="9">
        <v>1</v>
      </c>
      <c r="AG44" s="9">
        <v>1</v>
      </c>
      <c r="AH44" s="9">
        <v>1</v>
      </c>
      <c r="AI44" s="9">
        <v>1</v>
      </c>
      <c r="AJ44" s="9">
        <v>1</v>
      </c>
      <c r="AK44" s="9">
        <v>1</v>
      </c>
      <c r="AL44" s="9">
        <v>1</v>
      </c>
      <c r="AN44" s="8" t="str">
        <f t="shared" si="5"/>
        <v>RCKSTH000</v>
      </c>
      <c r="AO44" s="9">
        <f t="shared" si="6"/>
        <v>6</v>
      </c>
      <c r="AP44" s="9"/>
      <c r="AQ44" s="9"/>
      <c r="AR44" s="9"/>
      <c r="AS44" s="39"/>
      <c r="AT44" s="39">
        <v>12.6</v>
      </c>
      <c r="AU44" s="39"/>
      <c r="AV44" s="39"/>
      <c r="AW44" s="39">
        <v>10.8</v>
      </c>
      <c r="AX44" s="39">
        <v>18</v>
      </c>
      <c r="AY44" s="39">
        <v>12.6</v>
      </c>
      <c r="AZ44" s="39">
        <v>14.4</v>
      </c>
      <c r="BA44" s="39">
        <v>10.8</v>
      </c>
      <c r="BB44" s="39">
        <v>14.4</v>
      </c>
      <c r="BC44" s="39">
        <v>6</v>
      </c>
      <c r="BD44" s="9"/>
    </row>
    <row r="45" spans="1:56" x14ac:dyDescent="0.45">
      <c r="A45" s="37" t="str">
        <f>'RES Assumptions'!B128</f>
        <v>RL</v>
      </c>
      <c r="B45" s="37" t="s">
        <v>118</v>
      </c>
      <c r="D45" s="51" t="s">
        <v>309</v>
      </c>
      <c r="E45" s="8" t="str">
        <f>'RES Assumptions'!A128</f>
        <v>RESELC</v>
      </c>
      <c r="F45" s="8" t="str">
        <f>VLOOKUP(A45,'RES Assumptions'!$AN$87:$AO$97,2,FALSE)</f>
        <v>RLI</v>
      </c>
      <c r="G45" s="9">
        <f>4*0.6</f>
        <v>2.4</v>
      </c>
      <c r="H45" s="9">
        <f t="shared" si="8"/>
        <v>2.4</v>
      </c>
      <c r="I45" s="9">
        <f t="shared" si="8"/>
        <v>2.4</v>
      </c>
      <c r="J45" s="9">
        <f t="shared" si="8"/>
        <v>2.4</v>
      </c>
      <c r="K45" s="9">
        <f t="shared" si="8"/>
        <v>2.4</v>
      </c>
      <c r="L45" s="9">
        <f t="shared" si="8"/>
        <v>2.4</v>
      </c>
      <c r="M45" s="9">
        <f t="shared" si="8"/>
        <v>2.4</v>
      </c>
      <c r="N45" s="9">
        <f t="shared" si="8"/>
        <v>2.4</v>
      </c>
      <c r="O45" s="9">
        <f t="shared" si="8"/>
        <v>2.4</v>
      </c>
      <c r="P45" s="9">
        <f t="shared" si="8"/>
        <v>2.4</v>
      </c>
      <c r="Q45" s="9">
        <f t="shared" si="8"/>
        <v>2.4</v>
      </c>
      <c r="R45" s="9">
        <f t="shared" si="8"/>
        <v>2.4</v>
      </c>
      <c r="S45" s="9">
        <f t="shared" si="8"/>
        <v>2.4</v>
      </c>
      <c r="T45" s="9">
        <f t="shared" si="8"/>
        <v>2.4</v>
      </c>
      <c r="U45" s="9">
        <f t="shared" si="8"/>
        <v>2.4</v>
      </c>
      <c r="W45" s="8" t="str">
        <f t="shared" si="4"/>
        <v>RLICFL000</v>
      </c>
      <c r="X45" s="9">
        <v>1</v>
      </c>
      <c r="Y45" s="9">
        <v>1</v>
      </c>
      <c r="Z45" s="9">
        <v>1</v>
      </c>
      <c r="AA45" s="9">
        <v>1</v>
      </c>
      <c r="AB45" s="9">
        <v>1</v>
      </c>
      <c r="AC45" s="9">
        <v>1</v>
      </c>
      <c r="AD45" s="9">
        <v>1</v>
      </c>
      <c r="AE45" s="9">
        <v>1</v>
      </c>
      <c r="AF45" s="9">
        <v>1</v>
      </c>
      <c r="AG45" s="9">
        <v>1</v>
      </c>
      <c r="AH45" s="9">
        <v>1</v>
      </c>
      <c r="AI45" s="9">
        <v>1</v>
      </c>
      <c r="AJ45" s="9">
        <v>1</v>
      </c>
      <c r="AK45" s="9">
        <v>1</v>
      </c>
      <c r="AL45" s="9">
        <v>1</v>
      </c>
      <c r="AN45" s="8" t="str">
        <f t="shared" si="5"/>
        <v>RLICFL000</v>
      </c>
      <c r="AO45" s="9">
        <f t="shared" si="6"/>
        <v>8.4</v>
      </c>
      <c r="AP45" s="9"/>
      <c r="AQ45" s="9"/>
      <c r="AR45" s="9"/>
      <c r="AS45" s="39">
        <v>8.4</v>
      </c>
      <c r="AT45" s="39">
        <v>9.8000000000000007</v>
      </c>
      <c r="AU45" s="39"/>
      <c r="AV45" s="39"/>
      <c r="AW45" s="39">
        <v>8.4</v>
      </c>
      <c r="AX45" s="39">
        <v>14</v>
      </c>
      <c r="AY45" s="39">
        <v>9.8000000000000007</v>
      </c>
      <c r="AZ45" s="39">
        <v>11.2</v>
      </c>
      <c r="BA45" s="39">
        <v>8.4</v>
      </c>
      <c r="BB45" s="39">
        <v>11.2</v>
      </c>
      <c r="BC45" s="39"/>
      <c r="BD45" s="9"/>
    </row>
    <row r="46" spans="1:56" x14ac:dyDescent="0.45">
      <c r="A46" s="37" t="str">
        <f>'RES Assumptions'!B129</f>
        <v>RL</v>
      </c>
      <c r="B46" s="37" t="s">
        <v>116</v>
      </c>
      <c r="D46" s="51" t="s">
        <v>310</v>
      </c>
      <c r="E46" s="8" t="str">
        <f>'RES Assumptions'!A129</f>
        <v>RESELC</v>
      </c>
      <c r="F46" s="8" t="str">
        <f>VLOOKUP(A46,'RES Assumptions'!$AN$87:$AO$97,2,FALSE)</f>
        <v>RLI</v>
      </c>
      <c r="G46" s="9">
        <f>4.6*0.6</f>
        <v>2.76</v>
      </c>
      <c r="H46" s="9">
        <f t="shared" si="8"/>
        <v>2.76</v>
      </c>
      <c r="I46" s="9">
        <f t="shared" si="8"/>
        <v>2.76</v>
      </c>
      <c r="J46" s="9">
        <f t="shared" si="8"/>
        <v>2.76</v>
      </c>
      <c r="K46" s="9">
        <f t="shared" si="8"/>
        <v>2.76</v>
      </c>
      <c r="L46" s="9">
        <f t="shared" si="8"/>
        <v>2.76</v>
      </c>
      <c r="M46" s="9">
        <f t="shared" si="8"/>
        <v>2.76</v>
      </c>
      <c r="N46" s="9">
        <f t="shared" si="8"/>
        <v>2.76</v>
      </c>
      <c r="O46" s="9">
        <f t="shared" si="8"/>
        <v>2.76</v>
      </c>
      <c r="P46" s="9">
        <f t="shared" si="8"/>
        <v>2.76</v>
      </c>
      <c r="Q46" s="9">
        <f t="shared" si="8"/>
        <v>2.76</v>
      </c>
      <c r="R46" s="9">
        <f t="shared" si="8"/>
        <v>2.76</v>
      </c>
      <c r="S46" s="9">
        <f t="shared" si="8"/>
        <v>2.76</v>
      </c>
      <c r="T46" s="9">
        <f t="shared" si="8"/>
        <v>2.76</v>
      </c>
      <c r="U46" s="9">
        <f t="shared" si="8"/>
        <v>2.76</v>
      </c>
      <c r="W46" s="8" t="str">
        <f t="shared" si="4"/>
        <v>RLIFLE000</v>
      </c>
      <c r="X46" s="9">
        <v>1</v>
      </c>
      <c r="Y46" s="9">
        <v>1</v>
      </c>
      <c r="Z46" s="9">
        <v>1</v>
      </c>
      <c r="AA46" s="9">
        <v>1</v>
      </c>
      <c r="AB46" s="9">
        <v>1</v>
      </c>
      <c r="AC46" s="9">
        <v>1</v>
      </c>
      <c r="AD46" s="9">
        <v>1</v>
      </c>
      <c r="AE46" s="9">
        <v>1</v>
      </c>
      <c r="AF46" s="9">
        <v>1</v>
      </c>
      <c r="AG46" s="9">
        <v>1</v>
      </c>
      <c r="AH46" s="9">
        <v>1</v>
      </c>
      <c r="AI46" s="9">
        <v>1</v>
      </c>
      <c r="AJ46" s="9">
        <v>1</v>
      </c>
      <c r="AK46" s="9">
        <v>1</v>
      </c>
      <c r="AL46" s="9">
        <v>1</v>
      </c>
      <c r="AN46" s="8" t="str">
        <f t="shared" si="5"/>
        <v>RLIFLE000</v>
      </c>
      <c r="AO46" s="9">
        <f t="shared" si="6"/>
        <v>8.4</v>
      </c>
      <c r="AP46" s="9"/>
      <c r="AQ46" s="9"/>
      <c r="AR46" s="9"/>
      <c r="AS46" s="39">
        <v>8.4</v>
      </c>
      <c r="AT46" s="39">
        <v>9.8000000000000007</v>
      </c>
      <c r="AU46" s="39"/>
      <c r="AV46" s="39"/>
      <c r="AW46" s="39">
        <v>8.4</v>
      </c>
      <c r="AX46" s="39">
        <v>14</v>
      </c>
      <c r="AY46" s="39">
        <v>9.8000000000000007</v>
      </c>
      <c r="AZ46" s="39">
        <v>11.2</v>
      </c>
      <c r="BA46" s="39">
        <v>8.4</v>
      </c>
      <c r="BB46" s="39">
        <v>11.2</v>
      </c>
      <c r="BC46" s="39"/>
      <c r="BD46" s="9"/>
    </row>
    <row r="47" spans="1:56" x14ac:dyDescent="0.45">
      <c r="A47" s="37" t="str">
        <f>'RES Assumptions'!B130</f>
        <v>RL</v>
      </c>
      <c r="B47" s="37" t="s">
        <v>114</v>
      </c>
      <c r="D47" s="51" t="s">
        <v>311</v>
      </c>
      <c r="E47" s="8" t="str">
        <f>'RES Assumptions'!A130</f>
        <v>RESELC</v>
      </c>
      <c r="F47" s="8" t="str">
        <f>VLOOKUP(A47,'RES Assumptions'!$AN$87:$AO$97,2,FALSE)</f>
        <v>RLI</v>
      </c>
      <c r="G47" s="9">
        <f>2.8*0.6</f>
        <v>1.68</v>
      </c>
      <c r="H47" s="9">
        <f t="shared" si="8"/>
        <v>1.68</v>
      </c>
      <c r="I47" s="9">
        <f t="shared" si="8"/>
        <v>1.68</v>
      </c>
      <c r="J47" s="9">
        <f t="shared" si="8"/>
        <v>1.68</v>
      </c>
      <c r="K47" s="9">
        <f t="shared" si="8"/>
        <v>1.68</v>
      </c>
      <c r="L47" s="9">
        <f t="shared" si="8"/>
        <v>1.68</v>
      </c>
      <c r="M47" s="9">
        <f t="shared" si="8"/>
        <v>1.68</v>
      </c>
      <c r="N47" s="9">
        <f t="shared" si="8"/>
        <v>1.68</v>
      </c>
      <c r="O47" s="9">
        <f t="shared" si="8"/>
        <v>1.68</v>
      </c>
      <c r="P47" s="9">
        <f t="shared" si="8"/>
        <v>1.68</v>
      </c>
      <c r="Q47" s="9">
        <f t="shared" si="8"/>
        <v>1.68</v>
      </c>
      <c r="R47" s="9">
        <f t="shared" si="8"/>
        <v>1.68</v>
      </c>
      <c r="S47" s="9">
        <f t="shared" si="8"/>
        <v>1.68</v>
      </c>
      <c r="T47" s="9">
        <f t="shared" si="8"/>
        <v>1.68</v>
      </c>
      <c r="U47" s="9">
        <f t="shared" si="8"/>
        <v>1.68</v>
      </c>
      <c r="W47" s="8" t="str">
        <f t="shared" si="4"/>
        <v>RLIHAE000</v>
      </c>
      <c r="X47" s="9">
        <v>1</v>
      </c>
      <c r="Y47" s="9">
        <v>1</v>
      </c>
      <c r="Z47" s="9">
        <v>1</v>
      </c>
      <c r="AA47" s="9">
        <v>1</v>
      </c>
      <c r="AB47" s="9">
        <v>1</v>
      </c>
      <c r="AC47" s="9">
        <v>1</v>
      </c>
      <c r="AD47" s="9">
        <v>1</v>
      </c>
      <c r="AE47" s="9">
        <v>1</v>
      </c>
      <c r="AF47" s="9">
        <v>1</v>
      </c>
      <c r="AG47" s="9">
        <v>1</v>
      </c>
      <c r="AH47" s="9">
        <v>1</v>
      </c>
      <c r="AI47" s="9">
        <v>1</v>
      </c>
      <c r="AJ47" s="9">
        <v>1</v>
      </c>
      <c r="AK47" s="9">
        <v>1</v>
      </c>
      <c r="AL47" s="9">
        <v>1</v>
      </c>
      <c r="AN47" s="8" t="str">
        <f t="shared" si="5"/>
        <v>RLIHAE000</v>
      </c>
      <c r="AO47" s="9">
        <f t="shared" si="6"/>
        <v>7.2</v>
      </c>
      <c r="AP47" s="9"/>
      <c r="AQ47" s="9"/>
      <c r="AR47" s="9"/>
      <c r="AS47" s="39">
        <v>7.2</v>
      </c>
      <c r="AT47" s="39">
        <v>8.4</v>
      </c>
      <c r="AU47" s="39"/>
      <c r="AV47" s="39"/>
      <c r="AW47" s="39">
        <v>7.2</v>
      </c>
      <c r="AX47" s="39">
        <v>12</v>
      </c>
      <c r="AY47" s="39">
        <v>8.4</v>
      </c>
      <c r="AZ47" s="39">
        <v>9.6</v>
      </c>
      <c r="BA47" s="39">
        <v>7.2</v>
      </c>
      <c r="BB47" s="39">
        <v>9.6</v>
      </c>
      <c r="BC47" s="39"/>
      <c r="BD47" s="9"/>
    </row>
    <row r="48" spans="1:56" x14ac:dyDescent="0.45">
      <c r="A48" s="37" t="str">
        <f>'RES Assumptions'!B131</f>
        <v>RL</v>
      </c>
      <c r="B48" s="37" t="s">
        <v>112</v>
      </c>
      <c r="D48" s="51" t="s">
        <v>312</v>
      </c>
      <c r="E48" s="8" t="str">
        <f>'RES Assumptions'!A131</f>
        <v>RESELC</v>
      </c>
      <c r="F48" s="8" t="str">
        <f>VLOOKUP(A48,'RES Assumptions'!$AN$87:$AO$97,2,FALSE)</f>
        <v>RLI</v>
      </c>
      <c r="G48" s="9">
        <v>0.6</v>
      </c>
      <c r="H48" s="9">
        <f t="shared" si="8"/>
        <v>0.6</v>
      </c>
      <c r="I48" s="9">
        <f t="shared" si="8"/>
        <v>0.6</v>
      </c>
      <c r="J48" s="9">
        <f t="shared" si="8"/>
        <v>0.6</v>
      </c>
      <c r="K48" s="9">
        <f t="shared" si="8"/>
        <v>0.6</v>
      </c>
      <c r="L48" s="9">
        <f t="shared" si="8"/>
        <v>0.6</v>
      </c>
      <c r="M48" s="9">
        <f t="shared" si="8"/>
        <v>0.6</v>
      </c>
      <c r="N48" s="9">
        <f t="shared" si="8"/>
        <v>0.6</v>
      </c>
      <c r="O48" s="9">
        <f t="shared" si="8"/>
        <v>0.6</v>
      </c>
      <c r="P48" s="9">
        <f t="shared" si="8"/>
        <v>0.6</v>
      </c>
      <c r="Q48" s="9">
        <f t="shared" si="8"/>
        <v>0.6</v>
      </c>
      <c r="R48" s="9">
        <f t="shared" si="8"/>
        <v>0.6</v>
      </c>
      <c r="S48" s="9">
        <f t="shared" si="8"/>
        <v>0.6</v>
      </c>
      <c r="T48" s="9">
        <f t="shared" si="8"/>
        <v>0.6</v>
      </c>
      <c r="U48" s="9">
        <f t="shared" si="8"/>
        <v>0.6</v>
      </c>
      <c r="W48" s="8" t="str">
        <f t="shared" si="4"/>
        <v>RLIICE000</v>
      </c>
      <c r="X48" s="9">
        <v>1</v>
      </c>
      <c r="Y48" s="9">
        <v>1</v>
      </c>
      <c r="Z48" s="9">
        <v>1</v>
      </c>
      <c r="AA48" s="9">
        <v>1</v>
      </c>
      <c r="AB48" s="9">
        <v>1</v>
      </c>
      <c r="AC48" s="9">
        <v>1</v>
      </c>
      <c r="AD48" s="9">
        <v>1</v>
      </c>
      <c r="AE48" s="9">
        <v>1</v>
      </c>
      <c r="AF48" s="9">
        <v>1</v>
      </c>
      <c r="AG48" s="9">
        <v>1</v>
      </c>
      <c r="AH48" s="9">
        <v>1</v>
      </c>
      <c r="AI48" s="9">
        <v>1</v>
      </c>
      <c r="AJ48" s="9">
        <v>1</v>
      </c>
      <c r="AK48" s="9">
        <v>1</v>
      </c>
      <c r="AL48" s="9">
        <v>1</v>
      </c>
      <c r="AN48" s="8" t="str">
        <f t="shared" si="5"/>
        <v>RLIICE000</v>
      </c>
      <c r="AO48" s="9">
        <f t="shared" si="6"/>
        <v>7.2</v>
      </c>
      <c r="AP48" s="9"/>
      <c r="AQ48" s="9"/>
      <c r="AR48" s="9"/>
      <c r="AS48" s="39">
        <v>7.2</v>
      </c>
      <c r="AT48" s="39">
        <v>8.4</v>
      </c>
      <c r="AU48" s="39"/>
      <c r="AV48" s="39"/>
      <c r="AW48" s="39">
        <v>7.2</v>
      </c>
      <c r="AX48" s="39">
        <v>12</v>
      </c>
      <c r="AY48" s="39">
        <v>8.4</v>
      </c>
      <c r="AZ48" s="39">
        <v>9.6</v>
      </c>
      <c r="BA48" s="39">
        <v>7.2</v>
      </c>
      <c r="BB48" s="39">
        <v>9.6</v>
      </c>
      <c r="BC48" s="39"/>
      <c r="BD48" s="9"/>
    </row>
    <row r="49" spans="1:56" x14ac:dyDescent="0.45">
      <c r="A49" s="37" t="str">
        <f>'RES Assumptions'!B132</f>
        <v>RL</v>
      </c>
      <c r="B49" s="37" t="s">
        <v>154</v>
      </c>
      <c r="D49" s="51" t="s">
        <v>313</v>
      </c>
      <c r="E49" s="8" t="str">
        <f>'RES Assumptions'!A132</f>
        <v>RESKER</v>
      </c>
      <c r="F49" s="8" t="str">
        <f>VLOOKUP(A49,'RES Assumptions'!$AN$87:$AO$97,2,FALSE)</f>
        <v>RLI</v>
      </c>
      <c r="G49" s="9">
        <v>0.4</v>
      </c>
      <c r="H49" s="9">
        <f t="shared" si="8"/>
        <v>0.4</v>
      </c>
      <c r="I49" s="9">
        <f t="shared" si="8"/>
        <v>0.4</v>
      </c>
      <c r="J49" s="9">
        <f t="shared" si="8"/>
        <v>0.4</v>
      </c>
      <c r="K49" s="9">
        <f t="shared" si="8"/>
        <v>0.4</v>
      </c>
      <c r="L49" s="9">
        <f t="shared" si="8"/>
        <v>0.4</v>
      </c>
      <c r="M49" s="9">
        <f t="shared" si="8"/>
        <v>0.4</v>
      </c>
      <c r="N49" s="9">
        <f t="shared" si="8"/>
        <v>0.4</v>
      </c>
      <c r="O49" s="9">
        <f t="shared" si="8"/>
        <v>0.4</v>
      </c>
      <c r="P49" s="9">
        <f t="shared" si="8"/>
        <v>0.4</v>
      </c>
      <c r="Q49" s="9">
        <f t="shared" si="8"/>
        <v>0.4</v>
      </c>
      <c r="R49" s="9">
        <f t="shared" si="8"/>
        <v>0.4</v>
      </c>
      <c r="S49" s="9">
        <f t="shared" si="8"/>
        <v>0.4</v>
      </c>
      <c r="T49" s="9">
        <f t="shared" si="8"/>
        <v>0.4</v>
      </c>
      <c r="U49" s="9">
        <f t="shared" si="8"/>
        <v>0.4</v>
      </c>
      <c r="W49" s="8" t="str">
        <f t="shared" si="4"/>
        <v>RLIKER000</v>
      </c>
      <c r="X49" s="9">
        <v>1</v>
      </c>
      <c r="Y49" s="9">
        <v>1</v>
      </c>
      <c r="Z49" s="9">
        <v>1</v>
      </c>
      <c r="AA49" s="9">
        <v>1</v>
      </c>
      <c r="AB49" s="9">
        <v>1</v>
      </c>
      <c r="AC49" s="9">
        <v>1</v>
      </c>
      <c r="AD49" s="9">
        <v>1</v>
      </c>
      <c r="AE49" s="9">
        <v>1</v>
      </c>
      <c r="AF49" s="9">
        <v>1</v>
      </c>
      <c r="AG49" s="9">
        <v>1</v>
      </c>
      <c r="AH49" s="9">
        <v>1</v>
      </c>
      <c r="AI49" s="9">
        <v>1</v>
      </c>
      <c r="AJ49" s="9">
        <v>1</v>
      </c>
      <c r="AK49" s="9">
        <v>1</v>
      </c>
      <c r="AL49" s="9">
        <v>1</v>
      </c>
      <c r="AN49" s="8" t="str">
        <f t="shared" si="5"/>
        <v>RLIKER000</v>
      </c>
      <c r="AO49" s="9">
        <f t="shared" si="6"/>
        <v>7.2</v>
      </c>
      <c r="AP49" s="9"/>
      <c r="AQ49" s="9"/>
      <c r="AR49" s="9"/>
      <c r="AS49" s="39">
        <v>7.2</v>
      </c>
      <c r="AT49" s="39">
        <v>8.4</v>
      </c>
      <c r="AU49" s="39"/>
      <c r="AV49" s="39"/>
      <c r="AW49" s="39">
        <v>7.2</v>
      </c>
      <c r="AX49" s="39">
        <v>12</v>
      </c>
      <c r="AY49" s="39">
        <v>8.4</v>
      </c>
      <c r="AZ49" s="39">
        <v>9.6</v>
      </c>
      <c r="BA49" s="39">
        <v>7.2</v>
      </c>
      <c r="BB49" s="39">
        <v>9.6</v>
      </c>
      <c r="BC49" s="39"/>
      <c r="BD49" s="9"/>
    </row>
    <row r="50" spans="1:56" x14ac:dyDescent="0.45">
      <c r="A50" s="37" t="str">
        <f>'RES Assumptions'!B133</f>
        <v>ROT</v>
      </c>
      <c r="B50" s="37" t="s">
        <v>155</v>
      </c>
      <c r="D50" s="51" t="s">
        <v>155</v>
      </c>
      <c r="E50" s="8" t="str">
        <f>'RES Assumptions'!A133</f>
        <v>RESBIO</v>
      </c>
      <c r="F50" s="8" t="str">
        <f>VLOOKUP(A50,'RES Assumptions'!$AN$87:$AO$97,2,FALSE)</f>
        <v>ROT</v>
      </c>
      <c r="G50" s="9">
        <v>1</v>
      </c>
      <c r="H50" s="9">
        <f t="shared" si="8"/>
        <v>1</v>
      </c>
      <c r="I50" s="9">
        <f t="shared" si="8"/>
        <v>1</v>
      </c>
      <c r="J50" s="9">
        <f t="shared" si="8"/>
        <v>1</v>
      </c>
      <c r="K50" s="9">
        <f t="shared" si="8"/>
        <v>1</v>
      </c>
      <c r="L50" s="9">
        <f t="shared" si="8"/>
        <v>1</v>
      </c>
      <c r="M50" s="9">
        <f t="shared" si="8"/>
        <v>1</v>
      </c>
      <c r="N50" s="9">
        <f t="shared" si="8"/>
        <v>1</v>
      </c>
      <c r="O50" s="9">
        <f t="shared" si="8"/>
        <v>1</v>
      </c>
      <c r="P50" s="9">
        <f t="shared" si="8"/>
        <v>1</v>
      </c>
      <c r="Q50" s="9">
        <f t="shared" si="8"/>
        <v>1</v>
      </c>
      <c r="R50" s="9">
        <f t="shared" si="8"/>
        <v>1</v>
      </c>
      <c r="S50" s="9">
        <f t="shared" si="8"/>
        <v>1</v>
      </c>
      <c r="T50" s="9">
        <f t="shared" si="8"/>
        <v>1</v>
      </c>
      <c r="U50" s="9">
        <f t="shared" si="8"/>
        <v>1</v>
      </c>
      <c r="W50" s="8" t="str">
        <f t="shared" si="4"/>
        <v>ROTBIO000</v>
      </c>
      <c r="X50" s="9">
        <v>1</v>
      </c>
      <c r="Y50" s="9">
        <v>1</v>
      </c>
      <c r="Z50" s="9">
        <v>1</v>
      </c>
      <c r="AA50" s="9">
        <v>1</v>
      </c>
      <c r="AB50" s="9">
        <v>1</v>
      </c>
      <c r="AC50" s="9">
        <v>1</v>
      </c>
      <c r="AD50" s="9">
        <v>1</v>
      </c>
      <c r="AE50" s="9">
        <v>1</v>
      </c>
      <c r="AF50" s="9">
        <v>1</v>
      </c>
      <c r="AG50" s="9">
        <v>1</v>
      </c>
      <c r="AH50" s="9">
        <v>1</v>
      </c>
      <c r="AI50" s="9">
        <v>1</v>
      </c>
      <c r="AJ50" s="9">
        <v>1</v>
      </c>
      <c r="AK50" s="9">
        <v>1</v>
      </c>
      <c r="AL50" s="9">
        <v>1</v>
      </c>
      <c r="AN50" s="8" t="str">
        <f t="shared" si="5"/>
        <v>ROTBIO000</v>
      </c>
      <c r="AO50" s="9">
        <f t="shared" si="6"/>
        <v>0</v>
      </c>
      <c r="AP50" s="9"/>
      <c r="AQ50" s="9"/>
      <c r="AR50" s="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9"/>
    </row>
    <row r="51" spans="1:56" x14ac:dyDescent="0.45">
      <c r="A51" s="37" t="str">
        <f>'RES Assumptions'!B134</f>
        <v>ROT</v>
      </c>
      <c r="B51" s="37" t="s">
        <v>156</v>
      </c>
      <c r="D51" s="51" t="s">
        <v>156</v>
      </c>
      <c r="E51" s="8" t="str">
        <f>'RES Assumptions'!A134</f>
        <v>RESCOA</v>
      </c>
      <c r="F51" s="8" t="str">
        <f>VLOOKUP(A51,'RES Assumptions'!$AN$87:$AO$97,2,FALSE)</f>
        <v>ROT</v>
      </c>
      <c r="G51" s="9">
        <v>1</v>
      </c>
      <c r="H51" s="9">
        <f t="shared" si="8"/>
        <v>1</v>
      </c>
      <c r="I51" s="9">
        <f t="shared" si="8"/>
        <v>1</v>
      </c>
      <c r="J51" s="9">
        <f t="shared" si="8"/>
        <v>1</v>
      </c>
      <c r="K51" s="9">
        <f t="shared" si="8"/>
        <v>1</v>
      </c>
      <c r="L51" s="9">
        <f t="shared" si="8"/>
        <v>1</v>
      </c>
      <c r="M51" s="9">
        <f t="shared" si="8"/>
        <v>1</v>
      </c>
      <c r="N51" s="9">
        <f t="shared" si="8"/>
        <v>1</v>
      </c>
      <c r="O51" s="9">
        <f t="shared" si="8"/>
        <v>1</v>
      </c>
      <c r="P51" s="9">
        <f t="shared" si="8"/>
        <v>1</v>
      </c>
      <c r="Q51" s="9">
        <f t="shared" si="8"/>
        <v>1</v>
      </c>
      <c r="R51" s="9">
        <f t="shared" si="8"/>
        <v>1</v>
      </c>
      <c r="S51" s="9">
        <f t="shared" si="8"/>
        <v>1</v>
      </c>
      <c r="T51" s="9">
        <f t="shared" si="8"/>
        <v>1</v>
      </c>
      <c r="U51" s="9">
        <f t="shared" si="8"/>
        <v>1</v>
      </c>
      <c r="W51" s="8" t="str">
        <f t="shared" si="4"/>
        <v>ROTCOA000</v>
      </c>
      <c r="X51" s="9">
        <v>1</v>
      </c>
      <c r="Y51" s="9">
        <v>1</v>
      </c>
      <c r="Z51" s="9">
        <v>1</v>
      </c>
      <c r="AA51" s="9">
        <v>1</v>
      </c>
      <c r="AB51" s="9">
        <v>1</v>
      </c>
      <c r="AC51" s="9">
        <v>1</v>
      </c>
      <c r="AD51" s="9">
        <v>1</v>
      </c>
      <c r="AE51" s="9">
        <v>1</v>
      </c>
      <c r="AF51" s="9">
        <v>1</v>
      </c>
      <c r="AG51" s="9">
        <v>1</v>
      </c>
      <c r="AH51" s="9">
        <v>1</v>
      </c>
      <c r="AI51" s="9">
        <v>1</v>
      </c>
      <c r="AJ51" s="9">
        <v>1</v>
      </c>
      <c r="AK51" s="9">
        <v>1</v>
      </c>
      <c r="AL51" s="9">
        <v>1</v>
      </c>
      <c r="AN51" s="8" t="str">
        <f t="shared" si="5"/>
        <v>ROTCOA000</v>
      </c>
      <c r="AO51" s="9">
        <f t="shared" si="6"/>
        <v>0</v>
      </c>
      <c r="AP51" s="9"/>
      <c r="AQ51" s="9"/>
      <c r="AR51" s="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9"/>
    </row>
    <row r="52" spans="1:56" x14ac:dyDescent="0.45">
      <c r="A52" s="37" t="str">
        <f>'RES Assumptions'!B135</f>
        <v>ROT</v>
      </c>
      <c r="B52" s="37" t="s">
        <v>157</v>
      </c>
      <c r="D52" s="51" t="s">
        <v>157</v>
      </c>
      <c r="E52" s="8" t="str">
        <f>'RES Assumptions'!A135</f>
        <v>RESOIL</v>
      </c>
      <c r="F52" s="8" t="str">
        <f>VLOOKUP(A52,'RES Assumptions'!$AN$87:$AO$97,2,FALSE)</f>
        <v>ROT</v>
      </c>
      <c r="G52" s="9">
        <v>1</v>
      </c>
      <c r="H52" s="9">
        <f t="shared" si="8"/>
        <v>1</v>
      </c>
      <c r="I52" s="9">
        <f t="shared" si="8"/>
        <v>1</v>
      </c>
      <c r="J52" s="9">
        <f t="shared" si="8"/>
        <v>1</v>
      </c>
      <c r="K52" s="9">
        <f t="shared" si="8"/>
        <v>1</v>
      </c>
      <c r="L52" s="9">
        <f t="shared" si="8"/>
        <v>1</v>
      </c>
      <c r="M52" s="9">
        <f t="shared" si="8"/>
        <v>1</v>
      </c>
      <c r="N52" s="9">
        <f t="shared" si="8"/>
        <v>1</v>
      </c>
      <c r="O52" s="9">
        <f t="shared" si="8"/>
        <v>1</v>
      </c>
      <c r="P52" s="9">
        <f t="shared" si="8"/>
        <v>1</v>
      </c>
      <c r="Q52" s="9">
        <f t="shared" si="8"/>
        <v>1</v>
      </c>
      <c r="R52" s="9">
        <f t="shared" si="8"/>
        <v>1</v>
      </c>
      <c r="S52" s="9">
        <f t="shared" si="8"/>
        <v>1</v>
      </c>
      <c r="T52" s="9">
        <f t="shared" si="8"/>
        <v>1</v>
      </c>
      <c r="U52" s="9">
        <f t="shared" si="8"/>
        <v>1</v>
      </c>
      <c r="W52" s="8" t="str">
        <f t="shared" si="4"/>
        <v>ROTDST000</v>
      </c>
      <c r="X52" s="9">
        <v>1</v>
      </c>
      <c r="Y52" s="9">
        <v>1</v>
      </c>
      <c r="Z52" s="9">
        <v>1</v>
      </c>
      <c r="AA52" s="9">
        <v>1</v>
      </c>
      <c r="AB52" s="9">
        <v>1</v>
      </c>
      <c r="AC52" s="9">
        <v>1</v>
      </c>
      <c r="AD52" s="9">
        <v>1</v>
      </c>
      <c r="AE52" s="9">
        <v>1</v>
      </c>
      <c r="AF52" s="9">
        <v>1</v>
      </c>
      <c r="AG52" s="9">
        <v>1</v>
      </c>
      <c r="AH52" s="9">
        <v>1</v>
      </c>
      <c r="AI52" s="9">
        <v>1</v>
      </c>
      <c r="AJ52" s="9">
        <v>1</v>
      </c>
      <c r="AK52" s="9">
        <v>1</v>
      </c>
      <c r="AL52" s="9">
        <v>1</v>
      </c>
      <c r="AN52" s="8" t="str">
        <f t="shared" si="5"/>
        <v>ROTDST000</v>
      </c>
      <c r="AO52" s="9">
        <f t="shared" si="6"/>
        <v>0</v>
      </c>
      <c r="AP52" s="9"/>
      <c r="AQ52" s="9"/>
      <c r="AR52" s="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9"/>
    </row>
    <row r="53" spans="1:56" x14ac:dyDescent="0.45">
      <c r="A53" s="37" t="str">
        <f>'RES Assumptions'!B136</f>
        <v>ROT</v>
      </c>
      <c r="B53" s="37" t="s">
        <v>158</v>
      </c>
      <c r="D53" s="51" t="s">
        <v>158</v>
      </c>
      <c r="E53" s="8" t="str">
        <f>'RES Assumptions'!A136</f>
        <v>RESGEO</v>
      </c>
      <c r="F53" s="8" t="str">
        <f>VLOOKUP(A53,'RES Assumptions'!$AN$87:$AO$97,2,FALSE)</f>
        <v>ROT</v>
      </c>
      <c r="G53" s="9">
        <v>1</v>
      </c>
      <c r="H53" s="9">
        <f t="shared" ref="H53:U61" si="9">$G53</f>
        <v>1</v>
      </c>
      <c r="I53" s="9">
        <f t="shared" si="9"/>
        <v>1</v>
      </c>
      <c r="J53" s="9">
        <f t="shared" si="9"/>
        <v>1</v>
      </c>
      <c r="K53" s="9">
        <f t="shared" si="9"/>
        <v>1</v>
      </c>
      <c r="L53" s="9">
        <f t="shared" si="9"/>
        <v>1</v>
      </c>
      <c r="M53" s="9">
        <f t="shared" si="9"/>
        <v>1</v>
      </c>
      <c r="N53" s="9">
        <f t="shared" si="9"/>
        <v>1</v>
      </c>
      <c r="O53" s="9">
        <f t="shared" si="9"/>
        <v>1</v>
      </c>
      <c r="P53" s="9">
        <f t="shared" si="9"/>
        <v>1</v>
      </c>
      <c r="Q53" s="9">
        <f t="shared" si="9"/>
        <v>1</v>
      </c>
      <c r="R53" s="9">
        <f t="shared" si="9"/>
        <v>1</v>
      </c>
      <c r="S53" s="9">
        <f t="shared" si="9"/>
        <v>1</v>
      </c>
      <c r="T53" s="9">
        <f t="shared" si="9"/>
        <v>1</v>
      </c>
      <c r="U53" s="9">
        <f t="shared" si="9"/>
        <v>1</v>
      </c>
      <c r="W53" s="8" t="str">
        <f t="shared" si="4"/>
        <v>ROTGEO000</v>
      </c>
      <c r="X53" s="9">
        <v>1</v>
      </c>
      <c r="Y53" s="9">
        <v>1</v>
      </c>
      <c r="Z53" s="9">
        <v>1</v>
      </c>
      <c r="AA53" s="9">
        <v>1</v>
      </c>
      <c r="AB53" s="9">
        <v>1</v>
      </c>
      <c r="AC53" s="9">
        <v>1</v>
      </c>
      <c r="AD53" s="9">
        <v>1</v>
      </c>
      <c r="AE53" s="9">
        <v>1</v>
      </c>
      <c r="AF53" s="9">
        <v>1</v>
      </c>
      <c r="AG53" s="9">
        <v>1</v>
      </c>
      <c r="AH53" s="9">
        <v>1</v>
      </c>
      <c r="AI53" s="9">
        <v>1</v>
      </c>
      <c r="AJ53" s="9">
        <v>1</v>
      </c>
      <c r="AK53" s="9">
        <v>1</v>
      </c>
      <c r="AL53" s="9">
        <v>1</v>
      </c>
      <c r="AN53" s="8" t="str">
        <f t="shared" si="5"/>
        <v>ROTGEO000</v>
      </c>
      <c r="AO53" s="9">
        <f t="shared" si="6"/>
        <v>0</v>
      </c>
      <c r="AP53" s="9"/>
      <c r="AQ53" s="9"/>
      <c r="AR53" s="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9"/>
    </row>
    <row r="54" spans="1:56" x14ac:dyDescent="0.45">
      <c r="A54" s="37" t="str">
        <f>'RES Assumptions'!B137</f>
        <v>ROT</v>
      </c>
      <c r="B54" s="37" t="s">
        <v>159</v>
      </c>
      <c r="D54" s="51" t="s">
        <v>159</v>
      </c>
      <c r="E54" s="8" t="str">
        <f>'RES Assumptions'!A137</f>
        <v>RESHET</v>
      </c>
      <c r="F54" s="8" t="str">
        <f>VLOOKUP(A54,'RES Assumptions'!$AN$87:$AO$97,2,FALSE)</f>
        <v>ROT</v>
      </c>
      <c r="G54" s="9">
        <v>1</v>
      </c>
      <c r="H54" s="9">
        <f t="shared" si="9"/>
        <v>1</v>
      </c>
      <c r="I54" s="9">
        <f t="shared" si="9"/>
        <v>1</v>
      </c>
      <c r="J54" s="9">
        <f t="shared" si="9"/>
        <v>1</v>
      </c>
      <c r="K54" s="9">
        <f t="shared" si="9"/>
        <v>1</v>
      </c>
      <c r="L54" s="9">
        <f t="shared" si="9"/>
        <v>1</v>
      </c>
      <c r="M54" s="9">
        <f t="shared" si="9"/>
        <v>1</v>
      </c>
      <c r="N54" s="9">
        <f t="shared" si="9"/>
        <v>1</v>
      </c>
      <c r="O54" s="9">
        <f t="shared" si="9"/>
        <v>1</v>
      </c>
      <c r="P54" s="9">
        <f t="shared" si="9"/>
        <v>1</v>
      </c>
      <c r="Q54" s="9">
        <f t="shared" si="9"/>
        <v>1</v>
      </c>
      <c r="R54" s="9">
        <f t="shared" si="9"/>
        <v>1</v>
      </c>
      <c r="S54" s="9">
        <f t="shared" si="9"/>
        <v>1</v>
      </c>
      <c r="T54" s="9">
        <f t="shared" si="9"/>
        <v>1</v>
      </c>
      <c r="U54" s="9">
        <f t="shared" si="9"/>
        <v>1</v>
      </c>
      <c r="W54" s="8" t="str">
        <f t="shared" si="4"/>
        <v>ROTHET000</v>
      </c>
      <c r="X54" s="9">
        <v>1</v>
      </c>
      <c r="Y54" s="9">
        <v>1</v>
      </c>
      <c r="Z54" s="9">
        <v>1</v>
      </c>
      <c r="AA54" s="9">
        <v>1</v>
      </c>
      <c r="AB54" s="9">
        <v>1</v>
      </c>
      <c r="AC54" s="9">
        <v>1</v>
      </c>
      <c r="AD54" s="9">
        <v>1</v>
      </c>
      <c r="AE54" s="9">
        <v>1</v>
      </c>
      <c r="AF54" s="9">
        <v>1</v>
      </c>
      <c r="AG54" s="9">
        <v>1</v>
      </c>
      <c r="AH54" s="9">
        <v>1</v>
      </c>
      <c r="AI54" s="9">
        <v>1</v>
      </c>
      <c r="AJ54" s="9">
        <v>1</v>
      </c>
      <c r="AK54" s="9">
        <v>1</v>
      </c>
      <c r="AL54" s="9">
        <v>1</v>
      </c>
      <c r="AN54" s="8" t="str">
        <f t="shared" si="5"/>
        <v>ROTHET000</v>
      </c>
      <c r="AO54" s="9">
        <f t="shared" si="6"/>
        <v>0</v>
      </c>
      <c r="AP54" s="9"/>
      <c r="AQ54" s="9"/>
      <c r="AR54" s="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9"/>
    </row>
    <row r="55" spans="1:56" x14ac:dyDescent="0.45">
      <c r="A55" s="37" t="str">
        <f>'RES Assumptions'!B138</f>
        <v>ROT</v>
      </c>
      <c r="B55" s="37" t="s">
        <v>160</v>
      </c>
      <c r="D55" s="51" t="s">
        <v>160</v>
      </c>
      <c r="E55" s="8" t="str">
        <f>'RES Assumptions'!A138</f>
        <v>RESHFO</v>
      </c>
      <c r="F55" s="8" t="str">
        <f>VLOOKUP(A55,'RES Assumptions'!$AN$87:$AO$97,2,FALSE)</f>
        <v>ROT</v>
      </c>
      <c r="G55" s="9">
        <v>1</v>
      </c>
      <c r="H55" s="9">
        <f t="shared" si="9"/>
        <v>1</v>
      </c>
      <c r="I55" s="9">
        <f t="shared" si="9"/>
        <v>1</v>
      </c>
      <c r="J55" s="9">
        <f t="shared" si="9"/>
        <v>1</v>
      </c>
      <c r="K55" s="9">
        <f t="shared" si="9"/>
        <v>1</v>
      </c>
      <c r="L55" s="9">
        <f t="shared" si="9"/>
        <v>1</v>
      </c>
      <c r="M55" s="9">
        <f t="shared" si="9"/>
        <v>1</v>
      </c>
      <c r="N55" s="9">
        <f t="shared" si="9"/>
        <v>1</v>
      </c>
      <c r="O55" s="9">
        <f t="shared" si="9"/>
        <v>1</v>
      </c>
      <c r="P55" s="9">
        <f t="shared" si="9"/>
        <v>1</v>
      </c>
      <c r="Q55" s="9">
        <f t="shared" si="9"/>
        <v>1</v>
      </c>
      <c r="R55" s="9">
        <f t="shared" si="9"/>
        <v>1</v>
      </c>
      <c r="S55" s="9">
        <f t="shared" si="9"/>
        <v>1</v>
      </c>
      <c r="T55" s="9">
        <f t="shared" si="9"/>
        <v>1</v>
      </c>
      <c r="U55" s="9">
        <f t="shared" si="9"/>
        <v>1</v>
      </c>
      <c r="W55" s="8" t="str">
        <f t="shared" si="4"/>
        <v>ROTHFO000</v>
      </c>
      <c r="X55" s="9">
        <v>1</v>
      </c>
      <c r="Y55" s="9">
        <v>1</v>
      </c>
      <c r="Z55" s="9">
        <v>1</v>
      </c>
      <c r="AA55" s="9">
        <v>1</v>
      </c>
      <c r="AB55" s="9">
        <v>1</v>
      </c>
      <c r="AC55" s="9">
        <v>1</v>
      </c>
      <c r="AD55" s="9">
        <v>1</v>
      </c>
      <c r="AE55" s="9">
        <v>1</v>
      </c>
      <c r="AF55" s="9">
        <v>1</v>
      </c>
      <c r="AG55" s="9">
        <v>1</v>
      </c>
      <c r="AH55" s="9">
        <v>1</v>
      </c>
      <c r="AI55" s="9">
        <v>1</v>
      </c>
      <c r="AJ55" s="9">
        <v>1</v>
      </c>
      <c r="AK55" s="9">
        <v>1</v>
      </c>
      <c r="AL55" s="9">
        <v>1</v>
      </c>
      <c r="AN55" s="8" t="str">
        <f t="shared" si="5"/>
        <v>ROTHFO000</v>
      </c>
      <c r="AO55" s="9">
        <f t="shared" si="6"/>
        <v>0</v>
      </c>
      <c r="AP55" s="9"/>
      <c r="AQ55" s="9"/>
      <c r="AR55" s="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9"/>
    </row>
    <row r="56" spans="1:56" x14ac:dyDescent="0.45">
      <c r="A56" s="37" t="str">
        <f>'RES Assumptions'!B139</f>
        <v>ROT</v>
      </c>
      <c r="B56" s="37" t="s">
        <v>161</v>
      </c>
      <c r="D56" s="51" t="s">
        <v>161</v>
      </c>
      <c r="E56" s="8" t="str">
        <f>'RES Assumptions'!A139</f>
        <v>RESKER</v>
      </c>
      <c r="F56" s="8" t="str">
        <f>VLOOKUP(A56,'RES Assumptions'!$AN$87:$AO$97,2,FALSE)</f>
        <v>ROT</v>
      </c>
      <c r="G56" s="9">
        <v>1</v>
      </c>
      <c r="H56" s="9">
        <f t="shared" si="9"/>
        <v>1</v>
      </c>
      <c r="I56" s="9">
        <f t="shared" si="9"/>
        <v>1</v>
      </c>
      <c r="J56" s="9">
        <f t="shared" si="9"/>
        <v>1</v>
      </c>
      <c r="K56" s="9">
        <f t="shared" si="9"/>
        <v>1</v>
      </c>
      <c r="L56" s="9">
        <f t="shared" si="9"/>
        <v>1</v>
      </c>
      <c r="M56" s="9">
        <f t="shared" si="9"/>
        <v>1</v>
      </c>
      <c r="N56" s="9">
        <f t="shared" si="9"/>
        <v>1</v>
      </c>
      <c r="O56" s="9">
        <f t="shared" si="9"/>
        <v>1</v>
      </c>
      <c r="P56" s="9">
        <f t="shared" si="9"/>
        <v>1</v>
      </c>
      <c r="Q56" s="9">
        <f t="shared" si="9"/>
        <v>1</v>
      </c>
      <c r="R56" s="9">
        <f t="shared" si="9"/>
        <v>1</v>
      </c>
      <c r="S56" s="9">
        <f t="shared" si="9"/>
        <v>1</v>
      </c>
      <c r="T56" s="9">
        <f t="shared" si="9"/>
        <v>1</v>
      </c>
      <c r="U56" s="9">
        <f t="shared" si="9"/>
        <v>1</v>
      </c>
      <c r="W56" s="8" t="str">
        <f t="shared" si="4"/>
        <v>ROTKER000</v>
      </c>
      <c r="X56" s="9">
        <v>1</v>
      </c>
      <c r="Y56" s="9">
        <v>1</v>
      </c>
      <c r="Z56" s="9">
        <v>1</v>
      </c>
      <c r="AA56" s="9">
        <v>1</v>
      </c>
      <c r="AB56" s="9">
        <v>1</v>
      </c>
      <c r="AC56" s="9">
        <v>1</v>
      </c>
      <c r="AD56" s="9">
        <v>1</v>
      </c>
      <c r="AE56" s="9">
        <v>1</v>
      </c>
      <c r="AF56" s="9">
        <v>1</v>
      </c>
      <c r="AG56" s="9">
        <v>1</v>
      </c>
      <c r="AH56" s="9">
        <v>1</v>
      </c>
      <c r="AI56" s="9">
        <v>1</v>
      </c>
      <c r="AJ56" s="9">
        <v>1</v>
      </c>
      <c r="AK56" s="9">
        <v>1</v>
      </c>
      <c r="AL56" s="9">
        <v>1</v>
      </c>
      <c r="AN56" s="8" t="str">
        <f t="shared" si="5"/>
        <v>ROTKER000</v>
      </c>
      <c r="AO56" s="9">
        <f t="shared" si="6"/>
        <v>0</v>
      </c>
      <c r="AP56" s="9"/>
      <c r="AQ56" s="9"/>
      <c r="AR56" s="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9"/>
    </row>
    <row r="57" spans="1:56" x14ac:dyDescent="0.45">
      <c r="A57" s="37" t="str">
        <f>'RES Assumptions'!B140</f>
        <v>ROT</v>
      </c>
      <c r="B57" s="37" t="s">
        <v>162</v>
      </c>
      <c r="D57" s="51" t="s">
        <v>162</v>
      </c>
      <c r="E57" s="8" t="str">
        <f>'RES Assumptions'!A140</f>
        <v>RESLPG</v>
      </c>
      <c r="F57" s="8" t="str">
        <f>VLOOKUP(A57,'RES Assumptions'!$AN$87:$AO$97,2,FALSE)</f>
        <v>ROT</v>
      </c>
      <c r="G57" s="9">
        <v>1</v>
      </c>
      <c r="H57" s="9">
        <f t="shared" si="9"/>
        <v>1</v>
      </c>
      <c r="I57" s="9">
        <f t="shared" si="9"/>
        <v>1</v>
      </c>
      <c r="J57" s="9">
        <f t="shared" si="9"/>
        <v>1</v>
      </c>
      <c r="K57" s="9">
        <f t="shared" si="9"/>
        <v>1</v>
      </c>
      <c r="L57" s="9">
        <f t="shared" si="9"/>
        <v>1</v>
      </c>
      <c r="M57" s="9">
        <f t="shared" si="9"/>
        <v>1</v>
      </c>
      <c r="N57" s="9">
        <f t="shared" si="9"/>
        <v>1</v>
      </c>
      <c r="O57" s="9">
        <f t="shared" si="9"/>
        <v>1</v>
      </c>
      <c r="P57" s="9">
        <f t="shared" si="9"/>
        <v>1</v>
      </c>
      <c r="Q57" s="9">
        <f t="shared" si="9"/>
        <v>1</v>
      </c>
      <c r="R57" s="9">
        <f t="shared" si="9"/>
        <v>1</v>
      </c>
      <c r="S57" s="9">
        <f t="shared" si="9"/>
        <v>1</v>
      </c>
      <c r="T57" s="9">
        <f t="shared" si="9"/>
        <v>1</v>
      </c>
      <c r="U57" s="9">
        <f t="shared" si="9"/>
        <v>1</v>
      </c>
      <c r="W57" s="8" t="str">
        <f t="shared" si="4"/>
        <v>ROTLPG000</v>
      </c>
      <c r="X57" s="9">
        <v>1</v>
      </c>
      <c r="Y57" s="9">
        <v>1</v>
      </c>
      <c r="Z57" s="9">
        <v>1</v>
      </c>
      <c r="AA57" s="9">
        <v>1</v>
      </c>
      <c r="AB57" s="9">
        <v>1</v>
      </c>
      <c r="AC57" s="9">
        <v>1</v>
      </c>
      <c r="AD57" s="9">
        <v>1</v>
      </c>
      <c r="AE57" s="9">
        <v>1</v>
      </c>
      <c r="AF57" s="9">
        <v>1</v>
      </c>
      <c r="AG57" s="9">
        <v>1</v>
      </c>
      <c r="AH57" s="9">
        <v>1</v>
      </c>
      <c r="AI57" s="9">
        <v>1</v>
      </c>
      <c r="AJ57" s="9">
        <v>1</v>
      </c>
      <c r="AK57" s="9">
        <v>1</v>
      </c>
      <c r="AL57" s="9">
        <v>1</v>
      </c>
      <c r="AN57" s="8" t="str">
        <f t="shared" si="5"/>
        <v>ROTLPG000</v>
      </c>
      <c r="AO57" s="9">
        <f t="shared" si="6"/>
        <v>0</v>
      </c>
      <c r="AP57" s="9"/>
      <c r="AQ57" s="9"/>
      <c r="AR57" s="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9"/>
    </row>
    <row r="58" spans="1:56" x14ac:dyDescent="0.45">
      <c r="A58" s="37" t="str">
        <f>'RES Assumptions'!B141</f>
        <v>ROT</v>
      </c>
      <c r="B58" s="37" t="s">
        <v>163</v>
      </c>
      <c r="D58" s="51" t="s">
        <v>163</v>
      </c>
      <c r="E58" s="8" t="str">
        <f>'RES Assumptions'!A141</f>
        <v>RESNGA</v>
      </c>
      <c r="F58" s="8" t="str">
        <f>VLOOKUP(A58,'RES Assumptions'!$AN$87:$AO$97,2,FALSE)</f>
        <v>ROT</v>
      </c>
      <c r="G58" s="9">
        <v>1</v>
      </c>
      <c r="H58" s="9">
        <f t="shared" si="9"/>
        <v>1</v>
      </c>
      <c r="I58" s="9">
        <f t="shared" si="9"/>
        <v>1</v>
      </c>
      <c r="J58" s="9">
        <f t="shared" si="9"/>
        <v>1</v>
      </c>
      <c r="K58" s="9">
        <f t="shared" si="9"/>
        <v>1</v>
      </c>
      <c r="L58" s="9">
        <f t="shared" si="9"/>
        <v>1</v>
      </c>
      <c r="M58" s="9">
        <f t="shared" si="9"/>
        <v>1</v>
      </c>
      <c r="N58" s="9">
        <f t="shared" si="9"/>
        <v>1</v>
      </c>
      <c r="O58" s="9">
        <f t="shared" si="9"/>
        <v>1</v>
      </c>
      <c r="P58" s="9">
        <f t="shared" si="9"/>
        <v>1</v>
      </c>
      <c r="Q58" s="9">
        <f t="shared" si="9"/>
        <v>1</v>
      </c>
      <c r="R58" s="9">
        <f t="shared" si="9"/>
        <v>1</v>
      </c>
      <c r="S58" s="9">
        <f t="shared" si="9"/>
        <v>1</v>
      </c>
      <c r="T58" s="9">
        <f t="shared" si="9"/>
        <v>1</v>
      </c>
      <c r="U58" s="9">
        <f t="shared" si="9"/>
        <v>1</v>
      </c>
      <c r="W58" s="8" t="str">
        <f t="shared" si="4"/>
        <v>ROTNGA000</v>
      </c>
      <c r="X58" s="9">
        <v>1</v>
      </c>
      <c r="Y58" s="9">
        <v>1</v>
      </c>
      <c r="Z58" s="9">
        <v>1</v>
      </c>
      <c r="AA58" s="9">
        <v>1</v>
      </c>
      <c r="AB58" s="9">
        <v>1</v>
      </c>
      <c r="AC58" s="9">
        <v>1</v>
      </c>
      <c r="AD58" s="9">
        <v>1</v>
      </c>
      <c r="AE58" s="9">
        <v>1</v>
      </c>
      <c r="AF58" s="9">
        <v>1</v>
      </c>
      <c r="AG58" s="9">
        <v>1</v>
      </c>
      <c r="AH58" s="9">
        <v>1</v>
      </c>
      <c r="AI58" s="9">
        <v>1</v>
      </c>
      <c r="AJ58" s="9">
        <v>1</v>
      </c>
      <c r="AK58" s="9">
        <v>1</v>
      </c>
      <c r="AL58" s="9">
        <v>1</v>
      </c>
      <c r="AN58" s="8" t="str">
        <f t="shared" si="5"/>
        <v>ROTNGA000</v>
      </c>
      <c r="AO58" s="9">
        <f t="shared" si="6"/>
        <v>0</v>
      </c>
      <c r="AP58" s="9"/>
      <c r="AQ58" s="9"/>
      <c r="AR58" s="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9"/>
    </row>
    <row r="59" spans="1:56" x14ac:dyDescent="0.45">
      <c r="A59" s="37" t="str">
        <f>'RES Assumptions'!B142</f>
        <v>ROT</v>
      </c>
      <c r="B59" s="37" t="s">
        <v>164</v>
      </c>
      <c r="D59" s="51" t="s">
        <v>164</v>
      </c>
      <c r="E59" s="8" t="str">
        <f>'RES Assumptions'!A142</f>
        <v>RESSTH</v>
      </c>
      <c r="F59" s="8" t="str">
        <f>VLOOKUP(A59,'RES Assumptions'!$AN$87:$AO$97,2,FALSE)</f>
        <v>ROT</v>
      </c>
      <c r="G59" s="9">
        <v>1</v>
      </c>
      <c r="H59" s="9">
        <f t="shared" si="9"/>
        <v>1</v>
      </c>
      <c r="I59" s="9">
        <f t="shared" si="9"/>
        <v>1</v>
      </c>
      <c r="J59" s="9">
        <f t="shared" si="9"/>
        <v>1</v>
      </c>
      <c r="K59" s="9">
        <f t="shared" si="9"/>
        <v>1</v>
      </c>
      <c r="L59" s="9">
        <f t="shared" si="9"/>
        <v>1</v>
      </c>
      <c r="M59" s="9">
        <f t="shared" si="9"/>
        <v>1</v>
      </c>
      <c r="N59" s="9">
        <f t="shared" si="9"/>
        <v>1</v>
      </c>
      <c r="O59" s="9">
        <f t="shared" si="9"/>
        <v>1</v>
      </c>
      <c r="P59" s="9">
        <f t="shared" si="9"/>
        <v>1</v>
      </c>
      <c r="Q59" s="9">
        <f t="shared" si="9"/>
        <v>1</v>
      </c>
      <c r="R59" s="9">
        <f t="shared" si="9"/>
        <v>1</v>
      </c>
      <c r="S59" s="9">
        <f t="shared" si="9"/>
        <v>1</v>
      </c>
      <c r="T59" s="9">
        <f t="shared" si="9"/>
        <v>1</v>
      </c>
      <c r="U59" s="9">
        <f t="shared" si="9"/>
        <v>1</v>
      </c>
      <c r="W59" s="8" t="str">
        <f t="shared" si="4"/>
        <v>ROTSOL000</v>
      </c>
      <c r="X59" s="9">
        <v>1</v>
      </c>
      <c r="Y59" s="9">
        <v>1</v>
      </c>
      <c r="Z59" s="9">
        <v>1</v>
      </c>
      <c r="AA59" s="9">
        <v>1</v>
      </c>
      <c r="AB59" s="9">
        <v>1</v>
      </c>
      <c r="AC59" s="9">
        <v>1</v>
      </c>
      <c r="AD59" s="9">
        <v>1</v>
      </c>
      <c r="AE59" s="9">
        <v>1</v>
      </c>
      <c r="AF59" s="9">
        <v>1</v>
      </c>
      <c r="AG59" s="9">
        <v>1</v>
      </c>
      <c r="AH59" s="9">
        <v>1</v>
      </c>
      <c r="AI59" s="9">
        <v>1</v>
      </c>
      <c r="AJ59" s="9">
        <v>1</v>
      </c>
      <c r="AK59" s="9">
        <v>1</v>
      </c>
      <c r="AL59" s="9">
        <v>1</v>
      </c>
      <c r="AN59" s="8" t="str">
        <f t="shared" si="5"/>
        <v>ROTSOL000</v>
      </c>
      <c r="AO59" s="9">
        <f t="shared" si="6"/>
        <v>0</v>
      </c>
      <c r="AP59" s="9"/>
      <c r="AQ59" s="9"/>
      <c r="AR59" s="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9"/>
    </row>
    <row r="60" spans="1:56" x14ac:dyDescent="0.45">
      <c r="A60" s="37" t="str">
        <f>'RES Assumptions'!B143</f>
        <v>RR</v>
      </c>
      <c r="B60" s="37" t="s">
        <v>109</v>
      </c>
      <c r="D60" s="51" t="s">
        <v>109</v>
      </c>
      <c r="E60" s="8" t="str">
        <f>'RES Assumptions'!A143</f>
        <v>RESELC</v>
      </c>
      <c r="F60" s="8" t="str">
        <f>VLOOKUP(A60,'RES Assumptions'!$AN$87:$AO$97,2,FALSE)</f>
        <v>RRF</v>
      </c>
      <c r="G60" s="9">
        <v>0.7</v>
      </c>
      <c r="H60" s="9">
        <f t="shared" si="9"/>
        <v>0.7</v>
      </c>
      <c r="I60" s="9">
        <f t="shared" si="9"/>
        <v>0.7</v>
      </c>
      <c r="J60" s="9">
        <f t="shared" si="9"/>
        <v>0.7</v>
      </c>
      <c r="K60" s="9">
        <f t="shared" si="9"/>
        <v>0.7</v>
      </c>
      <c r="L60" s="9">
        <f t="shared" si="9"/>
        <v>0.7</v>
      </c>
      <c r="M60" s="9">
        <f t="shared" si="9"/>
        <v>0.7</v>
      </c>
      <c r="N60" s="9">
        <f t="shared" si="9"/>
        <v>0.7</v>
      </c>
      <c r="O60" s="9">
        <f t="shared" si="9"/>
        <v>0.7</v>
      </c>
      <c r="P60" s="9">
        <f t="shared" si="9"/>
        <v>0.7</v>
      </c>
      <c r="Q60" s="9">
        <f t="shared" si="9"/>
        <v>0.7</v>
      </c>
      <c r="R60" s="9">
        <f t="shared" si="9"/>
        <v>0.7</v>
      </c>
      <c r="S60" s="9">
        <f t="shared" si="9"/>
        <v>0.7</v>
      </c>
      <c r="T60" s="9">
        <f t="shared" si="9"/>
        <v>0.7</v>
      </c>
      <c r="U60" s="9">
        <f t="shared" si="9"/>
        <v>0.7</v>
      </c>
      <c r="W60" s="8" t="str">
        <f t="shared" si="4"/>
        <v>RRFFRE000</v>
      </c>
      <c r="X60" s="9">
        <v>1</v>
      </c>
      <c r="Y60" s="9">
        <v>1</v>
      </c>
      <c r="Z60" s="9">
        <v>1</v>
      </c>
      <c r="AA60" s="9">
        <v>1</v>
      </c>
      <c r="AB60" s="9">
        <v>1</v>
      </c>
      <c r="AC60" s="9">
        <v>1</v>
      </c>
      <c r="AD60" s="9">
        <v>1</v>
      </c>
      <c r="AE60" s="9">
        <v>1</v>
      </c>
      <c r="AF60" s="9">
        <v>1</v>
      </c>
      <c r="AG60" s="9">
        <v>1</v>
      </c>
      <c r="AH60" s="9">
        <v>1</v>
      </c>
      <c r="AI60" s="9">
        <v>1</v>
      </c>
      <c r="AJ60" s="9">
        <v>1</v>
      </c>
      <c r="AK60" s="9">
        <v>1</v>
      </c>
      <c r="AL60" s="9">
        <v>1</v>
      </c>
      <c r="AN60" s="8" t="str">
        <f t="shared" si="5"/>
        <v>RRFFRE000</v>
      </c>
      <c r="AO60" s="9">
        <f t="shared" si="6"/>
        <v>5.66</v>
      </c>
      <c r="AP60" s="9"/>
      <c r="AQ60" s="9"/>
      <c r="AR60" s="9"/>
      <c r="AS60" s="39">
        <v>8.4</v>
      </c>
      <c r="AT60" s="39">
        <v>9.8000000000000007</v>
      </c>
      <c r="AU60" s="39"/>
      <c r="AV60" s="39"/>
      <c r="AW60" s="39">
        <v>8.4</v>
      </c>
      <c r="AX60" s="39">
        <v>14</v>
      </c>
      <c r="AY60" s="39">
        <v>9.8000000000000007</v>
      </c>
      <c r="AZ60" s="39">
        <v>11.2</v>
      </c>
      <c r="BA60" s="39">
        <v>8.4</v>
      </c>
      <c r="BB60" s="39">
        <v>11.2</v>
      </c>
      <c r="BC60" s="39">
        <v>5.66</v>
      </c>
      <c r="BD60" s="9"/>
    </row>
    <row r="61" spans="1:56" x14ac:dyDescent="0.45">
      <c r="A61" s="37" t="str">
        <f>'RES Assumptions'!B144</f>
        <v>RR</v>
      </c>
      <c r="B61" s="37" t="s">
        <v>107</v>
      </c>
      <c r="D61" s="51" t="s">
        <v>107</v>
      </c>
      <c r="E61" s="8" t="str">
        <f>'RES Assumptions'!A144</f>
        <v>RESELC</v>
      </c>
      <c r="F61" s="8" t="str">
        <f>VLOOKUP(A61,'RES Assumptions'!$AN$87:$AO$97,2,FALSE)</f>
        <v>RRF</v>
      </c>
      <c r="G61" s="9">
        <v>0.8</v>
      </c>
      <c r="H61" s="9">
        <f t="shared" si="9"/>
        <v>0.8</v>
      </c>
      <c r="I61" s="9">
        <f t="shared" si="9"/>
        <v>0.8</v>
      </c>
      <c r="J61" s="9">
        <f t="shared" si="9"/>
        <v>0.8</v>
      </c>
      <c r="K61" s="9">
        <f t="shared" si="9"/>
        <v>0.8</v>
      </c>
      <c r="L61" s="9">
        <f t="shared" si="9"/>
        <v>0.8</v>
      </c>
      <c r="M61" s="9">
        <f t="shared" si="9"/>
        <v>0.8</v>
      </c>
      <c r="N61" s="9">
        <f t="shared" si="9"/>
        <v>0.8</v>
      </c>
      <c r="O61" s="9">
        <f t="shared" si="9"/>
        <v>0.8</v>
      </c>
      <c r="P61" s="9">
        <f t="shared" si="9"/>
        <v>0.8</v>
      </c>
      <c r="Q61" s="9">
        <f t="shared" si="9"/>
        <v>0.8</v>
      </c>
      <c r="R61" s="9">
        <f t="shared" si="9"/>
        <v>0.8</v>
      </c>
      <c r="S61" s="9">
        <f t="shared" si="9"/>
        <v>0.8</v>
      </c>
      <c r="T61" s="9">
        <f t="shared" si="9"/>
        <v>0.8</v>
      </c>
      <c r="U61" s="9">
        <f t="shared" si="9"/>
        <v>0.8</v>
      </c>
      <c r="W61" s="8" t="str">
        <f t="shared" si="4"/>
        <v>RRFRFE000</v>
      </c>
      <c r="X61" s="9">
        <v>1</v>
      </c>
      <c r="Y61" s="9">
        <v>1</v>
      </c>
      <c r="Z61" s="9">
        <v>1</v>
      </c>
      <c r="AA61" s="9">
        <v>1</v>
      </c>
      <c r="AB61" s="9">
        <v>1</v>
      </c>
      <c r="AC61" s="9">
        <v>1</v>
      </c>
      <c r="AD61" s="9">
        <v>1</v>
      </c>
      <c r="AE61" s="9">
        <v>1</v>
      </c>
      <c r="AF61" s="9">
        <v>1</v>
      </c>
      <c r="AG61" s="9">
        <v>1</v>
      </c>
      <c r="AH61" s="9">
        <v>1</v>
      </c>
      <c r="AI61" s="9">
        <v>1</v>
      </c>
      <c r="AJ61" s="9">
        <v>1</v>
      </c>
      <c r="AK61" s="9">
        <v>1</v>
      </c>
      <c r="AL61" s="9">
        <v>1</v>
      </c>
      <c r="AN61" s="8" t="str">
        <f t="shared" si="5"/>
        <v>RRFRFE000</v>
      </c>
      <c r="AO61" s="9">
        <f t="shared" si="6"/>
        <v>5.66</v>
      </c>
      <c r="AP61" s="9"/>
      <c r="AQ61" s="9"/>
      <c r="AR61" s="9"/>
      <c r="AS61" s="39">
        <v>7.2</v>
      </c>
      <c r="AT61" s="39">
        <v>8.4</v>
      </c>
      <c r="AU61" s="39"/>
      <c r="AV61" s="39"/>
      <c r="AW61" s="39">
        <v>7.2</v>
      </c>
      <c r="AX61" s="39">
        <v>12</v>
      </c>
      <c r="AY61" s="39">
        <v>8.4</v>
      </c>
      <c r="AZ61" s="39">
        <v>9.6</v>
      </c>
      <c r="BA61" s="39">
        <v>7.2</v>
      </c>
      <c r="BB61" s="39">
        <v>9.6</v>
      </c>
      <c r="BC61" s="39">
        <v>5.66</v>
      </c>
      <c r="BD61" s="9"/>
    </row>
    <row r="62" spans="1:56" x14ac:dyDescent="0.45">
      <c r="A62" s="8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FD1E6-4B14-46B6-9A35-92AACADBED55}">
  <dimension ref="A2:CG129"/>
  <sheetViews>
    <sheetView workbookViewId="0">
      <selection activeCell="AE2" sqref="AE2"/>
    </sheetView>
  </sheetViews>
  <sheetFormatPr defaultRowHeight="14.25" x14ac:dyDescent="0.45"/>
  <cols>
    <col min="1" max="1" width="9.1328125" bestFit="1" customWidth="1"/>
    <col min="2" max="2" width="8.86328125" bestFit="1" customWidth="1"/>
    <col min="3" max="3" width="22.19921875" bestFit="1" customWidth="1"/>
    <col min="4" max="4" width="6.53125" bestFit="1" customWidth="1"/>
    <col min="5" max="5" width="8.19921875" customWidth="1"/>
    <col min="6" max="6" width="4.796875" bestFit="1" customWidth="1"/>
    <col min="7" max="7" width="5" bestFit="1" customWidth="1"/>
    <col min="8" max="8" width="5.1328125" bestFit="1" customWidth="1"/>
    <col min="9" max="10" width="4.796875" bestFit="1" customWidth="1"/>
    <col min="11" max="12" width="5" bestFit="1" customWidth="1"/>
    <col min="13" max="13" width="4.796875" bestFit="1" customWidth="1"/>
    <col min="14" max="14" width="5.1328125" bestFit="1" customWidth="1"/>
    <col min="15" max="15" width="5" bestFit="1" customWidth="1"/>
    <col min="16" max="16" width="5.1328125" bestFit="1" customWidth="1"/>
    <col min="17" max="17" width="4.796875" bestFit="1" customWidth="1"/>
    <col min="18" max="18" width="5" bestFit="1" customWidth="1"/>
    <col min="19" max="19" width="5.19921875" bestFit="1" customWidth="1"/>
    <col min="20" max="20" width="4.796875" bestFit="1" customWidth="1"/>
    <col min="21" max="21" width="6.19921875" customWidth="1"/>
    <col min="22" max="36" width="7.1328125" customWidth="1"/>
    <col min="37" max="37" width="6" bestFit="1" customWidth="1"/>
    <col min="38" max="38" width="4" bestFit="1" customWidth="1"/>
    <col min="39" max="39" width="4.1328125" bestFit="1" customWidth="1"/>
    <col min="40" max="41" width="5" bestFit="1" customWidth="1"/>
    <col min="42" max="42" width="4" bestFit="1" customWidth="1"/>
    <col min="43" max="43" width="8.46484375" bestFit="1" customWidth="1"/>
    <col min="44" max="45" width="5" bestFit="1" customWidth="1"/>
    <col min="46" max="46" width="5.86328125" bestFit="1" customWidth="1"/>
    <col min="47" max="47" width="4.46484375" bestFit="1" customWidth="1"/>
    <col min="48" max="48" width="5" bestFit="1" customWidth="1"/>
    <col min="49" max="49" width="4.1328125" bestFit="1" customWidth="1"/>
    <col min="50" max="51" width="5" bestFit="1" customWidth="1"/>
    <col min="52" max="66" width="5" customWidth="1"/>
    <col min="68" max="70" width="5" bestFit="1" customWidth="1"/>
    <col min="71" max="85" width="2" bestFit="1" customWidth="1"/>
  </cols>
  <sheetData>
    <row r="2" spans="1:85" x14ac:dyDescent="0.45">
      <c r="A2" s="8" t="s">
        <v>30</v>
      </c>
      <c r="B2" s="5" t="s">
        <v>61</v>
      </c>
      <c r="C2" s="5" t="s">
        <v>30</v>
      </c>
      <c r="D2" s="5" t="s">
        <v>31</v>
      </c>
      <c r="E2" s="5" t="str">
        <f>'COM balance'!E4</f>
        <v>Africa_north</v>
      </c>
      <c r="F2" s="5" t="str">
        <f>'COM balance'!F4</f>
        <v>Africa_other</v>
      </c>
      <c r="G2" s="5" t="str">
        <f>'COM balance'!G4</f>
        <v>Arg-Chi</v>
      </c>
      <c r="H2" s="5" t="str">
        <f>'COM balance'!H4</f>
        <v>Asia_central</v>
      </c>
      <c r="I2" s="5" t="str">
        <f>'COM balance'!I4</f>
        <v>Asia_east</v>
      </c>
      <c r="J2" s="5" t="str">
        <f>'COM balance'!J4</f>
        <v>Asia_other</v>
      </c>
      <c r="K2" s="5" t="str">
        <f>'COM balance'!K4</f>
        <v>Australia_NZ</v>
      </c>
      <c r="L2" s="5" t="str">
        <f>'COM balance'!L4</f>
        <v>Brazil</v>
      </c>
      <c r="M2" s="5" t="str">
        <f>'COM balance'!M4</f>
        <v>Canada</v>
      </c>
      <c r="N2" s="5" t="str">
        <f>'COM balance'!N4</f>
        <v>China</v>
      </c>
      <c r="O2" s="5" t="str">
        <f>'COM balance'!O4</f>
        <v>EU_north</v>
      </c>
      <c r="P2" s="5" t="str">
        <f>'COM balance'!P4</f>
        <v>EU_northeast</v>
      </c>
      <c r="Q2" s="5" t="str">
        <f>'COM balance'!Q4</f>
        <v>EU_northwest</v>
      </c>
      <c r="R2" s="5" t="str">
        <f>'COM balance'!R4</f>
        <v>EU_south</v>
      </c>
      <c r="S2" s="5" t="str">
        <f>'COM balance'!S4</f>
        <v>EU_southeast</v>
      </c>
      <c r="T2" s="5" t="str">
        <f>'COM balance'!T4</f>
        <v>EU_southwest</v>
      </c>
      <c r="U2" s="5" t="str">
        <f>'COM balance'!U4</f>
        <v>Europe_other</v>
      </c>
      <c r="V2" s="5" t="str">
        <f>'COM balance'!V4</f>
        <v>France</v>
      </c>
      <c r="W2" s="5" t="str">
        <f>'COM balance'!W4</f>
        <v>Germany</v>
      </c>
      <c r="X2" s="5" t="str">
        <f>'COM balance'!X4</f>
        <v>India</v>
      </c>
      <c r="Y2" s="5" t="str">
        <f>'COM balance'!Y4</f>
        <v>LatAm_other</v>
      </c>
      <c r="Z2" s="5" t="str">
        <f>'COM balance'!Z4</f>
        <v>Mexico</v>
      </c>
      <c r="AA2" s="5" t="str">
        <f>'COM balance'!AA4</f>
        <v>MidEast_other</v>
      </c>
      <c r="AB2" s="5" t="str">
        <f>'COM balance'!AB4</f>
        <v>Nor-Ice</v>
      </c>
      <c r="AC2" s="5" t="str">
        <f>'COM balance'!AC4</f>
        <v>Russia</v>
      </c>
      <c r="AD2" s="5" t="str">
        <f>'COM balance'!AD4</f>
        <v>SaudiArabia</v>
      </c>
      <c r="AE2" s="5" t="str">
        <f>'COM balance'!AE4</f>
        <v>SouthAfrica</v>
      </c>
      <c r="AF2" s="5" t="str">
        <f>'COM balance'!AF4</f>
        <v>UK</v>
      </c>
      <c r="AG2" s="5" t="str">
        <f>'COM balance'!AG4</f>
        <v>USA</v>
      </c>
      <c r="AH2" s="5" t="str">
        <f>'COM balance'!AH4</f>
        <v>\I:</v>
      </c>
      <c r="AI2" s="5"/>
      <c r="AJ2" s="5"/>
      <c r="AK2" s="12" t="str">
        <f t="shared" ref="AK2:BA2" si="0">E2</f>
        <v>Africa_north</v>
      </c>
      <c r="AL2" s="12" t="str">
        <f t="shared" si="0"/>
        <v>Africa_other</v>
      </c>
      <c r="AM2" s="12" t="str">
        <f t="shared" si="0"/>
        <v>Arg-Chi</v>
      </c>
      <c r="AN2" s="12" t="str">
        <f t="shared" si="0"/>
        <v>Asia_central</v>
      </c>
      <c r="AO2" s="12" t="str">
        <f t="shared" si="0"/>
        <v>Asia_east</v>
      </c>
      <c r="AP2" s="12" t="str">
        <f t="shared" si="0"/>
        <v>Asia_other</v>
      </c>
      <c r="AQ2" s="12" t="str">
        <f t="shared" si="0"/>
        <v>Australia_NZ</v>
      </c>
      <c r="AR2" s="12" t="str">
        <f t="shared" si="0"/>
        <v>Brazil</v>
      </c>
      <c r="AS2" s="12" t="str">
        <f t="shared" si="0"/>
        <v>Canada</v>
      </c>
      <c r="AT2" s="12" t="str">
        <f t="shared" si="0"/>
        <v>China</v>
      </c>
      <c r="AU2" s="12" t="str">
        <f t="shared" si="0"/>
        <v>EU_north</v>
      </c>
      <c r="AV2" s="12" t="str">
        <f t="shared" si="0"/>
        <v>EU_northeast</v>
      </c>
      <c r="AW2" s="12" t="str">
        <f t="shared" si="0"/>
        <v>EU_northwest</v>
      </c>
      <c r="AX2" s="12" t="str">
        <f t="shared" si="0"/>
        <v>EU_south</v>
      </c>
      <c r="AY2" s="12" t="str">
        <f t="shared" si="0"/>
        <v>EU_southeast</v>
      </c>
      <c r="AZ2" s="12" t="str">
        <f t="shared" si="0"/>
        <v>EU_southwest</v>
      </c>
      <c r="BA2" s="12" t="str">
        <f t="shared" si="0"/>
        <v>Europe_other</v>
      </c>
      <c r="BB2" s="12" t="str">
        <f t="shared" ref="BB2:BN2" si="1">V2</f>
        <v>France</v>
      </c>
      <c r="BC2" s="12" t="str">
        <f t="shared" si="1"/>
        <v>Germany</v>
      </c>
      <c r="BD2" s="12" t="str">
        <f t="shared" si="1"/>
        <v>India</v>
      </c>
      <c r="BE2" s="12" t="str">
        <f t="shared" si="1"/>
        <v>LatAm_other</v>
      </c>
      <c r="BF2" s="12" t="str">
        <f t="shared" si="1"/>
        <v>Mexico</v>
      </c>
      <c r="BG2" s="12" t="str">
        <f t="shared" si="1"/>
        <v>MidEast_other</v>
      </c>
      <c r="BH2" s="12" t="str">
        <f t="shared" si="1"/>
        <v>Nor-Ice</v>
      </c>
      <c r="BI2" s="12" t="str">
        <f t="shared" si="1"/>
        <v>Russia</v>
      </c>
      <c r="BJ2" s="12" t="str">
        <f t="shared" si="1"/>
        <v>SaudiArabia</v>
      </c>
      <c r="BK2" s="12" t="str">
        <f t="shared" si="1"/>
        <v>SouthAfrica</v>
      </c>
      <c r="BL2" s="12" t="str">
        <f t="shared" si="1"/>
        <v>UK</v>
      </c>
      <c r="BM2" s="12" t="str">
        <f t="shared" si="1"/>
        <v>USA</v>
      </c>
      <c r="BN2" s="12" t="str">
        <f t="shared" si="1"/>
        <v>\I:</v>
      </c>
    </row>
    <row r="3" spans="1:85" x14ac:dyDescent="0.45">
      <c r="A3" s="8" t="str">
        <f>VLOOKUP(C3,'COM balance'!$AM$5:$AN$25,2,FALSE)</f>
        <v>COMNGA</v>
      </c>
      <c r="B3" s="36"/>
      <c r="C3" s="20" t="s">
        <v>33</v>
      </c>
      <c r="D3" s="41" t="s">
        <v>82</v>
      </c>
      <c r="E3" s="25">
        <f ca="1">OFFSET('COM Assumptions T15'!$D3,0,MATCH(VLOOKUP('COM Assumptions'!E$2,'RES Assumptions T15'!$V$3:$W$35,2,FALSE),'COM Assumptions T15'!$E$2:$S$2,0))</f>
        <v>0</v>
      </c>
      <c r="F3" s="25">
        <f ca="1">OFFSET('COM Assumptions T15'!$D3,0,MATCH(VLOOKUP('COM Assumptions'!F$2,'RES Assumptions T15'!$V$3:$W$35,2,FALSE),'COM Assumptions T15'!$E$2:$S$2,0))</f>
        <v>0</v>
      </c>
      <c r="G3" s="25">
        <f ca="1">OFFSET('COM Assumptions T15'!$D3,0,MATCH(VLOOKUP('COM Assumptions'!G$2,'RES Assumptions T15'!$V$3:$W$35,2,FALSE),'COM Assumptions T15'!$E$2:$S$2,0))</f>
        <v>0.1</v>
      </c>
      <c r="H3" s="25">
        <f ca="1">OFFSET('COM Assumptions T15'!$D3,0,MATCH(VLOOKUP('COM Assumptions'!H$2,'RES Assumptions T15'!$V$3:$W$35,2,FALSE),'COM Assumptions T15'!$E$2:$S$2,0))</f>
        <v>0.7</v>
      </c>
      <c r="I3" s="25">
        <f ca="1">OFFSET('COM Assumptions T15'!$D3,0,MATCH(VLOOKUP('COM Assumptions'!I$2,'RES Assumptions T15'!$V$3:$W$35,2,FALSE),'COM Assumptions T15'!$E$2:$S$2,0))</f>
        <v>0.12</v>
      </c>
      <c r="J3" s="25">
        <f ca="1">OFFSET('COM Assumptions T15'!$D3,0,MATCH(VLOOKUP('COM Assumptions'!J$2,'RES Assumptions T15'!$V$3:$W$35,2,FALSE),'COM Assumptions T15'!$E$2:$S$2,0))</f>
        <v>0.08</v>
      </c>
      <c r="K3" s="25">
        <f ca="1">OFFSET('COM Assumptions T15'!$D3,0,MATCH(VLOOKUP('COM Assumptions'!K$2,'RES Assumptions T15'!$V$3:$W$35,2,FALSE),'COM Assumptions T15'!$E$2:$S$2,0))</f>
        <v>0.55000000000000004</v>
      </c>
      <c r="L3" s="25">
        <f ca="1">OFFSET('COM Assumptions T15'!$D3,0,MATCH(VLOOKUP('COM Assumptions'!L$2,'RES Assumptions T15'!$V$3:$W$35,2,FALSE),'COM Assumptions T15'!$E$2:$S$2,0))</f>
        <v>0.1</v>
      </c>
      <c r="M3" s="25">
        <f ca="1">OFFSET('COM Assumptions T15'!$D3,0,MATCH(VLOOKUP('COM Assumptions'!M$2,'RES Assumptions T15'!$V$3:$W$35,2,FALSE),'COM Assumptions T15'!$E$2:$S$2,0))</f>
        <v>0.75</v>
      </c>
      <c r="N3" s="25">
        <f ca="1">OFFSET('COM Assumptions T15'!$D3,0,MATCH(VLOOKUP('COM Assumptions'!N$2,'RES Assumptions T15'!$V$3:$W$35,2,FALSE),'COM Assumptions T15'!$E$2:$S$2,0))</f>
        <v>0.15</v>
      </c>
      <c r="O3" s="25">
        <f ca="1">OFFSET('COM Assumptions T15'!$D3,0,MATCH(VLOOKUP('COM Assumptions'!O$2,'RES Assumptions T15'!$V$3:$W$35,2,FALSE),'COM Assumptions T15'!$E$2:$S$2,0))</f>
        <v>0.52500000000000002</v>
      </c>
      <c r="P3" s="25">
        <f ca="1">OFFSET('COM Assumptions T15'!$D3,0,MATCH(VLOOKUP('COM Assumptions'!P$2,'RES Assumptions T15'!$V$3:$W$35,2,FALSE),'COM Assumptions T15'!$E$2:$S$2,0))</f>
        <v>0.7</v>
      </c>
      <c r="Q3" s="25">
        <f ca="1">OFFSET('COM Assumptions T15'!$D3,0,MATCH(VLOOKUP('COM Assumptions'!Q$2,'RES Assumptions T15'!$V$3:$W$35,2,FALSE),'COM Assumptions T15'!$E$2:$S$2,0))</f>
        <v>0.52500000000000002</v>
      </c>
      <c r="R3" s="25">
        <f ca="1">OFFSET('COM Assumptions T15'!$D3,0,MATCH(VLOOKUP('COM Assumptions'!R$2,'RES Assumptions T15'!$V$3:$W$35,2,FALSE),'COM Assumptions T15'!$E$2:$S$2,0))</f>
        <v>0.52500000000000002</v>
      </c>
      <c r="S3" s="25">
        <f ca="1">OFFSET('COM Assumptions T15'!$D3,0,MATCH(VLOOKUP('COM Assumptions'!S$2,'RES Assumptions T15'!$V$3:$W$35,2,FALSE),'COM Assumptions T15'!$E$2:$S$2,0))</f>
        <v>0.7</v>
      </c>
      <c r="T3" s="25">
        <f ca="1">OFFSET('COM Assumptions T15'!$D3,0,MATCH(VLOOKUP('COM Assumptions'!T$2,'RES Assumptions T15'!$V$3:$W$35,2,FALSE),'COM Assumptions T15'!$E$2:$S$2,0))</f>
        <v>0.52500000000000002</v>
      </c>
      <c r="U3" s="25">
        <f ca="1">OFFSET('COM Assumptions T15'!$D3,0,MATCH(VLOOKUP('COM Assumptions'!U$2,'RES Assumptions T15'!$V$3:$W$35,2,FALSE),'COM Assumptions T15'!$E$2:$S$2,0))</f>
        <v>0.05</v>
      </c>
      <c r="V3" s="25">
        <f ca="1">OFFSET('COM Assumptions T15'!$D3,0,MATCH(VLOOKUP('COM Assumptions'!V$2,'RES Assumptions T15'!$V$3:$W$35,2,FALSE),'COM Assumptions T15'!$E$2:$S$2,0))</f>
        <v>0.52500000000000002</v>
      </c>
      <c r="W3" s="25">
        <f ca="1">OFFSET('COM Assumptions T15'!$D3,0,MATCH(VLOOKUP('COM Assumptions'!W$2,'RES Assumptions T15'!$V$3:$W$35,2,FALSE),'COM Assumptions T15'!$E$2:$S$2,0))</f>
        <v>0.52500000000000002</v>
      </c>
      <c r="X3" s="25">
        <f ca="1">OFFSET('COM Assumptions T15'!$D3,0,MATCH(VLOOKUP('COM Assumptions'!X$2,'RES Assumptions T15'!$V$3:$W$35,2,FALSE),'COM Assumptions T15'!$E$2:$S$2,0))</f>
        <v>0.05</v>
      </c>
      <c r="Y3" s="25">
        <f ca="1">OFFSET('COM Assumptions T15'!$D3,0,MATCH(VLOOKUP('COM Assumptions'!Y$2,'RES Assumptions T15'!$V$3:$W$35,2,FALSE),'COM Assumptions T15'!$E$2:$S$2,0))</f>
        <v>0.1</v>
      </c>
      <c r="Z3" s="25">
        <f ca="1">OFFSET('COM Assumptions T15'!$D3,0,MATCH(VLOOKUP('COM Assumptions'!Z$2,'RES Assumptions T15'!$V$3:$W$35,2,FALSE),'COM Assumptions T15'!$E$2:$S$2,0))</f>
        <v>0.1</v>
      </c>
      <c r="AA3" s="25">
        <f ca="1">OFFSET('COM Assumptions T15'!$D3,0,MATCH(VLOOKUP('COM Assumptions'!AA$2,'RES Assumptions T15'!$V$3:$W$35,2,FALSE),'COM Assumptions T15'!$E$2:$S$2,0))</f>
        <v>0.05</v>
      </c>
      <c r="AB3" s="25">
        <f ca="1">OFFSET('COM Assumptions T15'!$D3,0,MATCH(VLOOKUP('COM Assumptions'!AB$2,'RES Assumptions T15'!$V$3:$W$35,2,FALSE),'COM Assumptions T15'!$E$2:$S$2,0))</f>
        <v>0.52500000000000002</v>
      </c>
      <c r="AC3" s="25">
        <f ca="1">OFFSET('COM Assumptions T15'!$D3,0,MATCH(VLOOKUP('COM Assumptions'!AC$2,'RES Assumptions T15'!$V$3:$W$35,2,FALSE),'COM Assumptions T15'!$E$2:$S$2,0))</f>
        <v>0.7</v>
      </c>
      <c r="AD3" s="25">
        <f ca="1">OFFSET('COM Assumptions T15'!$D3,0,MATCH(VLOOKUP('COM Assumptions'!AD$2,'RES Assumptions T15'!$V$3:$W$35,2,FALSE),'COM Assumptions T15'!$E$2:$S$2,0))</f>
        <v>0.05</v>
      </c>
      <c r="AE3" s="25">
        <f ca="1">OFFSET('COM Assumptions T15'!$D3,0,MATCH(VLOOKUP('COM Assumptions'!AE$2,'RES Assumptions T15'!$V$3:$W$35,2,FALSE),'COM Assumptions T15'!$E$2:$S$2,0))</f>
        <v>0</v>
      </c>
      <c r="AF3" s="25">
        <f ca="1">OFFSET('COM Assumptions T15'!$D3,0,MATCH(VLOOKUP('COM Assumptions'!AF$2,'RES Assumptions T15'!$V$3:$W$35,2,FALSE),'COM Assumptions T15'!$E$2:$S$2,0))</f>
        <v>0.52500000000000002</v>
      </c>
      <c r="AG3" s="25">
        <f ca="1">OFFSET('COM Assumptions T15'!$D3,0,MATCH(VLOOKUP('COM Assumptions'!AG$2,'RES Assumptions T15'!$V$3:$W$35,2,FALSE),'COM Assumptions T15'!$E$2:$S$2,0))</f>
        <v>0.62913317947555258</v>
      </c>
      <c r="AH3" s="25">
        <f ca="1">OFFSET('COM Assumptions T15'!$D3,0,MATCH(VLOOKUP('COM Assumptions'!AH$2,'RES Assumptions T15'!$V$3:$W$35,2,FALSE),'COM Assumptions T15'!$E$2:$S$2,0))</f>
        <v>0.62913317947555258</v>
      </c>
      <c r="AI3" s="25"/>
      <c r="AK3" s="10">
        <f ca="1">IFERROR(SUMIFS('COM balance'!E$5:E$25,'COM balance'!$D$5:$D$25,'COM Assumptions'!$A3)*E3,"")</f>
        <v>0</v>
      </c>
      <c r="AL3" s="10">
        <f ca="1">IFERROR(SUMIFS('COM balance'!F$5:F$25,'COM balance'!$D$5:$D$25,'COM Assumptions'!$A3)*F3,"")</f>
        <v>0</v>
      </c>
      <c r="AM3" s="10">
        <f ca="1">IFERROR(SUMIFS('COM balance'!G$5:G$25,'COM balance'!$D$5:$D$25,'COM Assumptions'!$A3)*G3,"")</f>
        <v>5.7223507680000001</v>
      </c>
      <c r="AN3" s="10">
        <f ca="1">IFERROR(SUMIFS('COM balance'!H$5:H$25,'COM balance'!$D$5:$D$25,'COM Assumptions'!$A3)*H3,"")</f>
        <v>275.36897233188</v>
      </c>
      <c r="AO3" s="10">
        <f ca="1">IFERROR(SUMIFS('COM balance'!I$5:I$25,'COM balance'!$D$5:$D$25,'COM Assumptions'!$A3)*I3,"")</f>
        <v>66.303972157824006</v>
      </c>
      <c r="AP3" s="10">
        <f ca="1">IFERROR(SUMIFS('COM balance'!J$5:J$25,'COM balance'!$D$5:$D$25,'COM Assumptions'!$A3)*J3,"")</f>
        <v>4.8355912172159998</v>
      </c>
      <c r="AQ3" s="10">
        <f ca="1">IFERROR(SUMIFS('COM balance'!K$5:K$25,'COM balance'!$D$5:$D$25,'COM Assumptions'!$A3)*K3,"")</f>
        <v>33.98479025436</v>
      </c>
      <c r="AR3" s="10">
        <f ca="1">IFERROR(SUMIFS('COM balance'!L$5:L$25,'COM balance'!$D$5:$D$25,'COM Assumptions'!$A3)*L3,"")</f>
        <v>0.61559734572000002</v>
      </c>
      <c r="AS3" s="10">
        <f ca="1">IFERROR(SUMIFS('COM balance'!M$5:M$25,'COM balance'!$D$5:$D$25,'COM Assumptions'!$A3)*M3,"")</f>
        <v>444.44827501290001</v>
      </c>
      <c r="AT3" s="10">
        <f ca="1">IFERROR(SUMIFS('COM balance'!N$5:N$25,'COM balance'!$D$5:$D$25,'COM Assumptions'!$A3)*N3,"")</f>
        <v>79.884045400859989</v>
      </c>
      <c r="AU3" s="10">
        <f ca="1">IFERROR(SUMIFS('COM balance'!O$5:O$25,'COM balance'!$D$5:$D$25,'COM Assumptions'!$A3)*O3,"")</f>
        <v>7.7038880549400002</v>
      </c>
      <c r="AV3" s="10">
        <f ca="1">IFERROR(SUMIFS('COM balance'!P$5:P$25,'COM balance'!$D$5:$D$25,'COM Assumptions'!$A3)*P3,"")</f>
        <v>106.76035075355999</v>
      </c>
      <c r="AW3" s="10">
        <f ca="1">IFERROR(SUMIFS('COM balance'!Q$5:Q$25,'COM balance'!$D$5:$D$25,'COM Assumptions'!$A3)*Q3,"")</f>
        <v>115.79548378482001</v>
      </c>
      <c r="AX3" s="10">
        <f ca="1">IFERROR(SUMIFS('COM balance'!R$5:R$25,'COM balance'!$D$5:$D$25,'COM Assumptions'!$A3)*R3,"")</f>
        <v>160.03748940102</v>
      </c>
      <c r="AY3" s="10">
        <f ca="1">IFERROR(SUMIFS('COM balance'!S$5:S$25,'COM balance'!$D$5:$D$25,'COM Assumptions'!$A3)*S3,"")</f>
        <v>64.71181970568</v>
      </c>
      <c r="AZ3" s="10">
        <f ca="1">IFERROR(SUMIFS('COM balance'!T$5:T$25,'COM balance'!$D$5:$D$25,'COM Assumptions'!$A3)*T3,"")</f>
        <v>49.355624239110007</v>
      </c>
      <c r="BA3" s="10">
        <f ca="1">IFERROR(SUMIFS('COM balance'!U$5:U$25,'COM balance'!$D$5:$D$25,'COM Assumptions'!$A3)*U3,"")</f>
        <v>11.735734586940001</v>
      </c>
      <c r="BB3" s="10">
        <f ca="1">IFERROR(SUMIFS('COM balance'!V$5:V$25,'COM balance'!$D$5:$D$25,'COM Assumptions'!$A3)*V3,"")</f>
        <v>134.2469494044</v>
      </c>
      <c r="BC3" s="10">
        <f ca="1">IFERROR(SUMIFS('COM balance'!W$5:W$25,'COM balance'!$D$5:$D$25,'COM Assumptions'!$A3)*W3,"")</f>
        <v>216.96069278016</v>
      </c>
      <c r="BD3" s="10">
        <f ca="1">IFERROR(SUMIFS('COM balance'!X$5:X$25,'COM balance'!$D$5:$D$25,'COM Assumptions'!$A3)*X3,"")</f>
        <v>4.8647825497800001</v>
      </c>
      <c r="BE3" s="10">
        <f ca="1">IFERROR(SUMIFS('COM balance'!Y$5:Y$25,'COM balance'!$D$5:$D$25,'COM Assumptions'!$A3)*Y3,"")</f>
        <v>3.63013395768</v>
      </c>
      <c r="BF3" s="10">
        <f ca="1">IFERROR(SUMIFS('COM balance'!Z$5:Z$25,'COM balance'!$D$5:$D$25,'COM Assumptions'!$A3)*Z3,"")</f>
        <v>0.98658006407999999</v>
      </c>
      <c r="BG3" s="10">
        <f ca="1">IFERROR(SUMIFS('COM balance'!AA$5:AA$25,'COM balance'!$D$5:$D$25,'COM Assumptions'!$A3)*AA3,"")</f>
        <v>27.040047541920003</v>
      </c>
      <c r="BH3" s="10">
        <f ca="1">IFERROR(SUMIFS('COM balance'!AB$5:AB$25,'COM balance'!$D$5:$D$25,'COM Assumptions'!$A3)*AB3,"")</f>
        <v>1.52257451409</v>
      </c>
      <c r="BI3" s="10">
        <f ca="1">IFERROR(SUMIFS('COM balance'!AC$5:AC$25,'COM balance'!$D$5:$D$25,'COM Assumptions'!$A3)*AC3,"")</f>
        <v>165.25228005720001</v>
      </c>
      <c r="BJ3" s="10">
        <f ca="1">IFERROR(SUMIFS('COM balance'!AD$5:AD$25,'COM balance'!$D$5:$D$25,'COM Assumptions'!$A3)*AD3,"")</f>
        <v>0</v>
      </c>
      <c r="BK3" s="10">
        <f ca="1">IFERROR(SUMIFS('COM balance'!AE$5:AE$25,'COM balance'!$D$5:$D$25,'COM Assumptions'!$A3)*AE3,"")</f>
        <v>0</v>
      </c>
      <c r="BL3" s="10">
        <f ca="1">IFERROR(SUMIFS('COM balance'!AF$5:AF$25,'COM balance'!$D$5:$D$25,'COM Assumptions'!$A3)*AF3,"")</f>
        <v>140.19825690044999</v>
      </c>
      <c r="BM3" s="10">
        <f ca="1">IFERROR(SUMIFS('COM balance'!AG$5:AG$25,'COM balance'!$D$5:$D$25,'COM Assumptions'!$A3)*AG3,"")</f>
        <v>2180.3961663770215</v>
      </c>
      <c r="BN3" s="10">
        <f ca="1">IFERROR(SUMIFS('COM balance'!AH$5:AH$25,'COM balance'!$D$5:$D$25,'COM Assumptions'!$A3)*AH3,"")</f>
        <v>0</v>
      </c>
      <c r="BQ3" t="s">
        <v>33</v>
      </c>
      <c r="BS3">
        <f t="shared" ref="BS3:CG3" ca="1" si="2">SUMIF($C$3:$C$61,$BQ3,E$3:E$61)</f>
        <v>1</v>
      </c>
      <c r="BT3">
        <f t="shared" ca="1" si="2"/>
        <v>1</v>
      </c>
      <c r="BU3">
        <f t="shared" ca="1" si="2"/>
        <v>1</v>
      </c>
      <c r="BV3">
        <f t="shared" ca="1" si="2"/>
        <v>1</v>
      </c>
      <c r="BW3">
        <f t="shared" ca="1" si="2"/>
        <v>1</v>
      </c>
      <c r="BX3">
        <f t="shared" ca="1" si="2"/>
        <v>1</v>
      </c>
      <c r="BY3">
        <f t="shared" ca="1" si="2"/>
        <v>1</v>
      </c>
      <c r="BZ3">
        <f t="shared" ca="1" si="2"/>
        <v>1</v>
      </c>
      <c r="CA3">
        <f t="shared" ca="1" si="2"/>
        <v>1</v>
      </c>
      <c r="CB3">
        <f t="shared" ca="1" si="2"/>
        <v>1</v>
      </c>
      <c r="CC3">
        <f t="shared" ca="1" si="2"/>
        <v>1</v>
      </c>
      <c r="CD3">
        <f t="shared" ca="1" si="2"/>
        <v>1</v>
      </c>
      <c r="CE3">
        <f t="shared" ca="1" si="2"/>
        <v>1</v>
      </c>
      <c r="CF3">
        <f t="shared" ca="1" si="2"/>
        <v>1</v>
      </c>
      <c r="CG3">
        <f t="shared" ca="1" si="2"/>
        <v>1</v>
      </c>
    </row>
    <row r="4" spans="1:85" x14ac:dyDescent="0.45">
      <c r="A4" s="8" t="str">
        <f>VLOOKUP(C4,'COM balance'!$AM$5:$AN$25,2,FALSE)</f>
        <v>COMNGA</v>
      </c>
      <c r="B4" s="36"/>
      <c r="C4" s="20" t="s">
        <v>33</v>
      </c>
      <c r="D4" s="41" t="s">
        <v>83</v>
      </c>
      <c r="E4" s="25">
        <f ca="1">OFFSET('COM Assumptions T15'!$D4,0,MATCH(VLOOKUP('COM Assumptions'!E$2,'RES Assumptions T15'!$V$3:$W$35,2,FALSE),'COM Assumptions T15'!$E$2:$S$2,0))</f>
        <v>0</v>
      </c>
      <c r="F4" s="25">
        <f ca="1">OFFSET('COM Assumptions T15'!$D4,0,MATCH(VLOOKUP('COM Assumptions'!F$2,'RES Assumptions T15'!$V$3:$W$35,2,FALSE),'COM Assumptions T15'!$E$2:$S$2,0))</f>
        <v>0</v>
      </c>
      <c r="G4" s="25">
        <f ca="1">OFFSET('COM Assumptions T15'!$D4,0,MATCH(VLOOKUP('COM Assumptions'!G$2,'RES Assumptions T15'!$V$3:$W$35,2,FALSE),'COM Assumptions T15'!$E$2:$S$2,0))</f>
        <v>0</v>
      </c>
      <c r="H4" s="25">
        <f ca="1">OFFSET('COM Assumptions T15'!$D4,0,MATCH(VLOOKUP('COM Assumptions'!H$2,'RES Assumptions T15'!$V$3:$W$35,2,FALSE),'COM Assumptions T15'!$E$2:$S$2,0))</f>
        <v>0.01</v>
      </c>
      <c r="I4" s="25">
        <f ca="1">OFFSET('COM Assumptions T15'!$D4,0,MATCH(VLOOKUP('COM Assumptions'!I$2,'RES Assumptions T15'!$V$3:$W$35,2,FALSE),'COM Assumptions T15'!$E$2:$S$2,0))</f>
        <v>0.06</v>
      </c>
      <c r="J4" s="25">
        <f ca="1">OFFSET('COM Assumptions T15'!$D4,0,MATCH(VLOOKUP('COM Assumptions'!J$2,'RES Assumptions T15'!$V$3:$W$35,2,FALSE),'COM Assumptions T15'!$E$2:$S$2,0))</f>
        <v>0.02</v>
      </c>
      <c r="K4" s="25">
        <f ca="1">OFFSET('COM Assumptions T15'!$D4,0,MATCH(VLOOKUP('COM Assumptions'!K$2,'RES Assumptions T15'!$V$3:$W$35,2,FALSE),'COM Assumptions T15'!$E$2:$S$2,0))</f>
        <v>0</v>
      </c>
      <c r="L4" s="25">
        <f ca="1">OFFSET('COM Assumptions T15'!$D4,0,MATCH(VLOOKUP('COM Assumptions'!L$2,'RES Assumptions T15'!$V$3:$W$35,2,FALSE),'COM Assumptions T15'!$E$2:$S$2,0))</f>
        <v>0</v>
      </c>
      <c r="M4" s="25">
        <f ca="1">OFFSET('COM Assumptions T15'!$D4,0,MATCH(VLOOKUP('COM Assumptions'!M$2,'RES Assumptions T15'!$V$3:$W$35,2,FALSE),'COM Assumptions T15'!$E$2:$S$2,0))</f>
        <v>0</v>
      </c>
      <c r="N4" s="25">
        <f ca="1">OFFSET('COM Assumptions T15'!$D4,0,MATCH(VLOOKUP('COM Assumptions'!N$2,'RES Assumptions T15'!$V$3:$W$35,2,FALSE),'COM Assumptions T15'!$E$2:$S$2,0))</f>
        <v>0.05</v>
      </c>
      <c r="O4" s="25">
        <f ca="1">OFFSET('COM Assumptions T15'!$D4,0,MATCH(VLOOKUP('COM Assumptions'!O$2,'RES Assumptions T15'!$V$3:$W$35,2,FALSE),'COM Assumptions T15'!$E$2:$S$2,0))</f>
        <v>5.0000000000000001E-3</v>
      </c>
      <c r="P4" s="1">
        <f ca="1">OFFSET('COM Assumptions T15'!$D4,0,MATCH(VLOOKUP('COM Assumptions'!P$2,'RES Assumptions T15'!$V$3:$W$35,2,FALSE),'COM Assumptions T15'!$E$2:$S$2,0))</f>
        <v>0.01</v>
      </c>
      <c r="Q4" s="1">
        <f ca="1">OFFSET('COM Assumptions T15'!$D4,0,MATCH(VLOOKUP('COM Assumptions'!Q$2,'RES Assumptions T15'!$V$3:$W$35,2,FALSE),'COM Assumptions T15'!$E$2:$S$2,0))</f>
        <v>5.0000000000000001E-3</v>
      </c>
      <c r="R4" s="1">
        <f ca="1">OFFSET('COM Assumptions T15'!$D4,0,MATCH(VLOOKUP('COM Assumptions'!R$2,'RES Assumptions T15'!$V$3:$W$35,2,FALSE),'COM Assumptions T15'!$E$2:$S$2,0))</f>
        <v>5.0000000000000001E-3</v>
      </c>
      <c r="S4" s="1">
        <f ca="1">OFFSET('COM Assumptions T15'!$D4,0,MATCH(VLOOKUP('COM Assumptions'!S$2,'RES Assumptions T15'!$V$3:$W$35,2,FALSE),'COM Assumptions T15'!$E$2:$S$2,0))</f>
        <v>0.01</v>
      </c>
      <c r="T4" s="1">
        <f ca="1">OFFSET('COM Assumptions T15'!$D4,0,MATCH(VLOOKUP('COM Assumptions'!T$2,'RES Assumptions T15'!$V$3:$W$35,2,FALSE),'COM Assumptions T15'!$E$2:$S$2,0))</f>
        <v>5.0000000000000001E-3</v>
      </c>
      <c r="U4" s="1">
        <f ca="1">OFFSET('COM Assumptions T15'!$D4,0,MATCH(VLOOKUP('COM Assumptions'!U$2,'RES Assumptions T15'!$V$3:$W$35,2,FALSE),'COM Assumptions T15'!$E$2:$S$2,0))</f>
        <v>0.01</v>
      </c>
      <c r="V4" s="1">
        <f ca="1">OFFSET('COM Assumptions T15'!$D4,0,MATCH(VLOOKUP('COM Assumptions'!V$2,'RES Assumptions T15'!$V$3:$W$35,2,FALSE),'COM Assumptions T15'!$E$2:$S$2,0))</f>
        <v>5.0000000000000001E-3</v>
      </c>
      <c r="W4" s="1">
        <f ca="1">OFFSET('COM Assumptions T15'!$D4,0,MATCH(VLOOKUP('COM Assumptions'!W$2,'RES Assumptions T15'!$V$3:$W$35,2,FALSE),'COM Assumptions T15'!$E$2:$S$2,0))</f>
        <v>5.0000000000000001E-3</v>
      </c>
      <c r="X4" s="1">
        <f ca="1">OFFSET('COM Assumptions T15'!$D4,0,MATCH(VLOOKUP('COM Assumptions'!X$2,'RES Assumptions T15'!$V$3:$W$35,2,FALSE),'COM Assumptions T15'!$E$2:$S$2,0))</f>
        <v>0</v>
      </c>
      <c r="Y4" s="1">
        <f ca="1">OFFSET('COM Assumptions T15'!$D4,0,MATCH(VLOOKUP('COM Assumptions'!Y$2,'RES Assumptions T15'!$V$3:$W$35,2,FALSE),'COM Assumptions T15'!$E$2:$S$2,0))</f>
        <v>0</v>
      </c>
      <c r="Z4" s="1">
        <f ca="1">OFFSET('COM Assumptions T15'!$D4,0,MATCH(VLOOKUP('COM Assumptions'!Z$2,'RES Assumptions T15'!$V$3:$W$35,2,FALSE),'COM Assumptions T15'!$E$2:$S$2,0))</f>
        <v>0</v>
      </c>
      <c r="AA4" s="1">
        <f ca="1">OFFSET('COM Assumptions T15'!$D4,0,MATCH(VLOOKUP('COM Assumptions'!AA$2,'RES Assumptions T15'!$V$3:$W$35,2,FALSE),'COM Assumptions T15'!$E$2:$S$2,0))</f>
        <v>0.01</v>
      </c>
      <c r="AB4" s="1">
        <f ca="1">OFFSET('COM Assumptions T15'!$D4,0,MATCH(VLOOKUP('COM Assumptions'!AB$2,'RES Assumptions T15'!$V$3:$W$35,2,FALSE),'COM Assumptions T15'!$E$2:$S$2,0))</f>
        <v>5.0000000000000001E-3</v>
      </c>
      <c r="AC4" s="1">
        <f ca="1">OFFSET('COM Assumptions T15'!$D4,0,MATCH(VLOOKUP('COM Assumptions'!AC$2,'RES Assumptions T15'!$V$3:$W$35,2,FALSE),'COM Assumptions T15'!$E$2:$S$2,0))</f>
        <v>0.01</v>
      </c>
      <c r="AD4" s="1">
        <f ca="1">OFFSET('COM Assumptions T15'!$D4,0,MATCH(VLOOKUP('COM Assumptions'!AD$2,'RES Assumptions T15'!$V$3:$W$35,2,FALSE),'COM Assumptions T15'!$E$2:$S$2,0))</f>
        <v>0.01</v>
      </c>
      <c r="AE4" s="1">
        <f ca="1">OFFSET('COM Assumptions T15'!$D4,0,MATCH(VLOOKUP('COM Assumptions'!AE$2,'RES Assumptions T15'!$V$3:$W$35,2,FALSE),'COM Assumptions T15'!$E$2:$S$2,0))</f>
        <v>0</v>
      </c>
      <c r="AF4" s="1">
        <f ca="1">OFFSET('COM Assumptions T15'!$D4,0,MATCH(VLOOKUP('COM Assumptions'!AF$2,'RES Assumptions T15'!$V$3:$W$35,2,FALSE),'COM Assumptions T15'!$E$2:$S$2,0))</f>
        <v>5.0000000000000001E-3</v>
      </c>
      <c r="AG4" s="1">
        <f ca="1">OFFSET('COM Assumptions T15'!$D4,0,MATCH(VLOOKUP('COM Assumptions'!AG$2,'RES Assumptions T15'!$V$3:$W$35,2,FALSE),'COM Assumptions T15'!$E$2:$S$2,0))</f>
        <v>6.1803959920273691E-3</v>
      </c>
      <c r="AH4" s="1">
        <f ca="1">OFFSET('COM Assumptions T15'!$D4,0,MATCH(VLOOKUP('COM Assumptions'!AH$2,'RES Assumptions T15'!$V$3:$W$35,2,FALSE),'COM Assumptions T15'!$E$2:$S$2,0))</f>
        <v>6.1803959920273691E-3</v>
      </c>
      <c r="AI4" s="1"/>
      <c r="AK4" s="10">
        <f ca="1">IFERROR(SUMIFS('COM balance'!E$5:E$25,'COM balance'!$D$5:$D$25,'COM Assumptions'!$A4)*E4,"")</f>
        <v>0</v>
      </c>
      <c r="AL4" s="10">
        <f ca="1">IFERROR(SUMIFS('COM balance'!F$5:F$25,'COM balance'!$D$5:$D$25,'COM Assumptions'!$A4)*F4,"")</f>
        <v>0</v>
      </c>
      <c r="AM4" s="10">
        <f ca="1">IFERROR(SUMIFS('COM balance'!G$5:G$25,'COM balance'!$D$5:$D$25,'COM Assumptions'!$A4)*G4,"")</f>
        <v>0</v>
      </c>
      <c r="AN4" s="10">
        <f ca="1">IFERROR(SUMIFS('COM balance'!H$5:H$25,'COM balance'!$D$5:$D$25,'COM Assumptions'!$A4)*H4,"")</f>
        <v>3.9338424618840002</v>
      </c>
      <c r="AO4" s="10">
        <f ca="1">IFERROR(SUMIFS('COM balance'!I$5:I$25,'COM balance'!$D$5:$D$25,'COM Assumptions'!$A4)*I4,"")</f>
        <v>33.151986078912003</v>
      </c>
      <c r="AP4" s="10">
        <f ca="1">IFERROR(SUMIFS('COM balance'!J$5:J$25,'COM balance'!$D$5:$D$25,'COM Assumptions'!$A4)*J4,"")</f>
        <v>1.208897804304</v>
      </c>
      <c r="AQ4" s="10">
        <f ca="1">IFERROR(SUMIFS('COM balance'!K$5:K$25,'COM balance'!$D$5:$D$25,'COM Assumptions'!$A4)*K4,"")</f>
        <v>0</v>
      </c>
      <c r="AR4" s="10">
        <f ca="1">IFERROR(SUMIFS('COM balance'!L$5:L$25,'COM balance'!$D$5:$D$25,'COM Assumptions'!$A4)*L4,"")</f>
        <v>0</v>
      </c>
      <c r="AS4" s="10">
        <f ca="1">IFERROR(SUMIFS('COM balance'!M$5:M$25,'COM balance'!$D$5:$D$25,'COM Assumptions'!$A4)*M4,"")</f>
        <v>0</v>
      </c>
      <c r="AT4" s="10">
        <f ca="1">IFERROR(SUMIFS('COM balance'!N$5:N$25,'COM balance'!$D$5:$D$25,'COM Assumptions'!$A4)*N4,"")</f>
        <v>26.62801513362</v>
      </c>
      <c r="AU4" s="10">
        <f ca="1">IFERROR(SUMIFS('COM balance'!O$5:O$25,'COM balance'!$D$5:$D$25,'COM Assumptions'!$A4)*O4,"")</f>
        <v>7.3370362428000005E-2</v>
      </c>
      <c r="AV4" s="10">
        <f ca="1">IFERROR(SUMIFS('COM balance'!P$5:P$25,'COM balance'!$D$5:$D$25,'COM Assumptions'!$A4)*P4,"")</f>
        <v>1.5251478679080002</v>
      </c>
      <c r="AW4" s="10">
        <f ca="1">IFERROR(SUMIFS('COM balance'!Q$5:Q$25,'COM balance'!$D$5:$D$25,'COM Assumptions'!$A4)*Q4,"")</f>
        <v>1.1028141312840001</v>
      </c>
      <c r="AX4" s="10">
        <f ca="1">IFERROR(SUMIFS('COM balance'!R$5:R$25,'COM balance'!$D$5:$D$25,'COM Assumptions'!$A4)*R4,"")</f>
        <v>1.524166565724</v>
      </c>
      <c r="AY4" s="10">
        <f ca="1">IFERROR(SUMIFS('COM balance'!S$5:S$25,'COM balance'!$D$5:$D$25,'COM Assumptions'!$A4)*S4,"")</f>
        <v>0.92445456722399999</v>
      </c>
      <c r="AZ4" s="10">
        <f ca="1">IFERROR(SUMIFS('COM balance'!T$5:T$25,'COM balance'!$D$5:$D$25,'COM Assumptions'!$A4)*T4,"")</f>
        <v>0.47005356418200001</v>
      </c>
      <c r="BA4" s="10">
        <f ca="1">IFERROR(SUMIFS('COM balance'!U$5:U$25,'COM balance'!$D$5:$D$25,'COM Assumptions'!$A4)*U4,"")</f>
        <v>2.3471469173880002</v>
      </c>
      <c r="BB4" s="10">
        <f ca="1">IFERROR(SUMIFS('COM balance'!V$5:V$25,'COM balance'!$D$5:$D$25,'COM Assumptions'!$A4)*V4,"")</f>
        <v>1.27854237528</v>
      </c>
      <c r="BC4" s="10">
        <f ca="1">IFERROR(SUMIFS('COM balance'!W$5:W$25,'COM balance'!$D$5:$D$25,'COM Assumptions'!$A4)*W4,"")</f>
        <v>2.066292312192</v>
      </c>
      <c r="BD4" s="10">
        <f ca="1">IFERROR(SUMIFS('COM balance'!X$5:X$25,'COM balance'!$D$5:$D$25,'COM Assumptions'!$A4)*X4,"")</f>
        <v>0</v>
      </c>
      <c r="BE4" s="10">
        <f ca="1">IFERROR(SUMIFS('COM balance'!Y$5:Y$25,'COM balance'!$D$5:$D$25,'COM Assumptions'!$A4)*Y4,"")</f>
        <v>0</v>
      </c>
      <c r="BF4" s="10">
        <f ca="1">IFERROR(SUMIFS('COM balance'!Z$5:Z$25,'COM balance'!$D$5:$D$25,'COM Assumptions'!$A4)*Z4,"")</f>
        <v>0</v>
      </c>
      <c r="BG4" s="10">
        <f ca="1">IFERROR(SUMIFS('COM balance'!AA$5:AA$25,'COM balance'!$D$5:$D$25,'COM Assumptions'!$A4)*AA4,"")</f>
        <v>5.4080095083840005</v>
      </c>
      <c r="BH4" s="10">
        <f ca="1">IFERROR(SUMIFS('COM balance'!AB$5:AB$25,'COM balance'!$D$5:$D$25,'COM Assumptions'!$A4)*AB4,"")</f>
        <v>1.4500709658E-2</v>
      </c>
      <c r="BI4" s="10">
        <f ca="1">IFERROR(SUMIFS('COM balance'!AC$5:AC$25,'COM balance'!$D$5:$D$25,'COM Assumptions'!$A4)*AC4,"")</f>
        <v>2.3607468579600002</v>
      </c>
      <c r="BJ4" s="10">
        <f ca="1">IFERROR(SUMIFS('COM balance'!AD$5:AD$25,'COM balance'!$D$5:$D$25,'COM Assumptions'!$A4)*AD4,"")</f>
        <v>0</v>
      </c>
      <c r="BK4" s="10">
        <f ca="1">IFERROR(SUMIFS('COM balance'!AE$5:AE$25,'COM balance'!$D$5:$D$25,'COM Assumptions'!$A4)*AE4,"")</f>
        <v>0</v>
      </c>
      <c r="BL4" s="10">
        <f ca="1">IFERROR(SUMIFS('COM balance'!AF$5:AF$25,'COM balance'!$D$5:$D$25,'COM Assumptions'!$A4)*AF4,"")</f>
        <v>1.33522149429</v>
      </c>
      <c r="BM4" s="10">
        <f ca="1">IFERROR(SUMIFS('COM balance'!AG$5:AG$25,'COM balance'!$D$5:$D$25,'COM Assumptions'!$A4)*AG4,"")</f>
        <v>21.41948981126982</v>
      </c>
      <c r="BN4" s="10">
        <f ca="1">IFERROR(SUMIFS('COM balance'!AH$5:AH$25,'COM balance'!$D$5:$D$25,'COM Assumptions'!$A4)*AH4,"")</f>
        <v>0</v>
      </c>
      <c r="BQ4" t="s">
        <v>72</v>
      </c>
      <c r="BS4">
        <f t="shared" ref="BS4:BS16" ca="1" si="3">SUMIF($C$3:$C$61,$BQ4,E$3:E$61)</f>
        <v>1</v>
      </c>
      <c r="BT4">
        <f t="shared" ref="BT4:BT16" ca="1" si="4">SUMIF($C$3:$C$61,$BQ4,F$3:F$61)</f>
        <v>1</v>
      </c>
      <c r="BU4">
        <f t="shared" ref="BU4:BU16" ca="1" si="5">SUMIF($C$3:$C$61,$BQ4,G$3:G$61)</f>
        <v>1</v>
      </c>
      <c r="BV4">
        <f t="shared" ref="BV4:BV16" ca="1" si="6">SUMIF($C$3:$C$61,$BQ4,H$3:H$61)</f>
        <v>1</v>
      </c>
      <c r="BW4">
        <f t="shared" ref="BW4:BW16" ca="1" si="7">SUMIF($C$3:$C$61,$BQ4,I$3:I$61)</f>
        <v>1</v>
      </c>
      <c r="BX4">
        <f t="shared" ref="BX4:BX16" ca="1" si="8">SUMIF($C$3:$C$61,$BQ4,J$3:J$61)</f>
        <v>1</v>
      </c>
      <c r="BY4">
        <f t="shared" ref="BY4:BY16" ca="1" si="9">SUMIF($C$3:$C$61,$BQ4,K$3:K$61)</f>
        <v>1</v>
      </c>
      <c r="BZ4">
        <f t="shared" ref="BZ4:BZ16" ca="1" si="10">SUMIF($C$3:$C$61,$BQ4,L$3:L$61)</f>
        <v>1</v>
      </c>
      <c r="CA4">
        <f t="shared" ref="CA4:CA16" ca="1" si="11">SUMIF($C$3:$C$61,$BQ4,M$3:M$61)</f>
        <v>1</v>
      </c>
      <c r="CB4">
        <f t="shared" ref="CB4:CB16" ca="1" si="12">SUMIF($C$3:$C$61,$BQ4,N$3:N$61)</f>
        <v>1</v>
      </c>
      <c r="CC4">
        <f t="shared" ref="CC4:CC16" ca="1" si="13">SUMIF($C$3:$C$61,$BQ4,O$3:O$61)</f>
        <v>1</v>
      </c>
      <c r="CD4">
        <f t="shared" ref="CD4:CD16" ca="1" si="14">SUMIF($C$3:$C$61,$BQ4,P$3:P$61)</f>
        <v>1</v>
      </c>
      <c r="CE4">
        <f t="shared" ref="CE4:CE16" ca="1" si="15">SUMIF($C$3:$C$61,$BQ4,Q$3:Q$61)</f>
        <v>1</v>
      </c>
      <c r="CF4">
        <f t="shared" ref="CF4:CF16" ca="1" si="16">SUMIF($C$3:$C$61,$BQ4,R$3:R$61)</f>
        <v>1</v>
      </c>
      <c r="CG4">
        <f t="shared" ref="CG4:CG16" ca="1" si="17">SUMIF($C$3:$C$61,$BQ4,S$3:S$61)</f>
        <v>1</v>
      </c>
    </row>
    <row r="5" spans="1:85" x14ac:dyDescent="0.45">
      <c r="A5" s="8" t="str">
        <f>VLOOKUP(C5,'COM balance'!$AM$5:$AN$25,2,FALSE)</f>
        <v>COMNGA</v>
      </c>
      <c r="B5" s="36"/>
      <c r="C5" s="20" t="s">
        <v>33</v>
      </c>
      <c r="D5" s="41" t="s">
        <v>84</v>
      </c>
      <c r="E5" s="25">
        <f ca="1">OFFSET('COM Assumptions T15'!$D5,0,MATCH(VLOOKUP('COM Assumptions'!E$2,'RES Assumptions T15'!$V$3:$W$35,2,FALSE),'COM Assumptions T15'!$E$2:$S$2,0))</f>
        <v>0.3</v>
      </c>
      <c r="F5" s="25">
        <f ca="1">OFFSET('COM Assumptions T15'!$D5,0,MATCH(VLOOKUP('COM Assumptions'!F$2,'RES Assumptions T15'!$V$3:$W$35,2,FALSE),'COM Assumptions T15'!$E$2:$S$2,0))</f>
        <v>0.3</v>
      </c>
      <c r="G5" s="25">
        <f ca="1">OFFSET('COM Assumptions T15'!$D5,0,MATCH(VLOOKUP('COM Assumptions'!G$2,'RES Assumptions T15'!$V$3:$W$35,2,FALSE),'COM Assumptions T15'!$E$2:$S$2,0))</f>
        <v>0.2</v>
      </c>
      <c r="H5" s="25">
        <f ca="1">OFFSET('COM Assumptions T15'!$D5,0,MATCH(VLOOKUP('COM Assumptions'!H$2,'RES Assumptions T15'!$V$3:$W$35,2,FALSE),'COM Assumptions T15'!$E$2:$S$2,0))</f>
        <v>0.1</v>
      </c>
      <c r="I5" s="25">
        <f ca="1">OFFSET('COM Assumptions T15'!$D5,0,MATCH(VLOOKUP('COM Assumptions'!I$2,'RES Assumptions T15'!$V$3:$W$35,2,FALSE),'COM Assumptions T15'!$E$2:$S$2,0))</f>
        <v>0.39</v>
      </c>
      <c r="J5" s="25">
        <f ca="1">OFFSET('COM Assumptions T15'!$D5,0,MATCH(VLOOKUP('COM Assumptions'!J$2,'RES Assumptions T15'!$V$3:$W$35,2,FALSE),'COM Assumptions T15'!$E$2:$S$2,0))</f>
        <v>0.4</v>
      </c>
      <c r="K5" s="25">
        <f ca="1">OFFSET('COM Assumptions T15'!$D5,0,MATCH(VLOOKUP('COM Assumptions'!K$2,'RES Assumptions T15'!$V$3:$W$35,2,FALSE),'COM Assumptions T15'!$E$2:$S$2,0))</f>
        <v>0.35</v>
      </c>
      <c r="L5" s="25">
        <f ca="1">OFFSET('COM Assumptions T15'!$D5,0,MATCH(VLOOKUP('COM Assumptions'!L$2,'RES Assumptions T15'!$V$3:$W$35,2,FALSE),'COM Assumptions T15'!$E$2:$S$2,0))</f>
        <v>0.2</v>
      </c>
      <c r="M5" s="25">
        <f ca="1">OFFSET('COM Assumptions T15'!$D5,0,MATCH(VLOOKUP('COM Assumptions'!M$2,'RES Assumptions T15'!$V$3:$W$35,2,FALSE),'COM Assumptions T15'!$E$2:$S$2,0))</f>
        <v>0.15</v>
      </c>
      <c r="N5" s="25">
        <f ca="1">OFFSET('COM Assumptions T15'!$D5,0,MATCH(VLOOKUP('COM Assumptions'!N$2,'RES Assumptions T15'!$V$3:$W$35,2,FALSE),'COM Assumptions T15'!$E$2:$S$2,0))</f>
        <v>0.25</v>
      </c>
      <c r="O5" s="25">
        <f ca="1">OFFSET('COM Assumptions T15'!$D5,0,MATCH(VLOOKUP('COM Assumptions'!O$2,'RES Assumptions T15'!$V$3:$W$35,2,FALSE),'COM Assumptions T15'!$E$2:$S$2,0))</f>
        <v>0.27</v>
      </c>
      <c r="P5" s="1">
        <f ca="1">OFFSET('COM Assumptions T15'!$D5,0,MATCH(VLOOKUP('COM Assumptions'!P$2,'RES Assumptions T15'!$V$3:$W$35,2,FALSE),'COM Assumptions T15'!$E$2:$S$2,0))</f>
        <v>0.1</v>
      </c>
      <c r="Q5" s="1">
        <f ca="1">OFFSET('COM Assumptions T15'!$D5,0,MATCH(VLOOKUP('COM Assumptions'!Q$2,'RES Assumptions T15'!$V$3:$W$35,2,FALSE),'COM Assumptions T15'!$E$2:$S$2,0))</f>
        <v>0.27</v>
      </c>
      <c r="R5" s="1">
        <f ca="1">OFFSET('COM Assumptions T15'!$D5,0,MATCH(VLOOKUP('COM Assumptions'!R$2,'RES Assumptions T15'!$V$3:$W$35,2,FALSE),'COM Assumptions T15'!$E$2:$S$2,0))</f>
        <v>0.27</v>
      </c>
      <c r="S5" s="1">
        <f ca="1">OFFSET('COM Assumptions T15'!$D5,0,MATCH(VLOOKUP('COM Assumptions'!S$2,'RES Assumptions T15'!$V$3:$W$35,2,FALSE),'COM Assumptions T15'!$E$2:$S$2,0))</f>
        <v>0.1</v>
      </c>
      <c r="T5" s="1">
        <f ca="1">OFFSET('COM Assumptions T15'!$D5,0,MATCH(VLOOKUP('COM Assumptions'!T$2,'RES Assumptions T15'!$V$3:$W$35,2,FALSE),'COM Assumptions T15'!$E$2:$S$2,0))</f>
        <v>0.27</v>
      </c>
      <c r="U5" s="1">
        <f ca="1">OFFSET('COM Assumptions T15'!$D5,0,MATCH(VLOOKUP('COM Assumptions'!U$2,'RES Assumptions T15'!$V$3:$W$35,2,FALSE),'COM Assumptions T15'!$E$2:$S$2,0))</f>
        <v>0.15</v>
      </c>
      <c r="V5" s="1">
        <f ca="1">OFFSET('COM Assumptions T15'!$D5,0,MATCH(VLOOKUP('COM Assumptions'!V$2,'RES Assumptions T15'!$V$3:$W$35,2,FALSE),'COM Assumptions T15'!$E$2:$S$2,0))</f>
        <v>0.27</v>
      </c>
      <c r="W5" s="1">
        <f ca="1">OFFSET('COM Assumptions T15'!$D5,0,MATCH(VLOOKUP('COM Assumptions'!W$2,'RES Assumptions T15'!$V$3:$W$35,2,FALSE),'COM Assumptions T15'!$E$2:$S$2,0))</f>
        <v>0.27</v>
      </c>
      <c r="X5" s="1">
        <f ca="1">OFFSET('COM Assumptions T15'!$D5,0,MATCH(VLOOKUP('COM Assumptions'!X$2,'RES Assumptions T15'!$V$3:$W$35,2,FALSE),'COM Assumptions T15'!$E$2:$S$2,0))</f>
        <v>0.25</v>
      </c>
      <c r="Y5" s="1">
        <f ca="1">OFFSET('COM Assumptions T15'!$D5,0,MATCH(VLOOKUP('COM Assumptions'!Y$2,'RES Assumptions T15'!$V$3:$W$35,2,FALSE),'COM Assumptions T15'!$E$2:$S$2,0))</f>
        <v>0.2</v>
      </c>
      <c r="Z5" s="1">
        <f ca="1">OFFSET('COM Assumptions T15'!$D5,0,MATCH(VLOOKUP('COM Assumptions'!Z$2,'RES Assumptions T15'!$V$3:$W$35,2,FALSE),'COM Assumptions T15'!$E$2:$S$2,0))</f>
        <v>0.2</v>
      </c>
      <c r="AA5" s="1">
        <f ca="1">OFFSET('COM Assumptions T15'!$D5,0,MATCH(VLOOKUP('COM Assumptions'!AA$2,'RES Assumptions T15'!$V$3:$W$35,2,FALSE),'COM Assumptions T15'!$E$2:$S$2,0))</f>
        <v>0.15</v>
      </c>
      <c r="AB5" s="1">
        <f ca="1">OFFSET('COM Assumptions T15'!$D5,0,MATCH(VLOOKUP('COM Assumptions'!AB$2,'RES Assumptions T15'!$V$3:$W$35,2,FALSE),'COM Assumptions T15'!$E$2:$S$2,0))</f>
        <v>0.27</v>
      </c>
      <c r="AC5" s="1">
        <f ca="1">OFFSET('COM Assumptions T15'!$D5,0,MATCH(VLOOKUP('COM Assumptions'!AC$2,'RES Assumptions T15'!$V$3:$W$35,2,FALSE),'COM Assumptions T15'!$E$2:$S$2,0))</f>
        <v>0.1</v>
      </c>
      <c r="AD5" s="1">
        <f ca="1">OFFSET('COM Assumptions T15'!$D5,0,MATCH(VLOOKUP('COM Assumptions'!AD$2,'RES Assumptions T15'!$V$3:$W$35,2,FALSE),'COM Assumptions T15'!$E$2:$S$2,0))</f>
        <v>0.15</v>
      </c>
      <c r="AE5" s="1">
        <f ca="1">OFFSET('COM Assumptions T15'!$D5,0,MATCH(VLOOKUP('COM Assumptions'!AE$2,'RES Assumptions T15'!$V$3:$W$35,2,FALSE),'COM Assumptions T15'!$E$2:$S$2,0))</f>
        <v>0.3</v>
      </c>
      <c r="AF5" s="1">
        <f ca="1">OFFSET('COM Assumptions T15'!$D5,0,MATCH(VLOOKUP('COM Assumptions'!AF$2,'RES Assumptions T15'!$V$3:$W$35,2,FALSE),'COM Assumptions T15'!$E$2:$S$2,0))</f>
        <v>0.27</v>
      </c>
      <c r="AG5" s="1">
        <f ca="1">OFFSET('COM Assumptions T15'!$D5,0,MATCH(VLOOKUP('COM Assumptions'!AG$2,'RES Assumptions T15'!$V$3:$W$35,2,FALSE),'COM Assumptions T15'!$E$2:$S$2,0))</f>
        <v>0.26468642453242008</v>
      </c>
      <c r="AH5" s="1">
        <f ca="1">OFFSET('COM Assumptions T15'!$D5,0,MATCH(VLOOKUP('COM Assumptions'!AH$2,'RES Assumptions T15'!$V$3:$W$35,2,FALSE),'COM Assumptions T15'!$E$2:$S$2,0))</f>
        <v>0.26468642453242008</v>
      </c>
      <c r="AI5" s="1"/>
      <c r="AK5" s="10">
        <f ca="1">IFERROR(SUMIFS('COM balance'!E$5:E$25,'COM balance'!$D$5:$D$25,'COM Assumptions'!$A5)*E5,"")</f>
        <v>6.3998466022800002</v>
      </c>
      <c r="AL5" s="10">
        <f ca="1">IFERROR(SUMIFS('COM balance'!F$5:F$25,'COM balance'!$D$5:$D$25,'COM Assumptions'!$A5)*F5,"")</f>
        <v>2.0124272879999999E-2</v>
      </c>
      <c r="AM5" s="10">
        <f ca="1">IFERROR(SUMIFS('COM balance'!G$5:G$25,'COM balance'!$D$5:$D$25,'COM Assumptions'!$A5)*G5,"")</f>
        <v>11.444701536</v>
      </c>
      <c r="AN5" s="10">
        <f ca="1">IFERROR(SUMIFS('COM balance'!H$5:H$25,'COM balance'!$D$5:$D$25,'COM Assumptions'!$A5)*H5,"")</f>
        <v>39.338424618840008</v>
      </c>
      <c r="AO5" s="10">
        <f ca="1">IFERROR(SUMIFS('COM balance'!I$5:I$25,'COM balance'!$D$5:$D$25,'COM Assumptions'!$A5)*I5,"")</f>
        <v>215.48790951292801</v>
      </c>
      <c r="AP5" s="10">
        <f ca="1">IFERROR(SUMIFS('COM balance'!J$5:J$25,'COM balance'!$D$5:$D$25,'COM Assumptions'!$A5)*J5,"")</f>
        <v>24.177956086080002</v>
      </c>
      <c r="AQ5" s="10">
        <f ca="1">IFERROR(SUMIFS('COM balance'!K$5:K$25,'COM balance'!$D$5:$D$25,'COM Assumptions'!$A5)*K5,"")</f>
        <v>21.626684707319999</v>
      </c>
      <c r="AR5" s="10">
        <f ca="1">IFERROR(SUMIFS('COM balance'!L$5:L$25,'COM balance'!$D$5:$D$25,'COM Assumptions'!$A5)*L5,"")</f>
        <v>1.23119469144</v>
      </c>
      <c r="AS5" s="10">
        <f ca="1">IFERROR(SUMIFS('COM balance'!M$5:M$25,'COM balance'!$D$5:$D$25,'COM Assumptions'!$A5)*M5,"")</f>
        <v>88.88965500258</v>
      </c>
      <c r="AT5" s="10">
        <f ca="1">IFERROR(SUMIFS('COM balance'!N$5:N$25,'COM balance'!$D$5:$D$25,'COM Assumptions'!$A5)*N5,"")</f>
        <v>133.1400756681</v>
      </c>
      <c r="AU5" s="10">
        <f ca="1">IFERROR(SUMIFS('COM balance'!O$5:O$25,'COM balance'!$D$5:$D$25,'COM Assumptions'!$A5)*O5,"")</f>
        <v>3.9619995711120004</v>
      </c>
      <c r="AV5" s="10">
        <f ca="1">IFERROR(SUMIFS('COM balance'!P$5:P$25,'COM balance'!$D$5:$D$25,'COM Assumptions'!$A5)*P5,"")</f>
        <v>15.251478679080002</v>
      </c>
      <c r="AW5" s="10">
        <f ca="1">IFERROR(SUMIFS('COM balance'!Q$5:Q$25,'COM balance'!$D$5:$D$25,'COM Assumptions'!$A5)*Q5,"")</f>
        <v>59.551963089336006</v>
      </c>
      <c r="AX5" s="10">
        <f ca="1">IFERROR(SUMIFS('COM balance'!R$5:R$25,'COM balance'!$D$5:$D$25,'COM Assumptions'!$A5)*R5,"")</f>
        <v>82.304994549096008</v>
      </c>
      <c r="AY5" s="10">
        <f ca="1">IFERROR(SUMIFS('COM balance'!S$5:S$25,'COM balance'!$D$5:$D$25,'COM Assumptions'!$A5)*S5,"")</f>
        <v>9.2445456722399992</v>
      </c>
      <c r="AZ5" s="10">
        <f ca="1">IFERROR(SUMIFS('COM balance'!T$5:T$25,'COM balance'!$D$5:$D$25,'COM Assumptions'!$A5)*T5,"")</f>
        <v>25.382892465828004</v>
      </c>
      <c r="BA5" s="10">
        <f ca="1">IFERROR(SUMIFS('COM balance'!U$5:U$25,'COM balance'!$D$5:$D$25,'COM Assumptions'!$A5)*U5,"")</f>
        <v>35.207203760820001</v>
      </c>
      <c r="BB5" s="10">
        <f ca="1">IFERROR(SUMIFS('COM balance'!V$5:V$25,'COM balance'!$D$5:$D$25,'COM Assumptions'!$A5)*V5,"")</f>
        <v>69.041288265120002</v>
      </c>
      <c r="BC5" s="10">
        <f ca="1">IFERROR(SUMIFS('COM balance'!W$5:W$25,'COM balance'!$D$5:$D$25,'COM Assumptions'!$A5)*W5,"")</f>
        <v>111.579784858368</v>
      </c>
      <c r="BD5" s="10">
        <f ca="1">IFERROR(SUMIFS('COM balance'!X$5:X$25,'COM balance'!$D$5:$D$25,'COM Assumptions'!$A5)*X5,"")</f>
        <v>24.3239127489</v>
      </c>
      <c r="BE5" s="10">
        <f ca="1">IFERROR(SUMIFS('COM balance'!Y$5:Y$25,'COM balance'!$D$5:$D$25,'COM Assumptions'!$A5)*Y5,"")</f>
        <v>7.26026791536</v>
      </c>
      <c r="BF5" s="10">
        <f ca="1">IFERROR(SUMIFS('COM balance'!Z$5:Z$25,'COM balance'!$D$5:$D$25,'COM Assumptions'!$A5)*Z5,"")</f>
        <v>1.97316012816</v>
      </c>
      <c r="BG5" s="10">
        <f ca="1">IFERROR(SUMIFS('COM balance'!AA$5:AA$25,'COM balance'!$D$5:$D$25,'COM Assumptions'!$A5)*AA5,"")</f>
        <v>81.120142625759996</v>
      </c>
      <c r="BH5" s="10">
        <f ca="1">IFERROR(SUMIFS('COM balance'!AB$5:AB$25,'COM balance'!$D$5:$D$25,'COM Assumptions'!$A5)*AB5,"")</f>
        <v>0.78303832153200004</v>
      </c>
      <c r="BI5" s="10">
        <f ca="1">IFERROR(SUMIFS('COM balance'!AC$5:AC$25,'COM balance'!$D$5:$D$25,'COM Assumptions'!$A5)*AC5,"")</f>
        <v>23.607468579600003</v>
      </c>
      <c r="BJ5" s="10">
        <f ca="1">IFERROR(SUMIFS('COM balance'!AD$5:AD$25,'COM balance'!$D$5:$D$25,'COM Assumptions'!$A5)*AD5,"")</f>
        <v>0</v>
      </c>
      <c r="BK5" s="10">
        <f ca="1">IFERROR(SUMIFS('COM balance'!AE$5:AE$25,'COM balance'!$D$5:$D$25,'COM Assumptions'!$A5)*AE5,"")</f>
        <v>0.33317968247999996</v>
      </c>
      <c r="BL5" s="10">
        <f ca="1">IFERROR(SUMIFS('COM balance'!AF$5:AF$25,'COM balance'!$D$5:$D$25,'COM Assumptions'!$A5)*AF5,"")</f>
        <v>72.101960691659997</v>
      </c>
      <c r="BM5" s="10">
        <f ca="1">IFERROR(SUMIFS('COM balance'!AG$5:AG$25,'COM balance'!$D$5:$D$25,'COM Assumptions'!$A5)*AG5,"")</f>
        <v>917.3276567985489</v>
      </c>
      <c r="BN5" s="10">
        <f ca="1">IFERROR(SUMIFS('COM balance'!AH$5:AH$25,'COM balance'!$D$5:$D$25,'COM Assumptions'!$A5)*AH5,"")</f>
        <v>0</v>
      </c>
      <c r="BQ5" t="s">
        <v>73</v>
      </c>
      <c r="BS5">
        <f t="shared" ca="1" si="3"/>
        <v>1</v>
      </c>
      <c r="BT5">
        <f t="shared" ca="1" si="4"/>
        <v>1</v>
      </c>
      <c r="BU5">
        <f t="shared" ca="1" si="5"/>
        <v>1</v>
      </c>
      <c r="BV5">
        <f t="shared" ca="1" si="6"/>
        <v>1</v>
      </c>
      <c r="BW5">
        <f t="shared" ca="1" si="7"/>
        <v>1</v>
      </c>
      <c r="BX5">
        <f t="shared" ca="1" si="8"/>
        <v>1</v>
      </c>
      <c r="BY5">
        <f t="shared" ca="1" si="9"/>
        <v>1</v>
      </c>
      <c r="BZ5">
        <f t="shared" ca="1" si="10"/>
        <v>1</v>
      </c>
      <c r="CA5">
        <f t="shared" ca="1" si="11"/>
        <v>1</v>
      </c>
      <c r="CB5">
        <f t="shared" ca="1" si="12"/>
        <v>1</v>
      </c>
      <c r="CC5">
        <f t="shared" ca="1" si="13"/>
        <v>1</v>
      </c>
      <c r="CD5">
        <f t="shared" ca="1" si="14"/>
        <v>1</v>
      </c>
      <c r="CE5">
        <f t="shared" ca="1" si="15"/>
        <v>1</v>
      </c>
      <c r="CF5">
        <f t="shared" ca="1" si="16"/>
        <v>1</v>
      </c>
      <c r="CG5">
        <f t="shared" ca="1" si="17"/>
        <v>1</v>
      </c>
    </row>
    <row r="6" spans="1:85" x14ac:dyDescent="0.45">
      <c r="A6" s="8" t="str">
        <f>VLOOKUP(C6,'COM balance'!$AM$5:$AN$25,2,FALSE)</f>
        <v>COMNGA</v>
      </c>
      <c r="B6" s="36"/>
      <c r="C6" s="20" t="s">
        <v>33</v>
      </c>
      <c r="D6" s="41" t="s">
        <v>86</v>
      </c>
      <c r="E6" s="25">
        <f ca="1">OFFSET('COM Assumptions T15'!$D6,0,MATCH(VLOOKUP('COM Assumptions'!E$2,'RES Assumptions T15'!$V$3:$W$35,2,FALSE),'COM Assumptions T15'!$E$2:$S$2,0))</f>
        <v>0.7</v>
      </c>
      <c r="F6" s="25">
        <f ca="1">OFFSET('COM Assumptions T15'!$D6,0,MATCH(VLOOKUP('COM Assumptions'!F$2,'RES Assumptions T15'!$V$3:$W$35,2,FALSE),'COM Assumptions T15'!$E$2:$S$2,0))</f>
        <v>0.7</v>
      </c>
      <c r="G6" s="25">
        <f ca="1">OFFSET('COM Assumptions T15'!$D6,0,MATCH(VLOOKUP('COM Assumptions'!G$2,'RES Assumptions T15'!$V$3:$W$35,2,FALSE),'COM Assumptions T15'!$E$2:$S$2,0))</f>
        <v>0.7</v>
      </c>
      <c r="H6" s="25">
        <f ca="1">OFFSET('COM Assumptions T15'!$D6,0,MATCH(VLOOKUP('COM Assumptions'!H$2,'RES Assumptions T15'!$V$3:$W$35,2,FALSE),'COM Assumptions T15'!$E$2:$S$2,0))</f>
        <v>0.19</v>
      </c>
      <c r="I6" s="25">
        <f ca="1">OFFSET('COM Assumptions T15'!$D6,0,MATCH(VLOOKUP('COM Assumptions'!I$2,'RES Assumptions T15'!$V$3:$W$35,2,FALSE),'COM Assumptions T15'!$E$2:$S$2,0))</f>
        <v>0.43</v>
      </c>
      <c r="J6" s="25">
        <f ca="1">OFFSET('COM Assumptions T15'!$D6,0,MATCH(VLOOKUP('COM Assumptions'!J$2,'RES Assumptions T15'!$V$3:$W$35,2,FALSE),'COM Assumptions T15'!$E$2:$S$2,0))</f>
        <v>0.5</v>
      </c>
      <c r="K6" s="25">
        <f ca="1">OFFSET('COM Assumptions T15'!$D6,0,MATCH(VLOOKUP('COM Assumptions'!K$2,'RES Assumptions T15'!$V$3:$W$35,2,FALSE),'COM Assumptions T15'!$E$2:$S$2,0))</f>
        <v>0.1</v>
      </c>
      <c r="L6" s="25">
        <f ca="1">OFFSET('COM Assumptions T15'!$D6,0,MATCH(VLOOKUP('COM Assumptions'!L$2,'RES Assumptions T15'!$V$3:$W$35,2,FALSE),'COM Assumptions T15'!$E$2:$S$2,0))</f>
        <v>0.7</v>
      </c>
      <c r="M6" s="25">
        <f ca="1">OFFSET('COM Assumptions T15'!$D6,0,MATCH(VLOOKUP('COM Assumptions'!M$2,'RES Assumptions T15'!$V$3:$W$35,2,FALSE),'COM Assumptions T15'!$E$2:$S$2,0))</f>
        <v>0.1</v>
      </c>
      <c r="N6" s="25">
        <f ca="1">OFFSET('COM Assumptions T15'!$D6,0,MATCH(VLOOKUP('COM Assumptions'!N$2,'RES Assumptions T15'!$V$3:$W$35,2,FALSE),'COM Assumptions T15'!$E$2:$S$2,0))</f>
        <v>0.55000000000000004</v>
      </c>
      <c r="O6" s="25">
        <f ca="1">OFFSET('COM Assumptions T15'!$D6,0,MATCH(VLOOKUP('COM Assumptions'!O$2,'RES Assumptions T15'!$V$3:$W$35,2,FALSE),'COM Assumptions T15'!$E$2:$S$2,0))</f>
        <v>0.2</v>
      </c>
      <c r="P6" s="1">
        <f ca="1">OFFSET('COM Assumptions T15'!$D6,0,MATCH(VLOOKUP('COM Assumptions'!P$2,'RES Assumptions T15'!$V$3:$W$35,2,FALSE),'COM Assumptions T15'!$E$2:$S$2,0))</f>
        <v>0.19</v>
      </c>
      <c r="Q6" s="1">
        <f ca="1">OFFSET('COM Assumptions T15'!$D6,0,MATCH(VLOOKUP('COM Assumptions'!Q$2,'RES Assumptions T15'!$V$3:$W$35,2,FALSE),'COM Assumptions T15'!$E$2:$S$2,0))</f>
        <v>0.2</v>
      </c>
      <c r="R6" s="1">
        <f ca="1">OFFSET('COM Assumptions T15'!$D6,0,MATCH(VLOOKUP('COM Assumptions'!R$2,'RES Assumptions T15'!$V$3:$W$35,2,FALSE),'COM Assumptions T15'!$E$2:$S$2,0))</f>
        <v>0.2</v>
      </c>
      <c r="S6" s="1">
        <f ca="1">OFFSET('COM Assumptions T15'!$D6,0,MATCH(VLOOKUP('COM Assumptions'!S$2,'RES Assumptions T15'!$V$3:$W$35,2,FALSE),'COM Assumptions T15'!$E$2:$S$2,0))</f>
        <v>0.19</v>
      </c>
      <c r="T6" s="1">
        <f ca="1">OFFSET('COM Assumptions T15'!$D6,0,MATCH(VLOOKUP('COM Assumptions'!T$2,'RES Assumptions T15'!$V$3:$W$35,2,FALSE),'COM Assumptions T15'!$E$2:$S$2,0))</f>
        <v>0.2</v>
      </c>
      <c r="U6" s="1">
        <f ca="1">OFFSET('COM Assumptions T15'!$D6,0,MATCH(VLOOKUP('COM Assumptions'!U$2,'RES Assumptions T15'!$V$3:$W$35,2,FALSE),'COM Assumptions T15'!$E$2:$S$2,0))</f>
        <v>0.79</v>
      </c>
      <c r="V6" s="1">
        <f ca="1">OFFSET('COM Assumptions T15'!$D6,0,MATCH(VLOOKUP('COM Assumptions'!V$2,'RES Assumptions T15'!$V$3:$W$35,2,FALSE),'COM Assumptions T15'!$E$2:$S$2,0))</f>
        <v>0.2</v>
      </c>
      <c r="W6" s="1">
        <f ca="1">OFFSET('COM Assumptions T15'!$D6,0,MATCH(VLOOKUP('COM Assumptions'!W$2,'RES Assumptions T15'!$V$3:$W$35,2,FALSE),'COM Assumptions T15'!$E$2:$S$2,0))</f>
        <v>0.2</v>
      </c>
      <c r="X6" s="1">
        <f ca="1">OFFSET('COM Assumptions T15'!$D6,0,MATCH(VLOOKUP('COM Assumptions'!X$2,'RES Assumptions T15'!$V$3:$W$35,2,FALSE),'COM Assumptions T15'!$E$2:$S$2,0))</f>
        <v>0.7</v>
      </c>
      <c r="Y6" s="1">
        <f ca="1">OFFSET('COM Assumptions T15'!$D6,0,MATCH(VLOOKUP('COM Assumptions'!Y$2,'RES Assumptions T15'!$V$3:$W$35,2,FALSE),'COM Assumptions T15'!$E$2:$S$2,0))</f>
        <v>0.7</v>
      </c>
      <c r="Z6" s="1">
        <f ca="1">OFFSET('COM Assumptions T15'!$D6,0,MATCH(VLOOKUP('COM Assumptions'!Z$2,'RES Assumptions T15'!$V$3:$W$35,2,FALSE),'COM Assumptions T15'!$E$2:$S$2,0))</f>
        <v>0.7</v>
      </c>
      <c r="AA6" s="1">
        <f ca="1">OFFSET('COM Assumptions T15'!$D6,0,MATCH(VLOOKUP('COM Assumptions'!AA$2,'RES Assumptions T15'!$V$3:$W$35,2,FALSE),'COM Assumptions T15'!$E$2:$S$2,0))</f>
        <v>0.79</v>
      </c>
      <c r="AB6" s="1">
        <f ca="1">OFFSET('COM Assumptions T15'!$D6,0,MATCH(VLOOKUP('COM Assumptions'!AB$2,'RES Assumptions T15'!$V$3:$W$35,2,FALSE),'COM Assumptions T15'!$E$2:$S$2,0))</f>
        <v>0.2</v>
      </c>
      <c r="AC6" s="1">
        <f ca="1">OFFSET('COM Assumptions T15'!$D6,0,MATCH(VLOOKUP('COM Assumptions'!AC$2,'RES Assumptions T15'!$V$3:$W$35,2,FALSE),'COM Assumptions T15'!$E$2:$S$2,0))</f>
        <v>0.19</v>
      </c>
      <c r="AD6" s="1">
        <f ca="1">OFFSET('COM Assumptions T15'!$D6,0,MATCH(VLOOKUP('COM Assumptions'!AD$2,'RES Assumptions T15'!$V$3:$W$35,2,FALSE),'COM Assumptions T15'!$E$2:$S$2,0))</f>
        <v>0.79</v>
      </c>
      <c r="AE6" s="1">
        <f ca="1">OFFSET('COM Assumptions T15'!$D6,0,MATCH(VLOOKUP('COM Assumptions'!AE$2,'RES Assumptions T15'!$V$3:$W$35,2,FALSE),'COM Assumptions T15'!$E$2:$S$2,0))</f>
        <v>0.7</v>
      </c>
      <c r="AF6" s="1">
        <f ca="1">OFFSET('COM Assumptions T15'!$D6,0,MATCH(VLOOKUP('COM Assumptions'!AF$2,'RES Assumptions T15'!$V$3:$W$35,2,FALSE),'COM Assumptions T15'!$E$2:$S$2,0))</f>
        <v>0.2</v>
      </c>
      <c r="AG6" s="1">
        <f ca="1">OFFSET('COM Assumptions T15'!$D6,0,MATCH(VLOOKUP('COM Assumptions'!AG$2,'RES Assumptions T15'!$V$3:$W$35,2,FALSE),'COM Assumptions T15'!$E$2:$S$2,0))</f>
        <v>0.1</v>
      </c>
      <c r="AH6" s="1">
        <f ca="1">OFFSET('COM Assumptions T15'!$D6,0,MATCH(VLOOKUP('COM Assumptions'!AH$2,'RES Assumptions T15'!$V$3:$W$35,2,FALSE),'COM Assumptions T15'!$E$2:$S$2,0))</f>
        <v>0.1</v>
      </c>
      <c r="AI6" s="1"/>
      <c r="AK6" s="10">
        <f ca="1">IFERROR(SUMIFS('COM balance'!E$5:E$25,'COM balance'!$D$5:$D$25,'COM Assumptions'!$A6)*E6,"")</f>
        <v>14.932975405319999</v>
      </c>
      <c r="AL6" s="10">
        <f ca="1">IFERROR(SUMIFS('COM balance'!F$5:F$25,'COM balance'!$D$5:$D$25,'COM Assumptions'!$A6)*F6,"")</f>
        <v>4.695663672E-2</v>
      </c>
      <c r="AM6" s="10">
        <f ca="1">IFERROR(SUMIFS('COM balance'!G$5:G$25,'COM balance'!$D$5:$D$25,'COM Assumptions'!$A6)*G6,"")</f>
        <v>40.056455375999995</v>
      </c>
      <c r="AN6" s="10">
        <f ca="1">IFERROR(SUMIFS('COM balance'!H$5:H$25,'COM balance'!$D$5:$D$25,'COM Assumptions'!$A6)*H6,"")</f>
        <v>74.743006775796005</v>
      </c>
      <c r="AO6" s="10">
        <f ca="1">IFERROR(SUMIFS('COM balance'!I$5:I$25,'COM balance'!$D$5:$D$25,'COM Assumptions'!$A6)*I6,"")</f>
        <v>237.58923356553601</v>
      </c>
      <c r="AP6" s="10">
        <f ca="1">IFERROR(SUMIFS('COM balance'!J$5:J$25,'COM balance'!$D$5:$D$25,'COM Assumptions'!$A6)*J6,"")</f>
        <v>30.222445107599999</v>
      </c>
      <c r="AQ6" s="10">
        <f ca="1">IFERROR(SUMIFS('COM balance'!K$5:K$25,'COM balance'!$D$5:$D$25,'COM Assumptions'!$A6)*K6,"")</f>
        <v>6.1790527735200005</v>
      </c>
      <c r="AR6" s="10">
        <f ca="1">IFERROR(SUMIFS('COM balance'!L$5:L$25,'COM balance'!$D$5:$D$25,'COM Assumptions'!$A6)*L6,"")</f>
        <v>4.3091814200399998</v>
      </c>
      <c r="AS6" s="10">
        <f ca="1">IFERROR(SUMIFS('COM balance'!M$5:M$25,'COM balance'!$D$5:$D$25,'COM Assumptions'!$A6)*M6,"")</f>
        <v>59.259770001720007</v>
      </c>
      <c r="AT6" s="10">
        <f ca="1">IFERROR(SUMIFS('COM balance'!N$5:N$25,'COM balance'!$D$5:$D$25,'COM Assumptions'!$A6)*N6,"")</f>
        <v>292.90816646982</v>
      </c>
      <c r="AU6" s="10">
        <f ca="1">IFERROR(SUMIFS('COM balance'!O$5:O$25,'COM balance'!$D$5:$D$25,'COM Assumptions'!$A6)*O6,"")</f>
        <v>2.9348144971200001</v>
      </c>
      <c r="AV6" s="10">
        <f ca="1">IFERROR(SUMIFS('COM balance'!P$5:P$25,'COM balance'!$D$5:$D$25,'COM Assumptions'!$A6)*P6,"")</f>
        <v>28.977809490252</v>
      </c>
      <c r="AW6" s="10">
        <f ca="1">IFERROR(SUMIFS('COM balance'!Q$5:Q$25,'COM balance'!$D$5:$D$25,'COM Assumptions'!$A6)*Q6,"")</f>
        <v>44.112565251360003</v>
      </c>
      <c r="AX6" s="10">
        <f ca="1">IFERROR(SUMIFS('COM balance'!R$5:R$25,'COM balance'!$D$5:$D$25,'COM Assumptions'!$A6)*R6,"")</f>
        <v>60.966662628960002</v>
      </c>
      <c r="AY6" s="10">
        <f ca="1">IFERROR(SUMIFS('COM balance'!S$5:S$25,'COM balance'!$D$5:$D$25,'COM Assumptions'!$A6)*S6,"")</f>
        <v>17.564636777255998</v>
      </c>
      <c r="AZ6" s="10">
        <f ca="1">IFERROR(SUMIFS('COM balance'!T$5:T$25,'COM balance'!$D$5:$D$25,'COM Assumptions'!$A6)*T6,"")</f>
        <v>18.802142567280001</v>
      </c>
      <c r="BA6" s="10">
        <f ca="1">IFERROR(SUMIFS('COM balance'!U$5:U$25,'COM balance'!$D$5:$D$25,'COM Assumptions'!$A6)*U6,"")</f>
        <v>185.42460647365201</v>
      </c>
      <c r="BB6" s="10">
        <f ca="1">IFERROR(SUMIFS('COM balance'!V$5:V$25,'COM balance'!$D$5:$D$25,'COM Assumptions'!$A6)*V6,"")</f>
        <v>51.141695011199999</v>
      </c>
      <c r="BC6" s="10">
        <f ca="1">IFERROR(SUMIFS('COM balance'!W$5:W$25,'COM balance'!$D$5:$D$25,'COM Assumptions'!$A6)*W6,"")</f>
        <v>82.651692487680009</v>
      </c>
      <c r="BD6" s="10">
        <f ca="1">IFERROR(SUMIFS('COM balance'!X$5:X$25,'COM balance'!$D$5:$D$25,'COM Assumptions'!$A6)*X6,"")</f>
        <v>68.106955696919997</v>
      </c>
      <c r="BE6" s="10">
        <f ca="1">IFERROR(SUMIFS('COM balance'!Y$5:Y$25,'COM balance'!$D$5:$D$25,'COM Assumptions'!$A6)*Y6,"")</f>
        <v>25.410937703759995</v>
      </c>
      <c r="BF6" s="10">
        <f ca="1">IFERROR(SUMIFS('COM balance'!Z$5:Z$25,'COM balance'!$D$5:$D$25,'COM Assumptions'!$A6)*Z6,"")</f>
        <v>6.9060604485599999</v>
      </c>
      <c r="BG6" s="10">
        <f ca="1">IFERROR(SUMIFS('COM balance'!AA$5:AA$25,'COM balance'!$D$5:$D$25,'COM Assumptions'!$A6)*AA6,"")</f>
        <v>427.232751162336</v>
      </c>
      <c r="BH6" s="10">
        <f ca="1">IFERROR(SUMIFS('COM balance'!AB$5:AB$25,'COM balance'!$D$5:$D$25,'COM Assumptions'!$A6)*AB6,"")</f>
        <v>0.58002838631999998</v>
      </c>
      <c r="BI6" s="10">
        <f ca="1">IFERROR(SUMIFS('COM balance'!AC$5:AC$25,'COM balance'!$D$5:$D$25,'COM Assumptions'!$A6)*AC6,"")</f>
        <v>44.854190301240003</v>
      </c>
      <c r="BJ6" s="10">
        <f ca="1">IFERROR(SUMIFS('COM balance'!AD$5:AD$25,'COM balance'!$D$5:$D$25,'COM Assumptions'!$A6)*AD6,"")</f>
        <v>0</v>
      </c>
      <c r="BK6" s="10">
        <f ca="1">IFERROR(SUMIFS('COM balance'!AE$5:AE$25,'COM balance'!$D$5:$D$25,'COM Assumptions'!$A6)*AE6,"")</f>
        <v>0.77741925911999987</v>
      </c>
      <c r="BL6" s="10">
        <f ca="1">IFERROR(SUMIFS('COM balance'!AF$5:AF$25,'COM balance'!$D$5:$D$25,'COM Assumptions'!$A6)*AF6,"")</f>
        <v>53.4088597716</v>
      </c>
      <c r="BM6" s="10">
        <f ca="1">IFERROR(SUMIFS('COM balance'!AG$5:AG$25,'COM balance'!$D$5:$D$25,'COM Assumptions'!$A6)*AG6,"")</f>
        <v>346.57147922076001</v>
      </c>
      <c r="BN6" s="10">
        <f ca="1">IFERROR(SUMIFS('COM balance'!AH$5:AH$25,'COM balance'!$D$5:$D$25,'COM Assumptions'!$A6)*AH6,"")</f>
        <v>0</v>
      </c>
      <c r="BQ6" t="s">
        <v>74</v>
      </c>
      <c r="BS6">
        <f t="shared" ca="1" si="3"/>
        <v>1</v>
      </c>
      <c r="BT6">
        <f t="shared" ca="1" si="4"/>
        <v>1</v>
      </c>
      <c r="BU6">
        <f t="shared" ca="1" si="5"/>
        <v>1</v>
      </c>
      <c r="BV6">
        <f t="shared" ca="1" si="6"/>
        <v>1</v>
      </c>
      <c r="BW6">
        <f t="shared" ca="1" si="7"/>
        <v>1</v>
      </c>
      <c r="BX6">
        <f t="shared" ca="1" si="8"/>
        <v>1</v>
      </c>
      <c r="BY6">
        <f t="shared" ca="1" si="9"/>
        <v>1</v>
      </c>
      <c r="BZ6">
        <f t="shared" ca="1" si="10"/>
        <v>1</v>
      </c>
      <c r="CA6">
        <f t="shared" ca="1" si="11"/>
        <v>1</v>
      </c>
      <c r="CB6">
        <f t="shared" ca="1" si="12"/>
        <v>1</v>
      </c>
      <c r="CC6">
        <f t="shared" ca="1" si="13"/>
        <v>1</v>
      </c>
      <c r="CD6">
        <f t="shared" ca="1" si="14"/>
        <v>1</v>
      </c>
      <c r="CE6">
        <f t="shared" ca="1" si="15"/>
        <v>1</v>
      </c>
      <c r="CF6">
        <f t="shared" ca="1" si="16"/>
        <v>1</v>
      </c>
      <c r="CG6">
        <f t="shared" ca="1" si="17"/>
        <v>1</v>
      </c>
    </row>
    <row r="7" spans="1:85" x14ac:dyDescent="0.45">
      <c r="A7" s="8" t="str">
        <f>VLOOKUP(C7,'COM balance'!$AM$5:$AN$25,2,FALSE)</f>
        <v>COMOIL</v>
      </c>
      <c r="B7" s="36"/>
      <c r="C7" s="20" t="s">
        <v>72</v>
      </c>
      <c r="D7" s="41" t="s">
        <v>82</v>
      </c>
      <c r="E7" s="25">
        <f ca="1">OFFSET('COM Assumptions T15'!$D7,0,MATCH(VLOOKUP('COM Assumptions'!E$2,'RES Assumptions T15'!$V$3:$W$35,2,FALSE),'COM Assumptions T15'!$E$2:$S$2,0))</f>
        <v>0.3</v>
      </c>
      <c r="F7" s="25">
        <f ca="1">OFFSET('COM Assumptions T15'!$D7,0,MATCH(VLOOKUP('COM Assumptions'!F$2,'RES Assumptions T15'!$V$3:$W$35,2,FALSE),'COM Assumptions T15'!$E$2:$S$2,0))</f>
        <v>0.3</v>
      </c>
      <c r="G7" s="25">
        <f ca="1">OFFSET('COM Assumptions T15'!$D7,0,MATCH(VLOOKUP('COM Assumptions'!G$2,'RES Assumptions T15'!$V$3:$W$35,2,FALSE),'COM Assumptions T15'!$E$2:$S$2,0))</f>
        <v>0.1</v>
      </c>
      <c r="H7" s="25">
        <f ca="1">OFFSET('COM Assumptions T15'!$D7,0,MATCH(VLOOKUP('COM Assumptions'!H$2,'RES Assumptions T15'!$V$3:$W$35,2,FALSE),'COM Assumptions T15'!$E$2:$S$2,0))</f>
        <v>0.75</v>
      </c>
      <c r="I7" s="25">
        <f ca="1">OFFSET('COM Assumptions T15'!$D7,0,MATCH(VLOOKUP('COM Assumptions'!I$2,'RES Assumptions T15'!$V$3:$W$35,2,FALSE),'COM Assumptions T15'!$E$2:$S$2,0))</f>
        <v>0.6</v>
      </c>
      <c r="J7" s="25">
        <f ca="1">OFFSET('COM Assumptions T15'!$D7,0,MATCH(VLOOKUP('COM Assumptions'!J$2,'RES Assumptions T15'!$V$3:$W$35,2,FALSE),'COM Assumptions T15'!$E$2:$S$2,0))</f>
        <v>0.2</v>
      </c>
      <c r="K7" s="25">
        <f ca="1">OFFSET('COM Assumptions T15'!$D7,0,MATCH(VLOOKUP('COM Assumptions'!K$2,'RES Assumptions T15'!$V$3:$W$35,2,FALSE),'COM Assumptions T15'!$E$2:$S$2,0))</f>
        <v>0.8</v>
      </c>
      <c r="L7" s="25">
        <f ca="1">OFFSET('COM Assumptions T15'!$D7,0,MATCH(VLOOKUP('COM Assumptions'!L$2,'RES Assumptions T15'!$V$3:$W$35,2,FALSE),'COM Assumptions T15'!$E$2:$S$2,0))</f>
        <v>0.1</v>
      </c>
      <c r="M7" s="25">
        <f ca="1">OFFSET('COM Assumptions T15'!$D7,0,MATCH(VLOOKUP('COM Assumptions'!M$2,'RES Assumptions T15'!$V$3:$W$35,2,FALSE),'COM Assumptions T15'!$E$2:$S$2,0))</f>
        <v>0.8</v>
      </c>
      <c r="N7" s="25">
        <f ca="1">OFFSET('COM Assumptions T15'!$D7,0,MATCH(VLOOKUP('COM Assumptions'!N$2,'RES Assumptions T15'!$V$3:$W$35,2,FALSE),'COM Assumptions T15'!$E$2:$S$2,0))</f>
        <v>0.15</v>
      </c>
      <c r="O7" s="25">
        <f ca="1">OFFSET('COM Assumptions T15'!$D7,0,MATCH(VLOOKUP('COM Assumptions'!O$2,'RES Assumptions T15'!$V$3:$W$35,2,FALSE),'COM Assumptions T15'!$E$2:$S$2,0))</f>
        <v>0.7</v>
      </c>
      <c r="P7" s="1">
        <f ca="1">OFFSET('COM Assumptions T15'!$D7,0,MATCH(VLOOKUP('COM Assumptions'!P$2,'RES Assumptions T15'!$V$3:$W$35,2,FALSE),'COM Assumptions T15'!$E$2:$S$2,0))</f>
        <v>0.75</v>
      </c>
      <c r="Q7" s="1">
        <f ca="1">OFFSET('COM Assumptions T15'!$D7,0,MATCH(VLOOKUP('COM Assumptions'!Q$2,'RES Assumptions T15'!$V$3:$W$35,2,FALSE),'COM Assumptions T15'!$E$2:$S$2,0))</f>
        <v>0.7</v>
      </c>
      <c r="R7" s="1">
        <f ca="1">OFFSET('COM Assumptions T15'!$D7,0,MATCH(VLOOKUP('COM Assumptions'!R$2,'RES Assumptions T15'!$V$3:$W$35,2,FALSE),'COM Assumptions T15'!$E$2:$S$2,0))</f>
        <v>0.7</v>
      </c>
      <c r="S7" s="1">
        <f ca="1">OFFSET('COM Assumptions T15'!$D7,0,MATCH(VLOOKUP('COM Assumptions'!S$2,'RES Assumptions T15'!$V$3:$W$35,2,FALSE),'COM Assumptions T15'!$E$2:$S$2,0))</f>
        <v>0.75</v>
      </c>
      <c r="T7" s="1">
        <f ca="1">OFFSET('COM Assumptions T15'!$D7,0,MATCH(VLOOKUP('COM Assumptions'!T$2,'RES Assumptions T15'!$V$3:$W$35,2,FALSE),'COM Assumptions T15'!$E$2:$S$2,0))</f>
        <v>0.7</v>
      </c>
      <c r="U7" s="1">
        <f ca="1">OFFSET('COM Assumptions T15'!$D7,0,MATCH(VLOOKUP('COM Assumptions'!U$2,'RES Assumptions T15'!$V$3:$W$35,2,FALSE),'COM Assumptions T15'!$E$2:$S$2,0))</f>
        <v>0.1</v>
      </c>
      <c r="V7" s="1">
        <f ca="1">OFFSET('COM Assumptions T15'!$D7,0,MATCH(VLOOKUP('COM Assumptions'!V$2,'RES Assumptions T15'!$V$3:$W$35,2,FALSE),'COM Assumptions T15'!$E$2:$S$2,0))</f>
        <v>0.7</v>
      </c>
      <c r="W7" s="1">
        <f ca="1">OFFSET('COM Assumptions T15'!$D7,0,MATCH(VLOOKUP('COM Assumptions'!W$2,'RES Assumptions T15'!$V$3:$W$35,2,FALSE),'COM Assumptions T15'!$E$2:$S$2,0))</f>
        <v>0.7</v>
      </c>
      <c r="X7" s="1">
        <f ca="1">OFFSET('COM Assumptions T15'!$D7,0,MATCH(VLOOKUP('COM Assumptions'!X$2,'RES Assumptions T15'!$V$3:$W$35,2,FALSE),'COM Assumptions T15'!$E$2:$S$2,0))</f>
        <v>0.1</v>
      </c>
      <c r="Y7" s="1">
        <f ca="1">OFFSET('COM Assumptions T15'!$D7,0,MATCH(VLOOKUP('COM Assumptions'!Y$2,'RES Assumptions T15'!$V$3:$W$35,2,FALSE),'COM Assumptions T15'!$E$2:$S$2,0))</f>
        <v>0.1</v>
      </c>
      <c r="Z7" s="1">
        <f ca="1">OFFSET('COM Assumptions T15'!$D7,0,MATCH(VLOOKUP('COM Assumptions'!Z$2,'RES Assumptions T15'!$V$3:$W$35,2,FALSE),'COM Assumptions T15'!$E$2:$S$2,0))</f>
        <v>0.1</v>
      </c>
      <c r="AA7" s="1">
        <f ca="1">OFFSET('COM Assumptions T15'!$D7,0,MATCH(VLOOKUP('COM Assumptions'!AA$2,'RES Assumptions T15'!$V$3:$W$35,2,FALSE),'COM Assumptions T15'!$E$2:$S$2,0))</f>
        <v>0.1</v>
      </c>
      <c r="AB7" s="1">
        <f ca="1">OFFSET('COM Assumptions T15'!$D7,0,MATCH(VLOOKUP('COM Assumptions'!AB$2,'RES Assumptions T15'!$V$3:$W$35,2,FALSE),'COM Assumptions T15'!$E$2:$S$2,0))</f>
        <v>0.7</v>
      </c>
      <c r="AC7" s="1">
        <f ca="1">OFFSET('COM Assumptions T15'!$D7,0,MATCH(VLOOKUP('COM Assumptions'!AC$2,'RES Assumptions T15'!$V$3:$W$35,2,FALSE),'COM Assumptions T15'!$E$2:$S$2,0))</f>
        <v>0.75</v>
      </c>
      <c r="AD7" s="1">
        <f ca="1">OFFSET('COM Assumptions T15'!$D7,0,MATCH(VLOOKUP('COM Assumptions'!AD$2,'RES Assumptions T15'!$V$3:$W$35,2,FALSE),'COM Assumptions T15'!$E$2:$S$2,0))</f>
        <v>0.1</v>
      </c>
      <c r="AE7" s="1">
        <f ca="1">OFFSET('COM Assumptions T15'!$D7,0,MATCH(VLOOKUP('COM Assumptions'!AE$2,'RES Assumptions T15'!$V$3:$W$35,2,FALSE),'COM Assumptions T15'!$E$2:$S$2,0))</f>
        <v>0.3</v>
      </c>
      <c r="AF7" s="1">
        <f ca="1">OFFSET('COM Assumptions T15'!$D7,0,MATCH(VLOOKUP('COM Assumptions'!AF$2,'RES Assumptions T15'!$V$3:$W$35,2,FALSE),'COM Assumptions T15'!$E$2:$S$2,0))</f>
        <v>0.7</v>
      </c>
      <c r="AG7" s="1">
        <f ca="1">OFFSET('COM Assumptions T15'!$D7,0,MATCH(VLOOKUP('COM Assumptions'!AG$2,'RES Assumptions T15'!$V$3:$W$35,2,FALSE),'COM Assumptions T15'!$E$2:$S$2,0))</f>
        <v>0.66331084587441613</v>
      </c>
      <c r="AH7" s="1">
        <f ca="1">OFFSET('COM Assumptions T15'!$D7,0,MATCH(VLOOKUP('COM Assumptions'!AH$2,'RES Assumptions T15'!$V$3:$W$35,2,FALSE),'COM Assumptions T15'!$E$2:$S$2,0))</f>
        <v>0.66331084587441613</v>
      </c>
      <c r="AI7" s="1"/>
      <c r="AK7" s="10">
        <f ca="1">IFERROR(SUMIFS('COM balance'!E$5:E$25,'COM balance'!$D$5:$D$25,'COM Assumptions'!$A7)*E7,"")</f>
        <v>1.40335841952</v>
      </c>
      <c r="AL7" s="10">
        <f ca="1">IFERROR(SUMIFS('COM balance'!F$5:F$25,'COM balance'!$D$5:$D$25,'COM Assumptions'!$A7)*F7,"")</f>
        <v>12.448544613840001</v>
      </c>
      <c r="AM7" s="10">
        <f ca="1">IFERROR(SUMIFS('COM balance'!G$5:G$25,'COM balance'!$D$5:$D$25,'COM Assumptions'!$A7)*G7,"")</f>
        <v>2.4803884360800001</v>
      </c>
      <c r="AN7" s="10">
        <f ca="1">IFERROR(SUMIFS('COM balance'!H$5:H$25,'COM balance'!$D$5:$D$25,'COM Assumptions'!$A7)*H7,"")</f>
        <v>19.466384248800001</v>
      </c>
      <c r="AO7" s="10">
        <f ca="1">IFERROR(SUMIFS('COM balance'!I$5:I$25,'COM balance'!$D$5:$D$25,'COM Assumptions'!$A7)*I7,"")</f>
        <v>157.61885438087998</v>
      </c>
      <c r="AP7" s="10">
        <f ca="1">IFERROR(SUMIFS('COM balance'!J$5:J$25,'COM balance'!$D$5:$D$25,'COM Assumptions'!$A7)*J7,"")</f>
        <v>29.969424223200004</v>
      </c>
      <c r="AQ7" s="10">
        <f ca="1">IFERROR(SUMIFS('COM balance'!K$5:K$25,'COM balance'!$D$5:$D$25,'COM Assumptions'!$A7)*K7,"")</f>
        <v>25.365523484160001</v>
      </c>
      <c r="AR7" s="10">
        <f ca="1">IFERROR(SUMIFS('COM balance'!L$5:L$25,'COM balance'!$D$5:$D$25,'COM Assumptions'!$A7)*L7,"")</f>
        <v>0.21747578976000004</v>
      </c>
      <c r="AS7" s="10">
        <f ca="1">IFERROR(SUMIFS('COM balance'!M$5:M$25,'COM balance'!$D$5:$D$25,'COM Assumptions'!$A7)*M7,"")</f>
        <v>6.5865598790400002</v>
      </c>
      <c r="AT7" s="10">
        <f ca="1">IFERROR(SUMIFS('COM balance'!N$5:N$25,'COM balance'!$D$5:$D$25,'COM Assumptions'!$A7)*N7,"")</f>
        <v>65.475935198459993</v>
      </c>
      <c r="AU7" s="10">
        <f ca="1">IFERROR(SUMIFS('COM balance'!O$5:O$25,'COM balance'!$D$5:$D$25,'COM Assumptions'!$A7)*O7,"")</f>
        <v>14.457283749719998</v>
      </c>
      <c r="AV7" s="10">
        <f ca="1">IFERROR(SUMIFS('COM balance'!P$5:P$25,'COM balance'!$D$5:$D$25,'COM Assumptions'!$A7)*P7,"")</f>
        <v>17.507304119699999</v>
      </c>
      <c r="AW7" s="10">
        <f ca="1">IFERROR(SUMIFS('COM balance'!Q$5:Q$25,'COM balance'!$D$5:$D$25,'COM Assumptions'!$A7)*Q7,"")</f>
        <v>31.09211924868</v>
      </c>
      <c r="AX7" s="10">
        <f ca="1">IFERROR(SUMIFS('COM balance'!R$5:R$25,'COM balance'!$D$5:$D$25,'COM Assumptions'!$A7)*R7,"")</f>
        <v>5.2321510130399993</v>
      </c>
      <c r="AY7" s="10">
        <f ca="1">IFERROR(SUMIFS('COM balance'!S$5:S$25,'COM balance'!$D$5:$D$25,'COM Assumptions'!$A7)*S7,"")</f>
        <v>6.4353994425000005</v>
      </c>
      <c r="AZ7" s="10">
        <f ca="1">IFERROR(SUMIFS('COM balance'!T$5:T$25,'COM balance'!$D$5:$D$25,'COM Assumptions'!$A7)*T7,"")</f>
        <v>32.983019223839996</v>
      </c>
      <c r="BA7" s="10">
        <f ca="1">IFERROR(SUMIFS('COM balance'!U$5:U$25,'COM balance'!$D$5:$D$25,'COM Assumptions'!$A7)*U7,"")</f>
        <v>5.2493177304000005</v>
      </c>
      <c r="BB7" s="10">
        <f ca="1">IFERROR(SUMIFS('COM balance'!V$5:V$25,'COM balance'!$D$5:$D$25,'COM Assumptions'!$A7)*V7,"")</f>
        <v>59.924751490799991</v>
      </c>
      <c r="BC7" s="10">
        <f ca="1">IFERROR(SUMIFS('COM balance'!W$5:W$25,'COM balance'!$D$5:$D$25,'COM Assumptions'!$A7)*W7,"")</f>
        <v>92.017939224960003</v>
      </c>
      <c r="BD7" s="10">
        <f ca="1">IFERROR(SUMIFS('COM balance'!X$5:X$25,'COM balance'!$D$5:$D$25,'COM Assumptions'!$A7)*X7,"")</f>
        <v>0</v>
      </c>
      <c r="BE7" s="10">
        <f ca="1">IFERROR(SUMIFS('COM balance'!Y$5:Y$25,'COM balance'!$D$5:$D$25,'COM Assumptions'!$A7)*Y7,"")</f>
        <v>2.9805611486400001</v>
      </c>
      <c r="BF7" s="10">
        <f ca="1">IFERROR(SUMIFS('COM balance'!Z$5:Z$25,'COM balance'!$D$5:$D$25,'COM Assumptions'!$A7)*Z7,"")</f>
        <v>0.13349988612000002</v>
      </c>
      <c r="BG7" s="10">
        <f ca="1">IFERROR(SUMIFS('COM balance'!AA$5:AA$25,'COM balance'!$D$5:$D$25,'COM Assumptions'!$A7)*AA7,"")</f>
        <v>4.1823184492800003</v>
      </c>
      <c r="BH7" s="10">
        <f ca="1">IFERROR(SUMIFS('COM balance'!AB$5:AB$25,'COM balance'!$D$5:$D$25,'COM Assumptions'!$A7)*AB7,"")</f>
        <v>8.3197740805200002</v>
      </c>
      <c r="BI7" s="10">
        <f ca="1">IFERROR(SUMIFS('COM balance'!AC$5:AC$25,'COM balance'!$D$5:$D$25,'COM Assumptions'!$A7)*AC7,"")</f>
        <v>45.634492381500003</v>
      </c>
      <c r="BJ7" s="10">
        <f ca="1">IFERROR(SUMIFS('COM balance'!AD$5:AD$25,'COM balance'!$D$5:$D$25,'COM Assumptions'!$A7)*AD7,"")</f>
        <v>0</v>
      </c>
      <c r="BK7" s="10">
        <f ca="1">IFERROR(SUMIFS('COM balance'!AE$5:AE$25,'COM balance'!$D$5:$D$25,'COM Assumptions'!$A7)*AE7,"")</f>
        <v>0.74876061311999997</v>
      </c>
      <c r="BL7" s="10">
        <f ca="1">IFERROR(SUMIFS('COM balance'!AF$5:AF$25,'COM balance'!$D$5:$D$25,'COM Assumptions'!$A7)*AF7,"")</f>
        <v>27.082397023919999</v>
      </c>
      <c r="BM7" s="10">
        <f ca="1">IFERROR(SUMIFS('COM balance'!AG$5:AG$25,'COM balance'!$D$5:$D$25,'COM Assumptions'!$A7)*AG7,"")</f>
        <v>258.70013708616</v>
      </c>
      <c r="BN7" s="10">
        <f ca="1">IFERROR(SUMIFS('COM balance'!AH$5:AH$25,'COM balance'!$D$5:$D$25,'COM Assumptions'!$A7)*AH7,"")</f>
        <v>0</v>
      </c>
      <c r="BQ7" t="s">
        <v>32</v>
      </c>
      <c r="BS7">
        <f t="shared" ca="1" si="3"/>
        <v>1</v>
      </c>
      <c r="BT7">
        <f t="shared" ca="1" si="4"/>
        <v>1</v>
      </c>
      <c r="BU7">
        <f t="shared" ca="1" si="5"/>
        <v>1</v>
      </c>
      <c r="BV7">
        <f t="shared" ca="1" si="6"/>
        <v>1</v>
      </c>
      <c r="BW7">
        <f t="shared" ca="1" si="7"/>
        <v>1</v>
      </c>
      <c r="BX7">
        <f t="shared" ca="1" si="8"/>
        <v>1</v>
      </c>
      <c r="BY7">
        <f t="shared" ca="1" si="9"/>
        <v>1</v>
      </c>
      <c r="BZ7">
        <f t="shared" ca="1" si="10"/>
        <v>1</v>
      </c>
      <c r="CA7">
        <f t="shared" ca="1" si="11"/>
        <v>1</v>
      </c>
      <c r="CB7">
        <f t="shared" ca="1" si="12"/>
        <v>1</v>
      </c>
      <c r="CC7">
        <f t="shared" ca="1" si="13"/>
        <v>1</v>
      </c>
      <c r="CD7">
        <f t="shared" ca="1" si="14"/>
        <v>1</v>
      </c>
      <c r="CE7">
        <f t="shared" ca="1" si="15"/>
        <v>1</v>
      </c>
      <c r="CF7">
        <f t="shared" ca="1" si="16"/>
        <v>1</v>
      </c>
      <c r="CG7">
        <f t="shared" ca="1" si="17"/>
        <v>1</v>
      </c>
    </row>
    <row r="8" spans="1:85" x14ac:dyDescent="0.45">
      <c r="A8" s="8" t="str">
        <f>VLOOKUP(C8,'COM balance'!$AM$5:$AN$25,2,FALSE)</f>
        <v>COMOIL</v>
      </c>
      <c r="B8" s="36"/>
      <c r="C8" s="20" t="s">
        <v>72</v>
      </c>
      <c r="D8" s="41" t="s">
        <v>83</v>
      </c>
      <c r="E8" s="25">
        <f ca="1">OFFSET('COM Assumptions T15'!$D8,0,MATCH(VLOOKUP('COM Assumptions'!E$2,'RES Assumptions T15'!$V$3:$W$35,2,FALSE),'COM Assumptions T15'!$E$2:$S$2,0))</f>
        <v>0</v>
      </c>
      <c r="F8" s="25">
        <f ca="1">OFFSET('COM Assumptions T15'!$D8,0,MATCH(VLOOKUP('COM Assumptions'!F$2,'RES Assumptions T15'!$V$3:$W$35,2,FALSE),'COM Assumptions T15'!$E$2:$S$2,0))</f>
        <v>0</v>
      </c>
      <c r="G8" s="25">
        <f ca="1">OFFSET('COM Assumptions T15'!$D8,0,MATCH(VLOOKUP('COM Assumptions'!G$2,'RES Assumptions T15'!$V$3:$W$35,2,FALSE),'COM Assumptions T15'!$E$2:$S$2,0))</f>
        <v>0</v>
      </c>
      <c r="H8" s="25">
        <f ca="1">OFFSET('COM Assumptions T15'!$D8,0,MATCH(VLOOKUP('COM Assumptions'!H$2,'RES Assumptions T15'!$V$3:$W$35,2,FALSE),'COM Assumptions T15'!$E$2:$S$2,0))</f>
        <v>0</v>
      </c>
      <c r="I8" s="25">
        <f ca="1">OFFSET('COM Assumptions T15'!$D8,0,MATCH(VLOOKUP('COM Assumptions'!I$2,'RES Assumptions T15'!$V$3:$W$35,2,FALSE),'COM Assumptions T15'!$E$2:$S$2,0))</f>
        <v>0.03</v>
      </c>
      <c r="J8" s="25">
        <f ca="1">OFFSET('COM Assumptions T15'!$D8,0,MATCH(VLOOKUP('COM Assumptions'!J$2,'RES Assumptions T15'!$V$3:$W$35,2,FALSE),'COM Assumptions T15'!$E$2:$S$2,0))</f>
        <v>0</v>
      </c>
      <c r="K8" s="25">
        <f ca="1">OFFSET('COM Assumptions T15'!$D8,0,MATCH(VLOOKUP('COM Assumptions'!K$2,'RES Assumptions T15'!$V$3:$W$35,2,FALSE),'COM Assumptions T15'!$E$2:$S$2,0))</f>
        <v>0</v>
      </c>
      <c r="L8" s="25">
        <f ca="1">OFFSET('COM Assumptions T15'!$D8,0,MATCH(VLOOKUP('COM Assumptions'!L$2,'RES Assumptions T15'!$V$3:$W$35,2,FALSE),'COM Assumptions T15'!$E$2:$S$2,0))</f>
        <v>0</v>
      </c>
      <c r="M8" s="25">
        <f ca="1">OFFSET('COM Assumptions T15'!$D8,0,MATCH(VLOOKUP('COM Assumptions'!M$2,'RES Assumptions T15'!$V$3:$W$35,2,FALSE),'COM Assumptions T15'!$E$2:$S$2,0))</f>
        <v>0</v>
      </c>
      <c r="N8" s="25">
        <f ca="1">OFFSET('COM Assumptions T15'!$D8,0,MATCH(VLOOKUP('COM Assumptions'!N$2,'RES Assumptions T15'!$V$3:$W$35,2,FALSE),'COM Assumptions T15'!$E$2:$S$2,0))</f>
        <v>0</v>
      </c>
      <c r="O8" s="25">
        <f ca="1">OFFSET('COM Assumptions T15'!$D8,0,MATCH(VLOOKUP('COM Assumptions'!O$2,'RES Assumptions T15'!$V$3:$W$35,2,FALSE),'COM Assumptions T15'!$E$2:$S$2,0))</f>
        <v>5.0000000000000001E-3</v>
      </c>
      <c r="P8" s="1">
        <f ca="1">OFFSET('COM Assumptions T15'!$D8,0,MATCH(VLOOKUP('COM Assumptions'!P$2,'RES Assumptions T15'!$V$3:$W$35,2,FALSE),'COM Assumptions T15'!$E$2:$S$2,0))</f>
        <v>0</v>
      </c>
      <c r="Q8" s="1">
        <f ca="1">OFFSET('COM Assumptions T15'!$D8,0,MATCH(VLOOKUP('COM Assumptions'!Q$2,'RES Assumptions T15'!$V$3:$W$35,2,FALSE),'COM Assumptions T15'!$E$2:$S$2,0))</f>
        <v>5.0000000000000001E-3</v>
      </c>
      <c r="R8" s="1">
        <f ca="1">OFFSET('COM Assumptions T15'!$D8,0,MATCH(VLOOKUP('COM Assumptions'!R$2,'RES Assumptions T15'!$V$3:$W$35,2,FALSE),'COM Assumptions T15'!$E$2:$S$2,0))</f>
        <v>5.0000000000000001E-3</v>
      </c>
      <c r="S8" s="1">
        <f ca="1">OFFSET('COM Assumptions T15'!$D8,0,MATCH(VLOOKUP('COM Assumptions'!S$2,'RES Assumptions T15'!$V$3:$W$35,2,FALSE),'COM Assumptions T15'!$E$2:$S$2,0))</f>
        <v>0</v>
      </c>
      <c r="T8" s="1">
        <f ca="1">OFFSET('COM Assumptions T15'!$D8,0,MATCH(VLOOKUP('COM Assumptions'!T$2,'RES Assumptions T15'!$V$3:$W$35,2,FALSE),'COM Assumptions T15'!$E$2:$S$2,0))</f>
        <v>5.0000000000000001E-3</v>
      </c>
      <c r="U8" s="1">
        <f ca="1">OFFSET('COM Assumptions T15'!$D8,0,MATCH(VLOOKUP('COM Assumptions'!U$2,'RES Assumptions T15'!$V$3:$W$35,2,FALSE),'COM Assumptions T15'!$E$2:$S$2,0))</f>
        <v>0</v>
      </c>
      <c r="V8" s="1">
        <f ca="1">OFFSET('COM Assumptions T15'!$D8,0,MATCH(VLOOKUP('COM Assumptions'!V$2,'RES Assumptions T15'!$V$3:$W$35,2,FALSE),'COM Assumptions T15'!$E$2:$S$2,0))</f>
        <v>5.0000000000000001E-3</v>
      </c>
      <c r="W8" s="1">
        <f ca="1">OFFSET('COM Assumptions T15'!$D8,0,MATCH(VLOOKUP('COM Assumptions'!W$2,'RES Assumptions T15'!$V$3:$W$35,2,FALSE),'COM Assumptions T15'!$E$2:$S$2,0))</f>
        <v>5.0000000000000001E-3</v>
      </c>
      <c r="X8" s="1">
        <f ca="1">OFFSET('COM Assumptions T15'!$D8,0,MATCH(VLOOKUP('COM Assumptions'!X$2,'RES Assumptions T15'!$V$3:$W$35,2,FALSE),'COM Assumptions T15'!$E$2:$S$2,0))</f>
        <v>0</v>
      </c>
      <c r="Y8" s="1">
        <f ca="1">OFFSET('COM Assumptions T15'!$D8,0,MATCH(VLOOKUP('COM Assumptions'!Y$2,'RES Assumptions T15'!$V$3:$W$35,2,FALSE),'COM Assumptions T15'!$E$2:$S$2,0))</f>
        <v>0</v>
      </c>
      <c r="Z8" s="1">
        <f ca="1">OFFSET('COM Assumptions T15'!$D8,0,MATCH(VLOOKUP('COM Assumptions'!Z$2,'RES Assumptions T15'!$V$3:$W$35,2,FALSE),'COM Assumptions T15'!$E$2:$S$2,0))</f>
        <v>0</v>
      </c>
      <c r="AA8" s="1">
        <f ca="1">OFFSET('COM Assumptions T15'!$D8,0,MATCH(VLOOKUP('COM Assumptions'!AA$2,'RES Assumptions T15'!$V$3:$W$35,2,FALSE),'COM Assumptions T15'!$E$2:$S$2,0))</f>
        <v>0</v>
      </c>
      <c r="AB8" s="1">
        <f ca="1">OFFSET('COM Assumptions T15'!$D8,0,MATCH(VLOOKUP('COM Assumptions'!AB$2,'RES Assumptions T15'!$V$3:$W$35,2,FALSE),'COM Assumptions T15'!$E$2:$S$2,0))</f>
        <v>5.0000000000000001E-3</v>
      </c>
      <c r="AC8" s="1">
        <f ca="1">OFFSET('COM Assumptions T15'!$D8,0,MATCH(VLOOKUP('COM Assumptions'!AC$2,'RES Assumptions T15'!$V$3:$W$35,2,FALSE),'COM Assumptions T15'!$E$2:$S$2,0))</f>
        <v>0</v>
      </c>
      <c r="AD8" s="1">
        <f ca="1">OFFSET('COM Assumptions T15'!$D8,0,MATCH(VLOOKUP('COM Assumptions'!AD$2,'RES Assumptions T15'!$V$3:$W$35,2,FALSE),'COM Assumptions T15'!$E$2:$S$2,0))</f>
        <v>0</v>
      </c>
      <c r="AE8" s="1">
        <f ca="1">OFFSET('COM Assumptions T15'!$D8,0,MATCH(VLOOKUP('COM Assumptions'!AE$2,'RES Assumptions T15'!$V$3:$W$35,2,FALSE),'COM Assumptions T15'!$E$2:$S$2,0))</f>
        <v>0</v>
      </c>
      <c r="AF8" s="1">
        <f ca="1">OFFSET('COM Assumptions T15'!$D8,0,MATCH(VLOOKUP('COM Assumptions'!AF$2,'RES Assumptions T15'!$V$3:$W$35,2,FALSE),'COM Assumptions T15'!$E$2:$S$2,0))</f>
        <v>5.0000000000000001E-3</v>
      </c>
      <c r="AG8" s="1">
        <f ca="1">OFFSET('COM Assumptions T15'!$D8,0,MATCH(VLOOKUP('COM Assumptions'!AG$2,'RES Assumptions T15'!$V$3:$W$35,2,FALSE),'COM Assumptions T15'!$E$2:$S$2,0))</f>
        <v>1.6545071583381665E-3</v>
      </c>
      <c r="AH8" s="1">
        <f ca="1">OFFSET('COM Assumptions T15'!$D8,0,MATCH(VLOOKUP('COM Assumptions'!AH$2,'RES Assumptions T15'!$V$3:$W$35,2,FALSE),'COM Assumptions T15'!$E$2:$S$2,0))</f>
        <v>1.6545071583381665E-3</v>
      </c>
      <c r="AI8" s="1"/>
      <c r="AK8" s="10">
        <f ca="1">IFERROR(SUMIFS('COM balance'!E$5:E$25,'COM balance'!$D$5:$D$25,'COM Assumptions'!$A8)*E8,"")</f>
        <v>0</v>
      </c>
      <c r="AL8" s="10">
        <f ca="1">IFERROR(SUMIFS('COM balance'!F$5:F$25,'COM balance'!$D$5:$D$25,'COM Assumptions'!$A8)*F8,"")</f>
        <v>0</v>
      </c>
      <c r="AM8" s="10">
        <f ca="1">IFERROR(SUMIFS('COM balance'!G$5:G$25,'COM balance'!$D$5:$D$25,'COM Assumptions'!$A8)*G8,"")</f>
        <v>0</v>
      </c>
      <c r="AN8" s="10">
        <f ca="1">IFERROR(SUMIFS('COM balance'!H$5:H$25,'COM balance'!$D$5:$D$25,'COM Assumptions'!$A8)*H8,"")</f>
        <v>0</v>
      </c>
      <c r="AO8" s="10">
        <f ca="1">IFERROR(SUMIFS('COM balance'!I$5:I$25,'COM balance'!$D$5:$D$25,'COM Assumptions'!$A8)*I8,"")</f>
        <v>7.8809427190439996</v>
      </c>
      <c r="AP8" s="10">
        <f ca="1">IFERROR(SUMIFS('COM balance'!J$5:J$25,'COM balance'!$D$5:$D$25,'COM Assumptions'!$A8)*J8,"")</f>
        <v>0</v>
      </c>
      <c r="AQ8" s="10">
        <f ca="1">IFERROR(SUMIFS('COM balance'!K$5:K$25,'COM balance'!$D$5:$D$25,'COM Assumptions'!$A8)*K8,"")</f>
        <v>0</v>
      </c>
      <c r="AR8" s="10">
        <f ca="1">IFERROR(SUMIFS('COM balance'!L$5:L$25,'COM balance'!$D$5:$D$25,'COM Assumptions'!$A8)*L8,"")</f>
        <v>0</v>
      </c>
      <c r="AS8" s="10">
        <f ca="1">IFERROR(SUMIFS('COM balance'!M$5:M$25,'COM balance'!$D$5:$D$25,'COM Assumptions'!$A8)*M8,"")</f>
        <v>0</v>
      </c>
      <c r="AT8" s="10">
        <f ca="1">IFERROR(SUMIFS('COM balance'!N$5:N$25,'COM balance'!$D$5:$D$25,'COM Assumptions'!$A8)*N8,"")</f>
        <v>0</v>
      </c>
      <c r="AU8" s="10">
        <f ca="1">IFERROR(SUMIFS('COM balance'!O$5:O$25,'COM balance'!$D$5:$D$25,'COM Assumptions'!$A8)*O8,"")</f>
        <v>0.103266312498</v>
      </c>
      <c r="AV8" s="10">
        <f ca="1">IFERROR(SUMIFS('COM balance'!P$5:P$25,'COM balance'!$D$5:$D$25,'COM Assumptions'!$A8)*P8,"")</f>
        <v>0</v>
      </c>
      <c r="AW8" s="10">
        <f ca="1">IFERROR(SUMIFS('COM balance'!Q$5:Q$25,'COM balance'!$D$5:$D$25,'COM Assumptions'!$A8)*Q8,"")</f>
        <v>0.22208656606200003</v>
      </c>
      <c r="AX8" s="10">
        <f ca="1">IFERROR(SUMIFS('COM balance'!R$5:R$25,'COM balance'!$D$5:$D$25,'COM Assumptions'!$A8)*R8,"")</f>
        <v>3.7372507235999997E-2</v>
      </c>
      <c r="AY8" s="10">
        <f ca="1">IFERROR(SUMIFS('COM balance'!S$5:S$25,'COM balance'!$D$5:$D$25,'COM Assumptions'!$A8)*S8,"")</f>
        <v>0</v>
      </c>
      <c r="AZ8" s="10">
        <f ca="1">IFERROR(SUMIFS('COM balance'!T$5:T$25,'COM balance'!$D$5:$D$25,'COM Assumptions'!$A8)*T8,"")</f>
        <v>0.23559299445600002</v>
      </c>
      <c r="BA8" s="10">
        <f ca="1">IFERROR(SUMIFS('COM balance'!U$5:U$25,'COM balance'!$D$5:$D$25,'COM Assumptions'!$A8)*U8,"")</f>
        <v>0</v>
      </c>
      <c r="BB8" s="10">
        <f ca="1">IFERROR(SUMIFS('COM balance'!V$5:V$25,'COM balance'!$D$5:$D$25,'COM Assumptions'!$A8)*V8,"")</f>
        <v>0.42803393921999999</v>
      </c>
      <c r="BC8" s="10">
        <f ca="1">IFERROR(SUMIFS('COM balance'!W$5:W$25,'COM balance'!$D$5:$D$25,'COM Assumptions'!$A8)*W8,"")</f>
        <v>0.65727099446400006</v>
      </c>
      <c r="BD8" s="10">
        <f ca="1">IFERROR(SUMIFS('COM balance'!X$5:X$25,'COM balance'!$D$5:$D$25,'COM Assumptions'!$A8)*X8,"")</f>
        <v>0</v>
      </c>
      <c r="BE8" s="10">
        <f ca="1">IFERROR(SUMIFS('COM balance'!Y$5:Y$25,'COM balance'!$D$5:$D$25,'COM Assumptions'!$A8)*Y8,"")</f>
        <v>0</v>
      </c>
      <c r="BF8" s="10">
        <f ca="1">IFERROR(SUMIFS('COM balance'!Z$5:Z$25,'COM balance'!$D$5:$D$25,'COM Assumptions'!$A8)*Z8,"")</f>
        <v>0</v>
      </c>
      <c r="BG8" s="10">
        <f ca="1">IFERROR(SUMIFS('COM balance'!AA$5:AA$25,'COM balance'!$D$5:$D$25,'COM Assumptions'!$A8)*AA8,"")</f>
        <v>0</v>
      </c>
      <c r="BH8" s="10">
        <f ca="1">IFERROR(SUMIFS('COM balance'!AB$5:AB$25,'COM balance'!$D$5:$D$25,'COM Assumptions'!$A8)*AB8,"")</f>
        <v>5.9426957718000002E-2</v>
      </c>
      <c r="BI8" s="10">
        <f ca="1">IFERROR(SUMIFS('COM balance'!AC$5:AC$25,'COM balance'!$D$5:$D$25,'COM Assumptions'!$A8)*AC8,"")</f>
        <v>0</v>
      </c>
      <c r="BJ8" s="10">
        <f ca="1">IFERROR(SUMIFS('COM balance'!AD$5:AD$25,'COM balance'!$D$5:$D$25,'COM Assumptions'!$A8)*AD8,"")</f>
        <v>0</v>
      </c>
      <c r="BK8" s="10">
        <f ca="1">IFERROR(SUMIFS('COM balance'!AE$5:AE$25,'COM balance'!$D$5:$D$25,'COM Assumptions'!$A8)*AE8,"")</f>
        <v>0</v>
      </c>
      <c r="BL8" s="10">
        <f ca="1">IFERROR(SUMIFS('COM balance'!AF$5:AF$25,'COM balance'!$D$5:$D$25,'COM Assumptions'!$A8)*AF8,"")</f>
        <v>0.19344569302799999</v>
      </c>
      <c r="BM8" s="10">
        <f ca="1">IFERROR(SUMIFS('COM balance'!AG$5:AG$25,'COM balance'!$D$5:$D$25,'COM Assumptions'!$A8)*AG8,"")</f>
        <v>0.64528000911529415</v>
      </c>
      <c r="BN8" s="10">
        <f ca="1">IFERROR(SUMIFS('COM balance'!AH$5:AH$25,'COM balance'!$D$5:$D$25,'COM Assumptions'!$A8)*AH8,"")</f>
        <v>0</v>
      </c>
      <c r="BQ8" t="s">
        <v>75</v>
      </c>
      <c r="BS8">
        <f t="shared" ca="1" si="3"/>
        <v>1</v>
      </c>
      <c r="BT8">
        <f t="shared" ca="1" si="4"/>
        <v>1</v>
      </c>
      <c r="BU8">
        <f t="shared" ca="1" si="5"/>
        <v>1</v>
      </c>
      <c r="BV8">
        <f t="shared" ca="1" si="6"/>
        <v>1</v>
      </c>
      <c r="BW8">
        <f t="shared" ca="1" si="7"/>
        <v>1</v>
      </c>
      <c r="BX8">
        <f t="shared" ca="1" si="8"/>
        <v>1</v>
      </c>
      <c r="BY8">
        <f t="shared" ca="1" si="9"/>
        <v>1</v>
      </c>
      <c r="BZ8">
        <f t="shared" ca="1" si="10"/>
        <v>1</v>
      </c>
      <c r="CA8">
        <f t="shared" ca="1" si="11"/>
        <v>1</v>
      </c>
      <c r="CB8">
        <f t="shared" ca="1" si="12"/>
        <v>1</v>
      </c>
      <c r="CC8">
        <f t="shared" ca="1" si="13"/>
        <v>1</v>
      </c>
      <c r="CD8">
        <f t="shared" ca="1" si="14"/>
        <v>1</v>
      </c>
      <c r="CE8">
        <f t="shared" ca="1" si="15"/>
        <v>1</v>
      </c>
      <c r="CF8">
        <f t="shared" ca="1" si="16"/>
        <v>1</v>
      </c>
      <c r="CG8">
        <f t="shared" ca="1" si="17"/>
        <v>1</v>
      </c>
    </row>
    <row r="9" spans="1:85" x14ac:dyDescent="0.45">
      <c r="A9" s="8" t="str">
        <f>VLOOKUP(C9,'COM balance'!$AM$5:$AN$25,2,FALSE)</f>
        <v>COMOIL</v>
      </c>
      <c r="B9" s="36"/>
      <c r="C9" s="20" t="s">
        <v>72</v>
      </c>
      <c r="D9" s="41" t="s">
        <v>84</v>
      </c>
      <c r="E9" s="25">
        <f ca="1">OFFSET('COM Assumptions T15'!$D9,0,MATCH(VLOOKUP('COM Assumptions'!E$2,'RES Assumptions T15'!$V$3:$W$35,2,FALSE),'COM Assumptions T15'!$E$2:$S$2,0))</f>
        <v>0.7</v>
      </c>
      <c r="F9" s="25">
        <f ca="1">OFFSET('COM Assumptions T15'!$D9,0,MATCH(VLOOKUP('COM Assumptions'!F$2,'RES Assumptions T15'!$V$3:$W$35,2,FALSE),'COM Assumptions T15'!$E$2:$S$2,0))</f>
        <v>0.7</v>
      </c>
      <c r="G9" s="25">
        <f ca="1">OFFSET('COM Assumptions T15'!$D9,0,MATCH(VLOOKUP('COM Assumptions'!G$2,'RES Assumptions T15'!$V$3:$W$35,2,FALSE),'COM Assumptions T15'!$E$2:$S$2,0))</f>
        <v>0.4</v>
      </c>
      <c r="H9" s="25">
        <f ca="1">OFFSET('COM Assumptions T15'!$D9,0,MATCH(VLOOKUP('COM Assumptions'!H$2,'RES Assumptions T15'!$V$3:$W$35,2,FALSE),'COM Assumptions T15'!$E$2:$S$2,0))</f>
        <v>0.25</v>
      </c>
      <c r="I9" s="25">
        <f ca="1">OFFSET('COM Assumptions T15'!$D9,0,MATCH(VLOOKUP('COM Assumptions'!I$2,'RES Assumptions T15'!$V$3:$W$35,2,FALSE),'COM Assumptions T15'!$E$2:$S$2,0))</f>
        <v>0.37</v>
      </c>
      <c r="J9" s="25">
        <f ca="1">OFFSET('COM Assumptions T15'!$D9,0,MATCH(VLOOKUP('COM Assumptions'!J$2,'RES Assumptions T15'!$V$3:$W$35,2,FALSE),'COM Assumptions T15'!$E$2:$S$2,0))</f>
        <v>0.5</v>
      </c>
      <c r="K9" s="25">
        <f ca="1">OFFSET('COM Assumptions T15'!$D9,0,MATCH(VLOOKUP('COM Assumptions'!K$2,'RES Assumptions T15'!$V$3:$W$35,2,FALSE),'COM Assumptions T15'!$E$2:$S$2,0))</f>
        <v>0.2</v>
      </c>
      <c r="L9" s="25">
        <f ca="1">OFFSET('COM Assumptions T15'!$D9,0,MATCH(VLOOKUP('COM Assumptions'!L$2,'RES Assumptions T15'!$V$3:$W$35,2,FALSE),'COM Assumptions T15'!$E$2:$S$2,0))</f>
        <v>0.4</v>
      </c>
      <c r="M9" s="25">
        <f ca="1">OFFSET('COM Assumptions T15'!$D9,0,MATCH(VLOOKUP('COM Assumptions'!M$2,'RES Assumptions T15'!$V$3:$W$35,2,FALSE),'COM Assumptions T15'!$E$2:$S$2,0))</f>
        <v>0.2</v>
      </c>
      <c r="N9" s="25">
        <f ca="1">OFFSET('COM Assumptions T15'!$D9,0,MATCH(VLOOKUP('COM Assumptions'!N$2,'RES Assumptions T15'!$V$3:$W$35,2,FALSE),'COM Assumptions T15'!$E$2:$S$2,0))</f>
        <v>0.35</v>
      </c>
      <c r="O9" s="25">
        <f ca="1">OFFSET('COM Assumptions T15'!$D9,0,MATCH(VLOOKUP('COM Assumptions'!O$2,'RES Assumptions T15'!$V$3:$W$35,2,FALSE),'COM Assumptions T15'!$E$2:$S$2,0))</f>
        <v>0.29499999999999998</v>
      </c>
      <c r="P9" s="1">
        <f ca="1">OFFSET('COM Assumptions T15'!$D9,0,MATCH(VLOOKUP('COM Assumptions'!P$2,'RES Assumptions T15'!$V$3:$W$35,2,FALSE),'COM Assumptions T15'!$E$2:$S$2,0))</f>
        <v>0.25</v>
      </c>
      <c r="Q9" s="1">
        <f ca="1">OFFSET('COM Assumptions T15'!$D9,0,MATCH(VLOOKUP('COM Assumptions'!Q$2,'RES Assumptions T15'!$V$3:$W$35,2,FALSE),'COM Assumptions T15'!$E$2:$S$2,0))</f>
        <v>0.29499999999999998</v>
      </c>
      <c r="R9" s="1">
        <f ca="1">OFFSET('COM Assumptions T15'!$D9,0,MATCH(VLOOKUP('COM Assumptions'!R$2,'RES Assumptions T15'!$V$3:$W$35,2,FALSE),'COM Assumptions T15'!$E$2:$S$2,0))</f>
        <v>0.29499999999999998</v>
      </c>
      <c r="S9" s="1">
        <f ca="1">OFFSET('COM Assumptions T15'!$D9,0,MATCH(VLOOKUP('COM Assumptions'!S$2,'RES Assumptions T15'!$V$3:$W$35,2,FALSE),'COM Assumptions T15'!$E$2:$S$2,0))</f>
        <v>0.25</v>
      </c>
      <c r="T9" s="1">
        <f ca="1">OFFSET('COM Assumptions T15'!$D9,0,MATCH(VLOOKUP('COM Assumptions'!T$2,'RES Assumptions T15'!$V$3:$W$35,2,FALSE),'COM Assumptions T15'!$E$2:$S$2,0))</f>
        <v>0.29499999999999998</v>
      </c>
      <c r="U9" s="1">
        <f ca="1">OFFSET('COM Assumptions T15'!$D9,0,MATCH(VLOOKUP('COM Assumptions'!U$2,'RES Assumptions T15'!$V$3:$W$35,2,FALSE),'COM Assumptions T15'!$E$2:$S$2,0))</f>
        <v>0.3</v>
      </c>
      <c r="V9" s="1">
        <f ca="1">OFFSET('COM Assumptions T15'!$D9,0,MATCH(VLOOKUP('COM Assumptions'!V$2,'RES Assumptions T15'!$V$3:$W$35,2,FALSE),'COM Assumptions T15'!$E$2:$S$2,0))</f>
        <v>0.29499999999999998</v>
      </c>
      <c r="W9" s="1">
        <f ca="1">OFFSET('COM Assumptions T15'!$D9,0,MATCH(VLOOKUP('COM Assumptions'!W$2,'RES Assumptions T15'!$V$3:$W$35,2,FALSE),'COM Assumptions T15'!$E$2:$S$2,0))</f>
        <v>0.29499999999999998</v>
      </c>
      <c r="X9" s="1">
        <f ca="1">OFFSET('COM Assumptions T15'!$D9,0,MATCH(VLOOKUP('COM Assumptions'!X$2,'RES Assumptions T15'!$V$3:$W$35,2,FALSE),'COM Assumptions T15'!$E$2:$S$2,0))</f>
        <v>0.4</v>
      </c>
      <c r="Y9" s="1">
        <f ca="1">OFFSET('COM Assumptions T15'!$D9,0,MATCH(VLOOKUP('COM Assumptions'!Y$2,'RES Assumptions T15'!$V$3:$W$35,2,FALSE),'COM Assumptions T15'!$E$2:$S$2,0))</f>
        <v>0.4</v>
      </c>
      <c r="Z9" s="1">
        <f ca="1">OFFSET('COM Assumptions T15'!$D9,0,MATCH(VLOOKUP('COM Assumptions'!Z$2,'RES Assumptions T15'!$V$3:$W$35,2,FALSE),'COM Assumptions T15'!$E$2:$S$2,0))</f>
        <v>0.3</v>
      </c>
      <c r="AA9" s="1">
        <f ca="1">OFFSET('COM Assumptions T15'!$D9,0,MATCH(VLOOKUP('COM Assumptions'!AA$2,'RES Assumptions T15'!$V$3:$W$35,2,FALSE),'COM Assumptions T15'!$E$2:$S$2,0))</f>
        <v>0.3</v>
      </c>
      <c r="AB9" s="1">
        <f ca="1">OFFSET('COM Assumptions T15'!$D9,0,MATCH(VLOOKUP('COM Assumptions'!AB$2,'RES Assumptions T15'!$V$3:$W$35,2,FALSE),'COM Assumptions T15'!$E$2:$S$2,0))</f>
        <v>0.29499999999999998</v>
      </c>
      <c r="AC9" s="1">
        <f ca="1">OFFSET('COM Assumptions T15'!$D9,0,MATCH(VLOOKUP('COM Assumptions'!AC$2,'RES Assumptions T15'!$V$3:$W$35,2,FALSE),'COM Assumptions T15'!$E$2:$S$2,0))</f>
        <v>0.25</v>
      </c>
      <c r="AD9" s="1">
        <f ca="1">OFFSET('COM Assumptions T15'!$D9,0,MATCH(VLOOKUP('COM Assumptions'!AD$2,'RES Assumptions T15'!$V$3:$W$35,2,FALSE),'COM Assumptions T15'!$E$2:$S$2,0))</f>
        <v>0.3</v>
      </c>
      <c r="AE9" s="1">
        <f ca="1">OFFSET('COM Assumptions T15'!$D9,0,MATCH(VLOOKUP('COM Assumptions'!AE$2,'RES Assumptions T15'!$V$3:$W$35,2,FALSE),'COM Assumptions T15'!$E$2:$S$2,0))</f>
        <v>0.7</v>
      </c>
      <c r="AF9" s="1">
        <f ca="1">OFFSET('COM Assumptions T15'!$D9,0,MATCH(VLOOKUP('COM Assumptions'!AF$2,'RES Assumptions T15'!$V$3:$W$35,2,FALSE),'COM Assumptions T15'!$E$2:$S$2,0))</f>
        <v>0.29499999999999998</v>
      </c>
      <c r="AG9" s="1">
        <f ca="1">OFFSET('COM Assumptions T15'!$D9,0,MATCH(VLOOKUP('COM Assumptions'!AG$2,'RES Assumptions T15'!$V$3:$W$35,2,FALSE),'COM Assumptions T15'!$E$2:$S$2,0))</f>
        <v>0.26609786623523307</v>
      </c>
      <c r="AH9" s="1">
        <f ca="1">OFFSET('COM Assumptions T15'!$D9,0,MATCH(VLOOKUP('COM Assumptions'!AH$2,'RES Assumptions T15'!$V$3:$W$35,2,FALSE),'COM Assumptions T15'!$E$2:$S$2,0))</f>
        <v>0.26609786623523307</v>
      </c>
      <c r="AI9" s="1"/>
      <c r="AK9" s="10">
        <f ca="1">IFERROR(SUMIFS('COM balance'!E$5:E$25,'COM balance'!$D$5:$D$25,'COM Assumptions'!$A9)*E9,"")</f>
        <v>3.2745029788799997</v>
      </c>
      <c r="AL9" s="10">
        <f ca="1">IFERROR(SUMIFS('COM balance'!F$5:F$25,'COM balance'!$D$5:$D$25,'COM Assumptions'!$A9)*F9,"")</f>
        <v>29.04660409896</v>
      </c>
      <c r="AM9" s="10">
        <f ca="1">IFERROR(SUMIFS('COM balance'!G$5:G$25,'COM balance'!$D$5:$D$25,'COM Assumptions'!$A9)*G9,"")</f>
        <v>9.9215537443200006</v>
      </c>
      <c r="AN9" s="10">
        <f ca="1">IFERROR(SUMIFS('COM balance'!H$5:H$25,'COM balance'!$D$5:$D$25,'COM Assumptions'!$A9)*H9,"")</f>
        <v>6.4887947496000002</v>
      </c>
      <c r="AO9" s="10">
        <f ca="1">IFERROR(SUMIFS('COM balance'!I$5:I$25,'COM balance'!$D$5:$D$25,'COM Assumptions'!$A9)*I9,"")</f>
        <v>97.198293534876001</v>
      </c>
      <c r="AP9" s="10">
        <f ca="1">IFERROR(SUMIFS('COM balance'!J$5:J$25,'COM balance'!$D$5:$D$25,'COM Assumptions'!$A9)*J9,"")</f>
        <v>74.923560558000005</v>
      </c>
      <c r="AQ9" s="10">
        <f ca="1">IFERROR(SUMIFS('COM balance'!K$5:K$25,'COM balance'!$D$5:$D$25,'COM Assumptions'!$A9)*K9,"")</f>
        <v>6.3413808710400001</v>
      </c>
      <c r="AR9" s="10">
        <f ca="1">IFERROR(SUMIFS('COM balance'!L$5:L$25,'COM balance'!$D$5:$D$25,'COM Assumptions'!$A9)*L9,"")</f>
        <v>0.86990315904000015</v>
      </c>
      <c r="AS9" s="10">
        <f ca="1">IFERROR(SUMIFS('COM balance'!M$5:M$25,'COM balance'!$D$5:$D$25,'COM Assumptions'!$A9)*M9,"")</f>
        <v>1.64663996976</v>
      </c>
      <c r="AT9" s="10">
        <f ca="1">IFERROR(SUMIFS('COM balance'!N$5:N$25,'COM balance'!$D$5:$D$25,'COM Assumptions'!$A9)*N9,"")</f>
        <v>152.77718212974</v>
      </c>
      <c r="AU9" s="10">
        <f ca="1">IFERROR(SUMIFS('COM balance'!O$5:O$25,'COM balance'!$D$5:$D$25,'COM Assumptions'!$A9)*O9,"")</f>
        <v>6.0927124373819996</v>
      </c>
      <c r="AV9" s="10">
        <f ca="1">IFERROR(SUMIFS('COM balance'!P$5:P$25,'COM balance'!$D$5:$D$25,'COM Assumptions'!$A9)*P9,"")</f>
        <v>5.8357680398999996</v>
      </c>
      <c r="AW9" s="10">
        <f ca="1">IFERROR(SUMIFS('COM balance'!Q$5:Q$25,'COM balance'!$D$5:$D$25,'COM Assumptions'!$A9)*Q9,"")</f>
        <v>13.103107397658</v>
      </c>
      <c r="AX9" s="10">
        <f ca="1">IFERROR(SUMIFS('COM balance'!R$5:R$25,'COM balance'!$D$5:$D$25,'COM Assumptions'!$A9)*R9,"")</f>
        <v>2.2049779269239997</v>
      </c>
      <c r="AY9" s="10">
        <f ca="1">IFERROR(SUMIFS('COM balance'!S$5:S$25,'COM balance'!$D$5:$D$25,'COM Assumptions'!$A9)*S9,"")</f>
        <v>2.1451331475000002</v>
      </c>
      <c r="AZ9" s="10">
        <f ca="1">IFERROR(SUMIFS('COM balance'!T$5:T$25,'COM balance'!$D$5:$D$25,'COM Assumptions'!$A9)*T9,"")</f>
        <v>13.899986672903999</v>
      </c>
      <c r="BA9" s="10">
        <f ca="1">IFERROR(SUMIFS('COM balance'!U$5:U$25,'COM balance'!$D$5:$D$25,'COM Assumptions'!$A9)*U9,"")</f>
        <v>15.747953191199999</v>
      </c>
      <c r="BB9" s="10">
        <f ca="1">IFERROR(SUMIFS('COM balance'!V$5:V$25,'COM balance'!$D$5:$D$25,'COM Assumptions'!$A9)*V9,"")</f>
        <v>25.254002413979997</v>
      </c>
      <c r="BC9" s="10">
        <f ca="1">IFERROR(SUMIFS('COM balance'!W$5:W$25,'COM balance'!$D$5:$D$25,'COM Assumptions'!$A9)*W9,"")</f>
        <v>38.778988673375999</v>
      </c>
      <c r="BD9" s="10">
        <f ca="1">IFERROR(SUMIFS('COM balance'!X$5:X$25,'COM balance'!$D$5:$D$25,'COM Assumptions'!$A9)*X9,"")</f>
        <v>0</v>
      </c>
      <c r="BE9" s="10">
        <f ca="1">IFERROR(SUMIFS('COM balance'!Y$5:Y$25,'COM balance'!$D$5:$D$25,'COM Assumptions'!$A9)*Y9,"")</f>
        <v>11.92224459456</v>
      </c>
      <c r="BF9" s="10">
        <f ca="1">IFERROR(SUMIFS('COM balance'!Z$5:Z$25,'COM balance'!$D$5:$D$25,'COM Assumptions'!$A9)*Z9,"")</f>
        <v>0.40049965836000001</v>
      </c>
      <c r="BG9" s="10">
        <f ca="1">IFERROR(SUMIFS('COM balance'!AA$5:AA$25,'COM balance'!$D$5:$D$25,'COM Assumptions'!$A9)*AA9,"")</f>
        <v>12.546955347840001</v>
      </c>
      <c r="BH9" s="10">
        <f ca="1">IFERROR(SUMIFS('COM balance'!AB$5:AB$25,'COM balance'!$D$5:$D$25,'COM Assumptions'!$A9)*AB9,"")</f>
        <v>3.5061905053619999</v>
      </c>
      <c r="BI9" s="10">
        <f ca="1">IFERROR(SUMIFS('COM balance'!AC$5:AC$25,'COM balance'!$D$5:$D$25,'COM Assumptions'!$A9)*AC9,"")</f>
        <v>15.2114974605</v>
      </c>
      <c r="BJ9" s="10">
        <f ca="1">IFERROR(SUMIFS('COM balance'!AD$5:AD$25,'COM balance'!$D$5:$D$25,'COM Assumptions'!$A9)*AD9,"")</f>
        <v>0</v>
      </c>
      <c r="BK9" s="10">
        <f ca="1">IFERROR(SUMIFS('COM balance'!AE$5:AE$25,'COM balance'!$D$5:$D$25,'COM Assumptions'!$A9)*AE9,"")</f>
        <v>1.7471080972799999</v>
      </c>
      <c r="BL9" s="10">
        <f ca="1">IFERROR(SUMIFS('COM balance'!AF$5:AF$25,'COM balance'!$D$5:$D$25,'COM Assumptions'!$A9)*AF9,"")</f>
        <v>11.413295888652</v>
      </c>
      <c r="BM9" s="10">
        <f ca="1">IFERROR(SUMIFS('COM balance'!AG$5:AG$25,'COM balance'!$D$5:$D$25,'COM Assumptions'!$A9)*AG9,"")</f>
        <v>103.78174109702825</v>
      </c>
      <c r="BN9" s="10">
        <f ca="1">IFERROR(SUMIFS('COM balance'!AH$5:AH$25,'COM balance'!$D$5:$D$25,'COM Assumptions'!$A9)*AH9,"")</f>
        <v>0</v>
      </c>
      <c r="BQ9" t="s">
        <v>76</v>
      </c>
      <c r="BS9">
        <f t="shared" ca="1" si="3"/>
        <v>1</v>
      </c>
      <c r="BT9">
        <f t="shared" ca="1" si="4"/>
        <v>1</v>
      </c>
      <c r="BU9">
        <f t="shared" ca="1" si="5"/>
        <v>1</v>
      </c>
      <c r="BV9">
        <f t="shared" ca="1" si="6"/>
        <v>1</v>
      </c>
      <c r="BW9">
        <f t="shared" ca="1" si="7"/>
        <v>1</v>
      </c>
      <c r="BX9">
        <f t="shared" ca="1" si="8"/>
        <v>1</v>
      </c>
      <c r="BY9">
        <f t="shared" ca="1" si="9"/>
        <v>1</v>
      </c>
      <c r="BZ9">
        <f t="shared" ca="1" si="10"/>
        <v>1</v>
      </c>
      <c r="CA9">
        <f t="shared" ca="1" si="11"/>
        <v>1</v>
      </c>
      <c r="CB9">
        <f t="shared" ca="1" si="12"/>
        <v>0.99999999999999989</v>
      </c>
      <c r="CC9">
        <f t="shared" ca="1" si="13"/>
        <v>1</v>
      </c>
      <c r="CD9">
        <f t="shared" ca="1" si="14"/>
        <v>1</v>
      </c>
      <c r="CE9">
        <f t="shared" ca="1" si="15"/>
        <v>1</v>
      </c>
      <c r="CF9">
        <f t="shared" ca="1" si="16"/>
        <v>1</v>
      </c>
      <c r="CG9">
        <f t="shared" ca="1" si="17"/>
        <v>1</v>
      </c>
    </row>
    <row r="10" spans="1:85" x14ac:dyDescent="0.45">
      <c r="A10" s="8" t="str">
        <f>VLOOKUP(C10,'COM balance'!$AM$5:$AN$25,2,FALSE)</f>
        <v>COMOIL</v>
      </c>
      <c r="B10" s="36"/>
      <c r="C10" s="20" t="s">
        <v>72</v>
      </c>
      <c r="D10" s="41" t="s">
        <v>86</v>
      </c>
      <c r="E10" s="25">
        <f ca="1">OFFSET('COM Assumptions T15'!$D10,0,MATCH(VLOOKUP('COM Assumptions'!E$2,'RES Assumptions T15'!$V$3:$W$35,2,FALSE),'COM Assumptions T15'!$E$2:$S$2,0))</f>
        <v>0</v>
      </c>
      <c r="F10" s="25">
        <f ca="1">OFFSET('COM Assumptions T15'!$D10,0,MATCH(VLOOKUP('COM Assumptions'!F$2,'RES Assumptions T15'!$V$3:$W$35,2,FALSE),'COM Assumptions T15'!$E$2:$S$2,0))</f>
        <v>0</v>
      </c>
      <c r="G10" s="25">
        <f ca="1">OFFSET('COM Assumptions T15'!$D10,0,MATCH(VLOOKUP('COM Assumptions'!G$2,'RES Assumptions T15'!$V$3:$W$35,2,FALSE),'COM Assumptions T15'!$E$2:$S$2,0))</f>
        <v>0.5</v>
      </c>
      <c r="H10" s="25">
        <f ca="1">OFFSET('COM Assumptions T15'!$D10,0,MATCH(VLOOKUP('COM Assumptions'!H$2,'RES Assumptions T15'!$V$3:$W$35,2,FALSE),'COM Assumptions T15'!$E$2:$S$2,0))</f>
        <v>0</v>
      </c>
      <c r="I10" s="25">
        <f ca="1">OFFSET('COM Assumptions T15'!$D10,0,MATCH(VLOOKUP('COM Assumptions'!I$2,'RES Assumptions T15'!$V$3:$W$35,2,FALSE),'COM Assumptions T15'!$E$2:$S$2,0))</f>
        <v>0</v>
      </c>
      <c r="J10" s="25">
        <f ca="1">OFFSET('COM Assumptions T15'!$D10,0,MATCH(VLOOKUP('COM Assumptions'!J$2,'RES Assumptions T15'!$V$3:$W$35,2,FALSE),'COM Assumptions T15'!$E$2:$S$2,0))</f>
        <v>0.3</v>
      </c>
      <c r="K10" s="25">
        <f ca="1">OFFSET('COM Assumptions T15'!$D10,0,MATCH(VLOOKUP('COM Assumptions'!K$2,'RES Assumptions T15'!$V$3:$W$35,2,FALSE),'COM Assumptions T15'!$E$2:$S$2,0))</f>
        <v>0</v>
      </c>
      <c r="L10" s="25">
        <f ca="1">OFFSET('COM Assumptions T15'!$D10,0,MATCH(VLOOKUP('COM Assumptions'!L$2,'RES Assumptions T15'!$V$3:$W$35,2,FALSE),'COM Assumptions T15'!$E$2:$S$2,0))</f>
        <v>0.5</v>
      </c>
      <c r="M10" s="25">
        <f ca="1">OFFSET('COM Assumptions T15'!$D10,0,MATCH(VLOOKUP('COM Assumptions'!M$2,'RES Assumptions T15'!$V$3:$W$35,2,FALSE),'COM Assumptions T15'!$E$2:$S$2,0))</f>
        <v>0</v>
      </c>
      <c r="N10" s="25">
        <f ca="1">OFFSET('COM Assumptions T15'!$D10,0,MATCH(VLOOKUP('COM Assumptions'!N$2,'RES Assumptions T15'!$V$3:$W$35,2,FALSE),'COM Assumptions T15'!$E$2:$S$2,0))</f>
        <v>0.5</v>
      </c>
      <c r="O10" s="25">
        <f ca="1">OFFSET('COM Assumptions T15'!$D10,0,MATCH(VLOOKUP('COM Assumptions'!O$2,'RES Assumptions T15'!$V$3:$W$35,2,FALSE),'COM Assumptions T15'!$E$2:$S$2,0))</f>
        <v>0</v>
      </c>
      <c r="P10" s="1">
        <f ca="1">OFFSET('COM Assumptions T15'!$D10,0,MATCH(VLOOKUP('COM Assumptions'!P$2,'RES Assumptions T15'!$V$3:$W$35,2,FALSE),'COM Assumptions T15'!$E$2:$S$2,0))</f>
        <v>0</v>
      </c>
      <c r="Q10" s="1">
        <f ca="1">OFFSET('COM Assumptions T15'!$D10,0,MATCH(VLOOKUP('COM Assumptions'!Q$2,'RES Assumptions T15'!$V$3:$W$35,2,FALSE),'COM Assumptions T15'!$E$2:$S$2,0))</f>
        <v>0</v>
      </c>
      <c r="R10" s="1">
        <f ca="1">OFFSET('COM Assumptions T15'!$D10,0,MATCH(VLOOKUP('COM Assumptions'!R$2,'RES Assumptions T15'!$V$3:$W$35,2,FALSE),'COM Assumptions T15'!$E$2:$S$2,0))</f>
        <v>0</v>
      </c>
      <c r="S10" s="1">
        <f ca="1">OFFSET('COM Assumptions T15'!$D10,0,MATCH(VLOOKUP('COM Assumptions'!S$2,'RES Assumptions T15'!$V$3:$W$35,2,FALSE),'COM Assumptions T15'!$E$2:$S$2,0))</f>
        <v>0</v>
      </c>
      <c r="T10" s="1">
        <f ca="1">OFFSET('COM Assumptions T15'!$D10,0,MATCH(VLOOKUP('COM Assumptions'!T$2,'RES Assumptions T15'!$V$3:$W$35,2,FALSE),'COM Assumptions T15'!$E$2:$S$2,0))</f>
        <v>0</v>
      </c>
      <c r="U10" s="1">
        <f ca="1">OFFSET('COM Assumptions T15'!$D10,0,MATCH(VLOOKUP('COM Assumptions'!U$2,'RES Assumptions T15'!$V$3:$W$35,2,FALSE),'COM Assumptions T15'!$E$2:$S$2,0))</f>
        <v>0.6</v>
      </c>
      <c r="V10" s="1">
        <f ca="1">OFFSET('COM Assumptions T15'!$D10,0,MATCH(VLOOKUP('COM Assumptions'!V$2,'RES Assumptions T15'!$V$3:$W$35,2,FALSE),'COM Assumptions T15'!$E$2:$S$2,0))</f>
        <v>0</v>
      </c>
      <c r="W10" s="1">
        <f ca="1">OFFSET('COM Assumptions T15'!$D10,0,MATCH(VLOOKUP('COM Assumptions'!W$2,'RES Assumptions T15'!$V$3:$W$35,2,FALSE),'COM Assumptions T15'!$E$2:$S$2,0))</f>
        <v>0</v>
      </c>
      <c r="X10" s="1">
        <f ca="1">OFFSET('COM Assumptions T15'!$D10,0,MATCH(VLOOKUP('COM Assumptions'!X$2,'RES Assumptions T15'!$V$3:$W$35,2,FALSE),'COM Assumptions T15'!$E$2:$S$2,0))</f>
        <v>0.5</v>
      </c>
      <c r="Y10" s="1">
        <f ca="1">OFFSET('COM Assumptions T15'!$D10,0,MATCH(VLOOKUP('COM Assumptions'!Y$2,'RES Assumptions T15'!$V$3:$W$35,2,FALSE),'COM Assumptions T15'!$E$2:$S$2,0))</f>
        <v>0.5</v>
      </c>
      <c r="Z10" s="1">
        <f ca="1">OFFSET('COM Assumptions T15'!$D10,0,MATCH(VLOOKUP('COM Assumptions'!Z$2,'RES Assumptions T15'!$V$3:$W$35,2,FALSE),'COM Assumptions T15'!$E$2:$S$2,0))</f>
        <v>0.6</v>
      </c>
      <c r="AA10" s="1">
        <f ca="1">OFFSET('COM Assumptions T15'!$D10,0,MATCH(VLOOKUP('COM Assumptions'!AA$2,'RES Assumptions T15'!$V$3:$W$35,2,FALSE),'COM Assumptions T15'!$E$2:$S$2,0))</f>
        <v>0.6</v>
      </c>
      <c r="AB10" s="1">
        <f ca="1">OFFSET('COM Assumptions T15'!$D10,0,MATCH(VLOOKUP('COM Assumptions'!AB$2,'RES Assumptions T15'!$V$3:$W$35,2,FALSE),'COM Assumptions T15'!$E$2:$S$2,0))</f>
        <v>0</v>
      </c>
      <c r="AC10" s="1">
        <f ca="1">OFFSET('COM Assumptions T15'!$D10,0,MATCH(VLOOKUP('COM Assumptions'!AC$2,'RES Assumptions T15'!$V$3:$W$35,2,FALSE),'COM Assumptions T15'!$E$2:$S$2,0))</f>
        <v>0</v>
      </c>
      <c r="AD10" s="1">
        <f ca="1">OFFSET('COM Assumptions T15'!$D10,0,MATCH(VLOOKUP('COM Assumptions'!AD$2,'RES Assumptions T15'!$V$3:$W$35,2,FALSE),'COM Assumptions T15'!$E$2:$S$2,0))</f>
        <v>0.6</v>
      </c>
      <c r="AE10" s="1">
        <f ca="1">OFFSET('COM Assumptions T15'!$D10,0,MATCH(VLOOKUP('COM Assumptions'!AE$2,'RES Assumptions T15'!$V$3:$W$35,2,FALSE),'COM Assumptions T15'!$E$2:$S$2,0))</f>
        <v>0</v>
      </c>
      <c r="AF10" s="1">
        <f ca="1">OFFSET('COM Assumptions T15'!$D10,0,MATCH(VLOOKUP('COM Assumptions'!AF$2,'RES Assumptions T15'!$V$3:$W$35,2,FALSE),'COM Assumptions T15'!$E$2:$S$2,0))</f>
        <v>0</v>
      </c>
      <c r="AG10" s="1">
        <f ca="1">OFFSET('COM Assumptions T15'!$D10,0,MATCH(VLOOKUP('COM Assumptions'!AG$2,'RES Assumptions T15'!$V$3:$W$35,2,FALSE),'COM Assumptions T15'!$E$2:$S$2,0))</f>
        <v>0</v>
      </c>
      <c r="AH10" s="1">
        <f ca="1">OFFSET('COM Assumptions T15'!$D10,0,MATCH(VLOOKUP('COM Assumptions'!AH$2,'RES Assumptions T15'!$V$3:$W$35,2,FALSE),'COM Assumptions T15'!$E$2:$S$2,0))</f>
        <v>0</v>
      </c>
      <c r="AI10" s="1"/>
      <c r="AK10" s="10">
        <f ca="1">IFERROR(SUMIFS('COM balance'!E$5:E$25,'COM balance'!$D$5:$D$25,'COM Assumptions'!$A10)*E10,"")</f>
        <v>0</v>
      </c>
      <c r="AL10" s="10">
        <f ca="1">IFERROR(SUMIFS('COM balance'!F$5:F$25,'COM balance'!$D$5:$D$25,'COM Assumptions'!$A10)*F10,"")</f>
        <v>0</v>
      </c>
      <c r="AM10" s="10">
        <f ca="1">IFERROR(SUMIFS('COM balance'!G$5:G$25,'COM balance'!$D$5:$D$25,'COM Assumptions'!$A10)*G10,"")</f>
        <v>12.401942180400001</v>
      </c>
      <c r="AN10" s="10">
        <f ca="1">IFERROR(SUMIFS('COM balance'!H$5:H$25,'COM balance'!$D$5:$D$25,'COM Assumptions'!$A10)*H10,"")</f>
        <v>0</v>
      </c>
      <c r="AO10" s="10">
        <f ca="1">IFERROR(SUMIFS('COM balance'!I$5:I$25,'COM balance'!$D$5:$D$25,'COM Assumptions'!$A10)*I10,"")</f>
        <v>0</v>
      </c>
      <c r="AP10" s="10">
        <f ca="1">IFERROR(SUMIFS('COM balance'!J$5:J$25,'COM balance'!$D$5:$D$25,'COM Assumptions'!$A10)*J10,"")</f>
        <v>44.954136334800005</v>
      </c>
      <c r="AQ10" s="10">
        <f ca="1">IFERROR(SUMIFS('COM balance'!K$5:K$25,'COM balance'!$D$5:$D$25,'COM Assumptions'!$A10)*K10,"")</f>
        <v>0</v>
      </c>
      <c r="AR10" s="10">
        <f ca="1">IFERROR(SUMIFS('COM balance'!L$5:L$25,'COM balance'!$D$5:$D$25,'COM Assumptions'!$A10)*L10,"")</f>
        <v>1.0873789488000001</v>
      </c>
      <c r="AS10" s="10">
        <f ca="1">IFERROR(SUMIFS('COM balance'!M$5:M$25,'COM balance'!$D$5:$D$25,'COM Assumptions'!$A10)*M10,"")</f>
        <v>0</v>
      </c>
      <c r="AT10" s="10">
        <f ca="1">IFERROR(SUMIFS('COM balance'!N$5:N$25,'COM balance'!$D$5:$D$25,'COM Assumptions'!$A10)*N10,"")</f>
        <v>218.25311732820001</v>
      </c>
      <c r="AU10" s="10">
        <f ca="1">IFERROR(SUMIFS('COM balance'!O$5:O$25,'COM balance'!$D$5:$D$25,'COM Assumptions'!$A10)*O10,"")</f>
        <v>0</v>
      </c>
      <c r="AV10" s="10">
        <f ca="1">IFERROR(SUMIFS('COM balance'!P$5:P$25,'COM balance'!$D$5:$D$25,'COM Assumptions'!$A10)*P10,"")</f>
        <v>0</v>
      </c>
      <c r="AW10" s="10">
        <f ca="1">IFERROR(SUMIFS('COM balance'!Q$5:Q$25,'COM balance'!$D$5:$D$25,'COM Assumptions'!$A10)*Q10,"")</f>
        <v>0</v>
      </c>
      <c r="AX10" s="10">
        <f ca="1">IFERROR(SUMIFS('COM balance'!R$5:R$25,'COM balance'!$D$5:$D$25,'COM Assumptions'!$A10)*R10,"")</f>
        <v>0</v>
      </c>
      <c r="AY10" s="10">
        <f ca="1">IFERROR(SUMIFS('COM balance'!S$5:S$25,'COM balance'!$D$5:$D$25,'COM Assumptions'!$A10)*S10,"")</f>
        <v>0</v>
      </c>
      <c r="AZ10" s="10">
        <f ca="1">IFERROR(SUMIFS('COM balance'!T$5:T$25,'COM balance'!$D$5:$D$25,'COM Assumptions'!$A10)*T10,"")</f>
        <v>0</v>
      </c>
      <c r="BA10" s="10">
        <f ca="1">IFERROR(SUMIFS('COM balance'!U$5:U$25,'COM balance'!$D$5:$D$25,'COM Assumptions'!$A10)*U10,"")</f>
        <v>31.495906382399998</v>
      </c>
      <c r="BB10" s="10">
        <f ca="1">IFERROR(SUMIFS('COM balance'!V$5:V$25,'COM balance'!$D$5:$D$25,'COM Assumptions'!$A10)*V10,"")</f>
        <v>0</v>
      </c>
      <c r="BC10" s="10">
        <f ca="1">IFERROR(SUMIFS('COM balance'!W$5:W$25,'COM balance'!$D$5:$D$25,'COM Assumptions'!$A10)*W10,"")</f>
        <v>0</v>
      </c>
      <c r="BD10" s="10">
        <f ca="1">IFERROR(SUMIFS('COM balance'!X$5:X$25,'COM balance'!$D$5:$D$25,'COM Assumptions'!$A10)*X10,"")</f>
        <v>0</v>
      </c>
      <c r="BE10" s="10">
        <f ca="1">IFERROR(SUMIFS('COM balance'!Y$5:Y$25,'COM balance'!$D$5:$D$25,'COM Assumptions'!$A10)*Y10,"")</f>
        <v>14.9028057432</v>
      </c>
      <c r="BF10" s="10">
        <f ca="1">IFERROR(SUMIFS('COM balance'!Z$5:Z$25,'COM balance'!$D$5:$D$25,'COM Assumptions'!$A10)*Z10,"")</f>
        <v>0.80099931672000002</v>
      </c>
      <c r="BG10" s="10">
        <f ca="1">IFERROR(SUMIFS('COM balance'!AA$5:AA$25,'COM balance'!$D$5:$D$25,'COM Assumptions'!$A10)*AA10,"")</f>
        <v>25.093910695680002</v>
      </c>
      <c r="BH10" s="10">
        <f ca="1">IFERROR(SUMIFS('COM balance'!AB$5:AB$25,'COM balance'!$D$5:$D$25,'COM Assumptions'!$A10)*AB10,"")</f>
        <v>0</v>
      </c>
      <c r="BI10" s="10">
        <f ca="1">IFERROR(SUMIFS('COM balance'!AC$5:AC$25,'COM balance'!$D$5:$D$25,'COM Assumptions'!$A10)*AC10,"")</f>
        <v>0</v>
      </c>
      <c r="BJ10" s="10">
        <f ca="1">IFERROR(SUMIFS('COM balance'!AD$5:AD$25,'COM balance'!$D$5:$D$25,'COM Assumptions'!$A10)*AD10,"")</f>
        <v>0</v>
      </c>
      <c r="BK10" s="10">
        <f ca="1">IFERROR(SUMIFS('COM balance'!AE$5:AE$25,'COM balance'!$D$5:$D$25,'COM Assumptions'!$A10)*AE10,"")</f>
        <v>0</v>
      </c>
      <c r="BL10" s="10">
        <f ca="1">IFERROR(SUMIFS('COM balance'!AF$5:AF$25,'COM balance'!$D$5:$D$25,'COM Assumptions'!$A10)*AF10,"")</f>
        <v>0</v>
      </c>
      <c r="BM10" s="10">
        <f ca="1">IFERROR(SUMIFS('COM balance'!AG$5:AG$25,'COM balance'!$D$5:$D$25,'COM Assumptions'!$A10)*AG10,"")</f>
        <v>0</v>
      </c>
      <c r="BN10" s="10">
        <f ca="1">IFERROR(SUMIFS('COM balance'!AH$5:AH$25,'COM balance'!$D$5:$D$25,'COM Assumptions'!$A10)*AH10,"")</f>
        <v>0</v>
      </c>
      <c r="BQ10" t="s">
        <v>77</v>
      </c>
      <c r="BS10">
        <f t="shared" ca="1" si="3"/>
        <v>1</v>
      </c>
      <c r="BT10">
        <f t="shared" ca="1" si="4"/>
        <v>1</v>
      </c>
      <c r="BU10">
        <f t="shared" ca="1" si="5"/>
        <v>1</v>
      </c>
      <c r="BV10">
        <f t="shared" ca="1" si="6"/>
        <v>1</v>
      </c>
      <c r="BW10">
        <f t="shared" ca="1" si="7"/>
        <v>1</v>
      </c>
      <c r="BX10">
        <f t="shared" ca="1" si="8"/>
        <v>1</v>
      </c>
      <c r="BY10">
        <f t="shared" ca="1" si="9"/>
        <v>1</v>
      </c>
      <c r="BZ10">
        <f t="shared" ca="1" si="10"/>
        <v>1</v>
      </c>
      <c r="CA10">
        <f t="shared" ca="1" si="11"/>
        <v>1</v>
      </c>
      <c r="CB10">
        <f t="shared" ca="1" si="12"/>
        <v>0.99999999999999989</v>
      </c>
      <c r="CC10">
        <f t="shared" ca="1" si="13"/>
        <v>1</v>
      </c>
      <c r="CD10">
        <f t="shared" ca="1" si="14"/>
        <v>1</v>
      </c>
      <c r="CE10">
        <f t="shared" ca="1" si="15"/>
        <v>1</v>
      </c>
      <c r="CF10">
        <f t="shared" ca="1" si="16"/>
        <v>1</v>
      </c>
      <c r="CG10">
        <f t="shared" ca="1" si="17"/>
        <v>1</v>
      </c>
    </row>
    <row r="11" spans="1:85" x14ac:dyDescent="0.45">
      <c r="A11" s="8" t="str">
        <f>VLOOKUP(C11,'COM balance'!$AM$5:$AN$25,2,FALSE)</f>
        <v>COMOIL</v>
      </c>
      <c r="B11" s="36"/>
      <c r="C11" s="22" t="s">
        <v>72</v>
      </c>
      <c r="D11" s="42" t="s">
        <v>89</v>
      </c>
      <c r="E11" s="26">
        <f ca="1">OFFSET('COM Assumptions T15'!$D11,0,MATCH(VLOOKUP('COM Assumptions'!E$2,'RES Assumptions T15'!$V$3:$W$35,2,FALSE),'COM Assumptions T15'!$E$2:$S$2,0))</f>
        <v>0</v>
      </c>
      <c r="F11" s="26">
        <f ca="1">OFFSET('COM Assumptions T15'!$D11,0,MATCH(VLOOKUP('COM Assumptions'!F$2,'RES Assumptions T15'!$V$3:$W$35,2,FALSE),'COM Assumptions T15'!$E$2:$S$2,0))</f>
        <v>0</v>
      </c>
      <c r="G11" s="26">
        <f ca="1">OFFSET('COM Assumptions T15'!$D11,0,MATCH(VLOOKUP('COM Assumptions'!G$2,'RES Assumptions T15'!$V$3:$W$35,2,FALSE),'COM Assumptions T15'!$E$2:$S$2,0))</f>
        <v>0</v>
      </c>
      <c r="H11" s="26">
        <f ca="1">OFFSET('COM Assumptions T15'!$D11,0,MATCH(VLOOKUP('COM Assumptions'!H$2,'RES Assumptions T15'!$V$3:$W$35,2,FALSE),'COM Assumptions T15'!$E$2:$S$2,0))</f>
        <v>0</v>
      </c>
      <c r="I11" s="26">
        <f ca="1">OFFSET('COM Assumptions T15'!$D11,0,MATCH(VLOOKUP('COM Assumptions'!I$2,'RES Assumptions T15'!$V$3:$W$35,2,FALSE),'COM Assumptions T15'!$E$2:$S$2,0))</f>
        <v>0</v>
      </c>
      <c r="J11" s="26">
        <f ca="1">OFFSET('COM Assumptions T15'!$D11,0,MATCH(VLOOKUP('COM Assumptions'!J$2,'RES Assumptions T15'!$V$3:$W$35,2,FALSE),'COM Assumptions T15'!$E$2:$S$2,0))</f>
        <v>0</v>
      </c>
      <c r="K11" s="26">
        <f ca="1">OFFSET('COM Assumptions T15'!$D11,0,MATCH(VLOOKUP('COM Assumptions'!K$2,'RES Assumptions T15'!$V$3:$W$35,2,FALSE),'COM Assumptions T15'!$E$2:$S$2,0))</f>
        <v>0</v>
      </c>
      <c r="L11" s="26">
        <f ca="1">OFFSET('COM Assumptions T15'!$D11,0,MATCH(VLOOKUP('COM Assumptions'!L$2,'RES Assumptions T15'!$V$3:$W$35,2,FALSE),'COM Assumptions T15'!$E$2:$S$2,0))</f>
        <v>0</v>
      </c>
      <c r="M11" s="26">
        <f ca="1">OFFSET('COM Assumptions T15'!$D11,0,MATCH(VLOOKUP('COM Assumptions'!M$2,'RES Assumptions T15'!$V$3:$W$35,2,FALSE),'COM Assumptions T15'!$E$2:$S$2,0))</f>
        <v>0</v>
      </c>
      <c r="N11" s="26">
        <f ca="1">OFFSET('COM Assumptions T15'!$D11,0,MATCH(VLOOKUP('COM Assumptions'!N$2,'RES Assumptions T15'!$V$3:$W$35,2,FALSE),'COM Assumptions T15'!$E$2:$S$2,0))</f>
        <v>0</v>
      </c>
      <c r="O11" s="26">
        <f ca="1">OFFSET('COM Assumptions T15'!$D11,0,MATCH(VLOOKUP('COM Assumptions'!O$2,'RES Assumptions T15'!$V$3:$W$35,2,FALSE),'COM Assumptions T15'!$E$2:$S$2,0))</f>
        <v>0</v>
      </c>
      <c r="P11" s="1">
        <f ca="1">OFFSET('COM Assumptions T15'!$D11,0,MATCH(VLOOKUP('COM Assumptions'!P$2,'RES Assumptions T15'!$V$3:$W$35,2,FALSE),'COM Assumptions T15'!$E$2:$S$2,0))</f>
        <v>0</v>
      </c>
      <c r="Q11" s="1">
        <f ca="1">OFFSET('COM Assumptions T15'!$D11,0,MATCH(VLOOKUP('COM Assumptions'!Q$2,'RES Assumptions T15'!$V$3:$W$35,2,FALSE),'COM Assumptions T15'!$E$2:$S$2,0))</f>
        <v>0</v>
      </c>
      <c r="R11" s="1">
        <f ca="1">OFFSET('COM Assumptions T15'!$D11,0,MATCH(VLOOKUP('COM Assumptions'!R$2,'RES Assumptions T15'!$V$3:$W$35,2,FALSE),'COM Assumptions T15'!$E$2:$S$2,0))</f>
        <v>0</v>
      </c>
      <c r="S11" s="1">
        <f ca="1">OFFSET('COM Assumptions T15'!$D11,0,MATCH(VLOOKUP('COM Assumptions'!S$2,'RES Assumptions T15'!$V$3:$W$35,2,FALSE),'COM Assumptions T15'!$E$2:$S$2,0))</f>
        <v>0</v>
      </c>
      <c r="T11" s="1">
        <f ca="1">OFFSET('COM Assumptions T15'!$D11,0,MATCH(VLOOKUP('COM Assumptions'!T$2,'RES Assumptions T15'!$V$3:$W$35,2,FALSE),'COM Assumptions T15'!$E$2:$S$2,0))</f>
        <v>0</v>
      </c>
      <c r="U11" s="1">
        <f ca="1">OFFSET('COM Assumptions T15'!$D11,0,MATCH(VLOOKUP('COM Assumptions'!U$2,'RES Assumptions T15'!$V$3:$W$35,2,FALSE),'COM Assumptions T15'!$E$2:$S$2,0))</f>
        <v>0</v>
      </c>
      <c r="V11" s="1">
        <f ca="1">OFFSET('COM Assumptions T15'!$D11,0,MATCH(VLOOKUP('COM Assumptions'!V$2,'RES Assumptions T15'!$V$3:$W$35,2,FALSE),'COM Assumptions T15'!$E$2:$S$2,0))</f>
        <v>0</v>
      </c>
      <c r="W11" s="1">
        <f ca="1">OFFSET('COM Assumptions T15'!$D11,0,MATCH(VLOOKUP('COM Assumptions'!W$2,'RES Assumptions T15'!$V$3:$W$35,2,FALSE),'COM Assumptions T15'!$E$2:$S$2,0))</f>
        <v>0</v>
      </c>
      <c r="X11" s="1">
        <f ca="1">OFFSET('COM Assumptions T15'!$D11,0,MATCH(VLOOKUP('COM Assumptions'!X$2,'RES Assumptions T15'!$V$3:$W$35,2,FALSE),'COM Assumptions T15'!$E$2:$S$2,0))</f>
        <v>0</v>
      </c>
      <c r="Y11" s="1">
        <f ca="1">OFFSET('COM Assumptions T15'!$D11,0,MATCH(VLOOKUP('COM Assumptions'!Y$2,'RES Assumptions T15'!$V$3:$W$35,2,FALSE),'COM Assumptions T15'!$E$2:$S$2,0))</f>
        <v>0</v>
      </c>
      <c r="Z11" s="1">
        <f ca="1">OFFSET('COM Assumptions T15'!$D11,0,MATCH(VLOOKUP('COM Assumptions'!Z$2,'RES Assumptions T15'!$V$3:$W$35,2,FALSE),'COM Assumptions T15'!$E$2:$S$2,0))</f>
        <v>0</v>
      </c>
      <c r="AA11" s="1">
        <f ca="1">OFFSET('COM Assumptions T15'!$D11,0,MATCH(VLOOKUP('COM Assumptions'!AA$2,'RES Assumptions T15'!$V$3:$W$35,2,FALSE),'COM Assumptions T15'!$E$2:$S$2,0))</f>
        <v>0</v>
      </c>
      <c r="AB11" s="1">
        <f ca="1">OFFSET('COM Assumptions T15'!$D11,0,MATCH(VLOOKUP('COM Assumptions'!AB$2,'RES Assumptions T15'!$V$3:$W$35,2,FALSE),'COM Assumptions T15'!$E$2:$S$2,0))</f>
        <v>0</v>
      </c>
      <c r="AC11" s="1">
        <f ca="1">OFFSET('COM Assumptions T15'!$D11,0,MATCH(VLOOKUP('COM Assumptions'!AC$2,'RES Assumptions T15'!$V$3:$W$35,2,FALSE),'COM Assumptions T15'!$E$2:$S$2,0))</f>
        <v>0</v>
      </c>
      <c r="AD11" s="1">
        <f ca="1">OFFSET('COM Assumptions T15'!$D11,0,MATCH(VLOOKUP('COM Assumptions'!AD$2,'RES Assumptions T15'!$V$3:$W$35,2,FALSE),'COM Assumptions T15'!$E$2:$S$2,0))</f>
        <v>0</v>
      </c>
      <c r="AE11" s="1">
        <f ca="1">OFFSET('COM Assumptions T15'!$D11,0,MATCH(VLOOKUP('COM Assumptions'!AE$2,'RES Assumptions T15'!$V$3:$W$35,2,FALSE),'COM Assumptions T15'!$E$2:$S$2,0))</f>
        <v>0</v>
      </c>
      <c r="AF11" s="1">
        <f ca="1">OFFSET('COM Assumptions T15'!$D11,0,MATCH(VLOOKUP('COM Assumptions'!AF$2,'RES Assumptions T15'!$V$3:$W$35,2,FALSE),'COM Assumptions T15'!$E$2:$S$2,0))</f>
        <v>0</v>
      </c>
      <c r="AG11" s="1">
        <f ca="1">OFFSET('COM Assumptions T15'!$D11,0,MATCH(VLOOKUP('COM Assumptions'!AG$2,'RES Assumptions T15'!$V$3:$W$35,2,FALSE),'COM Assumptions T15'!$E$2:$S$2,0))</f>
        <v>6.8936780732012565E-2</v>
      </c>
      <c r="AH11" s="1">
        <f ca="1">OFFSET('COM Assumptions T15'!$D11,0,MATCH(VLOOKUP('COM Assumptions'!AH$2,'RES Assumptions T15'!$V$3:$W$35,2,FALSE),'COM Assumptions T15'!$E$2:$S$2,0))</f>
        <v>6.8936780732012565E-2</v>
      </c>
      <c r="AI11" s="1"/>
      <c r="AK11" s="10">
        <f ca="1">IFERROR(SUMIFS('COM balance'!E$5:E$25,'COM balance'!$D$5:$D$25,'COM Assumptions'!$A11)*E11,"")</f>
        <v>0</v>
      </c>
      <c r="AL11" s="10">
        <f ca="1">IFERROR(SUMIFS('COM balance'!F$5:F$25,'COM balance'!$D$5:$D$25,'COM Assumptions'!$A11)*F11,"")</f>
        <v>0</v>
      </c>
      <c r="AM11" s="10">
        <f ca="1">IFERROR(SUMIFS('COM balance'!G$5:G$25,'COM balance'!$D$5:$D$25,'COM Assumptions'!$A11)*G11,"")</f>
        <v>0</v>
      </c>
      <c r="AN11" s="10">
        <f ca="1">IFERROR(SUMIFS('COM balance'!H$5:H$25,'COM balance'!$D$5:$D$25,'COM Assumptions'!$A11)*H11,"")</f>
        <v>0</v>
      </c>
      <c r="AO11" s="10">
        <f ca="1">IFERROR(SUMIFS('COM balance'!I$5:I$25,'COM balance'!$D$5:$D$25,'COM Assumptions'!$A11)*I11,"")</f>
        <v>0</v>
      </c>
      <c r="AP11" s="10">
        <f ca="1">IFERROR(SUMIFS('COM balance'!J$5:J$25,'COM balance'!$D$5:$D$25,'COM Assumptions'!$A11)*J11,"")</f>
        <v>0</v>
      </c>
      <c r="AQ11" s="10">
        <f ca="1">IFERROR(SUMIFS('COM balance'!K$5:K$25,'COM balance'!$D$5:$D$25,'COM Assumptions'!$A11)*K11,"")</f>
        <v>0</v>
      </c>
      <c r="AR11" s="10">
        <f ca="1">IFERROR(SUMIFS('COM balance'!L$5:L$25,'COM balance'!$D$5:$D$25,'COM Assumptions'!$A11)*L11,"")</f>
        <v>0</v>
      </c>
      <c r="AS11" s="10">
        <f ca="1">IFERROR(SUMIFS('COM balance'!M$5:M$25,'COM balance'!$D$5:$D$25,'COM Assumptions'!$A11)*M11,"")</f>
        <v>0</v>
      </c>
      <c r="AT11" s="10">
        <f ca="1">IFERROR(SUMIFS('COM balance'!N$5:N$25,'COM balance'!$D$5:$D$25,'COM Assumptions'!$A11)*N11,"")</f>
        <v>0</v>
      </c>
      <c r="AU11" s="10">
        <f ca="1">IFERROR(SUMIFS('COM balance'!O$5:O$25,'COM balance'!$D$5:$D$25,'COM Assumptions'!$A11)*O11,"")</f>
        <v>0</v>
      </c>
      <c r="AV11" s="10">
        <f ca="1">IFERROR(SUMIFS('COM balance'!P$5:P$25,'COM balance'!$D$5:$D$25,'COM Assumptions'!$A11)*P11,"")</f>
        <v>0</v>
      </c>
      <c r="AW11" s="10">
        <f ca="1">IFERROR(SUMIFS('COM balance'!Q$5:Q$25,'COM balance'!$D$5:$D$25,'COM Assumptions'!$A11)*Q11,"")</f>
        <v>0</v>
      </c>
      <c r="AX11" s="10">
        <f ca="1">IFERROR(SUMIFS('COM balance'!R$5:R$25,'COM balance'!$D$5:$D$25,'COM Assumptions'!$A11)*R11,"")</f>
        <v>0</v>
      </c>
      <c r="AY11" s="10">
        <f ca="1">IFERROR(SUMIFS('COM balance'!S$5:S$25,'COM balance'!$D$5:$D$25,'COM Assumptions'!$A11)*S11,"")</f>
        <v>0</v>
      </c>
      <c r="AZ11" s="10">
        <f ca="1">IFERROR(SUMIFS('COM balance'!T$5:T$25,'COM balance'!$D$5:$D$25,'COM Assumptions'!$A11)*T11,"")</f>
        <v>0</v>
      </c>
      <c r="BA11" s="10">
        <f ca="1">IFERROR(SUMIFS('COM balance'!U$5:U$25,'COM balance'!$D$5:$D$25,'COM Assumptions'!$A11)*U11,"")</f>
        <v>0</v>
      </c>
      <c r="BB11" s="10">
        <f ca="1">IFERROR(SUMIFS('COM balance'!V$5:V$25,'COM balance'!$D$5:$D$25,'COM Assumptions'!$A11)*V11,"")</f>
        <v>0</v>
      </c>
      <c r="BC11" s="10">
        <f ca="1">IFERROR(SUMIFS('COM balance'!W$5:W$25,'COM balance'!$D$5:$D$25,'COM Assumptions'!$A11)*W11,"")</f>
        <v>0</v>
      </c>
      <c r="BD11" s="10">
        <f ca="1">IFERROR(SUMIFS('COM balance'!X$5:X$25,'COM balance'!$D$5:$D$25,'COM Assumptions'!$A11)*X11,"")</f>
        <v>0</v>
      </c>
      <c r="BE11" s="10">
        <f ca="1">IFERROR(SUMIFS('COM balance'!Y$5:Y$25,'COM balance'!$D$5:$D$25,'COM Assumptions'!$A11)*Y11,"")</f>
        <v>0</v>
      </c>
      <c r="BF11" s="10">
        <f ca="1">IFERROR(SUMIFS('COM balance'!Z$5:Z$25,'COM balance'!$D$5:$D$25,'COM Assumptions'!$A11)*Z11,"")</f>
        <v>0</v>
      </c>
      <c r="BG11" s="10">
        <f ca="1">IFERROR(SUMIFS('COM balance'!AA$5:AA$25,'COM balance'!$D$5:$D$25,'COM Assumptions'!$A11)*AA11,"")</f>
        <v>0</v>
      </c>
      <c r="BH11" s="10">
        <f ca="1">IFERROR(SUMIFS('COM balance'!AB$5:AB$25,'COM balance'!$D$5:$D$25,'COM Assumptions'!$A11)*AB11,"")</f>
        <v>0</v>
      </c>
      <c r="BI11" s="10">
        <f ca="1">IFERROR(SUMIFS('COM balance'!AC$5:AC$25,'COM balance'!$D$5:$D$25,'COM Assumptions'!$A11)*AC11,"")</f>
        <v>0</v>
      </c>
      <c r="BJ11" s="10">
        <f ca="1">IFERROR(SUMIFS('COM balance'!AD$5:AD$25,'COM balance'!$D$5:$D$25,'COM Assumptions'!$A11)*AD11,"")</f>
        <v>0</v>
      </c>
      <c r="BK11" s="10">
        <f ca="1">IFERROR(SUMIFS('COM balance'!AE$5:AE$25,'COM balance'!$D$5:$D$25,'COM Assumptions'!$A11)*AE11,"")</f>
        <v>0</v>
      </c>
      <c r="BL11" s="10">
        <f ca="1">IFERROR(SUMIFS('COM balance'!AF$5:AF$25,'COM balance'!$D$5:$D$25,'COM Assumptions'!$A11)*AF11,"")</f>
        <v>0</v>
      </c>
      <c r="BM11" s="10">
        <f ca="1">IFERROR(SUMIFS('COM balance'!AG$5:AG$25,'COM balance'!$D$5:$D$25,'COM Assumptions'!$A11)*AG11,"")</f>
        <v>26.886270195296468</v>
      </c>
      <c r="BN11" s="10">
        <f ca="1">IFERROR(SUMIFS('COM balance'!AH$5:AH$25,'COM balance'!$D$5:$D$25,'COM Assumptions'!$A11)*AH11,"")</f>
        <v>0</v>
      </c>
      <c r="BQ11" t="s">
        <v>35</v>
      </c>
      <c r="BS11">
        <f t="shared" ca="1" si="3"/>
        <v>1</v>
      </c>
      <c r="BT11">
        <f t="shared" ca="1" si="4"/>
        <v>1</v>
      </c>
      <c r="BU11">
        <f t="shared" ca="1" si="5"/>
        <v>1</v>
      </c>
      <c r="BV11">
        <f t="shared" ca="1" si="6"/>
        <v>1</v>
      </c>
      <c r="BW11">
        <f t="shared" ca="1" si="7"/>
        <v>1</v>
      </c>
      <c r="BX11">
        <f t="shared" ca="1" si="8"/>
        <v>1</v>
      </c>
      <c r="BY11">
        <f t="shared" ca="1" si="9"/>
        <v>1</v>
      </c>
      <c r="BZ11">
        <f t="shared" ca="1" si="10"/>
        <v>1</v>
      </c>
      <c r="CA11">
        <f t="shared" ca="1" si="11"/>
        <v>1</v>
      </c>
      <c r="CB11">
        <f t="shared" ca="1" si="12"/>
        <v>0.99999999999999989</v>
      </c>
      <c r="CC11">
        <f t="shared" ca="1" si="13"/>
        <v>1</v>
      </c>
      <c r="CD11">
        <f t="shared" ca="1" si="14"/>
        <v>1</v>
      </c>
      <c r="CE11">
        <f t="shared" ca="1" si="15"/>
        <v>1</v>
      </c>
      <c r="CF11">
        <f t="shared" ca="1" si="16"/>
        <v>1</v>
      </c>
      <c r="CG11">
        <f t="shared" ca="1" si="17"/>
        <v>1</v>
      </c>
    </row>
    <row r="12" spans="1:85" x14ac:dyDescent="0.45">
      <c r="A12" s="8">
        <f>VLOOKUP(C12,'COM balance'!$AM$5:$AN$25,2,FALSE)</f>
        <v>0</v>
      </c>
      <c r="B12" s="36"/>
      <c r="C12" s="20" t="s">
        <v>73</v>
      </c>
      <c r="D12" s="41" t="s">
        <v>82</v>
      </c>
      <c r="E12" s="25">
        <f ca="1">OFFSET('COM Assumptions T15'!$D12,0,MATCH(VLOOKUP('COM Assumptions'!E$2,'RES Assumptions T15'!$V$3:$W$35,2,FALSE),'COM Assumptions T15'!$E$2:$S$2,0))</f>
        <v>1</v>
      </c>
      <c r="F12" s="25">
        <f ca="1">OFFSET('COM Assumptions T15'!$D12,0,MATCH(VLOOKUP('COM Assumptions'!F$2,'RES Assumptions T15'!$V$3:$W$35,2,FALSE),'COM Assumptions T15'!$E$2:$S$2,0))</f>
        <v>1</v>
      </c>
      <c r="G12" s="25">
        <f ca="1">OFFSET('COM Assumptions T15'!$D12,0,MATCH(VLOOKUP('COM Assumptions'!G$2,'RES Assumptions T15'!$V$3:$W$35,2,FALSE),'COM Assumptions T15'!$E$2:$S$2,0))</f>
        <v>1</v>
      </c>
      <c r="H12" s="25">
        <f ca="1">OFFSET('COM Assumptions T15'!$D12,0,MATCH(VLOOKUP('COM Assumptions'!H$2,'RES Assumptions T15'!$V$3:$W$35,2,FALSE),'COM Assumptions T15'!$E$2:$S$2,0))</f>
        <v>0.9</v>
      </c>
      <c r="I12" s="25">
        <f ca="1">OFFSET('COM Assumptions T15'!$D12,0,MATCH(VLOOKUP('COM Assumptions'!I$2,'RES Assumptions T15'!$V$3:$W$35,2,FALSE),'COM Assumptions T15'!$E$2:$S$2,0))</f>
        <v>0.6</v>
      </c>
      <c r="J12" s="25">
        <f ca="1">OFFSET('COM Assumptions T15'!$D12,0,MATCH(VLOOKUP('COM Assumptions'!J$2,'RES Assumptions T15'!$V$3:$W$35,2,FALSE),'COM Assumptions T15'!$E$2:$S$2,0))</f>
        <v>0.7</v>
      </c>
      <c r="K12" s="25">
        <f ca="1">OFFSET('COM Assumptions T15'!$D12,0,MATCH(VLOOKUP('COM Assumptions'!K$2,'RES Assumptions T15'!$V$3:$W$35,2,FALSE),'COM Assumptions T15'!$E$2:$S$2,0))</f>
        <v>0.9</v>
      </c>
      <c r="L12" s="25">
        <f ca="1">OFFSET('COM Assumptions T15'!$D12,0,MATCH(VLOOKUP('COM Assumptions'!L$2,'RES Assumptions T15'!$V$3:$W$35,2,FALSE),'COM Assumptions T15'!$E$2:$S$2,0))</f>
        <v>1</v>
      </c>
      <c r="M12" s="25">
        <f ca="1">OFFSET('COM Assumptions T15'!$D12,0,MATCH(VLOOKUP('COM Assumptions'!M$2,'RES Assumptions T15'!$V$3:$W$35,2,FALSE),'COM Assumptions T15'!$E$2:$S$2,0))</f>
        <v>0.9</v>
      </c>
      <c r="N12" s="25">
        <f ca="1">OFFSET('COM Assumptions T15'!$D12,0,MATCH(VLOOKUP('COM Assumptions'!N$2,'RES Assumptions T15'!$V$3:$W$35,2,FALSE),'COM Assumptions T15'!$E$2:$S$2,0))</f>
        <v>1</v>
      </c>
      <c r="O12" s="25">
        <f ca="1">OFFSET('COM Assumptions T15'!$D12,0,MATCH(VLOOKUP('COM Assumptions'!O$2,'RES Assumptions T15'!$V$3:$W$35,2,FALSE),'COM Assumptions T15'!$E$2:$S$2,0))</f>
        <v>1</v>
      </c>
      <c r="P12" s="1">
        <f ca="1">OFFSET('COM Assumptions T15'!$D12,0,MATCH(VLOOKUP('COM Assumptions'!P$2,'RES Assumptions T15'!$V$3:$W$35,2,FALSE),'COM Assumptions T15'!$E$2:$S$2,0))</f>
        <v>0.9</v>
      </c>
      <c r="Q12" s="1">
        <f ca="1">OFFSET('COM Assumptions T15'!$D12,0,MATCH(VLOOKUP('COM Assumptions'!Q$2,'RES Assumptions T15'!$V$3:$W$35,2,FALSE),'COM Assumptions T15'!$E$2:$S$2,0))</f>
        <v>1</v>
      </c>
      <c r="R12" s="1">
        <f ca="1">OFFSET('COM Assumptions T15'!$D12,0,MATCH(VLOOKUP('COM Assumptions'!R$2,'RES Assumptions T15'!$V$3:$W$35,2,FALSE),'COM Assumptions T15'!$E$2:$S$2,0))</f>
        <v>1</v>
      </c>
      <c r="S12" s="1">
        <f ca="1">OFFSET('COM Assumptions T15'!$D12,0,MATCH(VLOOKUP('COM Assumptions'!S$2,'RES Assumptions T15'!$V$3:$W$35,2,FALSE),'COM Assumptions T15'!$E$2:$S$2,0))</f>
        <v>0.9</v>
      </c>
      <c r="T12" s="1">
        <f ca="1">OFFSET('COM Assumptions T15'!$D12,0,MATCH(VLOOKUP('COM Assumptions'!T$2,'RES Assumptions T15'!$V$3:$W$35,2,FALSE),'COM Assumptions T15'!$E$2:$S$2,0))</f>
        <v>1</v>
      </c>
      <c r="U12" s="1">
        <f ca="1">OFFSET('COM Assumptions T15'!$D12,0,MATCH(VLOOKUP('COM Assumptions'!U$2,'RES Assumptions T15'!$V$3:$W$35,2,FALSE),'COM Assumptions T15'!$E$2:$S$2,0))</f>
        <v>0.3</v>
      </c>
      <c r="V12" s="1">
        <f ca="1">OFFSET('COM Assumptions T15'!$D12,0,MATCH(VLOOKUP('COM Assumptions'!V$2,'RES Assumptions T15'!$V$3:$W$35,2,FALSE),'COM Assumptions T15'!$E$2:$S$2,0))</f>
        <v>1</v>
      </c>
      <c r="W12" s="1">
        <f ca="1">OFFSET('COM Assumptions T15'!$D12,0,MATCH(VLOOKUP('COM Assumptions'!W$2,'RES Assumptions T15'!$V$3:$W$35,2,FALSE),'COM Assumptions T15'!$E$2:$S$2,0))</f>
        <v>1</v>
      </c>
      <c r="X12" s="1">
        <f ca="1">OFFSET('COM Assumptions T15'!$D12,0,MATCH(VLOOKUP('COM Assumptions'!X$2,'RES Assumptions T15'!$V$3:$W$35,2,FALSE),'COM Assumptions T15'!$E$2:$S$2,0))</f>
        <v>1</v>
      </c>
      <c r="Y12" s="1">
        <f ca="1">OFFSET('COM Assumptions T15'!$D12,0,MATCH(VLOOKUP('COM Assumptions'!Y$2,'RES Assumptions T15'!$V$3:$W$35,2,FALSE),'COM Assumptions T15'!$E$2:$S$2,0))</f>
        <v>1</v>
      </c>
      <c r="Z12" s="1">
        <f ca="1">OFFSET('COM Assumptions T15'!$D12,0,MATCH(VLOOKUP('COM Assumptions'!Z$2,'RES Assumptions T15'!$V$3:$W$35,2,FALSE),'COM Assumptions T15'!$E$2:$S$2,0))</f>
        <v>0.3</v>
      </c>
      <c r="AA12" s="1">
        <f ca="1">OFFSET('COM Assumptions T15'!$D12,0,MATCH(VLOOKUP('COM Assumptions'!AA$2,'RES Assumptions T15'!$V$3:$W$35,2,FALSE),'COM Assumptions T15'!$E$2:$S$2,0))</f>
        <v>0.3</v>
      </c>
      <c r="AB12" s="1">
        <f ca="1">OFFSET('COM Assumptions T15'!$D12,0,MATCH(VLOOKUP('COM Assumptions'!AB$2,'RES Assumptions T15'!$V$3:$W$35,2,FALSE),'COM Assumptions T15'!$E$2:$S$2,0))</f>
        <v>1</v>
      </c>
      <c r="AC12" s="1">
        <f ca="1">OFFSET('COM Assumptions T15'!$D12,0,MATCH(VLOOKUP('COM Assumptions'!AC$2,'RES Assumptions T15'!$V$3:$W$35,2,FALSE),'COM Assumptions T15'!$E$2:$S$2,0))</f>
        <v>0.9</v>
      </c>
      <c r="AD12" s="1">
        <f ca="1">OFFSET('COM Assumptions T15'!$D12,0,MATCH(VLOOKUP('COM Assumptions'!AD$2,'RES Assumptions T15'!$V$3:$W$35,2,FALSE),'COM Assumptions T15'!$E$2:$S$2,0))</f>
        <v>0.3</v>
      </c>
      <c r="AE12" s="1">
        <f ca="1">OFFSET('COM Assumptions T15'!$D12,0,MATCH(VLOOKUP('COM Assumptions'!AE$2,'RES Assumptions T15'!$V$3:$W$35,2,FALSE),'COM Assumptions T15'!$E$2:$S$2,0))</f>
        <v>1</v>
      </c>
      <c r="AF12" s="1">
        <f ca="1">OFFSET('COM Assumptions T15'!$D12,0,MATCH(VLOOKUP('COM Assumptions'!AF$2,'RES Assumptions T15'!$V$3:$W$35,2,FALSE),'COM Assumptions T15'!$E$2:$S$2,0))</f>
        <v>1</v>
      </c>
      <c r="AG12" s="1">
        <f ca="1">OFFSET('COM Assumptions T15'!$D12,0,MATCH(VLOOKUP('COM Assumptions'!AG$2,'RES Assumptions T15'!$V$3:$W$35,2,FALSE),'COM Assumptions T15'!$E$2:$S$2,0))</f>
        <v>1</v>
      </c>
      <c r="AH12" s="1">
        <f ca="1">OFFSET('COM Assumptions T15'!$D12,0,MATCH(VLOOKUP('COM Assumptions'!AH$2,'RES Assumptions T15'!$V$3:$W$35,2,FALSE),'COM Assumptions T15'!$E$2:$S$2,0))</f>
        <v>1</v>
      </c>
      <c r="AI12" s="1"/>
      <c r="AK12" s="10">
        <f ca="1">IFERROR(SUMIFS('COM balance'!E$5:E$25,'COM balance'!$D$5:$D$25,'COM Assumptions'!$A12)*E12,"")</f>
        <v>0</v>
      </c>
      <c r="AL12" s="10">
        <f ca="1">IFERROR(SUMIFS('COM balance'!F$5:F$25,'COM balance'!$D$5:$D$25,'COM Assumptions'!$A12)*F12,"")</f>
        <v>0</v>
      </c>
      <c r="AM12" s="10">
        <f ca="1">IFERROR(SUMIFS('COM balance'!G$5:G$25,'COM balance'!$D$5:$D$25,'COM Assumptions'!$A12)*G12,"")</f>
        <v>0</v>
      </c>
      <c r="AN12" s="10">
        <f ca="1">IFERROR(SUMIFS('COM balance'!H$5:H$25,'COM balance'!$D$5:$D$25,'COM Assumptions'!$A12)*H12,"")</f>
        <v>0</v>
      </c>
      <c r="AO12" s="10">
        <f ca="1">IFERROR(SUMIFS('COM balance'!I$5:I$25,'COM balance'!$D$5:$D$25,'COM Assumptions'!$A12)*I12,"")</f>
        <v>0</v>
      </c>
      <c r="AP12" s="10">
        <f ca="1">IFERROR(SUMIFS('COM balance'!J$5:J$25,'COM balance'!$D$5:$D$25,'COM Assumptions'!$A12)*J12,"")</f>
        <v>0</v>
      </c>
      <c r="AQ12" s="10">
        <f ca="1">IFERROR(SUMIFS('COM balance'!K$5:K$25,'COM balance'!$D$5:$D$25,'COM Assumptions'!$A12)*K12,"")</f>
        <v>0</v>
      </c>
      <c r="AR12" s="10">
        <f ca="1">IFERROR(SUMIFS('COM balance'!L$5:L$25,'COM balance'!$D$5:$D$25,'COM Assumptions'!$A12)*L12,"")</f>
        <v>0</v>
      </c>
      <c r="AS12" s="10">
        <f ca="1">IFERROR(SUMIFS('COM balance'!M$5:M$25,'COM balance'!$D$5:$D$25,'COM Assumptions'!$A12)*M12,"")</f>
        <v>0</v>
      </c>
      <c r="AT12" s="10">
        <f ca="1">IFERROR(SUMIFS('COM balance'!N$5:N$25,'COM balance'!$D$5:$D$25,'COM Assumptions'!$A12)*N12,"")</f>
        <v>0</v>
      </c>
      <c r="AU12" s="10">
        <f ca="1">IFERROR(SUMIFS('COM balance'!O$5:O$25,'COM balance'!$D$5:$D$25,'COM Assumptions'!$A12)*O12,"")</f>
        <v>0</v>
      </c>
      <c r="AV12" s="10">
        <f ca="1">IFERROR(SUMIFS('COM balance'!P$5:P$25,'COM balance'!$D$5:$D$25,'COM Assumptions'!$A12)*P12,"")</f>
        <v>0</v>
      </c>
      <c r="AW12" s="10">
        <f ca="1">IFERROR(SUMIFS('COM balance'!Q$5:Q$25,'COM balance'!$D$5:$D$25,'COM Assumptions'!$A12)*Q12,"")</f>
        <v>0</v>
      </c>
      <c r="AX12" s="10">
        <f ca="1">IFERROR(SUMIFS('COM balance'!R$5:R$25,'COM balance'!$D$5:$D$25,'COM Assumptions'!$A12)*R12,"")</f>
        <v>0</v>
      </c>
      <c r="AY12" s="10">
        <f ca="1">IFERROR(SUMIFS('COM balance'!S$5:S$25,'COM balance'!$D$5:$D$25,'COM Assumptions'!$A12)*S12,"")</f>
        <v>0</v>
      </c>
      <c r="AZ12" s="10">
        <f ca="1">IFERROR(SUMIFS('COM balance'!T$5:T$25,'COM balance'!$D$5:$D$25,'COM Assumptions'!$A12)*T12,"")</f>
        <v>0</v>
      </c>
      <c r="BA12" s="10">
        <f ca="1">IFERROR(SUMIFS('COM balance'!U$5:U$25,'COM balance'!$D$5:$D$25,'COM Assumptions'!$A12)*U12,"")</f>
        <v>0</v>
      </c>
      <c r="BB12" s="10">
        <f ca="1">IFERROR(SUMIFS('COM balance'!V$5:V$25,'COM balance'!$D$5:$D$25,'COM Assumptions'!$A12)*V12,"")</f>
        <v>0</v>
      </c>
      <c r="BC12" s="10">
        <f ca="1">IFERROR(SUMIFS('COM balance'!W$5:W$25,'COM balance'!$D$5:$D$25,'COM Assumptions'!$A12)*W12,"")</f>
        <v>0</v>
      </c>
      <c r="BD12" s="10">
        <f ca="1">IFERROR(SUMIFS('COM balance'!X$5:X$25,'COM balance'!$D$5:$D$25,'COM Assumptions'!$A12)*X12,"")</f>
        <v>0</v>
      </c>
      <c r="BE12" s="10">
        <f ca="1">IFERROR(SUMIFS('COM balance'!Y$5:Y$25,'COM balance'!$D$5:$D$25,'COM Assumptions'!$A12)*Y12,"")</f>
        <v>0</v>
      </c>
      <c r="BF12" s="10">
        <f ca="1">IFERROR(SUMIFS('COM balance'!Z$5:Z$25,'COM balance'!$D$5:$D$25,'COM Assumptions'!$A12)*Z12,"")</f>
        <v>0</v>
      </c>
      <c r="BG12" s="10">
        <f ca="1">IFERROR(SUMIFS('COM balance'!AA$5:AA$25,'COM balance'!$D$5:$D$25,'COM Assumptions'!$A12)*AA12,"")</f>
        <v>0</v>
      </c>
      <c r="BH12" s="10">
        <f ca="1">IFERROR(SUMIFS('COM balance'!AB$5:AB$25,'COM balance'!$D$5:$D$25,'COM Assumptions'!$A12)*AB12,"")</f>
        <v>0</v>
      </c>
      <c r="BI12" s="10">
        <f ca="1">IFERROR(SUMIFS('COM balance'!AC$5:AC$25,'COM balance'!$D$5:$D$25,'COM Assumptions'!$A12)*AC12,"")</f>
        <v>0</v>
      </c>
      <c r="BJ12" s="10">
        <f ca="1">IFERROR(SUMIFS('COM balance'!AD$5:AD$25,'COM balance'!$D$5:$D$25,'COM Assumptions'!$A12)*AD12,"")</f>
        <v>0</v>
      </c>
      <c r="BK12" s="10">
        <f ca="1">IFERROR(SUMIFS('COM balance'!AE$5:AE$25,'COM balance'!$D$5:$D$25,'COM Assumptions'!$A12)*AE12,"")</f>
        <v>0</v>
      </c>
      <c r="BL12" s="10">
        <f ca="1">IFERROR(SUMIFS('COM balance'!AF$5:AF$25,'COM balance'!$D$5:$D$25,'COM Assumptions'!$A12)*AF12,"")</f>
        <v>0</v>
      </c>
      <c r="BM12" s="10">
        <f ca="1">IFERROR(SUMIFS('COM balance'!AG$5:AG$25,'COM balance'!$D$5:$D$25,'COM Assumptions'!$A12)*AG12,"")</f>
        <v>0</v>
      </c>
      <c r="BN12" s="10">
        <f ca="1">IFERROR(SUMIFS('COM balance'!AH$5:AH$25,'COM balance'!$D$5:$D$25,'COM Assumptions'!$A12)*AH12,"")</f>
        <v>0</v>
      </c>
      <c r="BQ12" t="s">
        <v>78</v>
      </c>
      <c r="BS12">
        <f t="shared" ca="1" si="3"/>
        <v>0.99999999999999989</v>
      </c>
      <c r="BT12">
        <f t="shared" ca="1" si="4"/>
        <v>0.99999999999999989</v>
      </c>
      <c r="BU12">
        <f t="shared" ca="1" si="5"/>
        <v>0.99999999999999989</v>
      </c>
      <c r="BV12">
        <f t="shared" ca="1" si="6"/>
        <v>1</v>
      </c>
      <c r="BW12">
        <f t="shared" ca="1" si="7"/>
        <v>1</v>
      </c>
      <c r="BX12">
        <f t="shared" ca="1" si="8"/>
        <v>1</v>
      </c>
      <c r="BY12">
        <f t="shared" ca="1" si="9"/>
        <v>1</v>
      </c>
      <c r="BZ12">
        <f t="shared" ca="1" si="10"/>
        <v>0.99999999999999989</v>
      </c>
      <c r="CA12">
        <f t="shared" ca="1" si="11"/>
        <v>1</v>
      </c>
      <c r="CB12">
        <f t="shared" ca="1" si="12"/>
        <v>1</v>
      </c>
      <c r="CC12">
        <f t="shared" ca="1" si="13"/>
        <v>1</v>
      </c>
      <c r="CD12">
        <f t="shared" ca="1" si="14"/>
        <v>1</v>
      </c>
      <c r="CE12">
        <f t="shared" ca="1" si="15"/>
        <v>1</v>
      </c>
      <c r="CF12">
        <f t="shared" ca="1" si="16"/>
        <v>1</v>
      </c>
      <c r="CG12">
        <f t="shared" ca="1" si="17"/>
        <v>1</v>
      </c>
    </row>
    <row r="13" spans="1:85" x14ac:dyDescent="0.45">
      <c r="A13" s="8">
        <f>VLOOKUP(C13,'COM balance'!$AM$5:$AN$25,2,FALSE)</f>
        <v>0</v>
      </c>
      <c r="B13" s="36"/>
      <c r="C13" s="20" t="s">
        <v>73</v>
      </c>
      <c r="D13" s="41" t="s">
        <v>84</v>
      </c>
      <c r="E13" s="25">
        <f ca="1">OFFSET('COM Assumptions T15'!$D13,0,MATCH(VLOOKUP('COM Assumptions'!E$2,'RES Assumptions T15'!$V$3:$W$35,2,FALSE),'COM Assumptions T15'!$E$2:$S$2,0))</f>
        <v>0</v>
      </c>
      <c r="F13" s="25">
        <f ca="1">OFFSET('COM Assumptions T15'!$D13,0,MATCH(VLOOKUP('COM Assumptions'!F$2,'RES Assumptions T15'!$V$3:$W$35,2,FALSE),'COM Assumptions T15'!$E$2:$S$2,0))</f>
        <v>0</v>
      </c>
      <c r="G13" s="25">
        <f ca="1">OFFSET('COM Assumptions T15'!$D13,0,MATCH(VLOOKUP('COM Assumptions'!G$2,'RES Assumptions T15'!$V$3:$W$35,2,FALSE),'COM Assumptions T15'!$E$2:$S$2,0))</f>
        <v>0</v>
      </c>
      <c r="H13" s="25">
        <f ca="1">OFFSET('COM Assumptions T15'!$D13,0,MATCH(VLOOKUP('COM Assumptions'!H$2,'RES Assumptions T15'!$V$3:$W$35,2,FALSE),'COM Assumptions T15'!$E$2:$S$2,0))</f>
        <v>0.1</v>
      </c>
      <c r="I13" s="25">
        <f ca="1">OFFSET('COM Assumptions T15'!$D13,0,MATCH(VLOOKUP('COM Assumptions'!I$2,'RES Assumptions T15'!$V$3:$W$35,2,FALSE),'COM Assumptions T15'!$E$2:$S$2,0))</f>
        <v>0.4</v>
      </c>
      <c r="J13" s="25">
        <f ca="1">OFFSET('COM Assumptions T15'!$D13,0,MATCH(VLOOKUP('COM Assumptions'!J$2,'RES Assumptions T15'!$V$3:$W$35,2,FALSE),'COM Assumptions T15'!$E$2:$S$2,0))</f>
        <v>0.3</v>
      </c>
      <c r="K13" s="25">
        <f ca="1">OFFSET('COM Assumptions T15'!$D13,0,MATCH(VLOOKUP('COM Assumptions'!K$2,'RES Assumptions T15'!$V$3:$W$35,2,FALSE),'COM Assumptions T15'!$E$2:$S$2,0))</f>
        <v>0.1</v>
      </c>
      <c r="L13" s="25">
        <f ca="1">OFFSET('COM Assumptions T15'!$D13,0,MATCH(VLOOKUP('COM Assumptions'!L$2,'RES Assumptions T15'!$V$3:$W$35,2,FALSE),'COM Assumptions T15'!$E$2:$S$2,0))</f>
        <v>0</v>
      </c>
      <c r="M13" s="25">
        <f ca="1">OFFSET('COM Assumptions T15'!$D13,0,MATCH(VLOOKUP('COM Assumptions'!M$2,'RES Assumptions T15'!$V$3:$W$35,2,FALSE),'COM Assumptions T15'!$E$2:$S$2,0))</f>
        <v>0.1</v>
      </c>
      <c r="N13" s="25">
        <f ca="1">OFFSET('COM Assumptions T15'!$D13,0,MATCH(VLOOKUP('COM Assumptions'!N$2,'RES Assumptions T15'!$V$3:$W$35,2,FALSE),'COM Assumptions T15'!$E$2:$S$2,0))</f>
        <v>0</v>
      </c>
      <c r="O13" s="25">
        <f ca="1">OFFSET('COM Assumptions T15'!$D13,0,MATCH(VLOOKUP('COM Assumptions'!O$2,'RES Assumptions T15'!$V$3:$W$35,2,FALSE),'COM Assumptions T15'!$E$2:$S$2,0))</f>
        <v>0</v>
      </c>
      <c r="P13" s="1">
        <f ca="1">OFFSET('COM Assumptions T15'!$D13,0,MATCH(VLOOKUP('COM Assumptions'!P$2,'RES Assumptions T15'!$V$3:$W$35,2,FALSE),'COM Assumptions T15'!$E$2:$S$2,0))</f>
        <v>0.1</v>
      </c>
      <c r="Q13" s="1">
        <f ca="1">OFFSET('COM Assumptions T15'!$D13,0,MATCH(VLOOKUP('COM Assumptions'!Q$2,'RES Assumptions T15'!$V$3:$W$35,2,FALSE),'COM Assumptions T15'!$E$2:$S$2,0))</f>
        <v>0</v>
      </c>
      <c r="R13" s="1">
        <f ca="1">OFFSET('COM Assumptions T15'!$D13,0,MATCH(VLOOKUP('COM Assumptions'!R$2,'RES Assumptions T15'!$V$3:$W$35,2,FALSE),'COM Assumptions T15'!$E$2:$S$2,0))</f>
        <v>0</v>
      </c>
      <c r="S13" s="1">
        <f ca="1">OFFSET('COM Assumptions T15'!$D13,0,MATCH(VLOOKUP('COM Assumptions'!S$2,'RES Assumptions T15'!$V$3:$W$35,2,FALSE),'COM Assumptions T15'!$E$2:$S$2,0))</f>
        <v>0.1</v>
      </c>
      <c r="T13" s="1">
        <f ca="1">OFFSET('COM Assumptions T15'!$D13,0,MATCH(VLOOKUP('COM Assumptions'!T$2,'RES Assumptions T15'!$V$3:$W$35,2,FALSE),'COM Assumptions T15'!$E$2:$S$2,0))</f>
        <v>0</v>
      </c>
      <c r="U13" s="1">
        <f ca="1">OFFSET('COM Assumptions T15'!$D13,0,MATCH(VLOOKUP('COM Assumptions'!U$2,'RES Assumptions T15'!$V$3:$W$35,2,FALSE),'COM Assumptions T15'!$E$2:$S$2,0))</f>
        <v>0.7</v>
      </c>
      <c r="V13" s="1">
        <f ca="1">OFFSET('COM Assumptions T15'!$D13,0,MATCH(VLOOKUP('COM Assumptions'!V$2,'RES Assumptions T15'!$V$3:$W$35,2,FALSE),'COM Assumptions T15'!$E$2:$S$2,0))</f>
        <v>0</v>
      </c>
      <c r="W13" s="1">
        <f ca="1">OFFSET('COM Assumptions T15'!$D13,0,MATCH(VLOOKUP('COM Assumptions'!W$2,'RES Assumptions T15'!$V$3:$W$35,2,FALSE),'COM Assumptions T15'!$E$2:$S$2,0))</f>
        <v>0</v>
      </c>
      <c r="X13" s="1">
        <f ca="1">OFFSET('COM Assumptions T15'!$D13,0,MATCH(VLOOKUP('COM Assumptions'!X$2,'RES Assumptions T15'!$V$3:$W$35,2,FALSE),'COM Assumptions T15'!$E$2:$S$2,0))</f>
        <v>0</v>
      </c>
      <c r="Y13" s="1">
        <f ca="1">OFFSET('COM Assumptions T15'!$D13,0,MATCH(VLOOKUP('COM Assumptions'!Y$2,'RES Assumptions T15'!$V$3:$W$35,2,FALSE),'COM Assumptions T15'!$E$2:$S$2,0))</f>
        <v>0</v>
      </c>
      <c r="Z13" s="1">
        <f ca="1">OFFSET('COM Assumptions T15'!$D13,0,MATCH(VLOOKUP('COM Assumptions'!Z$2,'RES Assumptions T15'!$V$3:$W$35,2,FALSE),'COM Assumptions T15'!$E$2:$S$2,0))</f>
        <v>0.7</v>
      </c>
      <c r="AA13" s="1">
        <f ca="1">OFFSET('COM Assumptions T15'!$D13,0,MATCH(VLOOKUP('COM Assumptions'!AA$2,'RES Assumptions T15'!$V$3:$W$35,2,FALSE),'COM Assumptions T15'!$E$2:$S$2,0))</f>
        <v>0.7</v>
      </c>
      <c r="AB13" s="1">
        <f ca="1">OFFSET('COM Assumptions T15'!$D13,0,MATCH(VLOOKUP('COM Assumptions'!AB$2,'RES Assumptions T15'!$V$3:$W$35,2,FALSE),'COM Assumptions T15'!$E$2:$S$2,0))</f>
        <v>0</v>
      </c>
      <c r="AC13" s="1">
        <f ca="1">OFFSET('COM Assumptions T15'!$D13,0,MATCH(VLOOKUP('COM Assumptions'!AC$2,'RES Assumptions T15'!$V$3:$W$35,2,FALSE),'COM Assumptions T15'!$E$2:$S$2,0))</f>
        <v>0.1</v>
      </c>
      <c r="AD13" s="1">
        <f ca="1">OFFSET('COM Assumptions T15'!$D13,0,MATCH(VLOOKUP('COM Assumptions'!AD$2,'RES Assumptions T15'!$V$3:$W$35,2,FALSE),'COM Assumptions T15'!$E$2:$S$2,0))</f>
        <v>0.7</v>
      </c>
      <c r="AE13" s="1">
        <f ca="1">OFFSET('COM Assumptions T15'!$D13,0,MATCH(VLOOKUP('COM Assumptions'!AE$2,'RES Assumptions T15'!$V$3:$W$35,2,FALSE),'COM Assumptions T15'!$E$2:$S$2,0))</f>
        <v>0</v>
      </c>
      <c r="AF13" s="1">
        <f ca="1">OFFSET('COM Assumptions T15'!$D13,0,MATCH(VLOOKUP('COM Assumptions'!AF$2,'RES Assumptions T15'!$V$3:$W$35,2,FALSE),'COM Assumptions T15'!$E$2:$S$2,0))</f>
        <v>0</v>
      </c>
      <c r="AG13" s="1">
        <f ca="1">OFFSET('COM Assumptions T15'!$D13,0,MATCH(VLOOKUP('COM Assumptions'!AG$2,'RES Assumptions T15'!$V$3:$W$35,2,FALSE),'COM Assumptions T15'!$E$2:$S$2,0))</f>
        <v>0</v>
      </c>
      <c r="AH13" s="1">
        <f ca="1">OFFSET('COM Assumptions T15'!$D13,0,MATCH(VLOOKUP('COM Assumptions'!AH$2,'RES Assumptions T15'!$V$3:$W$35,2,FALSE),'COM Assumptions T15'!$E$2:$S$2,0))</f>
        <v>0</v>
      </c>
      <c r="AI13" s="1"/>
      <c r="AK13" s="10">
        <f ca="1">IFERROR(SUMIFS('COM balance'!E$5:E$25,'COM balance'!$D$5:$D$25,'COM Assumptions'!$A13)*E13,"")</f>
        <v>0</v>
      </c>
      <c r="AL13" s="10">
        <f ca="1">IFERROR(SUMIFS('COM balance'!F$5:F$25,'COM balance'!$D$5:$D$25,'COM Assumptions'!$A13)*F13,"")</f>
        <v>0</v>
      </c>
      <c r="AM13" s="10">
        <f ca="1">IFERROR(SUMIFS('COM balance'!G$5:G$25,'COM balance'!$D$5:$D$25,'COM Assumptions'!$A13)*G13,"")</f>
        <v>0</v>
      </c>
      <c r="AN13" s="10">
        <f ca="1">IFERROR(SUMIFS('COM balance'!H$5:H$25,'COM balance'!$D$5:$D$25,'COM Assumptions'!$A13)*H13,"")</f>
        <v>0</v>
      </c>
      <c r="AO13" s="10">
        <f ca="1">IFERROR(SUMIFS('COM balance'!I$5:I$25,'COM balance'!$D$5:$D$25,'COM Assumptions'!$A13)*I13,"")</f>
        <v>0</v>
      </c>
      <c r="AP13" s="10">
        <f ca="1">IFERROR(SUMIFS('COM balance'!J$5:J$25,'COM balance'!$D$5:$D$25,'COM Assumptions'!$A13)*J13,"")</f>
        <v>0</v>
      </c>
      <c r="AQ13" s="10">
        <f ca="1">IFERROR(SUMIFS('COM balance'!K$5:K$25,'COM balance'!$D$5:$D$25,'COM Assumptions'!$A13)*K13,"")</f>
        <v>0</v>
      </c>
      <c r="AR13" s="10">
        <f ca="1">IFERROR(SUMIFS('COM balance'!L$5:L$25,'COM balance'!$D$5:$D$25,'COM Assumptions'!$A13)*L13,"")</f>
        <v>0</v>
      </c>
      <c r="AS13" s="10">
        <f ca="1">IFERROR(SUMIFS('COM balance'!M$5:M$25,'COM balance'!$D$5:$D$25,'COM Assumptions'!$A13)*M13,"")</f>
        <v>0</v>
      </c>
      <c r="AT13" s="10">
        <f ca="1">IFERROR(SUMIFS('COM balance'!N$5:N$25,'COM balance'!$D$5:$D$25,'COM Assumptions'!$A13)*N13,"")</f>
        <v>0</v>
      </c>
      <c r="AU13" s="10">
        <f ca="1">IFERROR(SUMIFS('COM balance'!O$5:O$25,'COM balance'!$D$5:$D$25,'COM Assumptions'!$A13)*O13,"")</f>
        <v>0</v>
      </c>
      <c r="AV13" s="10">
        <f ca="1">IFERROR(SUMIFS('COM balance'!P$5:P$25,'COM balance'!$D$5:$D$25,'COM Assumptions'!$A13)*P13,"")</f>
        <v>0</v>
      </c>
      <c r="AW13" s="10">
        <f ca="1">IFERROR(SUMIFS('COM balance'!Q$5:Q$25,'COM balance'!$D$5:$D$25,'COM Assumptions'!$A13)*Q13,"")</f>
        <v>0</v>
      </c>
      <c r="AX13" s="10">
        <f ca="1">IFERROR(SUMIFS('COM balance'!R$5:R$25,'COM balance'!$D$5:$D$25,'COM Assumptions'!$A13)*R13,"")</f>
        <v>0</v>
      </c>
      <c r="AY13" s="10">
        <f ca="1">IFERROR(SUMIFS('COM balance'!S$5:S$25,'COM balance'!$D$5:$D$25,'COM Assumptions'!$A13)*S13,"")</f>
        <v>0</v>
      </c>
      <c r="AZ13" s="10">
        <f ca="1">IFERROR(SUMIFS('COM balance'!T$5:T$25,'COM balance'!$D$5:$D$25,'COM Assumptions'!$A13)*T13,"")</f>
        <v>0</v>
      </c>
      <c r="BA13" s="10">
        <f ca="1">IFERROR(SUMIFS('COM balance'!U$5:U$25,'COM balance'!$D$5:$D$25,'COM Assumptions'!$A13)*U13,"")</f>
        <v>0</v>
      </c>
      <c r="BB13" s="10">
        <f ca="1">IFERROR(SUMIFS('COM balance'!V$5:V$25,'COM balance'!$D$5:$D$25,'COM Assumptions'!$A13)*V13,"")</f>
        <v>0</v>
      </c>
      <c r="BC13" s="10">
        <f ca="1">IFERROR(SUMIFS('COM balance'!W$5:W$25,'COM balance'!$D$5:$D$25,'COM Assumptions'!$A13)*W13,"")</f>
        <v>0</v>
      </c>
      <c r="BD13" s="10">
        <f ca="1">IFERROR(SUMIFS('COM balance'!X$5:X$25,'COM balance'!$D$5:$D$25,'COM Assumptions'!$A13)*X13,"")</f>
        <v>0</v>
      </c>
      <c r="BE13" s="10">
        <f ca="1">IFERROR(SUMIFS('COM balance'!Y$5:Y$25,'COM balance'!$D$5:$D$25,'COM Assumptions'!$A13)*Y13,"")</f>
        <v>0</v>
      </c>
      <c r="BF13" s="10">
        <f ca="1">IFERROR(SUMIFS('COM balance'!Z$5:Z$25,'COM balance'!$D$5:$D$25,'COM Assumptions'!$A13)*Z13,"")</f>
        <v>0</v>
      </c>
      <c r="BG13" s="10">
        <f ca="1">IFERROR(SUMIFS('COM balance'!AA$5:AA$25,'COM balance'!$D$5:$D$25,'COM Assumptions'!$A13)*AA13,"")</f>
        <v>0</v>
      </c>
      <c r="BH13" s="10">
        <f ca="1">IFERROR(SUMIFS('COM balance'!AB$5:AB$25,'COM balance'!$D$5:$D$25,'COM Assumptions'!$A13)*AB13,"")</f>
        <v>0</v>
      </c>
      <c r="BI13" s="10">
        <f ca="1">IFERROR(SUMIFS('COM balance'!AC$5:AC$25,'COM balance'!$D$5:$D$25,'COM Assumptions'!$A13)*AC13,"")</f>
        <v>0</v>
      </c>
      <c r="BJ13" s="10">
        <f ca="1">IFERROR(SUMIFS('COM balance'!AD$5:AD$25,'COM balance'!$D$5:$D$25,'COM Assumptions'!$A13)*AD13,"")</f>
        <v>0</v>
      </c>
      <c r="BK13" s="10">
        <f ca="1">IFERROR(SUMIFS('COM balance'!AE$5:AE$25,'COM balance'!$D$5:$D$25,'COM Assumptions'!$A13)*AE13,"")</f>
        <v>0</v>
      </c>
      <c r="BL13" s="10">
        <f ca="1">IFERROR(SUMIFS('COM balance'!AF$5:AF$25,'COM balance'!$D$5:$D$25,'COM Assumptions'!$A13)*AF13,"")</f>
        <v>0</v>
      </c>
      <c r="BM13" s="10">
        <f ca="1">IFERROR(SUMIFS('COM balance'!AG$5:AG$25,'COM balance'!$D$5:$D$25,'COM Assumptions'!$A13)*AG13,"")</f>
        <v>0</v>
      </c>
      <c r="BN13" s="10">
        <f ca="1">IFERROR(SUMIFS('COM balance'!AH$5:AH$25,'COM balance'!$D$5:$D$25,'COM Assumptions'!$A13)*AH13,"")</f>
        <v>0</v>
      </c>
      <c r="BQ13" t="s">
        <v>34</v>
      </c>
      <c r="BS13">
        <f t="shared" ca="1" si="3"/>
        <v>1</v>
      </c>
      <c r="BT13">
        <f t="shared" ca="1" si="4"/>
        <v>1</v>
      </c>
      <c r="BU13">
        <f t="shared" ca="1" si="5"/>
        <v>1</v>
      </c>
      <c r="BV13">
        <f t="shared" ca="1" si="6"/>
        <v>1</v>
      </c>
      <c r="BW13">
        <f t="shared" ca="1" si="7"/>
        <v>1</v>
      </c>
      <c r="BX13">
        <f t="shared" ca="1" si="8"/>
        <v>1</v>
      </c>
      <c r="BY13">
        <f t="shared" ca="1" si="9"/>
        <v>1</v>
      </c>
      <c r="BZ13">
        <f t="shared" ca="1" si="10"/>
        <v>1</v>
      </c>
      <c r="CA13">
        <f t="shared" ca="1" si="11"/>
        <v>1</v>
      </c>
      <c r="CB13">
        <f t="shared" ca="1" si="12"/>
        <v>1</v>
      </c>
      <c r="CC13">
        <f t="shared" ca="1" si="13"/>
        <v>1</v>
      </c>
      <c r="CD13">
        <f t="shared" ca="1" si="14"/>
        <v>1</v>
      </c>
      <c r="CE13">
        <f t="shared" ca="1" si="15"/>
        <v>1</v>
      </c>
      <c r="CF13">
        <f t="shared" ca="1" si="16"/>
        <v>1</v>
      </c>
      <c r="CG13">
        <f t="shared" ca="1" si="17"/>
        <v>1</v>
      </c>
    </row>
    <row r="14" spans="1:85" x14ac:dyDescent="0.45">
      <c r="A14" s="8">
        <f>VLOOKUP(C14,'COM balance'!$AM$5:$AN$25,2,FALSE)</f>
        <v>0</v>
      </c>
      <c r="B14" s="36"/>
      <c r="C14" s="22" t="s">
        <v>73</v>
      </c>
      <c r="D14" s="42" t="s">
        <v>89</v>
      </c>
      <c r="E14" s="26">
        <f ca="1">OFFSET('COM Assumptions T15'!$D14,0,MATCH(VLOOKUP('COM Assumptions'!E$2,'RES Assumptions T15'!$V$3:$W$35,2,FALSE),'COM Assumptions T15'!$E$2:$S$2,0))</f>
        <v>0</v>
      </c>
      <c r="F14" s="26">
        <f ca="1">OFFSET('COM Assumptions T15'!$D14,0,MATCH(VLOOKUP('COM Assumptions'!F$2,'RES Assumptions T15'!$V$3:$W$35,2,FALSE),'COM Assumptions T15'!$E$2:$S$2,0))</f>
        <v>0</v>
      </c>
      <c r="G14" s="26">
        <f ca="1">OFFSET('COM Assumptions T15'!$D14,0,MATCH(VLOOKUP('COM Assumptions'!G$2,'RES Assumptions T15'!$V$3:$W$35,2,FALSE),'COM Assumptions T15'!$E$2:$S$2,0))</f>
        <v>0</v>
      </c>
      <c r="H14" s="26">
        <f ca="1">OFFSET('COM Assumptions T15'!$D14,0,MATCH(VLOOKUP('COM Assumptions'!H$2,'RES Assumptions T15'!$V$3:$W$35,2,FALSE),'COM Assumptions T15'!$E$2:$S$2,0))</f>
        <v>0</v>
      </c>
      <c r="I14" s="26">
        <f ca="1">OFFSET('COM Assumptions T15'!$D14,0,MATCH(VLOOKUP('COM Assumptions'!I$2,'RES Assumptions T15'!$V$3:$W$35,2,FALSE),'COM Assumptions T15'!$E$2:$S$2,0))</f>
        <v>0</v>
      </c>
      <c r="J14" s="26">
        <f ca="1">OFFSET('COM Assumptions T15'!$D14,0,MATCH(VLOOKUP('COM Assumptions'!J$2,'RES Assumptions T15'!$V$3:$W$35,2,FALSE),'COM Assumptions T15'!$E$2:$S$2,0))</f>
        <v>0</v>
      </c>
      <c r="K14" s="26">
        <f ca="1">OFFSET('COM Assumptions T15'!$D14,0,MATCH(VLOOKUP('COM Assumptions'!K$2,'RES Assumptions T15'!$V$3:$W$35,2,FALSE),'COM Assumptions T15'!$E$2:$S$2,0))</f>
        <v>0</v>
      </c>
      <c r="L14" s="26">
        <f ca="1">OFFSET('COM Assumptions T15'!$D14,0,MATCH(VLOOKUP('COM Assumptions'!L$2,'RES Assumptions T15'!$V$3:$W$35,2,FALSE),'COM Assumptions T15'!$E$2:$S$2,0))</f>
        <v>0</v>
      </c>
      <c r="M14" s="26">
        <f ca="1">OFFSET('COM Assumptions T15'!$D14,0,MATCH(VLOOKUP('COM Assumptions'!M$2,'RES Assumptions T15'!$V$3:$W$35,2,FALSE),'COM Assumptions T15'!$E$2:$S$2,0))</f>
        <v>0</v>
      </c>
      <c r="N14" s="26">
        <f ca="1">OFFSET('COM Assumptions T15'!$D14,0,MATCH(VLOOKUP('COM Assumptions'!N$2,'RES Assumptions T15'!$V$3:$W$35,2,FALSE),'COM Assumptions T15'!$E$2:$S$2,0))</f>
        <v>0</v>
      </c>
      <c r="O14" s="26">
        <f ca="1">OFFSET('COM Assumptions T15'!$D14,0,MATCH(VLOOKUP('COM Assumptions'!O$2,'RES Assumptions T15'!$V$3:$W$35,2,FALSE),'COM Assumptions T15'!$E$2:$S$2,0))</f>
        <v>0</v>
      </c>
      <c r="P14" s="1">
        <f ca="1">OFFSET('COM Assumptions T15'!$D14,0,MATCH(VLOOKUP('COM Assumptions'!P$2,'RES Assumptions T15'!$V$3:$W$35,2,FALSE),'COM Assumptions T15'!$E$2:$S$2,0))</f>
        <v>0</v>
      </c>
      <c r="Q14" s="1">
        <f ca="1">OFFSET('COM Assumptions T15'!$D14,0,MATCH(VLOOKUP('COM Assumptions'!Q$2,'RES Assumptions T15'!$V$3:$W$35,2,FALSE),'COM Assumptions T15'!$E$2:$S$2,0))</f>
        <v>0</v>
      </c>
      <c r="R14" s="1">
        <f ca="1">OFFSET('COM Assumptions T15'!$D14,0,MATCH(VLOOKUP('COM Assumptions'!R$2,'RES Assumptions T15'!$V$3:$W$35,2,FALSE),'COM Assumptions T15'!$E$2:$S$2,0))</f>
        <v>0</v>
      </c>
      <c r="S14" s="1">
        <f ca="1">OFFSET('COM Assumptions T15'!$D14,0,MATCH(VLOOKUP('COM Assumptions'!S$2,'RES Assumptions T15'!$V$3:$W$35,2,FALSE),'COM Assumptions T15'!$E$2:$S$2,0))</f>
        <v>0</v>
      </c>
      <c r="T14" s="1">
        <f ca="1">OFFSET('COM Assumptions T15'!$D14,0,MATCH(VLOOKUP('COM Assumptions'!T$2,'RES Assumptions T15'!$V$3:$W$35,2,FALSE),'COM Assumptions T15'!$E$2:$S$2,0))</f>
        <v>0</v>
      </c>
      <c r="U14" s="1">
        <f ca="1">OFFSET('COM Assumptions T15'!$D14,0,MATCH(VLOOKUP('COM Assumptions'!U$2,'RES Assumptions T15'!$V$3:$W$35,2,FALSE),'COM Assumptions T15'!$E$2:$S$2,0))</f>
        <v>0</v>
      </c>
      <c r="V14" s="1">
        <f ca="1">OFFSET('COM Assumptions T15'!$D14,0,MATCH(VLOOKUP('COM Assumptions'!V$2,'RES Assumptions T15'!$V$3:$W$35,2,FALSE),'COM Assumptions T15'!$E$2:$S$2,0))</f>
        <v>0</v>
      </c>
      <c r="W14" s="1">
        <f ca="1">OFFSET('COM Assumptions T15'!$D14,0,MATCH(VLOOKUP('COM Assumptions'!W$2,'RES Assumptions T15'!$V$3:$W$35,2,FALSE),'COM Assumptions T15'!$E$2:$S$2,0))</f>
        <v>0</v>
      </c>
      <c r="X14" s="1">
        <f ca="1">OFFSET('COM Assumptions T15'!$D14,0,MATCH(VLOOKUP('COM Assumptions'!X$2,'RES Assumptions T15'!$V$3:$W$35,2,FALSE),'COM Assumptions T15'!$E$2:$S$2,0))</f>
        <v>0</v>
      </c>
      <c r="Y14" s="1">
        <f ca="1">OFFSET('COM Assumptions T15'!$D14,0,MATCH(VLOOKUP('COM Assumptions'!Y$2,'RES Assumptions T15'!$V$3:$W$35,2,FALSE),'COM Assumptions T15'!$E$2:$S$2,0))</f>
        <v>0</v>
      </c>
      <c r="Z14" s="1">
        <f ca="1">OFFSET('COM Assumptions T15'!$D14,0,MATCH(VLOOKUP('COM Assumptions'!Z$2,'RES Assumptions T15'!$V$3:$W$35,2,FALSE),'COM Assumptions T15'!$E$2:$S$2,0))</f>
        <v>0</v>
      </c>
      <c r="AA14" s="1">
        <f ca="1">OFFSET('COM Assumptions T15'!$D14,0,MATCH(VLOOKUP('COM Assumptions'!AA$2,'RES Assumptions T15'!$V$3:$W$35,2,FALSE),'COM Assumptions T15'!$E$2:$S$2,0))</f>
        <v>0</v>
      </c>
      <c r="AB14" s="1">
        <f ca="1">OFFSET('COM Assumptions T15'!$D14,0,MATCH(VLOOKUP('COM Assumptions'!AB$2,'RES Assumptions T15'!$V$3:$W$35,2,FALSE),'COM Assumptions T15'!$E$2:$S$2,0))</f>
        <v>0</v>
      </c>
      <c r="AC14" s="1">
        <f ca="1">OFFSET('COM Assumptions T15'!$D14,0,MATCH(VLOOKUP('COM Assumptions'!AC$2,'RES Assumptions T15'!$V$3:$W$35,2,FALSE),'COM Assumptions T15'!$E$2:$S$2,0))</f>
        <v>0</v>
      </c>
      <c r="AD14" s="1">
        <f ca="1">OFFSET('COM Assumptions T15'!$D14,0,MATCH(VLOOKUP('COM Assumptions'!AD$2,'RES Assumptions T15'!$V$3:$W$35,2,FALSE),'COM Assumptions T15'!$E$2:$S$2,0))</f>
        <v>0</v>
      </c>
      <c r="AE14" s="1">
        <f ca="1">OFFSET('COM Assumptions T15'!$D14,0,MATCH(VLOOKUP('COM Assumptions'!AE$2,'RES Assumptions T15'!$V$3:$W$35,2,FALSE),'COM Assumptions T15'!$E$2:$S$2,0))</f>
        <v>0</v>
      </c>
      <c r="AF14" s="1">
        <f ca="1">OFFSET('COM Assumptions T15'!$D14,0,MATCH(VLOOKUP('COM Assumptions'!AF$2,'RES Assumptions T15'!$V$3:$W$35,2,FALSE),'COM Assumptions T15'!$E$2:$S$2,0))</f>
        <v>0</v>
      </c>
      <c r="AG14" s="1">
        <f ca="1">OFFSET('COM Assumptions T15'!$D14,0,MATCH(VLOOKUP('COM Assumptions'!AG$2,'RES Assumptions T15'!$V$3:$W$35,2,FALSE),'COM Assumptions T15'!$E$2:$S$2,0))</f>
        <v>0</v>
      </c>
      <c r="AH14" s="1">
        <f ca="1">OFFSET('COM Assumptions T15'!$D14,0,MATCH(VLOOKUP('COM Assumptions'!AH$2,'RES Assumptions T15'!$V$3:$W$35,2,FALSE),'COM Assumptions T15'!$E$2:$S$2,0))</f>
        <v>0</v>
      </c>
      <c r="AI14" s="1"/>
      <c r="AK14" s="10">
        <f ca="1">IFERROR(SUMIFS('COM balance'!E$5:E$25,'COM balance'!$D$5:$D$25,'COM Assumptions'!$A14)*E14,"")</f>
        <v>0</v>
      </c>
      <c r="AL14" s="10">
        <f ca="1">IFERROR(SUMIFS('COM balance'!F$5:F$25,'COM balance'!$D$5:$D$25,'COM Assumptions'!$A14)*F14,"")</f>
        <v>0</v>
      </c>
      <c r="AM14" s="10">
        <f ca="1">IFERROR(SUMIFS('COM balance'!G$5:G$25,'COM balance'!$D$5:$D$25,'COM Assumptions'!$A14)*G14,"")</f>
        <v>0</v>
      </c>
      <c r="AN14" s="10">
        <f ca="1">IFERROR(SUMIFS('COM balance'!H$5:H$25,'COM balance'!$D$5:$D$25,'COM Assumptions'!$A14)*H14,"")</f>
        <v>0</v>
      </c>
      <c r="AO14" s="10">
        <f ca="1">IFERROR(SUMIFS('COM balance'!I$5:I$25,'COM balance'!$D$5:$D$25,'COM Assumptions'!$A14)*I14,"")</f>
        <v>0</v>
      </c>
      <c r="AP14" s="10">
        <f ca="1">IFERROR(SUMIFS('COM balance'!J$5:J$25,'COM balance'!$D$5:$D$25,'COM Assumptions'!$A14)*J14,"")</f>
        <v>0</v>
      </c>
      <c r="AQ14" s="10">
        <f ca="1">IFERROR(SUMIFS('COM balance'!K$5:K$25,'COM balance'!$D$5:$D$25,'COM Assumptions'!$A14)*K14,"")</f>
        <v>0</v>
      </c>
      <c r="AR14" s="10">
        <f ca="1">IFERROR(SUMIFS('COM balance'!L$5:L$25,'COM balance'!$D$5:$D$25,'COM Assumptions'!$A14)*L14,"")</f>
        <v>0</v>
      </c>
      <c r="AS14" s="10">
        <f ca="1">IFERROR(SUMIFS('COM balance'!M$5:M$25,'COM balance'!$D$5:$D$25,'COM Assumptions'!$A14)*M14,"")</f>
        <v>0</v>
      </c>
      <c r="AT14" s="10">
        <f ca="1">IFERROR(SUMIFS('COM balance'!N$5:N$25,'COM balance'!$D$5:$D$25,'COM Assumptions'!$A14)*N14,"")</f>
        <v>0</v>
      </c>
      <c r="AU14" s="10">
        <f ca="1">IFERROR(SUMIFS('COM balance'!O$5:O$25,'COM balance'!$D$5:$D$25,'COM Assumptions'!$A14)*O14,"")</f>
        <v>0</v>
      </c>
      <c r="AV14" s="10">
        <f ca="1">IFERROR(SUMIFS('COM balance'!P$5:P$25,'COM balance'!$D$5:$D$25,'COM Assumptions'!$A14)*P14,"")</f>
        <v>0</v>
      </c>
      <c r="AW14" s="10">
        <f ca="1">IFERROR(SUMIFS('COM balance'!Q$5:Q$25,'COM balance'!$D$5:$D$25,'COM Assumptions'!$A14)*Q14,"")</f>
        <v>0</v>
      </c>
      <c r="AX14" s="10">
        <f ca="1">IFERROR(SUMIFS('COM balance'!R$5:R$25,'COM balance'!$D$5:$D$25,'COM Assumptions'!$A14)*R14,"")</f>
        <v>0</v>
      </c>
      <c r="AY14" s="10">
        <f ca="1">IFERROR(SUMIFS('COM balance'!S$5:S$25,'COM balance'!$D$5:$D$25,'COM Assumptions'!$A14)*S14,"")</f>
        <v>0</v>
      </c>
      <c r="AZ14" s="10">
        <f ca="1">IFERROR(SUMIFS('COM balance'!T$5:T$25,'COM balance'!$D$5:$D$25,'COM Assumptions'!$A14)*T14,"")</f>
        <v>0</v>
      </c>
      <c r="BA14" s="10">
        <f ca="1">IFERROR(SUMIFS('COM balance'!U$5:U$25,'COM balance'!$D$5:$D$25,'COM Assumptions'!$A14)*U14,"")</f>
        <v>0</v>
      </c>
      <c r="BB14" s="10">
        <f ca="1">IFERROR(SUMIFS('COM balance'!V$5:V$25,'COM balance'!$D$5:$D$25,'COM Assumptions'!$A14)*V14,"")</f>
        <v>0</v>
      </c>
      <c r="BC14" s="10">
        <f ca="1">IFERROR(SUMIFS('COM balance'!W$5:W$25,'COM balance'!$D$5:$D$25,'COM Assumptions'!$A14)*W14,"")</f>
        <v>0</v>
      </c>
      <c r="BD14" s="10">
        <f ca="1">IFERROR(SUMIFS('COM balance'!X$5:X$25,'COM balance'!$D$5:$D$25,'COM Assumptions'!$A14)*X14,"")</f>
        <v>0</v>
      </c>
      <c r="BE14" s="10">
        <f ca="1">IFERROR(SUMIFS('COM balance'!Y$5:Y$25,'COM balance'!$D$5:$D$25,'COM Assumptions'!$A14)*Y14,"")</f>
        <v>0</v>
      </c>
      <c r="BF14" s="10">
        <f ca="1">IFERROR(SUMIFS('COM balance'!Z$5:Z$25,'COM balance'!$D$5:$D$25,'COM Assumptions'!$A14)*Z14,"")</f>
        <v>0</v>
      </c>
      <c r="BG14" s="10">
        <f ca="1">IFERROR(SUMIFS('COM balance'!AA$5:AA$25,'COM balance'!$D$5:$D$25,'COM Assumptions'!$A14)*AA14,"")</f>
        <v>0</v>
      </c>
      <c r="BH14" s="10">
        <f ca="1">IFERROR(SUMIFS('COM balance'!AB$5:AB$25,'COM balance'!$D$5:$D$25,'COM Assumptions'!$A14)*AB14,"")</f>
        <v>0</v>
      </c>
      <c r="BI14" s="10">
        <f ca="1">IFERROR(SUMIFS('COM balance'!AC$5:AC$25,'COM balance'!$D$5:$D$25,'COM Assumptions'!$A14)*AC14,"")</f>
        <v>0</v>
      </c>
      <c r="BJ14" s="10">
        <f ca="1">IFERROR(SUMIFS('COM balance'!AD$5:AD$25,'COM balance'!$D$5:$D$25,'COM Assumptions'!$A14)*AD14,"")</f>
        <v>0</v>
      </c>
      <c r="BK14" s="10">
        <f ca="1">IFERROR(SUMIFS('COM balance'!AE$5:AE$25,'COM balance'!$D$5:$D$25,'COM Assumptions'!$A14)*AE14,"")</f>
        <v>0</v>
      </c>
      <c r="BL14" s="10">
        <f ca="1">IFERROR(SUMIFS('COM balance'!AF$5:AF$25,'COM balance'!$D$5:$D$25,'COM Assumptions'!$A14)*AF14,"")</f>
        <v>0</v>
      </c>
      <c r="BM14" s="10">
        <f ca="1">IFERROR(SUMIFS('COM balance'!AG$5:AG$25,'COM balance'!$D$5:$D$25,'COM Assumptions'!$A14)*AG14,"")</f>
        <v>0</v>
      </c>
      <c r="BN14" s="10">
        <f ca="1">IFERROR(SUMIFS('COM balance'!AH$5:AH$25,'COM balance'!$D$5:$D$25,'COM Assumptions'!$A14)*AH14,"")</f>
        <v>0</v>
      </c>
      <c r="BQ14" t="s">
        <v>79</v>
      </c>
      <c r="BS14">
        <f t="shared" ca="1" si="3"/>
        <v>1</v>
      </c>
      <c r="BT14">
        <f t="shared" ca="1" si="4"/>
        <v>1</v>
      </c>
      <c r="BU14">
        <f t="shared" ca="1" si="5"/>
        <v>1</v>
      </c>
      <c r="BV14">
        <f t="shared" ca="1" si="6"/>
        <v>1</v>
      </c>
      <c r="BW14">
        <f t="shared" ca="1" si="7"/>
        <v>1</v>
      </c>
      <c r="BX14">
        <f t="shared" ca="1" si="8"/>
        <v>1</v>
      </c>
      <c r="BY14">
        <f t="shared" ca="1" si="9"/>
        <v>1</v>
      </c>
      <c r="BZ14">
        <f t="shared" ca="1" si="10"/>
        <v>1</v>
      </c>
      <c r="CA14">
        <f t="shared" ca="1" si="11"/>
        <v>1</v>
      </c>
      <c r="CB14">
        <f t="shared" ca="1" si="12"/>
        <v>1</v>
      </c>
      <c r="CC14">
        <f t="shared" ca="1" si="13"/>
        <v>1</v>
      </c>
      <c r="CD14">
        <f t="shared" ca="1" si="14"/>
        <v>1</v>
      </c>
      <c r="CE14">
        <f t="shared" ca="1" si="15"/>
        <v>1</v>
      </c>
      <c r="CF14">
        <f t="shared" ca="1" si="16"/>
        <v>1</v>
      </c>
      <c r="CG14">
        <f t="shared" ca="1" si="17"/>
        <v>1</v>
      </c>
    </row>
    <row r="15" spans="1:85" x14ac:dyDescent="0.45">
      <c r="A15" s="8" t="str">
        <f>VLOOKUP(C15,'COM balance'!$AM$5:$AN$25,2,FALSE)</f>
        <v>COMKER</v>
      </c>
      <c r="B15" s="36"/>
      <c r="C15" s="20" t="s">
        <v>74</v>
      </c>
      <c r="D15" s="41" t="s">
        <v>82</v>
      </c>
      <c r="E15" s="25">
        <f ca="1">OFFSET('COM Assumptions T15'!$D15,0,MATCH(VLOOKUP('COM Assumptions'!E$2,'RES Assumptions T15'!$V$3:$W$35,2,FALSE),'COM Assumptions T15'!$E$2:$S$2,0))</f>
        <v>0</v>
      </c>
      <c r="F15" s="25">
        <f ca="1">OFFSET('COM Assumptions T15'!$D15,0,MATCH(VLOOKUP('COM Assumptions'!F$2,'RES Assumptions T15'!$V$3:$W$35,2,FALSE),'COM Assumptions T15'!$E$2:$S$2,0))</f>
        <v>0</v>
      </c>
      <c r="G15" s="25">
        <f ca="1">OFFSET('COM Assumptions T15'!$D15,0,MATCH(VLOOKUP('COM Assumptions'!G$2,'RES Assumptions T15'!$V$3:$W$35,2,FALSE),'COM Assumptions T15'!$E$2:$S$2,0))</f>
        <v>0</v>
      </c>
      <c r="H15" s="25">
        <f ca="1">OFFSET('COM Assumptions T15'!$D15,0,MATCH(VLOOKUP('COM Assumptions'!H$2,'RES Assumptions T15'!$V$3:$W$35,2,FALSE),'COM Assumptions T15'!$E$2:$S$2,0))</f>
        <v>0.3</v>
      </c>
      <c r="I15" s="25">
        <f ca="1">OFFSET('COM Assumptions T15'!$D15,0,MATCH(VLOOKUP('COM Assumptions'!I$2,'RES Assumptions T15'!$V$3:$W$35,2,FALSE),'COM Assumptions T15'!$E$2:$S$2,0))</f>
        <v>0.6</v>
      </c>
      <c r="J15" s="25">
        <f ca="1">OFFSET('COM Assumptions T15'!$D15,0,MATCH(VLOOKUP('COM Assumptions'!J$2,'RES Assumptions T15'!$V$3:$W$35,2,FALSE),'COM Assumptions T15'!$E$2:$S$2,0))</f>
        <v>0.1</v>
      </c>
      <c r="K15" s="25">
        <f ca="1">OFFSET('COM Assumptions T15'!$D15,0,MATCH(VLOOKUP('COM Assumptions'!K$2,'RES Assumptions T15'!$V$3:$W$35,2,FALSE),'COM Assumptions T15'!$E$2:$S$2,0))</f>
        <v>0.1</v>
      </c>
      <c r="L15" s="25">
        <f ca="1">OFFSET('COM Assumptions T15'!$D15,0,MATCH(VLOOKUP('COM Assumptions'!L$2,'RES Assumptions T15'!$V$3:$W$35,2,FALSE),'COM Assumptions T15'!$E$2:$S$2,0))</f>
        <v>0</v>
      </c>
      <c r="M15" s="25">
        <f ca="1">OFFSET('COM Assumptions T15'!$D15,0,MATCH(VLOOKUP('COM Assumptions'!M$2,'RES Assumptions T15'!$V$3:$W$35,2,FALSE),'COM Assumptions T15'!$E$2:$S$2,0))</f>
        <v>0.05</v>
      </c>
      <c r="N15" s="25">
        <f ca="1">OFFSET('COM Assumptions T15'!$D15,0,MATCH(VLOOKUP('COM Assumptions'!N$2,'RES Assumptions T15'!$V$3:$W$35,2,FALSE),'COM Assumptions T15'!$E$2:$S$2,0))</f>
        <v>0.05</v>
      </c>
      <c r="O15" s="25">
        <f ca="1">OFFSET('COM Assumptions T15'!$D15,0,MATCH(VLOOKUP('COM Assumptions'!O$2,'RES Assumptions T15'!$V$3:$W$35,2,FALSE),'COM Assumptions T15'!$E$2:$S$2,0))</f>
        <v>0.2</v>
      </c>
      <c r="P15" s="1">
        <f ca="1">OFFSET('COM Assumptions T15'!$D15,0,MATCH(VLOOKUP('COM Assumptions'!P$2,'RES Assumptions T15'!$V$3:$W$35,2,FALSE),'COM Assumptions T15'!$E$2:$S$2,0))</f>
        <v>0.3</v>
      </c>
      <c r="Q15" s="1">
        <f ca="1">OFFSET('COM Assumptions T15'!$D15,0,MATCH(VLOOKUP('COM Assumptions'!Q$2,'RES Assumptions T15'!$V$3:$W$35,2,FALSE),'COM Assumptions T15'!$E$2:$S$2,0))</f>
        <v>0.2</v>
      </c>
      <c r="R15" s="1">
        <f ca="1">OFFSET('COM Assumptions T15'!$D15,0,MATCH(VLOOKUP('COM Assumptions'!R$2,'RES Assumptions T15'!$V$3:$W$35,2,FALSE),'COM Assumptions T15'!$E$2:$S$2,0))</f>
        <v>0.2</v>
      </c>
      <c r="S15" s="1">
        <f ca="1">OFFSET('COM Assumptions T15'!$D15,0,MATCH(VLOOKUP('COM Assumptions'!S$2,'RES Assumptions T15'!$V$3:$W$35,2,FALSE),'COM Assumptions T15'!$E$2:$S$2,0))</f>
        <v>0.3</v>
      </c>
      <c r="T15" s="1">
        <f ca="1">OFFSET('COM Assumptions T15'!$D15,0,MATCH(VLOOKUP('COM Assumptions'!T$2,'RES Assumptions T15'!$V$3:$W$35,2,FALSE),'COM Assumptions T15'!$E$2:$S$2,0))</f>
        <v>0.2</v>
      </c>
      <c r="U15" s="1">
        <f ca="1">OFFSET('COM Assumptions T15'!$D15,0,MATCH(VLOOKUP('COM Assumptions'!U$2,'RES Assumptions T15'!$V$3:$W$35,2,FALSE),'COM Assumptions T15'!$E$2:$S$2,0))</f>
        <v>0</v>
      </c>
      <c r="V15" s="1">
        <f ca="1">OFFSET('COM Assumptions T15'!$D15,0,MATCH(VLOOKUP('COM Assumptions'!V$2,'RES Assumptions T15'!$V$3:$W$35,2,FALSE),'COM Assumptions T15'!$E$2:$S$2,0))</f>
        <v>0.2</v>
      </c>
      <c r="W15" s="1">
        <f ca="1">OFFSET('COM Assumptions T15'!$D15,0,MATCH(VLOOKUP('COM Assumptions'!W$2,'RES Assumptions T15'!$V$3:$W$35,2,FALSE),'COM Assumptions T15'!$E$2:$S$2,0))</f>
        <v>0.2</v>
      </c>
      <c r="X15" s="1">
        <f ca="1">OFFSET('COM Assumptions T15'!$D15,0,MATCH(VLOOKUP('COM Assumptions'!X$2,'RES Assumptions T15'!$V$3:$W$35,2,FALSE),'COM Assumptions T15'!$E$2:$S$2,0))</f>
        <v>0</v>
      </c>
      <c r="Y15" s="1">
        <f ca="1">OFFSET('COM Assumptions T15'!$D15,0,MATCH(VLOOKUP('COM Assumptions'!Y$2,'RES Assumptions T15'!$V$3:$W$35,2,FALSE),'COM Assumptions T15'!$E$2:$S$2,0))</f>
        <v>0</v>
      </c>
      <c r="Z15" s="1">
        <f ca="1">OFFSET('COM Assumptions T15'!$D15,0,MATCH(VLOOKUP('COM Assumptions'!Z$2,'RES Assumptions T15'!$V$3:$W$35,2,FALSE),'COM Assumptions T15'!$E$2:$S$2,0))</f>
        <v>0</v>
      </c>
      <c r="AA15" s="1">
        <f ca="1">OFFSET('COM Assumptions T15'!$D15,0,MATCH(VLOOKUP('COM Assumptions'!AA$2,'RES Assumptions T15'!$V$3:$W$35,2,FALSE),'COM Assumptions T15'!$E$2:$S$2,0))</f>
        <v>0</v>
      </c>
      <c r="AB15" s="1">
        <f ca="1">OFFSET('COM Assumptions T15'!$D15,0,MATCH(VLOOKUP('COM Assumptions'!AB$2,'RES Assumptions T15'!$V$3:$W$35,2,FALSE),'COM Assumptions T15'!$E$2:$S$2,0))</f>
        <v>0.2</v>
      </c>
      <c r="AC15" s="1">
        <f ca="1">OFFSET('COM Assumptions T15'!$D15,0,MATCH(VLOOKUP('COM Assumptions'!AC$2,'RES Assumptions T15'!$V$3:$W$35,2,FALSE),'COM Assumptions T15'!$E$2:$S$2,0))</f>
        <v>0.3</v>
      </c>
      <c r="AD15" s="1">
        <f ca="1">OFFSET('COM Assumptions T15'!$D15,0,MATCH(VLOOKUP('COM Assumptions'!AD$2,'RES Assumptions T15'!$V$3:$W$35,2,FALSE),'COM Assumptions T15'!$E$2:$S$2,0))</f>
        <v>0</v>
      </c>
      <c r="AE15" s="1">
        <f ca="1">OFFSET('COM Assumptions T15'!$D15,0,MATCH(VLOOKUP('COM Assumptions'!AE$2,'RES Assumptions T15'!$V$3:$W$35,2,FALSE),'COM Assumptions T15'!$E$2:$S$2,0))</f>
        <v>0</v>
      </c>
      <c r="AF15" s="1">
        <f ca="1">OFFSET('COM Assumptions T15'!$D15,0,MATCH(VLOOKUP('COM Assumptions'!AF$2,'RES Assumptions T15'!$V$3:$W$35,2,FALSE),'COM Assumptions T15'!$E$2:$S$2,0))</f>
        <v>0.2</v>
      </c>
      <c r="AG15" s="1">
        <f ca="1">OFFSET('COM Assumptions T15'!$D15,0,MATCH(VLOOKUP('COM Assumptions'!AG$2,'RES Assumptions T15'!$V$3:$W$35,2,FALSE),'COM Assumptions T15'!$E$2:$S$2,0))</f>
        <v>1</v>
      </c>
      <c r="AH15" s="1">
        <f ca="1">OFFSET('COM Assumptions T15'!$D15,0,MATCH(VLOOKUP('COM Assumptions'!AH$2,'RES Assumptions T15'!$V$3:$W$35,2,FALSE),'COM Assumptions T15'!$E$2:$S$2,0))</f>
        <v>1</v>
      </c>
      <c r="AI15" s="1"/>
      <c r="AK15" s="10">
        <f ca="1">IFERROR(SUMIFS('COM balance'!E$5:E$25,'COM balance'!$D$5:$D$25,'COM Assumptions'!$A15)*E15,"")</f>
        <v>0</v>
      </c>
      <c r="AL15" s="10">
        <f ca="1">IFERROR(SUMIFS('COM balance'!F$5:F$25,'COM balance'!$D$5:$D$25,'COM Assumptions'!$A15)*F15,"")</f>
        <v>0</v>
      </c>
      <c r="AM15" s="10">
        <f ca="1">IFERROR(SUMIFS('COM balance'!G$5:G$25,'COM balance'!$D$5:$D$25,'COM Assumptions'!$A15)*G15,"")</f>
        <v>0</v>
      </c>
      <c r="AN15" s="10">
        <f ca="1">IFERROR(SUMIFS('COM balance'!H$5:H$25,'COM balance'!$D$5:$D$25,'COM Assumptions'!$A15)*H15,"")</f>
        <v>1.31004972E-2</v>
      </c>
      <c r="AO15" s="10">
        <f ca="1">IFERROR(SUMIFS('COM balance'!I$5:I$25,'COM balance'!$D$5:$D$25,'COM Assumptions'!$A15)*I15,"")</f>
        <v>90.979968702959994</v>
      </c>
      <c r="AP15" s="10">
        <f ca="1">IFERROR(SUMIFS('COM balance'!J$5:J$25,'COM balance'!$D$5:$D$25,'COM Assumptions'!$A15)*J15,"")</f>
        <v>0.98498782404000007</v>
      </c>
      <c r="AQ15" s="10">
        <f ca="1">IFERROR(SUMIFS('COM balance'!K$5:K$25,'COM balance'!$D$5:$D$25,'COM Assumptions'!$A15)*K15,"")</f>
        <v>6.8663519999999999E-5</v>
      </c>
      <c r="AR15" s="10">
        <f ca="1">IFERROR(SUMIFS('COM balance'!L$5:L$25,'COM balance'!$D$5:$D$25,'COM Assumptions'!$A15)*L15,"")</f>
        <v>0</v>
      </c>
      <c r="AS15" s="10">
        <f ca="1">IFERROR(SUMIFS('COM balance'!M$5:M$25,'COM balance'!$D$5:$D$25,'COM Assumptions'!$A15)*M15,"")</f>
        <v>0.77087989620000008</v>
      </c>
      <c r="AT15" s="10">
        <f ca="1">IFERROR(SUMIFS('COM balance'!N$5:N$25,'COM balance'!$D$5:$D$25,'COM Assumptions'!$A15)*N15,"")</f>
        <v>6.3706890990600007</v>
      </c>
      <c r="AU15" s="10">
        <f ca="1">IFERROR(SUMIFS('COM balance'!O$5:O$25,'COM balance'!$D$5:$D$25,'COM Assumptions'!$A15)*O15,"")</f>
        <v>6.8286708000000005E-3</v>
      </c>
      <c r="AV15" s="10">
        <f ca="1">IFERROR(SUMIFS('COM balance'!P$5:P$25,'COM balance'!$D$5:$D$25,'COM Assumptions'!$A15)*P15,"")</f>
        <v>4.2579755999999999E-4</v>
      </c>
      <c r="AW15" s="10">
        <f ca="1">IFERROR(SUMIFS('COM balance'!Q$5:Q$25,'COM balance'!$D$5:$D$25,'COM Assumptions'!$A15)*Q15,"")</f>
        <v>0.71190839951999996</v>
      </c>
      <c r="AX15" s="10">
        <f ca="1">IFERROR(SUMIFS('COM balance'!R$5:R$25,'COM balance'!$D$5:$D$25,'COM Assumptions'!$A15)*R15,"")</f>
        <v>2.01678156E-2</v>
      </c>
      <c r="AY15" s="10">
        <f ca="1">IFERROR(SUMIFS('COM balance'!S$5:S$25,'COM balance'!$D$5:$D$25,'COM Assumptions'!$A15)*S15,"")</f>
        <v>3.8346901199999999E-3</v>
      </c>
      <c r="AZ15" s="10">
        <f ca="1">IFERROR(SUMIFS('COM balance'!T$5:T$25,'COM balance'!$D$5:$D$25,'COM Assumptions'!$A15)*T15,"")</f>
        <v>1.7584560000000002E-5</v>
      </c>
      <c r="BA15" s="10">
        <f ca="1">IFERROR(SUMIFS('COM balance'!U$5:U$25,'COM balance'!$D$5:$D$25,'COM Assumptions'!$A15)*U15,"")</f>
        <v>0</v>
      </c>
      <c r="BB15" s="10">
        <f ca="1">IFERROR(SUMIFS('COM balance'!V$5:V$25,'COM balance'!$D$5:$D$25,'COM Assumptions'!$A15)*V15,"")</f>
        <v>0</v>
      </c>
      <c r="BC15" s="10">
        <f ca="1">IFERROR(SUMIFS('COM balance'!W$5:W$25,'COM balance'!$D$5:$D$25,'COM Assumptions'!$A15)*W15,"")</f>
        <v>0</v>
      </c>
      <c r="BD15" s="10">
        <f ca="1">IFERROR(SUMIFS('COM balance'!X$5:X$25,'COM balance'!$D$5:$D$25,'COM Assumptions'!$A15)*X15,"")</f>
        <v>0</v>
      </c>
      <c r="BE15" s="10">
        <f ca="1">IFERROR(SUMIFS('COM balance'!Y$5:Y$25,'COM balance'!$D$5:$D$25,'COM Assumptions'!$A15)*Y15,"")</f>
        <v>0</v>
      </c>
      <c r="BF15" s="10">
        <f ca="1">IFERROR(SUMIFS('COM balance'!Z$5:Z$25,'COM balance'!$D$5:$D$25,'COM Assumptions'!$A15)*Z15,"")</f>
        <v>0</v>
      </c>
      <c r="BG15" s="10">
        <f ca="1">IFERROR(SUMIFS('COM balance'!AA$5:AA$25,'COM balance'!$D$5:$D$25,'COM Assumptions'!$A15)*AA15,"")</f>
        <v>0</v>
      </c>
      <c r="BH15" s="10">
        <f ca="1">IFERROR(SUMIFS('COM balance'!AB$5:AB$25,'COM balance'!$D$5:$D$25,'COM Assumptions'!$A15)*AB15,"")</f>
        <v>1.3732704E-4</v>
      </c>
      <c r="BI15" s="10">
        <f ca="1">IFERROR(SUMIFS('COM balance'!AC$5:AC$25,'COM balance'!$D$5:$D$25,'COM Assumptions'!$A15)*AC15,"")</f>
        <v>0</v>
      </c>
      <c r="BJ15" s="10">
        <f ca="1">IFERROR(SUMIFS('COM balance'!AD$5:AD$25,'COM balance'!$D$5:$D$25,'COM Assumptions'!$A15)*AD15,"")</f>
        <v>0</v>
      </c>
      <c r="BK15" s="10">
        <f ca="1">IFERROR(SUMIFS('COM balance'!AE$5:AE$25,'COM balance'!$D$5:$D$25,'COM Assumptions'!$A15)*AE15,"")</f>
        <v>0</v>
      </c>
      <c r="BL15" s="10">
        <f ca="1">IFERROR(SUMIFS('COM balance'!AF$5:AF$25,'COM balance'!$D$5:$D$25,'COM Assumptions'!$A15)*AF15,"")</f>
        <v>6.8284003327200002</v>
      </c>
      <c r="BM15" s="10">
        <f ca="1">IFERROR(SUMIFS('COM balance'!AG$5:AG$25,'COM balance'!$D$5:$D$25,'COM Assumptions'!$A15)*AG15,"")</f>
        <v>0.8759999772</v>
      </c>
      <c r="BN15" s="10">
        <f ca="1">IFERROR(SUMIFS('COM balance'!AH$5:AH$25,'COM balance'!$D$5:$D$25,'COM Assumptions'!$A15)*AH15,"")</f>
        <v>0</v>
      </c>
      <c r="BQ15" t="s">
        <v>80</v>
      </c>
      <c r="BS15">
        <f t="shared" ca="1" si="3"/>
        <v>1</v>
      </c>
      <c r="BT15">
        <f t="shared" ca="1" si="4"/>
        <v>1</v>
      </c>
      <c r="BU15">
        <f t="shared" ca="1" si="5"/>
        <v>1</v>
      </c>
      <c r="BV15">
        <f t="shared" ca="1" si="6"/>
        <v>1</v>
      </c>
      <c r="BW15">
        <f t="shared" ca="1" si="7"/>
        <v>1</v>
      </c>
      <c r="BX15">
        <f t="shared" ca="1" si="8"/>
        <v>1</v>
      </c>
      <c r="BY15">
        <f t="shared" ca="1" si="9"/>
        <v>1</v>
      </c>
      <c r="BZ15">
        <f t="shared" ca="1" si="10"/>
        <v>1</v>
      </c>
      <c r="CA15">
        <f t="shared" ca="1" si="11"/>
        <v>1</v>
      </c>
      <c r="CB15">
        <f t="shared" ca="1" si="12"/>
        <v>1</v>
      </c>
      <c r="CC15">
        <f t="shared" ca="1" si="13"/>
        <v>1</v>
      </c>
      <c r="CD15">
        <f t="shared" ca="1" si="14"/>
        <v>1</v>
      </c>
      <c r="CE15">
        <f t="shared" ca="1" si="15"/>
        <v>1</v>
      </c>
      <c r="CF15">
        <f t="shared" ca="1" si="16"/>
        <v>1</v>
      </c>
      <c r="CG15">
        <f t="shared" ca="1" si="17"/>
        <v>1</v>
      </c>
    </row>
    <row r="16" spans="1:85" x14ac:dyDescent="0.45">
      <c r="A16" s="8" t="str">
        <f>VLOOKUP(C16,'COM balance'!$AM$5:$AN$25,2,FALSE)</f>
        <v>COMKER</v>
      </c>
      <c r="B16" s="36"/>
      <c r="C16" s="20" t="s">
        <v>74</v>
      </c>
      <c r="D16" s="41" t="s">
        <v>84</v>
      </c>
      <c r="E16" s="25">
        <f ca="1">OFFSET('COM Assumptions T15'!$D16,0,MATCH(VLOOKUP('COM Assumptions'!E$2,'RES Assumptions T15'!$V$3:$W$35,2,FALSE),'COM Assumptions T15'!$E$2:$S$2,0))</f>
        <v>0</v>
      </c>
      <c r="F16" s="27">
        <f ca="1">OFFSET('COM Assumptions T15'!$D16,0,MATCH(VLOOKUP('COM Assumptions'!F$2,'RES Assumptions T15'!$V$3:$W$35,2,FALSE),'COM Assumptions T15'!$E$2:$S$2,0))</f>
        <v>0</v>
      </c>
      <c r="G16" s="25">
        <f ca="1">OFFSET('COM Assumptions T15'!$D16,0,MATCH(VLOOKUP('COM Assumptions'!G$2,'RES Assumptions T15'!$V$3:$W$35,2,FALSE),'COM Assumptions T15'!$E$2:$S$2,0))</f>
        <v>0</v>
      </c>
      <c r="H16" s="25">
        <f ca="1">OFFSET('COM Assumptions T15'!$D16,0,MATCH(VLOOKUP('COM Assumptions'!H$2,'RES Assumptions T15'!$V$3:$W$35,2,FALSE),'COM Assumptions T15'!$E$2:$S$2,0))</f>
        <v>0.1</v>
      </c>
      <c r="I16" s="25">
        <f ca="1">OFFSET('COM Assumptions T15'!$D16,0,MATCH(VLOOKUP('COM Assumptions'!I$2,'RES Assumptions T15'!$V$3:$W$35,2,FALSE),'COM Assumptions T15'!$E$2:$S$2,0))</f>
        <v>0.4</v>
      </c>
      <c r="J16" s="25">
        <f ca="1">OFFSET('COM Assumptions T15'!$D16,0,MATCH(VLOOKUP('COM Assumptions'!J$2,'RES Assumptions T15'!$V$3:$W$35,2,FALSE),'COM Assumptions T15'!$E$2:$S$2,0))</f>
        <v>0</v>
      </c>
      <c r="K16" s="25">
        <f ca="1">OFFSET('COM Assumptions T15'!$D16,0,MATCH(VLOOKUP('COM Assumptions'!K$2,'RES Assumptions T15'!$V$3:$W$35,2,FALSE),'COM Assumptions T15'!$E$2:$S$2,0))</f>
        <v>0</v>
      </c>
      <c r="L16" s="25">
        <f ca="1">OFFSET('COM Assumptions T15'!$D16,0,MATCH(VLOOKUP('COM Assumptions'!L$2,'RES Assumptions T15'!$V$3:$W$35,2,FALSE),'COM Assumptions T15'!$E$2:$S$2,0))</f>
        <v>0</v>
      </c>
      <c r="M16" s="25">
        <f ca="1">OFFSET('COM Assumptions T15'!$D16,0,MATCH(VLOOKUP('COM Assumptions'!M$2,'RES Assumptions T15'!$V$3:$W$35,2,FALSE),'COM Assumptions T15'!$E$2:$S$2,0))</f>
        <v>0.08</v>
      </c>
      <c r="N16" s="25">
        <f ca="1">OFFSET('COM Assumptions T15'!$D16,0,MATCH(VLOOKUP('COM Assumptions'!N$2,'RES Assumptions T15'!$V$3:$W$35,2,FALSE),'COM Assumptions T15'!$E$2:$S$2,0))</f>
        <v>0.1</v>
      </c>
      <c r="O16" s="25">
        <f ca="1">OFFSET('COM Assumptions T15'!$D16,0,MATCH(VLOOKUP('COM Assumptions'!O$2,'RES Assumptions T15'!$V$3:$W$35,2,FALSE),'COM Assumptions T15'!$E$2:$S$2,0))</f>
        <v>0.3</v>
      </c>
      <c r="P16" s="1">
        <f ca="1">OFFSET('COM Assumptions T15'!$D16,0,MATCH(VLOOKUP('COM Assumptions'!P$2,'RES Assumptions T15'!$V$3:$W$35,2,FALSE),'COM Assumptions T15'!$E$2:$S$2,0))</f>
        <v>0.1</v>
      </c>
      <c r="Q16" s="1">
        <f ca="1">OFFSET('COM Assumptions T15'!$D16,0,MATCH(VLOOKUP('COM Assumptions'!Q$2,'RES Assumptions T15'!$V$3:$W$35,2,FALSE),'COM Assumptions T15'!$E$2:$S$2,0))</f>
        <v>0.3</v>
      </c>
      <c r="R16" s="1">
        <f ca="1">OFFSET('COM Assumptions T15'!$D16,0,MATCH(VLOOKUP('COM Assumptions'!R$2,'RES Assumptions T15'!$V$3:$W$35,2,FALSE),'COM Assumptions T15'!$E$2:$S$2,0))</f>
        <v>0.3</v>
      </c>
      <c r="S16" s="1">
        <f ca="1">OFFSET('COM Assumptions T15'!$D16,0,MATCH(VLOOKUP('COM Assumptions'!S$2,'RES Assumptions T15'!$V$3:$W$35,2,FALSE),'COM Assumptions T15'!$E$2:$S$2,0))</f>
        <v>0.1</v>
      </c>
      <c r="T16" s="1">
        <f ca="1">OFFSET('COM Assumptions T15'!$D16,0,MATCH(VLOOKUP('COM Assumptions'!T$2,'RES Assumptions T15'!$V$3:$W$35,2,FALSE),'COM Assumptions T15'!$E$2:$S$2,0))</f>
        <v>0.3</v>
      </c>
      <c r="U16" s="1">
        <f ca="1">OFFSET('COM Assumptions T15'!$D16,0,MATCH(VLOOKUP('COM Assumptions'!U$2,'RES Assumptions T15'!$V$3:$W$35,2,FALSE),'COM Assumptions T15'!$E$2:$S$2,0))</f>
        <v>0</v>
      </c>
      <c r="V16" s="1">
        <f ca="1">OFFSET('COM Assumptions T15'!$D16,0,MATCH(VLOOKUP('COM Assumptions'!V$2,'RES Assumptions T15'!$V$3:$W$35,2,FALSE),'COM Assumptions T15'!$E$2:$S$2,0))</f>
        <v>0.3</v>
      </c>
      <c r="W16" s="1">
        <f ca="1">OFFSET('COM Assumptions T15'!$D16,0,MATCH(VLOOKUP('COM Assumptions'!W$2,'RES Assumptions T15'!$V$3:$W$35,2,FALSE),'COM Assumptions T15'!$E$2:$S$2,0))</f>
        <v>0.3</v>
      </c>
      <c r="X16" s="1">
        <f ca="1">OFFSET('COM Assumptions T15'!$D16,0,MATCH(VLOOKUP('COM Assumptions'!X$2,'RES Assumptions T15'!$V$3:$W$35,2,FALSE),'COM Assumptions T15'!$E$2:$S$2,0))</f>
        <v>0</v>
      </c>
      <c r="Y16" s="1">
        <f ca="1">OFFSET('COM Assumptions T15'!$D16,0,MATCH(VLOOKUP('COM Assumptions'!Y$2,'RES Assumptions T15'!$V$3:$W$35,2,FALSE),'COM Assumptions T15'!$E$2:$S$2,0))</f>
        <v>0</v>
      </c>
      <c r="Z16" s="1">
        <f ca="1">OFFSET('COM Assumptions T15'!$D16,0,MATCH(VLOOKUP('COM Assumptions'!Z$2,'RES Assumptions T15'!$V$3:$W$35,2,FALSE),'COM Assumptions T15'!$E$2:$S$2,0))</f>
        <v>0</v>
      </c>
      <c r="AA16" s="1">
        <f ca="1">OFFSET('COM Assumptions T15'!$D16,0,MATCH(VLOOKUP('COM Assumptions'!AA$2,'RES Assumptions T15'!$V$3:$W$35,2,FALSE),'COM Assumptions T15'!$E$2:$S$2,0))</f>
        <v>0</v>
      </c>
      <c r="AB16" s="1">
        <f ca="1">OFFSET('COM Assumptions T15'!$D16,0,MATCH(VLOOKUP('COM Assumptions'!AB$2,'RES Assumptions T15'!$V$3:$W$35,2,FALSE),'COM Assumptions T15'!$E$2:$S$2,0))</f>
        <v>0.3</v>
      </c>
      <c r="AC16" s="1">
        <f ca="1">OFFSET('COM Assumptions T15'!$D16,0,MATCH(VLOOKUP('COM Assumptions'!AC$2,'RES Assumptions T15'!$V$3:$W$35,2,FALSE),'COM Assumptions T15'!$E$2:$S$2,0))</f>
        <v>0.1</v>
      </c>
      <c r="AD16" s="1">
        <f ca="1">OFFSET('COM Assumptions T15'!$D16,0,MATCH(VLOOKUP('COM Assumptions'!AD$2,'RES Assumptions T15'!$V$3:$W$35,2,FALSE),'COM Assumptions T15'!$E$2:$S$2,0))</f>
        <v>0</v>
      </c>
      <c r="AE16" s="1">
        <f ca="1">OFFSET('COM Assumptions T15'!$D16,0,MATCH(VLOOKUP('COM Assumptions'!AE$2,'RES Assumptions T15'!$V$3:$W$35,2,FALSE),'COM Assumptions T15'!$E$2:$S$2,0))</f>
        <v>0</v>
      </c>
      <c r="AF16" s="1">
        <f ca="1">OFFSET('COM Assumptions T15'!$D16,0,MATCH(VLOOKUP('COM Assumptions'!AF$2,'RES Assumptions T15'!$V$3:$W$35,2,FALSE),'COM Assumptions T15'!$E$2:$S$2,0))</f>
        <v>0.3</v>
      </c>
      <c r="AG16" s="1">
        <f ca="1">OFFSET('COM Assumptions T15'!$D16,0,MATCH(VLOOKUP('COM Assumptions'!AG$2,'RES Assumptions T15'!$V$3:$W$35,2,FALSE),'COM Assumptions T15'!$E$2:$S$2,0))</f>
        <v>0</v>
      </c>
      <c r="AH16" s="1">
        <f ca="1">OFFSET('COM Assumptions T15'!$D16,0,MATCH(VLOOKUP('COM Assumptions'!AH$2,'RES Assumptions T15'!$V$3:$W$35,2,FALSE),'COM Assumptions T15'!$E$2:$S$2,0))</f>
        <v>0</v>
      </c>
      <c r="AI16" s="1"/>
      <c r="AK16" s="10">
        <f ca="1">IFERROR(SUMIFS('COM balance'!E$5:E$25,'COM balance'!$D$5:$D$25,'COM Assumptions'!$A16)*E16,"")</f>
        <v>0</v>
      </c>
      <c r="AL16" s="10">
        <f ca="1">IFERROR(SUMIFS('COM balance'!F$5:F$25,'COM balance'!$D$5:$D$25,'COM Assumptions'!$A16)*F16,"")</f>
        <v>0</v>
      </c>
      <c r="AM16" s="10">
        <f ca="1">IFERROR(SUMIFS('COM balance'!G$5:G$25,'COM balance'!$D$5:$D$25,'COM Assumptions'!$A16)*G16,"")</f>
        <v>0</v>
      </c>
      <c r="AN16" s="10">
        <f ca="1">IFERROR(SUMIFS('COM balance'!H$5:H$25,'COM balance'!$D$5:$D$25,'COM Assumptions'!$A16)*H16,"")</f>
        <v>4.3668324000000003E-3</v>
      </c>
      <c r="AO16" s="10">
        <f ca="1">IFERROR(SUMIFS('COM balance'!I$5:I$25,'COM balance'!$D$5:$D$25,'COM Assumptions'!$A16)*I16,"")</f>
        <v>60.653312468640003</v>
      </c>
      <c r="AP16" s="10">
        <f ca="1">IFERROR(SUMIFS('COM balance'!J$5:J$25,'COM balance'!$D$5:$D$25,'COM Assumptions'!$A16)*J16,"")</f>
        <v>0</v>
      </c>
      <c r="AQ16" s="10">
        <f ca="1">IFERROR(SUMIFS('COM balance'!K$5:K$25,'COM balance'!$D$5:$D$25,'COM Assumptions'!$A16)*K16,"")</f>
        <v>0</v>
      </c>
      <c r="AR16" s="10">
        <f ca="1">IFERROR(SUMIFS('COM balance'!L$5:L$25,'COM balance'!$D$5:$D$25,'COM Assumptions'!$A16)*L16,"")</f>
        <v>0</v>
      </c>
      <c r="AS16" s="10">
        <f ca="1">IFERROR(SUMIFS('COM balance'!M$5:M$25,'COM balance'!$D$5:$D$25,'COM Assumptions'!$A16)*M16,"")</f>
        <v>1.2334078339200001</v>
      </c>
      <c r="AT16" s="10">
        <f ca="1">IFERROR(SUMIFS('COM balance'!N$5:N$25,'COM balance'!$D$5:$D$25,'COM Assumptions'!$A16)*N16,"")</f>
        <v>12.741378198120001</v>
      </c>
      <c r="AU16" s="10">
        <f ca="1">IFERROR(SUMIFS('COM balance'!O$5:O$25,'COM balance'!$D$5:$D$25,'COM Assumptions'!$A16)*O16,"")</f>
        <v>1.02430062E-2</v>
      </c>
      <c r="AV16" s="10">
        <f ca="1">IFERROR(SUMIFS('COM balance'!P$5:P$25,'COM balance'!$D$5:$D$25,'COM Assumptions'!$A16)*P16,"")</f>
        <v>1.4193252E-4</v>
      </c>
      <c r="AW16" s="10">
        <f ca="1">IFERROR(SUMIFS('COM balance'!Q$5:Q$25,'COM balance'!$D$5:$D$25,'COM Assumptions'!$A16)*Q16,"")</f>
        <v>1.0678625992799999</v>
      </c>
      <c r="AX16" s="10">
        <f ca="1">IFERROR(SUMIFS('COM balance'!R$5:R$25,'COM balance'!$D$5:$D$25,'COM Assumptions'!$A16)*R16,"")</f>
        <v>3.02517234E-2</v>
      </c>
      <c r="AY16" s="10">
        <f ca="1">IFERROR(SUMIFS('COM balance'!S$5:S$25,'COM balance'!$D$5:$D$25,'COM Assumptions'!$A16)*S16,"")</f>
        <v>1.27823004E-3</v>
      </c>
      <c r="AZ16" s="10">
        <f ca="1">IFERROR(SUMIFS('COM balance'!T$5:T$25,'COM balance'!$D$5:$D$25,'COM Assumptions'!$A16)*T16,"")</f>
        <v>2.6376840000000001E-5</v>
      </c>
      <c r="BA16" s="10">
        <f ca="1">IFERROR(SUMIFS('COM balance'!U$5:U$25,'COM balance'!$D$5:$D$25,'COM Assumptions'!$A16)*U16,"")</f>
        <v>0</v>
      </c>
      <c r="BB16" s="10">
        <f ca="1">IFERROR(SUMIFS('COM balance'!V$5:V$25,'COM balance'!$D$5:$D$25,'COM Assumptions'!$A16)*V16,"")</f>
        <v>0</v>
      </c>
      <c r="BC16" s="10">
        <f ca="1">IFERROR(SUMIFS('COM balance'!W$5:W$25,'COM balance'!$D$5:$D$25,'COM Assumptions'!$A16)*W16,"")</f>
        <v>0</v>
      </c>
      <c r="BD16" s="10">
        <f ca="1">IFERROR(SUMIFS('COM balance'!X$5:X$25,'COM balance'!$D$5:$D$25,'COM Assumptions'!$A16)*X16,"")</f>
        <v>0</v>
      </c>
      <c r="BE16" s="10">
        <f ca="1">IFERROR(SUMIFS('COM balance'!Y$5:Y$25,'COM balance'!$D$5:$D$25,'COM Assumptions'!$A16)*Y16,"")</f>
        <v>0</v>
      </c>
      <c r="BF16" s="10">
        <f ca="1">IFERROR(SUMIFS('COM balance'!Z$5:Z$25,'COM balance'!$D$5:$D$25,'COM Assumptions'!$A16)*Z16,"")</f>
        <v>0</v>
      </c>
      <c r="BG16" s="10">
        <f ca="1">IFERROR(SUMIFS('COM balance'!AA$5:AA$25,'COM balance'!$D$5:$D$25,'COM Assumptions'!$A16)*AA16,"")</f>
        <v>0</v>
      </c>
      <c r="BH16" s="10">
        <f ca="1">IFERROR(SUMIFS('COM balance'!AB$5:AB$25,'COM balance'!$D$5:$D$25,'COM Assumptions'!$A16)*AB16,"")</f>
        <v>2.0599055999999998E-4</v>
      </c>
      <c r="BI16" s="10">
        <f ca="1">IFERROR(SUMIFS('COM balance'!AC$5:AC$25,'COM balance'!$D$5:$D$25,'COM Assumptions'!$A16)*AC16,"")</f>
        <v>0</v>
      </c>
      <c r="BJ16" s="10">
        <f ca="1">IFERROR(SUMIFS('COM balance'!AD$5:AD$25,'COM balance'!$D$5:$D$25,'COM Assumptions'!$A16)*AD16,"")</f>
        <v>0</v>
      </c>
      <c r="BK16" s="10">
        <f ca="1">IFERROR(SUMIFS('COM balance'!AE$5:AE$25,'COM balance'!$D$5:$D$25,'COM Assumptions'!$A16)*AE16,"")</f>
        <v>0</v>
      </c>
      <c r="BL16" s="10">
        <f ca="1">IFERROR(SUMIFS('COM balance'!AF$5:AF$25,'COM balance'!$D$5:$D$25,'COM Assumptions'!$A16)*AF16,"")</f>
        <v>10.24260049908</v>
      </c>
      <c r="BM16" s="10">
        <f ca="1">IFERROR(SUMIFS('COM balance'!AG$5:AG$25,'COM balance'!$D$5:$D$25,'COM Assumptions'!$A16)*AG16,"")</f>
        <v>0</v>
      </c>
      <c r="BN16" s="10">
        <f ca="1">IFERROR(SUMIFS('COM balance'!AH$5:AH$25,'COM balance'!$D$5:$D$25,'COM Assumptions'!$A16)*AH16,"")</f>
        <v>0</v>
      </c>
      <c r="BQ16" t="s">
        <v>81</v>
      </c>
      <c r="BS16">
        <f t="shared" ca="1" si="3"/>
        <v>1</v>
      </c>
      <c r="BT16">
        <f t="shared" ca="1" si="4"/>
        <v>1</v>
      </c>
      <c r="BU16">
        <f t="shared" ca="1" si="5"/>
        <v>1</v>
      </c>
      <c r="BV16">
        <f t="shared" ca="1" si="6"/>
        <v>1</v>
      </c>
      <c r="BW16">
        <f t="shared" ca="1" si="7"/>
        <v>1</v>
      </c>
      <c r="BX16">
        <f t="shared" ca="1" si="8"/>
        <v>1</v>
      </c>
      <c r="BY16">
        <f t="shared" ca="1" si="9"/>
        <v>1</v>
      </c>
      <c r="BZ16">
        <f t="shared" ca="1" si="10"/>
        <v>1</v>
      </c>
      <c r="CA16">
        <f t="shared" ca="1" si="11"/>
        <v>1</v>
      </c>
      <c r="CB16">
        <f t="shared" ca="1" si="12"/>
        <v>1</v>
      </c>
      <c r="CC16">
        <f t="shared" ca="1" si="13"/>
        <v>1</v>
      </c>
      <c r="CD16">
        <f t="shared" ca="1" si="14"/>
        <v>1</v>
      </c>
      <c r="CE16">
        <f t="shared" ca="1" si="15"/>
        <v>1</v>
      </c>
      <c r="CF16">
        <f t="shared" ca="1" si="16"/>
        <v>1</v>
      </c>
      <c r="CG16">
        <f t="shared" ca="1" si="17"/>
        <v>1</v>
      </c>
    </row>
    <row r="17" spans="1:66" x14ac:dyDescent="0.45">
      <c r="A17" s="8" t="str">
        <f>VLOOKUP(C17,'COM balance'!$AM$5:$AN$25,2,FALSE)</f>
        <v>COMKER</v>
      </c>
      <c r="B17" s="36"/>
      <c r="C17" s="20" t="s">
        <v>74</v>
      </c>
      <c r="D17" s="41" t="s">
        <v>85</v>
      </c>
      <c r="E17" s="25">
        <f ca="1">OFFSET('COM Assumptions T15'!$D17,0,MATCH(VLOOKUP('COM Assumptions'!E$2,'RES Assumptions T15'!$V$3:$W$35,2,FALSE),'COM Assumptions T15'!$E$2:$S$2,0))</f>
        <v>0.95</v>
      </c>
      <c r="F17" s="25">
        <f ca="1">OFFSET('COM Assumptions T15'!$D17,0,MATCH(VLOOKUP('COM Assumptions'!F$2,'RES Assumptions T15'!$V$3:$W$35,2,FALSE),'COM Assumptions T15'!$E$2:$S$2,0))</f>
        <v>0.95</v>
      </c>
      <c r="G17" s="25">
        <f ca="1">OFFSET('COM Assumptions T15'!$D17,0,MATCH(VLOOKUP('COM Assumptions'!G$2,'RES Assumptions T15'!$V$3:$W$35,2,FALSE),'COM Assumptions T15'!$E$2:$S$2,0))</f>
        <v>0.95</v>
      </c>
      <c r="H17" s="25">
        <f ca="1">OFFSET('COM Assumptions T15'!$D17,0,MATCH(VLOOKUP('COM Assumptions'!H$2,'RES Assumptions T15'!$V$3:$W$35,2,FALSE),'COM Assumptions T15'!$E$2:$S$2,0))</f>
        <v>0.1</v>
      </c>
      <c r="I17" s="25">
        <f ca="1">OFFSET('COM Assumptions T15'!$D17,0,MATCH(VLOOKUP('COM Assumptions'!I$2,'RES Assumptions T15'!$V$3:$W$35,2,FALSE),'COM Assumptions T15'!$E$2:$S$2,0))</f>
        <v>0</v>
      </c>
      <c r="J17" s="25">
        <f ca="1">OFFSET('COM Assumptions T15'!$D17,0,MATCH(VLOOKUP('COM Assumptions'!J$2,'RES Assumptions T15'!$V$3:$W$35,2,FALSE),'COM Assumptions T15'!$E$2:$S$2,0))</f>
        <v>0.4</v>
      </c>
      <c r="K17" s="25">
        <f ca="1">OFFSET('COM Assumptions T15'!$D17,0,MATCH(VLOOKUP('COM Assumptions'!K$2,'RES Assumptions T15'!$V$3:$W$35,2,FALSE),'COM Assumptions T15'!$E$2:$S$2,0))</f>
        <v>0</v>
      </c>
      <c r="L17" s="25">
        <f ca="1">OFFSET('COM Assumptions T15'!$D17,0,MATCH(VLOOKUP('COM Assumptions'!L$2,'RES Assumptions T15'!$V$3:$W$35,2,FALSE),'COM Assumptions T15'!$E$2:$S$2,0))</f>
        <v>0.95</v>
      </c>
      <c r="M17" s="25">
        <f ca="1">OFFSET('COM Assumptions T15'!$D17,0,MATCH(VLOOKUP('COM Assumptions'!M$2,'RES Assumptions T15'!$V$3:$W$35,2,FALSE),'COM Assumptions T15'!$E$2:$S$2,0))</f>
        <v>0.02</v>
      </c>
      <c r="N17" s="25">
        <f ca="1">OFFSET('COM Assumptions T15'!$D17,0,MATCH(VLOOKUP('COM Assumptions'!N$2,'RES Assumptions T15'!$V$3:$W$35,2,FALSE),'COM Assumptions T15'!$E$2:$S$2,0))</f>
        <v>0.65</v>
      </c>
      <c r="O17" s="25">
        <f ca="1">OFFSET('COM Assumptions T15'!$D17,0,MATCH(VLOOKUP('COM Assumptions'!O$2,'RES Assumptions T15'!$V$3:$W$35,2,FALSE),'COM Assumptions T15'!$E$2:$S$2,0))</f>
        <v>0</v>
      </c>
      <c r="P17" s="1">
        <f ca="1">OFFSET('COM Assumptions T15'!$D17,0,MATCH(VLOOKUP('COM Assumptions'!P$2,'RES Assumptions T15'!$V$3:$W$35,2,FALSE),'COM Assumptions T15'!$E$2:$S$2,0))</f>
        <v>0.1</v>
      </c>
      <c r="Q17" s="1">
        <f ca="1">OFFSET('COM Assumptions T15'!$D17,0,MATCH(VLOOKUP('COM Assumptions'!Q$2,'RES Assumptions T15'!$V$3:$W$35,2,FALSE),'COM Assumptions T15'!$E$2:$S$2,0))</f>
        <v>0</v>
      </c>
      <c r="R17" s="1">
        <f ca="1">OFFSET('COM Assumptions T15'!$D17,0,MATCH(VLOOKUP('COM Assumptions'!R$2,'RES Assumptions T15'!$V$3:$W$35,2,FALSE),'COM Assumptions T15'!$E$2:$S$2,0))</f>
        <v>0</v>
      </c>
      <c r="S17" s="1">
        <f ca="1">OFFSET('COM Assumptions T15'!$D17,0,MATCH(VLOOKUP('COM Assumptions'!S$2,'RES Assumptions T15'!$V$3:$W$35,2,FALSE),'COM Assumptions T15'!$E$2:$S$2,0))</f>
        <v>0.1</v>
      </c>
      <c r="T17" s="1">
        <f ca="1">OFFSET('COM Assumptions T15'!$D17,0,MATCH(VLOOKUP('COM Assumptions'!T$2,'RES Assumptions T15'!$V$3:$W$35,2,FALSE),'COM Assumptions T15'!$E$2:$S$2,0))</f>
        <v>0</v>
      </c>
      <c r="U17" s="1">
        <f ca="1">OFFSET('COM Assumptions T15'!$D17,0,MATCH(VLOOKUP('COM Assumptions'!U$2,'RES Assumptions T15'!$V$3:$W$35,2,FALSE),'COM Assumptions T15'!$E$2:$S$2,0))</f>
        <v>0.9</v>
      </c>
      <c r="V17" s="1">
        <f ca="1">OFFSET('COM Assumptions T15'!$D17,0,MATCH(VLOOKUP('COM Assumptions'!V$2,'RES Assumptions T15'!$V$3:$W$35,2,FALSE),'COM Assumptions T15'!$E$2:$S$2,0))</f>
        <v>0</v>
      </c>
      <c r="W17" s="1">
        <f ca="1">OFFSET('COM Assumptions T15'!$D17,0,MATCH(VLOOKUP('COM Assumptions'!W$2,'RES Assumptions T15'!$V$3:$W$35,2,FALSE),'COM Assumptions T15'!$E$2:$S$2,0))</f>
        <v>0</v>
      </c>
      <c r="X17" s="1">
        <f ca="1">OFFSET('COM Assumptions T15'!$D17,0,MATCH(VLOOKUP('COM Assumptions'!X$2,'RES Assumptions T15'!$V$3:$W$35,2,FALSE),'COM Assumptions T15'!$E$2:$S$2,0))</f>
        <v>1</v>
      </c>
      <c r="Y17" s="1">
        <f ca="1">OFFSET('COM Assumptions T15'!$D17,0,MATCH(VLOOKUP('COM Assumptions'!Y$2,'RES Assumptions T15'!$V$3:$W$35,2,FALSE),'COM Assumptions T15'!$E$2:$S$2,0))</f>
        <v>0.95</v>
      </c>
      <c r="Z17" s="1">
        <f ca="1">OFFSET('COM Assumptions T15'!$D17,0,MATCH(VLOOKUP('COM Assumptions'!Z$2,'RES Assumptions T15'!$V$3:$W$35,2,FALSE),'COM Assumptions T15'!$E$2:$S$2,0))</f>
        <v>0.9</v>
      </c>
      <c r="AA17" s="1">
        <f ca="1">OFFSET('COM Assumptions T15'!$D17,0,MATCH(VLOOKUP('COM Assumptions'!AA$2,'RES Assumptions T15'!$V$3:$W$35,2,FALSE),'COM Assumptions T15'!$E$2:$S$2,0))</f>
        <v>0.9</v>
      </c>
      <c r="AB17" s="1">
        <f ca="1">OFFSET('COM Assumptions T15'!$D17,0,MATCH(VLOOKUP('COM Assumptions'!AB$2,'RES Assumptions T15'!$V$3:$W$35,2,FALSE),'COM Assumptions T15'!$E$2:$S$2,0))</f>
        <v>0</v>
      </c>
      <c r="AC17" s="1">
        <f ca="1">OFFSET('COM Assumptions T15'!$D17,0,MATCH(VLOOKUP('COM Assumptions'!AC$2,'RES Assumptions T15'!$V$3:$W$35,2,FALSE),'COM Assumptions T15'!$E$2:$S$2,0))</f>
        <v>0.1</v>
      </c>
      <c r="AD17" s="1">
        <f ca="1">OFFSET('COM Assumptions T15'!$D17,0,MATCH(VLOOKUP('COM Assumptions'!AD$2,'RES Assumptions T15'!$V$3:$W$35,2,FALSE),'COM Assumptions T15'!$E$2:$S$2,0))</f>
        <v>0.9</v>
      </c>
      <c r="AE17" s="1">
        <f ca="1">OFFSET('COM Assumptions T15'!$D17,0,MATCH(VLOOKUP('COM Assumptions'!AE$2,'RES Assumptions T15'!$V$3:$W$35,2,FALSE),'COM Assumptions T15'!$E$2:$S$2,0))</f>
        <v>0.95</v>
      </c>
      <c r="AF17" s="1">
        <f ca="1">OFFSET('COM Assumptions T15'!$D17,0,MATCH(VLOOKUP('COM Assumptions'!AF$2,'RES Assumptions T15'!$V$3:$W$35,2,FALSE),'COM Assumptions T15'!$E$2:$S$2,0))</f>
        <v>0</v>
      </c>
      <c r="AG17" s="1">
        <f ca="1">OFFSET('COM Assumptions T15'!$D17,0,MATCH(VLOOKUP('COM Assumptions'!AG$2,'RES Assumptions T15'!$V$3:$W$35,2,FALSE),'COM Assumptions T15'!$E$2:$S$2,0))</f>
        <v>0</v>
      </c>
      <c r="AH17" s="1">
        <f ca="1">OFFSET('COM Assumptions T15'!$D17,0,MATCH(VLOOKUP('COM Assumptions'!AH$2,'RES Assumptions T15'!$V$3:$W$35,2,FALSE),'COM Assumptions T15'!$E$2:$S$2,0))</f>
        <v>0</v>
      </c>
      <c r="AI17" s="1"/>
      <c r="AK17" s="10">
        <f ca="1">IFERROR(SUMIFS('COM balance'!E$5:E$25,'COM balance'!$D$5:$D$25,'COM Assumptions'!$A17)*E17,"")</f>
        <v>0</v>
      </c>
      <c r="AL17" s="10">
        <f ca="1">IFERROR(SUMIFS('COM balance'!F$5:F$25,'COM balance'!$D$5:$D$25,'COM Assumptions'!$A17)*F17,"")</f>
        <v>1.0958101173000001</v>
      </c>
      <c r="AM17" s="10">
        <f ca="1">IFERROR(SUMIFS('COM balance'!G$5:G$25,'COM balance'!$D$5:$D$25,'COM Assumptions'!$A17)*G17,"")</f>
        <v>4.2745762620000002E-2</v>
      </c>
      <c r="AN17" s="10">
        <f ca="1">IFERROR(SUMIFS('COM balance'!H$5:H$25,'COM balance'!$D$5:$D$25,'COM Assumptions'!$A17)*H17,"")</f>
        <v>4.3668324000000003E-3</v>
      </c>
      <c r="AO17" s="10">
        <f ca="1">IFERROR(SUMIFS('COM balance'!I$5:I$25,'COM balance'!$D$5:$D$25,'COM Assumptions'!$A17)*I17,"")</f>
        <v>0</v>
      </c>
      <c r="AP17" s="10">
        <f ca="1">IFERROR(SUMIFS('COM balance'!J$5:J$25,'COM balance'!$D$5:$D$25,'COM Assumptions'!$A17)*J17,"")</f>
        <v>3.9399512961600003</v>
      </c>
      <c r="AQ17" s="10">
        <f ca="1">IFERROR(SUMIFS('COM balance'!K$5:K$25,'COM balance'!$D$5:$D$25,'COM Assumptions'!$A17)*K17,"")</f>
        <v>0</v>
      </c>
      <c r="AR17" s="10">
        <f ca="1">IFERROR(SUMIFS('COM balance'!L$5:L$25,'COM balance'!$D$5:$D$25,'COM Assumptions'!$A17)*L17,"")</f>
        <v>0</v>
      </c>
      <c r="AS17" s="10">
        <f ca="1">IFERROR(SUMIFS('COM balance'!M$5:M$25,'COM balance'!$D$5:$D$25,'COM Assumptions'!$A17)*M17,"")</f>
        <v>0.30835195848000002</v>
      </c>
      <c r="AT17" s="10">
        <f ca="1">IFERROR(SUMIFS('COM balance'!N$5:N$25,'COM balance'!$D$5:$D$25,'COM Assumptions'!$A17)*N17,"")</f>
        <v>82.818958287780006</v>
      </c>
      <c r="AU17" s="10">
        <f ca="1">IFERROR(SUMIFS('COM balance'!O$5:O$25,'COM balance'!$D$5:$D$25,'COM Assumptions'!$A17)*O17,"")</f>
        <v>0</v>
      </c>
      <c r="AV17" s="10">
        <f ca="1">IFERROR(SUMIFS('COM balance'!P$5:P$25,'COM balance'!$D$5:$D$25,'COM Assumptions'!$A17)*P17,"")</f>
        <v>1.4193252E-4</v>
      </c>
      <c r="AW17" s="10">
        <f ca="1">IFERROR(SUMIFS('COM balance'!Q$5:Q$25,'COM balance'!$D$5:$D$25,'COM Assumptions'!$A17)*Q17,"")</f>
        <v>0</v>
      </c>
      <c r="AX17" s="10">
        <f ca="1">IFERROR(SUMIFS('COM balance'!R$5:R$25,'COM balance'!$D$5:$D$25,'COM Assumptions'!$A17)*R17,"")</f>
        <v>0</v>
      </c>
      <c r="AY17" s="10">
        <f ca="1">IFERROR(SUMIFS('COM balance'!S$5:S$25,'COM balance'!$D$5:$D$25,'COM Assumptions'!$A17)*S17,"")</f>
        <v>1.27823004E-3</v>
      </c>
      <c r="AZ17" s="10">
        <f ca="1">IFERROR(SUMIFS('COM balance'!T$5:T$25,'COM balance'!$D$5:$D$25,'COM Assumptions'!$A17)*T17,"")</f>
        <v>0</v>
      </c>
      <c r="BA17" s="10">
        <f ca="1">IFERROR(SUMIFS('COM balance'!U$5:U$25,'COM balance'!$D$5:$D$25,'COM Assumptions'!$A17)*U17,"")</f>
        <v>0</v>
      </c>
      <c r="BB17" s="10">
        <f ca="1">IFERROR(SUMIFS('COM balance'!V$5:V$25,'COM balance'!$D$5:$D$25,'COM Assumptions'!$A17)*V17,"")</f>
        <v>0</v>
      </c>
      <c r="BC17" s="10">
        <f ca="1">IFERROR(SUMIFS('COM balance'!W$5:W$25,'COM balance'!$D$5:$D$25,'COM Assumptions'!$A17)*W17,"")</f>
        <v>0</v>
      </c>
      <c r="BD17" s="10">
        <f ca="1">IFERROR(SUMIFS('COM balance'!X$5:X$25,'COM balance'!$D$5:$D$25,'COM Assumptions'!$A17)*X17,"")</f>
        <v>3.788698122</v>
      </c>
      <c r="BE17" s="10">
        <f ca="1">IFERROR(SUMIFS('COM balance'!Y$5:Y$25,'COM balance'!$D$5:$D$25,'COM Assumptions'!$A17)*Y17,"")</f>
        <v>0.28951135847999998</v>
      </c>
      <c r="BF17" s="10">
        <f ca="1">IFERROR(SUMIFS('COM balance'!Z$5:Z$25,'COM balance'!$D$5:$D$25,'COM Assumptions'!$A17)*Z17,"")</f>
        <v>0</v>
      </c>
      <c r="BG17" s="10">
        <f ca="1">IFERROR(SUMIFS('COM balance'!AA$5:AA$25,'COM balance'!$D$5:$D$25,'COM Assumptions'!$A17)*AA17,"")</f>
        <v>2.7281000394000001</v>
      </c>
      <c r="BH17" s="10">
        <f ca="1">IFERROR(SUMIFS('COM balance'!AB$5:AB$25,'COM balance'!$D$5:$D$25,'COM Assumptions'!$A17)*AB17,"")</f>
        <v>0</v>
      </c>
      <c r="BI17" s="10">
        <f ca="1">IFERROR(SUMIFS('COM balance'!AC$5:AC$25,'COM balance'!$D$5:$D$25,'COM Assumptions'!$A17)*AC17,"")</f>
        <v>0</v>
      </c>
      <c r="BJ17" s="10">
        <f ca="1">IFERROR(SUMIFS('COM balance'!AD$5:AD$25,'COM balance'!$D$5:$D$25,'COM Assumptions'!$A17)*AD17,"")</f>
        <v>0</v>
      </c>
      <c r="BK17" s="10">
        <f ca="1">IFERROR(SUMIFS('COM balance'!AE$5:AE$25,'COM balance'!$D$5:$D$25,'COM Assumptions'!$A17)*AE17,"")</f>
        <v>2.8818765979199998</v>
      </c>
      <c r="BL17" s="10">
        <f ca="1">IFERROR(SUMIFS('COM balance'!AF$5:AF$25,'COM balance'!$D$5:$D$25,'COM Assumptions'!$A17)*AF17,"")</f>
        <v>0</v>
      </c>
      <c r="BM17" s="10">
        <f ca="1">IFERROR(SUMIFS('COM balance'!AG$5:AG$25,'COM balance'!$D$5:$D$25,'COM Assumptions'!$A17)*AG17,"")</f>
        <v>0</v>
      </c>
      <c r="BN17" s="10">
        <f ca="1">IFERROR(SUMIFS('COM balance'!AH$5:AH$25,'COM balance'!$D$5:$D$25,'COM Assumptions'!$A17)*AH17,"")</f>
        <v>0</v>
      </c>
    </row>
    <row r="18" spans="1:66" x14ac:dyDescent="0.45">
      <c r="A18" s="8" t="str">
        <f>VLOOKUP(C18,'COM balance'!$AM$5:$AN$25,2,FALSE)</f>
        <v>COMKER</v>
      </c>
      <c r="B18" s="36"/>
      <c r="C18" s="20" t="s">
        <v>74</v>
      </c>
      <c r="D18" s="41" t="s">
        <v>86</v>
      </c>
      <c r="E18" s="25">
        <f ca="1">OFFSET('COM Assumptions T15'!$D18,0,MATCH(VLOOKUP('COM Assumptions'!E$2,'RES Assumptions T15'!$V$3:$W$35,2,FALSE),'COM Assumptions T15'!$E$2:$S$2,0))</f>
        <v>0.05</v>
      </c>
      <c r="F18" s="25">
        <f ca="1">OFFSET('COM Assumptions T15'!$D18,0,MATCH(VLOOKUP('COM Assumptions'!F$2,'RES Assumptions T15'!$V$3:$W$35,2,FALSE),'COM Assumptions T15'!$E$2:$S$2,0))</f>
        <v>0.05</v>
      </c>
      <c r="G18" s="25">
        <f ca="1">OFFSET('COM Assumptions T15'!$D18,0,MATCH(VLOOKUP('COM Assumptions'!G$2,'RES Assumptions T15'!$V$3:$W$35,2,FALSE),'COM Assumptions T15'!$E$2:$S$2,0))</f>
        <v>0.05</v>
      </c>
      <c r="H18" s="25">
        <f ca="1">OFFSET('COM Assumptions T15'!$D18,0,MATCH(VLOOKUP('COM Assumptions'!H$2,'RES Assumptions T15'!$V$3:$W$35,2,FALSE),'COM Assumptions T15'!$E$2:$S$2,0))</f>
        <v>0.5</v>
      </c>
      <c r="I18" s="25">
        <f ca="1">OFFSET('COM Assumptions T15'!$D18,0,MATCH(VLOOKUP('COM Assumptions'!I$2,'RES Assumptions T15'!$V$3:$W$35,2,FALSE),'COM Assumptions T15'!$E$2:$S$2,0))</f>
        <v>0</v>
      </c>
      <c r="J18" s="25">
        <f ca="1">OFFSET('COM Assumptions T15'!$D18,0,MATCH(VLOOKUP('COM Assumptions'!J$2,'RES Assumptions T15'!$V$3:$W$35,2,FALSE),'COM Assumptions T15'!$E$2:$S$2,0))</f>
        <v>0.5</v>
      </c>
      <c r="K18" s="25">
        <f ca="1">OFFSET('COM Assumptions T15'!$D18,0,MATCH(VLOOKUP('COM Assumptions'!K$2,'RES Assumptions T15'!$V$3:$W$35,2,FALSE),'COM Assumptions T15'!$E$2:$S$2,0))</f>
        <v>0.9</v>
      </c>
      <c r="L18" s="25">
        <f ca="1">OFFSET('COM Assumptions T15'!$D18,0,MATCH(VLOOKUP('COM Assumptions'!L$2,'RES Assumptions T15'!$V$3:$W$35,2,FALSE),'COM Assumptions T15'!$E$2:$S$2,0))</f>
        <v>0.05</v>
      </c>
      <c r="M18" s="25">
        <f ca="1">OFFSET('COM Assumptions T15'!$D18,0,MATCH(VLOOKUP('COM Assumptions'!M$2,'RES Assumptions T15'!$V$3:$W$35,2,FALSE),'COM Assumptions T15'!$E$2:$S$2,0))</f>
        <v>0.85</v>
      </c>
      <c r="N18" s="25">
        <f ca="1">OFFSET('COM Assumptions T15'!$D18,0,MATCH(VLOOKUP('COM Assumptions'!N$2,'RES Assumptions T15'!$V$3:$W$35,2,FALSE),'COM Assumptions T15'!$E$2:$S$2,0))</f>
        <v>0.2</v>
      </c>
      <c r="O18" s="25">
        <f ca="1">OFFSET('COM Assumptions T15'!$D18,0,MATCH(VLOOKUP('COM Assumptions'!O$2,'RES Assumptions T15'!$V$3:$W$35,2,FALSE),'COM Assumptions T15'!$E$2:$S$2,0))</f>
        <v>0.5</v>
      </c>
      <c r="P18" s="1">
        <f ca="1">OFFSET('COM Assumptions T15'!$D18,0,MATCH(VLOOKUP('COM Assumptions'!P$2,'RES Assumptions T15'!$V$3:$W$35,2,FALSE),'COM Assumptions T15'!$E$2:$S$2,0))</f>
        <v>0.5</v>
      </c>
      <c r="Q18" s="1">
        <f ca="1">OFFSET('COM Assumptions T15'!$D18,0,MATCH(VLOOKUP('COM Assumptions'!Q$2,'RES Assumptions T15'!$V$3:$W$35,2,FALSE),'COM Assumptions T15'!$E$2:$S$2,0))</f>
        <v>0.5</v>
      </c>
      <c r="R18" s="1">
        <f ca="1">OFFSET('COM Assumptions T15'!$D18,0,MATCH(VLOOKUP('COM Assumptions'!R$2,'RES Assumptions T15'!$V$3:$W$35,2,FALSE),'COM Assumptions T15'!$E$2:$S$2,0))</f>
        <v>0.5</v>
      </c>
      <c r="S18" s="1">
        <f ca="1">OFFSET('COM Assumptions T15'!$D18,0,MATCH(VLOOKUP('COM Assumptions'!S$2,'RES Assumptions T15'!$V$3:$W$35,2,FALSE),'COM Assumptions T15'!$E$2:$S$2,0))</f>
        <v>0.5</v>
      </c>
      <c r="T18" s="1">
        <f ca="1">OFFSET('COM Assumptions T15'!$D18,0,MATCH(VLOOKUP('COM Assumptions'!T$2,'RES Assumptions T15'!$V$3:$W$35,2,FALSE),'COM Assumptions T15'!$E$2:$S$2,0))</f>
        <v>0.5</v>
      </c>
      <c r="U18" s="1">
        <f ca="1">OFFSET('COM Assumptions T15'!$D18,0,MATCH(VLOOKUP('COM Assumptions'!U$2,'RES Assumptions T15'!$V$3:$W$35,2,FALSE),'COM Assumptions T15'!$E$2:$S$2,0))</f>
        <v>0.1</v>
      </c>
      <c r="V18" s="1">
        <f ca="1">OFFSET('COM Assumptions T15'!$D18,0,MATCH(VLOOKUP('COM Assumptions'!V$2,'RES Assumptions T15'!$V$3:$W$35,2,FALSE),'COM Assumptions T15'!$E$2:$S$2,0))</f>
        <v>0.5</v>
      </c>
      <c r="W18" s="1">
        <f ca="1">OFFSET('COM Assumptions T15'!$D18,0,MATCH(VLOOKUP('COM Assumptions'!W$2,'RES Assumptions T15'!$V$3:$W$35,2,FALSE),'COM Assumptions T15'!$E$2:$S$2,0))</f>
        <v>0.5</v>
      </c>
      <c r="X18" s="1">
        <f ca="1">OFFSET('COM Assumptions T15'!$D18,0,MATCH(VLOOKUP('COM Assumptions'!X$2,'RES Assumptions T15'!$V$3:$W$35,2,FALSE),'COM Assumptions T15'!$E$2:$S$2,0))</f>
        <v>0</v>
      </c>
      <c r="Y18" s="1">
        <f ca="1">OFFSET('COM Assumptions T15'!$D18,0,MATCH(VLOOKUP('COM Assumptions'!Y$2,'RES Assumptions T15'!$V$3:$W$35,2,FALSE),'COM Assumptions T15'!$E$2:$S$2,0))</f>
        <v>0.05</v>
      </c>
      <c r="Z18" s="1">
        <f ca="1">OFFSET('COM Assumptions T15'!$D18,0,MATCH(VLOOKUP('COM Assumptions'!Z$2,'RES Assumptions T15'!$V$3:$W$35,2,FALSE),'COM Assumptions T15'!$E$2:$S$2,0))</f>
        <v>0.1</v>
      </c>
      <c r="AA18" s="1">
        <f ca="1">OFFSET('COM Assumptions T15'!$D18,0,MATCH(VLOOKUP('COM Assumptions'!AA$2,'RES Assumptions T15'!$V$3:$W$35,2,FALSE),'COM Assumptions T15'!$E$2:$S$2,0))</f>
        <v>0.1</v>
      </c>
      <c r="AB18" s="1">
        <f ca="1">OFFSET('COM Assumptions T15'!$D18,0,MATCH(VLOOKUP('COM Assumptions'!AB$2,'RES Assumptions T15'!$V$3:$W$35,2,FALSE),'COM Assumptions T15'!$E$2:$S$2,0))</f>
        <v>0.5</v>
      </c>
      <c r="AC18" s="1">
        <f ca="1">OFFSET('COM Assumptions T15'!$D18,0,MATCH(VLOOKUP('COM Assumptions'!AC$2,'RES Assumptions T15'!$V$3:$W$35,2,FALSE),'COM Assumptions T15'!$E$2:$S$2,0))</f>
        <v>0.5</v>
      </c>
      <c r="AD18" s="1">
        <f ca="1">OFFSET('COM Assumptions T15'!$D18,0,MATCH(VLOOKUP('COM Assumptions'!AD$2,'RES Assumptions T15'!$V$3:$W$35,2,FALSE),'COM Assumptions T15'!$E$2:$S$2,0))</f>
        <v>0.1</v>
      </c>
      <c r="AE18" s="1">
        <f ca="1">OFFSET('COM Assumptions T15'!$D18,0,MATCH(VLOOKUP('COM Assumptions'!AE$2,'RES Assumptions T15'!$V$3:$W$35,2,FALSE),'COM Assumptions T15'!$E$2:$S$2,0))</f>
        <v>0.05</v>
      </c>
      <c r="AF18" s="1">
        <f ca="1">OFFSET('COM Assumptions T15'!$D18,0,MATCH(VLOOKUP('COM Assumptions'!AF$2,'RES Assumptions T15'!$V$3:$W$35,2,FALSE),'COM Assumptions T15'!$E$2:$S$2,0))</f>
        <v>0.5</v>
      </c>
      <c r="AG18" s="1">
        <f ca="1">OFFSET('COM Assumptions T15'!$D18,0,MATCH(VLOOKUP('COM Assumptions'!AG$2,'RES Assumptions T15'!$V$3:$W$35,2,FALSE),'COM Assumptions T15'!$E$2:$S$2,0))</f>
        <v>0</v>
      </c>
      <c r="AH18" s="1">
        <f ca="1">OFFSET('COM Assumptions T15'!$D18,0,MATCH(VLOOKUP('COM Assumptions'!AH$2,'RES Assumptions T15'!$V$3:$W$35,2,FALSE),'COM Assumptions T15'!$E$2:$S$2,0))</f>
        <v>0</v>
      </c>
      <c r="AI18" s="1"/>
      <c r="AK18" s="10">
        <f ca="1">IFERROR(SUMIFS('COM balance'!E$5:E$25,'COM balance'!$D$5:$D$25,'COM Assumptions'!$A18)*E18,"")</f>
        <v>0</v>
      </c>
      <c r="AL18" s="10">
        <f ca="1">IFERROR(SUMIFS('COM balance'!F$5:F$25,'COM balance'!$D$5:$D$25,'COM Assumptions'!$A18)*F18,"")</f>
        <v>5.7674216700000003E-2</v>
      </c>
      <c r="AM18" s="10">
        <f ca="1">IFERROR(SUMIFS('COM balance'!G$5:G$25,'COM balance'!$D$5:$D$25,'COM Assumptions'!$A18)*G18,"")</f>
        <v>2.2497769800000002E-3</v>
      </c>
      <c r="AN18" s="10">
        <f ca="1">IFERROR(SUMIFS('COM balance'!H$5:H$25,'COM balance'!$D$5:$D$25,'COM Assumptions'!$A18)*H18,"")</f>
        <v>2.1834162000000001E-2</v>
      </c>
      <c r="AO18" s="10">
        <f ca="1">IFERROR(SUMIFS('COM balance'!I$5:I$25,'COM balance'!$D$5:$D$25,'COM Assumptions'!$A18)*I18,"")</f>
        <v>0</v>
      </c>
      <c r="AP18" s="10">
        <f ca="1">IFERROR(SUMIFS('COM balance'!J$5:J$25,'COM balance'!$D$5:$D$25,'COM Assumptions'!$A18)*J18,"")</f>
        <v>4.9249391202000004</v>
      </c>
      <c r="AQ18" s="10">
        <f ca="1">IFERROR(SUMIFS('COM balance'!K$5:K$25,'COM balance'!$D$5:$D$25,'COM Assumptions'!$A18)*K18,"")</f>
        <v>6.1797168000000003E-4</v>
      </c>
      <c r="AR18" s="10">
        <f ca="1">IFERROR(SUMIFS('COM balance'!L$5:L$25,'COM balance'!$D$5:$D$25,'COM Assumptions'!$A18)*L18,"")</f>
        <v>0</v>
      </c>
      <c r="AS18" s="10">
        <f ca="1">IFERROR(SUMIFS('COM balance'!M$5:M$25,'COM balance'!$D$5:$D$25,'COM Assumptions'!$A18)*M18,"")</f>
        <v>13.1049582354</v>
      </c>
      <c r="AT18" s="10">
        <f ca="1">IFERROR(SUMIFS('COM balance'!N$5:N$25,'COM balance'!$D$5:$D$25,'COM Assumptions'!$A18)*N18,"")</f>
        <v>25.482756396240003</v>
      </c>
      <c r="AU18" s="10">
        <f ca="1">IFERROR(SUMIFS('COM balance'!O$5:O$25,'COM balance'!$D$5:$D$25,'COM Assumptions'!$A18)*O18,"")</f>
        <v>1.7071677E-2</v>
      </c>
      <c r="AV18" s="10">
        <f ca="1">IFERROR(SUMIFS('COM balance'!P$5:P$25,'COM balance'!$D$5:$D$25,'COM Assumptions'!$A18)*P18,"")</f>
        <v>7.096626E-4</v>
      </c>
      <c r="AW18" s="10">
        <f ca="1">IFERROR(SUMIFS('COM balance'!Q$5:Q$25,'COM balance'!$D$5:$D$25,'COM Assumptions'!$A18)*Q18,"")</f>
        <v>1.7797709987999999</v>
      </c>
      <c r="AX18" s="10">
        <f ca="1">IFERROR(SUMIFS('COM balance'!R$5:R$25,'COM balance'!$D$5:$D$25,'COM Assumptions'!$A18)*R18,"")</f>
        <v>5.0419538999999999E-2</v>
      </c>
      <c r="AY18" s="10">
        <f ca="1">IFERROR(SUMIFS('COM balance'!S$5:S$25,'COM balance'!$D$5:$D$25,'COM Assumptions'!$A18)*S18,"")</f>
        <v>6.3911502E-3</v>
      </c>
      <c r="AZ18" s="10">
        <f ca="1">IFERROR(SUMIFS('COM balance'!T$5:T$25,'COM balance'!$D$5:$D$25,'COM Assumptions'!$A18)*T18,"")</f>
        <v>4.3961400000000002E-5</v>
      </c>
      <c r="BA18" s="10">
        <f ca="1">IFERROR(SUMIFS('COM balance'!U$5:U$25,'COM balance'!$D$5:$D$25,'COM Assumptions'!$A18)*U18,"")</f>
        <v>0</v>
      </c>
      <c r="BB18" s="10">
        <f ca="1">IFERROR(SUMIFS('COM balance'!V$5:V$25,'COM balance'!$D$5:$D$25,'COM Assumptions'!$A18)*V18,"")</f>
        <v>0</v>
      </c>
      <c r="BC18" s="10">
        <f ca="1">IFERROR(SUMIFS('COM balance'!W$5:W$25,'COM balance'!$D$5:$D$25,'COM Assumptions'!$A18)*W18,"")</f>
        <v>0</v>
      </c>
      <c r="BD18" s="10">
        <f ca="1">IFERROR(SUMIFS('COM balance'!X$5:X$25,'COM balance'!$D$5:$D$25,'COM Assumptions'!$A18)*X18,"")</f>
        <v>0</v>
      </c>
      <c r="BE18" s="10">
        <f ca="1">IFERROR(SUMIFS('COM balance'!Y$5:Y$25,'COM balance'!$D$5:$D$25,'COM Assumptions'!$A18)*Y18,"")</f>
        <v>1.5237439920000002E-2</v>
      </c>
      <c r="BF18" s="10">
        <f ca="1">IFERROR(SUMIFS('COM balance'!Z$5:Z$25,'COM balance'!$D$5:$D$25,'COM Assumptions'!$A18)*Z18,"")</f>
        <v>0</v>
      </c>
      <c r="BG18" s="10">
        <f ca="1">IFERROR(SUMIFS('COM balance'!AA$5:AA$25,'COM balance'!$D$5:$D$25,'COM Assumptions'!$A18)*AA18,"")</f>
        <v>0.30312222659999999</v>
      </c>
      <c r="BH18" s="10">
        <f ca="1">IFERROR(SUMIFS('COM balance'!AB$5:AB$25,'COM balance'!$D$5:$D$25,'COM Assumptions'!$A18)*AB18,"")</f>
        <v>3.4331759999999998E-4</v>
      </c>
      <c r="BI18" s="10">
        <f ca="1">IFERROR(SUMIFS('COM balance'!AC$5:AC$25,'COM balance'!$D$5:$D$25,'COM Assumptions'!$A18)*AC18,"")</f>
        <v>0</v>
      </c>
      <c r="BJ18" s="10">
        <f ca="1">IFERROR(SUMIFS('COM balance'!AD$5:AD$25,'COM balance'!$D$5:$D$25,'COM Assumptions'!$A18)*AD18,"")</f>
        <v>0</v>
      </c>
      <c r="BK18" s="10">
        <f ca="1">IFERROR(SUMIFS('COM balance'!AE$5:AE$25,'COM balance'!$D$5:$D$25,'COM Assumptions'!$A18)*AE18,"")</f>
        <v>0.15167771567999999</v>
      </c>
      <c r="BL18" s="10">
        <f ca="1">IFERROR(SUMIFS('COM balance'!AF$5:AF$25,'COM balance'!$D$5:$D$25,'COM Assumptions'!$A18)*AF18,"")</f>
        <v>17.071000831799999</v>
      </c>
      <c r="BM18" s="10">
        <f ca="1">IFERROR(SUMIFS('COM balance'!AG$5:AG$25,'COM balance'!$D$5:$D$25,'COM Assumptions'!$A18)*AG18,"")</f>
        <v>0</v>
      </c>
      <c r="BN18" s="10">
        <f ca="1">IFERROR(SUMIFS('COM balance'!AH$5:AH$25,'COM balance'!$D$5:$D$25,'COM Assumptions'!$A18)*AH18,"")</f>
        <v>0</v>
      </c>
    </row>
    <row r="19" spans="1:66" x14ac:dyDescent="0.45">
      <c r="A19" s="8" t="str">
        <f>VLOOKUP(C19,'COM balance'!$AM$5:$AN$25,2,FALSE)</f>
        <v>COMKER</v>
      </c>
      <c r="B19" s="36"/>
      <c r="C19" s="22" t="s">
        <v>74</v>
      </c>
      <c r="D19" s="42" t="s">
        <v>89</v>
      </c>
      <c r="E19" s="26">
        <f ca="1">OFFSET('COM Assumptions T15'!$D19,0,MATCH(VLOOKUP('COM Assumptions'!E$2,'RES Assumptions T15'!$V$3:$W$35,2,FALSE),'COM Assumptions T15'!$E$2:$S$2,0))</f>
        <v>0</v>
      </c>
      <c r="F19" s="26">
        <f ca="1">OFFSET('COM Assumptions T15'!$D19,0,MATCH(VLOOKUP('COM Assumptions'!F$2,'RES Assumptions T15'!$V$3:$W$35,2,FALSE),'COM Assumptions T15'!$E$2:$S$2,0))</f>
        <v>0</v>
      </c>
      <c r="G19" s="26">
        <f ca="1">OFFSET('COM Assumptions T15'!$D19,0,MATCH(VLOOKUP('COM Assumptions'!G$2,'RES Assumptions T15'!$V$3:$W$35,2,FALSE),'COM Assumptions T15'!$E$2:$S$2,0))</f>
        <v>0</v>
      </c>
      <c r="H19" s="26">
        <f ca="1">OFFSET('COM Assumptions T15'!$D19,0,MATCH(VLOOKUP('COM Assumptions'!H$2,'RES Assumptions T15'!$V$3:$W$35,2,FALSE),'COM Assumptions T15'!$E$2:$S$2,0))</f>
        <v>0</v>
      </c>
      <c r="I19" s="26">
        <f ca="1">OFFSET('COM Assumptions T15'!$D19,0,MATCH(VLOOKUP('COM Assumptions'!I$2,'RES Assumptions T15'!$V$3:$W$35,2,FALSE),'COM Assumptions T15'!$E$2:$S$2,0))</f>
        <v>0</v>
      </c>
      <c r="J19" s="26">
        <f ca="1">OFFSET('COM Assumptions T15'!$D19,0,MATCH(VLOOKUP('COM Assumptions'!J$2,'RES Assumptions T15'!$V$3:$W$35,2,FALSE),'COM Assumptions T15'!$E$2:$S$2,0))</f>
        <v>0</v>
      </c>
      <c r="K19" s="26">
        <f ca="1">OFFSET('COM Assumptions T15'!$D19,0,MATCH(VLOOKUP('COM Assumptions'!K$2,'RES Assumptions T15'!$V$3:$W$35,2,FALSE),'COM Assumptions T15'!$E$2:$S$2,0))</f>
        <v>0</v>
      </c>
      <c r="L19" s="26">
        <f ca="1">OFFSET('COM Assumptions T15'!$D19,0,MATCH(VLOOKUP('COM Assumptions'!L$2,'RES Assumptions T15'!$V$3:$W$35,2,FALSE),'COM Assumptions T15'!$E$2:$S$2,0))</f>
        <v>0</v>
      </c>
      <c r="M19" s="26">
        <f ca="1">OFFSET('COM Assumptions T15'!$D19,0,MATCH(VLOOKUP('COM Assumptions'!M$2,'RES Assumptions T15'!$V$3:$W$35,2,FALSE),'COM Assumptions T15'!$E$2:$S$2,0))</f>
        <v>0</v>
      </c>
      <c r="N19" s="26">
        <f ca="1">OFFSET('COM Assumptions T15'!$D19,0,MATCH(VLOOKUP('COM Assumptions'!N$2,'RES Assumptions T15'!$V$3:$W$35,2,FALSE),'COM Assumptions T15'!$E$2:$S$2,0))</f>
        <v>0</v>
      </c>
      <c r="O19" s="26">
        <f ca="1">OFFSET('COM Assumptions T15'!$D19,0,MATCH(VLOOKUP('COM Assumptions'!O$2,'RES Assumptions T15'!$V$3:$W$35,2,FALSE),'COM Assumptions T15'!$E$2:$S$2,0))</f>
        <v>0</v>
      </c>
      <c r="P19" s="1">
        <f ca="1">OFFSET('COM Assumptions T15'!$D19,0,MATCH(VLOOKUP('COM Assumptions'!P$2,'RES Assumptions T15'!$V$3:$W$35,2,FALSE),'COM Assumptions T15'!$E$2:$S$2,0))</f>
        <v>0</v>
      </c>
      <c r="Q19" s="1">
        <f ca="1">OFFSET('COM Assumptions T15'!$D19,0,MATCH(VLOOKUP('COM Assumptions'!Q$2,'RES Assumptions T15'!$V$3:$W$35,2,FALSE),'COM Assumptions T15'!$E$2:$S$2,0))</f>
        <v>0</v>
      </c>
      <c r="R19" s="1">
        <f ca="1">OFFSET('COM Assumptions T15'!$D19,0,MATCH(VLOOKUP('COM Assumptions'!R$2,'RES Assumptions T15'!$V$3:$W$35,2,FALSE),'COM Assumptions T15'!$E$2:$S$2,0))</f>
        <v>0</v>
      </c>
      <c r="S19" s="1">
        <f ca="1">OFFSET('COM Assumptions T15'!$D19,0,MATCH(VLOOKUP('COM Assumptions'!S$2,'RES Assumptions T15'!$V$3:$W$35,2,FALSE),'COM Assumptions T15'!$E$2:$S$2,0))</f>
        <v>0</v>
      </c>
      <c r="T19" s="1">
        <f ca="1">OFFSET('COM Assumptions T15'!$D19,0,MATCH(VLOOKUP('COM Assumptions'!T$2,'RES Assumptions T15'!$V$3:$W$35,2,FALSE),'COM Assumptions T15'!$E$2:$S$2,0))</f>
        <v>0</v>
      </c>
      <c r="U19" s="1">
        <f ca="1">OFFSET('COM Assumptions T15'!$D19,0,MATCH(VLOOKUP('COM Assumptions'!U$2,'RES Assumptions T15'!$V$3:$W$35,2,FALSE),'COM Assumptions T15'!$E$2:$S$2,0))</f>
        <v>0</v>
      </c>
      <c r="V19" s="1">
        <f ca="1">OFFSET('COM Assumptions T15'!$D19,0,MATCH(VLOOKUP('COM Assumptions'!V$2,'RES Assumptions T15'!$V$3:$W$35,2,FALSE),'COM Assumptions T15'!$E$2:$S$2,0))</f>
        <v>0</v>
      </c>
      <c r="W19" s="1">
        <f ca="1">OFFSET('COM Assumptions T15'!$D19,0,MATCH(VLOOKUP('COM Assumptions'!W$2,'RES Assumptions T15'!$V$3:$W$35,2,FALSE),'COM Assumptions T15'!$E$2:$S$2,0))</f>
        <v>0</v>
      </c>
      <c r="X19" s="1">
        <f ca="1">OFFSET('COM Assumptions T15'!$D19,0,MATCH(VLOOKUP('COM Assumptions'!X$2,'RES Assumptions T15'!$V$3:$W$35,2,FALSE),'COM Assumptions T15'!$E$2:$S$2,0))</f>
        <v>0</v>
      </c>
      <c r="Y19" s="1">
        <f ca="1">OFFSET('COM Assumptions T15'!$D19,0,MATCH(VLOOKUP('COM Assumptions'!Y$2,'RES Assumptions T15'!$V$3:$W$35,2,FALSE),'COM Assumptions T15'!$E$2:$S$2,0))</f>
        <v>0</v>
      </c>
      <c r="Z19" s="1">
        <f ca="1">OFFSET('COM Assumptions T15'!$D19,0,MATCH(VLOOKUP('COM Assumptions'!Z$2,'RES Assumptions T15'!$V$3:$W$35,2,FALSE),'COM Assumptions T15'!$E$2:$S$2,0))</f>
        <v>0</v>
      </c>
      <c r="AA19" s="1">
        <f ca="1">OFFSET('COM Assumptions T15'!$D19,0,MATCH(VLOOKUP('COM Assumptions'!AA$2,'RES Assumptions T15'!$V$3:$W$35,2,FALSE),'COM Assumptions T15'!$E$2:$S$2,0))</f>
        <v>0</v>
      </c>
      <c r="AB19" s="1">
        <f ca="1">OFFSET('COM Assumptions T15'!$D19,0,MATCH(VLOOKUP('COM Assumptions'!AB$2,'RES Assumptions T15'!$V$3:$W$35,2,FALSE),'COM Assumptions T15'!$E$2:$S$2,0))</f>
        <v>0</v>
      </c>
      <c r="AC19" s="1">
        <f ca="1">OFFSET('COM Assumptions T15'!$D19,0,MATCH(VLOOKUP('COM Assumptions'!AC$2,'RES Assumptions T15'!$V$3:$W$35,2,FALSE),'COM Assumptions T15'!$E$2:$S$2,0))</f>
        <v>0</v>
      </c>
      <c r="AD19" s="1">
        <f ca="1">OFFSET('COM Assumptions T15'!$D19,0,MATCH(VLOOKUP('COM Assumptions'!AD$2,'RES Assumptions T15'!$V$3:$W$35,2,FALSE),'COM Assumptions T15'!$E$2:$S$2,0))</f>
        <v>0</v>
      </c>
      <c r="AE19" s="1">
        <f ca="1">OFFSET('COM Assumptions T15'!$D19,0,MATCH(VLOOKUP('COM Assumptions'!AE$2,'RES Assumptions T15'!$V$3:$W$35,2,FALSE),'COM Assumptions T15'!$E$2:$S$2,0))</f>
        <v>0</v>
      </c>
      <c r="AF19" s="1">
        <f ca="1">OFFSET('COM Assumptions T15'!$D19,0,MATCH(VLOOKUP('COM Assumptions'!AF$2,'RES Assumptions T15'!$V$3:$W$35,2,FALSE),'COM Assumptions T15'!$E$2:$S$2,0))</f>
        <v>0</v>
      </c>
      <c r="AG19" s="1">
        <f ca="1">OFFSET('COM Assumptions T15'!$D19,0,MATCH(VLOOKUP('COM Assumptions'!AG$2,'RES Assumptions T15'!$V$3:$W$35,2,FALSE),'COM Assumptions T15'!$E$2:$S$2,0))</f>
        <v>0</v>
      </c>
      <c r="AH19" s="1">
        <f ca="1">OFFSET('COM Assumptions T15'!$D19,0,MATCH(VLOOKUP('COM Assumptions'!AH$2,'RES Assumptions T15'!$V$3:$W$35,2,FALSE),'COM Assumptions T15'!$E$2:$S$2,0))</f>
        <v>0</v>
      </c>
      <c r="AI19" s="1"/>
      <c r="AK19" s="10">
        <f ca="1">IFERROR(SUMIFS('COM balance'!E$5:E$25,'COM balance'!$D$5:$D$25,'COM Assumptions'!$A19)*E19,"")</f>
        <v>0</v>
      </c>
      <c r="AL19" s="10">
        <f ca="1">IFERROR(SUMIFS('COM balance'!F$5:F$25,'COM balance'!$D$5:$D$25,'COM Assumptions'!$A19)*F19,"")</f>
        <v>0</v>
      </c>
      <c r="AM19" s="10">
        <f ca="1">IFERROR(SUMIFS('COM balance'!G$5:G$25,'COM balance'!$D$5:$D$25,'COM Assumptions'!$A19)*G19,"")</f>
        <v>0</v>
      </c>
      <c r="AN19" s="10">
        <f ca="1">IFERROR(SUMIFS('COM balance'!H$5:H$25,'COM balance'!$D$5:$D$25,'COM Assumptions'!$A19)*H19,"")</f>
        <v>0</v>
      </c>
      <c r="AO19" s="10">
        <f ca="1">IFERROR(SUMIFS('COM balance'!I$5:I$25,'COM balance'!$D$5:$D$25,'COM Assumptions'!$A19)*I19,"")</f>
        <v>0</v>
      </c>
      <c r="AP19" s="10">
        <f ca="1">IFERROR(SUMIFS('COM balance'!J$5:J$25,'COM balance'!$D$5:$D$25,'COM Assumptions'!$A19)*J19,"")</f>
        <v>0</v>
      </c>
      <c r="AQ19" s="10">
        <f ca="1">IFERROR(SUMIFS('COM balance'!K$5:K$25,'COM balance'!$D$5:$D$25,'COM Assumptions'!$A19)*K19,"")</f>
        <v>0</v>
      </c>
      <c r="AR19" s="10">
        <f ca="1">IFERROR(SUMIFS('COM balance'!L$5:L$25,'COM balance'!$D$5:$D$25,'COM Assumptions'!$A19)*L19,"")</f>
        <v>0</v>
      </c>
      <c r="AS19" s="10">
        <f ca="1">IFERROR(SUMIFS('COM balance'!M$5:M$25,'COM balance'!$D$5:$D$25,'COM Assumptions'!$A19)*M19,"")</f>
        <v>0</v>
      </c>
      <c r="AT19" s="10">
        <f ca="1">IFERROR(SUMIFS('COM balance'!N$5:N$25,'COM balance'!$D$5:$D$25,'COM Assumptions'!$A19)*N19,"")</f>
        <v>0</v>
      </c>
      <c r="AU19" s="10">
        <f ca="1">IFERROR(SUMIFS('COM balance'!O$5:O$25,'COM balance'!$D$5:$D$25,'COM Assumptions'!$A19)*O19,"")</f>
        <v>0</v>
      </c>
      <c r="AV19" s="10">
        <f ca="1">IFERROR(SUMIFS('COM balance'!P$5:P$25,'COM balance'!$D$5:$D$25,'COM Assumptions'!$A19)*P19,"")</f>
        <v>0</v>
      </c>
      <c r="AW19" s="10">
        <f ca="1">IFERROR(SUMIFS('COM balance'!Q$5:Q$25,'COM balance'!$D$5:$D$25,'COM Assumptions'!$A19)*Q19,"")</f>
        <v>0</v>
      </c>
      <c r="AX19" s="10">
        <f ca="1">IFERROR(SUMIFS('COM balance'!R$5:R$25,'COM balance'!$D$5:$D$25,'COM Assumptions'!$A19)*R19,"")</f>
        <v>0</v>
      </c>
      <c r="AY19" s="10">
        <f ca="1">IFERROR(SUMIFS('COM balance'!S$5:S$25,'COM balance'!$D$5:$D$25,'COM Assumptions'!$A19)*S19,"")</f>
        <v>0</v>
      </c>
      <c r="AZ19" s="10">
        <f ca="1">IFERROR(SUMIFS('COM balance'!T$5:T$25,'COM balance'!$D$5:$D$25,'COM Assumptions'!$A19)*T19,"")</f>
        <v>0</v>
      </c>
      <c r="BA19" s="10">
        <f ca="1">IFERROR(SUMIFS('COM balance'!U$5:U$25,'COM balance'!$D$5:$D$25,'COM Assumptions'!$A19)*U19,"")</f>
        <v>0</v>
      </c>
      <c r="BB19" s="10">
        <f ca="1">IFERROR(SUMIFS('COM balance'!V$5:V$25,'COM balance'!$D$5:$D$25,'COM Assumptions'!$A19)*V19,"")</f>
        <v>0</v>
      </c>
      <c r="BC19" s="10">
        <f ca="1">IFERROR(SUMIFS('COM balance'!W$5:W$25,'COM balance'!$D$5:$D$25,'COM Assumptions'!$A19)*W19,"")</f>
        <v>0</v>
      </c>
      <c r="BD19" s="10">
        <f ca="1">IFERROR(SUMIFS('COM balance'!X$5:X$25,'COM balance'!$D$5:$D$25,'COM Assumptions'!$A19)*X19,"")</f>
        <v>0</v>
      </c>
      <c r="BE19" s="10">
        <f ca="1">IFERROR(SUMIFS('COM balance'!Y$5:Y$25,'COM balance'!$D$5:$D$25,'COM Assumptions'!$A19)*Y19,"")</f>
        <v>0</v>
      </c>
      <c r="BF19" s="10">
        <f ca="1">IFERROR(SUMIFS('COM balance'!Z$5:Z$25,'COM balance'!$D$5:$D$25,'COM Assumptions'!$A19)*Z19,"")</f>
        <v>0</v>
      </c>
      <c r="BG19" s="10">
        <f ca="1">IFERROR(SUMIFS('COM balance'!AA$5:AA$25,'COM balance'!$D$5:$D$25,'COM Assumptions'!$A19)*AA19,"")</f>
        <v>0</v>
      </c>
      <c r="BH19" s="10">
        <f ca="1">IFERROR(SUMIFS('COM balance'!AB$5:AB$25,'COM balance'!$D$5:$D$25,'COM Assumptions'!$A19)*AB19,"")</f>
        <v>0</v>
      </c>
      <c r="BI19" s="10">
        <f ca="1">IFERROR(SUMIFS('COM balance'!AC$5:AC$25,'COM balance'!$D$5:$D$25,'COM Assumptions'!$A19)*AC19,"")</f>
        <v>0</v>
      </c>
      <c r="BJ19" s="10">
        <f ca="1">IFERROR(SUMIFS('COM balance'!AD$5:AD$25,'COM balance'!$D$5:$D$25,'COM Assumptions'!$A19)*AD19,"")</f>
        <v>0</v>
      </c>
      <c r="BK19" s="10">
        <f ca="1">IFERROR(SUMIFS('COM balance'!AE$5:AE$25,'COM balance'!$D$5:$D$25,'COM Assumptions'!$A19)*AE19,"")</f>
        <v>0</v>
      </c>
      <c r="BL19" s="10">
        <f ca="1">IFERROR(SUMIFS('COM balance'!AF$5:AF$25,'COM balance'!$D$5:$D$25,'COM Assumptions'!$A19)*AF19,"")</f>
        <v>0</v>
      </c>
      <c r="BM19" s="10">
        <f ca="1">IFERROR(SUMIFS('COM balance'!AG$5:AG$25,'COM balance'!$D$5:$D$25,'COM Assumptions'!$A19)*AG19,"")</f>
        <v>0</v>
      </c>
      <c r="BN19" s="10">
        <f ca="1">IFERROR(SUMIFS('COM balance'!AH$5:AH$25,'COM balance'!$D$5:$D$25,'COM Assumptions'!$A19)*AH19,"")</f>
        <v>0</v>
      </c>
    </row>
    <row r="20" spans="1:66" x14ac:dyDescent="0.45">
      <c r="A20" s="8" t="str">
        <f>VLOOKUP(C20,'COM balance'!$AM$5:$AN$25,2,FALSE)</f>
        <v>COMCOA</v>
      </c>
      <c r="B20" s="36"/>
      <c r="C20" s="20" t="s">
        <v>32</v>
      </c>
      <c r="D20" s="41" t="s">
        <v>82</v>
      </c>
      <c r="E20" s="25">
        <f ca="1">OFFSET('COM Assumptions T15'!$D20,0,MATCH(VLOOKUP('COM Assumptions'!E$2,'RES Assumptions T15'!$V$3:$W$35,2,FALSE),'COM Assumptions T15'!$E$2:$S$2,0))</f>
        <v>0</v>
      </c>
      <c r="F20" s="25">
        <f ca="1">OFFSET('COM Assumptions T15'!$D20,0,MATCH(VLOOKUP('COM Assumptions'!F$2,'RES Assumptions T15'!$V$3:$W$35,2,FALSE),'COM Assumptions T15'!$E$2:$S$2,0))</f>
        <v>0</v>
      </c>
      <c r="G20" s="25">
        <f ca="1">OFFSET('COM Assumptions T15'!$D20,0,MATCH(VLOOKUP('COM Assumptions'!G$2,'RES Assumptions T15'!$V$3:$W$35,2,FALSE),'COM Assumptions T15'!$E$2:$S$2,0))</f>
        <v>1</v>
      </c>
      <c r="H20" s="25">
        <f ca="1">OFFSET('COM Assumptions T15'!$D20,0,MATCH(VLOOKUP('COM Assumptions'!H$2,'RES Assumptions T15'!$V$3:$W$35,2,FALSE),'COM Assumptions T15'!$E$2:$S$2,0))</f>
        <v>1</v>
      </c>
      <c r="I20" s="25">
        <f ca="1">OFFSET('COM Assumptions T15'!$D20,0,MATCH(VLOOKUP('COM Assumptions'!I$2,'RES Assumptions T15'!$V$3:$W$35,2,FALSE),'COM Assumptions T15'!$E$2:$S$2,0))</f>
        <v>0.15</v>
      </c>
      <c r="J20" s="25">
        <f ca="1">OFFSET('COM Assumptions T15'!$D20,0,MATCH(VLOOKUP('COM Assumptions'!J$2,'RES Assumptions T15'!$V$3:$W$35,2,FALSE),'COM Assumptions T15'!$E$2:$S$2,0))</f>
        <v>0.2</v>
      </c>
      <c r="K20" s="25">
        <f ca="1">OFFSET('COM Assumptions T15'!$D20,0,MATCH(VLOOKUP('COM Assumptions'!K$2,'RES Assumptions T15'!$V$3:$W$35,2,FALSE),'COM Assumptions T15'!$E$2:$S$2,0))</f>
        <v>0.6</v>
      </c>
      <c r="L20" s="25">
        <f ca="1">OFFSET('COM Assumptions T15'!$D20,0,MATCH(VLOOKUP('COM Assumptions'!L$2,'RES Assumptions T15'!$V$3:$W$35,2,FALSE),'COM Assumptions T15'!$E$2:$S$2,0))</f>
        <v>1</v>
      </c>
      <c r="M20" s="25">
        <f ca="1">OFFSET('COM Assumptions T15'!$D20,0,MATCH(VLOOKUP('COM Assumptions'!M$2,'RES Assumptions T15'!$V$3:$W$35,2,FALSE),'COM Assumptions T15'!$E$2:$S$2,0))</f>
        <v>1</v>
      </c>
      <c r="N20" s="25">
        <f ca="1">OFFSET('COM Assumptions T15'!$D20,0,MATCH(VLOOKUP('COM Assumptions'!N$2,'RES Assumptions T15'!$V$3:$W$35,2,FALSE),'COM Assumptions T15'!$E$2:$S$2,0))</f>
        <v>0.4</v>
      </c>
      <c r="O20" s="25">
        <f ca="1">OFFSET('COM Assumptions T15'!$D20,0,MATCH(VLOOKUP('COM Assumptions'!O$2,'RES Assumptions T15'!$V$3:$W$35,2,FALSE),'COM Assumptions T15'!$E$2:$S$2,0))</f>
        <v>1</v>
      </c>
      <c r="P20" s="1">
        <f ca="1">OFFSET('COM Assumptions T15'!$D20,0,MATCH(VLOOKUP('COM Assumptions'!P$2,'RES Assumptions T15'!$V$3:$W$35,2,FALSE),'COM Assumptions T15'!$E$2:$S$2,0))</f>
        <v>1</v>
      </c>
      <c r="Q20" s="1">
        <f ca="1">OFFSET('COM Assumptions T15'!$D20,0,MATCH(VLOOKUP('COM Assumptions'!Q$2,'RES Assumptions T15'!$V$3:$W$35,2,FALSE),'COM Assumptions T15'!$E$2:$S$2,0))</f>
        <v>1</v>
      </c>
      <c r="R20" s="1">
        <f ca="1">OFFSET('COM Assumptions T15'!$D20,0,MATCH(VLOOKUP('COM Assumptions'!R$2,'RES Assumptions T15'!$V$3:$W$35,2,FALSE),'COM Assumptions T15'!$E$2:$S$2,0))</f>
        <v>1</v>
      </c>
      <c r="S20" s="1">
        <f ca="1">OFFSET('COM Assumptions T15'!$D20,0,MATCH(VLOOKUP('COM Assumptions'!S$2,'RES Assumptions T15'!$V$3:$W$35,2,FALSE),'COM Assumptions T15'!$E$2:$S$2,0))</f>
        <v>1</v>
      </c>
      <c r="T20" s="1">
        <f ca="1">OFFSET('COM Assumptions T15'!$D20,0,MATCH(VLOOKUP('COM Assumptions'!T$2,'RES Assumptions T15'!$V$3:$W$35,2,FALSE),'COM Assumptions T15'!$E$2:$S$2,0))</f>
        <v>1</v>
      </c>
      <c r="U20" s="1">
        <f ca="1">OFFSET('COM Assumptions T15'!$D20,0,MATCH(VLOOKUP('COM Assumptions'!U$2,'RES Assumptions T15'!$V$3:$W$35,2,FALSE),'COM Assumptions T15'!$E$2:$S$2,0))</f>
        <v>1</v>
      </c>
      <c r="V20" s="1">
        <f ca="1">OFFSET('COM Assumptions T15'!$D20,0,MATCH(VLOOKUP('COM Assumptions'!V$2,'RES Assumptions T15'!$V$3:$W$35,2,FALSE),'COM Assumptions T15'!$E$2:$S$2,0))</f>
        <v>1</v>
      </c>
      <c r="W20" s="1">
        <f ca="1">OFFSET('COM Assumptions T15'!$D20,0,MATCH(VLOOKUP('COM Assumptions'!W$2,'RES Assumptions T15'!$V$3:$W$35,2,FALSE),'COM Assumptions T15'!$E$2:$S$2,0))</f>
        <v>1</v>
      </c>
      <c r="X20" s="1">
        <f ca="1">OFFSET('COM Assumptions T15'!$D20,0,MATCH(VLOOKUP('COM Assumptions'!X$2,'RES Assumptions T15'!$V$3:$W$35,2,FALSE),'COM Assumptions T15'!$E$2:$S$2,0))</f>
        <v>0.2</v>
      </c>
      <c r="Y20" s="1">
        <f ca="1">OFFSET('COM Assumptions T15'!$D20,0,MATCH(VLOOKUP('COM Assumptions'!Y$2,'RES Assumptions T15'!$V$3:$W$35,2,FALSE),'COM Assumptions T15'!$E$2:$S$2,0))</f>
        <v>1</v>
      </c>
      <c r="Z20" s="1">
        <f ca="1">OFFSET('COM Assumptions T15'!$D20,0,MATCH(VLOOKUP('COM Assumptions'!Z$2,'RES Assumptions T15'!$V$3:$W$35,2,FALSE),'COM Assumptions T15'!$E$2:$S$2,0))</f>
        <v>1</v>
      </c>
      <c r="AA20" s="1">
        <f ca="1">OFFSET('COM Assumptions T15'!$D20,0,MATCH(VLOOKUP('COM Assumptions'!AA$2,'RES Assumptions T15'!$V$3:$W$35,2,FALSE),'COM Assumptions T15'!$E$2:$S$2,0))</f>
        <v>1</v>
      </c>
      <c r="AB20" s="1">
        <f ca="1">OFFSET('COM Assumptions T15'!$D20,0,MATCH(VLOOKUP('COM Assumptions'!AB$2,'RES Assumptions T15'!$V$3:$W$35,2,FALSE),'COM Assumptions T15'!$E$2:$S$2,0))</f>
        <v>1</v>
      </c>
      <c r="AC20" s="1">
        <f ca="1">OFFSET('COM Assumptions T15'!$D20,0,MATCH(VLOOKUP('COM Assumptions'!AC$2,'RES Assumptions T15'!$V$3:$W$35,2,FALSE),'COM Assumptions T15'!$E$2:$S$2,0))</f>
        <v>1</v>
      </c>
      <c r="AD20" s="1">
        <f ca="1">OFFSET('COM Assumptions T15'!$D20,0,MATCH(VLOOKUP('COM Assumptions'!AD$2,'RES Assumptions T15'!$V$3:$W$35,2,FALSE),'COM Assumptions T15'!$E$2:$S$2,0))</f>
        <v>1</v>
      </c>
      <c r="AE20" s="1">
        <f ca="1">OFFSET('COM Assumptions T15'!$D20,0,MATCH(VLOOKUP('COM Assumptions'!AE$2,'RES Assumptions T15'!$V$3:$W$35,2,FALSE),'COM Assumptions T15'!$E$2:$S$2,0))</f>
        <v>0</v>
      </c>
      <c r="AF20" s="1">
        <f ca="1">OFFSET('COM Assumptions T15'!$D20,0,MATCH(VLOOKUP('COM Assumptions'!AF$2,'RES Assumptions T15'!$V$3:$W$35,2,FALSE),'COM Assumptions T15'!$E$2:$S$2,0))</f>
        <v>1</v>
      </c>
      <c r="AG20" s="1">
        <f ca="1">OFFSET('COM Assumptions T15'!$D20,0,MATCH(VLOOKUP('COM Assumptions'!AG$2,'RES Assumptions T15'!$V$3:$W$35,2,FALSE),'COM Assumptions T15'!$E$2:$S$2,0))</f>
        <v>1</v>
      </c>
      <c r="AH20" s="1">
        <f ca="1">OFFSET('COM Assumptions T15'!$D20,0,MATCH(VLOOKUP('COM Assumptions'!AH$2,'RES Assumptions T15'!$V$3:$W$35,2,FALSE),'COM Assumptions T15'!$E$2:$S$2,0))</f>
        <v>1</v>
      </c>
      <c r="AI20" s="1"/>
      <c r="AK20" s="10">
        <f ca="1">IFERROR(SUMIFS('COM balance'!E$5:E$25,'COM balance'!$D$5:$D$25,'COM Assumptions'!$A20)*E20,"")</f>
        <v>0</v>
      </c>
      <c r="AL20" s="10">
        <f ca="1">IFERROR(SUMIFS('COM balance'!F$5:F$25,'COM balance'!$D$5:$D$25,'COM Assumptions'!$A20)*F20,"")</f>
        <v>0</v>
      </c>
      <c r="AM20" s="10">
        <f ca="1">IFERROR(SUMIFS('COM balance'!G$5:G$25,'COM balance'!$D$5:$D$25,'COM Assumptions'!$A20)*G20,"")</f>
        <v>0</v>
      </c>
      <c r="AN20" s="10">
        <f ca="1">IFERROR(SUMIFS('COM balance'!H$5:H$25,'COM balance'!$D$5:$D$25,'COM Assumptions'!$A20)*H20,"")</f>
        <v>32.991858395999998</v>
      </c>
      <c r="AO20" s="10">
        <f ca="1">IFERROR(SUMIFS('COM balance'!I$5:I$25,'COM balance'!$D$5:$D$25,'COM Assumptions'!$A20)*I20,"")</f>
        <v>0.77792209379999999</v>
      </c>
      <c r="AP20" s="10">
        <f ca="1">IFERROR(SUMIFS('COM balance'!J$5:J$25,'COM balance'!$D$5:$D$25,'COM Assumptions'!$A20)*J20,"")</f>
        <v>3.5483021143200002</v>
      </c>
      <c r="AQ20" s="10">
        <f ca="1">IFERROR(SUMIFS('COM balance'!K$5:K$25,'COM balance'!$D$5:$D$25,'COM Assumptions'!$A20)*K20,"")</f>
        <v>0.82631857104000006</v>
      </c>
      <c r="AR20" s="10">
        <f ca="1">IFERROR(SUMIFS('COM balance'!L$5:L$25,'COM balance'!$D$5:$D$25,'COM Assumptions'!$A20)*L20,"")</f>
        <v>0</v>
      </c>
      <c r="AS20" s="10">
        <f ca="1">IFERROR(SUMIFS('COM balance'!M$5:M$25,'COM balance'!$D$5:$D$25,'COM Assumptions'!$A20)*M20,"")</f>
        <v>0</v>
      </c>
      <c r="AT20" s="10">
        <f ca="1">IFERROR(SUMIFS('COM balance'!N$5:N$25,'COM balance'!$D$5:$D$25,'COM Assumptions'!$A20)*N20,"")</f>
        <v>205.12651166208002</v>
      </c>
      <c r="AU20" s="10">
        <f ca="1">IFERROR(SUMIFS('COM balance'!O$5:O$25,'COM balance'!$D$5:$D$25,'COM Assumptions'!$A20)*O20,"")</f>
        <v>0.1044020448</v>
      </c>
      <c r="AV20" s="10">
        <f ca="1">IFERROR(SUMIFS('COM balance'!P$5:P$25,'COM balance'!$D$5:$D$25,'COM Assumptions'!$A20)*P20,"")</f>
        <v>28.4207143428</v>
      </c>
      <c r="AW20" s="10">
        <f ca="1">IFERROR(SUMIFS('COM balance'!Q$5:Q$25,'COM balance'!$D$5:$D$25,'COM Assumptions'!$A20)*Q20,"")</f>
        <v>0.14732511840000001</v>
      </c>
      <c r="AX20" s="10">
        <f ca="1">IFERROR(SUMIFS('COM balance'!R$5:R$25,'COM balance'!$D$5:$D$25,'COM Assumptions'!$A20)*R20,"")</f>
        <v>0</v>
      </c>
      <c r="AY20" s="10">
        <f ca="1">IFERROR(SUMIFS('COM balance'!S$5:S$25,'COM balance'!$D$5:$D$25,'COM Assumptions'!$A20)*S20,"")</f>
        <v>0.2398157172</v>
      </c>
      <c r="AZ20" s="10">
        <f ca="1">IFERROR(SUMIFS('COM balance'!T$5:T$25,'COM balance'!$D$5:$D$25,'COM Assumptions'!$A20)*T20,"")</f>
        <v>0</v>
      </c>
      <c r="BA20" s="10">
        <f ca="1">IFERROR(SUMIFS('COM balance'!U$5:U$25,'COM balance'!$D$5:$D$25,'COM Assumptions'!$A20)*U20,"")</f>
        <v>146.05077789719999</v>
      </c>
      <c r="BB20" s="10">
        <f ca="1">IFERROR(SUMIFS('COM balance'!V$5:V$25,'COM balance'!$D$5:$D$25,'COM Assumptions'!$A20)*V20,"")</f>
        <v>1.4600208960000001</v>
      </c>
      <c r="BC20" s="10">
        <f ca="1">IFERROR(SUMIFS('COM balance'!W$5:W$25,'COM balance'!$D$5:$D$25,'COM Assumptions'!$A20)*W20,"")</f>
        <v>7.69910652E-2</v>
      </c>
      <c r="BD20" s="10">
        <f ca="1">IFERROR(SUMIFS('COM balance'!X$5:X$25,'COM balance'!$D$5:$D$25,'COM Assumptions'!$A20)*X20,"")</f>
        <v>40.258099200240004</v>
      </c>
      <c r="BE20" s="10">
        <f ca="1">IFERROR(SUMIFS('COM balance'!Y$5:Y$25,'COM balance'!$D$5:$D$25,'COM Assumptions'!$A20)*Y20,"")</f>
        <v>4.1030640000000001E-4</v>
      </c>
      <c r="BF20" s="10">
        <f ca="1">IFERROR(SUMIFS('COM balance'!Z$5:Z$25,'COM balance'!$D$5:$D$25,'COM Assumptions'!$A20)*Z20,"")</f>
        <v>0</v>
      </c>
      <c r="BG20" s="10">
        <f ca="1">IFERROR(SUMIFS('COM balance'!AA$5:AA$25,'COM balance'!$D$5:$D$25,'COM Assumptions'!$A20)*AA20,"")</f>
        <v>0</v>
      </c>
      <c r="BH20" s="10">
        <f ca="1">IFERROR(SUMIFS('COM balance'!AB$5:AB$25,'COM balance'!$D$5:$D$25,'COM Assumptions'!$A20)*AB20,"")</f>
        <v>3.9355919999999999E-3</v>
      </c>
      <c r="BI20" s="10">
        <f ca="1">IFERROR(SUMIFS('COM balance'!AC$5:AC$25,'COM balance'!$D$5:$D$25,'COM Assumptions'!$A20)*AC20,"")</f>
        <v>30.837603258000001</v>
      </c>
      <c r="BJ20" s="10">
        <f ca="1">IFERROR(SUMIFS('COM balance'!AD$5:AD$25,'COM balance'!$D$5:$D$25,'COM Assumptions'!$A20)*AD20,"")</f>
        <v>0</v>
      </c>
      <c r="BK20" s="10">
        <f ca="1">IFERROR(SUMIFS('COM balance'!AE$5:AE$25,'COM balance'!$D$5:$D$25,'COM Assumptions'!$A20)*AE20,"")</f>
        <v>0</v>
      </c>
      <c r="BL20" s="10">
        <f ca="1">IFERROR(SUMIFS('COM balance'!AF$5:AF$25,'COM balance'!$D$5:$D$25,'COM Assumptions'!$A20)*AF20,"")</f>
        <v>0.65709732600000004</v>
      </c>
      <c r="BM20" s="10">
        <f ca="1">IFERROR(SUMIFS('COM balance'!AG$5:AG$25,'COM balance'!$D$5:$D$25,'COM Assumptions'!$A20)*AG20,"")</f>
        <v>15.822402868799999</v>
      </c>
      <c r="BN20" s="10">
        <f ca="1">IFERROR(SUMIFS('COM balance'!AH$5:AH$25,'COM balance'!$D$5:$D$25,'COM Assumptions'!$A20)*AH20,"")</f>
        <v>0</v>
      </c>
    </row>
    <row r="21" spans="1:66" x14ac:dyDescent="0.45">
      <c r="A21" s="8" t="str">
        <f>VLOOKUP(C21,'COM balance'!$AM$5:$AN$25,2,FALSE)</f>
        <v>COMCOA</v>
      </c>
      <c r="B21" s="36"/>
      <c r="C21" s="20" t="s">
        <v>32</v>
      </c>
      <c r="D21" s="41" t="s">
        <v>84</v>
      </c>
      <c r="E21" s="25">
        <f ca="1">OFFSET('COM Assumptions T15'!$D21,0,MATCH(VLOOKUP('COM Assumptions'!E$2,'RES Assumptions T15'!$V$3:$W$35,2,FALSE),'COM Assumptions T15'!$E$2:$S$2,0))</f>
        <v>0.5</v>
      </c>
      <c r="F21" s="25">
        <f ca="1">OFFSET('COM Assumptions T15'!$D21,0,MATCH(VLOOKUP('COM Assumptions'!F$2,'RES Assumptions T15'!$V$3:$W$35,2,FALSE),'COM Assumptions T15'!$E$2:$S$2,0))</f>
        <v>0.5</v>
      </c>
      <c r="G21" s="25">
        <f ca="1">OFFSET('COM Assumptions T15'!$D21,0,MATCH(VLOOKUP('COM Assumptions'!G$2,'RES Assumptions T15'!$V$3:$W$35,2,FALSE),'COM Assumptions T15'!$E$2:$S$2,0))</f>
        <v>0</v>
      </c>
      <c r="H21" s="25">
        <f ca="1">OFFSET('COM Assumptions T15'!$D21,0,MATCH(VLOOKUP('COM Assumptions'!H$2,'RES Assumptions T15'!$V$3:$W$35,2,FALSE),'COM Assumptions T15'!$E$2:$S$2,0))</f>
        <v>0</v>
      </c>
      <c r="I21" s="25">
        <f ca="1">OFFSET('COM Assumptions T15'!$D21,0,MATCH(VLOOKUP('COM Assumptions'!I$2,'RES Assumptions T15'!$V$3:$W$35,2,FALSE),'COM Assumptions T15'!$E$2:$S$2,0))</f>
        <v>0.62</v>
      </c>
      <c r="J21" s="25">
        <f ca="1">OFFSET('COM Assumptions T15'!$D21,0,MATCH(VLOOKUP('COM Assumptions'!J$2,'RES Assumptions T15'!$V$3:$W$35,2,FALSE),'COM Assumptions T15'!$E$2:$S$2,0))</f>
        <v>0.3</v>
      </c>
      <c r="K21" s="25">
        <f ca="1">OFFSET('COM Assumptions T15'!$D21,0,MATCH(VLOOKUP('COM Assumptions'!K$2,'RES Assumptions T15'!$V$3:$W$35,2,FALSE),'COM Assumptions T15'!$E$2:$S$2,0))</f>
        <v>0.4</v>
      </c>
      <c r="L21" s="25">
        <f ca="1">OFFSET('COM Assumptions T15'!$D21,0,MATCH(VLOOKUP('COM Assumptions'!L$2,'RES Assumptions T15'!$V$3:$W$35,2,FALSE),'COM Assumptions T15'!$E$2:$S$2,0))</f>
        <v>0</v>
      </c>
      <c r="M21" s="25">
        <f ca="1">OFFSET('COM Assumptions T15'!$D21,0,MATCH(VLOOKUP('COM Assumptions'!M$2,'RES Assumptions T15'!$V$3:$W$35,2,FALSE),'COM Assumptions T15'!$E$2:$S$2,0))</f>
        <v>0</v>
      </c>
      <c r="N21" s="25">
        <f ca="1">OFFSET('COM Assumptions T15'!$D21,0,MATCH(VLOOKUP('COM Assumptions'!N$2,'RES Assumptions T15'!$V$3:$W$35,2,FALSE),'COM Assumptions T15'!$E$2:$S$2,0))</f>
        <v>0.3</v>
      </c>
      <c r="O21" s="25">
        <f ca="1">OFFSET('COM Assumptions T15'!$D21,0,MATCH(VLOOKUP('COM Assumptions'!O$2,'RES Assumptions T15'!$V$3:$W$35,2,FALSE),'COM Assumptions T15'!$E$2:$S$2,0))</f>
        <v>0</v>
      </c>
      <c r="P21" s="1">
        <f ca="1">OFFSET('COM Assumptions T15'!$D21,0,MATCH(VLOOKUP('COM Assumptions'!P$2,'RES Assumptions T15'!$V$3:$W$35,2,FALSE),'COM Assumptions T15'!$E$2:$S$2,0))</f>
        <v>0</v>
      </c>
      <c r="Q21" s="1">
        <f ca="1">OFFSET('COM Assumptions T15'!$D21,0,MATCH(VLOOKUP('COM Assumptions'!Q$2,'RES Assumptions T15'!$V$3:$W$35,2,FALSE),'COM Assumptions T15'!$E$2:$S$2,0))</f>
        <v>0</v>
      </c>
      <c r="R21" s="1">
        <f ca="1">OFFSET('COM Assumptions T15'!$D21,0,MATCH(VLOOKUP('COM Assumptions'!R$2,'RES Assumptions T15'!$V$3:$W$35,2,FALSE),'COM Assumptions T15'!$E$2:$S$2,0))</f>
        <v>0</v>
      </c>
      <c r="S21" s="1">
        <f ca="1">OFFSET('COM Assumptions T15'!$D21,0,MATCH(VLOOKUP('COM Assumptions'!S$2,'RES Assumptions T15'!$V$3:$W$35,2,FALSE),'COM Assumptions T15'!$E$2:$S$2,0))</f>
        <v>0</v>
      </c>
      <c r="T21" s="1">
        <f ca="1">OFFSET('COM Assumptions T15'!$D21,0,MATCH(VLOOKUP('COM Assumptions'!T$2,'RES Assumptions T15'!$V$3:$W$35,2,FALSE),'COM Assumptions T15'!$E$2:$S$2,0))</f>
        <v>0</v>
      </c>
      <c r="U21" s="1">
        <f ca="1">OFFSET('COM Assumptions T15'!$D21,0,MATCH(VLOOKUP('COM Assumptions'!U$2,'RES Assumptions T15'!$V$3:$W$35,2,FALSE),'COM Assumptions T15'!$E$2:$S$2,0))</f>
        <v>0</v>
      </c>
      <c r="V21" s="1">
        <f ca="1">OFFSET('COM Assumptions T15'!$D21,0,MATCH(VLOOKUP('COM Assumptions'!V$2,'RES Assumptions T15'!$V$3:$W$35,2,FALSE),'COM Assumptions T15'!$E$2:$S$2,0))</f>
        <v>0</v>
      </c>
      <c r="W21" s="1">
        <f ca="1">OFFSET('COM Assumptions T15'!$D21,0,MATCH(VLOOKUP('COM Assumptions'!W$2,'RES Assumptions T15'!$V$3:$W$35,2,FALSE),'COM Assumptions T15'!$E$2:$S$2,0))</f>
        <v>0</v>
      </c>
      <c r="X21" s="1">
        <f ca="1">OFFSET('COM Assumptions T15'!$D21,0,MATCH(VLOOKUP('COM Assumptions'!X$2,'RES Assumptions T15'!$V$3:$W$35,2,FALSE),'COM Assumptions T15'!$E$2:$S$2,0))</f>
        <v>0.3</v>
      </c>
      <c r="Y21" s="1">
        <f ca="1">OFFSET('COM Assumptions T15'!$D21,0,MATCH(VLOOKUP('COM Assumptions'!Y$2,'RES Assumptions T15'!$V$3:$W$35,2,FALSE),'COM Assumptions T15'!$E$2:$S$2,0))</f>
        <v>0</v>
      </c>
      <c r="Z21" s="1">
        <f ca="1">OFFSET('COM Assumptions T15'!$D21,0,MATCH(VLOOKUP('COM Assumptions'!Z$2,'RES Assumptions T15'!$V$3:$W$35,2,FALSE),'COM Assumptions T15'!$E$2:$S$2,0))</f>
        <v>0</v>
      </c>
      <c r="AA21" s="1">
        <f ca="1">OFFSET('COM Assumptions T15'!$D21,0,MATCH(VLOOKUP('COM Assumptions'!AA$2,'RES Assumptions T15'!$V$3:$W$35,2,FALSE),'COM Assumptions T15'!$E$2:$S$2,0))</f>
        <v>0</v>
      </c>
      <c r="AB21" s="1">
        <f ca="1">OFFSET('COM Assumptions T15'!$D21,0,MATCH(VLOOKUP('COM Assumptions'!AB$2,'RES Assumptions T15'!$V$3:$W$35,2,FALSE),'COM Assumptions T15'!$E$2:$S$2,0))</f>
        <v>0</v>
      </c>
      <c r="AC21" s="1">
        <f ca="1">OFFSET('COM Assumptions T15'!$D21,0,MATCH(VLOOKUP('COM Assumptions'!AC$2,'RES Assumptions T15'!$V$3:$W$35,2,FALSE),'COM Assumptions T15'!$E$2:$S$2,0))</f>
        <v>0</v>
      </c>
      <c r="AD21" s="1">
        <f ca="1">OFFSET('COM Assumptions T15'!$D21,0,MATCH(VLOOKUP('COM Assumptions'!AD$2,'RES Assumptions T15'!$V$3:$W$35,2,FALSE),'COM Assumptions T15'!$E$2:$S$2,0))</f>
        <v>0</v>
      </c>
      <c r="AE21" s="1">
        <f ca="1">OFFSET('COM Assumptions T15'!$D21,0,MATCH(VLOOKUP('COM Assumptions'!AE$2,'RES Assumptions T15'!$V$3:$W$35,2,FALSE),'COM Assumptions T15'!$E$2:$S$2,0))</f>
        <v>0.5</v>
      </c>
      <c r="AF21" s="1">
        <f ca="1">OFFSET('COM Assumptions T15'!$D21,0,MATCH(VLOOKUP('COM Assumptions'!AF$2,'RES Assumptions T15'!$V$3:$W$35,2,FALSE),'COM Assumptions T15'!$E$2:$S$2,0))</f>
        <v>0</v>
      </c>
      <c r="AG21" s="1">
        <f ca="1">OFFSET('COM Assumptions T15'!$D21,0,MATCH(VLOOKUP('COM Assumptions'!AG$2,'RES Assumptions T15'!$V$3:$W$35,2,FALSE),'COM Assumptions T15'!$E$2:$S$2,0))</f>
        <v>0</v>
      </c>
      <c r="AH21" s="1">
        <f ca="1">OFFSET('COM Assumptions T15'!$D21,0,MATCH(VLOOKUP('COM Assumptions'!AH$2,'RES Assumptions T15'!$V$3:$W$35,2,FALSE),'COM Assumptions T15'!$E$2:$S$2,0))</f>
        <v>0</v>
      </c>
      <c r="AI21" s="1"/>
      <c r="AK21" s="10">
        <f ca="1">IFERROR(SUMIFS('COM balance'!E$5:E$25,'COM balance'!$D$5:$D$25,'COM Assumptions'!$A21)*E21,"")</f>
        <v>0</v>
      </c>
      <c r="AL21" s="10">
        <f ca="1">IFERROR(SUMIFS('COM balance'!F$5:F$25,'COM balance'!$D$5:$D$25,'COM Assumptions'!$A21)*F21,"")</f>
        <v>6.0367375799999998E-2</v>
      </c>
      <c r="AM21" s="10">
        <f ca="1">IFERROR(SUMIFS('COM balance'!G$5:G$25,'COM balance'!$D$5:$D$25,'COM Assumptions'!$A21)*G21,"")</f>
        <v>0</v>
      </c>
      <c r="AN21" s="10">
        <f ca="1">IFERROR(SUMIFS('COM balance'!H$5:H$25,'COM balance'!$D$5:$D$25,'COM Assumptions'!$A21)*H21,"")</f>
        <v>0</v>
      </c>
      <c r="AO21" s="10">
        <f ca="1">IFERROR(SUMIFS('COM balance'!I$5:I$25,'COM balance'!$D$5:$D$25,'COM Assumptions'!$A21)*I21,"")</f>
        <v>3.2154113210399999</v>
      </c>
      <c r="AP21" s="10">
        <f ca="1">IFERROR(SUMIFS('COM balance'!J$5:J$25,'COM balance'!$D$5:$D$25,'COM Assumptions'!$A21)*J21,"")</f>
        <v>5.3224531714799994</v>
      </c>
      <c r="AQ21" s="10">
        <f ca="1">IFERROR(SUMIFS('COM balance'!K$5:K$25,'COM balance'!$D$5:$D$25,'COM Assumptions'!$A21)*K21,"")</f>
        <v>0.55087904736000004</v>
      </c>
      <c r="AR21" s="10">
        <f ca="1">IFERROR(SUMIFS('COM balance'!L$5:L$25,'COM balance'!$D$5:$D$25,'COM Assumptions'!$A21)*L21,"")</f>
        <v>0</v>
      </c>
      <c r="AS21" s="10">
        <f ca="1">IFERROR(SUMIFS('COM balance'!M$5:M$25,'COM balance'!$D$5:$D$25,'COM Assumptions'!$A21)*M21,"")</f>
        <v>0</v>
      </c>
      <c r="AT21" s="10">
        <f ca="1">IFERROR(SUMIFS('COM balance'!N$5:N$25,'COM balance'!$D$5:$D$25,'COM Assumptions'!$A21)*N21,"")</f>
        <v>153.84488374656001</v>
      </c>
      <c r="AU21" s="10">
        <f ca="1">IFERROR(SUMIFS('COM balance'!O$5:O$25,'COM balance'!$D$5:$D$25,'COM Assumptions'!$A21)*O21,"")</f>
        <v>0</v>
      </c>
      <c r="AV21" s="10">
        <f ca="1">IFERROR(SUMIFS('COM balance'!P$5:P$25,'COM balance'!$D$5:$D$25,'COM Assumptions'!$A21)*P21,"")</f>
        <v>0</v>
      </c>
      <c r="AW21" s="10">
        <f ca="1">IFERROR(SUMIFS('COM balance'!Q$5:Q$25,'COM balance'!$D$5:$D$25,'COM Assumptions'!$A21)*Q21,"")</f>
        <v>0</v>
      </c>
      <c r="AX21" s="10">
        <f ca="1">IFERROR(SUMIFS('COM balance'!R$5:R$25,'COM balance'!$D$5:$D$25,'COM Assumptions'!$A21)*R21,"")</f>
        <v>0</v>
      </c>
      <c r="AY21" s="10">
        <f ca="1">IFERROR(SUMIFS('COM balance'!S$5:S$25,'COM balance'!$D$5:$D$25,'COM Assumptions'!$A21)*S21,"")</f>
        <v>0</v>
      </c>
      <c r="AZ21" s="10">
        <f ca="1">IFERROR(SUMIFS('COM balance'!T$5:T$25,'COM balance'!$D$5:$D$25,'COM Assumptions'!$A21)*T21,"")</f>
        <v>0</v>
      </c>
      <c r="BA21" s="10">
        <f ca="1">IFERROR(SUMIFS('COM balance'!U$5:U$25,'COM balance'!$D$5:$D$25,'COM Assumptions'!$A21)*U21,"")</f>
        <v>0</v>
      </c>
      <c r="BB21" s="10">
        <f ca="1">IFERROR(SUMIFS('COM balance'!V$5:V$25,'COM balance'!$D$5:$D$25,'COM Assumptions'!$A21)*V21,"")</f>
        <v>0</v>
      </c>
      <c r="BC21" s="10">
        <f ca="1">IFERROR(SUMIFS('COM balance'!W$5:W$25,'COM balance'!$D$5:$D$25,'COM Assumptions'!$A21)*W21,"")</f>
        <v>0</v>
      </c>
      <c r="BD21" s="10">
        <f ca="1">IFERROR(SUMIFS('COM balance'!X$5:X$25,'COM balance'!$D$5:$D$25,'COM Assumptions'!$A21)*X21,"")</f>
        <v>60.387148800360002</v>
      </c>
      <c r="BE21" s="10">
        <f ca="1">IFERROR(SUMIFS('COM balance'!Y$5:Y$25,'COM balance'!$D$5:$D$25,'COM Assumptions'!$A21)*Y21,"")</f>
        <v>0</v>
      </c>
      <c r="BF21" s="10">
        <f ca="1">IFERROR(SUMIFS('COM balance'!Z$5:Z$25,'COM balance'!$D$5:$D$25,'COM Assumptions'!$A21)*Z21,"")</f>
        <v>0</v>
      </c>
      <c r="BG21" s="10">
        <f ca="1">IFERROR(SUMIFS('COM balance'!AA$5:AA$25,'COM balance'!$D$5:$D$25,'COM Assumptions'!$A21)*AA21,"")</f>
        <v>0</v>
      </c>
      <c r="BH21" s="10">
        <f ca="1">IFERROR(SUMIFS('COM balance'!AB$5:AB$25,'COM balance'!$D$5:$D$25,'COM Assumptions'!$A21)*AB21,"")</f>
        <v>0</v>
      </c>
      <c r="BI21" s="10">
        <f ca="1">IFERROR(SUMIFS('COM balance'!AC$5:AC$25,'COM balance'!$D$5:$D$25,'COM Assumptions'!$A21)*AC21,"")</f>
        <v>0</v>
      </c>
      <c r="BJ21" s="10">
        <f ca="1">IFERROR(SUMIFS('COM balance'!AD$5:AD$25,'COM balance'!$D$5:$D$25,'COM Assumptions'!$A21)*AD21,"")</f>
        <v>0</v>
      </c>
      <c r="BK21" s="10">
        <f ca="1">IFERROR(SUMIFS('COM balance'!AE$5:AE$25,'COM balance'!$D$5:$D$25,'COM Assumptions'!$A21)*AE21,"")</f>
        <v>26.577115578000001</v>
      </c>
      <c r="BL21" s="10">
        <f ca="1">IFERROR(SUMIFS('COM balance'!AF$5:AF$25,'COM balance'!$D$5:$D$25,'COM Assumptions'!$A21)*AF21,"")</f>
        <v>0</v>
      </c>
      <c r="BM21" s="10">
        <f ca="1">IFERROR(SUMIFS('COM balance'!AG$5:AG$25,'COM balance'!$D$5:$D$25,'COM Assumptions'!$A21)*AG21,"")</f>
        <v>0</v>
      </c>
      <c r="BN21" s="10">
        <f ca="1">IFERROR(SUMIFS('COM balance'!AH$5:AH$25,'COM balance'!$D$5:$D$25,'COM Assumptions'!$A21)*AH21,"")</f>
        <v>0</v>
      </c>
    </row>
    <row r="22" spans="1:66" x14ac:dyDescent="0.45">
      <c r="A22" s="8" t="str">
        <f>VLOOKUP(C22,'COM balance'!$AM$5:$AN$25,2,FALSE)</f>
        <v>COMCOA</v>
      </c>
      <c r="B22" s="36"/>
      <c r="C22" s="20" t="s">
        <v>32</v>
      </c>
      <c r="D22" s="41" t="s">
        <v>86</v>
      </c>
      <c r="E22" s="25">
        <f ca="1">OFFSET('COM Assumptions T15'!$D22,0,MATCH(VLOOKUP('COM Assumptions'!E$2,'RES Assumptions T15'!$V$3:$W$35,2,FALSE),'COM Assumptions T15'!$E$2:$S$2,0))</f>
        <v>0.5</v>
      </c>
      <c r="F22" s="25">
        <f ca="1">OFFSET('COM Assumptions T15'!$D22,0,MATCH(VLOOKUP('COM Assumptions'!F$2,'RES Assumptions T15'!$V$3:$W$35,2,FALSE),'COM Assumptions T15'!$E$2:$S$2,0))</f>
        <v>0.5</v>
      </c>
      <c r="G22" s="25">
        <f ca="1">OFFSET('COM Assumptions T15'!$D22,0,MATCH(VLOOKUP('COM Assumptions'!G$2,'RES Assumptions T15'!$V$3:$W$35,2,FALSE),'COM Assumptions T15'!$E$2:$S$2,0))</f>
        <v>0</v>
      </c>
      <c r="H22" s="25">
        <f ca="1">OFFSET('COM Assumptions T15'!$D22,0,MATCH(VLOOKUP('COM Assumptions'!H$2,'RES Assumptions T15'!$V$3:$W$35,2,FALSE),'COM Assumptions T15'!$E$2:$S$2,0))</f>
        <v>0</v>
      </c>
      <c r="I22" s="25">
        <f ca="1">OFFSET('COM Assumptions T15'!$D22,0,MATCH(VLOOKUP('COM Assumptions'!I$2,'RES Assumptions T15'!$V$3:$W$35,2,FALSE),'COM Assumptions T15'!$E$2:$S$2,0))</f>
        <v>0.23</v>
      </c>
      <c r="J22" s="25">
        <f ca="1">OFFSET('COM Assumptions T15'!$D22,0,MATCH(VLOOKUP('COM Assumptions'!J$2,'RES Assumptions T15'!$V$3:$W$35,2,FALSE),'COM Assumptions T15'!$E$2:$S$2,0))</f>
        <v>0.5</v>
      </c>
      <c r="K22" s="25">
        <f ca="1">OFFSET('COM Assumptions T15'!$D22,0,MATCH(VLOOKUP('COM Assumptions'!K$2,'RES Assumptions T15'!$V$3:$W$35,2,FALSE),'COM Assumptions T15'!$E$2:$S$2,0))</f>
        <v>0</v>
      </c>
      <c r="L22" s="25">
        <f ca="1">OFFSET('COM Assumptions T15'!$D22,0,MATCH(VLOOKUP('COM Assumptions'!L$2,'RES Assumptions T15'!$V$3:$W$35,2,FALSE),'COM Assumptions T15'!$E$2:$S$2,0))</f>
        <v>0</v>
      </c>
      <c r="M22" s="25">
        <f ca="1">OFFSET('COM Assumptions T15'!$D22,0,MATCH(VLOOKUP('COM Assumptions'!M$2,'RES Assumptions T15'!$V$3:$W$35,2,FALSE),'COM Assumptions T15'!$E$2:$S$2,0))</f>
        <v>0</v>
      </c>
      <c r="N22" s="25">
        <f ca="1">OFFSET('COM Assumptions T15'!$D22,0,MATCH(VLOOKUP('COM Assumptions'!N$2,'RES Assumptions T15'!$V$3:$W$35,2,FALSE),'COM Assumptions T15'!$E$2:$S$2,0))</f>
        <v>0.3</v>
      </c>
      <c r="O22" s="25">
        <f ca="1">OFFSET('COM Assumptions T15'!$D22,0,MATCH(VLOOKUP('COM Assumptions'!O$2,'RES Assumptions T15'!$V$3:$W$35,2,FALSE),'COM Assumptions T15'!$E$2:$S$2,0))</f>
        <v>0</v>
      </c>
      <c r="P22" s="1">
        <f ca="1">OFFSET('COM Assumptions T15'!$D22,0,MATCH(VLOOKUP('COM Assumptions'!P$2,'RES Assumptions T15'!$V$3:$W$35,2,FALSE),'COM Assumptions T15'!$E$2:$S$2,0))</f>
        <v>0</v>
      </c>
      <c r="Q22" s="1">
        <f ca="1">OFFSET('COM Assumptions T15'!$D22,0,MATCH(VLOOKUP('COM Assumptions'!Q$2,'RES Assumptions T15'!$V$3:$W$35,2,FALSE),'COM Assumptions T15'!$E$2:$S$2,0))</f>
        <v>0</v>
      </c>
      <c r="R22" s="1">
        <f ca="1">OFFSET('COM Assumptions T15'!$D22,0,MATCH(VLOOKUP('COM Assumptions'!R$2,'RES Assumptions T15'!$V$3:$W$35,2,FALSE),'COM Assumptions T15'!$E$2:$S$2,0))</f>
        <v>0</v>
      </c>
      <c r="S22" s="1">
        <f ca="1">OFFSET('COM Assumptions T15'!$D22,0,MATCH(VLOOKUP('COM Assumptions'!S$2,'RES Assumptions T15'!$V$3:$W$35,2,FALSE),'COM Assumptions T15'!$E$2:$S$2,0))</f>
        <v>0</v>
      </c>
      <c r="T22" s="1">
        <f ca="1">OFFSET('COM Assumptions T15'!$D22,0,MATCH(VLOOKUP('COM Assumptions'!T$2,'RES Assumptions T15'!$V$3:$W$35,2,FALSE),'COM Assumptions T15'!$E$2:$S$2,0))</f>
        <v>0</v>
      </c>
      <c r="U22" s="1">
        <f ca="1">OFFSET('COM Assumptions T15'!$D22,0,MATCH(VLOOKUP('COM Assumptions'!U$2,'RES Assumptions T15'!$V$3:$W$35,2,FALSE),'COM Assumptions T15'!$E$2:$S$2,0))</f>
        <v>0</v>
      </c>
      <c r="V22" s="1">
        <f ca="1">OFFSET('COM Assumptions T15'!$D22,0,MATCH(VLOOKUP('COM Assumptions'!V$2,'RES Assumptions T15'!$V$3:$W$35,2,FALSE),'COM Assumptions T15'!$E$2:$S$2,0))</f>
        <v>0</v>
      </c>
      <c r="W22" s="1">
        <f ca="1">OFFSET('COM Assumptions T15'!$D22,0,MATCH(VLOOKUP('COM Assumptions'!W$2,'RES Assumptions T15'!$V$3:$W$35,2,FALSE),'COM Assumptions T15'!$E$2:$S$2,0))</f>
        <v>0</v>
      </c>
      <c r="X22" s="1">
        <f ca="1">OFFSET('COM Assumptions T15'!$D22,0,MATCH(VLOOKUP('COM Assumptions'!X$2,'RES Assumptions T15'!$V$3:$W$35,2,FALSE),'COM Assumptions T15'!$E$2:$S$2,0))</f>
        <v>0.5</v>
      </c>
      <c r="Y22" s="1">
        <f ca="1">OFFSET('COM Assumptions T15'!$D22,0,MATCH(VLOOKUP('COM Assumptions'!Y$2,'RES Assumptions T15'!$V$3:$W$35,2,FALSE),'COM Assumptions T15'!$E$2:$S$2,0))</f>
        <v>0</v>
      </c>
      <c r="Z22" s="1">
        <f ca="1">OFFSET('COM Assumptions T15'!$D22,0,MATCH(VLOOKUP('COM Assumptions'!Z$2,'RES Assumptions T15'!$V$3:$W$35,2,FALSE),'COM Assumptions T15'!$E$2:$S$2,0))</f>
        <v>0</v>
      </c>
      <c r="AA22" s="1">
        <f ca="1">OFFSET('COM Assumptions T15'!$D22,0,MATCH(VLOOKUP('COM Assumptions'!AA$2,'RES Assumptions T15'!$V$3:$W$35,2,FALSE),'COM Assumptions T15'!$E$2:$S$2,0))</f>
        <v>0</v>
      </c>
      <c r="AB22" s="1">
        <f ca="1">OFFSET('COM Assumptions T15'!$D22,0,MATCH(VLOOKUP('COM Assumptions'!AB$2,'RES Assumptions T15'!$V$3:$W$35,2,FALSE),'COM Assumptions T15'!$E$2:$S$2,0))</f>
        <v>0</v>
      </c>
      <c r="AC22" s="1">
        <f ca="1">OFFSET('COM Assumptions T15'!$D22,0,MATCH(VLOOKUP('COM Assumptions'!AC$2,'RES Assumptions T15'!$V$3:$W$35,2,FALSE),'COM Assumptions T15'!$E$2:$S$2,0))</f>
        <v>0</v>
      </c>
      <c r="AD22" s="1">
        <f ca="1">OFFSET('COM Assumptions T15'!$D22,0,MATCH(VLOOKUP('COM Assumptions'!AD$2,'RES Assumptions T15'!$V$3:$W$35,2,FALSE),'COM Assumptions T15'!$E$2:$S$2,0))</f>
        <v>0</v>
      </c>
      <c r="AE22" s="1">
        <f ca="1">OFFSET('COM Assumptions T15'!$D22,0,MATCH(VLOOKUP('COM Assumptions'!AE$2,'RES Assumptions T15'!$V$3:$W$35,2,FALSE),'COM Assumptions T15'!$E$2:$S$2,0))</f>
        <v>0.5</v>
      </c>
      <c r="AF22" s="1">
        <f ca="1">OFFSET('COM Assumptions T15'!$D22,0,MATCH(VLOOKUP('COM Assumptions'!AF$2,'RES Assumptions T15'!$V$3:$W$35,2,FALSE),'COM Assumptions T15'!$E$2:$S$2,0))</f>
        <v>0</v>
      </c>
      <c r="AG22" s="1">
        <f ca="1">OFFSET('COM Assumptions T15'!$D22,0,MATCH(VLOOKUP('COM Assumptions'!AG$2,'RES Assumptions T15'!$V$3:$W$35,2,FALSE),'COM Assumptions T15'!$E$2:$S$2,0))</f>
        <v>0</v>
      </c>
      <c r="AH22" s="1">
        <f ca="1">OFFSET('COM Assumptions T15'!$D22,0,MATCH(VLOOKUP('COM Assumptions'!AH$2,'RES Assumptions T15'!$V$3:$W$35,2,FALSE),'COM Assumptions T15'!$E$2:$S$2,0))</f>
        <v>0</v>
      </c>
      <c r="AI22" s="1"/>
      <c r="AK22" s="10">
        <f ca="1">IFERROR(SUMIFS('COM balance'!E$5:E$25,'COM balance'!$D$5:$D$25,'COM Assumptions'!$A22)*E22,"")</f>
        <v>0</v>
      </c>
      <c r="AL22" s="10">
        <f ca="1">IFERROR(SUMIFS('COM balance'!F$5:F$25,'COM balance'!$D$5:$D$25,'COM Assumptions'!$A22)*F22,"")</f>
        <v>6.0367375799999998E-2</v>
      </c>
      <c r="AM22" s="10">
        <f ca="1">IFERROR(SUMIFS('COM balance'!G$5:G$25,'COM balance'!$D$5:$D$25,'COM Assumptions'!$A22)*G22,"")</f>
        <v>0</v>
      </c>
      <c r="AN22" s="10">
        <f ca="1">IFERROR(SUMIFS('COM balance'!H$5:H$25,'COM balance'!$D$5:$D$25,'COM Assumptions'!$A22)*H22,"")</f>
        <v>0</v>
      </c>
      <c r="AO22" s="10">
        <f ca="1">IFERROR(SUMIFS('COM balance'!I$5:I$25,'COM balance'!$D$5:$D$25,'COM Assumptions'!$A22)*I22,"")</f>
        <v>1.1928138771600001</v>
      </c>
      <c r="AP22" s="10">
        <f ca="1">IFERROR(SUMIFS('COM balance'!J$5:J$25,'COM balance'!$D$5:$D$25,'COM Assumptions'!$A22)*J22,"")</f>
        <v>8.8707552857999996</v>
      </c>
      <c r="AQ22" s="10">
        <f ca="1">IFERROR(SUMIFS('COM balance'!K$5:K$25,'COM balance'!$D$5:$D$25,'COM Assumptions'!$A22)*K22,"")</f>
        <v>0</v>
      </c>
      <c r="AR22" s="10">
        <f ca="1">IFERROR(SUMIFS('COM balance'!L$5:L$25,'COM balance'!$D$5:$D$25,'COM Assumptions'!$A22)*L22,"")</f>
        <v>0</v>
      </c>
      <c r="AS22" s="10">
        <f ca="1">IFERROR(SUMIFS('COM balance'!M$5:M$25,'COM balance'!$D$5:$D$25,'COM Assumptions'!$A22)*M22,"")</f>
        <v>0</v>
      </c>
      <c r="AT22" s="10">
        <f ca="1">IFERROR(SUMIFS('COM balance'!N$5:N$25,'COM balance'!$D$5:$D$25,'COM Assumptions'!$A22)*N22,"")</f>
        <v>153.84488374656001</v>
      </c>
      <c r="AU22" s="10">
        <f ca="1">IFERROR(SUMIFS('COM balance'!O$5:O$25,'COM balance'!$D$5:$D$25,'COM Assumptions'!$A22)*O22,"")</f>
        <v>0</v>
      </c>
      <c r="AV22" s="10">
        <f ca="1">IFERROR(SUMIFS('COM balance'!P$5:P$25,'COM balance'!$D$5:$D$25,'COM Assumptions'!$A22)*P22,"")</f>
        <v>0</v>
      </c>
      <c r="AW22" s="10">
        <f ca="1">IFERROR(SUMIFS('COM balance'!Q$5:Q$25,'COM balance'!$D$5:$D$25,'COM Assumptions'!$A22)*Q22,"")</f>
        <v>0</v>
      </c>
      <c r="AX22" s="10">
        <f ca="1">IFERROR(SUMIFS('COM balance'!R$5:R$25,'COM balance'!$D$5:$D$25,'COM Assumptions'!$A22)*R22,"")</f>
        <v>0</v>
      </c>
      <c r="AY22" s="10">
        <f ca="1">IFERROR(SUMIFS('COM balance'!S$5:S$25,'COM balance'!$D$5:$D$25,'COM Assumptions'!$A22)*S22,"")</f>
        <v>0</v>
      </c>
      <c r="AZ22" s="10">
        <f ca="1">IFERROR(SUMIFS('COM balance'!T$5:T$25,'COM balance'!$D$5:$D$25,'COM Assumptions'!$A22)*T22,"")</f>
        <v>0</v>
      </c>
      <c r="BA22" s="10">
        <f ca="1">IFERROR(SUMIFS('COM balance'!U$5:U$25,'COM balance'!$D$5:$D$25,'COM Assumptions'!$A22)*U22,"")</f>
        <v>0</v>
      </c>
      <c r="BB22" s="10">
        <f ca="1">IFERROR(SUMIFS('COM balance'!V$5:V$25,'COM balance'!$D$5:$D$25,'COM Assumptions'!$A22)*V22,"")</f>
        <v>0</v>
      </c>
      <c r="BC22" s="10">
        <f ca="1">IFERROR(SUMIFS('COM balance'!W$5:W$25,'COM balance'!$D$5:$D$25,'COM Assumptions'!$A22)*W22,"")</f>
        <v>0</v>
      </c>
      <c r="BD22" s="10">
        <f ca="1">IFERROR(SUMIFS('COM balance'!X$5:X$25,'COM balance'!$D$5:$D$25,'COM Assumptions'!$A22)*X22,"")</f>
        <v>100.64524800060001</v>
      </c>
      <c r="BE22" s="10">
        <f ca="1">IFERROR(SUMIFS('COM balance'!Y$5:Y$25,'COM balance'!$D$5:$D$25,'COM Assumptions'!$A22)*Y22,"")</f>
        <v>0</v>
      </c>
      <c r="BF22" s="10">
        <f ca="1">IFERROR(SUMIFS('COM balance'!Z$5:Z$25,'COM balance'!$D$5:$D$25,'COM Assumptions'!$A22)*Z22,"")</f>
        <v>0</v>
      </c>
      <c r="BG22" s="10">
        <f ca="1">IFERROR(SUMIFS('COM balance'!AA$5:AA$25,'COM balance'!$D$5:$D$25,'COM Assumptions'!$A22)*AA22,"")</f>
        <v>0</v>
      </c>
      <c r="BH22" s="10">
        <f ca="1">IFERROR(SUMIFS('COM balance'!AB$5:AB$25,'COM balance'!$D$5:$D$25,'COM Assumptions'!$A22)*AB22,"")</f>
        <v>0</v>
      </c>
      <c r="BI22" s="10">
        <f ca="1">IFERROR(SUMIFS('COM balance'!AC$5:AC$25,'COM balance'!$D$5:$D$25,'COM Assumptions'!$A22)*AC22,"")</f>
        <v>0</v>
      </c>
      <c r="BJ22" s="10">
        <f ca="1">IFERROR(SUMIFS('COM balance'!AD$5:AD$25,'COM balance'!$D$5:$D$25,'COM Assumptions'!$A22)*AD22,"")</f>
        <v>0</v>
      </c>
      <c r="BK22" s="10">
        <f ca="1">IFERROR(SUMIFS('COM balance'!AE$5:AE$25,'COM balance'!$D$5:$D$25,'COM Assumptions'!$A22)*AE22,"")</f>
        <v>26.577115578000001</v>
      </c>
      <c r="BL22" s="10">
        <f ca="1">IFERROR(SUMIFS('COM balance'!AF$5:AF$25,'COM balance'!$D$5:$D$25,'COM Assumptions'!$A22)*AF22,"")</f>
        <v>0</v>
      </c>
      <c r="BM22" s="10">
        <f ca="1">IFERROR(SUMIFS('COM balance'!AG$5:AG$25,'COM balance'!$D$5:$D$25,'COM Assumptions'!$A22)*AG22,"")</f>
        <v>0</v>
      </c>
      <c r="BN22" s="10">
        <f ca="1">IFERROR(SUMIFS('COM balance'!AH$5:AH$25,'COM balance'!$D$5:$D$25,'COM Assumptions'!$A22)*AH22,"")</f>
        <v>0</v>
      </c>
    </row>
    <row r="23" spans="1:66" x14ac:dyDescent="0.45">
      <c r="A23" s="8" t="str">
        <f>VLOOKUP(C23,'COM balance'!$AM$5:$AN$25,2,FALSE)</f>
        <v>COMCOA</v>
      </c>
      <c r="B23" s="36"/>
      <c r="C23" s="22" t="s">
        <v>32</v>
      </c>
      <c r="D23" s="42" t="s">
        <v>89</v>
      </c>
      <c r="E23" s="26">
        <f ca="1">OFFSET('COM Assumptions T15'!$D23,0,MATCH(VLOOKUP('COM Assumptions'!E$2,'RES Assumptions T15'!$V$3:$W$35,2,FALSE),'COM Assumptions T15'!$E$2:$S$2,0))</f>
        <v>0</v>
      </c>
      <c r="F23" s="26">
        <f ca="1">OFFSET('COM Assumptions T15'!$D23,0,MATCH(VLOOKUP('COM Assumptions'!F$2,'RES Assumptions T15'!$V$3:$W$35,2,FALSE),'COM Assumptions T15'!$E$2:$S$2,0))</f>
        <v>0</v>
      </c>
      <c r="G23" s="26">
        <f ca="1">OFFSET('COM Assumptions T15'!$D23,0,MATCH(VLOOKUP('COM Assumptions'!G$2,'RES Assumptions T15'!$V$3:$W$35,2,FALSE),'COM Assumptions T15'!$E$2:$S$2,0))</f>
        <v>0</v>
      </c>
      <c r="H23" s="26">
        <f ca="1">OFFSET('COM Assumptions T15'!$D23,0,MATCH(VLOOKUP('COM Assumptions'!H$2,'RES Assumptions T15'!$V$3:$W$35,2,FALSE),'COM Assumptions T15'!$E$2:$S$2,0))</f>
        <v>0</v>
      </c>
      <c r="I23" s="26">
        <f ca="1">OFFSET('COM Assumptions T15'!$D23,0,MATCH(VLOOKUP('COM Assumptions'!I$2,'RES Assumptions T15'!$V$3:$W$35,2,FALSE),'COM Assumptions T15'!$E$2:$S$2,0))</f>
        <v>0</v>
      </c>
      <c r="J23" s="26">
        <f ca="1">OFFSET('COM Assumptions T15'!$D23,0,MATCH(VLOOKUP('COM Assumptions'!J$2,'RES Assumptions T15'!$V$3:$W$35,2,FALSE),'COM Assumptions T15'!$E$2:$S$2,0))</f>
        <v>0</v>
      </c>
      <c r="K23" s="26">
        <f ca="1">OFFSET('COM Assumptions T15'!$D23,0,MATCH(VLOOKUP('COM Assumptions'!K$2,'RES Assumptions T15'!$V$3:$W$35,2,FALSE),'COM Assumptions T15'!$E$2:$S$2,0))</f>
        <v>0</v>
      </c>
      <c r="L23" s="26">
        <f ca="1">OFFSET('COM Assumptions T15'!$D23,0,MATCH(VLOOKUP('COM Assumptions'!L$2,'RES Assumptions T15'!$V$3:$W$35,2,FALSE),'COM Assumptions T15'!$E$2:$S$2,0))</f>
        <v>0</v>
      </c>
      <c r="M23" s="26">
        <f ca="1">OFFSET('COM Assumptions T15'!$D23,0,MATCH(VLOOKUP('COM Assumptions'!M$2,'RES Assumptions T15'!$V$3:$W$35,2,FALSE),'COM Assumptions T15'!$E$2:$S$2,0))</f>
        <v>0</v>
      </c>
      <c r="N23" s="26">
        <f ca="1">OFFSET('COM Assumptions T15'!$D23,0,MATCH(VLOOKUP('COM Assumptions'!N$2,'RES Assumptions T15'!$V$3:$W$35,2,FALSE),'COM Assumptions T15'!$E$2:$S$2,0))</f>
        <v>0</v>
      </c>
      <c r="O23" s="26">
        <f ca="1">OFFSET('COM Assumptions T15'!$D23,0,MATCH(VLOOKUP('COM Assumptions'!O$2,'RES Assumptions T15'!$V$3:$W$35,2,FALSE),'COM Assumptions T15'!$E$2:$S$2,0))</f>
        <v>0</v>
      </c>
      <c r="P23" s="1">
        <f ca="1">OFFSET('COM Assumptions T15'!$D23,0,MATCH(VLOOKUP('COM Assumptions'!P$2,'RES Assumptions T15'!$V$3:$W$35,2,FALSE),'COM Assumptions T15'!$E$2:$S$2,0))</f>
        <v>0</v>
      </c>
      <c r="Q23" s="1">
        <f ca="1">OFFSET('COM Assumptions T15'!$D23,0,MATCH(VLOOKUP('COM Assumptions'!Q$2,'RES Assumptions T15'!$V$3:$W$35,2,FALSE),'COM Assumptions T15'!$E$2:$S$2,0))</f>
        <v>0</v>
      </c>
      <c r="R23" s="1">
        <f ca="1">OFFSET('COM Assumptions T15'!$D23,0,MATCH(VLOOKUP('COM Assumptions'!R$2,'RES Assumptions T15'!$V$3:$W$35,2,FALSE),'COM Assumptions T15'!$E$2:$S$2,0))</f>
        <v>0</v>
      </c>
      <c r="S23" s="1">
        <f ca="1">OFFSET('COM Assumptions T15'!$D23,0,MATCH(VLOOKUP('COM Assumptions'!S$2,'RES Assumptions T15'!$V$3:$W$35,2,FALSE),'COM Assumptions T15'!$E$2:$S$2,0))</f>
        <v>0</v>
      </c>
      <c r="T23" s="1">
        <f ca="1">OFFSET('COM Assumptions T15'!$D23,0,MATCH(VLOOKUP('COM Assumptions'!T$2,'RES Assumptions T15'!$V$3:$W$35,2,FALSE),'COM Assumptions T15'!$E$2:$S$2,0))</f>
        <v>0</v>
      </c>
      <c r="U23" s="1">
        <f ca="1">OFFSET('COM Assumptions T15'!$D23,0,MATCH(VLOOKUP('COM Assumptions'!U$2,'RES Assumptions T15'!$V$3:$W$35,2,FALSE),'COM Assumptions T15'!$E$2:$S$2,0))</f>
        <v>0</v>
      </c>
      <c r="V23" s="1">
        <f ca="1">OFFSET('COM Assumptions T15'!$D23,0,MATCH(VLOOKUP('COM Assumptions'!V$2,'RES Assumptions T15'!$V$3:$W$35,2,FALSE),'COM Assumptions T15'!$E$2:$S$2,0))</f>
        <v>0</v>
      </c>
      <c r="W23" s="1">
        <f ca="1">OFFSET('COM Assumptions T15'!$D23,0,MATCH(VLOOKUP('COM Assumptions'!W$2,'RES Assumptions T15'!$V$3:$W$35,2,FALSE),'COM Assumptions T15'!$E$2:$S$2,0))</f>
        <v>0</v>
      </c>
      <c r="X23" s="1">
        <f ca="1">OFFSET('COM Assumptions T15'!$D23,0,MATCH(VLOOKUP('COM Assumptions'!X$2,'RES Assumptions T15'!$V$3:$W$35,2,FALSE),'COM Assumptions T15'!$E$2:$S$2,0))</f>
        <v>0</v>
      </c>
      <c r="Y23" s="1">
        <f ca="1">OFFSET('COM Assumptions T15'!$D23,0,MATCH(VLOOKUP('COM Assumptions'!Y$2,'RES Assumptions T15'!$V$3:$W$35,2,FALSE),'COM Assumptions T15'!$E$2:$S$2,0))</f>
        <v>0</v>
      </c>
      <c r="Z23" s="1">
        <f ca="1">OFFSET('COM Assumptions T15'!$D23,0,MATCH(VLOOKUP('COM Assumptions'!Z$2,'RES Assumptions T15'!$V$3:$W$35,2,FALSE),'COM Assumptions T15'!$E$2:$S$2,0))</f>
        <v>0</v>
      </c>
      <c r="AA23" s="1">
        <f ca="1">OFFSET('COM Assumptions T15'!$D23,0,MATCH(VLOOKUP('COM Assumptions'!AA$2,'RES Assumptions T15'!$V$3:$W$35,2,FALSE),'COM Assumptions T15'!$E$2:$S$2,0))</f>
        <v>0</v>
      </c>
      <c r="AB23" s="1">
        <f ca="1">OFFSET('COM Assumptions T15'!$D23,0,MATCH(VLOOKUP('COM Assumptions'!AB$2,'RES Assumptions T15'!$V$3:$W$35,2,FALSE),'COM Assumptions T15'!$E$2:$S$2,0))</f>
        <v>0</v>
      </c>
      <c r="AC23" s="1">
        <f ca="1">OFFSET('COM Assumptions T15'!$D23,0,MATCH(VLOOKUP('COM Assumptions'!AC$2,'RES Assumptions T15'!$V$3:$W$35,2,FALSE),'COM Assumptions T15'!$E$2:$S$2,0))</f>
        <v>0</v>
      </c>
      <c r="AD23" s="1">
        <f ca="1">OFFSET('COM Assumptions T15'!$D23,0,MATCH(VLOOKUP('COM Assumptions'!AD$2,'RES Assumptions T15'!$V$3:$W$35,2,FALSE),'COM Assumptions T15'!$E$2:$S$2,0))</f>
        <v>0</v>
      </c>
      <c r="AE23" s="1">
        <f ca="1">OFFSET('COM Assumptions T15'!$D23,0,MATCH(VLOOKUP('COM Assumptions'!AE$2,'RES Assumptions T15'!$V$3:$W$35,2,FALSE),'COM Assumptions T15'!$E$2:$S$2,0))</f>
        <v>0</v>
      </c>
      <c r="AF23" s="1">
        <f ca="1">OFFSET('COM Assumptions T15'!$D23,0,MATCH(VLOOKUP('COM Assumptions'!AF$2,'RES Assumptions T15'!$V$3:$W$35,2,FALSE),'COM Assumptions T15'!$E$2:$S$2,0))</f>
        <v>0</v>
      </c>
      <c r="AG23" s="1">
        <f ca="1">OFFSET('COM Assumptions T15'!$D23,0,MATCH(VLOOKUP('COM Assumptions'!AG$2,'RES Assumptions T15'!$V$3:$W$35,2,FALSE),'COM Assumptions T15'!$E$2:$S$2,0))</f>
        <v>0</v>
      </c>
      <c r="AH23" s="1">
        <f ca="1">OFFSET('COM Assumptions T15'!$D23,0,MATCH(VLOOKUP('COM Assumptions'!AH$2,'RES Assumptions T15'!$V$3:$W$35,2,FALSE),'COM Assumptions T15'!$E$2:$S$2,0))</f>
        <v>0</v>
      </c>
      <c r="AI23" s="1"/>
      <c r="AK23" s="10">
        <f ca="1">IFERROR(SUMIFS('COM balance'!E$5:E$25,'COM balance'!$D$5:$D$25,'COM Assumptions'!$A23)*E23,"")</f>
        <v>0</v>
      </c>
      <c r="AL23" s="10">
        <f ca="1">IFERROR(SUMIFS('COM balance'!F$5:F$25,'COM balance'!$D$5:$D$25,'COM Assumptions'!$A23)*F23,"")</f>
        <v>0</v>
      </c>
      <c r="AM23" s="10">
        <f ca="1">IFERROR(SUMIFS('COM balance'!G$5:G$25,'COM balance'!$D$5:$D$25,'COM Assumptions'!$A23)*G23,"")</f>
        <v>0</v>
      </c>
      <c r="AN23" s="10">
        <f ca="1">IFERROR(SUMIFS('COM balance'!H$5:H$25,'COM balance'!$D$5:$D$25,'COM Assumptions'!$A23)*H23,"")</f>
        <v>0</v>
      </c>
      <c r="AO23" s="10">
        <f ca="1">IFERROR(SUMIFS('COM balance'!I$5:I$25,'COM balance'!$D$5:$D$25,'COM Assumptions'!$A23)*I23,"")</f>
        <v>0</v>
      </c>
      <c r="AP23" s="10">
        <f ca="1">IFERROR(SUMIFS('COM balance'!J$5:J$25,'COM balance'!$D$5:$D$25,'COM Assumptions'!$A23)*J23,"")</f>
        <v>0</v>
      </c>
      <c r="AQ23" s="10">
        <f ca="1">IFERROR(SUMIFS('COM balance'!K$5:K$25,'COM balance'!$D$5:$D$25,'COM Assumptions'!$A23)*K23,"")</f>
        <v>0</v>
      </c>
      <c r="AR23" s="10">
        <f ca="1">IFERROR(SUMIFS('COM balance'!L$5:L$25,'COM balance'!$D$5:$D$25,'COM Assumptions'!$A23)*L23,"")</f>
        <v>0</v>
      </c>
      <c r="AS23" s="10">
        <f ca="1">IFERROR(SUMIFS('COM balance'!M$5:M$25,'COM balance'!$D$5:$D$25,'COM Assumptions'!$A23)*M23,"")</f>
        <v>0</v>
      </c>
      <c r="AT23" s="10">
        <f ca="1">IFERROR(SUMIFS('COM balance'!N$5:N$25,'COM balance'!$D$5:$D$25,'COM Assumptions'!$A23)*N23,"")</f>
        <v>0</v>
      </c>
      <c r="AU23" s="10">
        <f ca="1">IFERROR(SUMIFS('COM balance'!O$5:O$25,'COM balance'!$D$5:$D$25,'COM Assumptions'!$A23)*O23,"")</f>
        <v>0</v>
      </c>
      <c r="AV23" s="10">
        <f ca="1">IFERROR(SUMIFS('COM balance'!P$5:P$25,'COM balance'!$D$5:$D$25,'COM Assumptions'!$A23)*P23,"")</f>
        <v>0</v>
      </c>
      <c r="AW23" s="10">
        <f ca="1">IFERROR(SUMIFS('COM balance'!Q$5:Q$25,'COM balance'!$D$5:$D$25,'COM Assumptions'!$A23)*Q23,"")</f>
        <v>0</v>
      </c>
      <c r="AX23" s="10">
        <f ca="1">IFERROR(SUMIFS('COM balance'!R$5:R$25,'COM balance'!$D$5:$D$25,'COM Assumptions'!$A23)*R23,"")</f>
        <v>0</v>
      </c>
      <c r="AY23" s="10">
        <f ca="1">IFERROR(SUMIFS('COM balance'!S$5:S$25,'COM balance'!$D$5:$D$25,'COM Assumptions'!$A23)*S23,"")</f>
        <v>0</v>
      </c>
      <c r="AZ23" s="10">
        <f ca="1">IFERROR(SUMIFS('COM balance'!T$5:T$25,'COM balance'!$D$5:$D$25,'COM Assumptions'!$A23)*T23,"")</f>
        <v>0</v>
      </c>
      <c r="BA23" s="10">
        <f ca="1">IFERROR(SUMIFS('COM balance'!U$5:U$25,'COM balance'!$D$5:$D$25,'COM Assumptions'!$A23)*U23,"")</f>
        <v>0</v>
      </c>
      <c r="BB23" s="10">
        <f ca="1">IFERROR(SUMIFS('COM balance'!V$5:V$25,'COM balance'!$D$5:$D$25,'COM Assumptions'!$A23)*V23,"")</f>
        <v>0</v>
      </c>
      <c r="BC23" s="10">
        <f ca="1">IFERROR(SUMIFS('COM balance'!W$5:W$25,'COM balance'!$D$5:$D$25,'COM Assumptions'!$A23)*W23,"")</f>
        <v>0</v>
      </c>
      <c r="BD23" s="10">
        <f ca="1">IFERROR(SUMIFS('COM balance'!X$5:X$25,'COM balance'!$D$5:$D$25,'COM Assumptions'!$A23)*X23,"")</f>
        <v>0</v>
      </c>
      <c r="BE23" s="10">
        <f ca="1">IFERROR(SUMIFS('COM balance'!Y$5:Y$25,'COM balance'!$D$5:$D$25,'COM Assumptions'!$A23)*Y23,"")</f>
        <v>0</v>
      </c>
      <c r="BF23" s="10">
        <f ca="1">IFERROR(SUMIFS('COM balance'!Z$5:Z$25,'COM balance'!$D$5:$D$25,'COM Assumptions'!$A23)*Z23,"")</f>
        <v>0</v>
      </c>
      <c r="BG23" s="10">
        <f ca="1">IFERROR(SUMIFS('COM balance'!AA$5:AA$25,'COM balance'!$D$5:$D$25,'COM Assumptions'!$A23)*AA23,"")</f>
        <v>0</v>
      </c>
      <c r="BH23" s="10">
        <f ca="1">IFERROR(SUMIFS('COM balance'!AB$5:AB$25,'COM balance'!$D$5:$D$25,'COM Assumptions'!$A23)*AB23,"")</f>
        <v>0</v>
      </c>
      <c r="BI23" s="10">
        <f ca="1">IFERROR(SUMIFS('COM balance'!AC$5:AC$25,'COM balance'!$D$5:$D$25,'COM Assumptions'!$A23)*AC23,"")</f>
        <v>0</v>
      </c>
      <c r="BJ23" s="10">
        <f ca="1">IFERROR(SUMIFS('COM balance'!AD$5:AD$25,'COM balance'!$D$5:$D$25,'COM Assumptions'!$A23)*AD23,"")</f>
        <v>0</v>
      </c>
      <c r="BK23" s="10">
        <f ca="1">IFERROR(SUMIFS('COM balance'!AE$5:AE$25,'COM balance'!$D$5:$D$25,'COM Assumptions'!$A23)*AE23,"")</f>
        <v>0</v>
      </c>
      <c r="BL23" s="10">
        <f ca="1">IFERROR(SUMIFS('COM balance'!AF$5:AF$25,'COM balance'!$D$5:$D$25,'COM Assumptions'!$A23)*AF23,"")</f>
        <v>0</v>
      </c>
      <c r="BM23" s="10">
        <f ca="1">IFERROR(SUMIFS('COM balance'!AG$5:AG$25,'COM balance'!$D$5:$D$25,'COM Assumptions'!$A23)*AG23,"")</f>
        <v>0</v>
      </c>
      <c r="BN23" s="10">
        <f ca="1">IFERROR(SUMIFS('COM balance'!AH$5:AH$25,'COM balance'!$D$5:$D$25,'COM Assumptions'!$A23)*AH23,"")</f>
        <v>0</v>
      </c>
    </row>
    <row r="24" spans="1:66" x14ac:dyDescent="0.45">
      <c r="A24" s="8" t="str">
        <f>VLOOKUP(C24,'COM balance'!$AM$5:$AN$25,2,FALSE)</f>
        <v>COMLPG</v>
      </c>
      <c r="B24" s="36"/>
      <c r="C24" s="20" t="s">
        <v>75</v>
      </c>
      <c r="D24" s="41" t="s">
        <v>82</v>
      </c>
      <c r="E24" s="25">
        <f ca="1">OFFSET('COM Assumptions T15'!$D24,0,MATCH(VLOOKUP('COM Assumptions'!E$2,'RES Assumptions T15'!$V$3:$W$35,2,FALSE),'COM Assumptions T15'!$E$2:$S$2,0))</f>
        <v>0</v>
      </c>
      <c r="F24" s="25">
        <f ca="1">OFFSET('COM Assumptions T15'!$D24,0,MATCH(VLOOKUP('COM Assumptions'!F$2,'RES Assumptions T15'!$V$3:$W$35,2,FALSE),'COM Assumptions T15'!$E$2:$S$2,0))</f>
        <v>0</v>
      </c>
      <c r="G24" s="25">
        <f ca="1">OFFSET('COM Assumptions T15'!$D24,0,MATCH(VLOOKUP('COM Assumptions'!G$2,'RES Assumptions T15'!$V$3:$W$35,2,FALSE),'COM Assumptions T15'!$E$2:$S$2,0))</f>
        <v>0</v>
      </c>
      <c r="H24" s="25">
        <f ca="1">OFFSET('COM Assumptions T15'!$D24,0,MATCH(VLOOKUP('COM Assumptions'!H$2,'RES Assumptions T15'!$V$3:$W$35,2,FALSE),'COM Assumptions T15'!$E$2:$S$2,0))</f>
        <v>0.70902295115334446</v>
      </c>
      <c r="I24" s="25">
        <f ca="1">OFFSET('COM Assumptions T15'!$D24,0,MATCH(VLOOKUP('COM Assumptions'!I$2,'RES Assumptions T15'!$V$3:$W$35,2,FALSE),'COM Assumptions T15'!$E$2:$S$2,0))</f>
        <v>0.6</v>
      </c>
      <c r="J24" s="25">
        <f ca="1">OFFSET('COM Assumptions T15'!$D24,0,MATCH(VLOOKUP('COM Assumptions'!J$2,'RES Assumptions T15'!$V$3:$W$35,2,FALSE),'COM Assumptions T15'!$E$2:$S$2,0))</f>
        <v>0.1</v>
      </c>
      <c r="K24" s="25">
        <f ca="1">OFFSET('COM Assumptions T15'!$D24,0,MATCH(VLOOKUP('COM Assumptions'!K$2,'RES Assumptions T15'!$V$3:$W$35,2,FALSE),'COM Assumptions T15'!$E$2:$S$2,0))</f>
        <v>0.3</v>
      </c>
      <c r="L24" s="25">
        <f ca="1">OFFSET('COM Assumptions T15'!$D24,0,MATCH(VLOOKUP('COM Assumptions'!L$2,'RES Assumptions T15'!$V$3:$W$35,2,FALSE),'COM Assumptions T15'!$E$2:$S$2,0))</f>
        <v>0</v>
      </c>
      <c r="M24" s="25">
        <f ca="1">OFFSET('COM Assumptions T15'!$D24,0,MATCH(VLOOKUP('COM Assumptions'!M$2,'RES Assumptions T15'!$V$3:$W$35,2,FALSE),'COM Assumptions T15'!$E$2:$S$2,0))</f>
        <v>0.2</v>
      </c>
      <c r="N24" s="25">
        <f ca="1">OFFSET('COM Assumptions T15'!$D24,0,MATCH(VLOOKUP('COM Assumptions'!N$2,'RES Assumptions T15'!$V$3:$W$35,2,FALSE),'COM Assumptions T15'!$E$2:$S$2,0))</f>
        <v>0.25</v>
      </c>
      <c r="O24" s="25">
        <f ca="1">OFFSET('COM Assumptions T15'!$D24,0,MATCH(VLOOKUP('COM Assumptions'!O$2,'RES Assumptions T15'!$V$3:$W$35,2,FALSE),'COM Assumptions T15'!$E$2:$S$2,0))</f>
        <v>0.2</v>
      </c>
      <c r="P24" s="1">
        <f ca="1">OFFSET('COM Assumptions T15'!$D24,0,MATCH(VLOOKUP('COM Assumptions'!P$2,'RES Assumptions T15'!$V$3:$W$35,2,FALSE),'COM Assumptions T15'!$E$2:$S$2,0))</f>
        <v>0.70902295115334446</v>
      </c>
      <c r="Q24" s="1">
        <f ca="1">OFFSET('COM Assumptions T15'!$D24,0,MATCH(VLOOKUP('COM Assumptions'!Q$2,'RES Assumptions T15'!$V$3:$W$35,2,FALSE),'COM Assumptions T15'!$E$2:$S$2,0))</f>
        <v>0.2</v>
      </c>
      <c r="R24" s="1">
        <f ca="1">OFFSET('COM Assumptions T15'!$D24,0,MATCH(VLOOKUP('COM Assumptions'!R$2,'RES Assumptions T15'!$V$3:$W$35,2,FALSE),'COM Assumptions T15'!$E$2:$S$2,0))</f>
        <v>0.2</v>
      </c>
      <c r="S24" s="1">
        <f ca="1">OFFSET('COM Assumptions T15'!$D24,0,MATCH(VLOOKUP('COM Assumptions'!S$2,'RES Assumptions T15'!$V$3:$W$35,2,FALSE),'COM Assumptions T15'!$E$2:$S$2,0))</f>
        <v>0.70902295115334446</v>
      </c>
      <c r="T24" s="1">
        <f ca="1">OFFSET('COM Assumptions T15'!$D24,0,MATCH(VLOOKUP('COM Assumptions'!T$2,'RES Assumptions T15'!$V$3:$W$35,2,FALSE),'COM Assumptions T15'!$E$2:$S$2,0))</f>
        <v>0.2</v>
      </c>
      <c r="U24" s="1">
        <f ca="1">OFFSET('COM Assumptions T15'!$D24,0,MATCH(VLOOKUP('COM Assumptions'!U$2,'RES Assumptions T15'!$V$3:$W$35,2,FALSE),'COM Assumptions T15'!$E$2:$S$2,0))</f>
        <v>0.05</v>
      </c>
      <c r="V24" s="1">
        <f ca="1">OFFSET('COM Assumptions T15'!$D24,0,MATCH(VLOOKUP('COM Assumptions'!V$2,'RES Assumptions T15'!$V$3:$W$35,2,FALSE),'COM Assumptions T15'!$E$2:$S$2,0))</f>
        <v>0.2</v>
      </c>
      <c r="W24" s="1">
        <f ca="1">OFFSET('COM Assumptions T15'!$D24,0,MATCH(VLOOKUP('COM Assumptions'!W$2,'RES Assumptions T15'!$V$3:$W$35,2,FALSE),'COM Assumptions T15'!$E$2:$S$2,0))</f>
        <v>0.2</v>
      </c>
      <c r="X24" s="1">
        <f ca="1">OFFSET('COM Assumptions T15'!$D24,0,MATCH(VLOOKUP('COM Assumptions'!X$2,'RES Assumptions T15'!$V$3:$W$35,2,FALSE),'COM Assumptions T15'!$E$2:$S$2,0))</f>
        <v>0</v>
      </c>
      <c r="Y24" s="1">
        <f ca="1">OFFSET('COM Assumptions T15'!$D24,0,MATCH(VLOOKUP('COM Assumptions'!Y$2,'RES Assumptions T15'!$V$3:$W$35,2,FALSE),'COM Assumptions T15'!$E$2:$S$2,0))</f>
        <v>0</v>
      </c>
      <c r="Z24" s="1">
        <f ca="1">OFFSET('COM Assumptions T15'!$D24,0,MATCH(VLOOKUP('COM Assumptions'!Z$2,'RES Assumptions T15'!$V$3:$W$35,2,FALSE),'COM Assumptions T15'!$E$2:$S$2,0))</f>
        <v>0</v>
      </c>
      <c r="AA24" s="1">
        <f ca="1">OFFSET('COM Assumptions T15'!$D24,0,MATCH(VLOOKUP('COM Assumptions'!AA$2,'RES Assumptions T15'!$V$3:$W$35,2,FALSE),'COM Assumptions T15'!$E$2:$S$2,0))</f>
        <v>0.05</v>
      </c>
      <c r="AB24" s="1">
        <f ca="1">OFFSET('COM Assumptions T15'!$D24,0,MATCH(VLOOKUP('COM Assumptions'!AB$2,'RES Assumptions T15'!$V$3:$W$35,2,FALSE),'COM Assumptions T15'!$E$2:$S$2,0))</f>
        <v>0.2</v>
      </c>
      <c r="AC24" s="1">
        <f ca="1">OFFSET('COM Assumptions T15'!$D24,0,MATCH(VLOOKUP('COM Assumptions'!AC$2,'RES Assumptions T15'!$V$3:$W$35,2,FALSE),'COM Assumptions T15'!$E$2:$S$2,0))</f>
        <v>0.70902295115334446</v>
      </c>
      <c r="AD24" s="1">
        <f ca="1">OFFSET('COM Assumptions T15'!$D24,0,MATCH(VLOOKUP('COM Assumptions'!AD$2,'RES Assumptions T15'!$V$3:$W$35,2,FALSE),'COM Assumptions T15'!$E$2:$S$2,0))</f>
        <v>0.05</v>
      </c>
      <c r="AE24" s="1">
        <f ca="1">OFFSET('COM Assumptions T15'!$D24,0,MATCH(VLOOKUP('COM Assumptions'!AE$2,'RES Assumptions T15'!$V$3:$W$35,2,FALSE),'COM Assumptions T15'!$E$2:$S$2,0))</f>
        <v>0</v>
      </c>
      <c r="AF24" s="1">
        <f ca="1">OFFSET('COM Assumptions T15'!$D24,0,MATCH(VLOOKUP('COM Assumptions'!AF$2,'RES Assumptions T15'!$V$3:$W$35,2,FALSE),'COM Assumptions T15'!$E$2:$S$2,0))</f>
        <v>0.2</v>
      </c>
      <c r="AG24" s="1">
        <f ca="1">OFFSET('COM Assumptions T15'!$D24,0,MATCH(VLOOKUP('COM Assumptions'!AG$2,'RES Assumptions T15'!$V$3:$W$35,2,FALSE),'COM Assumptions T15'!$E$2:$S$2,0))</f>
        <v>0.70902295115334446</v>
      </c>
      <c r="AH24" s="1">
        <f ca="1">OFFSET('COM Assumptions T15'!$D24,0,MATCH(VLOOKUP('COM Assumptions'!AH$2,'RES Assumptions T15'!$V$3:$W$35,2,FALSE),'COM Assumptions T15'!$E$2:$S$2,0))</f>
        <v>0.70902295115334446</v>
      </c>
      <c r="AI24" s="1"/>
      <c r="AK24" s="10">
        <f ca="1">IFERROR(SUMIFS('COM balance'!E$5:E$25,'COM balance'!$D$5:$D$25,'COM Assumptions'!$A24)*E24,"")</f>
        <v>0</v>
      </c>
      <c r="AL24" s="10">
        <f ca="1">IFERROR(SUMIFS('COM balance'!F$5:F$25,'COM balance'!$D$5:$D$25,'COM Assumptions'!$A24)*F24,"")</f>
        <v>0</v>
      </c>
      <c r="AM24" s="10">
        <f ca="1">IFERROR(SUMIFS('COM balance'!G$5:G$25,'COM balance'!$D$5:$D$25,'COM Assumptions'!$A24)*G24,"")</f>
        <v>0</v>
      </c>
      <c r="AN24" s="10">
        <f ca="1">IFERROR(SUMIFS('COM balance'!H$5:H$25,'COM balance'!$D$5:$D$25,'COM Assumptions'!$A24)*H24,"")</f>
        <v>1.3096325655998837</v>
      </c>
      <c r="AO24" s="10">
        <f ca="1">IFERROR(SUMIFS('COM balance'!I$5:I$25,'COM balance'!$D$5:$D$25,'COM Assumptions'!$A24)*I24,"")</f>
        <v>56.118638792879999</v>
      </c>
      <c r="AP24" s="10">
        <f ca="1">IFERROR(SUMIFS('COM balance'!J$5:J$25,'COM balance'!$D$5:$D$25,'COM Assumptions'!$A24)*J24,"")</f>
        <v>13.805174995920002</v>
      </c>
      <c r="AQ24" s="10">
        <f ca="1">IFERROR(SUMIFS('COM balance'!K$5:K$25,'COM balance'!$D$5:$D$25,'COM Assumptions'!$A24)*K24,"")</f>
        <v>0.68144314931999994</v>
      </c>
      <c r="AR24" s="10">
        <f ca="1">IFERROR(SUMIFS('COM balance'!L$5:L$25,'COM balance'!$D$5:$D$25,'COM Assumptions'!$A24)*L24,"")</f>
        <v>0</v>
      </c>
      <c r="AS24" s="10">
        <f ca="1">IFERROR(SUMIFS('COM balance'!M$5:M$25,'COM balance'!$D$5:$D$25,'COM Assumptions'!$A24)*M24,"")</f>
        <v>7.1990602487999995</v>
      </c>
      <c r="AT24" s="10">
        <f ca="1">IFERROR(SUMIFS('COM balance'!N$5:N$25,'COM balance'!$D$5:$D$25,'COM Assumptions'!$A24)*N24,"")</f>
        <v>21.2531147559</v>
      </c>
      <c r="AU24" s="10">
        <f ca="1">IFERROR(SUMIFS('COM balance'!O$5:O$25,'COM balance'!$D$5:$D$25,'COM Assumptions'!$A24)*O24,"")</f>
        <v>0.18089990496</v>
      </c>
      <c r="AV24" s="10">
        <f ca="1">IFERROR(SUMIFS('COM balance'!P$5:P$25,'COM balance'!$D$5:$D$25,'COM Assumptions'!$A24)*P24,"")</f>
        <v>3.2722691219830109</v>
      </c>
      <c r="AW24" s="10">
        <f ca="1">IFERROR(SUMIFS('COM balance'!Q$5:Q$25,'COM balance'!$D$5:$D$25,'COM Assumptions'!$A24)*Q24,"")</f>
        <v>1.696323888</v>
      </c>
      <c r="AX24" s="10">
        <f ca="1">IFERROR(SUMIFS('COM balance'!R$5:R$25,'COM balance'!$D$5:$D$25,'COM Assumptions'!$A24)*R24,"")</f>
        <v>4.4648428759200005</v>
      </c>
      <c r="AY24" s="10">
        <f ca="1">IFERROR(SUMIFS('COM balance'!S$5:S$25,'COM balance'!$D$5:$D$25,'COM Assumptions'!$A24)*S24,"")</f>
        <v>1.9594661585553903</v>
      </c>
      <c r="AZ24" s="10">
        <f ca="1">IFERROR(SUMIFS('COM balance'!T$5:T$25,'COM balance'!$D$5:$D$25,'COM Assumptions'!$A24)*T24,"")</f>
        <v>2.29070797416</v>
      </c>
      <c r="BA24" s="10">
        <f ca="1">IFERROR(SUMIFS('COM balance'!U$5:U$25,'COM balance'!$D$5:$D$25,'COM Assumptions'!$A24)*U24,"")</f>
        <v>1.4562977841000002</v>
      </c>
      <c r="BB24" s="10">
        <f ca="1">IFERROR(SUMIFS('COM balance'!V$5:V$25,'COM balance'!$D$5:$D$25,'COM Assumptions'!$A24)*V24,"")</f>
        <v>2.7547285060800002</v>
      </c>
      <c r="BC24" s="10">
        <f ca="1">IFERROR(SUMIFS('COM balance'!W$5:W$25,'COM balance'!$D$5:$D$25,'COM Assumptions'!$A24)*W24,"")</f>
        <v>1.6652000541600001</v>
      </c>
      <c r="BD24" s="10">
        <f ca="1">IFERROR(SUMIFS('COM balance'!X$5:X$25,'COM balance'!$D$5:$D$25,'COM Assumptions'!$A24)*X24,"")</f>
        <v>0</v>
      </c>
      <c r="BE24" s="10">
        <f ca="1">IFERROR(SUMIFS('COM balance'!Y$5:Y$25,'COM balance'!$D$5:$D$25,'COM Assumptions'!$A24)*Y24,"")</f>
        <v>0</v>
      </c>
      <c r="BF24" s="10">
        <f ca="1">IFERROR(SUMIFS('COM balance'!Z$5:Z$25,'COM balance'!$D$5:$D$25,'COM Assumptions'!$A24)*Z24,"")</f>
        <v>0</v>
      </c>
      <c r="BG24" s="10">
        <f ca="1">IFERROR(SUMIFS('COM balance'!AA$5:AA$25,'COM balance'!$D$5:$D$25,'COM Assumptions'!$A24)*AA24,"")</f>
        <v>0.5567407767</v>
      </c>
      <c r="BH24" s="10">
        <f ca="1">IFERROR(SUMIFS('COM balance'!AB$5:AB$25,'COM balance'!$D$5:$D$25,'COM Assumptions'!$A24)*AB24,"")</f>
        <v>0.24650454888000001</v>
      </c>
      <c r="BI24" s="10">
        <f ca="1">IFERROR(SUMIFS('COM balance'!AC$5:AC$25,'COM balance'!$D$5:$D$25,'COM Assumptions'!$A24)*AC24,"")</f>
        <v>0.6986155662731155</v>
      </c>
      <c r="BJ24" s="10">
        <f ca="1">IFERROR(SUMIFS('COM balance'!AD$5:AD$25,'COM balance'!$D$5:$D$25,'COM Assumptions'!$A24)*AD24,"")</f>
        <v>0</v>
      </c>
      <c r="BK24" s="10">
        <f ca="1">IFERROR(SUMIFS('COM balance'!AE$5:AE$25,'COM balance'!$D$5:$D$25,'COM Assumptions'!$A24)*AE24,"")</f>
        <v>0</v>
      </c>
      <c r="BL24" s="10">
        <f ca="1">IFERROR(SUMIFS('COM balance'!AF$5:AF$25,'COM balance'!$D$5:$D$25,'COM Assumptions'!$A24)*AF24,"")</f>
        <v>3.2636080879200002</v>
      </c>
      <c r="BM24" s="10">
        <f ca="1">IFERROR(SUMIFS('COM balance'!AG$5:AG$25,'COM balance'!$D$5:$D$25,'COM Assumptions'!$A24)*AG24,"")</f>
        <v>49.13139093662538</v>
      </c>
      <c r="BN24" s="10">
        <f ca="1">IFERROR(SUMIFS('COM balance'!AH$5:AH$25,'COM balance'!$D$5:$D$25,'COM Assumptions'!$A24)*AH24,"")</f>
        <v>0</v>
      </c>
    </row>
    <row r="25" spans="1:66" x14ac:dyDescent="0.45">
      <c r="A25" s="8" t="str">
        <f>VLOOKUP(C25,'COM balance'!$AM$5:$AN$25,2,FALSE)</f>
        <v>COMLPG</v>
      </c>
      <c r="B25" s="36"/>
      <c r="C25" s="20" t="s">
        <v>75</v>
      </c>
      <c r="D25" s="41" t="s">
        <v>84</v>
      </c>
      <c r="E25" s="25">
        <f ca="1">OFFSET('COM Assumptions T15'!$D25,0,MATCH(VLOOKUP('COM Assumptions'!E$2,'RES Assumptions T15'!$V$3:$W$35,2,FALSE),'COM Assumptions T15'!$E$2:$S$2,0))</f>
        <v>0.1</v>
      </c>
      <c r="F25" s="25">
        <f ca="1">OFFSET('COM Assumptions T15'!$D25,0,MATCH(VLOOKUP('COM Assumptions'!F$2,'RES Assumptions T15'!$V$3:$W$35,2,FALSE),'COM Assumptions T15'!$E$2:$S$2,0))</f>
        <v>0.1</v>
      </c>
      <c r="G25" s="25">
        <f ca="1">OFFSET('COM Assumptions T15'!$D25,0,MATCH(VLOOKUP('COM Assumptions'!G$2,'RES Assumptions T15'!$V$3:$W$35,2,FALSE),'COM Assumptions T15'!$E$2:$S$2,0))</f>
        <v>0.1</v>
      </c>
      <c r="H25" s="25">
        <f ca="1">OFFSET('COM Assumptions T15'!$D25,0,MATCH(VLOOKUP('COM Assumptions'!H$2,'RES Assumptions T15'!$V$3:$W$35,2,FALSE),'COM Assumptions T15'!$E$2:$S$2,0))</f>
        <v>0.21904596281611932</v>
      </c>
      <c r="I25" s="25">
        <f ca="1">OFFSET('COM Assumptions T15'!$D25,0,MATCH(VLOOKUP('COM Assumptions'!I$2,'RES Assumptions T15'!$V$3:$W$35,2,FALSE),'COM Assumptions T15'!$E$2:$S$2,0))</f>
        <v>0.4</v>
      </c>
      <c r="J25" s="25">
        <f ca="1">OFFSET('COM Assumptions T15'!$D25,0,MATCH(VLOOKUP('COM Assumptions'!J$2,'RES Assumptions T15'!$V$3:$W$35,2,FALSE),'COM Assumptions T15'!$E$2:$S$2,0))</f>
        <v>0.2</v>
      </c>
      <c r="K25" s="25">
        <f ca="1">OFFSET('COM Assumptions T15'!$D25,0,MATCH(VLOOKUP('COM Assumptions'!K$2,'RES Assumptions T15'!$V$3:$W$35,2,FALSE),'COM Assumptions T15'!$E$2:$S$2,0))</f>
        <v>0.3</v>
      </c>
      <c r="L25" s="25">
        <f ca="1">OFFSET('COM Assumptions T15'!$D25,0,MATCH(VLOOKUP('COM Assumptions'!L$2,'RES Assumptions T15'!$V$3:$W$35,2,FALSE),'COM Assumptions T15'!$E$2:$S$2,0))</f>
        <v>0.1</v>
      </c>
      <c r="M25" s="25">
        <f ca="1">OFFSET('COM Assumptions T15'!$D25,0,MATCH(VLOOKUP('COM Assumptions'!M$2,'RES Assumptions T15'!$V$3:$W$35,2,FALSE),'COM Assumptions T15'!$E$2:$S$2,0))</f>
        <v>0.1</v>
      </c>
      <c r="N25" s="25">
        <f ca="1">OFFSET('COM Assumptions T15'!$D25,0,MATCH(VLOOKUP('COM Assumptions'!N$2,'RES Assumptions T15'!$V$3:$W$35,2,FALSE),'COM Assumptions T15'!$E$2:$S$2,0))</f>
        <v>0.25</v>
      </c>
      <c r="O25" s="25">
        <f ca="1">OFFSET('COM Assumptions T15'!$D25,0,MATCH(VLOOKUP('COM Assumptions'!O$2,'RES Assumptions T15'!$V$3:$W$35,2,FALSE),'COM Assumptions T15'!$E$2:$S$2,0))</f>
        <v>0.3</v>
      </c>
      <c r="P25" s="1">
        <f ca="1">OFFSET('COM Assumptions T15'!$D25,0,MATCH(VLOOKUP('COM Assumptions'!P$2,'RES Assumptions T15'!$V$3:$W$35,2,FALSE),'COM Assumptions T15'!$E$2:$S$2,0))</f>
        <v>0.21904596281611932</v>
      </c>
      <c r="Q25" s="1">
        <f ca="1">OFFSET('COM Assumptions T15'!$D25,0,MATCH(VLOOKUP('COM Assumptions'!Q$2,'RES Assumptions T15'!$V$3:$W$35,2,FALSE),'COM Assumptions T15'!$E$2:$S$2,0))</f>
        <v>0.3</v>
      </c>
      <c r="R25" s="1">
        <f ca="1">OFFSET('COM Assumptions T15'!$D25,0,MATCH(VLOOKUP('COM Assumptions'!R$2,'RES Assumptions T15'!$V$3:$W$35,2,FALSE),'COM Assumptions T15'!$E$2:$S$2,0))</f>
        <v>0.3</v>
      </c>
      <c r="S25" s="1">
        <f ca="1">OFFSET('COM Assumptions T15'!$D25,0,MATCH(VLOOKUP('COM Assumptions'!S$2,'RES Assumptions T15'!$V$3:$W$35,2,FALSE),'COM Assumptions T15'!$E$2:$S$2,0))</f>
        <v>0.21904596281611932</v>
      </c>
      <c r="T25" s="1">
        <f ca="1">OFFSET('COM Assumptions T15'!$D25,0,MATCH(VLOOKUP('COM Assumptions'!T$2,'RES Assumptions T15'!$V$3:$W$35,2,FALSE),'COM Assumptions T15'!$E$2:$S$2,0))</f>
        <v>0.3</v>
      </c>
      <c r="U25" s="1">
        <f ca="1">OFFSET('COM Assumptions T15'!$D25,0,MATCH(VLOOKUP('COM Assumptions'!U$2,'RES Assumptions T15'!$V$3:$W$35,2,FALSE),'COM Assumptions T15'!$E$2:$S$2,0))</f>
        <v>0.1</v>
      </c>
      <c r="V25" s="1">
        <f ca="1">OFFSET('COM Assumptions T15'!$D25,0,MATCH(VLOOKUP('COM Assumptions'!V$2,'RES Assumptions T15'!$V$3:$W$35,2,FALSE),'COM Assumptions T15'!$E$2:$S$2,0))</f>
        <v>0.3</v>
      </c>
      <c r="W25" s="1">
        <f ca="1">OFFSET('COM Assumptions T15'!$D25,0,MATCH(VLOOKUP('COM Assumptions'!W$2,'RES Assumptions T15'!$V$3:$W$35,2,FALSE),'COM Assumptions T15'!$E$2:$S$2,0))</f>
        <v>0.3</v>
      </c>
      <c r="X25" s="1">
        <f ca="1">OFFSET('COM Assumptions T15'!$D25,0,MATCH(VLOOKUP('COM Assumptions'!X$2,'RES Assumptions T15'!$V$3:$W$35,2,FALSE),'COM Assumptions T15'!$E$2:$S$2,0))</f>
        <v>0.1</v>
      </c>
      <c r="Y25" s="1">
        <f ca="1">OFFSET('COM Assumptions T15'!$D25,0,MATCH(VLOOKUP('COM Assumptions'!Y$2,'RES Assumptions T15'!$V$3:$W$35,2,FALSE),'COM Assumptions T15'!$E$2:$S$2,0))</f>
        <v>0.1</v>
      </c>
      <c r="Z25" s="1">
        <f ca="1">OFFSET('COM Assumptions T15'!$D25,0,MATCH(VLOOKUP('COM Assumptions'!Z$2,'RES Assumptions T15'!$V$3:$W$35,2,FALSE),'COM Assumptions T15'!$E$2:$S$2,0))</f>
        <v>0.1</v>
      </c>
      <c r="AA25" s="1">
        <f ca="1">OFFSET('COM Assumptions T15'!$D25,0,MATCH(VLOOKUP('COM Assumptions'!AA$2,'RES Assumptions T15'!$V$3:$W$35,2,FALSE),'COM Assumptions T15'!$E$2:$S$2,0))</f>
        <v>0.1</v>
      </c>
      <c r="AB25" s="1">
        <f ca="1">OFFSET('COM Assumptions T15'!$D25,0,MATCH(VLOOKUP('COM Assumptions'!AB$2,'RES Assumptions T15'!$V$3:$W$35,2,FALSE),'COM Assumptions T15'!$E$2:$S$2,0))</f>
        <v>0.3</v>
      </c>
      <c r="AC25" s="1">
        <f ca="1">OFFSET('COM Assumptions T15'!$D25,0,MATCH(VLOOKUP('COM Assumptions'!AC$2,'RES Assumptions T15'!$V$3:$W$35,2,FALSE),'COM Assumptions T15'!$E$2:$S$2,0))</f>
        <v>0.21904596281611932</v>
      </c>
      <c r="AD25" s="1">
        <f ca="1">OFFSET('COM Assumptions T15'!$D25,0,MATCH(VLOOKUP('COM Assumptions'!AD$2,'RES Assumptions T15'!$V$3:$W$35,2,FALSE),'COM Assumptions T15'!$E$2:$S$2,0))</f>
        <v>0.1</v>
      </c>
      <c r="AE25" s="1">
        <f ca="1">OFFSET('COM Assumptions T15'!$D25,0,MATCH(VLOOKUP('COM Assumptions'!AE$2,'RES Assumptions T15'!$V$3:$W$35,2,FALSE),'COM Assumptions T15'!$E$2:$S$2,0))</f>
        <v>0.1</v>
      </c>
      <c r="AF25" s="1">
        <f ca="1">OFFSET('COM Assumptions T15'!$D25,0,MATCH(VLOOKUP('COM Assumptions'!AF$2,'RES Assumptions T15'!$V$3:$W$35,2,FALSE),'COM Assumptions T15'!$E$2:$S$2,0))</f>
        <v>0.3</v>
      </c>
      <c r="AG25" s="1">
        <f ca="1">OFFSET('COM Assumptions T15'!$D25,0,MATCH(VLOOKUP('COM Assumptions'!AG$2,'RES Assumptions T15'!$V$3:$W$35,2,FALSE),'COM Assumptions T15'!$E$2:$S$2,0))</f>
        <v>0.21904596281611932</v>
      </c>
      <c r="AH25" s="1">
        <f ca="1">OFFSET('COM Assumptions T15'!$D25,0,MATCH(VLOOKUP('COM Assumptions'!AH$2,'RES Assumptions T15'!$V$3:$W$35,2,FALSE),'COM Assumptions T15'!$E$2:$S$2,0))</f>
        <v>0.21904596281611932</v>
      </c>
      <c r="AI25" s="1"/>
      <c r="AK25" s="10">
        <f ca="1">IFERROR(SUMIFS('COM balance'!E$5:E$25,'COM balance'!$D$5:$D$25,'COM Assumptions'!$A25)*E25,"")</f>
        <v>0.63671389020000002</v>
      </c>
      <c r="AL25" s="10">
        <f ca="1">IFERROR(SUMIFS('COM balance'!F$5:F$25,'COM balance'!$D$5:$D$25,'COM Assumptions'!$A25)*F25,"")</f>
        <v>1.5511340376</v>
      </c>
      <c r="AM25" s="10">
        <f ca="1">IFERROR(SUMIFS('COM balance'!G$5:G$25,'COM balance'!$D$5:$D$25,'COM Assumptions'!$A25)*G25,"")</f>
        <v>1.7510838825600001</v>
      </c>
      <c r="AN25" s="10">
        <f ca="1">IFERROR(SUMIFS('COM balance'!H$5:H$25,'COM balance'!$D$5:$D$25,'COM Assumptions'!$A25)*H25,"")</f>
        <v>0.40459864634921827</v>
      </c>
      <c r="AO25" s="10">
        <f ca="1">IFERROR(SUMIFS('COM balance'!I$5:I$25,'COM balance'!$D$5:$D$25,'COM Assumptions'!$A25)*I25,"")</f>
        <v>37.412425861920006</v>
      </c>
      <c r="AP25" s="10">
        <f ca="1">IFERROR(SUMIFS('COM balance'!J$5:J$25,'COM balance'!$D$5:$D$25,'COM Assumptions'!$A25)*J25,"")</f>
        <v>27.610349991840003</v>
      </c>
      <c r="AQ25" s="10">
        <f ca="1">IFERROR(SUMIFS('COM balance'!K$5:K$25,'COM balance'!$D$5:$D$25,'COM Assumptions'!$A25)*K25,"")</f>
        <v>0.68144314931999994</v>
      </c>
      <c r="AR25" s="10">
        <f ca="1">IFERROR(SUMIFS('COM balance'!L$5:L$25,'COM balance'!$D$5:$D$25,'COM Assumptions'!$A25)*L25,"")</f>
        <v>2.7314365003200001</v>
      </c>
      <c r="AS25" s="10">
        <f ca="1">IFERROR(SUMIFS('COM balance'!M$5:M$25,'COM balance'!$D$5:$D$25,'COM Assumptions'!$A25)*M25,"")</f>
        <v>3.5995301243999998</v>
      </c>
      <c r="AT25" s="10">
        <f ca="1">IFERROR(SUMIFS('COM balance'!N$5:N$25,'COM balance'!$D$5:$D$25,'COM Assumptions'!$A25)*N25,"")</f>
        <v>21.2531147559</v>
      </c>
      <c r="AU25" s="10">
        <f ca="1">IFERROR(SUMIFS('COM balance'!O$5:O$25,'COM balance'!$D$5:$D$25,'COM Assumptions'!$A25)*O25,"")</f>
        <v>0.27134985743999995</v>
      </c>
      <c r="AV25" s="10">
        <f ca="1">IFERROR(SUMIFS('COM balance'!P$5:P$25,'COM balance'!$D$5:$D$25,'COM Assumptions'!$A25)*P25,"")</f>
        <v>1.0109367253235848</v>
      </c>
      <c r="AW25" s="10">
        <f ca="1">IFERROR(SUMIFS('COM balance'!Q$5:Q$25,'COM balance'!$D$5:$D$25,'COM Assumptions'!$A25)*Q25,"")</f>
        <v>2.5444858319999999</v>
      </c>
      <c r="AX25" s="10">
        <f ca="1">IFERROR(SUMIFS('COM balance'!R$5:R$25,'COM balance'!$D$5:$D$25,'COM Assumptions'!$A25)*R25,"")</f>
        <v>6.6972643138799999</v>
      </c>
      <c r="AY25" s="10">
        <f ca="1">IFERROR(SUMIFS('COM balance'!S$5:S$25,'COM balance'!$D$5:$D$25,'COM Assumptions'!$A25)*S25,"")</f>
        <v>0.60535861442592398</v>
      </c>
      <c r="AZ25" s="10">
        <f ca="1">IFERROR(SUMIFS('COM balance'!T$5:T$25,'COM balance'!$D$5:$D$25,'COM Assumptions'!$A25)*T25,"")</f>
        <v>3.4360619612400001</v>
      </c>
      <c r="BA25" s="10">
        <f ca="1">IFERROR(SUMIFS('COM balance'!U$5:U$25,'COM balance'!$D$5:$D$25,'COM Assumptions'!$A25)*U25,"")</f>
        <v>2.9125955682000004</v>
      </c>
      <c r="BB25" s="10">
        <f ca="1">IFERROR(SUMIFS('COM balance'!V$5:V$25,'COM balance'!$D$5:$D$25,'COM Assumptions'!$A25)*V25,"")</f>
        <v>4.1320927591199998</v>
      </c>
      <c r="BC25" s="10">
        <f ca="1">IFERROR(SUMIFS('COM balance'!W$5:W$25,'COM balance'!$D$5:$D$25,'COM Assumptions'!$A25)*W25,"")</f>
        <v>2.4978000812399999</v>
      </c>
      <c r="BD25" s="10">
        <f ca="1">IFERROR(SUMIFS('COM balance'!X$5:X$25,'COM balance'!$D$5:$D$25,'COM Assumptions'!$A25)*X25,"")</f>
        <v>12.366111964680002</v>
      </c>
      <c r="BE25" s="10">
        <f ca="1">IFERROR(SUMIFS('COM balance'!Y$5:Y$25,'COM balance'!$D$5:$D$25,'COM Assumptions'!$A25)*Y25,"")</f>
        <v>2.7114081051600003</v>
      </c>
      <c r="BF25" s="10">
        <f ca="1">IFERROR(SUMIFS('COM balance'!Z$5:Z$25,'COM balance'!$D$5:$D$25,'COM Assumptions'!$A25)*Z25,"")</f>
        <v>6.0515525718000003</v>
      </c>
      <c r="BG25" s="10">
        <f ca="1">IFERROR(SUMIFS('COM balance'!AA$5:AA$25,'COM balance'!$D$5:$D$25,'COM Assumptions'!$A25)*AA25,"")</f>
        <v>1.1134815534</v>
      </c>
      <c r="BH25" s="10">
        <f ca="1">IFERROR(SUMIFS('COM balance'!AB$5:AB$25,'COM balance'!$D$5:$D$25,'COM Assumptions'!$A25)*AB25,"")</f>
        <v>0.36975682331999998</v>
      </c>
      <c r="BI25" s="10">
        <f ca="1">IFERROR(SUMIFS('COM balance'!AC$5:AC$25,'COM balance'!$D$5:$D$25,'COM Assumptions'!$A25)*AC25,"")</f>
        <v>0.21583069927947446</v>
      </c>
      <c r="BJ25" s="10">
        <f ca="1">IFERROR(SUMIFS('COM balance'!AD$5:AD$25,'COM balance'!$D$5:$D$25,'COM Assumptions'!$A25)*AD25,"")</f>
        <v>0</v>
      </c>
      <c r="BK25" s="10">
        <f ca="1">IFERROR(SUMIFS('COM balance'!AE$5:AE$25,'COM balance'!$D$5:$D$25,'COM Assumptions'!$A25)*AE25,"")</f>
        <v>0.15067874520000002</v>
      </c>
      <c r="BL25" s="10">
        <f ca="1">IFERROR(SUMIFS('COM balance'!AF$5:AF$25,'COM balance'!$D$5:$D$25,'COM Assumptions'!$A25)*AF25,"")</f>
        <v>4.8954121318799997</v>
      </c>
      <c r="BM25" s="10">
        <f ca="1">IFERROR(SUMIFS('COM balance'!AG$5:AG$25,'COM balance'!$D$5:$D$25,'COM Assumptions'!$A25)*AG25,"")</f>
        <v>15.178680485169087</v>
      </c>
      <c r="BN25" s="10">
        <f ca="1">IFERROR(SUMIFS('COM balance'!AH$5:AH$25,'COM balance'!$D$5:$D$25,'COM Assumptions'!$A25)*AH25,"")</f>
        <v>0</v>
      </c>
    </row>
    <row r="26" spans="1:66" x14ac:dyDescent="0.45">
      <c r="A26" s="8" t="str">
        <f>VLOOKUP(C26,'COM balance'!$AM$5:$AN$25,2,FALSE)</f>
        <v>COMLPG</v>
      </c>
      <c r="B26" s="36"/>
      <c r="C26" s="20" t="s">
        <v>75</v>
      </c>
      <c r="D26" s="41" t="s">
        <v>86</v>
      </c>
      <c r="E26" s="25">
        <f ca="1">OFFSET('COM Assumptions T15'!$D26,0,MATCH(VLOOKUP('COM Assumptions'!E$2,'RES Assumptions T15'!$V$3:$W$35,2,FALSE),'COM Assumptions T15'!$E$2:$S$2,0))</f>
        <v>0.9</v>
      </c>
      <c r="F26" s="25">
        <f ca="1">OFFSET('COM Assumptions T15'!$D26,0,MATCH(VLOOKUP('COM Assumptions'!F$2,'RES Assumptions T15'!$V$3:$W$35,2,FALSE),'COM Assumptions T15'!$E$2:$S$2,0))</f>
        <v>0.9</v>
      </c>
      <c r="G26" s="25">
        <f ca="1">OFFSET('COM Assumptions T15'!$D26,0,MATCH(VLOOKUP('COM Assumptions'!G$2,'RES Assumptions T15'!$V$3:$W$35,2,FALSE),'COM Assumptions T15'!$E$2:$S$2,0))</f>
        <v>0.9</v>
      </c>
      <c r="H26" s="25">
        <f ca="1">OFFSET('COM Assumptions T15'!$D26,0,MATCH(VLOOKUP('COM Assumptions'!H$2,'RES Assumptions T15'!$V$3:$W$35,2,FALSE),'COM Assumptions T15'!$E$2:$S$2,0))</f>
        <v>7.193108603053619E-2</v>
      </c>
      <c r="I26" s="25">
        <f ca="1">OFFSET('COM Assumptions T15'!$D26,0,MATCH(VLOOKUP('COM Assumptions'!I$2,'RES Assumptions T15'!$V$3:$W$35,2,FALSE),'COM Assumptions T15'!$E$2:$S$2,0))</f>
        <v>0</v>
      </c>
      <c r="J26" s="25">
        <f ca="1">OFFSET('COM Assumptions T15'!$D26,0,MATCH(VLOOKUP('COM Assumptions'!J$2,'RES Assumptions T15'!$V$3:$W$35,2,FALSE),'COM Assumptions T15'!$E$2:$S$2,0))</f>
        <v>0.7</v>
      </c>
      <c r="K26" s="25">
        <f ca="1">OFFSET('COM Assumptions T15'!$D26,0,MATCH(VLOOKUP('COM Assumptions'!K$2,'RES Assumptions T15'!$V$3:$W$35,2,FALSE),'COM Assumptions T15'!$E$2:$S$2,0))</f>
        <v>0.4</v>
      </c>
      <c r="L26" s="25">
        <f ca="1">OFFSET('COM Assumptions T15'!$D26,0,MATCH(VLOOKUP('COM Assumptions'!L$2,'RES Assumptions T15'!$V$3:$W$35,2,FALSE),'COM Assumptions T15'!$E$2:$S$2,0))</f>
        <v>0.9</v>
      </c>
      <c r="M26" s="25">
        <f ca="1">OFFSET('COM Assumptions T15'!$D26,0,MATCH(VLOOKUP('COM Assumptions'!M$2,'RES Assumptions T15'!$V$3:$W$35,2,FALSE),'COM Assumptions T15'!$E$2:$S$2,0))</f>
        <v>0.7</v>
      </c>
      <c r="N26" s="25">
        <f ca="1">OFFSET('COM Assumptions T15'!$D26,0,MATCH(VLOOKUP('COM Assumptions'!N$2,'RES Assumptions T15'!$V$3:$W$35,2,FALSE),'COM Assumptions T15'!$E$2:$S$2,0))</f>
        <v>0.5</v>
      </c>
      <c r="O26" s="25">
        <f ca="1">OFFSET('COM Assumptions T15'!$D26,0,MATCH(VLOOKUP('COM Assumptions'!O$2,'RES Assumptions T15'!$V$3:$W$35,2,FALSE),'COM Assumptions T15'!$E$2:$S$2,0))</f>
        <v>0.5</v>
      </c>
      <c r="P26" s="1">
        <f ca="1">OFFSET('COM Assumptions T15'!$D26,0,MATCH(VLOOKUP('COM Assumptions'!P$2,'RES Assumptions T15'!$V$3:$W$35,2,FALSE),'COM Assumptions T15'!$E$2:$S$2,0))</f>
        <v>7.193108603053619E-2</v>
      </c>
      <c r="Q26" s="1">
        <f ca="1">OFFSET('COM Assumptions T15'!$D26,0,MATCH(VLOOKUP('COM Assumptions'!Q$2,'RES Assumptions T15'!$V$3:$W$35,2,FALSE),'COM Assumptions T15'!$E$2:$S$2,0))</f>
        <v>0.5</v>
      </c>
      <c r="R26" s="1">
        <f ca="1">OFFSET('COM Assumptions T15'!$D26,0,MATCH(VLOOKUP('COM Assumptions'!R$2,'RES Assumptions T15'!$V$3:$W$35,2,FALSE),'COM Assumptions T15'!$E$2:$S$2,0))</f>
        <v>0.5</v>
      </c>
      <c r="S26" s="1">
        <f ca="1">OFFSET('COM Assumptions T15'!$D26,0,MATCH(VLOOKUP('COM Assumptions'!S$2,'RES Assumptions T15'!$V$3:$W$35,2,FALSE),'COM Assumptions T15'!$E$2:$S$2,0))</f>
        <v>7.193108603053619E-2</v>
      </c>
      <c r="T26" s="1">
        <f ca="1">OFFSET('COM Assumptions T15'!$D26,0,MATCH(VLOOKUP('COM Assumptions'!T$2,'RES Assumptions T15'!$V$3:$W$35,2,FALSE),'COM Assumptions T15'!$E$2:$S$2,0))</f>
        <v>0.5</v>
      </c>
      <c r="U26" s="1">
        <f ca="1">OFFSET('COM Assumptions T15'!$D26,0,MATCH(VLOOKUP('COM Assumptions'!U$2,'RES Assumptions T15'!$V$3:$W$35,2,FALSE),'COM Assumptions T15'!$E$2:$S$2,0))</f>
        <v>0.85</v>
      </c>
      <c r="V26" s="1">
        <f ca="1">OFFSET('COM Assumptions T15'!$D26,0,MATCH(VLOOKUP('COM Assumptions'!V$2,'RES Assumptions T15'!$V$3:$W$35,2,FALSE),'COM Assumptions T15'!$E$2:$S$2,0))</f>
        <v>0.5</v>
      </c>
      <c r="W26" s="1">
        <f ca="1">OFFSET('COM Assumptions T15'!$D26,0,MATCH(VLOOKUP('COM Assumptions'!W$2,'RES Assumptions T15'!$V$3:$W$35,2,FALSE),'COM Assumptions T15'!$E$2:$S$2,0))</f>
        <v>0.5</v>
      </c>
      <c r="X26" s="1">
        <f ca="1">OFFSET('COM Assumptions T15'!$D26,0,MATCH(VLOOKUP('COM Assumptions'!X$2,'RES Assumptions T15'!$V$3:$W$35,2,FALSE),'COM Assumptions T15'!$E$2:$S$2,0))</f>
        <v>0.9</v>
      </c>
      <c r="Y26" s="1">
        <f ca="1">OFFSET('COM Assumptions T15'!$D26,0,MATCH(VLOOKUP('COM Assumptions'!Y$2,'RES Assumptions T15'!$V$3:$W$35,2,FALSE),'COM Assumptions T15'!$E$2:$S$2,0))</f>
        <v>0.9</v>
      </c>
      <c r="Z26" s="1">
        <f ca="1">OFFSET('COM Assumptions T15'!$D26,0,MATCH(VLOOKUP('COM Assumptions'!Z$2,'RES Assumptions T15'!$V$3:$W$35,2,FALSE),'COM Assumptions T15'!$E$2:$S$2,0))</f>
        <v>0.9</v>
      </c>
      <c r="AA26" s="1">
        <f ca="1">OFFSET('COM Assumptions T15'!$D26,0,MATCH(VLOOKUP('COM Assumptions'!AA$2,'RES Assumptions T15'!$V$3:$W$35,2,FALSE),'COM Assumptions T15'!$E$2:$S$2,0))</f>
        <v>0.85</v>
      </c>
      <c r="AB26" s="1">
        <f ca="1">OFFSET('COM Assumptions T15'!$D26,0,MATCH(VLOOKUP('COM Assumptions'!AB$2,'RES Assumptions T15'!$V$3:$W$35,2,FALSE),'COM Assumptions T15'!$E$2:$S$2,0))</f>
        <v>0.5</v>
      </c>
      <c r="AC26" s="1">
        <f ca="1">OFFSET('COM Assumptions T15'!$D26,0,MATCH(VLOOKUP('COM Assumptions'!AC$2,'RES Assumptions T15'!$V$3:$W$35,2,FALSE),'COM Assumptions T15'!$E$2:$S$2,0))</f>
        <v>7.193108603053619E-2</v>
      </c>
      <c r="AD26" s="1">
        <f ca="1">OFFSET('COM Assumptions T15'!$D26,0,MATCH(VLOOKUP('COM Assumptions'!AD$2,'RES Assumptions T15'!$V$3:$W$35,2,FALSE),'COM Assumptions T15'!$E$2:$S$2,0))</f>
        <v>0.85</v>
      </c>
      <c r="AE26" s="1">
        <f ca="1">OFFSET('COM Assumptions T15'!$D26,0,MATCH(VLOOKUP('COM Assumptions'!AE$2,'RES Assumptions T15'!$V$3:$W$35,2,FALSE),'COM Assumptions T15'!$E$2:$S$2,0))</f>
        <v>0.9</v>
      </c>
      <c r="AF26" s="1">
        <f ca="1">OFFSET('COM Assumptions T15'!$D26,0,MATCH(VLOOKUP('COM Assumptions'!AF$2,'RES Assumptions T15'!$V$3:$W$35,2,FALSE),'COM Assumptions T15'!$E$2:$S$2,0))</f>
        <v>0.5</v>
      </c>
      <c r="AG26" s="1">
        <f ca="1">OFFSET('COM Assumptions T15'!$D26,0,MATCH(VLOOKUP('COM Assumptions'!AG$2,'RES Assumptions T15'!$V$3:$W$35,2,FALSE),'COM Assumptions T15'!$E$2:$S$2,0))</f>
        <v>7.193108603053619E-2</v>
      </c>
      <c r="AH26" s="1">
        <f ca="1">OFFSET('COM Assumptions T15'!$D26,0,MATCH(VLOOKUP('COM Assumptions'!AH$2,'RES Assumptions T15'!$V$3:$W$35,2,FALSE),'COM Assumptions T15'!$E$2:$S$2,0))</f>
        <v>7.193108603053619E-2</v>
      </c>
      <c r="AI26" s="1"/>
      <c r="AK26" s="10">
        <f ca="1">IFERROR(SUMIFS('COM balance'!E$5:E$25,'COM balance'!$D$5:$D$25,'COM Assumptions'!$A26)*E26,"")</f>
        <v>5.7304250117999995</v>
      </c>
      <c r="AL26" s="10">
        <f ca="1">IFERROR(SUMIFS('COM balance'!F$5:F$25,'COM balance'!$D$5:$D$25,'COM Assumptions'!$A26)*F26,"")</f>
        <v>13.960206338400001</v>
      </c>
      <c r="AM26" s="10">
        <f ca="1">IFERROR(SUMIFS('COM balance'!G$5:G$25,'COM balance'!$D$5:$D$25,'COM Assumptions'!$A26)*G26,"")</f>
        <v>15.759754943040001</v>
      </c>
      <c r="AN26" s="10">
        <f ca="1">IFERROR(SUMIFS('COM balance'!H$5:H$25,'COM balance'!$D$5:$D$25,'COM Assumptions'!$A26)*H26,"")</f>
        <v>0.13286353085089792</v>
      </c>
      <c r="AO26" s="10">
        <f ca="1">IFERROR(SUMIFS('COM balance'!I$5:I$25,'COM balance'!$D$5:$D$25,'COM Assumptions'!$A26)*I26,"")</f>
        <v>0</v>
      </c>
      <c r="AP26" s="10">
        <f ca="1">IFERROR(SUMIFS('COM balance'!J$5:J$25,'COM balance'!$D$5:$D$25,'COM Assumptions'!$A26)*J26,"")</f>
        <v>96.636224971440001</v>
      </c>
      <c r="AQ26" s="10">
        <f ca="1">IFERROR(SUMIFS('COM balance'!K$5:K$25,'COM balance'!$D$5:$D$25,'COM Assumptions'!$A26)*K26,"")</f>
        <v>0.90859086575999992</v>
      </c>
      <c r="AR26" s="10">
        <f ca="1">IFERROR(SUMIFS('COM balance'!L$5:L$25,'COM balance'!$D$5:$D$25,'COM Assumptions'!$A26)*L26,"")</f>
        <v>24.582928502879998</v>
      </c>
      <c r="AS26" s="10">
        <f ca="1">IFERROR(SUMIFS('COM balance'!M$5:M$25,'COM balance'!$D$5:$D$25,'COM Assumptions'!$A26)*M26,"")</f>
        <v>25.196710870799997</v>
      </c>
      <c r="AT26" s="10">
        <f ca="1">IFERROR(SUMIFS('COM balance'!N$5:N$25,'COM balance'!$D$5:$D$25,'COM Assumptions'!$A26)*N26,"")</f>
        <v>42.506229511800001</v>
      </c>
      <c r="AU26" s="10">
        <f ca="1">IFERROR(SUMIFS('COM balance'!O$5:O$25,'COM balance'!$D$5:$D$25,'COM Assumptions'!$A26)*O26,"")</f>
        <v>0.45224976239999998</v>
      </c>
      <c r="AV26" s="10">
        <f ca="1">IFERROR(SUMIFS('COM balance'!P$5:P$25,'COM balance'!$D$5:$D$25,'COM Assumptions'!$A26)*P26,"")</f>
        <v>0.33197496829340373</v>
      </c>
      <c r="AW26" s="10">
        <f ca="1">IFERROR(SUMIFS('COM balance'!Q$5:Q$25,'COM balance'!$D$5:$D$25,'COM Assumptions'!$A26)*Q26,"")</f>
        <v>4.2408097199999997</v>
      </c>
      <c r="AX26" s="10">
        <f ca="1">IFERROR(SUMIFS('COM balance'!R$5:R$25,'COM balance'!$D$5:$D$25,'COM Assumptions'!$A26)*R26,"")</f>
        <v>11.1621071898</v>
      </c>
      <c r="AY26" s="10">
        <f ca="1">IFERROR(SUMIFS('COM balance'!S$5:S$25,'COM balance'!$D$5:$D$25,'COM Assumptions'!$A26)*S26,"")</f>
        <v>0.19878979741868572</v>
      </c>
      <c r="AZ26" s="10">
        <f ca="1">IFERROR(SUMIFS('COM balance'!T$5:T$25,'COM balance'!$D$5:$D$25,'COM Assumptions'!$A26)*T26,"")</f>
        <v>5.7267699354000001</v>
      </c>
      <c r="BA26" s="10">
        <f ca="1">IFERROR(SUMIFS('COM balance'!U$5:U$25,'COM balance'!$D$5:$D$25,'COM Assumptions'!$A26)*U26,"")</f>
        <v>24.757062329699998</v>
      </c>
      <c r="BB26" s="10">
        <f ca="1">IFERROR(SUMIFS('COM balance'!V$5:V$25,'COM balance'!$D$5:$D$25,'COM Assumptions'!$A26)*V26,"")</f>
        <v>6.8868212652</v>
      </c>
      <c r="BC26" s="10">
        <f ca="1">IFERROR(SUMIFS('COM balance'!W$5:W$25,'COM balance'!$D$5:$D$25,'COM Assumptions'!$A26)*W26,"")</f>
        <v>4.1630001353999999</v>
      </c>
      <c r="BD26" s="10">
        <f ca="1">IFERROR(SUMIFS('COM balance'!X$5:X$25,'COM balance'!$D$5:$D$25,'COM Assumptions'!$A26)*X26,"")</f>
        <v>111.29500768212</v>
      </c>
      <c r="BE26" s="10">
        <f ca="1">IFERROR(SUMIFS('COM balance'!Y$5:Y$25,'COM balance'!$D$5:$D$25,'COM Assumptions'!$A26)*Y26,"")</f>
        <v>24.402672946439999</v>
      </c>
      <c r="BF26" s="10">
        <f ca="1">IFERROR(SUMIFS('COM balance'!Z$5:Z$25,'COM balance'!$D$5:$D$25,'COM Assumptions'!$A26)*Z26,"")</f>
        <v>54.463973146199997</v>
      </c>
      <c r="BG26" s="10">
        <f ca="1">IFERROR(SUMIFS('COM balance'!AA$5:AA$25,'COM balance'!$D$5:$D$25,'COM Assumptions'!$A26)*AA26,"")</f>
        <v>9.4645932038999998</v>
      </c>
      <c r="BH26" s="10">
        <f ca="1">IFERROR(SUMIFS('COM balance'!AB$5:AB$25,'COM balance'!$D$5:$D$25,'COM Assumptions'!$A26)*AB26,"")</f>
        <v>0.61626137219999999</v>
      </c>
      <c r="BI26" s="10">
        <f ca="1">IFERROR(SUMIFS('COM balance'!AC$5:AC$25,'COM balance'!$D$5:$D$25,'COM Assumptions'!$A26)*AC26,"")</f>
        <v>7.0875246447409987E-2</v>
      </c>
      <c r="BJ26" s="10">
        <f ca="1">IFERROR(SUMIFS('COM balance'!AD$5:AD$25,'COM balance'!$D$5:$D$25,'COM Assumptions'!$A26)*AD26,"")</f>
        <v>0</v>
      </c>
      <c r="BK26" s="10">
        <f ca="1">IFERROR(SUMIFS('COM balance'!AE$5:AE$25,'COM balance'!$D$5:$D$25,'COM Assumptions'!$A26)*AE26,"")</f>
        <v>1.3561087068</v>
      </c>
      <c r="BL26" s="10">
        <f ca="1">IFERROR(SUMIFS('COM balance'!AF$5:AF$25,'COM balance'!$D$5:$D$25,'COM Assumptions'!$A26)*AF26,"")</f>
        <v>8.1590202198000004</v>
      </c>
      <c r="BM26" s="10">
        <f ca="1">IFERROR(SUMIFS('COM balance'!AG$5:AG$25,'COM balance'!$D$5:$D$25,'COM Assumptions'!$A26)*AG26,"")</f>
        <v>4.9844286458055311</v>
      </c>
      <c r="BN26" s="10">
        <f ca="1">IFERROR(SUMIFS('COM balance'!AH$5:AH$25,'COM balance'!$D$5:$D$25,'COM Assumptions'!$A26)*AH26,"")</f>
        <v>0</v>
      </c>
    </row>
    <row r="27" spans="1:66" x14ac:dyDescent="0.45">
      <c r="A27" s="8" t="str">
        <f>VLOOKUP(C27,'COM balance'!$AM$5:$AN$25,2,FALSE)</f>
        <v>COMLPG</v>
      </c>
      <c r="B27" s="36"/>
      <c r="C27" s="22" t="s">
        <v>75</v>
      </c>
      <c r="D27" s="42" t="s">
        <v>89</v>
      </c>
      <c r="E27" s="26">
        <f ca="1">OFFSET('COM Assumptions T15'!$D27,0,MATCH(VLOOKUP('COM Assumptions'!E$2,'RES Assumptions T15'!$V$3:$W$35,2,FALSE),'COM Assumptions T15'!$E$2:$S$2,0))</f>
        <v>0</v>
      </c>
      <c r="F27" s="26">
        <f ca="1">OFFSET('COM Assumptions T15'!$D27,0,MATCH(VLOOKUP('COM Assumptions'!F$2,'RES Assumptions T15'!$V$3:$W$35,2,FALSE),'COM Assumptions T15'!$E$2:$S$2,0))</f>
        <v>0</v>
      </c>
      <c r="G27" s="26">
        <f ca="1">OFFSET('COM Assumptions T15'!$D27,0,MATCH(VLOOKUP('COM Assumptions'!G$2,'RES Assumptions T15'!$V$3:$W$35,2,FALSE),'COM Assumptions T15'!$E$2:$S$2,0))</f>
        <v>0</v>
      </c>
      <c r="H27" s="26">
        <f ca="1">OFFSET('COM Assumptions T15'!$D27,0,MATCH(VLOOKUP('COM Assumptions'!H$2,'RES Assumptions T15'!$V$3:$W$35,2,FALSE),'COM Assumptions T15'!$E$2:$S$2,0))</f>
        <v>0</v>
      </c>
      <c r="I27" s="26">
        <f ca="1">OFFSET('COM Assumptions T15'!$D27,0,MATCH(VLOOKUP('COM Assumptions'!I$2,'RES Assumptions T15'!$V$3:$W$35,2,FALSE),'COM Assumptions T15'!$E$2:$S$2,0))</f>
        <v>0</v>
      </c>
      <c r="J27" s="26">
        <f ca="1">OFFSET('COM Assumptions T15'!$D27,0,MATCH(VLOOKUP('COM Assumptions'!J$2,'RES Assumptions T15'!$V$3:$W$35,2,FALSE),'COM Assumptions T15'!$E$2:$S$2,0))</f>
        <v>0</v>
      </c>
      <c r="K27" s="26">
        <f ca="1">OFFSET('COM Assumptions T15'!$D27,0,MATCH(VLOOKUP('COM Assumptions'!K$2,'RES Assumptions T15'!$V$3:$W$35,2,FALSE),'COM Assumptions T15'!$E$2:$S$2,0))</f>
        <v>0</v>
      </c>
      <c r="L27" s="26">
        <f ca="1">OFFSET('COM Assumptions T15'!$D27,0,MATCH(VLOOKUP('COM Assumptions'!L$2,'RES Assumptions T15'!$V$3:$W$35,2,FALSE),'COM Assumptions T15'!$E$2:$S$2,0))</f>
        <v>0</v>
      </c>
      <c r="M27" s="26">
        <f ca="1">OFFSET('COM Assumptions T15'!$D27,0,MATCH(VLOOKUP('COM Assumptions'!M$2,'RES Assumptions T15'!$V$3:$W$35,2,FALSE),'COM Assumptions T15'!$E$2:$S$2,0))</f>
        <v>0</v>
      </c>
      <c r="N27" s="26">
        <f ca="1">OFFSET('COM Assumptions T15'!$D27,0,MATCH(VLOOKUP('COM Assumptions'!N$2,'RES Assumptions T15'!$V$3:$W$35,2,FALSE),'COM Assumptions T15'!$E$2:$S$2,0))</f>
        <v>0</v>
      </c>
      <c r="O27" s="26">
        <f ca="1">OFFSET('COM Assumptions T15'!$D27,0,MATCH(VLOOKUP('COM Assumptions'!O$2,'RES Assumptions T15'!$V$3:$W$35,2,FALSE),'COM Assumptions T15'!$E$2:$S$2,0))</f>
        <v>0</v>
      </c>
      <c r="P27" s="1">
        <f ca="1">OFFSET('COM Assumptions T15'!$D27,0,MATCH(VLOOKUP('COM Assumptions'!P$2,'RES Assumptions T15'!$V$3:$W$35,2,FALSE),'COM Assumptions T15'!$E$2:$S$2,0))</f>
        <v>0</v>
      </c>
      <c r="Q27" s="1">
        <f ca="1">OFFSET('COM Assumptions T15'!$D27,0,MATCH(VLOOKUP('COM Assumptions'!Q$2,'RES Assumptions T15'!$V$3:$W$35,2,FALSE),'COM Assumptions T15'!$E$2:$S$2,0))</f>
        <v>0</v>
      </c>
      <c r="R27" s="1">
        <f ca="1">OFFSET('COM Assumptions T15'!$D27,0,MATCH(VLOOKUP('COM Assumptions'!R$2,'RES Assumptions T15'!$V$3:$W$35,2,FALSE),'COM Assumptions T15'!$E$2:$S$2,0))</f>
        <v>0</v>
      </c>
      <c r="S27" s="1">
        <f ca="1">OFFSET('COM Assumptions T15'!$D27,0,MATCH(VLOOKUP('COM Assumptions'!S$2,'RES Assumptions T15'!$V$3:$W$35,2,FALSE),'COM Assumptions T15'!$E$2:$S$2,0))</f>
        <v>0</v>
      </c>
      <c r="T27" s="1">
        <f ca="1">OFFSET('COM Assumptions T15'!$D27,0,MATCH(VLOOKUP('COM Assumptions'!T$2,'RES Assumptions T15'!$V$3:$W$35,2,FALSE),'COM Assumptions T15'!$E$2:$S$2,0))</f>
        <v>0</v>
      </c>
      <c r="U27" s="1">
        <f ca="1">OFFSET('COM Assumptions T15'!$D27,0,MATCH(VLOOKUP('COM Assumptions'!U$2,'RES Assumptions T15'!$V$3:$W$35,2,FALSE),'COM Assumptions T15'!$E$2:$S$2,0))</f>
        <v>0</v>
      </c>
      <c r="V27" s="1">
        <f ca="1">OFFSET('COM Assumptions T15'!$D27,0,MATCH(VLOOKUP('COM Assumptions'!V$2,'RES Assumptions T15'!$V$3:$W$35,2,FALSE),'COM Assumptions T15'!$E$2:$S$2,0))</f>
        <v>0</v>
      </c>
      <c r="W27" s="1">
        <f ca="1">OFFSET('COM Assumptions T15'!$D27,0,MATCH(VLOOKUP('COM Assumptions'!W$2,'RES Assumptions T15'!$V$3:$W$35,2,FALSE),'COM Assumptions T15'!$E$2:$S$2,0))</f>
        <v>0</v>
      </c>
      <c r="X27" s="1">
        <f ca="1">OFFSET('COM Assumptions T15'!$D27,0,MATCH(VLOOKUP('COM Assumptions'!X$2,'RES Assumptions T15'!$V$3:$W$35,2,FALSE),'COM Assumptions T15'!$E$2:$S$2,0))</f>
        <v>0</v>
      </c>
      <c r="Y27" s="1">
        <f ca="1">OFFSET('COM Assumptions T15'!$D27,0,MATCH(VLOOKUP('COM Assumptions'!Y$2,'RES Assumptions T15'!$V$3:$W$35,2,FALSE),'COM Assumptions T15'!$E$2:$S$2,0))</f>
        <v>0</v>
      </c>
      <c r="Z27" s="1">
        <f ca="1">OFFSET('COM Assumptions T15'!$D27,0,MATCH(VLOOKUP('COM Assumptions'!Z$2,'RES Assumptions T15'!$V$3:$W$35,2,FALSE),'COM Assumptions T15'!$E$2:$S$2,0))</f>
        <v>0</v>
      </c>
      <c r="AA27" s="1">
        <f ca="1">OFFSET('COM Assumptions T15'!$D27,0,MATCH(VLOOKUP('COM Assumptions'!AA$2,'RES Assumptions T15'!$V$3:$W$35,2,FALSE),'COM Assumptions T15'!$E$2:$S$2,0))</f>
        <v>0</v>
      </c>
      <c r="AB27" s="1">
        <f ca="1">OFFSET('COM Assumptions T15'!$D27,0,MATCH(VLOOKUP('COM Assumptions'!AB$2,'RES Assumptions T15'!$V$3:$W$35,2,FALSE),'COM Assumptions T15'!$E$2:$S$2,0))</f>
        <v>0</v>
      </c>
      <c r="AC27" s="1">
        <f ca="1">OFFSET('COM Assumptions T15'!$D27,0,MATCH(VLOOKUP('COM Assumptions'!AC$2,'RES Assumptions T15'!$V$3:$W$35,2,FALSE),'COM Assumptions T15'!$E$2:$S$2,0))</f>
        <v>0</v>
      </c>
      <c r="AD27" s="1">
        <f ca="1">OFFSET('COM Assumptions T15'!$D27,0,MATCH(VLOOKUP('COM Assumptions'!AD$2,'RES Assumptions T15'!$V$3:$W$35,2,FALSE),'COM Assumptions T15'!$E$2:$S$2,0))</f>
        <v>0</v>
      </c>
      <c r="AE27" s="1">
        <f ca="1">OFFSET('COM Assumptions T15'!$D27,0,MATCH(VLOOKUP('COM Assumptions'!AE$2,'RES Assumptions T15'!$V$3:$W$35,2,FALSE),'COM Assumptions T15'!$E$2:$S$2,0))</f>
        <v>0</v>
      </c>
      <c r="AF27" s="1">
        <f ca="1">OFFSET('COM Assumptions T15'!$D27,0,MATCH(VLOOKUP('COM Assumptions'!AF$2,'RES Assumptions T15'!$V$3:$W$35,2,FALSE),'COM Assumptions T15'!$E$2:$S$2,0))</f>
        <v>0</v>
      </c>
      <c r="AG27" s="1">
        <f ca="1">OFFSET('COM Assumptions T15'!$D27,0,MATCH(VLOOKUP('COM Assumptions'!AG$2,'RES Assumptions T15'!$V$3:$W$35,2,FALSE),'COM Assumptions T15'!$E$2:$S$2,0))</f>
        <v>0</v>
      </c>
      <c r="AH27" s="1">
        <f ca="1">OFFSET('COM Assumptions T15'!$D27,0,MATCH(VLOOKUP('COM Assumptions'!AH$2,'RES Assumptions T15'!$V$3:$W$35,2,FALSE),'COM Assumptions T15'!$E$2:$S$2,0))</f>
        <v>0</v>
      </c>
      <c r="AI27" s="1"/>
      <c r="AK27" s="10">
        <f ca="1">IFERROR(SUMIFS('COM balance'!E$5:E$25,'COM balance'!$D$5:$D$25,'COM Assumptions'!$A27)*E27,"")</f>
        <v>0</v>
      </c>
      <c r="AL27" s="10">
        <f ca="1">IFERROR(SUMIFS('COM balance'!F$5:F$25,'COM balance'!$D$5:$D$25,'COM Assumptions'!$A27)*F27,"")</f>
        <v>0</v>
      </c>
      <c r="AM27" s="10">
        <f ca="1">IFERROR(SUMIFS('COM balance'!G$5:G$25,'COM balance'!$D$5:$D$25,'COM Assumptions'!$A27)*G27,"")</f>
        <v>0</v>
      </c>
      <c r="AN27" s="10">
        <f ca="1">IFERROR(SUMIFS('COM balance'!H$5:H$25,'COM balance'!$D$5:$D$25,'COM Assumptions'!$A27)*H27,"")</f>
        <v>0</v>
      </c>
      <c r="AO27" s="10">
        <f ca="1">IFERROR(SUMIFS('COM balance'!I$5:I$25,'COM balance'!$D$5:$D$25,'COM Assumptions'!$A27)*I27,"")</f>
        <v>0</v>
      </c>
      <c r="AP27" s="10">
        <f ca="1">IFERROR(SUMIFS('COM balance'!J$5:J$25,'COM balance'!$D$5:$D$25,'COM Assumptions'!$A27)*J27,"")</f>
        <v>0</v>
      </c>
      <c r="AQ27" s="10">
        <f ca="1">IFERROR(SUMIFS('COM balance'!K$5:K$25,'COM balance'!$D$5:$D$25,'COM Assumptions'!$A27)*K27,"")</f>
        <v>0</v>
      </c>
      <c r="AR27" s="10">
        <f ca="1">IFERROR(SUMIFS('COM balance'!L$5:L$25,'COM balance'!$D$5:$D$25,'COM Assumptions'!$A27)*L27,"")</f>
        <v>0</v>
      </c>
      <c r="AS27" s="10">
        <f ca="1">IFERROR(SUMIFS('COM balance'!M$5:M$25,'COM balance'!$D$5:$D$25,'COM Assumptions'!$A27)*M27,"")</f>
        <v>0</v>
      </c>
      <c r="AT27" s="10">
        <f ca="1">IFERROR(SUMIFS('COM balance'!N$5:N$25,'COM balance'!$D$5:$D$25,'COM Assumptions'!$A27)*N27,"")</f>
        <v>0</v>
      </c>
      <c r="AU27" s="10">
        <f ca="1">IFERROR(SUMIFS('COM balance'!O$5:O$25,'COM balance'!$D$5:$D$25,'COM Assumptions'!$A27)*O27,"")</f>
        <v>0</v>
      </c>
      <c r="AV27" s="10">
        <f ca="1">IFERROR(SUMIFS('COM balance'!P$5:P$25,'COM balance'!$D$5:$D$25,'COM Assumptions'!$A27)*P27,"")</f>
        <v>0</v>
      </c>
      <c r="AW27" s="10">
        <f ca="1">IFERROR(SUMIFS('COM balance'!Q$5:Q$25,'COM balance'!$D$5:$D$25,'COM Assumptions'!$A27)*Q27,"")</f>
        <v>0</v>
      </c>
      <c r="AX27" s="10">
        <f ca="1">IFERROR(SUMIFS('COM balance'!R$5:R$25,'COM balance'!$D$5:$D$25,'COM Assumptions'!$A27)*R27,"")</f>
        <v>0</v>
      </c>
      <c r="AY27" s="10">
        <f ca="1">IFERROR(SUMIFS('COM balance'!S$5:S$25,'COM balance'!$D$5:$D$25,'COM Assumptions'!$A27)*S27,"")</f>
        <v>0</v>
      </c>
      <c r="AZ27" s="10">
        <f ca="1">IFERROR(SUMIFS('COM balance'!T$5:T$25,'COM balance'!$D$5:$D$25,'COM Assumptions'!$A27)*T27,"")</f>
        <v>0</v>
      </c>
      <c r="BA27" s="10">
        <f ca="1">IFERROR(SUMIFS('COM balance'!U$5:U$25,'COM balance'!$D$5:$D$25,'COM Assumptions'!$A27)*U27,"")</f>
        <v>0</v>
      </c>
      <c r="BB27" s="10">
        <f ca="1">IFERROR(SUMIFS('COM balance'!V$5:V$25,'COM balance'!$D$5:$D$25,'COM Assumptions'!$A27)*V27,"")</f>
        <v>0</v>
      </c>
      <c r="BC27" s="10">
        <f ca="1">IFERROR(SUMIFS('COM balance'!W$5:W$25,'COM balance'!$D$5:$D$25,'COM Assumptions'!$A27)*W27,"")</f>
        <v>0</v>
      </c>
      <c r="BD27" s="10">
        <f ca="1">IFERROR(SUMIFS('COM balance'!X$5:X$25,'COM balance'!$D$5:$D$25,'COM Assumptions'!$A27)*X27,"")</f>
        <v>0</v>
      </c>
      <c r="BE27" s="10">
        <f ca="1">IFERROR(SUMIFS('COM balance'!Y$5:Y$25,'COM balance'!$D$5:$D$25,'COM Assumptions'!$A27)*Y27,"")</f>
        <v>0</v>
      </c>
      <c r="BF27" s="10">
        <f ca="1">IFERROR(SUMIFS('COM balance'!Z$5:Z$25,'COM balance'!$D$5:$D$25,'COM Assumptions'!$A27)*Z27,"")</f>
        <v>0</v>
      </c>
      <c r="BG27" s="10">
        <f ca="1">IFERROR(SUMIFS('COM balance'!AA$5:AA$25,'COM balance'!$D$5:$D$25,'COM Assumptions'!$A27)*AA27,"")</f>
        <v>0</v>
      </c>
      <c r="BH27" s="10">
        <f ca="1">IFERROR(SUMIFS('COM balance'!AB$5:AB$25,'COM balance'!$D$5:$D$25,'COM Assumptions'!$A27)*AB27,"")</f>
        <v>0</v>
      </c>
      <c r="BI27" s="10">
        <f ca="1">IFERROR(SUMIFS('COM balance'!AC$5:AC$25,'COM balance'!$D$5:$D$25,'COM Assumptions'!$A27)*AC27,"")</f>
        <v>0</v>
      </c>
      <c r="BJ27" s="10">
        <f ca="1">IFERROR(SUMIFS('COM balance'!AD$5:AD$25,'COM balance'!$D$5:$D$25,'COM Assumptions'!$A27)*AD27,"")</f>
        <v>0</v>
      </c>
      <c r="BK27" s="10">
        <f ca="1">IFERROR(SUMIFS('COM balance'!AE$5:AE$25,'COM balance'!$D$5:$D$25,'COM Assumptions'!$A27)*AE27,"")</f>
        <v>0</v>
      </c>
      <c r="BL27" s="10">
        <f ca="1">IFERROR(SUMIFS('COM balance'!AF$5:AF$25,'COM balance'!$D$5:$D$25,'COM Assumptions'!$A27)*AF27,"")</f>
        <v>0</v>
      </c>
      <c r="BM27" s="10">
        <f ca="1">IFERROR(SUMIFS('COM balance'!AG$5:AG$25,'COM balance'!$D$5:$D$25,'COM Assumptions'!$A27)*AG27,"")</f>
        <v>0</v>
      </c>
      <c r="BN27" s="10">
        <f ca="1">IFERROR(SUMIFS('COM balance'!AH$5:AH$25,'COM balance'!$D$5:$D$25,'COM Assumptions'!$A27)*AH27,"")</f>
        <v>0</v>
      </c>
    </row>
    <row r="28" spans="1:66" x14ac:dyDescent="0.45">
      <c r="A28" s="8">
        <f>VLOOKUP(C28,'COM balance'!$AM$5:$AN$25,2,FALSE)</f>
        <v>0</v>
      </c>
      <c r="B28" s="36"/>
      <c r="C28" s="20" t="s">
        <v>76</v>
      </c>
      <c r="D28" s="41" t="s">
        <v>82</v>
      </c>
      <c r="E28" s="14">
        <f ca="1">OFFSET('COM Assumptions T15'!$D28,0,MATCH(VLOOKUP('COM Assumptions'!E$2,'RES Assumptions T15'!$V$3:$W$35,2,FALSE),'COM Assumptions T15'!$E$2:$S$2,0))</f>
        <v>0.1</v>
      </c>
      <c r="F28" s="14">
        <f ca="1">OFFSET('COM Assumptions T15'!$D28,0,MATCH(VLOOKUP('COM Assumptions'!F$2,'RES Assumptions T15'!$V$3:$W$35,2,FALSE),'COM Assumptions T15'!$E$2:$S$2,0))</f>
        <v>0.1</v>
      </c>
      <c r="G28" s="14">
        <f ca="1">OFFSET('COM Assumptions T15'!$D28,0,MATCH(VLOOKUP('COM Assumptions'!G$2,'RES Assumptions T15'!$V$3:$W$35,2,FALSE),'COM Assumptions T15'!$E$2:$S$2,0))</f>
        <v>0.1</v>
      </c>
      <c r="H28" s="14">
        <f ca="1">OFFSET('COM Assumptions T15'!$D28,0,MATCH(VLOOKUP('COM Assumptions'!H$2,'RES Assumptions T15'!$V$3:$W$35,2,FALSE),'COM Assumptions T15'!$E$2:$S$2,0))</f>
        <v>1</v>
      </c>
      <c r="I28" s="14">
        <f ca="1">OFFSET('COM Assumptions T15'!$D28,0,MATCH(VLOOKUP('COM Assumptions'!I$2,'RES Assumptions T15'!$V$3:$W$35,2,FALSE),'COM Assumptions T15'!$E$2:$S$2,0))</f>
        <v>1</v>
      </c>
      <c r="J28" s="14">
        <f ca="1">OFFSET('COM Assumptions T15'!$D28,0,MATCH(VLOOKUP('COM Assumptions'!J$2,'RES Assumptions T15'!$V$3:$W$35,2,FALSE),'COM Assumptions T15'!$E$2:$S$2,0))</f>
        <v>0.2</v>
      </c>
      <c r="K28" s="14">
        <f ca="1">OFFSET('COM Assumptions T15'!$D28,0,MATCH(VLOOKUP('COM Assumptions'!K$2,'RES Assumptions T15'!$V$3:$W$35,2,FALSE),'COM Assumptions T15'!$E$2:$S$2,0))</f>
        <v>0.85</v>
      </c>
      <c r="L28" s="14">
        <f ca="1">OFFSET('COM Assumptions T15'!$D28,0,MATCH(VLOOKUP('COM Assumptions'!L$2,'RES Assumptions T15'!$V$3:$W$35,2,FALSE),'COM Assumptions T15'!$E$2:$S$2,0))</f>
        <v>0.1</v>
      </c>
      <c r="M28" s="14">
        <f ca="1">OFFSET('COM Assumptions T15'!$D28,0,MATCH(VLOOKUP('COM Assumptions'!M$2,'RES Assumptions T15'!$V$3:$W$35,2,FALSE),'COM Assumptions T15'!$E$2:$S$2,0))</f>
        <v>1</v>
      </c>
      <c r="N28" s="14">
        <f ca="1">OFFSET('COM Assumptions T15'!$D28,0,MATCH(VLOOKUP('COM Assumptions'!N$2,'RES Assumptions T15'!$V$3:$W$35,2,FALSE),'COM Assumptions T15'!$E$2:$S$2,0))</f>
        <v>0.3</v>
      </c>
      <c r="O28" s="14">
        <f ca="1">OFFSET('COM Assumptions T15'!$D28,0,MATCH(VLOOKUP('COM Assumptions'!O$2,'RES Assumptions T15'!$V$3:$W$35,2,FALSE),'COM Assumptions T15'!$E$2:$S$2,0))</f>
        <v>0.8</v>
      </c>
      <c r="P28" s="1">
        <f ca="1">OFFSET('COM Assumptions T15'!$D28,0,MATCH(VLOOKUP('COM Assumptions'!P$2,'RES Assumptions T15'!$V$3:$W$35,2,FALSE),'COM Assumptions T15'!$E$2:$S$2,0))</f>
        <v>1</v>
      </c>
      <c r="Q28" s="1">
        <f ca="1">OFFSET('COM Assumptions T15'!$D28,0,MATCH(VLOOKUP('COM Assumptions'!Q$2,'RES Assumptions T15'!$V$3:$W$35,2,FALSE),'COM Assumptions T15'!$E$2:$S$2,0))</f>
        <v>0.8</v>
      </c>
      <c r="R28" s="1">
        <f ca="1">OFFSET('COM Assumptions T15'!$D28,0,MATCH(VLOOKUP('COM Assumptions'!R$2,'RES Assumptions T15'!$V$3:$W$35,2,FALSE),'COM Assumptions T15'!$E$2:$S$2,0))</f>
        <v>0.8</v>
      </c>
      <c r="S28" s="1">
        <f ca="1">OFFSET('COM Assumptions T15'!$D28,0,MATCH(VLOOKUP('COM Assumptions'!S$2,'RES Assumptions T15'!$V$3:$W$35,2,FALSE),'COM Assumptions T15'!$E$2:$S$2,0))</f>
        <v>1</v>
      </c>
      <c r="T28" s="1">
        <f ca="1">OFFSET('COM Assumptions T15'!$D28,0,MATCH(VLOOKUP('COM Assumptions'!T$2,'RES Assumptions T15'!$V$3:$W$35,2,FALSE),'COM Assumptions T15'!$E$2:$S$2,0))</f>
        <v>0.8</v>
      </c>
      <c r="U28" s="1">
        <f ca="1">OFFSET('COM Assumptions T15'!$D28,0,MATCH(VLOOKUP('COM Assumptions'!U$2,'RES Assumptions T15'!$V$3:$W$35,2,FALSE),'COM Assumptions T15'!$E$2:$S$2,0))</f>
        <v>1</v>
      </c>
      <c r="V28" s="1">
        <f ca="1">OFFSET('COM Assumptions T15'!$D28,0,MATCH(VLOOKUP('COM Assumptions'!V$2,'RES Assumptions T15'!$V$3:$W$35,2,FALSE),'COM Assumptions T15'!$E$2:$S$2,0))</f>
        <v>0.8</v>
      </c>
      <c r="W28" s="1">
        <f ca="1">OFFSET('COM Assumptions T15'!$D28,0,MATCH(VLOOKUP('COM Assumptions'!W$2,'RES Assumptions T15'!$V$3:$W$35,2,FALSE),'COM Assumptions T15'!$E$2:$S$2,0))</f>
        <v>0.8</v>
      </c>
      <c r="X28" s="1">
        <f ca="1">OFFSET('COM Assumptions T15'!$D28,0,MATCH(VLOOKUP('COM Assumptions'!X$2,'RES Assumptions T15'!$V$3:$W$35,2,FALSE),'COM Assumptions T15'!$E$2:$S$2,0))</f>
        <v>0.1</v>
      </c>
      <c r="Y28" s="1">
        <f ca="1">OFFSET('COM Assumptions T15'!$D28,0,MATCH(VLOOKUP('COM Assumptions'!Y$2,'RES Assumptions T15'!$V$3:$W$35,2,FALSE),'COM Assumptions T15'!$E$2:$S$2,0))</f>
        <v>0.1</v>
      </c>
      <c r="Z28" s="1">
        <f ca="1">OFFSET('COM Assumptions T15'!$D28,0,MATCH(VLOOKUP('COM Assumptions'!Z$2,'RES Assumptions T15'!$V$3:$W$35,2,FALSE),'COM Assumptions T15'!$E$2:$S$2,0))</f>
        <v>0.1</v>
      </c>
      <c r="AA28" s="1">
        <f ca="1">OFFSET('COM Assumptions T15'!$D28,0,MATCH(VLOOKUP('COM Assumptions'!AA$2,'RES Assumptions T15'!$V$3:$W$35,2,FALSE),'COM Assumptions T15'!$E$2:$S$2,0))</f>
        <v>1</v>
      </c>
      <c r="AB28" s="1">
        <f ca="1">OFFSET('COM Assumptions T15'!$D28,0,MATCH(VLOOKUP('COM Assumptions'!AB$2,'RES Assumptions T15'!$V$3:$W$35,2,FALSE),'COM Assumptions T15'!$E$2:$S$2,0))</f>
        <v>0.8</v>
      </c>
      <c r="AC28" s="1">
        <f ca="1">OFFSET('COM Assumptions T15'!$D28,0,MATCH(VLOOKUP('COM Assumptions'!AC$2,'RES Assumptions T15'!$V$3:$W$35,2,FALSE),'COM Assumptions T15'!$E$2:$S$2,0))</f>
        <v>1</v>
      </c>
      <c r="AD28" s="1">
        <f ca="1">OFFSET('COM Assumptions T15'!$D28,0,MATCH(VLOOKUP('COM Assumptions'!AD$2,'RES Assumptions T15'!$V$3:$W$35,2,FALSE),'COM Assumptions T15'!$E$2:$S$2,0))</f>
        <v>1</v>
      </c>
      <c r="AE28" s="1">
        <f ca="1">OFFSET('COM Assumptions T15'!$D28,0,MATCH(VLOOKUP('COM Assumptions'!AE$2,'RES Assumptions T15'!$V$3:$W$35,2,FALSE),'COM Assumptions T15'!$E$2:$S$2,0))</f>
        <v>0.1</v>
      </c>
      <c r="AF28" s="1">
        <f ca="1">OFFSET('COM Assumptions T15'!$D28,0,MATCH(VLOOKUP('COM Assumptions'!AF$2,'RES Assumptions T15'!$V$3:$W$35,2,FALSE),'COM Assumptions T15'!$E$2:$S$2,0))</f>
        <v>0.8</v>
      </c>
      <c r="AG28" s="1">
        <f ca="1">OFFSET('COM Assumptions T15'!$D28,0,MATCH(VLOOKUP('COM Assumptions'!AG$2,'RES Assumptions T15'!$V$3:$W$35,2,FALSE),'COM Assumptions T15'!$E$2:$S$2,0))</f>
        <v>1</v>
      </c>
      <c r="AH28" s="1">
        <f ca="1">OFFSET('COM Assumptions T15'!$D28,0,MATCH(VLOOKUP('COM Assumptions'!AH$2,'RES Assumptions T15'!$V$3:$W$35,2,FALSE),'COM Assumptions T15'!$E$2:$S$2,0))</f>
        <v>1</v>
      </c>
      <c r="AI28" s="1"/>
      <c r="AK28" s="10">
        <f ca="1">IFERROR(SUMIFS('COM balance'!E$5:E$25,'COM balance'!$D$5:$D$25,'COM Assumptions'!$A28)*E28,"")</f>
        <v>0</v>
      </c>
      <c r="AL28" s="10">
        <f ca="1">IFERROR(SUMIFS('COM balance'!F$5:F$25,'COM balance'!$D$5:$D$25,'COM Assumptions'!$A28)*F28,"")</f>
        <v>0</v>
      </c>
      <c r="AM28" s="10">
        <f ca="1">IFERROR(SUMIFS('COM balance'!G$5:G$25,'COM balance'!$D$5:$D$25,'COM Assumptions'!$A28)*G28,"")</f>
        <v>0</v>
      </c>
      <c r="AN28" s="10">
        <f ca="1">IFERROR(SUMIFS('COM balance'!H$5:H$25,'COM balance'!$D$5:$D$25,'COM Assumptions'!$A28)*H28,"")</f>
        <v>0</v>
      </c>
      <c r="AO28" s="10">
        <f ca="1">IFERROR(SUMIFS('COM balance'!I$5:I$25,'COM balance'!$D$5:$D$25,'COM Assumptions'!$A28)*I28,"")</f>
        <v>0</v>
      </c>
      <c r="AP28" s="10">
        <f ca="1">IFERROR(SUMIFS('COM balance'!J$5:J$25,'COM balance'!$D$5:$D$25,'COM Assumptions'!$A28)*J28,"")</f>
        <v>0</v>
      </c>
      <c r="AQ28" s="10">
        <f ca="1">IFERROR(SUMIFS('COM balance'!K$5:K$25,'COM balance'!$D$5:$D$25,'COM Assumptions'!$A28)*K28,"")</f>
        <v>0</v>
      </c>
      <c r="AR28" s="10">
        <f ca="1">IFERROR(SUMIFS('COM balance'!L$5:L$25,'COM balance'!$D$5:$D$25,'COM Assumptions'!$A28)*L28,"")</f>
        <v>0</v>
      </c>
      <c r="AS28" s="10">
        <f ca="1">IFERROR(SUMIFS('COM balance'!M$5:M$25,'COM balance'!$D$5:$D$25,'COM Assumptions'!$A28)*M28,"")</f>
        <v>0</v>
      </c>
      <c r="AT28" s="10">
        <f ca="1">IFERROR(SUMIFS('COM balance'!N$5:N$25,'COM balance'!$D$5:$D$25,'COM Assumptions'!$A28)*N28,"")</f>
        <v>0</v>
      </c>
      <c r="AU28" s="10">
        <f ca="1">IFERROR(SUMIFS('COM balance'!O$5:O$25,'COM balance'!$D$5:$D$25,'COM Assumptions'!$A28)*O28,"")</f>
        <v>0</v>
      </c>
      <c r="AV28" s="10">
        <f ca="1">IFERROR(SUMIFS('COM balance'!P$5:P$25,'COM balance'!$D$5:$D$25,'COM Assumptions'!$A28)*P28,"")</f>
        <v>0</v>
      </c>
      <c r="AW28" s="10">
        <f ca="1">IFERROR(SUMIFS('COM balance'!Q$5:Q$25,'COM balance'!$D$5:$D$25,'COM Assumptions'!$A28)*Q28,"")</f>
        <v>0</v>
      </c>
      <c r="AX28" s="10">
        <f ca="1">IFERROR(SUMIFS('COM balance'!R$5:R$25,'COM balance'!$D$5:$D$25,'COM Assumptions'!$A28)*R28,"")</f>
        <v>0</v>
      </c>
      <c r="AY28" s="10">
        <f ca="1">IFERROR(SUMIFS('COM balance'!S$5:S$25,'COM balance'!$D$5:$D$25,'COM Assumptions'!$A28)*S28,"")</f>
        <v>0</v>
      </c>
      <c r="AZ28" s="10">
        <f ca="1">IFERROR(SUMIFS('COM balance'!T$5:T$25,'COM balance'!$D$5:$D$25,'COM Assumptions'!$A28)*T28,"")</f>
        <v>0</v>
      </c>
      <c r="BA28" s="10">
        <f ca="1">IFERROR(SUMIFS('COM balance'!U$5:U$25,'COM balance'!$D$5:$D$25,'COM Assumptions'!$A28)*U28,"")</f>
        <v>0</v>
      </c>
      <c r="BB28" s="10">
        <f ca="1">IFERROR(SUMIFS('COM balance'!V$5:V$25,'COM balance'!$D$5:$D$25,'COM Assumptions'!$A28)*V28,"")</f>
        <v>0</v>
      </c>
      <c r="BC28" s="10">
        <f ca="1">IFERROR(SUMIFS('COM balance'!W$5:W$25,'COM balance'!$D$5:$D$25,'COM Assumptions'!$A28)*W28,"")</f>
        <v>0</v>
      </c>
      <c r="BD28" s="10">
        <f ca="1">IFERROR(SUMIFS('COM balance'!X$5:X$25,'COM balance'!$D$5:$D$25,'COM Assumptions'!$A28)*X28,"")</f>
        <v>0</v>
      </c>
      <c r="BE28" s="10">
        <f ca="1">IFERROR(SUMIFS('COM balance'!Y$5:Y$25,'COM balance'!$D$5:$D$25,'COM Assumptions'!$A28)*Y28,"")</f>
        <v>0</v>
      </c>
      <c r="BF28" s="10">
        <f ca="1">IFERROR(SUMIFS('COM balance'!Z$5:Z$25,'COM balance'!$D$5:$D$25,'COM Assumptions'!$A28)*Z28,"")</f>
        <v>0</v>
      </c>
      <c r="BG28" s="10">
        <f ca="1">IFERROR(SUMIFS('COM balance'!AA$5:AA$25,'COM balance'!$D$5:$D$25,'COM Assumptions'!$A28)*AA28,"")</f>
        <v>0</v>
      </c>
      <c r="BH28" s="10">
        <f ca="1">IFERROR(SUMIFS('COM balance'!AB$5:AB$25,'COM balance'!$D$5:$D$25,'COM Assumptions'!$A28)*AB28,"")</f>
        <v>0</v>
      </c>
      <c r="BI28" s="10">
        <f ca="1">IFERROR(SUMIFS('COM balance'!AC$5:AC$25,'COM balance'!$D$5:$D$25,'COM Assumptions'!$A28)*AC28,"")</f>
        <v>0</v>
      </c>
      <c r="BJ28" s="10">
        <f ca="1">IFERROR(SUMIFS('COM balance'!AD$5:AD$25,'COM balance'!$D$5:$D$25,'COM Assumptions'!$A28)*AD28,"")</f>
        <v>0</v>
      </c>
      <c r="BK28" s="10">
        <f ca="1">IFERROR(SUMIFS('COM balance'!AE$5:AE$25,'COM balance'!$D$5:$D$25,'COM Assumptions'!$A28)*AE28,"")</f>
        <v>0</v>
      </c>
      <c r="BL28" s="10">
        <f ca="1">IFERROR(SUMIFS('COM balance'!AF$5:AF$25,'COM balance'!$D$5:$D$25,'COM Assumptions'!$A28)*AF28,"")</f>
        <v>0</v>
      </c>
      <c r="BM28" s="10">
        <f ca="1">IFERROR(SUMIFS('COM balance'!AG$5:AG$25,'COM balance'!$D$5:$D$25,'COM Assumptions'!$A28)*AG28,"")</f>
        <v>0</v>
      </c>
      <c r="BN28" s="10">
        <f ca="1">IFERROR(SUMIFS('COM balance'!AH$5:AH$25,'COM balance'!$D$5:$D$25,'COM Assumptions'!$A28)*AH28,"")</f>
        <v>0</v>
      </c>
    </row>
    <row r="29" spans="1:66" x14ac:dyDescent="0.45">
      <c r="A29" s="8">
        <f>VLOOKUP(C29,'COM balance'!$AM$5:$AN$25,2,FALSE)</f>
        <v>0</v>
      </c>
      <c r="B29" s="36"/>
      <c r="C29" s="20" t="s">
        <v>76</v>
      </c>
      <c r="D29" s="41" t="s">
        <v>84</v>
      </c>
      <c r="E29" s="14">
        <f ca="1">OFFSET('COM Assumptions T15'!$D29,0,MATCH(VLOOKUP('COM Assumptions'!E$2,'RES Assumptions T15'!$V$3:$W$35,2,FALSE),'COM Assumptions T15'!$E$2:$S$2,0))</f>
        <v>0.2</v>
      </c>
      <c r="F29" s="14">
        <f ca="1">OFFSET('COM Assumptions T15'!$D29,0,MATCH(VLOOKUP('COM Assumptions'!F$2,'RES Assumptions T15'!$V$3:$W$35,2,FALSE),'COM Assumptions T15'!$E$2:$S$2,0))</f>
        <v>0.2</v>
      </c>
      <c r="G29" s="14">
        <f ca="1">OFFSET('COM Assumptions T15'!$D29,0,MATCH(VLOOKUP('COM Assumptions'!G$2,'RES Assumptions T15'!$V$3:$W$35,2,FALSE),'COM Assumptions T15'!$E$2:$S$2,0))</f>
        <v>0.2</v>
      </c>
      <c r="H29" s="14">
        <f ca="1">OFFSET('COM Assumptions T15'!$D29,0,MATCH(VLOOKUP('COM Assumptions'!H$2,'RES Assumptions T15'!$V$3:$W$35,2,FALSE),'COM Assumptions T15'!$E$2:$S$2,0))</f>
        <v>0</v>
      </c>
      <c r="I29" s="14">
        <f ca="1">OFFSET('COM Assumptions T15'!$D29,0,MATCH(VLOOKUP('COM Assumptions'!I$2,'RES Assumptions T15'!$V$3:$W$35,2,FALSE),'COM Assumptions T15'!$E$2:$S$2,0))</f>
        <v>0</v>
      </c>
      <c r="J29" s="14">
        <f ca="1">OFFSET('COM Assumptions T15'!$D29,0,MATCH(VLOOKUP('COM Assumptions'!J$2,'RES Assumptions T15'!$V$3:$W$35,2,FALSE),'COM Assumptions T15'!$E$2:$S$2,0))</f>
        <v>0.3</v>
      </c>
      <c r="K29" s="14">
        <f ca="1">OFFSET('COM Assumptions T15'!$D29,0,MATCH(VLOOKUP('COM Assumptions'!K$2,'RES Assumptions T15'!$V$3:$W$35,2,FALSE),'COM Assumptions T15'!$E$2:$S$2,0))</f>
        <v>0.15</v>
      </c>
      <c r="L29" s="14">
        <f ca="1">OFFSET('COM Assumptions T15'!$D29,0,MATCH(VLOOKUP('COM Assumptions'!L$2,'RES Assumptions T15'!$V$3:$W$35,2,FALSE),'COM Assumptions T15'!$E$2:$S$2,0))</f>
        <v>0.2</v>
      </c>
      <c r="M29" s="14">
        <f ca="1">OFFSET('COM Assumptions T15'!$D29,0,MATCH(VLOOKUP('COM Assumptions'!M$2,'RES Assumptions T15'!$V$3:$W$35,2,FALSE),'COM Assumptions T15'!$E$2:$S$2,0))</f>
        <v>0</v>
      </c>
      <c r="N29" s="14">
        <f ca="1">OFFSET('COM Assumptions T15'!$D29,0,MATCH(VLOOKUP('COM Assumptions'!N$2,'RES Assumptions T15'!$V$3:$W$35,2,FALSE),'COM Assumptions T15'!$E$2:$S$2,0))</f>
        <v>0.35</v>
      </c>
      <c r="O29" s="14">
        <f ca="1">OFFSET('COM Assumptions T15'!$D29,0,MATCH(VLOOKUP('COM Assumptions'!O$2,'RES Assumptions T15'!$V$3:$W$35,2,FALSE),'COM Assumptions T15'!$E$2:$S$2,0))</f>
        <v>0</v>
      </c>
      <c r="P29" s="1">
        <f ca="1">OFFSET('COM Assumptions T15'!$D29,0,MATCH(VLOOKUP('COM Assumptions'!P$2,'RES Assumptions T15'!$V$3:$W$35,2,FALSE),'COM Assumptions T15'!$E$2:$S$2,0))</f>
        <v>0</v>
      </c>
      <c r="Q29" s="1">
        <f ca="1">OFFSET('COM Assumptions T15'!$D29,0,MATCH(VLOOKUP('COM Assumptions'!Q$2,'RES Assumptions T15'!$V$3:$W$35,2,FALSE),'COM Assumptions T15'!$E$2:$S$2,0))</f>
        <v>0</v>
      </c>
      <c r="R29" s="1">
        <f ca="1">OFFSET('COM Assumptions T15'!$D29,0,MATCH(VLOOKUP('COM Assumptions'!R$2,'RES Assumptions T15'!$V$3:$W$35,2,FALSE),'COM Assumptions T15'!$E$2:$S$2,0))</f>
        <v>0</v>
      </c>
      <c r="S29" s="1">
        <f ca="1">OFFSET('COM Assumptions T15'!$D29,0,MATCH(VLOOKUP('COM Assumptions'!S$2,'RES Assumptions T15'!$V$3:$W$35,2,FALSE),'COM Assumptions T15'!$E$2:$S$2,0))</f>
        <v>0</v>
      </c>
      <c r="T29" s="1">
        <f ca="1">OFFSET('COM Assumptions T15'!$D29,0,MATCH(VLOOKUP('COM Assumptions'!T$2,'RES Assumptions T15'!$V$3:$W$35,2,FALSE),'COM Assumptions T15'!$E$2:$S$2,0))</f>
        <v>0</v>
      </c>
      <c r="U29" s="1">
        <f ca="1">OFFSET('COM Assumptions T15'!$D29,0,MATCH(VLOOKUP('COM Assumptions'!U$2,'RES Assumptions T15'!$V$3:$W$35,2,FALSE),'COM Assumptions T15'!$E$2:$S$2,0))</f>
        <v>0</v>
      </c>
      <c r="V29" s="1">
        <f ca="1">OFFSET('COM Assumptions T15'!$D29,0,MATCH(VLOOKUP('COM Assumptions'!V$2,'RES Assumptions T15'!$V$3:$W$35,2,FALSE),'COM Assumptions T15'!$E$2:$S$2,0))</f>
        <v>0</v>
      </c>
      <c r="W29" s="1">
        <f ca="1">OFFSET('COM Assumptions T15'!$D29,0,MATCH(VLOOKUP('COM Assumptions'!W$2,'RES Assumptions T15'!$V$3:$W$35,2,FALSE),'COM Assumptions T15'!$E$2:$S$2,0))</f>
        <v>0</v>
      </c>
      <c r="X29" s="1">
        <f ca="1">OFFSET('COM Assumptions T15'!$D29,0,MATCH(VLOOKUP('COM Assumptions'!X$2,'RES Assumptions T15'!$V$3:$W$35,2,FALSE),'COM Assumptions T15'!$E$2:$S$2,0))</f>
        <v>0.2</v>
      </c>
      <c r="Y29" s="1">
        <f ca="1">OFFSET('COM Assumptions T15'!$D29,0,MATCH(VLOOKUP('COM Assumptions'!Y$2,'RES Assumptions T15'!$V$3:$W$35,2,FALSE),'COM Assumptions T15'!$E$2:$S$2,0))</f>
        <v>0.2</v>
      </c>
      <c r="Z29" s="1">
        <f ca="1">OFFSET('COM Assumptions T15'!$D29,0,MATCH(VLOOKUP('COM Assumptions'!Z$2,'RES Assumptions T15'!$V$3:$W$35,2,FALSE),'COM Assumptions T15'!$E$2:$S$2,0))</f>
        <v>0.2</v>
      </c>
      <c r="AA29" s="1">
        <f ca="1">OFFSET('COM Assumptions T15'!$D29,0,MATCH(VLOOKUP('COM Assumptions'!AA$2,'RES Assumptions T15'!$V$3:$W$35,2,FALSE),'COM Assumptions T15'!$E$2:$S$2,0))</f>
        <v>0</v>
      </c>
      <c r="AB29" s="1">
        <f ca="1">OFFSET('COM Assumptions T15'!$D29,0,MATCH(VLOOKUP('COM Assumptions'!AB$2,'RES Assumptions T15'!$V$3:$W$35,2,FALSE),'COM Assumptions T15'!$E$2:$S$2,0))</f>
        <v>0</v>
      </c>
      <c r="AC29" s="1">
        <f ca="1">OFFSET('COM Assumptions T15'!$D29,0,MATCH(VLOOKUP('COM Assumptions'!AC$2,'RES Assumptions T15'!$V$3:$W$35,2,FALSE),'COM Assumptions T15'!$E$2:$S$2,0))</f>
        <v>0</v>
      </c>
      <c r="AD29" s="1">
        <f ca="1">OFFSET('COM Assumptions T15'!$D29,0,MATCH(VLOOKUP('COM Assumptions'!AD$2,'RES Assumptions T15'!$V$3:$W$35,2,FALSE),'COM Assumptions T15'!$E$2:$S$2,0))</f>
        <v>0</v>
      </c>
      <c r="AE29" s="1">
        <f ca="1">OFFSET('COM Assumptions T15'!$D29,0,MATCH(VLOOKUP('COM Assumptions'!AE$2,'RES Assumptions T15'!$V$3:$W$35,2,FALSE),'COM Assumptions T15'!$E$2:$S$2,0))</f>
        <v>0.2</v>
      </c>
      <c r="AF29" s="1">
        <f ca="1">OFFSET('COM Assumptions T15'!$D29,0,MATCH(VLOOKUP('COM Assumptions'!AF$2,'RES Assumptions T15'!$V$3:$W$35,2,FALSE),'COM Assumptions T15'!$E$2:$S$2,0))</f>
        <v>0</v>
      </c>
      <c r="AG29" s="1">
        <f ca="1">OFFSET('COM Assumptions T15'!$D29,0,MATCH(VLOOKUP('COM Assumptions'!AG$2,'RES Assumptions T15'!$V$3:$W$35,2,FALSE),'COM Assumptions T15'!$E$2:$S$2,0))</f>
        <v>0</v>
      </c>
      <c r="AH29" s="1">
        <f ca="1">OFFSET('COM Assumptions T15'!$D29,0,MATCH(VLOOKUP('COM Assumptions'!AH$2,'RES Assumptions T15'!$V$3:$W$35,2,FALSE),'COM Assumptions T15'!$E$2:$S$2,0))</f>
        <v>0</v>
      </c>
      <c r="AI29" s="1"/>
      <c r="AK29" s="10">
        <f ca="1">IFERROR(SUMIFS('COM balance'!E$5:E$25,'COM balance'!$D$5:$D$25,'COM Assumptions'!$A29)*E29,"")</f>
        <v>0</v>
      </c>
      <c r="AL29" s="10">
        <f ca="1">IFERROR(SUMIFS('COM balance'!F$5:F$25,'COM balance'!$D$5:$D$25,'COM Assumptions'!$A29)*F29,"")</f>
        <v>0</v>
      </c>
      <c r="AM29" s="10">
        <f ca="1">IFERROR(SUMIFS('COM balance'!G$5:G$25,'COM balance'!$D$5:$D$25,'COM Assumptions'!$A29)*G29,"")</f>
        <v>0</v>
      </c>
      <c r="AN29" s="10">
        <f ca="1">IFERROR(SUMIFS('COM balance'!H$5:H$25,'COM balance'!$D$5:$D$25,'COM Assumptions'!$A29)*H29,"")</f>
        <v>0</v>
      </c>
      <c r="AO29" s="10">
        <f ca="1">IFERROR(SUMIFS('COM balance'!I$5:I$25,'COM balance'!$D$5:$D$25,'COM Assumptions'!$A29)*I29,"")</f>
        <v>0</v>
      </c>
      <c r="AP29" s="10">
        <f ca="1">IFERROR(SUMIFS('COM balance'!J$5:J$25,'COM balance'!$D$5:$D$25,'COM Assumptions'!$A29)*J29,"")</f>
        <v>0</v>
      </c>
      <c r="AQ29" s="10">
        <f ca="1">IFERROR(SUMIFS('COM balance'!K$5:K$25,'COM balance'!$D$5:$D$25,'COM Assumptions'!$A29)*K29,"")</f>
        <v>0</v>
      </c>
      <c r="AR29" s="10">
        <f ca="1">IFERROR(SUMIFS('COM balance'!L$5:L$25,'COM balance'!$D$5:$D$25,'COM Assumptions'!$A29)*L29,"")</f>
        <v>0</v>
      </c>
      <c r="AS29" s="10">
        <f ca="1">IFERROR(SUMIFS('COM balance'!M$5:M$25,'COM balance'!$D$5:$D$25,'COM Assumptions'!$A29)*M29,"")</f>
        <v>0</v>
      </c>
      <c r="AT29" s="10">
        <f ca="1">IFERROR(SUMIFS('COM balance'!N$5:N$25,'COM balance'!$D$5:$D$25,'COM Assumptions'!$A29)*N29,"")</f>
        <v>0</v>
      </c>
      <c r="AU29" s="10">
        <f ca="1">IFERROR(SUMIFS('COM balance'!O$5:O$25,'COM balance'!$D$5:$D$25,'COM Assumptions'!$A29)*O29,"")</f>
        <v>0</v>
      </c>
      <c r="AV29" s="10">
        <f ca="1">IFERROR(SUMIFS('COM balance'!P$5:P$25,'COM balance'!$D$5:$D$25,'COM Assumptions'!$A29)*P29,"")</f>
        <v>0</v>
      </c>
      <c r="AW29" s="10">
        <f ca="1">IFERROR(SUMIFS('COM balance'!Q$5:Q$25,'COM balance'!$D$5:$D$25,'COM Assumptions'!$A29)*Q29,"")</f>
        <v>0</v>
      </c>
      <c r="AX29" s="10">
        <f ca="1">IFERROR(SUMIFS('COM balance'!R$5:R$25,'COM balance'!$D$5:$D$25,'COM Assumptions'!$A29)*R29,"")</f>
        <v>0</v>
      </c>
      <c r="AY29" s="10">
        <f ca="1">IFERROR(SUMIFS('COM balance'!S$5:S$25,'COM balance'!$D$5:$D$25,'COM Assumptions'!$A29)*S29,"")</f>
        <v>0</v>
      </c>
      <c r="AZ29" s="10">
        <f ca="1">IFERROR(SUMIFS('COM balance'!T$5:T$25,'COM balance'!$D$5:$D$25,'COM Assumptions'!$A29)*T29,"")</f>
        <v>0</v>
      </c>
      <c r="BA29" s="10">
        <f ca="1">IFERROR(SUMIFS('COM balance'!U$5:U$25,'COM balance'!$D$5:$D$25,'COM Assumptions'!$A29)*U29,"")</f>
        <v>0</v>
      </c>
      <c r="BB29" s="10">
        <f ca="1">IFERROR(SUMIFS('COM balance'!V$5:V$25,'COM balance'!$D$5:$D$25,'COM Assumptions'!$A29)*V29,"")</f>
        <v>0</v>
      </c>
      <c r="BC29" s="10">
        <f ca="1">IFERROR(SUMIFS('COM balance'!W$5:W$25,'COM balance'!$D$5:$D$25,'COM Assumptions'!$A29)*W29,"")</f>
        <v>0</v>
      </c>
      <c r="BD29" s="10">
        <f ca="1">IFERROR(SUMIFS('COM balance'!X$5:X$25,'COM balance'!$D$5:$D$25,'COM Assumptions'!$A29)*X29,"")</f>
        <v>0</v>
      </c>
      <c r="BE29" s="10">
        <f ca="1">IFERROR(SUMIFS('COM balance'!Y$5:Y$25,'COM balance'!$D$5:$D$25,'COM Assumptions'!$A29)*Y29,"")</f>
        <v>0</v>
      </c>
      <c r="BF29" s="10">
        <f ca="1">IFERROR(SUMIFS('COM balance'!Z$5:Z$25,'COM balance'!$D$5:$D$25,'COM Assumptions'!$A29)*Z29,"")</f>
        <v>0</v>
      </c>
      <c r="BG29" s="10">
        <f ca="1">IFERROR(SUMIFS('COM balance'!AA$5:AA$25,'COM balance'!$D$5:$D$25,'COM Assumptions'!$A29)*AA29,"")</f>
        <v>0</v>
      </c>
      <c r="BH29" s="10">
        <f ca="1">IFERROR(SUMIFS('COM balance'!AB$5:AB$25,'COM balance'!$D$5:$D$25,'COM Assumptions'!$A29)*AB29,"")</f>
        <v>0</v>
      </c>
      <c r="BI29" s="10">
        <f ca="1">IFERROR(SUMIFS('COM balance'!AC$5:AC$25,'COM balance'!$D$5:$D$25,'COM Assumptions'!$A29)*AC29,"")</f>
        <v>0</v>
      </c>
      <c r="BJ29" s="10">
        <f ca="1">IFERROR(SUMIFS('COM balance'!AD$5:AD$25,'COM balance'!$D$5:$D$25,'COM Assumptions'!$A29)*AD29,"")</f>
        <v>0</v>
      </c>
      <c r="BK29" s="10">
        <f ca="1">IFERROR(SUMIFS('COM balance'!AE$5:AE$25,'COM balance'!$D$5:$D$25,'COM Assumptions'!$A29)*AE29,"")</f>
        <v>0</v>
      </c>
      <c r="BL29" s="10">
        <f ca="1">IFERROR(SUMIFS('COM balance'!AF$5:AF$25,'COM balance'!$D$5:$D$25,'COM Assumptions'!$A29)*AF29,"")</f>
        <v>0</v>
      </c>
      <c r="BM29" s="10">
        <f ca="1">IFERROR(SUMIFS('COM balance'!AG$5:AG$25,'COM balance'!$D$5:$D$25,'COM Assumptions'!$A29)*AG29,"")</f>
        <v>0</v>
      </c>
      <c r="BN29" s="10">
        <f ca="1">IFERROR(SUMIFS('COM balance'!AH$5:AH$25,'COM balance'!$D$5:$D$25,'COM Assumptions'!$A29)*AH29,"")</f>
        <v>0</v>
      </c>
    </row>
    <row r="30" spans="1:66" x14ac:dyDescent="0.45">
      <c r="A30" s="8">
        <f>VLOOKUP(C30,'COM balance'!$AM$5:$AN$25,2,FALSE)</f>
        <v>0</v>
      </c>
      <c r="B30" s="36"/>
      <c r="C30" s="20" t="s">
        <v>76</v>
      </c>
      <c r="D30" s="41" t="s">
        <v>86</v>
      </c>
      <c r="E30" s="14">
        <f ca="1">OFFSET('COM Assumptions T15'!$D30,0,MATCH(VLOOKUP('COM Assumptions'!E$2,'RES Assumptions T15'!$V$3:$W$35,2,FALSE),'COM Assumptions T15'!$E$2:$S$2,0))</f>
        <v>0.7</v>
      </c>
      <c r="F30" s="14">
        <f ca="1">OFFSET('COM Assumptions T15'!$D30,0,MATCH(VLOOKUP('COM Assumptions'!F$2,'RES Assumptions T15'!$V$3:$W$35,2,FALSE),'COM Assumptions T15'!$E$2:$S$2,0))</f>
        <v>0.7</v>
      </c>
      <c r="G30" s="14">
        <f ca="1">OFFSET('COM Assumptions T15'!$D30,0,MATCH(VLOOKUP('COM Assumptions'!G$2,'RES Assumptions T15'!$V$3:$W$35,2,FALSE),'COM Assumptions T15'!$E$2:$S$2,0))</f>
        <v>0.7</v>
      </c>
      <c r="H30" s="14">
        <f ca="1">OFFSET('COM Assumptions T15'!$D30,0,MATCH(VLOOKUP('COM Assumptions'!H$2,'RES Assumptions T15'!$V$3:$W$35,2,FALSE),'COM Assumptions T15'!$E$2:$S$2,0))</f>
        <v>0</v>
      </c>
      <c r="I30" s="14">
        <f ca="1">OFFSET('COM Assumptions T15'!$D30,0,MATCH(VLOOKUP('COM Assumptions'!I$2,'RES Assumptions T15'!$V$3:$W$35,2,FALSE),'COM Assumptions T15'!$E$2:$S$2,0))</f>
        <v>0</v>
      </c>
      <c r="J30" s="14">
        <f ca="1">OFFSET('COM Assumptions T15'!$D30,0,MATCH(VLOOKUP('COM Assumptions'!J$2,'RES Assumptions T15'!$V$3:$W$35,2,FALSE),'COM Assumptions T15'!$E$2:$S$2,0))</f>
        <v>0.5</v>
      </c>
      <c r="K30" s="14">
        <f ca="1">OFFSET('COM Assumptions T15'!$D30,0,MATCH(VLOOKUP('COM Assumptions'!K$2,'RES Assumptions T15'!$V$3:$W$35,2,FALSE),'COM Assumptions T15'!$E$2:$S$2,0))</f>
        <v>0</v>
      </c>
      <c r="L30" s="14">
        <f ca="1">OFFSET('COM Assumptions T15'!$D30,0,MATCH(VLOOKUP('COM Assumptions'!L$2,'RES Assumptions T15'!$V$3:$W$35,2,FALSE),'COM Assumptions T15'!$E$2:$S$2,0))</f>
        <v>0.7</v>
      </c>
      <c r="M30" s="14">
        <f ca="1">OFFSET('COM Assumptions T15'!$D30,0,MATCH(VLOOKUP('COM Assumptions'!M$2,'RES Assumptions T15'!$V$3:$W$35,2,FALSE),'COM Assumptions T15'!$E$2:$S$2,0))</f>
        <v>0</v>
      </c>
      <c r="N30" s="14">
        <f ca="1">OFFSET('COM Assumptions T15'!$D30,0,MATCH(VLOOKUP('COM Assumptions'!N$2,'RES Assumptions T15'!$V$3:$W$35,2,FALSE),'COM Assumptions T15'!$E$2:$S$2,0))</f>
        <v>0.35</v>
      </c>
      <c r="O30" s="14">
        <f ca="1">OFFSET('COM Assumptions T15'!$D30,0,MATCH(VLOOKUP('COM Assumptions'!O$2,'RES Assumptions T15'!$V$3:$W$35,2,FALSE),'COM Assumptions T15'!$E$2:$S$2,0))</f>
        <v>0.2</v>
      </c>
      <c r="P30" s="1">
        <f ca="1">OFFSET('COM Assumptions T15'!$D30,0,MATCH(VLOOKUP('COM Assumptions'!P$2,'RES Assumptions T15'!$V$3:$W$35,2,FALSE),'COM Assumptions T15'!$E$2:$S$2,0))</f>
        <v>0</v>
      </c>
      <c r="Q30" s="1">
        <f ca="1">OFFSET('COM Assumptions T15'!$D30,0,MATCH(VLOOKUP('COM Assumptions'!Q$2,'RES Assumptions T15'!$V$3:$W$35,2,FALSE),'COM Assumptions T15'!$E$2:$S$2,0))</f>
        <v>0.2</v>
      </c>
      <c r="R30" s="1">
        <f ca="1">OFFSET('COM Assumptions T15'!$D30,0,MATCH(VLOOKUP('COM Assumptions'!R$2,'RES Assumptions T15'!$V$3:$W$35,2,FALSE),'COM Assumptions T15'!$E$2:$S$2,0))</f>
        <v>0.2</v>
      </c>
      <c r="S30" s="1">
        <f ca="1">OFFSET('COM Assumptions T15'!$D30,0,MATCH(VLOOKUP('COM Assumptions'!S$2,'RES Assumptions T15'!$V$3:$W$35,2,FALSE),'COM Assumptions T15'!$E$2:$S$2,0))</f>
        <v>0</v>
      </c>
      <c r="T30" s="1">
        <f ca="1">OFFSET('COM Assumptions T15'!$D30,0,MATCH(VLOOKUP('COM Assumptions'!T$2,'RES Assumptions T15'!$V$3:$W$35,2,FALSE),'COM Assumptions T15'!$E$2:$S$2,0))</f>
        <v>0.2</v>
      </c>
      <c r="U30" s="1">
        <f ca="1">OFFSET('COM Assumptions T15'!$D30,0,MATCH(VLOOKUP('COM Assumptions'!U$2,'RES Assumptions T15'!$V$3:$W$35,2,FALSE),'COM Assumptions T15'!$E$2:$S$2,0))</f>
        <v>0</v>
      </c>
      <c r="V30" s="1">
        <f ca="1">OFFSET('COM Assumptions T15'!$D30,0,MATCH(VLOOKUP('COM Assumptions'!V$2,'RES Assumptions T15'!$V$3:$W$35,2,FALSE),'COM Assumptions T15'!$E$2:$S$2,0))</f>
        <v>0.2</v>
      </c>
      <c r="W30" s="1">
        <f ca="1">OFFSET('COM Assumptions T15'!$D30,0,MATCH(VLOOKUP('COM Assumptions'!W$2,'RES Assumptions T15'!$V$3:$W$35,2,FALSE),'COM Assumptions T15'!$E$2:$S$2,0))</f>
        <v>0.2</v>
      </c>
      <c r="X30" s="1">
        <f ca="1">OFFSET('COM Assumptions T15'!$D30,0,MATCH(VLOOKUP('COM Assumptions'!X$2,'RES Assumptions T15'!$V$3:$W$35,2,FALSE),'COM Assumptions T15'!$E$2:$S$2,0))</f>
        <v>0.7</v>
      </c>
      <c r="Y30" s="1">
        <f ca="1">OFFSET('COM Assumptions T15'!$D30,0,MATCH(VLOOKUP('COM Assumptions'!Y$2,'RES Assumptions T15'!$V$3:$W$35,2,FALSE),'COM Assumptions T15'!$E$2:$S$2,0))</f>
        <v>0.7</v>
      </c>
      <c r="Z30" s="1">
        <f ca="1">OFFSET('COM Assumptions T15'!$D30,0,MATCH(VLOOKUP('COM Assumptions'!Z$2,'RES Assumptions T15'!$V$3:$W$35,2,FALSE),'COM Assumptions T15'!$E$2:$S$2,0))</f>
        <v>0.7</v>
      </c>
      <c r="AA30" s="1">
        <f ca="1">OFFSET('COM Assumptions T15'!$D30,0,MATCH(VLOOKUP('COM Assumptions'!AA$2,'RES Assumptions T15'!$V$3:$W$35,2,FALSE),'COM Assumptions T15'!$E$2:$S$2,0))</f>
        <v>0</v>
      </c>
      <c r="AB30" s="1">
        <f ca="1">OFFSET('COM Assumptions T15'!$D30,0,MATCH(VLOOKUP('COM Assumptions'!AB$2,'RES Assumptions T15'!$V$3:$W$35,2,FALSE),'COM Assumptions T15'!$E$2:$S$2,0))</f>
        <v>0.2</v>
      </c>
      <c r="AC30" s="1">
        <f ca="1">OFFSET('COM Assumptions T15'!$D30,0,MATCH(VLOOKUP('COM Assumptions'!AC$2,'RES Assumptions T15'!$V$3:$W$35,2,FALSE),'COM Assumptions T15'!$E$2:$S$2,0))</f>
        <v>0</v>
      </c>
      <c r="AD30" s="1">
        <f ca="1">OFFSET('COM Assumptions T15'!$D30,0,MATCH(VLOOKUP('COM Assumptions'!AD$2,'RES Assumptions T15'!$V$3:$W$35,2,FALSE),'COM Assumptions T15'!$E$2:$S$2,0))</f>
        <v>0</v>
      </c>
      <c r="AE30" s="1">
        <f ca="1">OFFSET('COM Assumptions T15'!$D30,0,MATCH(VLOOKUP('COM Assumptions'!AE$2,'RES Assumptions T15'!$V$3:$W$35,2,FALSE),'COM Assumptions T15'!$E$2:$S$2,0))</f>
        <v>0.7</v>
      </c>
      <c r="AF30" s="1">
        <f ca="1">OFFSET('COM Assumptions T15'!$D30,0,MATCH(VLOOKUP('COM Assumptions'!AF$2,'RES Assumptions T15'!$V$3:$W$35,2,FALSE),'COM Assumptions T15'!$E$2:$S$2,0))</f>
        <v>0.2</v>
      </c>
      <c r="AG30" s="1">
        <f ca="1">OFFSET('COM Assumptions T15'!$D30,0,MATCH(VLOOKUP('COM Assumptions'!AG$2,'RES Assumptions T15'!$V$3:$W$35,2,FALSE),'COM Assumptions T15'!$E$2:$S$2,0))</f>
        <v>0</v>
      </c>
      <c r="AH30" s="1">
        <f ca="1">OFFSET('COM Assumptions T15'!$D30,0,MATCH(VLOOKUP('COM Assumptions'!AH$2,'RES Assumptions T15'!$V$3:$W$35,2,FALSE),'COM Assumptions T15'!$E$2:$S$2,0))</f>
        <v>0</v>
      </c>
      <c r="AI30" s="1"/>
      <c r="AK30" s="10">
        <f ca="1">IFERROR(SUMIFS('COM balance'!E$5:E$25,'COM balance'!$D$5:$D$25,'COM Assumptions'!$A30)*E30,"")</f>
        <v>0</v>
      </c>
      <c r="AL30" s="10">
        <f ca="1">IFERROR(SUMIFS('COM balance'!F$5:F$25,'COM balance'!$D$5:$D$25,'COM Assumptions'!$A30)*F30,"")</f>
        <v>0</v>
      </c>
      <c r="AM30" s="10">
        <f ca="1">IFERROR(SUMIFS('COM balance'!G$5:G$25,'COM balance'!$D$5:$D$25,'COM Assumptions'!$A30)*G30,"")</f>
        <v>0</v>
      </c>
      <c r="AN30" s="10">
        <f ca="1">IFERROR(SUMIFS('COM balance'!H$5:H$25,'COM balance'!$D$5:$D$25,'COM Assumptions'!$A30)*H30,"")</f>
        <v>0</v>
      </c>
      <c r="AO30" s="10">
        <f ca="1">IFERROR(SUMIFS('COM balance'!I$5:I$25,'COM balance'!$D$5:$D$25,'COM Assumptions'!$A30)*I30,"")</f>
        <v>0</v>
      </c>
      <c r="AP30" s="10">
        <f ca="1">IFERROR(SUMIFS('COM balance'!J$5:J$25,'COM balance'!$D$5:$D$25,'COM Assumptions'!$A30)*J30,"")</f>
        <v>0</v>
      </c>
      <c r="AQ30" s="10">
        <f ca="1">IFERROR(SUMIFS('COM balance'!K$5:K$25,'COM balance'!$D$5:$D$25,'COM Assumptions'!$A30)*K30,"")</f>
        <v>0</v>
      </c>
      <c r="AR30" s="10">
        <f ca="1">IFERROR(SUMIFS('COM balance'!L$5:L$25,'COM balance'!$D$5:$D$25,'COM Assumptions'!$A30)*L30,"")</f>
        <v>0</v>
      </c>
      <c r="AS30" s="10">
        <f ca="1">IFERROR(SUMIFS('COM balance'!M$5:M$25,'COM balance'!$D$5:$D$25,'COM Assumptions'!$A30)*M30,"")</f>
        <v>0</v>
      </c>
      <c r="AT30" s="10">
        <f ca="1">IFERROR(SUMIFS('COM balance'!N$5:N$25,'COM balance'!$D$5:$D$25,'COM Assumptions'!$A30)*N30,"")</f>
        <v>0</v>
      </c>
      <c r="AU30" s="10">
        <f ca="1">IFERROR(SUMIFS('COM balance'!O$5:O$25,'COM balance'!$D$5:$D$25,'COM Assumptions'!$A30)*O30,"")</f>
        <v>0</v>
      </c>
      <c r="AV30" s="10">
        <f ca="1">IFERROR(SUMIFS('COM balance'!P$5:P$25,'COM balance'!$D$5:$D$25,'COM Assumptions'!$A30)*P30,"")</f>
        <v>0</v>
      </c>
      <c r="AW30" s="10">
        <f ca="1">IFERROR(SUMIFS('COM balance'!Q$5:Q$25,'COM balance'!$D$5:$D$25,'COM Assumptions'!$A30)*Q30,"")</f>
        <v>0</v>
      </c>
      <c r="AX30" s="10">
        <f ca="1">IFERROR(SUMIFS('COM balance'!R$5:R$25,'COM balance'!$D$5:$D$25,'COM Assumptions'!$A30)*R30,"")</f>
        <v>0</v>
      </c>
      <c r="AY30" s="10">
        <f ca="1">IFERROR(SUMIFS('COM balance'!S$5:S$25,'COM balance'!$D$5:$D$25,'COM Assumptions'!$A30)*S30,"")</f>
        <v>0</v>
      </c>
      <c r="AZ30" s="10">
        <f ca="1">IFERROR(SUMIFS('COM balance'!T$5:T$25,'COM balance'!$D$5:$D$25,'COM Assumptions'!$A30)*T30,"")</f>
        <v>0</v>
      </c>
      <c r="BA30" s="10">
        <f ca="1">IFERROR(SUMIFS('COM balance'!U$5:U$25,'COM balance'!$D$5:$D$25,'COM Assumptions'!$A30)*U30,"")</f>
        <v>0</v>
      </c>
      <c r="BB30" s="10">
        <f ca="1">IFERROR(SUMIFS('COM balance'!V$5:V$25,'COM balance'!$D$5:$D$25,'COM Assumptions'!$A30)*V30,"")</f>
        <v>0</v>
      </c>
      <c r="BC30" s="10">
        <f ca="1">IFERROR(SUMIFS('COM balance'!W$5:W$25,'COM balance'!$D$5:$D$25,'COM Assumptions'!$A30)*W30,"")</f>
        <v>0</v>
      </c>
      <c r="BD30" s="10">
        <f ca="1">IFERROR(SUMIFS('COM balance'!X$5:X$25,'COM balance'!$D$5:$D$25,'COM Assumptions'!$A30)*X30,"")</f>
        <v>0</v>
      </c>
      <c r="BE30" s="10">
        <f ca="1">IFERROR(SUMIFS('COM balance'!Y$5:Y$25,'COM balance'!$D$5:$D$25,'COM Assumptions'!$A30)*Y30,"")</f>
        <v>0</v>
      </c>
      <c r="BF30" s="10">
        <f ca="1">IFERROR(SUMIFS('COM balance'!Z$5:Z$25,'COM balance'!$D$5:$D$25,'COM Assumptions'!$A30)*Z30,"")</f>
        <v>0</v>
      </c>
      <c r="BG30" s="10">
        <f ca="1">IFERROR(SUMIFS('COM balance'!AA$5:AA$25,'COM balance'!$D$5:$D$25,'COM Assumptions'!$A30)*AA30,"")</f>
        <v>0</v>
      </c>
      <c r="BH30" s="10">
        <f ca="1">IFERROR(SUMIFS('COM balance'!AB$5:AB$25,'COM balance'!$D$5:$D$25,'COM Assumptions'!$A30)*AB30,"")</f>
        <v>0</v>
      </c>
      <c r="BI30" s="10">
        <f ca="1">IFERROR(SUMIFS('COM balance'!AC$5:AC$25,'COM balance'!$D$5:$D$25,'COM Assumptions'!$A30)*AC30,"")</f>
        <v>0</v>
      </c>
      <c r="BJ30" s="10">
        <f ca="1">IFERROR(SUMIFS('COM balance'!AD$5:AD$25,'COM balance'!$D$5:$D$25,'COM Assumptions'!$A30)*AD30,"")</f>
        <v>0</v>
      </c>
      <c r="BK30" s="10">
        <f ca="1">IFERROR(SUMIFS('COM balance'!AE$5:AE$25,'COM balance'!$D$5:$D$25,'COM Assumptions'!$A30)*AE30,"")</f>
        <v>0</v>
      </c>
      <c r="BL30" s="10">
        <f ca="1">IFERROR(SUMIFS('COM balance'!AF$5:AF$25,'COM balance'!$D$5:$D$25,'COM Assumptions'!$A30)*AF30,"")</f>
        <v>0</v>
      </c>
      <c r="BM30" s="10">
        <f ca="1">IFERROR(SUMIFS('COM balance'!AG$5:AG$25,'COM balance'!$D$5:$D$25,'COM Assumptions'!$A30)*AG30,"")</f>
        <v>0</v>
      </c>
      <c r="BN30" s="10">
        <f ca="1">IFERROR(SUMIFS('COM balance'!AH$5:AH$25,'COM balance'!$D$5:$D$25,'COM Assumptions'!$A30)*AH30,"")</f>
        <v>0</v>
      </c>
    </row>
    <row r="31" spans="1:66" x14ac:dyDescent="0.45">
      <c r="A31" s="8">
        <f>VLOOKUP(C31,'COM balance'!$AM$5:$AN$25,2,FALSE)</f>
        <v>0</v>
      </c>
      <c r="B31" s="36"/>
      <c r="C31" s="22" t="s">
        <v>76</v>
      </c>
      <c r="D31" s="42" t="s">
        <v>89</v>
      </c>
      <c r="E31" s="18">
        <f ca="1">OFFSET('COM Assumptions T15'!$D31,0,MATCH(VLOOKUP('COM Assumptions'!E$2,'RES Assumptions T15'!$V$3:$W$35,2,FALSE),'COM Assumptions T15'!$E$2:$S$2,0))</f>
        <v>0</v>
      </c>
      <c r="F31" s="18">
        <f ca="1">OFFSET('COM Assumptions T15'!$D31,0,MATCH(VLOOKUP('COM Assumptions'!F$2,'RES Assumptions T15'!$V$3:$W$35,2,FALSE),'COM Assumptions T15'!$E$2:$S$2,0))</f>
        <v>0</v>
      </c>
      <c r="G31" s="18">
        <f ca="1">OFFSET('COM Assumptions T15'!$D31,0,MATCH(VLOOKUP('COM Assumptions'!G$2,'RES Assumptions T15'!$V$3:$W$35,2,FALSE),'COM Assumptions T15'!$E$2:$S$2,0))</f>
        <v>0</v>
      </c>
      <c r="H31" s="18">
        <f ca="1">OFFSET('COM Assumptions T15'!$D31,0,MATCH(VLOOKUP('COM Assumptions'!H$2,'RES Assumptions T15'!$V$3:$W$35,2,FALSE),'COM Assumptions T15'!$E$2:$S$2,0))</f>
        <v>0</v>
      </c>
      <c r="I31" s="18">
        <f ca="1">OFFSET('COM Assumptions T15'!$D31,0,MATCH(VLOOKUP('COM Assumptions'!I$2,'RES Assumptions T15'!$V$3:$W$35,2,FALSE),'COM Assumptions T15'!$E$2:$S$2,0))</f>
        <v>0</v>
      </c>
      <c r="J31" s="18">
        <f ca="1">OFFSET('COM Assumptions T15'!$D31,0,MATCH(VLOOKUP('COM Assumptions'!J$2,'RES Assumptions T15'!$V$3:$W$35,2,FALSE),'COM Assumptions T15'!$E$2:$S$2,0))</f>
        <v>0</v>
      </c>
      <c r="K31" s="18">
        <f ca="1">OFFSET('COM Assumptions T15'!$D31,0,MATCH(VLOOKUP('COM Assumptions'!K$2,'RES Assumptions T15'!$V$3:$W$35,2,FALSE),'COM Assumptions T15'!$E$2:$S$2,0))</f>
        <v>0</v>
      </c>
      <c r="L31" s="18">
        <f ca="1">OFFSET('COM Assumptions T15'!$D31,0,MATCH(VLOOKUP('COM Assumptions'!L$2,'RES Assumptions T15'!$V$3:$W$35,2,FALSE),'COM Assumptions T15'!$E$2:$S$2,0))</f>
        <v>0</v>
      </c>
      <c r="M31" s="18">
        <f ca="1">OFFSET('COM Assumptions T15'!$D31,0,MATCH(VLOOKUP('COM Assumptions'!M$2,'RES Assumptions T15'!$V$3:$W$35,2,FALSE),'COM Assumptions T15'!$E$2:$S$2,0))</f>
        <v>0</v>
      </c>
      <c r="N31" s="18">
        <f ca="1">OFFSET('COM Assumptions T15'!$D31,0,MATCH(VLOOKUP('COM Assumptions'!N$2,'RES Assumptions T15'!$V$3:$W$35,2,FALSE),'COM Assumptions T15'!$E$2:$S$2,0))</f>
        <v>0</v>
      </c>
      <c r="O31" s="18">
        <f ca="1">OFFSET('COM Assumptions T15'!$D31,0,MATCH(VLOOKUP('COM Assumptions'!O$2,'RES Assumptions T15'!$V$3:$W$35,2,FALSE),'COM Assumptions T15'!$E$2:$S$2,0))</f>
        <v>0</v>
      </c>
      <c r="P31" s="1">
        <f ca="1">OFFSET('COM Assumptions T15'!$D31,0,MATCH(VLOOKUP('COM Assumptions'!P$2,'RES Assumptions T15'!$V$3:$W$35,2,FALSE),'COM Assumptions T15'!$E$2:$S$2,0))</f>
        <v>0</v>
      </c>
      <c r="Q31" s="1">
        <f ca="1">OFFSET('COM Assumptions T15'!$D31,0,MATCH(VLOOKUP('COM Assumptions'!Q$2,'RES Assumptions T15'!$V$3:$W$35,2,FALSE),'COM Assumptions T15'!$E$2:$S$2,0))</f>
        <v>0</v>
      </c>
      <c r="R31" s="1">
        <f ca="1">OFFSET('COM Assumptions T15'!$D31,0,MATCH(VLOOKUP('COM Assumptions'!R$2,'RES Assumptions T15'!$V$3:$W$35,2,FALSE),'COM Assumptions T15'!$E$2:$S$2,0))</f>
        <v>0</v>
      </c>
      <c r="S31" s="1">
        <f ca="1">OFFSET('COM Assumptions T15'!$D31,0,MATCH(VLOOKUP('COM Assumptions'!S$2,'RES Assumptions T15'!$V$3:$W$35,2,FALSE),'COM Assumptions T15'!$E$2:$S$2,0))</f>
        <v>0</v>
      </c>
      <c r="T31" s="1">
        <f ca="1">OFFSET('COM Assumptions T15'!$D31,0,MATCH(VLOOKUP('COM Assumptions'!T$2,'RES Assumptions T15'!$V$3:$W$35,2,FALSE),'COM Assumptions T15'!$E$2:$S$2,0))</f>
        <v>0</v>
      </c>
      <c r="U31" s="1">
        <f ca="1">OFFSET('COM Assumptions T15'!$D31,0,MATCH(VLOOKUP('COM Assumptions'!U$2,'RES Assumptions T15'!$V$3:$W$35,2,FALSE),'COM Assumptions T15'!$E$2:$S$2,0))</f>
        <v>0</v>
      </c>
      <c r="V31" s="1">
        <f ca="1">OFFSET('COM Assumptions T15'!$D31,0,MATCH(VLOOKUP('COM Assumptions'!V$2,'RES Assumptions T15'!$V$3:$W$35,2,FALSE),'COM Assumptions T15'!$E$2:$S$2,0))</f>
        <v>0</v>
      </c>
      <c r="W31" s="1">
        <f ca="1">OFFSET('COM Assumptions T15'!$D31,0,MATCH(VLOOKUP('COM Assumptions'!W$2,'RES Assumptions T15'!$V$3:$W$35,2,FALSE),'COM Assumptions T15'!$E$2:$S$2,0))</f>
        <v>0</v>
      </c>
      <c r="X31" s="1">
        <f ca="1">OFFSET('COM Assumptions T15'!$D31,0,MATCH(VLOOKUP('COM Assumptions'!X$2,'RES Assumptions T15'!$V$3:$W$35,2,FALSE),'COM Assumptions T15'!$E$2:$S$2,0))</f>
        <v>0</v>
      </c>
      <c r="Y31" s="1">
        <f ca="1">OFFSET('COM Assumptions T15'!$D31,0,MATCH(VLOOKUP('COM Assumptions'!Y$2,'RES Assumptions T15'!$V$3:$W$35,2,FALSE),'COM Assumptions T15'!$E$2:$S$2,0))</f>
        <v>0</v>
      </c>
      <c r="Z31" s="1">
        <f ca="1">OFFSET('COM Assumptions T15'!$D31,0,MATCH(VLOOKUP('COM Assumptions'!Z$2,'RES Assumptions T15'!$V$3:$W$35,2,FALSE),'COM Assumptions T15'!$E$2:$S$2,0))</f>
        <v>0</v>
      </c>
      <c r="AA31" s="1">
        <f ca="1">OFFSET('COM Assumptions T15'!$D31,0,MATCH(VLOOKUP('COM Assumptions'!AA$2,'RES Assumptions T15'!$V$3:$W$35,2,FALSE),'COM Assumptions T15'!$E$2:$S$2,0))</f>
        <v>0</v>
      </c>
      <c r="AB31" s="1">
        <f ca="1">OFFSET('COM Assumptions T15'!$D31,0,MATCH(VLOOKUP('COM Assumptions'!AB$2,'RES Assumptions T15'!$V$3:$W$35,2,FALSE),'COM Assumptions T15'!$E$2:$S$2,0))</f>
        <v>0</v>
      </c>
      <c r="AC31" s="1">
        <f ca="1">OFFSET('COM Assumptions T15'!$D31,0,MATCH(VLOOKUP('COM Assumptions'!AC$2,'RES Assumptions T15'!$V$3:$W$35,2,FALSE),'COM Assumptions T15'!$E$2:$S$2,0))</f>
        <v>0</v>
      </c>
      <c r="AD31" s="1">
        <f ca="1">OFFSET('COM Assumptions T15'!$D31,0,MATCH(VLOOKUP('COM Assumptions'!AD$2,'RES Assumptions T15'!$V$3:$W$35,2,FALSE),'COM Assumptions T15'!$E$2:$S$2,0))</f>
        <v>0</v>
      </c>
      <c r="AE31" s="1">
        <f ca="1">OFFSET('COM Assumptions T15'!$D31,0,MATCH(VLOOKUP('COM Assumptions'!AE$2,'RES Assumptions T15'!$V$3:$W$35,2,FALSE),'COM Assumptions T15'!$E$2:$S$2,0))</f>
        <v>0</v>
      </c>
      <c r="AF31" s="1">
        <f ca="1">OFFSET('COM Assumptions T15'!$D31,0,MATCH(VLOOKUP('COM Assumptions'!AF$2,'RES Assumptions T15'!$V$3:$W$35,2,FALSE),'COM Assumptions T15'!$E$2:$S$2,0))</f>
        <v>0</v>
      </c>
      <c r="AG31" s="1">
        <f ca="1">OFFSET('COM Assumptions T15'!$D31,0,MATCH(VLOOKUP('COM Assumptions'!AG$2,'RES Assumptions T15'!$V$3:$W$35,2,FALSE),'COM Assumptions T15'!$E$2:$S$2,0))</f>
        <v>0</v>
      </c>
      <c r="AH31" s="1">
        <f ca="1">OFFSET('COM Assumptions T15'!$D31,0,MATCH(VLOOKUP('COM Assumptions'!AH$2,'RES Assumptions T15'!$V$3:$W$35,2,FALSE),'COM Assumptions T15'!$E$2:$S$2,0))</f>
        <v>0</v>
      </c>
      <c r="AI31" s="1"/>
      <c r="AK31" s="10">
        <f ca="1">IFERROR(SUMIFS('COM balance'!E$5:E$25,'COM balance'!$D$5:$D$25,'COM Assumptions'!$A31)*E31,"")</f>
        <v>0</v>
      </c>
      <c r="AL31" s="10">
        <f ca="1">IFERROR(SUMIFS('COM balance'!F$5:F$25,'COM balance'!$D$5:$D$25,'COM Assumptions'!$A31)*F31,"")</f>
        <v>0</v>
      </c>
      <c r="AM31" s="10">
        <f ca="1">IFERROR(SUMIFS('COM balance'!G$5:G$25,'COM balance'!$D$5:$D$25,'COM Assumptions'!$A31)*G31,"")</f>
        <v>0</v>
      </c>
      <c r="AN31" s="10">
        <f ca="1">IFERROR(SUMIFS('COM balance'!H$5:H$25,'COM balance'!$D$5:$D$25,'COM Assumptions'!$A31)*H31,"")</f>
        <v>0</v>
      </c>
      <c r="AO31" s="10">
        <f ca="1">IFERROR(SUMIFS('COM balance'!I$5:I$25,'COM balance'!$D$5:$D$25,'COM Assumptions'!$A31)*I31,"")</f>
        <v>0</v>
      </c>
      <c r="AP31" s="10">
        <f ca="1">IFERROR(SUMIFS('COM balance'!J$5:J$25,'COM balance'!$D$5:$D$25,'COM Assumptions'!$A31)*J31,"")</f>
        <v>0</v>
      </c>
      <c r="AQ31" s="10">
        <f ca="1">IFERROR(SUMIFS('COM balance'!K$5:K$25,'COM balance'!$D$5:$D$25,'COM Assumptions'!$A31)*K31,"")</f>
        <v>0</v>
      </c>
      <c r="AR31" s="10">
        <f ca="1">IFERROR(SUMIFS('COM balance'!L$5:L$25,'COM balance'!$D$5:$D$25,'COM Assumptions'!$A31)*L31,"")</f>
        <v>0</v>
      </c>
      <c r="AS31" s="10">
        <f ca="1">IFERROR(SUMIFS('COM balance'!M$5:M$25,'COM balance'!$D$5:$D$25,'COM Assumptions'!$A31)*M31,"")</f>
        <v>0</v>
      </c>
      <c r="AT31" s="10">
        <f ca="1">IFERROR(SUMIFS('COM balance'!N$5:N$25,'COM balance'!$D$5:$D$25,'COM Assumptions'!$A31)*N31,"")</f>
        <v>0</v>
      </c>
      <c r="AU31" s="10">
        <f ca="1">IFERROR(SUMIFS('COM balance'!O$5:O$25,'COM balance'!$D$5:$D$25,'COM Assumptions'!$A31)*O31,"")</f>
        <v>0</v>
      </c>
      <c r="AV31" s="10">
        <f ca="1">IFERROR(SUMIFS('COM balance'!P$5:P$25,'COM balance'!$D$5:$D$25,'COM Assumptions'!$A31)*P31,"")</f>
        <v>0</v>
      </c>
      <c r="AW31" s="10">
        <f ca="1">IFERROR(SUMIFS('COM balance'!Q$5:Q$25,'COM balance'!$D$5:$D$25,'COM Assumptions'!$A31)*Q31,"")</f>
        <v>0</v>
      </c>
      <c r="AX31" s="10">
        <f ca="1">IFERROR(SUMIFS('COM balance'!R$5:R$25,'COM balance'!$D$5:$D$25,'COM Assumptions'!$A31)*R31,"")</f>
        <v>0</v>
      </c>
      <c r="AY31" s="10">
        <f ca="1">IFERROR(SUMIFS('COM balance'!S$5:S$25,'COM balance'!$D$5:$D$25,'COM Assumptions'!$A31)*S31,"")</f>
        <v>0</v>
      </c>
      <c r="AZ31" s="10">
        <f ca="1">IFERROR(SUMIFS('COM balance'!T$5:T$25,'COM balance'!$D$5:$D$25,'COM Assumptions'!$A31)*T31,"")</f>
        <v>0</v>
      </c>
      <c r="BA31" s="10">
        <f ca="1">IFERROR(SUMIFS('COM balance'!U$5:U$25,'COM balance'!$D$5:$D$25,'COM Assumptions'!$A31)*U31,"")</f>
        <v>0</v>
      </c>
      <c r="BB31" s="10">
        <f ca="1">IFERROR(SUMIFS('COM balance'!V$5:V$25,'COM balance'!$D$5:$D$25,'COM Assumptions'!$A31)*V31,"")</f>
        <v>0</v>
      </c>
      <c r="BC31" s="10">
        <f ca="1">IFERROR(SUMIFS('COM balance'!W$5:W$25,'COM balance'!$D$5:$D$25,'COM Assumptions'!$A31)*W31,"")</f>
        <v>0</v>
      </c>
      <c r="BD31" s="10">
        <f ca="1">IFERROR(SUMIFS('COM balance'!X$5:X$25,'COM balance'!$D$5:$D$25,'COM Assumptions'!$A31)*X31,"")</f>
        <v>0</v>
      </c>
      <c r="BE31" s="10">
        <f ca="1">IFERROR(SUMIFS('COM balance'!Y$5:Y$25,'COM balance'!$D$5:$D$25,'COM Assumptions'!$A31)*Y31,"")</f>
        <v>0</v>
      </c>
      <c r="BF31" s="10">
        <f ca="1">IFERROR(SUMIFS('COM balance'!Z$5:Z$25,'COM balance'!$D$5:$D$25,'COM Assumptions'!$A31)*Z31,"")</f>
        <v>0</v>
      </c>
      <c r="BG31" s="10">
        <f ca="1">IFERROR(SUMIFS('COM balance'!AA$5:AA$25,'COM balance'!$D$5:$D$25,'COM Assumptions'!$A31)*AA31,"")</f>
        <v>0</v>
      </c>
      <c r="BH31" s="10">
        <f ca="1">IFERROR(SUMIFS('COM balance'!AB$5:AB$25,'COM balance'!$D$5:$D$25,'COM Assumptions'!$A31)*AB31,"")</f>
        <v>0</v>
      </c>
      <c r="BI31" s="10">
        <f ca="1">IFERROR(SUMIFS('COM balance'!AC$5:AC$25,'COM balance'!$D$5:$D$25,'COM Assumptions'!$A31)*AC31,"")</f>
        <v>0</v>
      </c>
      <c r="BJ31" s="10">
        <f ca="1">IFERROR(SUMIFS('COM balance'!AD$5:AD$25,'COM balance'!$D$5:$D$25,'COM Assumptions'!$A31)*AD31,"")</f>
        <v>0</v>
      </c>
      <c r="BK31" s="10">
        <f ca="1">IFERROR(SUMIFS('COM balance'!AE$5:AE$25,'COM balance'!$D$5:$D$25,'COM Assumptions'!$A31)*AE31,"")</f>
        <v>0</v>
      </c>
      <c r="BL31" s="10">
        <f ca="1">IFERROR(SUMIFS('COM balance'!AF$5:AF$25,'COM balance'!$D$5:$D$25,'COM Assumptions'!$A31)*AF31,"")</f>
        <v>0</v>
      </c>
      <c r="BM31" s="10">
        <f ca="1">IFERROR(SUMIFS('COM balance'!AG$5:AG$25,'COM balance'!$D$5:$D$25,'COM Assumptions'!$A31)*AG31,"")</f>
        <v>0</v>
      </c>
      <c r="BN31" s="10">
        <f ca="1">IFERROR(SUMIFS('COM balance'!AH$5:AH$25,'COM balance'!$D$5:$D$25,'COM Assumptions'!$A31)*AH31,"")</f>
        <v>0</v>
      </c>
    </row>
    <row r="32" spans="1:66" x14ac:dyDescent="0.45">
      <c r="A32" s="8" t="str">
        <f>VLOOKUP(C32,'COM balance'!$AM$5:$AN$25,2,FALSE)</f>
        <v>COMBIO</v>
      </c>
      <c r="B32" s="36"/>
      <c r="C32" s="20" t="s">
        <v>77</v>
      </c>
      <c r="D32" s="41" t="s">
        <v>82</v>
      </c>
      <c r="E32" s="14">
        <f ca="1">OFFSET('COM Assumptions T15'!$D32,0,MATCH(VLOOKUP('COM Assumptions'!E$2,'RES Assumptions T15'!$V$3:$W$35,2,FALSE),'COM Assumptions T15'!$E$2:$S$2,0))</f>
        <v>0</v>
      </c>
      <c r="F32" s="14">
        <f ca="1">OFFSET('COM Assumptions T15'!$D32,0,MATCH(VLOOKUP('COM Assumptions'!F$2,'RES Assumptions T15'!$V$3:$W$35,2,FALSE),'COM Assumptions T15'!$E$2:$S$2,0))</f>
        <v>0</v>
      </c>
      <c r="G32" s="25">
        <f ca="1">OFFSET('COM Assumptions T15'!$D32,0,MATCH(VLOOKUP('COM Assumptions'!G$2,'RES Assumptions T15'!$V$3:$W$35,2,FALSE),'COM Assumptions T15'!$E$2:$S$2,0))</f>
        <v>0.1</v>
      </c>
      <c r="H32" s="14">
        <f ca="1">OFFSET('COM Assumptions T15'!$D32,0,MATCH(VLOOKUP('COM Assumptions'!H$2,'RES Assumptions T15'!$V$3:$W$35,2,FALSE),'COM Assumptions T15'!$E$2:$S$2,0))</f>
        <v>1</v>
      </c>
      <c r="I32" s="14">
        <f ca="1">OFFSET('COM Assumptions T15'!$D32,0,MATCH(VLOOKUP('COM Assumptions'!I$2,'RES Assumptions T15'!$V$3:$W$35,2,FALSE),'COM Assumptions T15'!$E$2:$S$2,0))</f>
        <v>1</v>
      </c>
      <c r="J32" s="14">
        <f ca="1">OFFSET('COM Assumptions T15'!$D32,0,MATCH(VLOOKUP('COM Assumptions'!J$2,'RES Assumptions T15'!$V$3:$W$35,2,FALSE),'COM Assumptions T15'!$E$2:$S$2,0))</f>
        <v>0.2</v>
      </c>
      <c r="K32" s="14">
        <f ca="1">OFFSET('COM Assumptions T15'!$D32,0,MATCH(VLOOKUP('COM Assumptions'!K$2,'RES Assumptions T15'!$V$3:$W$35,2,FALSE),'COM Assumptions T15'!$E$2:$S$2,0))</f>
        <v>0.85</v>
      </c>
      <c r="L32" s="14">
        <f ca="1">OFFSET('COM Assumptions T15'!$D32,0,MATCH(VLOOKUP('COM Assumptions'!L$2,'RES Assumptions T15'!$V$3:$W$35,2,FALSE),'COM Assumptions T15'!$E$2:$S$2,0))</f>
        <v>0.1</v>
      </c>
      <c r="M32" s="14">
        <f ca="1">OFFSET('COM Assumptions T15'!$D32,0,MATCH(VLOOKUP('COM Assumptions'!M$2,'RES Assumptions T15'!$V$3:$W$35,2,FALSE),'COM Assumptions T15'!$E$2:$S$2,0))</f>
        <v>1</v>
      </c>
      <c r="N32" s="25">
        <f ca="1">OFFSET('COM Assumptions T15'!$D32,0,MATCH(VLOOKUP('COM Assumptions'!N$2,'RES Assumptions T15'!$V$3:$W$35,2,FALSE),'COM Assumptions T15'!$E$2:$S$2,0))</f>
        <v>0.3</v>
      </c>
      <c r="O32" s="14">
        <f ca="1">OFFSET('COM Assumptions T15'!$D32,0,MATCH(VLOOKUP('COM Assumptions'!O$2,'RES Assumptions T15'!$V$3:$W$35,2,FALSE),'COM Assumptions T15'!$E$2:$S$2,0))</f>
        <v>0.8</v>
      </c>
      <c r="P32" s="1">
        <f ca="1">OFFSET('COM Assumptions T15'!$D32,0,MATCH(VLOOKUP('COM Assumptions'!P$2,'RES Assumptions T15'!$V$3:$W$35,2,FALSE),'COM Assumptions T15'!$E$2:$S$2,0))</f>
        <v>1</v>
      </c>
      <c r="Q32" s="1">
        <f ca="1">OFFSET('COM Assumptions T15'!$D32,0,MATCH(VLOOKUP('COM Assumptions'!Q$2,'RES Assumptions T15'!$V$3:$W$35,2,FALSE),'COM Assumptions T15'!$E$2:$S$2,0))</f>
        <v>0.8</v>
      </c>
      <c r="R32" s="1">
        <f ca="1">OFFSET('COM Assumptions T15'!$D32,0,MATCH(VLOOKUP('COM Assumptions'!R$2,'RES Assumptions T15'!$V$3:$W$35,2,FALSE),'COM Assumptions T15'!$E$2:$S$2,0))</f>
        <v>0.8</v>
      </c>
      <c r="S32" s="1">
        <f ca="1">OFFSET('COM Assumptions T15'!$D32,0,MATCH(VLOOKUP('COM Assumptions'!S$2,'RES Assumptions T15'!$V$3:$W$35,2,FALSE),'COM Assumptions T15'!$E$2:$S$2,0))</f>
        <v>1</v>
      </c>
      <c r="T32" s="1">
        <f ca="1">OFFSET('COM Assumptions T15'!$D32,0,MATCH(VLOOKUP('COM Assumptions'!T$2,'RES Assumptions T15'!$V$3:$W$35,2,FALSE),'COM Assumptions T15'!$E$2:$S$2,0))</f>
        <v>0.8</v>
      </c>
      <c r="U32" s="1">
        <f ca="1">OFFSET('COM Assumptions T15'!$D32,0,MATCH(VLOOKUP('COM Assumptions'!U$2,'RES Assumptions T15'!$V$3:$W$35,2,FALSE),'COM Assumptions T15'!$E$2:$S$2,0))</f>
        <v>1</v>
      </c>
      <c r="V32" s="1">
        <f ca="1">OFFSET('COM Assumptions T15'!$D32,0,MATCH(VLOOKUP('COM Assumptions'!V$2,'RES Assumptions T15'!$V$3:$W$35,2,FALSE),'COM Assumptions T15'!$E$2:$S$2,0))</f>
        <v>0.8</v>
      </c>
      <c r="W32" s="1">
        <f ca="1">OFFSET('COM Assumptions T15'!$D32,0,MATCH(VLOOKUP('COM Assumptions'!W$2,'RES Assumptions T15'!$V$3:$W$35,2,FALSE),'COM Assumptions T15'!$E$2:$S$2,0))</f>
        <v>0.8</v>
      </c>
      <c r="X32" s="1">
        <f ca="1">OFFSET('COM Assumptions T15'!$D32,0,MATCH(VLOOKUP('COM Assumptions'!X$2,'RES Assumptions T15'!$V$3:$W$35,2,FALSE),'COM Assumptions T15'!$E$2:$S$2,0))</f>
        <v>0.1</v>
      </c>
      <c r="Y32" s="1">
        <f ca="1">OFFSET('COM Assumptions T15'!$D32,0,MATCH(VLOOKUP('COM Assumptions'!Y$2,'RES Assumptions T15'!$V$3:$W$35,2,FALSE),'COM Assumptions T15'!$E$2:$S$2,0))</f>
        <v>0.1</v>
      </c>
      <c r="Z32" s="1">
        <f ca="1">OFFSET('COM Assumptions T15'!$D32,0,MATCH(VLOOKUP('COM Assumptions'!Z$2,'RES Assumptions T15'!$V$3:$W$35,2,FALSE),'COM Assumptions T15'!$E$2:$S$2,0))</f>
        <v>0.1</v>
      </c>
      <c r="AA32" s="1">
        <f ca="1">OFFSET('COM Assumptions T15'!$D32,0,MATCH(VLOOKUP('COM Assumptions'!AA$2,'RES Assumptions T15'!$V$3:$W$35,2,FALSE),'COM Assumptions T15'!$E$2:$S$2,0))</f>
        <v>1</v>
      </c>
      <c r="AB32" s="1">
        <f ca="1">OFFSET('COM Assumptions T15'!$D32,0,MATCH(VLOOKUP('COM Assumptions'!AB$2,'RES Assumptions T15'!$V$3:$W$35,2,FALSE),'COM Assumptions T15'!$E$2:$S$2,0))</f>
        <v>0.8</v>
      </c>
      <c r="AC32" s="1">
        <f ca="1">OFFSET('COM Assumptions T15'!$D32,0,MATCH(VLOOKUP('COM Assumptions'!AC$2,'RES Assumptions T15'!$V$3:$W$35,2,FALSE),'COM Assumptions T15'!$E$2:$S$2,0))</f>
        <v>1</v>
      </c>
      <c r="AD32" s="1">
        <f ca="1">OFFSET('COM Assumptions T15'!$D32,0,MATCH(VLOOKUP('COM Assumptions'!AD$2,'RES Assumptions T15'!$V$3:$W$35,2,FALSE),'COM Assumptions T15'!$E$2:$S$2,0))</f>
        <v>1</v>
      </c>
      <c r="AE32" s="1">
        <f ca="1">OFFSET('COM Assumptions T15'!$D32,0,MATCH(VLOOKUP('COM Assumptions'!AE$2,'RES Assumptions T15'!$V$3:$W$35,2,FALSE),'COM Assumptions T15'!$E$2:$S$2,0))</f>
        <v>0</v>
      </c>
      <c r="AF32" s="1">
        <f ca="1">OFFSET('COM Assumptions T15'!$D32,0,MATCH(VLOOKUP('COM Assumptions'!AF$2,'RES Assumptions T15'!$V$3:$W$35,2,FALSE),'COM Assumptions T15'!$E$2:$S$2,0))</f>
        <v>0.8</v>
      </c>
      <c r="AG32" s="1">
        <f ca="1">OFFSET('COM Assumptions T15'!$D32,0,MATCH(VLOOKUP('COM Assumptions'!AG$2,'RES Assumptions T15'!$V$3:$W$35,2,FALSE),'COM Assumptions T15'!$E$2:$S$2,0))</f>
        <v>1</v>
      </c>
      <c r="AH32" s="1">
        <f ca="1">OFFSET('COM Assumptions T15'!$D32,0,MATCH(VLOOKUP('COM Assumptions'!AH$2,'RES Assumptions T15'!$V$3:$W$35,2,FALSE),'COM Assumptions T15'!$E$2:$S$2,0))</f>
        <v>1</v>
      </c>
      <c r="AI32" s="1"/>
      <c r="AK32" s="10">
        <f ca="1">IFERROR(SUMIFS('COM balance'!E$5:E$25,'COM balance'!$D$5:$D$25,'COM Assumptions'!$A32)*E32,"")</f>
        <v>0</v>
      </c>
      <c r="AL32" s="10">
        <f ca="1">IFERROR(SUMIFS('COM balance'!F$5:F$25,'COM balance'!$D$5:$D$25,'COM Assumptions'!$A32)*F32,"")</f>
        <v>0</v>
      </c>
      <c r="AM32" s="10">
        <f ca="1">IFERROR(SUMIFS('COM balance'!G$5:G$25,'COM balance'!$D$5:$D$25,'COM Assumptions'!$A32)*G32,"")</f>
        <v>0.69543082944000001</v>
      </c>
      <c r="AN32" s="10">
        <f ca="1">IFERROR(SUMIFS('COM balance'!H$5:H$25,'COM balance'!$D$5:$D$25,'COM Assumptions'!$A32)*H32,"")</f>
        <v>1.1963404188</v>
      </c>
      <c r="AO32" s="10">
        <f ca="1">IFERROR(SUMIFS('COM balance'!I$5:I$25,'COM balance'!$D$5:$D$25,'COM Assumptions'!$A32)*I32,"")</f>
        <v>100.12365855</v>
      </c>
      <c r="AP32" s="10">
        <f ca="1">IFERROR(SUMIFS('COM balance'!J$5:J$25,'COM balance'!$D$5:$D$25,'COM Assumptions'!$A32)*J32,"")</f>
        <v>13.78595842128</v>
      </c>
      <c r="AQ32" s="10">
        <f ca="1">IFERROR(SUMIFS('COM balance'!K$5:K$25,'COM balance'!$D$5:$D$25,'COM Assumptions'!$A32)*K32,"")</f>
        <v>0.13174959438</v>
      </c>
      <c r="AR32" s="10">
        <f ca="1">IFERROR(SUMIFS('COM balance'!L$5:L$25,'COM balance'!$D$5:$D$25,'COM Assumptions'!$A32)*L32,"")</f>
        <v>0.69024045347999996</v>
      </c>
      <c r="AS32" s="10">
        <f ca="1">IFERROR(SUMIFS('COM balance'!M$5:M$25,'COM balance'!$D$5:$D$25,'COM Assumptions'!$A32)*M32,"")</f>
        <v>0</v>
      </c>
      <c r="AT32" s="10">
        <f ca="1">IFERROR(SUMIFS('COM balance'!N$5:N$25,'COM balance'!$D$5:$D$25,'COM Assumptions'!$A32)*N32,"")</f>
        <v>3.0011819759999999E-2</v>
      </c>
      <c r="AU32" s="10">
        <f ca="1">IFERROR(SUMIFS('COM balance'!O$5:O$25,'COM balance'!$D$5:$D$25,'COM Assumptions'!$A32)*O32,"")</f>
        <v>7.3767698121600009</v>
      </c>
      <c r="AV32" s="10">
        <f ca="1">IFERROR(SUMIFS('COM balance'!P$5:P$25,'COM balance'!$D$5:$D$25,'COM Assumptions'!$A32)*P32,"")</f>
        <v>19.2996784332</v>
      </c>
      <c r="AW32" s="10">
        <f ca="1">IFERROR(SUMIFS('COM balance'!Q$5:Q$25,'COM balance'!$D$5:$D$25,'COM Assumptions'!$A32)*Q32,"")</f>
        <v>8.0567429760000007</v>
      </c>
      <c r="AX32" s="10">
        <f ca="1">IFERROR(SUMIFS('COM balance'!R$5:R$25,'COM balance'!$D$5:$D$25,'COM Assumptions'!$A32)*R32,"")</f>
        <v>2.7704524521600002</v>
      </c>
      <c r="AY32" s="10">
        <f ca="1">IFERROR(SUMIFS('COM balance'!S$5:S$25,'COM balance'!$D$5:$D$25,'COM Assumptions'!$A32)*S32,"")</f>
        <v>10.852047435599999</v>
      </c>
      <c r="AZ32" s="10">
        <f ca="1">IFERROR(SUMIFS('COM balance'!T$5:T$25,'COM balance'!$D$5:$D$25,'COM Assumptions'!$A32)*T32,"")</f>
        <v>5.12659257408</v>
      </c>
      <c r="BA32" s="10">
        <f ca="1">IFERROR(SUMIFS('COM balance'!U$5:U$25,'COM balance'!$D$5:$D$25,'COM Assumptions'!$A32)*U32,"")</f>
        <v>22.028107136399999</v>
      </c>
      <c r="BB32" s="10">
        <f ca="1">IFERROR(SUMIFS('COM balance'!V$5:V$25,'COM balance'!$D$5:$D$25,'COM Assumptions'!$A32)*V32,"")</f>
        <v>13.835776317120001</v>
      </c>
      <c r="BC32" s="10">
        <f ca="1">IFERROR(SUMIFS('COM balance'!W$5:W$25,'COM balance'!$D$5:$D$25,'COM Assumptions'!$A32)*W32,"")</f>
        <v>52.437335440319998</v>
      </c>
      <c r="BD32" s="10">
        <f ca="1">IFERROR(SUMIFS('COM balance'!X$5:X$25,'COM balance'!$D$5:$D$25,'COM Assumptions'!$A32)*X32,"")</f>
        <v>10.97439996672</v>
      </c>
      <c r="BE32" s="10">
        <f ca="1">IFERROR(SUMIFS('COM balance'!Y$5:Y$25,'COM balance'!$D$5:$D$25,'COM Assumptions'!$A32)*Y32,"")</f>
        <v>2.5112367784800003</v>
      </c>
      <c r="BF32" s="10">
        <f ca="1">IFERROR(SUMIFS('COM balance'!Z$5:Z$25,'COM balance'!$D$5:$D$25,'COM Assumptions'!$A32)*Z32,"")</f>
        <v>0</v>
      </c>
      <c r="BG32" s="10">
        <f ca="1">IFERROR(SUMIFS('COM balance'!AA$5:AA$25,'COM balance'!$D$5:$D$25,'COM Assumptions'!$A32)*AA32,"")</f>
        <v>10.996697188800001</v>
      </c>
      <c r="BH32" s="10">
        <f ca="1">IFERROR(SUMIFS('COM balance'!AB$5:AB$25,'COM balance'!$D$5:$D$25,'COM Assumptions'!$A32)*AB32,"")</f>
        <v>1.5825936528</v>
      </c>
      <c r="BI32" s="10">
        <f ca="1">IFERROR(SUMIFS('COM balance'!AC$5:AC$25,'COM balance'!$D$5:$D$25,'COM Assumptions'!$A32)*AC32,"")</f>
        <v>47.9797901568</v>
      </c>
      <c r="BJ32" s="10">
        <f ca="1">IFERROR(SUMIFS('COM balance'!AD$5:AD$25,'COM balance'!$D$5:$D$25,'COM Assumptions'!$A32)*AD32,"")</f>
        <v>0</v>
      </c>
      <c r="BK32" s="10">
        <f ca="1">IFERROR(SUMIFS('COM balance'!AE$5:AE$25,'COM balance'!$D$5:$D$25,'COM Assumptions'!$A32)*AE32,"")</f>
        <v>0</v>
      </c>
      <c r="BL32" s="10">
        <f ca="1">IFERROR(SUMIFS('COM balance'!AF$5:AF$25,'COM balance'!$D$5:$D$25,'COM Assumptions'!$A32)*AF32,"")</f>
        <v>7.3679976288000013</v>
      </c>
      <c r="BM32" s="10">
        <f ca="1">IFERROR(SUMIFS('COM balance'!AG$5:AG$25,'COM balance'!$D$5:$D$25,'COM Assumptions'!$A32)*AG32,"")</f>
        <v>87.447744737999997</v>
      </c>
      <c r="BN32" s="10">
        <f ca="1">IFERROR(SUMIFS('COM balance'!AH$5:AH$25,'COM balance'!$D$5:$D$25,'COM Assumptions'!$A32)*AH32,"")</f>
        <v>0</v>
      </c>
    </row>
    <row r="33" spans="1:67" x14ac:dyDescent="0.45">
      <c r="A33" s="8" t="str">
        <f>VLOOKUP(C33,'COM balance'!$AM$5:$AN$25,2,FALSE)</f>
        <v>COMBIO</v>
      </c>
      <c r="B33" s="36"/>
      <c r="C33" s="20" t="s">
        <v>77</v>
      </c>
      <c r="D33" s="41" t="s">
        <v>84</v>
      </c>
      <c r="E33" s="14">
        <f ca="1">OFFSET('COM Assumptions T15'!$D33,0,MATCH(VLOOKUP('COM Assumptions'!E$2,'RES Assumptions T15'!$V$3:$W$35,2,FALSE),'COM Assumptions T15'!$E$2:$S$2,0))</f>
        <v>0.2</v>
      </c>
      <c r="F33" s="14">
        <f ca="1">OFFSET('COM Assumptions T15'!$D33,0,MATCH(VLOOKUP('COM Assumptions'!F$2,'RES Assumptions T15'!$V$3:$W$35,2,FALSE),'COM Assumptions T15'!$E$2:$S$2,0))</f>
        <v>0.2</v>
      </c>
      <c r="G33" s="14">
        <f ca="1">OFFSET('COM Assumptions T15'!$D33,0,MATCH(VLOOKUP('COM Assumptions'!G$2,'RES Assumptions T15'!$V$3:$W$35,2,FALSE),'COM Assumptions T15'!$E$2:$S$2,0))</f>
        <v>0.2</v>
      </c>
      <c r="H33" s="14">
        <f ca="1">OFFSET('COM Assumptions T15'!$D33,0,MATCH(VLOOKUP('COM Assumptions'!H$2,'RES Assumptions T15'!$V$3:$W$35,2,FALSE),'COM Assumptions T15'!$E$2:$S$2,0))</f>
        <v>0</v>
      </c>
      <c r="I33" s="14">
        <f ca="1">OFFSET('COM Assumptions T15'!$D33,0,MATCH(VLOOKUP('COM Assumptions'!I$2,'RES Assumptions T15'!$V$3:$W$35,2,FALSE),'COM Assumptions T15'!$E$2:$S$2,0))</f>
        <v>0</v>
      </c>
      <c r="J33" s="14">
        <f ca="1">OFFSET('COM Assumptions T15'!$D33,0,MATCH(VLOOKUP('COM Assumptions'!J$2,'RES Assumptions T15'!$V$3:$W$35,2,FALSE),'COM Assumptions T15'!$E$2:$S$2,0))</f>
        <v>0.3</v>
      </c>
      <c r="K33" s="14">
        <f ca="1">OFFSET('COM Assumptions T15'!$D33,0,MATCH(VLOOKUP('COM Assumptions'!K$2,'RES Assumptions T15'!$V$3:$W$35,2,FALSE),'COM Assumptions T15'!$E$2:$S$2,0))</f>
        <v>0.15</v>
      </c>
      <c r="L33" s="14">
        <f ca="1">OFFSET('COM Assumptions T15'!$D33,0,MATCH(VLOOKUP('COM Assumptions'!L$2,'RES Assumptions T15'!$V$3:$W$35,2,FALSE),'COM Assumptions T15'!$E$2:$S$2,0))</f>
        <v>0.2</v>
      </c>
      <c r="M33" s="14">
        <f ca="1">OFFSET('COM Assumptions T15'!$D33,0,MATCH(VLOOKUP('COM Assumptions'!M$2,'RES Assumptions T15'!$V$3:$W$35,2,FALSE),'COM Assumptions T15'!$E$2:$S$2,0))</f>
        <v>0</v>
      </c>
      <c r="N33" s="14">
        <f ca="1">OFFSET('COM Assumptions T15'!$D33,0,MATCH(VLOOKUP('COM Assumptions'!N$2,'RES Assumptions T15'!$V$3:$W$35,2,FALSE),'COM Assumptions T15'!$E$2:$S$2,0))</f>
        <v>0.35</v>
      </c>
      <c r="O33" s="14">
        <f ca="1">OFFSET('COM Assumptions T15'!$D33,0,MATCH(VLOOKUP('COM Assumptions'!O$2,'RES Assumptions T15'!$V$3:$W$35,2,FALSE),'COM Assumptions T15'!$E$2:$S$2,0))</f>
        <v>0</v>
      </c>
      <c r="P33" s="1">
        <f ca="1">OFFSET('COM Assumptions T15'!$D33,0,MATCH(VLOOKUP('COM Assumptions'!P$2,'RES Assumptions T15'!$V$3:$W$35,2,FALSE),'COM Assumptions T15'!$E$2:$S$2,0))</f>
        <v>0</v>
      </c>
      <c r="Q33" s="1">
        <f ca="1">OFFSET('COM Assumptions T15'!$D33,0,MATCH(VLOOKUP('COM Assumptions'!Q$2,'RES Assumptions T15'!$V$3:$W$35,2,FALSE),'COM Assumptions T15'!$E$2:$S$2,0))</f>
        <v>0</v>
      </c>
      <c r="R33" s="1">
        <f ca="1">OFFSET('COM Assumptions T15'!$D33,0,MATCH(VLOOKUP('COM Assumptions'!R$2,'RES Assumptions T15'!$V$3:$W$35,2,FALSE),'COM Assumptions T15'!$E$2:$S$2,0))</f>
        <v>0</v>
      </c>
      <c r="S33" s="1">
        <f ca="1">OFFSET('COM Assumptions T15'!$D33,0,MATCH(VLOOKUP('COM Assumptions'!S$2,'RES Assumptions T15'!$V$3:$W$35,2,FALSE),'COM Assumptions T15'!$E$2:$S$2,0))</f>
        <v>0</v>
      </c>
      <c r="T33" s="1">
        <f ca="1">OFFSET('COM Assumptions T15'!$D33,0,MATCH(VLOOKUP('COM Assumptions'!T$2,'RES Assumptions T15'!$V$3:$W$35,2,FALSE),'COM Assumptions T15'!$E$2:$S$2,0))</f>
        <v>0</v>
      </c>
      <c r="U33" s="1">
        <f ca="1">OFFSET('COM Assumptions T15'!$D33,0,MATCH(VLOOKUP('COM Assumptions'!U$2,'RES Assumptions T15'!$V$3:$W$35,2,FALSE),'COM Assumptions T15'!$E$2:$S$2,0))</f>
        <v>0</v>
      </c>
      <c r="V33" s="1">
        <f ca="1">OFFSET('COM Assumptions T15'!$D33,0,MATCH(VLOOKUP('COM Assumptions'!V$2,'RES Assumptions T15'!$V$3:$W$35,2,FALSE),'COM Assumptions T15'!$E$2:$S$2,0))</f>
        <v>0</v>
      </c>
      <c r="W33" s="1">
        <f ca="1">OFFSET('COM Assumptions T15'!$D33,0,MATCH(VLOOKUP('COM Assumptions'!W$2,'RES Assumptions T15'!$V$3:$W$35,2,FALSE),'COM Assumptions T15'!$E$2:$S$2,0))</f>
        <v>0</v>
      </c>
      <c r="X33" s="1">
        <f ca="1">OFFSET('COM Assumptions T15'!$D33,0,MATCH(VLOOKUP('COM Assumptions'!X$2,'RES Assumptions T15'!$V$3:$W$35,2,FALSE),'COM Assumptions T15'!$E$2:$S$2,0))</f>
        <v>0.2</v>
      </c>
      <c r="Y33" s="1">
        <f ca="1">OFFSET('COM Assumptions T15'!$D33,0,MATCH(VLOOKUP('COM Assumptions'!Y$2,'RES Assumptions T15'!$V$3:$W$35,2,FALSE),'COM Assumptions T15'!$E$2:$S$2,0))</f>
        <v>0.2</v>
      </c>
      <c r="Z33" s="1">
        <f ca="1">OFFSET('COM Assumptions T15'!$D33,0,MATCH(VLOOKUP('COM Assumptions'!Z$2,'RES Assumptions T15'!$V$3:$W$35,2,FALSE),'COM Assumptions T15'!$E$2:$S$2,0))</f>
        <v>0.2</v>
      </c>
      <c r="AA33" s="1">
        <f ca="1">OFFSET('COM Assumptions T15'!$D33,0,MATCH(VLOOKUP('COM Assumptions'!AA$2,'RES Assumptions T15'!$V$3:$W$35,2,FALSE),'COM Assumptions T15'!$E$2:$S$2,0))</f>
        <v>0</v>
      </c>
      <c r="AB33" s="1">
        <f ca="1">OFFSET('COM Assumptions T15'!$D33,0,MATCH(VLOOKUP('COM Assumptions'!AB$2,'RES Assumptions T15'!$V$3:$W$35,2,FALSE),'COM Assumptions T15'!$E$2:$S$2,0))</f>
        <v>0</v>
      </c>
      <c r="AC33" s="1">
        <f ca="1">OFFSET('COM Assumptions T15'!$D33,0,MATCH(VLOOKUP('COM Assumptions'!AC$2,'RES Assumptions T15'!$V$3:$W$35,2,FALSE),'COM Assumptions T15'!$E$2:$S$2,0))</f>
        <v>0</v>
      </c>
      <c r="AD33" s="1">
        <f ca="1">OFFSET('COM Assumptions T15'!$D33,0,MATCH(VLOOKUP('COM Assumptions'!AD$2,'RES Assumptions T15'!$V$3:$W$35,2,FALSE),'COM Assumptions T15'!$E$2:$S$2,0))</f>
        <v>0</v>
      </c>
      <c r="AE33" s="1">
        <f ca="1">OFFSET('COM Assumptions T15'!$D33,0,MATCH(VLOOKUP('COM Assumptions'!AE$2,'RES Assumptions T15'!$V$3:$W$35,2,FALSE),'COM Assumptions T15'!$E$2:$S$2,0))</f>
        <v>0.2</v>
      </c>
      <c r="AF33" s="1">
        <f ca="1">OFFSET('COM Assumptions T15'!$D33,0,MATCH(VLOOKUP('COM Assumptions'!AF$2,'RES Assumptions T15'!$V$3:$W$35,2,FALSE),'COM Assumptions T15'!$E$2:$S$2,0))</f>
        <v>0</v>
      </c>
      <c r="AG33" s="1">
        <f ca="1">OFFSET('COM Assumptions T15'!$D33,0,MATCH(VLOOKUP('COM Assumptions'!AG$2,'RES Assumptions T15'!$V$3:$W$35,2,FALSE),'COM Assumptions T15'!$E$2:$S$2,0))</f>
        <v>0</v>
      </c>
      <c r="AH33" s="1">
        <f ca="1">OFFSET('COM Assumptions T15'!$D33,0,MATCH(VLOOKUP('COM Assumptions'!AH$2,'RES Assumptions T15'!$V$3:$W$35,2,FALSE),'COM Assumptions T15'!$E$2:$S$2,0))</f>
        <v>0</v>
      </c>
      <c r="AI33" s="1"/>
      <c r="AK33" s="10">
        <f ca="1">IFERROR(SUMIFS('COM balance'!E$5:E$25,'COM balance'!$D$5:$D$25,'COM Assumptions'!$A33)*E33,"")</f>
        <v>5.6353323168000005</v>
      </c>
      <c r="AL33" s="10">
        <f ca="1">IFERROR(SUMIFS('COM balance'!F$5:F$25,'COM balance'!$D$5:$D$25,'COM Assumptions'!$A33)*F33,"")</f>
        <v>64.241914207679997</v>
      </c>
      <c r="AM33" s="10">
        <f ca="1">IFERROR(SUMIFS('COM balance'!G$5:G$25,'COM balance'!$D$5:$D$25,'COM Assumptions'!$A33)*G33,"")</f>
        <v>1.39086165888</v>
      </c>
      <c r="AN33" s="10">
        <f ca="1">IFERROR(SUMIFS('COM balance'!H$5:H$25,'COM balance'!$D$5:$D$25,'COM Assumptions'!$A33)*H33,"")</f>
        <v>0</v>
      </c>
      <c r="AO33" s="10">
        <f ca="1">IFERROR(SUMIFS('COM balance'!I$5:I$25,'COM balance'!$D$5:$D$25,'COM Assumptions'!$A33)*I33,"")</f>
        <v>0</v>
      </c>
      <c r="AP33" s="10">
        <f ca="1">IFERROR(SUMIFS('COM balance'!J$5:J$25,'COM balance'!$D$5:$D$25,'COM Assumptions'!$A33)*J33,"")</f>
        <v>20.67893763192</v>
      </c>
      <c r="AQ33" s="10">
        <f ca="1">IFERROR(SUMIFS('COM balance'!K$5:K$25,'COM balance'!$D$5:$D$25,'COM Assumptions'!$A33)*K33,"")</f>
        <v>2.324992842E-2</v>
      </c>
      <c r="AR33" s="10">
        <f ca="1">IFERROR(SUMIFS('COM balance'!L$5:L$25,'COM balance'!$D$5:$D$25,'COM Assumptions'!$A33)*L33,"")</f>
        <v>1.3804809069599999</v>
      </c>
      <c r="AS33" s="10">
        <f ca="1">IFERROR(SUMIFS('COM balance'!M$5:M$25,'COM balance'!$D$5:$D$25,'COM Assumptions'!$A33)*M33,"")</f>
        <v>0</v>
      </c>
      <c r="AT33" s="10">
        <f ca="1">IFERROR(SUMIFS('COM balance'!N$5:N$25,'COM balance'!$D$5:$D$25,'COM Assumptions'!$A33)*N33,"")</f>
        <v>3.5013789720000001E-2</v>
      </c>
      <c r="AU33" s="10">
        <f ca="1">IFERROR(SUMIFS('COM balance'!O$5:O$25,'COM balance'!$D$5:$D$25,'COM Assumptions'!$A33)*O33,"")</f>
        <v>0</v>
      </c>
      <c r="AV33" s="10">
        <f ca="1">IFERROR(SUMIFS('COM balance'!P$5:P$25,'COM balance'!$D$5:$D$25,'COM Assumptions'!$A33)*P33,"")</f>
        <v>0</v>
      </c>
      <c r="AW33" s="10">
        <f ca="1">IFERROR(SUMIFS('COM balance'!Q$5:Q$25,'COM balance'!$D$5:$D$25,'COM Assumptions'!$A33)*Q33,"")</f>
        <v>0</v>
      </c>
      <c r="AX33" s="10">
        <f ca="1">IFERROR(SUMIFS('COM balance'!R$5:R$25,'COM balance'!$D$5:$D$25,'COM Assumptions'!$A33)*R33,"")</f>
        <v>0</v>
      </c>
      <c r="AY33" s="10">
        <f ca="1">IFERROR(SUMIFS('COM balance'!S$5:S$25,'COM balance'!$D$5:$D$25,'COM Assumptions'!$A33)*S33,"")</f>
        <v>0</v>
      </c>
      <c r="AZ33" s="10">
        <f ca="1">IFERROR(SUMIFS('COM balance'!T$5:T$25,'COM balance'!$D$5:$D$25,'COM Assumptions'!$A33)*T33,"")</f>
        <v>0</v>
      </c>
      <c r="BA33" s="10">
        <f ca="1">IFERROR(SUMIFS('COM balance'!U$5:U$25,'COM balance'!$D$5:$D$25,'COM Assumptions'!$A33)*U33,"")</f>
        <v>0</v>
      </c>
      <c r="BB33" s="10">
        <f ca="1">IFERROR(SUMIFS('COM balance'!V$5:V$25,'COM balance'!$D$5:$D$25,'COM Assumptions'!$A33)*V33,"")</f>
        <v>0</v>
      </c>
      <c r="BC33" s="10">
        <f ca="1">IFERROR(SUMIFS('COM balance'!W$5:W$25,'COM balance'!$D$5:$D$25,'COM Assumptions'!$A33)*W33,"")</f>
        <v>0</v>
      </c>
      <c r="BD33" s="10">
        <f ca="1">IFERROR(SUMIFS('COM balance'!X$5:X$25,'COM balance'!$D$5:$D$25,'COM Assumptions'!$A33)*X33,"")</f>
        <v>21.94879993344</v>
      </c>
      <c r="BE33" s="10">
        <f ca="1">IFERROR(SUMIFS('COM balance'!Y$5:Y$25,'COM balance'!$D$5:$D$25,'COM Assumptions'!$A33)*Y33,"")</f>
        <v>5.0224735569600005</v>
      </c>
      <c r="BF33" s="10">
        <f ca="1">IFERROR(SUMIFS('COM balance'!Z$5:Z$25,'COM balance'!$D$5:$D$25,'COM Assumptions'!$A33)*Z33,"")</f>
        <v>0</v>
      </c>
      <c r="BG33" s="10">
        <f ca="1">IFERROR(SUMIFS('COM balance'!AA$5:AA$25,'COM balance'!$D$5:$D$25,'COM Assumptions'!$A33)*AA33,"")</f>
        <v>0</v>
      </c>
      <c r="BH33" s="10">
        <f ca="1">IFERROR(SUMIFS('COM balance'!AB$5:AB$25,'COM balance'!$D$5:$D$25,'COM Assumptions'!$A33)*AB33,"")</f>
        <v>0</v>
      </c>
      <c r="BI33" s="10">
        <f ca="1">IFERROR(SUMIFS('COM balance'!AC$5:AC$25,'COM balance'!$D$5:$D$25,'COM Assumptions'!$A33)*AC33,"")</f>
        <v>0</v>
      </c>
      <c r="BJ33" s="10">
        <f ca="1">IFERROR(SUMIFS('COM balance'!AD$5:AD$25,'COM balance'!$D$5:$D$25,'COM Assumptions'!$A33)*AD33,"")</f>
        <v>0</v>
      </c>
      <c r="BK33" s="10">
        <f ca="1">IFERROR(SUMIFS('COM balance'!AE$5:AE$25,'COM balance'!$D$5:$D$25,'COM Assumptions'!$A33)*AE33,"")</f>
        <v>0</v>
      </c>
      <c r="BL33" s="10">
        <f ca="1">IFERROR(SUMIFS('COM balance'!AF$5:AF$25,'COM balance'!$D$5:$D$25,'COM Assumptions'!$A33)*AF33,"")</f>
        <v>0</v>
      </c>
      <c r="BM33" s="10">
        <f ca="1">IFERROR(SUMIFS('COM balance'!AG$5:AG$25,'COM balance'!$D$5:$D$25,'COM Assumptions'!$A33)*AG33,"")</f>
        <v>0</v>
      </c>
      <c r="BN33" s="10">
        <f ca="1">IFERROR(SUMIFS('COM balance'!AH$5:AH$25,'COM balance'!$D$5:$D$25,'COM Assumptions'!$A33)*AH33,"")</f>
        <v>0</v>
      </c>
    </row>
    <row r="34" spans="1:67" x14ac:dyDescent="0.45">
      <c r="A34" s="8" t="str">
        <f>VLOOKUP(C34,'COM balance'!$AM$5:$AN$25,2,FALSE)</f>
        <v>COMBIO</v>
      </c>
      <c r="B34" s="36"/>
      <c r="C34" s="20" t="s">
        <v>77</v>
      </c>
      <c r="D34" s="41" t="s">
        <v>86</v>
      </c>
      <c r="E34" s="14">
        <f ca="1">OFFSET('COM Assumptions T15'!$D34,0,MATCH(VLOOKUP('COM Assumptions'!E$2,'RES Assumptions T15'!$V$3:$W$35,2,FALSE),'COM Assumptions T15'!$E$2:$S$2,0))</f>
        <v>0.8</v>
      </c>
      <c r="F34" s="14">
        <f ca="1">OFFSET('COM Assumptions T15'!$D34,0,MATCH(VLOOKUP('COM Assumptions'!F$2,'RES Assumptions T15'!$V$3:$W$35,2,FALSE),'COM Assumptions T15'!$E$2:$S$2,0))</f>
        <v>0.8</v>
      </c>
      <c r="G34" s="14">
        <f ca="1">OFFSET('COM Assumptions T15'!$D34,0,MATCH(VLOOKUP('COM Assumptions'!G$2,'RES Assumptions T15'!$V$3:$W$35,2,FALSE),'COM Assumptions T15'!$E$2:$S$2,0))</f>
        <v>0.7</v>
      </c>
      <c r="H34" s="14">
        <f ca="1">OFFSET('COM Assumptions T15'!$D34,0,MATCH(VLOOKUP('COM Assumptions'!H$2,'RES Assumptions T15'!$V$3:$W$35,2,FALSE),'COM Assumptions T15'!$E$2:$S$2,0))</f>
        <v>0</v>
      </c>
      <c r="I34" s="14">
        <f ca="1">OFFSET('COM Assumptions T15'!$D34,0,MATCH(VLOOKUP('COM Assumptions'!I$2,'RES Assumptions T15'!$V$3:$W$35,2,FALSE),'COM Assumptions T15'!$E$2:$S$2,0))</f>
        <v>0</v>
      </c>
      <c r="J34" s="14">
        <f ca="1">OFFSET('COM Assumptions T15'!$D34,0,MATCH(VLOOKUP('COM Assumptions'!J$2,'RES Assumptions T15'!$V$3:$W$35,2,FALSE),'COM Assumptions T15'!$E$2:$S$2,0))</f>
        <v>0.5</v>
      </c>
      <c r="K34" s="14">
        <f ca="1">OFFSET('COM Assumptions T15'!$D34,0,MATCH(VLOOKUP('COM Assumptions'!K$2,'RES Assumptions T15'!$V$3:$W$35,2,FALSE),'COM Assumptions T15'!$E$2:$S$2,0))</f>
        <v>0</v>
      </c>
      <c r="L34" s="14">
        <f ca="1">OFFSET('COM Assumptions T15'!$D34,0,MATCH(VLOOKUP('COM Assumptions'!L$2,'RES Assumptions T15'!$V$3:$W$35,2,FALSE),'COM Assumptions T15'!$E$2:$S$2,0))</f>
        <v>0.7</v>
      </c>
      <c r="M34" s="14">
        <f ca="1">OFFSET('COM Assumptions T15'!$D34,0,MATCH(VLOOKUP('COM Assumptions'!M$2,'RES Assumptions T15'!$V$3:$W$35,2,FALSE),'COM Assumptions T15'!$E$2:$S$2,0))</f>
        <v>0</v>
      </c>
      <c r="N34" s="14">
        <f ca="1">OFFSET('COM Assumptions T15'!$D34,0,MATCH(VLOOKUP('COM Assumptions'!N$2,'RES Assumptions T15'!$V$3:$W$35,2,FALSE),'COM Assumptions T15'!$E$2:$S$2,0))</f>
        <v>0.35</v>
      </c>
      <c r="O34" s="14">
        <f ca="1">OFFSET('COM Assumptions T15'!$D34,0,MATCH(VLOOKUP('COM Assumptions'!O$2,'RES Assumptions T15'!$V$3:$W$35,2,FALSE),'COM Assumptions T15'!$E$2:$S$2,0))</f>
        <v>0.2</v>
      </c>
      <c r="P34" s="1">
        <f ca="1">OFFSET('COM Assumptions T15'!$D34,0,MATCH(VLOOKUP('COM Assumptions'!P$2,'RES Assumptions T15'!$V$3:$W$35,2,FALSE),'COM Assumptions T15'!$E$2:$S$2,0))</f>
        <v>0</v>
      </c>
      <c r="Q34" s="1">
        <f ca="1">OFFSET('COM Assumptions T15'!$D34,0,MATCH(VLOOKUP('COM Assumptions'!Q$2,'RES Assumptions T15'!$V$3:$W$35,2,FALSE),'COM Assumptions T15'!$E$2:$S$2,0))</f>
        <v>0.2</v>
      </c>
      <c r="R34" s="1">
        <f ca="1">OFFSET('COM Assumptions T15'!$D34,0,MATCH(VLOOKUP('COM Assumptions'!R$2,'RES Assumptions T15'!$V$3:$W$35,2,FALSE),'COM Assumptions T15'!$E$2:$S$2,0))</f>
        <v>0.2</v>
      </c>
      <c r="S34" s="1">
        <f ca="1">OFFSET('COM Assumptions T15'!$D34,0,MATCH(VLOOKUP('COM Assumptions'!S$2,'RES Assumptions T15'!$V$3:$W$35,2,FALSE),'COM Assumptions T15'!$E$2:$S$2,0))</f>
        <v>0</v>
      </c>
      <c r="T34" s="1">
        <f ca="1">OFFSET('COM Assumptions T15'!$D34,0,MATCH(VLOOKUP('COM Assumptions'!T$2,'RES Assumptions T15'!$V$3:$W$35,2,FALSE),'COM Assumptions T15'!$E$2:$S$2,0))</f>
        <v>0.2</v>
      </c>
      <c r="U34" s="1">
        <f ca="1">OFFSET('COM Assumptions T15'!$D34,0,MATCH(VLOOKUP('COM Assumptions'!U$2,'RES Assumptions T15'!$V$3:$W$35,2,FALSE),'COM Assumptions T15'!$E$2:$S$2,0))</f>
        <v>0</v>
      </c>
      <c r="V34" s="1">
        <f ca="1">OFFSET('COM Assumptions T15'!$D34,0,MATCH(VLOOKUP('COM Assumptions'!V$2,'RES Assumptions T15'!$V$3:$W$35,2,FALSE),'COM Assumptions T15'!$E$2:$S$2,0))</f>
        <v>0.2</v>
      </c>
      <c r="W34" s="1">
        <f ca="1">OFFSET('COM Assumptions T15'!$D34,0,MATCH(VLOOKUP('COM Assumptions'!W$2,'RES Assumptions T15'!$V$3:$W$35,2,FALSE),'COM Assumptions T15'!$E$2:$S$2,0))</f>
        <v>0.2</v>
      </c>
      <c r="X34" s="1">
        <f ca="1">OFFSET('COM Assumptions T15'!$D34,0,MATCH(VLOOKUP('COM Assumptions'!X$2,'RES Assumptions T15'!$V$3:$W$35,2,FALSE),'COM Assumptions T15'!$E$2:$S$2,0))</f>
        <v>0.7</v>
      </c>
      <c r="Y34" s="1">
        <f ca="1">OFFSET('COM Assumptions T15'!$D34,0,MATCH(VLOOKUP('COM Assumptions'!Y$2,'RES Assumptions T15'!$V$3:$W$35,2,FALSE),'COM Assumptions T15'!$E$2:$S$2,0))</f>
        <v>0.7</v>
      </c>
      <c r="Z34" s="1">
        <f ca="1">OFFSET('COM Assumptions T15'!$D34,0,MATCH(VLOOKUP('COM Assumptions'!Z$2,'RES Assumptions T15'!$V$3:$W$35,2,FALSE),'COM Assumptions T15'!$E$2:$S$2,0))</f>
        <v>0.7</v>
      </c>
      <c r="AA34" s="1">
        <f ca="1">OFFSET('COM Assumptions T15'!$D34,0,MATCH(VLOOKUP('COM Assumptions'!AA$2,'RES Assumptions T15'!$V$3:$W$35,2,FALSE),'COM Assumptions T15'!$E$2:$S$2,0))</f>
        <v>0</v>
      </c>
      <c r="AB34" s="1">
        <f ca="1">OFFSET('COM Assumptions T15'!$D34,0,MATCH(VLOOKUP('COM Assumptions'!AB$2,'RES Assumptions T15'!$V$3:$W$35,2,FALSE),'COM Assumptions T15'!$E$2:$S$2,0))</f>
        <v>0.2</v>
      </c>
      <c r="AC34" s="1">
        <f ca="1">OFFSET('COM Assumptions T15'!$D34,0,MATCH(VLOOKUP('COM Assumptions'!AC$2,'RES Assumptions T15'!$V$3:$W$35,2,FALSE),'COM Assumptions T15'!$E$2:$S$2,0))</f>
        <v>0</v>
      </c>
      <c r="AD34" s="1">
        <f ca="1">OFFSET('COM Assumptions T15'!$D34,0,MATCH(VLOOKUP('COM Assumptions'!AD$2,'RES Assumptions T15'!$V$3:$W$35,2,FALSE),'COM Assumptions T15'!$E$2:$S$2,0))</f>
        <v>0</v>
      </c>
      <c r="AE34" s="1">
        <f ca="1">OFFSET('COM Assumptions T15'!$D34,0,MATCH(VLOOKUP('COM Assumptions'!AE$2,'RES Assumptions T15'!$V$3:$W$35,2,FALSE),'COM Assumptions T15'!$E$2:$S$2,0))</f>
        <v>0.8</v>
      </c>
      <c r="AF34" s="1">
        <f ca="1">OFFSET('COM Assumptions T15'!$D34,0,MATCH(VLOOKUP('COM Assumptions'!AF$2,'RES Assumptions T15'!$V$3:$W$35,2,FALSE),'COM Assumptions T15'!$E$2:$S$2,0))</f>
        <v>0.2</v>
      </c>
      <c r="AG34" s="1">
        <f ca="1">OFFSET('COM Assumptions T15'!$D34,0,MATCH(VLOOKUP('COM Assumptions'!AG$2,'RES Assumptions T15'!$V$3:$W$35,2,FALSE),'COM Assumptions T15'!$E$2:$S$2,0))</f>
        <v>0</v>
      </c>
      <c r="AH34" s="1">
        <f ca="1">OFFSET('COM Assumptions T15'!$D34,0,MATCH(VLOOKUP('COM Assumptions'!AH$2,'RES Assumptions T15'!$V$3:$W$35,2,FALSE),'COM Assumptions T15'!$E$2:$S$2,0))</f>
        <v>0</v>
      </c>
      <c r="AI34" s="1"/>
      <c r="AK34" s="10">
        <f ca="1">IFERROR(SUMIFS('COM balance'!E$5:E$25,'COM balance'!$D$5:$D$25,'COM Assumptions'!$A34)*E34,"")</f>
        <v>22.541329267200002</v>
      </c>
      <c r="AL34" s="10">
        <f ca="1">IFERROR(SUMIFS('COM balance'!F$5:F$25,'COM balance'!$D$5:$D$25,'COM Assumptions'!$A34)*F34,"")</f>
        <v>256.96765683071999</v>
      </c>
      <c r="AM34" s="10">
        <f ca="1">IFERROR(SUMIFS('COM balance'!G$5:G$25,'COM balance'!$D$5:$D$25,'COM Assumptions'!$A34)*G34,"")</f>
        <v>4.8680158060799998</v>
      </c>
      <c r="AN34" s="10">
        <f ca="1">IFERROR(SUMIFS('COM balance'!H$5:H$25,'COM balance'!$D$5:$D$25,'COM Assumptions'!$A34)*H34,"")</f>
        <v>0</v>
      </c>
      <c r="AO34" s="10">
        <f ca="1">IFERROR(SUMIFS('COM balance'!I$5:I$25,'COM balance'!$D$5:$D$25,'COM Assumptions'!$A34)*I34,"")</f>
        <v>0</v>
      </c>
      <c r="AP34" s="10">
        <f ca="1">IFERROR(SUMIFS('COM balance'!J$5:J$25,'COM balance'!$D$5:$D$25,'COM Assumptions'!$A34)*J34,"")</f>
        <v>34.4648960532</v>
      </c>
      <c r="AQ34" s="10">
        <f ca="1">IFERROR(SUMIFS('COM balance'!K$5:K$25,'COM balance'!$D$5:$D$25,'COM Assumptions'!$A34)*K34,"")</f>
        <v>0</v>
      </c>
      <c r="AR34" s="10">
        <f ca="1">IFERROR(SUMIFS('COM balance'!L$5:L$25,'COM balance'!$D$5:$D$25,'COM Assumptions'!$A34)*L34,"")</f>
        <v>4.8316831743599993</v>
      </c>
      <c r="AS34" s="10">
        <f ca="1">IFERROR(SUMIFS('COM balance'!M$5:M$25,'COM balance'!$D$5:$D$25,'COM Assumptions'!$A34)*M34,"")</f>
        <v>0</v>
      </c>
      <c r="AT34" s="10">
        <f ca="1">IFERROR(SUMIFS('COM balance'!N$5:N$25,'COM balance'!$D$5:$D$25,'COM Assumptions'!$A34)*N34,"")</f>
        <v>3.5013789720000001E-2</v>
      </c>
      <c r="AU34" s="10">
        <f ca="1">IFERROR(SUMIFS('COM balance'!O$5:O$25,'COM balance'!$D$5:$D$25,'COM Assumptions'!$A34)*O34,"")</f>
        <v>1.8441924530400002</v>
      </c>
      <c r="AV34" s="10">
        <f ca="1">IFERROR(SUMIFS('COM balance'!P$5:P$25,'COM balance'!$D$5:$D$25,'COM Assumptions'!$A34)*P34,"")</f>
        <v>0</v>
      </c>
      <c r="AW34" s="10">
        <f ca="1">IFERROR(SUMIFS('COM balance'!Q$5:Q$25,'COM balance'!$D$5:$D$25,'COM Assumptions'!$A34)*Q34,"")</f>
        <v>2.0141857440000002</v>
      </c>
      <c r="AX34" s="10">
        <f ca="1">IFERROR(SUMIFS('COM balance'!R$5:R$25,'COM balance'!$D$5:$D$25,'COM Assumptions'!$A34)*R34,"")</f>
        <v>0.69261311304000006</v>
      </c>
      <c r="AY34" s="10">
        <f ca="1">IFERROR(SUMIFS('COM balance'!S$5:S$25,'COM balance'!$D$5:$D$25,'COM Assumptions'!$A34)*S34,"")</f>
        <v>0</v>
      </c>
      <c r="AZ34" s="10">
        <f ca="1">IFERROR(SUMIFS('COM balance'!T$5:T$25,'COM balance'!$D$5:$D$25,'COM Assumptions'!$A34)*T34,"")</f>
        <v>1.28164814352</v>
      </c>
      <c r="BA34" s="10">
        <f ca="1">IFERROR(SUMIFS('COM balance'!U$5:U$25,'COM balance'!$D$5:$D$25,'COM Assumptions'!$A34)*U34,"")</f>
        <v>0</v>
      </c>
      <c r="BB34" s="10">
        <f ca="1">IFERROR(SUMIFS('COM balance'!V$5:V$25,'COM balance'!$D$5:$D$25,'COM Assumptions'!$A34)*V34,"")</f>
        <v>3.4589440792800001</v>
      </c>
      <c r="BC34" s="10">
        <f ca="1">IFERROR(SUMIFS('COM balance'!W$5:W$25,'COM balance'!$D$5:$D$25,'COM Assumptions'!$A34)*W34,"")</f>
        <v>13.10933386008</v>
      </c>
      <c r="BD34" s="10">
        <f ca="1">IFERROR(SUMIFS('COM balance'!X$5:X$25,'COM balance'!$D$5:$D$25,'COM Assumptions'!$A34)*X34,"")</f>
        <v>76.82079976704</v>
      </c>
      <c r="BE34" s="10">
        <f ca="1">IFERROR(SUMIFS('COM balance'!Y$5:Y$25,'COM balance'!$D$5:$D$25,'COM Assumptions'!$A34)*Y34,"")</f>
        <v>17.578657449359998</v>
      </c>
      <c r="BF34" s="10">
        <f ca="1">IFERROR(SUMIFS('COM balance'!Z$5:Z$25,'COM balance'!$D$5:$D$25,'COM Assumptions'!$A34)*Z34,"")</f>
        <v>0</v>
      </c>
      <c r="BG34" s="10">
        <f ca="1">IFERROR(SUMIFS('COM balance'!AA$5:AA$25,'COM balance'!$D$5:$D$25,'COM Assumptions'!$A34)*AA34,"")</f>
        <v>0</v>
      </c>
      <c r="BH34" s="10">
        <f ca="1">IFERROR(SUMIFS('COM balance'!AB$5:AB$25,'COM balance'!$D$5:$D$25,'COM Assumptions'!$A34)*AB34,"")</f>
        <v>0.39564841319999999</v>
      </c>
      <c r="BI34" s="10">
        <f ca="1">IFERROR(SUMIFS('COM balance'!AC$5:AC$25,'COM balance'!$D$5:$D$25,'COM Assumptions'!$A34)*AC34,"")</f>
        <v>0</v>
      </c>
      <c r="BJ34" s="10">
        <f ca="1">IFERROR(SUMIFS('COM balance'!AD$5:AD$25,'COM balance'!$D$5:$D$25,'COM Assumptions'!$A34)*AD34,"")</f>
        <v>0</v>
      </c>
      <c r="BK34" s="10">
        <f ca="1">IFERROR(SUMIFS('COM balance'!AE$5:AE$25,'COM balance'!$D$5:$D$25,'COM Assumptions'!$A34)*AE34,"")</f>
        <v>0</v>
      </c>
      <c r="BL34" s="10">
        <f ca="1">IFERROR(SUMIFS('COM balance'!AF$5:AF$25,'COM balance'!$D$5:$D$25,'COM Assumptions'!$A34)*AF34,"")</f>
        <v>1.8419994072000003</v>
      </c>
      <c r="BM34" s="10">
        <f ca="1">IFERROR(SUMIFS('COM balance'!AG$5:AG$25,'COM balance'!$D$5:$D$25,'COM Assumptions'!$A34)*AG34,"")</f>
        <v>0</v>
      </c>
      <c r="BN34" s="10">
        <f ca="1">IFERROR(SUMIFS('COM balance'!AH$5:AH$25,'COM balance'!$D$5:$D$25,'COM Assumptions'!$A34)*AH34,"")</f>
        <v>0</v>
      </c>
    </row>
    <row r="35" spans="1:67" x14ac:dyDescent="0.45">
      <c r="A35" s="8" t="str">
        <f>VLOOKUP(C35,'COM balance'!$AM$5:$AN$25,2,FALSE)</f>
        <v>COMBIO</v>
      </c>
      <c r="B35" s="36"/>
      <c r="C35" s="20" t="s">
        <v>77</v>
      </c>
      <c r="D35" s="42" t="s">
        <v>89</v>
      </c>
      <c r="E35" s="18">
        <f ca="1">OFFSET('COM Assumptions T15'!$D35,0,MATCH(VLOOKUP('COM Assumptions'!E$2,'RES Assumptions T15'!$V$3:$W$35,2,FALSE),'COM Assumptions T15'!$E$2:$S$2,0))</f>
        <v>0</v>
      </c>
      <c r="F35" s="18">
        <f ca="1">OFFSET('COM Assumptions T15'!$D35,0,MATCH(VLOOKUP('COM Assumptions'!F$2,'RES Assumptions T15'!$V$3:$W$35,2,FALSE),'COM Assumptions T15'!$E$2:$S$2,0))</f>
        <v>0</v>
      </c>
      <c r="G35" s="18">
        <f ca="1">OFFSET('COM Assumptions T15'!$D35,0,MATCH(VLOOKUP('COM Assumptions'!G$2,'RES Assumptions T15'!$V$3:$W$35,2,FALSE),'COM Assumptions T15'!$E$2:$S$2,0))</f>
        <v>0</v>
      </c>
      <c r="H35" s="18">
        <f ca="1">OFFSET('COM Assumptions T15'!$D35,0,MATCH(VLOOKUP('COM Assumptions'!H$2,'RES Assumptions T15'!$V$3:$W$35,2,FALSE),'COM Assumptions T15'!$E$2:$S$2,0))</f>
        <v>0</v>
      </c>
      <c r="I35" s="18">
        <f ca="1">OFFSET('COM Assumptions T15'!$D35,0,MATCH(VLOOKUP('COM Assumptions'!I$2,'RES Assumptions T15'!$V$3:$W$35,2,FALSE),'COM Assumptions T15'!$E$2:$S$2,0))</f>
        <v>0</v>
      </c>
      <c r="J35" s="18">
        <f ca="1">OFFSET('COM Assumptions T15'!$D35,0,MATCH(VLOOKUP('COM Assumptions'!J$2,'RES Assumptions T15'!$V$3:$W$35,2,FALSE),'COM Assumptions T15'!$E$2:$S$2,0))</f>
        <v>0</v>
      </c>
      <c r="K35" s="18">
        <f ca="1">OFFSET('COM Assumptions T15'!$D35,0,MATCH(VLOOKUP('COM Assumptions'!K$2,'RES Assumptions T15'!$V$3:$W$35,2,FALSE),'COM Assumptions T15'!$E$2:$S$2,0))</f>
        <v>0</v>
      </c>
      <c r="L35" s="18">
        <f ca="1">OFFSET('COM Assumptions T15'!$D35,0,MATCH(VLOOKUP('COM Assumptions'!L$2,'RES Assumptions T15'!$V$3:$W$35,2,FALSE),'COM Assumptions T15'!$E$2:$S$2,0))</f>
        <v>0</v>
      </c>
      <c r="M35" s="18">
        <f ca="1">OFFSET('COM Assumptions T15'!$D35,0,MATCH(VLOOKUP('COM Assumptions'!M$2,'RES Assumptions T15'!$V$3:$W$35,2,FALSE),'COM Assumptions T15'!$E$2:$S$2,0))</f>
        <v>0</v>
      </c>
      <c r="N35" s="18">
        <f ca="1">OFFSET('COM Assumptions T15'!$D35,0,MATCH(VLOOKUP('COM Assumptions'!N$2,'RES Assumptions T15'!$V$3:$W$35,2,FALSE),'COM Assumptions T15'!$E$2:$S$2,0))</f>
        <v>0</v>
      </c>
      <c r="O35" s="18">
        <f ca="1">OFFSET('COM Assumptions T15'!$D35,0,MATCH(VLOOKUP('COM Assumptions'!O$2,'RES Assumptions T15'!$V$3:$W$35,2,FALSE),'COM Assumptions T15'!$E$2:$S$2,0))</f>
        <v>0</v>
      </c>
      <c r="P35" s="1">
        <f ca="1">OFFSET('COM Assumptions T15'!$D35,0,MATCH(VLOOKUP('COM Assumptions'!P$2,'RES Assumptions T15'!$V$3:$W$35,2,FALSE),'COM Assumptions T15'!$E$2:$S$2,0))</f>
        <v>0</v>
      </c>
      <c r="Q35" s="1">
        <f ca="1">OFFSET('COM Assumptions T15'!$D35,0,MATCH(VLOOKUP('COM Assumptions'!Q$2,'RES Assumptions T15'!$V$3:$W$35,2,FALSE),'COM Assumptions T15'!$E$2:$S$2,0))</f>
        <v>0</v>
      </c>
      <c r="R35" s="1">
        <f ca="1">OFFSET('COM Assumptions T15'!$D35,0,MATCH(VLOOKUP('COM Assumptions'!R$2,'RES Assumptions T15'!$V$3:$W$35,2,FALSE),'COM Assumptions T15'!$E$2:$S$2,0))</f>
        <v>0</v>
      </c>
      <c r="S35" s="1">
        <f ca="1">OFFSET('COM Assumptions T15'!$D35,0,MATCH(VLOOKUP('COM Assumptions'!S$2,'RES Assumptions T15'!$V$3:$W$35,2,FALSE),'COM Assumptions T15'!$E$2:$S$2,0))</f>
        <v>0</v>
      </c>
      <c r="T35" s="1">
        <f ca="1">OFFSET('COM Assumptions T15'!$D35,0,MATCH(VLOOKUP('COM Assumptions'!T$2,'RES Assumptions T15'!$V$3:$W$35,2,FALSE),'COM Assumptions T15'!$E$2:$S$2,0))</f>
        <v>0</v>
      </c>
      <c r="U35" s="1">
        <f ca="1">OFFSET('COM Assumptions T15'!$D35,0,MATCH(VLOOKUP('COM Assumptions'!U$2,'RES Assumptions T15'!$V$3:$W$35,2,FALSE),'COM Assumptions T15'!$E$2:$S$2,0))</f>
        <v>0</v>
      </c>
      <c r="V35" s="1">
        <f ca="1">OFFSET('COM Assumptions T15'!$D35,0,MATCH(VLOOKUP('COM Assumptions'!V$2,'RES Assumptions T15'!$V$3:$W$35,2,FALSE),'COM Assumptions T15'!$E$2:$S$2,0))</f>
        <v>0</v>
      </c>
      <c r="W35" s="1">
        <f ca="1">OFFSET('COM Assumptions T15'!$D35,0,MATCH(VLOOKUP('COM Assumptions'!W$2,'RES Assumptions T15'!$V$3:$W$35,2,FALSE),'COM Assumptions T15'!$E$2:$S$2,0))</f>
        <v>0</v>
      </c>
      <c r="X35" s="1">
        <f ca="1">OFFSET('COM Assumptions T15'!$D35,0,MATCH(VLOOKUP('COM Assumptions'!X$2,'RES Assumptions T15'!$V$3:$W$35,2,FALSE),'COM Assumptions T15'!$E$2:$S$2,0))</f>
        <v>0</v>
      </c>
      <c r="Y35" s="1">
        <f ca="1">OFFSET('COM Assumptions T15'!$D35,0,MATCH(VLOOKUP('COM Assumptions'!Y$2,'RES Assumptions T15'!$V$3:$W$35,2,FALSE),'COM Assumptions T15'!$E$2:$S$2,0))</f>
        <v>0</v>
      </c>
      <c r="Z35" s="1">
        <f ca="1">OFFSET('COM Assumptions T15'!$D35,0,MATCH(VLOOKUP('COM Assumptions'!Z$2,'RES Assumptions T15'!$V$3:$W$35,2,FALSE),'COM Assumptions T15'!$E$2:$S$2,0))</f>
        <v>0</v>
      </c>
      <c r="AA35" s="1">
        <f ca="1">OFFSET('COM Assumptions T15'!$D35,0,MATCH(VLOOKUP('COM Assumptions'!AA$2,'RES Assumptions T15'!$V$3:$W$35,2,FALSE),'COM Assumptions T15'!$E$2:$S$2,0))</f>
        <v>0</v>
      </c>
      <c r="AB35" s="1">
        <f ca="1">OFFSET('COM Assumptions T15'!$D35,0,MATCH(VLOOKUP('COM Assumptions'!AB$2,'RES Assumptions T15'!$V$3:$W$35,2,FALSE),'COM Assumptions T15'!$E$2:$S$2,0))</f>
        <v>0</v>
      </c>
      <c r="AC35" s="1">
        <f ca="1">OFFSET('COM Assumptions T15'!$D35,0,MATCH(VLOOKUP('COM Assumptions'!AC$2,'RES Assumptions T15'!$V$3:$W$35,2,FALSE),'COM Assumptions T15'!$E$2:$S$2,0))</f>
        <v>0</v>
      </c>
      <c r="AD35" s="1">
        <f ca="1">OFFSET('COM Assumptions T15'!$D35,0,MATCH(VLOOKUP('COM Assumptions'!AD$2,'RES Assumptions T15'!$V$3:$W$35,2,FALSE),'COM Assumptions T15'!$E$2:$S$2,0))</f>
        <v>0</v>
      </c>
      <c r="AE35" s="1">
        <f ca="1">OFFSET('COM Assumptions T15'!$D35,0,MATCH(VLOOKUP('COM Assumptions'!AE$2,'RES Assumptions T15'!$V$3:$W$35,2,FALSE),'COM Assumptions T15'!$E$2:$S$2,0))</f>
        <v>0</v>
      </c>
      <c r="AF35" s="1">
        <f ca="1">OFFSET('COM Assumptions T15'!$D35,0,MATCH(VLOOKUP('COM Assumptions'!AF$2,'RES Assumptions T15'!$V$3:$W$35,2,FALSE),'COM Assumptions T15'!$E$2:$S$2,0))</f>
        <v>0</v>
      </c>
      <c r="AG35" s="1">
        <f ca="1">OFFSET('COM Assumptions T15'!$D35,0,MATCH(VLOOKUP('COM Assumptions'!AG$2,'RES Assumptions T15'!$V$3:$W$35,2,FALSE),'COM Assumptions T15'!$E$2:$S$2,0))</f>
        <v>0</v>
      </c>
      <c r="AH35" s="1">
        <f ca="1">OFFSET('COM Assumptions T15'!$D35,0,MATCH(VLOOKUP('COM Assumptions'!AH$2,'RES Assumptions T15'!$V$3:$W$35,2,FALSE),'COM Assumptions T15'!$E$2:$S$2,0))</f>
        <v>0</v>
      </c>
      <c r="AI35" s="1"/>
      <c r="AK35" s="10">
        <f ca="1">IFERROR(SUMIFS('COM balance'!E$5:E$25,'COM balance'!$D$5:$D$25,'COM Assumptions'!$A35)*E35,"")</f>
        <v>0</v>
      </c>
      <c r="AL35" s="10">
        <f ca="1">IFERROR(SUMIFS('COM balance'!F$5:F$25,'COM balance'!$D$5:$D$25,'COM Assumptions'!$A35)*F35,"")</f>
        <v>0</v>
      </c>
      <c r="AM35" s="10">
        <f ca="1">IFERROR(SUMIFS('COM balance'!G$5:G$25,'COM balance'!$D$5:$D$25,'COM Assumptions'!$A35)*G35,"")</f>
        <v>0</v>
      </c>
      <c r="AN35" s="10">
        <f ca="1">IFERROR(SUMIFS('COM balance'!H$5:H$25,'COM balance'!$D$5:$D$25,'COM Assumptions'!$A35)*H35,"")</f>
        <v>0</v>
      </c>
      <c r="AO35" s="10">
        <f ca="1">IFERROR(SUMIFS('COM balance'!I$5:I$25,'COM balance'!$D$5:$D$25,'COM Assumptions'!$A35)*I35,"")</f>
        <v>0</v>
      </c>
      <c r="AP35" s="10">
        <f ca="1">IFERROR(SUMIFS('COM balance'!J$5:J$25,'COM balance'!$D$5:$D$25,'COM Assumptions'!$A35)*J35,"")</f>
        <v>0</v>
      </c>
      <c r="AQ35" s="10">
        <f ca="1">IFERROR(SUMIFS('COM balance'!K$5:K$25,'COM balance'!$D$5:$D$25,'COM Assumptions'!$A35)*K35,"")</f>
        <v>0</v>
      </c>
      <c r="AR35" s="10">
        <f ca="1">IFERROR(SUMIFS('COM balance'!L$5:L$25,'COM balance'!$D$5:$D$25,'COM Assumptions'!$A35)*L35,"")</f>
        <v>0</v>
      </c>
      <c r="AS35" s="10">
        <f ca="1">IFERROR(SUMIFS('COM balance'!M$5:M$25,'COM balance'!$D$5:$D$25,'COM Assumptions'!$A35)*M35,"")</f>
        <v>0</v>
      </c>
      <c r="AT35" s="10">
        <f ca="1">IFERROR(SUMIFS('COM balance'!N$5:N$25,'COM balance'!$D$5:$D$25,'COM Assumptions'!$A35)*N35,"")</f>
        <v>0</v>
      </c>
      <c r="AU35" s="10">
        <f ca="1">IFERROR(SUMIFS('COM balance'!O$5:O$25,'COM balance'!$D$5:$D$25,'COM Assumptions'!$A35)*O35,"")</f>
        <v>0</v>
      </c>
      <c r="AV35" s="10">
        <f ca="1">IFERROR(SUMIFS('COM balance'!P$5:P$25,'COM balance'!$D$5:$D$25,'COM Assumptions'!$A35)*P35,"")</f>
        <v>0</v>
      </c>
      <c r="AW35" s="10">
        <f ca="1">IFERROR(SUMIFS('COM balance'!Q$5:Q$25,'COM balance'!$D$5:$D$25,'COM Assumptions'!$A35)*Q35,"")</f>
        <v>0</v>
      </c>
      <c r="AX35" s="10">
        <f ca="1">IFERROR(SUMIFS('COM balance'!R$5:R$25,'COM balance'!$D$5:$D$25,'COM Assumptions'!$A35)*R35,"")</f>
        <v>0</v>
      </c>
      <c r="AY35" s="10">
        <f ca="1">IFERROR(SUMIFS('COM balance'!S$5:S$25,'COM balance'!$D$5:$D$25,'COM Assumptions'!$A35)*S35,"")</f>
        <v>0</v>
      </c>
      <c r="AZ35" s="10">
        <f ca="1">IFERROR(SUMIFS('COM balance'!T$5:T$25,'COM balance'!$D$5:$D$25,'COM Assumptions'!$A35)*T35,"")</f>
        <v>0</v>
      </c>
      <c r="BA35" s="10">
        <f ca="1">IFERROR(SUMIFS('COM balance'!U$5:U$25,'COM balance'!$D$5:$D$25,'COM Assumptions'!$A35)*U35,"")</f>
        <v>0</v>
      </c>
      <c r="BB35" s="10">
        <f ca="1">IFERROR(SUMIFS('COM balance'!V$5:V$25,'COM balance'!$D$5:$D$25,'COM Assumptions'!$A35)*V35,"")</f>
        <v>0</v>
      </c>
      <c r="BC35" s="10">
        <f ca="1">IFERROR(SUMIFS('COM balance'!W$5:W$25,'COM balance'!$D$5:$D$25,'COM Assumptions'!$A35)*W35,"")</f>
        <v>0</v>
      </c>
      <c r="BD35" s="10">
        <f ca="1">IFERROR(SUMIFS('COM balance'!X$5:X$25,'COM balance'!$D$5:$D$25,'COM Assumptions'!$A35)*X35,"")</f>
        <v>0</v>
      </c>
      <c r="BE35" s="10">
        <f ca="1">IFERROR(SUMIFS('COM balance'!Y$5:Y$25,'COM balance'!$D$5:$D$25,'COM Assumptions'!$A35)*Y35,"")</f>
        <v>0</v>
      </c>
      <c r="BF35" s="10">
        <f ca="1">IFERROR(SUMIFS('COM balance'!Z$5:Z$25,'COM balance'!$D$5:$D$25,'COM Assumptions'!$A35)*Z35,"")</f>
        <v>0</v>
      </c>
      <c r="BG35" s="10">
        <f ca="1">IFERROR(SUMIFS('COM balance'!AA$5:AA$25,'COM balance'!$D$5:$D$25,'COM Assumptions'!$A35)*AA35,"")</f>
        <v>0</v>
      </c>
      <c r="BH35" s="10">
        <f ca="1">IFERROR(SUMIFS('COM balance'!AB$5:AB$25,'COM balance'!$D$5:$D$25,'COM Assumptions'!$A35)*AB35,"")</f>
        <v>0</v>
      </c>
      <c r="BI35" s="10">
        <f ca="1">IFERROR(SUMIFS('COM balance'!AC$5:AC$25,'COM balance'!$D$5:$D$25,'COM Assumptions'!$A35)*AC35,"")</f>
        <v>0</v>
      </c>
      <c r="BJ35" s="10">
        <f ca="1">IFERROR(SUMIFS('COM balance'!AD$5:AD$25,'COM balance'!$D$5:$D$25,'COM Assumptions'!$A35)*AD35,"")</f>
        <v>0</v>
      </c>
      <c r="BK35" s="10">
        <f ca="1">IFERROR(SUMIFS('COM balance'!AE$5:AE$25,'COM balance'!$D$5:$D$25,'COM Assumptions'!$A35)*AE35,"")</f>
        <v>0</v>
      </c>
      <c r="BL35" s="10">
        <f ca="1">IFERROR(SUMIFS('COM balance'!AF$5:AF$25,'COM balance'!$D$5:$D$25,'COM Assumptions'!$A35)*AF35,"")</f>
        <v>0</v>
      </c>
      <c r="BM35" s="10">
        <f ca="1">IFERROR(SUMIFS('COM balance'!AG$5:AG$25,'COM balance'!$D$5:$D$25,'COM Assumptions'!$A35)*AG35,"")</f>
        <v>0</v>
      </c>
      <c r="BN35" s="10">
        <f ca="1">IFERROR(SUMIFS('COM balance'!AH$5:AH$25,'COM balance'!$D$5:$D$25,'COM Assumptions'!$A35)*AH35,"")</f>
        <v>0</v>
      </c>
    </row>
    <row r="36" spans="1:67" x14ac:dyDescent="0.45">
      <c r="A36" s="8">
        <f>VLOOKUP(C36,'COM balance'!$AM$5:$AN$25,2,FALSE)</f>
        <v>0</v>
      </c>
      <c r="B36" s="36"/>
      <c r="C36" s="20" t="s">
        <v>35</v>
      </c>
      <c r="D36" s="41" t="s">
        <v>82</v>
      </c>
      <c r="E36" s="14">
        <f ca="1">OFFSET('COM Assumptions T15'!$D36,0,MATCH(VLOOKUP('COM Assumptions'!E$2,'RES Assumptions T15'!$V$3:$W$35,2,FALSE),'COM Assumptions T15'!$E$2:$S$2,0))</f>
        <v>0.1</v>
      </c>
      <c r="F36" s="14">
        <f ca="1">OFFSET('COM Assumptions T15'!$D36,0,MATCH(VLOOKUP('COM Assumptions'!F$2,'RES Assumptions T15'!$V$3:$W$35,2,FALSE),'COM Assumptions T15'!$E$2:$S$2,0))</f>
        <v>0.1</v>
      </c>
      <c r="G36" s="14">
        <f ca="1">OFFSET('COM Assumptions T15'!$D36,0,MATCH(VLOOKUP('COM Assumptions'!G$2,'RES Assumptions T15'!$V$3:$W$35,2,FALSE),'COM Assumptions T15'!$E$2:$S$2,0))</f>
        <v>0.1</v>
      </c>
      <c r="H36" s="14">
        <f ca="1">OFFSET('COM Assumptions T15'!$D36,0,MATCH(VLOOKUP('COM Assumptions'!H$2,'RES Assumptions T15'!$V$3:$W$35,2,FALSE),'COM Assumptions T15'!$E$2:$S$2,0))</f>
        <v>1</v>
      </c>
      <c r="I36" s="14">
        <f ca="1">OFFSET('COM Assumptions T15'!$D36,0,MATCH(VLOOKUP('COM Assumptions'!I$2,'RES Assumptions T15'!$V$3:$W$35,2,FALSE),'COM Assumptions T15'!$E$2:$S$2,0))</f>
        <v>1</v>
      </c>
      <c r="J36" s="14">
        <f ca="1">OFFSET('COM Assumptions T15'!$D36,0,MATCH(VLOOKUP('COM Assumptions'!J$2,'RES Assumptions T15'!$V$3:$W$35,2,FALSE),'COM Assumptions T15'!$E$2:$S$2,0))</f>
        <v>0.2</v>
      </c>
      <c r="K36" s="14">
        <f ca="1">OFFSET('COM Assumptions T15'!$D36,0,MATCH(VLOOKUP('COM Assumptions'!K$2,'RES Assumptions T15'!$V$3:$W$35,2,FALSE),'COM Assumptions T15'!$E$2:$S$2,0))</f>
        <v>0.85</v>
      </c>
      <c r="L36" s="14">
        <f ca="1">OFFSET('COM Assumptions T15'!$D36,0,MATCH(VLOOKUP('COM Assumptions'!L$2,'RES Assumptions T15'!$V$3:$W$35,2,FALSE),'COM Assumptions T15'!$E$2:$S$2,0))</f>
        <v>0.1</v>
      </c>
      <c r="M36" s="14">
        <f ca="1">OFFSET('COM Assumptions T15'!$D36,0,MATCH(VLOOKUP('COM Assumptions'!M$2,'RES Assumptions T15'!$V$3:$W$35,2,FALSE),'COM Assumptions T15'!$E$2:$S$2,0))</f>
        <v>1</v>
      </c>
      <c r="N36" s="14">
        <f ca="1">OFFSET('COM Assumptions T15'!$D36,0,MATCH(VLOOKUP('COM Assumptions'!N$2,'RES Assumptions T15'!$V$3:$W$35,2,FALSE),'COM Assumptions T15'!$E$2:$S$2,0))</f>
        <v>0.3</v>
      </c>
      <c r="O36" s="14">
        <f ca="1">OFFSET('COM Assumptions T15'!$D36,0,MATCH(VLOOKUP('COM Assumptions'!O$2,'RES Assumptions T15'!$V$3:$W$35,2,FALSE),'COM Assumptions T15'!$E$2:$S$2,0))</f>
        <v>0.8</v>
      </c>
      <c r="P36" s="1">
        <f ca="1">OFFSET('COM Assumptions T15'!$D36,0,MATCH(VLOOKUP('COM Assumptions'!P$2,'RES Assumptions T15'!$V$3:$W$35,2,FALSE),'COM Assumptions T15'!$E$2:$S$2,0))</f>
        <v>1</v>
      </c>
      <c r="Q36" s="1">
        <f ca="1">OFFSET('COM Assumptions T15'!$D36,0,MATCH(VLOOKUP('COM Assumptions'!Q$2,'RES Assumptions T15'!$V$3:$W$35,2,FALSE),'COM Assumptions T15'!$E$2:$S$2,0))</f>
        <v>0.8</v>
      </c>
      <c r="R36" s="1">
        <f ca="1">OFFSET('COM Assumptions T15'!$D36,0,MATCH(VLOOKUP('COM Assumptions'!R$2,'RES Assumptions T15'!$V$3:$W$35,2,FALSE),'COM Assumptions T15'!$E$2:$S$2,0))</f>
        <v>0.8</v>
      </c>
      <c r="S36" s="1">
        <f ca="1">OFFSET('COM Assumptions T15'!$D36,0,MATCH(VLOOKUP('COM Assumptions'!S$2,'RES Assumptions T15'!$V$3:$W$35,2,FALSE),'COM Assumptions T15'!$E$2:$S$2,0))</f>
        <v>1</v>
      </c>
      <c r="T36" s="1">
        <f ca="1">OFFSET('COM Assumptions T15'!$D36,0,MATCH(VLOOKUP('COM Assumptions'!T$2,'RES Assumptions T15'!$V$3:$W$35,2,FALSE),'COM Assumptions T15'!$E$2:$S$2,0))</f>
        <v>0.8</v>
      </c>
      <c r="U36" s="1">
        <f ca="1">OFFSET('COM Assumptions T15'!$D36,0,MATCH(VLOOKUP('COM Assumptions'!U$2,'RES Assumptions T15'!$V$3:$W$35,2,FALSE),'COM Assumptions T15'!$E$2:$S$2,0))</f>
        <v>1</v>
      </c>
      <c r="V36" s="1">
        <f ca="1">OFFSET('COM Assumptions T15'!$D36,0,MATCH(VLOOKUP('COM Assumptions'!V$2,'RES Assumptions T15'!$V$3:$W$35,2,FALSE),'COM Assumptions T15'!$E$2:$S$2,0))</f>
        <v>0.8</v>
      </c>
      <c r="W36" s="1">
        <f ca="1">OFFSET('COM Assumptions T15'!$D36,0,MATCH(VLOOKUP('COM Assumptions'!W$2,'RES Assumptions T15'!$V$3:$W$35,2,FALSE),'COM Assumptions T15'!$E$2:$S$2,0))</f>
        <v>0.8</v>
      </c>
      <c r="X36" s="1">
        <f ca="1">OFFSET('COM Assumptions T15'!$D36,0,MATCH(VLOOKUP('COM Assumptions'!X$2,'RES Assumptions T15'!$V$3:$W$35,2,FALSE),'COM Assumptions T15'!$E$2:$S$2,0))</f>
        <v>0.1</v>
      </c>
      <c r="Y36" s="1">
        <f ca="1">OFFSET('COM Assumptions T15'!$D36,0,MATCH(VLOOKUP('COM Assumptions'!Y$2,'RES Assumptions T15'!$V$3:$W$35,2,FALSE),'COM Assumptions T15'!$E$2:$S$2,0))</f>
        <v>0.1</v>
      </c>
      <c r="Z36" s="1">
        <f ca="1">OFFSET('COM Assumptions T15'!$D36,0,MATCH(VLOOKUP('COM Assumptions'!Z$2,'RES Assumptions T15'!$V$3:$W$35,2,FALSE),'COM Assumptions T15'!$E$2:$S$2,0))</f>
        <v>0.1</v>
      </c>
      <c r="AA36" s="1">
        <f ca="1">OFFSET('COM Assumptions T15'!$D36,0,MATCH(VLOOKUP('COM Assumptions'!AA$2,'RES Assumptions T15'!$V$3:$W$35,2,FALSE),'COM Assumptions T15'!$E$2:$S$2,0))</f>
        <v>1</v>
      </c>
      <c r="AB36" s="1">
        <f ca="1">OFFSET('COM Assumptions T15'!$D36,0,MATCH(VLOOKUP('COM Assumptions'!AB$2,'RES Assumptions T15'!$V$3:$W$35,2,FALSE),'COM Assumptions T15'!$E$2:$S$2,0))</f>
        <v>0.8</v>
      </c>
      <c r="AC36" s="1">
        <f ca="1">OFFSET('COM Assumptions T15'!$D36,0,MATCH(VLOOKUP('COM Assumptions'!AC$2,'RES Assumptions T15'!$V$3:$W$35,2,FALSE),'COM Assumptions T15'!$E$2:$S$2,0))</f>
        <v>1</v>
      </c>
      <c r="AD36" s="1">
        <f ca="1">OFFSET('COM Assumptions T15'!$D36,0,MATCH(VLOOKUP('COM Assumptions'!AD$2,'RES Assumptions T15'!$V$3:$W$35,2,FALSE),'COM Assumptions T15'!$E$2:$S$2,0))</f>
        <v>1</v>
      </c>
      <c r="AE36" s="1">
        <f ca="1">OFFSET('COM Assumptions T15'!$D36,0,MATCH(VLOOKUP('COM Assumptions'!AE$2,'RES Assumptions T15'!$V$3:$W$35,2,FALSE),'COM Assumptions T15'!$E$2:$S$2,0))</f>
        <v>0.1</v>
      </c>
      <c r="AF36" s="1">
        <f ca="1">OFFSET('COM Assumptions T15'!$D36,0,MATCH(VLOOKUP('COM Assumptions'!AF$2,'RES Assumptions T15'!$V$3:$W$35,2,FALSE),'COM Assumptions T15'!$E$2:$S$2,0))</f>
        <v>0.8</v>
      </c>
      <c r="AG36" s="1">
        <f ca="1">OFFSET('COM Assumptions T15'!$D36,0,MATCH(VLOOKUP('COM Assumptions'!AG$2,'RES Assumptions T15'!$V$3:$W$35,2,FALSE),'COM Assumptions T15'!$E$2:$S$2,0))</f>
        <v>1</v>
      </c>
      <c r="AH36" s="1">
        <f ca="1">OFFSET('COM Assumptions T15'!$D36,0,MATCH(VLOOKUP('COM Assumptions'!AH$2,'RES Assumptions T15'!$V$3:$W$35,2,FALSE),'COM Assumptions T15'!$E$2:$S$2,0))</f>
        <v>1</v>
      </c>
      <c r="AI36" s="1"/>
      <c r="AK36" s="10">
        <f ca="1">IFERROR(SUMIFS('COM balance'!E$5:E$25,'COM balance'!$D$5:$D$25,'COM Assumptions'!$A36)*E36,"")</f>
        <v>0</v>
      </c>
      <c r="AL36" s="10">
        <f ca="1">IFERROR(SUMIFS('COM balance'!F$5:F$25,'COM balance'!$D$5:$D$25,'COM Assumptions'!$A36)*F36,"")</f>
        <v>0</v>
      </c>
      <c r="AM36" s="10">
        <f ca="1">IFERROR(SUMIFS('COM balance'!G$5:G$25,'COM balance'!$D$5:$D$25,'COM Assumptions'!$A36)*G36,"")</f>
        <v>0</v>
      </c>
      <c r="AN36" s="10">
        <f ca="1">IFERROR(SUMIFS('COM balance'!H$5:H$25,'COM balance'!$D$5:$D$25,'COM Assumptions'!$A36)*H36,"")</f>
        <v>0</v>
      </c>
      <c r="AO36" s="10">
        <f ca="1">IFERROR(SUMIFS('COM balance'!I$5:I$25,'COM balance'!$D$5:$D$25,'COM Assumptions'!$A36)*I36,"")</f>
        <v>0</v>
      </c>
      <c r="AP36" s="10">
        <f ca="1">IFERROR(SUMIFS('COM balance'!J$5:J$25,'COM balance'!$D$5:$D$25,'COM Assumptions'!$A36)*J36,"")</f>
        <v>0</v>
      </c>
      <c r="AQ36" s="10">
        <f ca="1">IFERROR(SUMIFS('COM balance'!K$5:K$25,'COM balance'!$D$5:$D$25,'COM Assumptions'!$A36)*K36,"")</f>
        <v>0</v>
      </c>
      <c r="AR36" s="10">
        <f ca="1">IFERROR(SUMIFS('COM balance'!L$5:L$25,'COM balance'!$D$5:$D$25,'COM Assumptions'!$A36)*L36,"")</f>
        <v>0</v>
      </c>
      <c r="AS36" s="10">
        <f ca="1">IFERROR(SUMIFS('COM balance'!M$5:M$25,'COM balance'!$D$5:$D$25,'COM Assumptions'!$A36)*M36,"")</f>
        <v>0</v>
      </c>
      <c r="AT36" s="10">
        <f ca="1">IFERROR(SUMIFS('COM balance'!N$5:N$25,'COM balance'!$D$5:$D$25,'COM Assumptions'!$A36)*N36,"")</f>
        <v>0</v>
      </c>
      <c r="AU36" s="10">
        <f ca="1">IFERROR(SUMIFS('COM balance'!O$5:O$25,'COM balance'!$D$5:$D$25,'COM Assumptions'!$A36)*O36,"")</f>
        <v>0</v>
      </c>
      <c r="AV36" s="10">
        <f ca="1">IFERROR(SUMIFS('COM balance'!P$5:P$25,'COM balance'!$D$5:$D$25,'COM Assumptions'!$A36)*P36,"")</f>
        <v>0</v>
      </c>
      <c r="AW36" s="10">
        <f ca="1">IFERROR(SUMIFS('COM balance'!Q$5:Q$25,'COM balance'!$D$5:$D$25,'COM Assumptions'!$A36)*Q36,"")</f>
        <v>0</v>
      </c>
      <c r="AX36" s="10">
        <f ca="1">IFERROR(SUMIFS('COM balance'!R$5:R$25,'COM balance'!$D$5:$D$25,'COM Assumptions'!$A36)*R36,"")</f>
        <v>0</v>
      </c>
      <c r="AY36" s="10">
        <f ca="1">IFERROR(SUMIFS('COM balance'!S$5:S$25,'COM balance'!$D$5:$D$25,'COM Assumptions'!$A36)*S36,"")</f>
        <v>0</v>
      </c>
      <c r="AZ36" s="10">
        <f ca="1">IFERROR(SUMIFS('COM balance'!T$5:T$25,'COM balance'!$D$5:$D$25,'COM Assumptions'!$A36)*T36,"")</f>
        <v>0</v>
      </c>
      <c r="BA36" s="10">
        <f ca="1">IFERROR(SUMIFS('COM balance'!U$5:U$25,'COM balance'!$D$5:$D$25,'COM Assumptions'!$A36)*U36,"")</f>
        <v>0</v>
      </c>
      <c r="BB36" s="10">
        <f ca="1">IFERROR(SUMIFS('COM balance'!V$5:V$25,'COM balance'!$D$5:$D$25,'COM Assumptions'!$A36)*V36,"")</f>
        <v>0</v>
      </c>
      <c r="BC36" s="10">
        <f ca="1">IFERROR(SUMIFS('COM balance'!W$5:W$25,'COM balance'!$D$5:$D$25,'COM Assumptions'!$A36)*W36,"")</f>
        <v>0</v>
      </c>
      <c r="BD36" s="10">
        <f ca="1">IFERROR(SUMIFS('COM balance'!X$5:X$25,'COM balance'!$D$5:$D$25,'COM Assumptions'!$A36)*X36,"")</f>
        <v>0</v>
      </c>
      <c r="BE36" s="10">
        <f ca="1">IFERROR(SUMIFS('COM balance'!Y$5:Y$25,'COM balance'!$D$5:$D$25,'COM Assumptions'!$A36)*Y36,"")</f>
        <v>0</v>
      </c>
      <c r="BF36" s="10">
        <f ca="1">IFERROR(SUMIFS('COM balance'!Z$5:Z$25,'COM balance'!$D$5:$D$25,'COM Assumptions'!$A36)*Z36,"")</f>
        <v>0</v>
      </c>
      <c r="BG36" s="10">
        <f ca="1">IFERROR(SUMIFS('COM balance'!AA$5:AA$25,'COM balance'!$D$5:$D$25,'COM Assumptions'!$A36)*AA36,"")</f>
        <v>0</v>
      </c>
      <c r="BH36" s="10">
        <f ca="1">IFERROR(SUMIFS('COM balance'!AB$5:AB$25,'COM balance'!$D$5:$D$25,'COM Assumptions'!$A36)*AB36,"")</f>
        <v>0</v>
      </c>
      <c r="BI36" s="10">
        <f ca="1">IFERROR(SUMIFS('COM balance'!AC$5:AC$25,'COM balance'!$D$5:$D$25,'COM Assumptions'!$A36)*AC36,"")</f>
        <v>0</v>
      </c>
      <c r="BJ36" s="10">
        <f ca="1">IFERROR(SUMIFS('COM balance'!AD$5:AD$25,'COM balance'!$D$5:$D$25,'COM Assumptions'!$A36)*AD36,"")</f>
        <v>0</v>
      </c>
      <c r="BK36" s="10">
        <f ca="1">IFERROR(SUMIFS('COM balance'!AE$5:AE$25,'COM balance'!$D$5:$D$25,'COM Assumptions'!$A36)*AE36,"")</f>
        <v>0</v>
      </c>
      <c r="BL36" s="10">
        <f ca="1">IFERROR(SUMIFS('COM balance'!AF$5:AF$25,'COM balance'!$D$5:$D$25,'COM Assumptions'!$A36)*AF36,"")</f>
        <v>0</v>
      </c>
      <c r="BM36" s="10">
        <f ca="1">IFERROR(SUMIFS('COM balance'!AG$5:AG$25,'COM balance'!$D$5:$D$25,'COM Assumptions'!$A36)*AG36,"")</f>
        <v>0</v>
      </c>
      <c r="BN36" s="10">
        <f ca="1">IFERROR(SUMIFS('COM balance'!AH$5:AH$25,'COM balance'!$D$5:$D$25,'COM Assumptions'!$A36)*AH36,"")</f>
        <v>0</v>
      </c>
    </row>
    <row r="37" spans="1:67" x14ac:dyDescent="0.45">
      <c r="A37" s="8">
        <f>VLOOKUP(C37,'COM balance'!$AM$5:$AN$25,2,FALSE)</f>
        <v>0</v>
      </c>
      <c r="B37" s="36"/>
      <c r="C37" s="20" t="s">
        <v>35</v>
      </c>
      <c r="D37" s="41" t="s">
        <v>84</v>
      </c>
      <c r="E37" s="14">
        <f ca="1">OFFSET('COM Assumptions T15'!$D37,0,MATCH(VLOOKUP('COM Assumptions'!E$2,'RES Assumptions T15'!$V$3:$W$35,2,FALSE),'COM Assumptions T15'!$E$2:$S$2,0))</f>
        <v>0.2</v>
      </c>
      <c r="F37" s="14">
        <f ca="1">OFFSET('COM Assumptions T15'!$D37,0,MATCH(VLOOKUP('COM Assumptions'!F$2,'RES Assumptions T15'!$V$3:$W$35,2,FALSE),'COM Assumptions T15'!$E$2:$S$2,0))</f>
        <v>0.2</v>
      </c>
      <c r="G37" s="14">
        <f ca="1">OFFSET('COM Assumptions T15'!$D37,0,MATCH(VLOOKUP('COM Assumptions'!G$2,'RES Assumptions T15'!$V$3:$W$35,2,FALSE),'COM Assumptions T15'!$E$2:$S$2,0))</f>
        <v>0.2</v>
      </c>
      <c r="H37" s="14">
        <f ca="1">OFFSET('COM Assumptions T15'!$D37,0,MATCH(VLOOKUP('COM Assumptions'!H$2,'RES Assumptions T15'!$V$3:$W$35,2,FALSE),'COM Assumptions T15'!$E$2:$S$2,0))</f>
        <v>0</v>
      </c>
      <c r="I37" s="14">
        <f ca="1">OFFSET('COM Assumptions T15'!$D37,0,MATCH(VLOOKUP('COM Assumptions'!I$2,'RES Assumptions T15'!$V$3:$W$35,2,FALSE),'COM Assumptions T15'!$E$2:$S$2,0))</f>
        <v>0</v>
      </c>
      <c r="J37" s="14">
        <f ca="1">OFFSET('COM Assumptions T15'!$D37,0,MATCH(VLOOKUP('COM Assumptions'!J$2,'RES Assumptions T15'!$V$3:$W$35,2,FALSE),'COM Assumptions T15'!$E$2:$S$2,0))</f>
        <v>0.3</v>
      </c>
      <c r="K37" s="14">
        <f ca="1">OFFSET('COM Assumptions T15'!$D37,0,MATCH(VLOOKUP('COM Assumptions'!K$2,'RES Assumptions T15'!$V$3:$W$35,2,FALSE),'COM Assumptions T15'!$E$2:$S$2,0))</f>
        <v>0.15</v>
      </c>
      <c r="L37" s="14">
        <f ca="1">OFFSET('COM Assumptions T15'!$D37,0,MATCH(VLOOKUP('COM Assumptions'!L$2,'RES Assumptions T15'!$V$3:$W$35,2,FALSE),'COM Assumptions T15'!$E$2:$S$2,0))</f>
        <v>0.2</v>
      </c>
      <c r="M37" s="14">
        <f ca="1">OFFSET('COM Assumptions T15'!$D37,0,MATCH(VLOOKUP('COM Assumptions'!M$2,'RES Assumptions T15'!$V$3:$W$35,2,FALSE),'COM Assumptions T15'!$E$2:$S$2,0))</f>
        <v>0</v>
      </c>
      <c r="N37" s="14">
        <f ca="1">OFFSET('COM Assumptions T15'!$D37,0,MATCH(VLOOKUP('COM Assumptions'!N$2,'RES Assumptions T15'!$V$3:$W$35,2,FALSE),'COM Assumptions T15'!$E$2:$S$2,0))</f>
        <v>0.35</v>
      </c>
      <c r="O37" s="14">
        <f ca="1">OFFSET('COM Assumptions T15'!$D37,0,MATCH(VLOOKUP('COM Assumptions'!O$2,'RES Assumptions T15'!$V$3:$W$35,2,FALSE),'COM Assumptions T15'!$E$2:$S$2,0))</f>
        <v>0</v>
      </c>
      <c r="P37" s="1">
        <f ca="1">OFFSET('COM Assumptions T15'!$D37,0,MATCH(VLOOKUP('COM Assumptions'!P$2,'RES Assumptions T15'!$V$3:$W$35,2,FALSE),'COM Assumptions T15'!$E$2:$S$2,0))</f>
        <v>0</v>
      </c>
      <c r="Q37" s="1">
        <f ca="1">OFFSET('COM Assumptions T15'!$D37,0,MATCH(VLOOKUP('COM Assumptions'!Q$2,'RES Assumptions T15'!$V$3:$W$35,2,FALSE),'COM Assumptions T15'!$E$2:$S$2,0))</f>
        <v>0</v>
      </c>
      <c r="R37" s="1">
        <f ca="1">OFFSET('COM Assumptions T15'!$D37,0,MATCH(VLOOKUP('COM Assumptions'!R$2,'RES Assumptions T15'!$V$3:$W$35,2,FALSE),'COM Assumptions T15'!$E$2:$S$2,0))</f>
        <v>0</v>
      </c>
      <c r="S37" s="1">
        <f ca="1">OFFSET('COM Assumptions T15'!$D37,0,MATCH(VLOOKUP('COM Assumptions'!S$2,'RES Assumptions T15'!$V$3:$W$35,2,FALSE),'COM Assumptions T15'!$E$2:$S$2,0))</f>
        <v>0</v>
      </c>
      <c r="T37" s="1">
        <f ca="1">OFFSET('COM Assumptions T15'!$D37,0,MATCH(VLOOKUP('COM Assumptions'!T$2,'RES Assumptions T15'!$V$3:$W$35,2,FALSE),'COM Assumptions T15'!$E$2:$S$2,0))</f>
        <v>0</v>
      </c>
      <c r="U37" s="1">
        <f ca="1">OFFSET('COM Assumptions T15'!$D37,0,MATCH(VLOOKUP('COM Assumptions'!U$2,'RES Assumptions T15'!$V$3:$W$35,2,FALSE),'COM Assumptions T15'!$E$2:$S$2,0))</f>
        <v>0</v>
      </c>
      <c r="V37" s="1">
        <f ca="1">OFFSET('COM Assumptions T15'!$D37,0,MATCH(VLOOKUP('COM Assumptions'!V$2,'RES Assumptions T15'!$V$3:$W$35,2,FALSE),'COM Assumptions T15'!$E$2:$S$2,0))</f>
        <v>0</v>
      </c>
      <c r="W37" s="1">
        <f ca="1">OFFSET('COM Assumptions T15'!$D37,0,MATCH(VLOOKUP('COM Assumptions'!W$2,'RES Assumptions T15'!$V$3:$W$35,2,FALSE),'COM Assumptions T15'!$E$2:$S$2,0))</f>
        <v>0</v>
      </c>
      <c r="X37" s="1">
        <f ca="1">OFFSET('COM Assumptions T15'!$D37,0,MATCH(VLOOKUP('COM Assumptions'!X$2,'RES Assumptions T15'!$V$3:$W$35,2,FALSE),'COM Assumptions T15'!$E$2:$S$2,0))</f>
        <v>0.2</v>
      </c>
      <c r="Y37" s="1">
        <f ca="1">OFFSET('COM Assumptions T15'!$D37,0,MATCH(VLOOKUP('COM Assumptions'!Y$2,'RES Assumptions T15'!$V$3:$W$35,2,FALSE),'COM Assumptions T15'!$E$2:$S$2,0))</f>
        <v>0.2</v>
      </c>
      <c r="Z37" s="1">
        <f ca="1">OFFSET('COM Assumptions T15'!$D37,0,MATCH(VLOOKUP('COM Assumptions'!Z$2,'RES Assumptions T15'!$V$3:$W$35,2,FALSE),'COM Assumptions T15'!$E$2:$S$2,0))</f>
        <v>0.2</v>
      </c>
      <c r="AA37" s="1">
        <f ca="1">OFFSET('COM Assumptions T15'!$D37,0,MATCH(VLOOKUP('COM Assumptions'!AA$2,'RES Assumptions T15'!$V$3:$W$35,2,FALSE),'COM Assumptions T15'!$E$2:$S$2,0))</f>
        <v>0</v>
      </c>
      <c r="AB37" s="1">
        <f ca="1">OFFSET('COM Assumptions T15'!$D37,0,MATCH(VLOOKUP('COM Assumptions'!AB$2,'RES Assumptions T15'!$V$3:$W$35,2,FALSE),'COM Assumptions T15'!$E$2:$S$2,0))</f>
        <v>0</v>
      </c>
      <c r="AC37" s="1">
        <f ca="1">OFFSET('COM Assumptions T15'!$D37,0,MATCH(VLOOKUP('COM Assumptions'!AC$2,'RES Assumptions T15'!$V$3:$W$35,2,FALSE),'COM Assumptions T15'!$E$2:$S$2,0))</f>
        <v>0</v>
      </c>
      <c r="AD37" s="1">
        <f ca="1">OFFSET('COM Assumptions T15'!$D37,0,MATCH(VLOOKUP('COM Assumptions'!AD$2,'RES Assumptions T15'!$V$3:$W$35,2,FALSE),'COM Assumptions T15'!$E$2:$S$2,0))</f>
        <v>0</v>
      </c>
      <c r="AE37" s="1">
        <f ca="1">OFFSET('COM Assumptions T15'!$D37,0,MATCH(VLOOKUP('COM Assumptions'!AE$2,'RES Assumptions T15'!$V$3:$W$35,2,FALSE),'COM Assumptions T15'!$E$2:$S$2,0))</f>
        <v>0.2</v>
      </c>
      <c r="AF37" s="1">
        <f ca="1">OFFSET('COM Assumptions T15'!$D37,0,MATCH(VLOOKUP('COM Assumptions'!AF$2,'RES Assumptions T15'!$V$3:$W$35,2,FALSE),'COM Assumptions T15'!$E$2:$S$2,0))</f>
        <v>0</v>
      </c>
      <c r="AG37" s="1">
        <f ca="1">OFFSET('COM Assumptions T15'!$D37,0,MATCH(VLOOKUP('COM Assumptions'!AG$2,'RES Assumptions T15'!$V$3:$W$35,2,FALSE),'COM Assumptions T15'!$E$2:$S$2,0))</f>
        <v>0</v>
      </c>
      <c r="AH37" s="1">
        <f ca="1">OFFSET('COM Assumptions T15'!$D37,0,MATCH(VLOOKUP('COM Assumptions'!AH$2,'RES Assumptions T15'!$V$3:$W$35,2,FALSE),'COM Assumptions T15'!$E$2:$S$2,0))</f>
        <v>0</v>
      </c>
      <c r="AI37" s="1"/>
      <c r="AK37" s="10">
        <f ca="1">IFERROR(SUMIFS('COM balance'!E$5:E$25,'COM balance'!$D$5:$D$25,'COM Assumptions'!$A37)*E37,"")</f>
        <v>0</v>
      </c>
      <c r="AL37" s="10">
        <f ca="1">IFERROR(SUMIFS('COM balance'!F$5:F$25,'COM balance'!$D$5:$D$25,'COM Assumptions'!$A37)*F37,"")</f>
        <v>0</v>
      </c>
      <c r="AM37" s="10">
        <f ca="1">IFERROR(SUMIFS('COM balance'!G$5:G$25,'COM balance'!$D$5:$D$25,'COM Assumptions'!$A37)*G37,"")</f>
        <v>0</v>
      </c>
      <c r="AN37" s="10">
        <f ca="1">IFERROR(SUMIFS('COM balance'!H$5:H$25,'COM balance'!$D$5:$D$25,'COM Assumptions'!$A37)*H37,"")</f>
        <v>0</v>
      </c>
      <c r="AO37" s="10">
        <f ca="1">IFERROR(SUMIFS('COM balance'!I$5:I$25,'COM balance'!$D$5:$D$25,'COM Assumptions'!$A37)*I37,"")</f>
        <v>0</v>
      </c>
      <c r="AP37" s="10">
        <f ca="1">IFERROR(SUMIFS('COM balance'!J$5:J$25,'COM balance'!$D$5:$D$25,'COM Assumptions'!$A37)*J37,"")</f>
        <v>0</v>
      </c>
      <c r="AQ37" s="10">
        <f ca="1">IFERROR(SUMIFS('COM balance'!K$5:K$25,'COM balance'!$D$5:$D$25,'COM Assumptions'!$A37)*K37,"")</f>
        <v>0</v>
      </c>
      <c r="AR37" s="10">
        <f ca="1">IFERROR(SUMIFS('COM balance'!L$5:L$25,'COM balance'!$D$5:$D$25,'COM Assumptions'!$A37)*L37,"")</f>
        <v>0</v>
      </c>
      <c r="AS37" s="10">
        <f ca="1">IFERROR(SUMIFS('COM balance'!M$5:M$25,'COM balance'!$D$5:$D$25,'COM Assumptions'!$A37)*M37,"")</f>
        <v>0</v>
      </c>
      <c r="AT37" s="10">
        <f ca="1">IFERROR(SUMIFS('COM balance'!N$5:N$25,'COM balance'!$D$5:$D$25,'COM Assumptions'!$A37)*N37,"")</f>
        <v>0</v>
      </c>
      <c r="AU37" s="10">
        <f ca="1">IFERROR(SUMIFS('COM balance'!O$5:O$25,'COM balance'!$D$5:$D$25,'COM Assumptions'!$A37)*O37,"")</f>
        <v>0</v>
      </c>
      <c r="AV37" s="10">
        <f ca="1">IFERROR(SUMIFS('COM balance'!P$5:P$25,'COM balance'!$D$5:$D$25,'COM Assumptions'!$A37)*P37,"")</f>
        <v>0</v>
      </c>
      <c r="AW37" s="10">
        <f ca="1">IFERROR(SUMIFS('COM balance'!Q$5:Q$25,'COM balance'!$D$5:$D$25,'COM Assumptions'!$A37)*Q37,"")</f>
        <v>0</v>
      </c>
      <c r="AX37" s="10">
        <f ca="1">IFERROR(SUMIFS('COM balance'!R$5:R$25,'COM balance'!$D$5:$D$25,'COM Assumptions'!$A37)*R37,"")</f>
        <v>0</v>
      </c>
      <c r="AY37" s="10">
        <f ca="1">IFERROR(SUMIFS('COM balance'!S$5:S$25,'COM balance'!$D$5:$D$25,'COM Assumptions'!$A37)*S37,"")</f>
        <v>0</v>
      </c>
      <c r="AZ37" s="10">
        <f ca="1">IFERROR(SUMIFS('COM balance'!T$5:T$25,'COM balance'!$D$5:$D$25,'COM Assumptions'!$A37)*T37,"")</f>
        <v>0</v>
      </c>
      <c r="BA37" s="10">
        <f ca="1">IFERROR(SUMIFS('COM balance'!U$5:U$25,'COM balance'!$D$5:$D$25,'COM Assumptions'!$A37)*U37,"")</f>
        <v>0</v>
      </c>
      <c r="BB37" s="10">
        <f ca="1">IFERROR(SUMIFS('COM balance'!V$5:V$25,'COM balance'!$D$5:$D$25,'COM Assumptions'!$A37)*V37,"")</f>
        <v>0</v>
      </c>
      <c r="BC37" s="10">
        <f ca="1">IFERROR(SUMIFS('COM balance'!W$5:W$25,'COM balance'!$D$5:$D$25,'COM Assumptions'!$A37)*W37,"")</f>
        <v>0</v>
      </c>
      <c r="BD37" s="10">
        <f ca="1">IFERROR(SUMIFS('COM balance'!X$5:X$25,'COM balance'!$D$5:$D$25,'COM Assumptions'!$A37)*X37,"")</f>
        <v>0</v>
      </c>
      <c r="BE37" s="10">
        <f ca="1">IFERROR(SUMIFS('COM balance'!Y$5:Y$25,'COM balance'!$D$5:$D$25,'COM Assumptions'!$A37)*Y37,"")</f>
        <v>0</v>
      </c>
      <c r="BF37" s="10">
        <f ca="1">IFERROR(SUMIFS('COM balance'!Z$5:Z$25,'COM balance'!$D$5:$D$25,'COM Assumptions'!$A37)*Z37,"")</f>
        <v>0</v>
      </c>
      <c r="BG37" s="10">
        <f ca="1">IFERROR(SUMIFS('COM balance'!AA$5:AA$25,'COM balance'!$D$5:$D$25,'COM Assumptions'!$A37)*AA37,"")</f>
        <v>0</v>
      </c>
      <c r="BH37" s="10">
        <f ca="1">IFERROR(SUMIFS('COM balance'!AB$5:AB$25,'COM balance'!$D$5:$D$25,'COM Assumptions'!$A37)*AB37,"")</f>
        <v>0</v>
      </c>
      <c r="BI37" s="10">
        <f ca="1">IFERROR(SUMIFS('COM balance'!AC$5:AC$25,'COM balance'!$D$5:$D$25,'COM Assumptions'!$A37)*AC37,"")</f>
        <v>0</v>
      </c>
      <c r="BJ37" s="10">
        <f ca="1">IFERROR(SUMIFS('COM balance'!AD$5:AD$25,'COM balance'!$D$5:$D$25,'COM Assumptions'!$A37)*AD37,"")</f>
        <v>0</v>
      </c>
      <c r="BK37" s="10">
        <f ca="1">IFERROR(SUMIFS('COM balance'!AE$5:AE$25,'COM balance'!$D$5:$D$25,'COM Assumptions'!$A37)*AE37,"")</f>
        <v>0</v>
      </c>
      <c r="BL37" s="10">
        <f ca="1">IFERROR(SUMIFS('COM balance'!AF$5:AF$25,'COM balance'!$D$5:$D$25,'COM Assumptions'!$A37)*AF37,"")</f>
        <v>0</v>
      </c>
      <c r="BM37" s="10">
        <f ca="1">IFERROR(SUMIFS('COM balance'!AG$5:AG$25,'COM balance'!$D$5:$D$25,'COM Assumptions'!$A37)*AG37,"")</f>
        <v>0</v>
      </c>
      <c r="BN37" s="10">
        <f ca="1">IFERROR(SUMIFS('COM balance'!AH$5:AH$25,'COM balance'!$D$5:$D$25,'COM Assumptions'!$A37)*AH37,"")</f>
        <v>0</v>
      </c>
    </row>
    <row r="38" spans="1:67" x14ac:dyDescent="0.45">
      <c r="A38" s="8">
        <f>VLOOKUP(C38,'COM balance'!$AM$5:$AN$25,2,FALSE)</f>
        <v>0</v>
      </c>
      <c r="B38" s="36"/>
      <c r="C38" s="20" t="s">
        <v>35</v>
      </c>
      <c r="D38" s="41" t="s">
        <v>86</v>
      </c>
      <c r="E38" s="14">
        <f ca="1">OFFSET('COM Assumptions T15'!$D38,0,MATCH(VLOOKUP('COM Assumptions'!E$2,'RES Assumptions T15'!$V$3:$W$35,2,FALSE),'COM Assumptions T15'!$E$2:$S$2,0))</f>
        <v>0.7</v>
      </c>
      <c r="F38" s="14">
        <f ca="1">OFFSET('COM Assumptions T15'!$D38,0,MATCH(VLOOKUP('COM Assumptions'!F$2,'RES Assumptions T15'!$V$3:$W$35,2,FALSE),'COM Assumptions T15'!$E$2:$S$2,0))</f>
        <v>0.7</v>
      </c>
      <c r="G38" s="14">
        <f ca="1">OFFSET('COM Assumptions T15'!$D38,0,MATCH(VLOOKUP('COM Assumptions'!G$2,'RES Assumptions T15'!$V$3:$W$35,2,FALSE),'COM Assumptions T15'!$E$2:$S$2,0))</f>
        <v>0.7</v>
      </c>
      <c r="H38" s="14">
        <f ca="1">OFFSET('COM Assumptions T15'!$D38,0,MATCH(VLOOKUP('COM Assumptions'!H$2,'RES Assumptions T15'!$V$3:$W$35,2,FALSE),'COM Assumptions T15'!$E$2:$S$2,0))</f>
        <v>0</v>
      </c>
      <c r="I38" s="14">
        <f ca="1">OFFSET('COM Assumptions T15'!$D38,0,MATCH(VLOOKUP('COM Assumptions'!I$2,'RES Assumptions T15'!$V$3:$W$35,2,FALSE),'COM Assumptions T15'!$E$2:$S$2,0))</f>
        <v>0</v>
      </c>
      <c r="J38" s="14">
        <f ca="1">OFFSET('COM Assumptions T15'!$D38,0,MATCH(VLOOKUP('COM Assumptions'!J$2,'RES Assumptions T15'!$V$3:$W$35,2,FALSE),'COM Assumptions T15'!$E$2:$S$2,0))</f>
        <v>0.5</v>
      </c>
      <c r="K38" s="14">
        <f ca="1">OFFSET('COM Assumptions T15'!$D38,0,MATCH(VLOOKUP('COM Assumptions'!K$2,'RES Assumptions T15'!$V$3:$W$35,2,FALSE),'COM Assumptions T15'!$E$2:$S$2,0))</f>
        <v>0</v>
      </c>
      <c r="L38" s="14">
        <f ca="1">OFFSET('COM Assumptions T15'!$D38,0,MATCH(VLOOKUP('COM Assumptions'!L$2,'RES Assumptions T15'!$V$3:$W$35,2,FALSE),'COM Assumptions T15'!$E$2:$S$2,0))</f>
        <v>0.7</v>
      </c>
      <c r="M38" s="14">
        <f ca="1">OFFSET('COM Assumptions T15'!$D38,0,MATCH(VLOOKUP('COM Assumptions'!M$2,'RES Assumptions T15'!$V$3:$W$35,2,FALSE),'COM Assumptions T15'!$E$2:$S$2,0))</f>
        <v>0</v>
      </c>
      <c r="N38" s="14">
        <f ca="1">OFFSET('COM Assumptions T15'!$D38,0,MATCH(VLOOKUP('COM Assumptions'!N$2,'RES Assumptions T15'!$V$3:$W$35,2,FALSE),'COM Assumptions T15'!$E$2:$S$2,0))</f>
        <v>0.35</v>
      </c>
      <c r="O38" s="14">
        <f ca="1">OFFSET('COM Assumptions T15'!$D38,0,MATCH(VLOOKUP('COM Assumptions'!O$2,'RES Assumptions T15'!$V$3:$W$35,2,FALSE),'COM Assumptions T15'!$E$2:$S$2,0))</f>
        <v>0.2</v>
      </c>
      <c r="P38" s="1">
        <f ca="1">OFFSET('COM Assumptions T15'!$D38,0,MATCH(VLOOKUP('COM Assumptions'!P$2,'RES Assumptions T15'!$V$3:$W$35,2,FALSE),'COM Assumptions T15'!$E$2:$S$2,0))</f>
        <v>0</v>
      </c>
      <c r="Q38" s="1">
        <f ca="1">OFFSET('COM Assumptions T15'!$D38,0,MATCH(VLOOKUP('COM Assumptions'!Q$2,'RES Assumptions T15'!$V$3:$W$35,2,FALSE),'COM Assumptions T15'!$E$2:$S$2,0))</f>
        <v>0.2</v>
      </c>
      <c r="R38" s="1">
        <f ca="1">OFFSET('COM Assumptions T15'!$D38,0,MATCH(VLOOKUP('COM Assumptions'!R$2,'RES Assumptions T15'!$V$3:$W$35,2,FALSE),'COM Assumptions T15'!$E$2:$S$2,0))</f>
        <v>0.2</v>
      </c>
      <c r="S38" s="1">
        <f ca="1">OFFSET('COM Assumptions T15'!$D38,0,MATCH(VLOOKUP('COM Assumptions'!S$2,'RES Assumptions T15'!$V$3:$W$35,2,FALSE),'COM Assumptions T15'!$E$2:$S$2,0))</f>
        <v>0</v>
      </c>
      <c r="T38" s="1">
        <f ca="1">OFFSET('COM Assumptions T15'!$D38,0,MATCH(VLOOKUP('COM Assumptions'!T$2,'RES Assumptions T15'!$V$3:$W$35,2,FALSE),'COM Assumptions T15'!$E$2:$S$2,0))</f>
        <v>0.2</v>
      </c>
      <c r="U38" s="1">
        <f ca="1">OFFSET('COM Assumptions T15'!$D38,0,MATCH(VLOOKUP('COM Assumptions'!U$2,'RES Assumptions T15'!$V$3:$W$35,2,FALSE),'COM Assumptions T15'!$E$2:$S$2,0))</f>
        <v>0</v>
      </c>
      <c r="V38" s="1">
        <f ca="1">OFFSET('COM Assumptions T15'!$D38,0,MATCH(VLOOKUP('COM Assumptions'!V$2,'RES Assumptions T15'!$V$3:$W$35,2,FALSE),'COM Assumptions T15'!$E$2:$S$2,0))</f>
        <v>0.2</v>
      </c>
      <c r="W38" s="1">
        <f ca="1">OFFSET('COM Assumptions T15'!$D38,0,MATCH(VLOOKUP('COM Assumptions'!W$2,'RES Assumptions T15'!$V$3:$W$35,2,FALSE),'COM Assumptions T15'!$E$2:$S$2,0))</f>
        <v>0.2</v>
      </c>
      <c r="X38" s="1">
        <f ca="1">OFFSET('COM Assumptions T15'!$D38,0,MATCH(VLOOKUP('COM Assumptions'!X$2,'RES Assumptions T15'!$V$3:$W$35,2,FALSE),'COM Assumptions T15'!$E$2:$S$2,0))</f>
        <v>0.7</v>
      </c>
      <c r="Y38" s="1">
        <f ca="1">OFFSET('COM Assumptions T15'!$D38,0,MATCH(VLOOKUP('COM Assumptions'!Y$2,'RES Assumptions T15'!$V$3:$W$35,2,FALSE),'COM Assumptions T15'!$E$2:$S$2,0))</f>
        <v>0.7</v>
      </c>
      <c r="Z38" s="1">
        <f ca="1">OFFSET('COM Assumptions T15'!$D38,0,MATCH(VLOOKUP('COM Assumptions'!Z$2,'RES Assumptions T15'!$V$3:$W$35,2,FALSE),'COM Assumptions T15'!$E$2:$S$2,0))</f>
        <v>0.7</v>
      </c>
      <c r="AA38" s="1">
        <f ca="1">OFFSET('COM Assumptions T15'!$D38,0,MATCH(VLOOKUP('COM Assumptions'!AA$2,'RES Assumptions T15'!$V$3:$W$35,2,FALSE),'COM Assumptions T15'!$E$2:$S$2,0))</f>
        <v>0</v>
      </c>
      <c r="AB38" s="1">
        <f ca="1">OFFSET('COM Assumptions T15'!$D38,0,MATCH(VLOOKUP('COM Assumptions'!AB$2,'RES Assumptions T15'!$V$3:$W$35,2,FALSE),'COM Assumptions T15'!$E$2:$S$2,0))</f>
        <v>0.2</v>
      </c>
      <c r="AC38" s="1">
        <f ca="1">OFFSET('COM Assumptions T15'!$D38,0,MATCH(VLOOKUP('COM Assumptions'!AC$2,'RES Assumptions T15'!$V$3:$W$35,2,FALSE),'COM Assumptions T15'!$E$2:$S$2,0))</f>
        <v>0</v>
      </c>
      <c r="AD38" s="1">
        <f ca="1">OFFSET('COM Assumptions T15'!$D38,0,MATCH(VLOOKUP('COM Assumptions'!AD$2,'RES Assumptions T15'!$V$3:$W$35,2,FALSE),'COM Assumptions T15'!$E$2:$S$2,0))</f>
        <v>0</v>
      </c>
      <c r="AE38" s="1">
        <f ca="1">OFFSET('COM Assumptions T15'!$D38,0,MATCH(VLOOKUP('COM Assumptions'!AE$2,'RES Assumptions T15'!$V$3:$W$35,2,FALSE),'COM Assumptions T15'!$E$2:$S$2,0))</f>
        <v>0.7</v>
      </c>
      <c r="AF38" s="1">
        <f ca="1">OFFSET('COM Assumptions T15'!$D38,0,MATCH(VLOOKUP('COM Assumptions'!AF$2,'RES Assumptions T15'!$V$3:$W$35,2,FALSE),'COM Assumptions T15'!$E$2:$S$2,0))</f>
        <v>0.2</v>
      </c>
      <c r="AG38" s="1">
        <f ca="1">OFFSET('COM Assumptions T15'!$D38,0,MATCH(VLOOKUP('COM Assumptions'!AG$2,'RES Assumptions T15'!$V$3:$W$35,2,FALSE),'COM Assumptions T15'!$E$2:$S$2,0))</f>
        <v>0</v>
      </c>
      <c r="AH38" s="1">
        <f ca="1">OFFSET('COM Assumptions T15'!$D38,0,MATCH(VLOOKUP('COM Assumptions'!AH$2,'RES Assumptions T15'!$V$3:$W$35,2,FALSE),'COM Assumptions T15'!$E$2:$S$2,0))</f>
        <v>0</v>
      </c>
      <c r="AI38" s="1"/>
      <c r="AK38" s="10">
        <f ca="1">IFERROR(SUMIFS('COM balance'!E$5:E$25,'COM balance'!$D$5:$D$25,'COM Assumptions'!$A38)*E38,"")</f>
        <v>0</v>
      </c>
      <c r="AL38" s="10">
        <f ca="1">IFERROR(SUMIFS('COM balance'!F$5:F$25,'COM balance'!$D$5:$D$25,'COM Assumptions'!$A38)*F38,"")</f>
        <v>0</v>
      </c>
      <c r="AM38" s="10">
        <f ca="1">IFERROR(SUMIFS('COM balance'!G$5:G$25,'COM balance'!$D$5:$D$25,'COM Assumptions'!$A38)*G38,"")</f>
        <v>0</v>
      </c>
      <c r="AN38" s="10">
        <f ca="1">IFERROR(SUMIFS('COM balance'!H$5:H$25,'COM balance'!$D$5:$D$25,'COM Assumptions'!$A38)*H38,"")</f>
        <v>0</v>
      </c>
      <c r="AO38" s="10">
        <f ca="1">IFERROR(SUMIFS('COM balance'!I$5:I$25,'COM balance'!$D$5:$D$25,'COM Assumptions'!$A38)*I38,"")</f>
        <v>0</v>
      </c>
      <c r="AP38" s="10">
        <f ca="1">IFERROR(SUMIFS('COM balance'!J$5:J$25,'COM balance'!$D$5:$D$25,'COM Assumptions'!$A38)*J38,"")</f>
        <v>0</v>
      </c>
      <c r="AQ38" s="10">
        <f ca="1">IFERROR(SUMIFS('COM balance'!K$5:K$25,'COM balance'!$D$5:$D$25,'COM Assumptions'!$A38)*K38,"")</f>
        <v>0</v>
      </c>
      <c r="AR38" s="10">
        <f ca="1">IFERROR(SUMIFS('COM balance'!L$5:L$25,'COM balance'!$D$5:$D$25,'COM Assumptions'!$A38)*L38,"")</f>
        <v>0</v>
      </c>
      <c r="AS38" s="10">
        <f ca="1">IFERROR(SUMIFS('COM balance'!M$5:M$25,'COM balance'!$D$5:$D$25,'COM Assumptions'!$A38)*M38,"")</f>
        <v>0</v>
      </c>
      <c r="AT38" s="10">
        <f ca="1">IFERROR(SUMIFS('COM balance'!N$5:N$25,'COM balance'!$D$5:$D$25,'COM Assumptions'!$A38)*N38,"")</f>
        <v>0</v>
      </c>
      <c r="AU38" s="10">
        <f ca="1">IFERROR(SUMIFS('COM balance'!O$5:O$25,'COM balance'!$D$5:$D$25,'COM Assumptions'!$A38)*O38,"")</f>
        <v>0</v>
      </c>
      <c r="AV38" s="10">
        <f ca="1">IFERROR(SUMIFS('COM balance'!P$5:P$25,'COM balance'!$D$5:$D$25,'COM Assumptions'!$A38)*P38,"")</f>
        <v>0</v>
      </c>
      <c r="AW38" s="10">
        <f ca="1">IFERROR(SUMIFS('COM balance'!Q$5:Q$25,'COM balance'!$D$5:$D$25,'COM Assumptions'!$A38)*Q38,"")</f>
        <v>0</v>
      </c>
      <c r="AX38" s="10">
        <f ca="1">IFERROR(SUMIFS('COM balance'!R$5:R$25,'COM balance'!$D$5:$D$25,'COM Assumptions'!$A38)*R38,"")</f>
        <v>0</v>
      </c>
      <c r="AY38" s="10">
        <f ca="1">IFERROR(SUMIFS('COM balance'!S$5:S$25,'COM balance'!$D$5:$D$25,'COM Assumptions'!$A38)*S38,"")</f>
        <v>0</v>
      </c>
      <c r="AZ38" s="10">
        <f ca="1">IFERROR(SUMIFS('COM balance'!T$5:T$25,'COM balance'!$D$5:$D$25,'COM Assumptions'!$A38)*T38,"")</f>
        <v>0</v>
      </c>
      <c r="BA38" s="10">
        <f ca="1">IFERROR(SUMIFS('COM balance'!U$5:U$25,'COM balance'!$D$5:$D$25,'COM Assumptions'!$A38)*U38,"")</f>
        <v>0</v>
      </c>
      <c r="BB38" s="10">
        <f ca="1">IFERROR(SUMIFS('COM balance'!V$5:V$25,'COM balance'!$D$5:$D$25,'COM Assumptions'!$A38)*V38,"")</f>
        <v>0</v>
      </c>
      <c r="BC38" s="10">
        <f ca="1">IFERROR(SUMIFS('COM balance'!W$5:W$25,'COM balance'!$D$5:$D$25,'COM Assumptions'!$A38)*W38,"")</f>
        <v>0</v>
      </c>
      <c r="BD38" s="10">
        <f ca="1">IFERROR(SUMIFS('COM balance'!X$5:X$25,'COM balance'!$D$5:$D$25,'COM Assumptions'!$A38)*X38,"")</f>
        <v>0</v>
      </c>
      <c r="BE38" s="10">
        <f ca="1">IFERROR(SUMIFS('COM balance'!Y$5:Y$25,'COM balance'!$D$5:$D$25,'COM Assumptions'!$A38)*Y38,"")</f>
        <v>0</v>
      </c>
      <c r="BF38" s="10">
        <f ca="1">IFERROR(SUMIFS('COM balance'!Z$5:Z$25,'COM balance'!$D$5:$D$25,'COM Assumptions'!$A38)*Z38,"")</f>
        <v>0</v>
      </c>
      <c r="BG38" s="10">
        <f ca="1">IFERROR(SUMIFS('COM balance'!AA$5:AA$25,'COM balance'!$D$5:$D$25,'COM Assumptions'!$A38)*AA38,"")</f>
        <v>0</v>
      </c>
      <c r="BH38" s="10">
        <f ca="1">IFERROR(SUMIFS('COM balance'!AB$5:AB$25,'COM balance'!$D$5:$D$25,'COM Assumptions'!$A38)*AB38,"")</f>
        <v>0</v>
      </c>
      <c r="BI38" s="10">
        <f ca="1">IFERROR(SUMIFS('COM balance'!AC$5:AC$25,'COM balance'!$D$5:$D$25,'COM Assumptions'!$A38)*AC38,"")</f>
        <v>0</v>
      </c>
      <c r="BJ38" s="10">
        <f ca="1">IFERROR(SUMIFS('COM balance'!AD$5:AD$25,'COM balance'!$D$5:$D$25,'COM Assumptions'!$A38)*AD38,"")</f>
        <v>0</v>
      </c>
      <c r="BK38" s="10">
        <f ca="1">IFERROR(SUMIFS('COM balance'!AE$5:AE$25,'COM balance'!$D$5:$D$25,'COM Assumptions'!$A38)*AE38,"")</f>
        <v>0</v>
      </c>
      <c r="BL38" s="10">
        <f ca="1">IFERROR(SUMIFS('COM balance'!AF$5:AF$25,'COM balance'!$D$5:$D$25,'COM Assumptions'!$A38)*AF38,"")</f>
        <v>0</v>
      </c>
      <c r="BM38" s="10">
        <f ca="1">IFERROR(SUMIFS('COM balance'!AG$5:AG$25,'COM balance'!$D$5:$D$25,'COM Assumptions'!$A38)*AG38,"")</f>
        <v>0</v>
      </c>
      <c r="BN38" s="10">
        <f ca="1">IFERROR(SUMIFS('COM balance'!AH$5:AH$25,'COM balance'!$D$5:$D$25,'COM Assumptions'!$A38)*AH38,"")</f>
        <v>0</v>
      </c>
    </row>
    <row r="39" spans="1:67" x14ac:dyDescent="0.45">
      <c r="A39" s="8">
        <f>VLOOKUP(C39,'COM balance'!$AM$5:$AN$25,2,FALSE)</f>
        <v>0</v>
      </c>
      <c r="B39" s="36"/>
      <c r="C39" s="22" t="s">
        <v>35</v>
      </c>
      <c r="D39" s="42" t="s">
        <v>89</v>
      </c>
      <c r="E39" s="18">
        <f ca="1">OFFSET('COM Assumptions T15'!$D39,0,MATCH(VLOOKUP('COM Assumptions'!E$2,'RES Assumptions T15'!$V$3:$W$35,2,FALSE),'COM Assumptions T15'!$E$2:$S$2,0))</f>
        <v>0</v>
      </c>
      <c r="F39" s="18">
        <f ca="1">OFFSET('COM Assumptions T15'!$D39,0,MATCH(VLOOKUP('COM Assumptions'!F$2,'RES Assumptions T15'!$V$3:$W$35,2,FALSE),'COM Assumptions T15'!$E$2:$S$2,0))</f>
        <v>0</v>
      </c>
      <c r="G39" s="18">
        <f ca="1">OFFSET('COM Assumptions T15'!$D39,0,MATCH(VLOOKUP('COM Assumptions'!G$2,'RES Assumptions T15'!$V$3:$W$35,2,FALSE),'COM Assumptions T15'!$E$2:$S$2,0))</f>
        <v>0</v>
      </c>
      <c r="H39" s="18">
        <f ca="1">OFFSET('COM Assumptions T15'!$D39,0,MATCH(VLOOKUP('COM Assumptions'!H$2,'RES Assumptions T15'!$V$3:$W$35,2,FALSE),'COM Assumptions T15'!$E$2:$S$2,0))</f>
        <v>0</v>
      </c>
      <c r="I39" s="18">
        <f ca="1">OFFSET('COM Assumptions T15'!$D39,0,MATCH(VLOOKUP('COM Assumptions'!I$2,'RES Assumptions T15'!$V$3:$W$35,2,FALSE),'COM Assumptions T15'!$E$2:$S$2,0))</f>
        <v>0</v>
      </c>
      <c r="J39" s="18">
        <f ca="1">OFFSET('COM Assumptions T15'!$D39,0,MATCH(VLOOKUP('COM Assumptions'!J$2,'RES Assumptions T15'!$V$3:$W$35,2,FALSE),'COM Assumptions T15'!$E$2:$S$2,0))</f>
        <v>0</v>
      </c>
      <c r="K39" s="18">
        <f ca="1">OFFSET('COM Assumptions T15'!$D39,0,MATCH(VLOOKUP('COM Assumptions'!K$2,'RES Assumptions T15'!$V$3:$W$35,2,FALSE),'COM Assumptions T15'!$E$2:$S$2,0))</f>
        <v>0</v>
      </c>
      <c r="L39" s="18">
        <f ca="1">OFFSET('COM Assumptions T15'!$D39,0,MATCH(VLOOKUP('COM Assumptions'!L$2,'RES Assumptions T15'!$V$3:$W$35,2,FALSE),'COM Assumptions T15'!$E$2:$S$2,0))</f>
        <v>0</v>
      </c>
      <c r="M39" s="18">
        <f ca="1">OFFSET('COM Assumptions T15'!$D39,0,MATCH(VLOOKUP('COM Assumptions'!M$2,'RES Assumptions T15'!$V$3:$W$35,2,FALSE),'COM Assumptions T15'!$E$2:$S$2,0))</f>
        <v>0</v>
      </c>
      <c r="N39" s="18">
        <f ca="1">OFFSET('COM Assumptions T15'!$D39,0,MATCH(VLOOKUP('COM Assumptions'!N$2,'RES Assumptions T15'!$V$3:$W$35,2,FALSE),'COM Assumptions T15'!$E$2:$S$2,0))</f>
        <v>0</v>
      </c>
      <c r="O39" s="18">
        <f ca="1">OFFSET('COM Assumptions T15'!$D39,0,MATCH(VLOOKUP('COM Assumptions'!O$2,'RES Assumptions T15'!$V$3:$W$35,2,FALSE),'COM Assumptions T15'!$E$2:$S$2,0))</f>
        <v>0</v>
      </c>
      <c r="P39" s="1">
        <f ca="1">OFFSET('COM Assumptions T15'!$D39,0,MATCH(VLOOKUP('COM Assumptions'!P$2,'RES Assumptions T15'!$V$3:$W$35,2,FALSE),'COM Assumptions T15'!$E$2:$S$2,0))</f>
        <v>0</v>
      </c>
      <c r="Q39" s="1">
        <f ca="1">OFFSET('COM Assumptions T15'!$D39,0,MATCH(VLOOKUP('COM Assumptions'!Q$2,'RES Assumptions T15'!$V$3:$W$35,2,FALSE),'COM Assumptions T15'!$E$2:$S$2,0))</f>
        <v>0</v>
      </c>
      <c r="R39" s="1">
        <f ca="1">OFFSET('COM Assumptions T15'!$D39,0,MATCH(VLOOKUP('COM Assumptions'!R$2,'RES Assumptions T15'!$V$3:$W$35,2,FALSE),'COM Assumptions T15'!$E$2:$S$2,0))</f>
        <v>0</v>
      </c>
      <c r="S39" s="1">
        <f ca="1">OFFSET('COM Assumptions T15'!$D39,0,MATCH(VLOOKUP('COM Assumptions'!S$2,'RES Assumptions T15'!$V$3:$W$35,2,FALSE),'COM Assumptions T15'!$E$2:$S$2,0))</f>
        <v>0</v>
      </c>
      <c r="T39" s="1">
        <f ca="1">OFFSET('COM Assumptions T15'!$D39,0,MATCH(VLOOKUP('COM Assumptions'!T$2,'RES Assumptions T15'!$V$3:$W$35,2,FALSE),'COM Assumptions T15'!$E$2:$S$2,0))</f>
        <v>0</v>
      </c>
      <c r="U39" s="1">
        <f ca="1">OFFSET('COM Assumptions T15'!$D39,0,MATCH(VLOOKUP('COM Assumptions'!U$2,'RES Assumptions T15'!$V$3:$W$35,2,FALSE),'COM Assumptions T15'!$E$2:$S$2,0))</f>
        <v>0</v>
      </c>
      <c r="V39" s="1">
        <f ca="1">OFFSET('COM Assumptions T15'!$D39,0,MATCH(VLOOKUP('COM Assumptions'!V$2,'RES Assumptions T15'!$V$3:$W$35,2,FALSE),'COM Assumptions T15'!$E$2:$S$2,0))</f>
        <v>0</v>
      </c>
      <c r="W39" s="1">
        <f ca="1">OFFSET('COM Assumptions T15'!$D39,0,MATCH(VLOOKUP('COM Assumptions'!W$2,'RES Assumptions T15'!$V$3:$W$35,2,FALSE),'COM Assumptions T15'!$E$2:$S$2,0))</f>
        <v>0</v>
      </c>
      <c r="X39" s="1">
        <f ca="1">OFFSET('COM Assumptions T15'!$D39,0,MATCH(VLOOKUP('COM Assumptions'!X$2,'RES Assumptions T15'!$V$3:$W$35,2,FALSE),'COM Assumptions T15'!$E$2:$S$2,0))</f>
        <v>0</v>
      </c>
      <c r="Y39" s="1">
        <f ca="1">OFFSET('COM Assumptions T15'!$D39,0,MATCH(VLOOKUP('COM Assumptions'!Y$2,'RES Assumptions T15'!$V$3:$W$35,2,FALSE),'COM Assumptions T15'!$E$2:$S$2,0))</f>
        <v>0</v>
      </c>
      <c r="Z39" s="1">
        <f ca="1">OFFSET('COM Assumptions T15'!$D39,0,MATCH(VLOOKUP('COM Assumptions'!Z$2,'RES Assumptions T15'!$V$3:$W$35,2,FALSE),'COM Assumptions T15'!$E$2:$S$2,0))</f>
        <v>0</v>
      </c>
      <c r="AA39" s="1">
        <f ca="1">OFFSET('COM Assumptions T15'!$D39,0,MATCH(VLOOKUP('COM Assumptions'!AA$2,'RES Assumptions T15'!$V$3:$W$35,2,FALSE),'COM Assumptions T15'!$E$2:$S$2,0))</f>
        <v>0</v>
      </c>
      <c r="AB39" s="1">
        <f ca="1">OFFSET('COM Assumptions T15'!$D39,0,MATCH(VLOOKUP('COM Assumptions'!AB$2,'RES Assumptions T15'!$V$3:$W$35,2,FALSE),'COM Assumptions T15'!$E$2:$S$2,0))</f>
        <v>0</v>
      </c>
      <c r="AC39" s="1">
        <f ca="1">OFFSET('COM Assumptions T15'!$D39,0,MATCH(VLOOKUP('COM Assumptions'!AC$2,'RES Assumptions T15'!$V$3:$W$35,2,FALSE),'COM Assumptions T15'!$E$2:$S$2,0))</f>
        <v>0</v>
      </c>
      <c r="AD39" s="1">
        <f ca="1">OFFSET('COM Assumptions T15'!$D39,0,MATCH(VLOOKUP('COM Assumptions'!AD$2,'RES Assumptions T15'!$V$3:$W$35,2,FALSE),'COM Assumptions T15'!$E$2:$S$2,0))</f>
        <v>0</v>
      </c>
      <c r="AE39" s="1">
        <f ca="1">OFFSET('COM Assumptions T15'!$D39,0,MATCH(VLOOKUP('COM Assumptions'!AE$2,'RES Assumptions T15'!$V$3:$W$35,2,FALSE),'COM Assumptions T15'!$E$2:$S$2,0))</f>
        <v>0</v>
      </c>
      <c r="AF39" s="1">
        <f ca="1">OFFSET('COM Assumptions T15'!$D39,0,MATCH(VLOOKUP('COM Assumptions'!AF$2,'RES Assumptions T15'!$V$3:$W$35,2,FALSE),'COM Assumptions T15'!$E$2:$S$2,0))</f>
        <v>0</v>
      </c>
      <c r="AG39" s="1">
        <f ca="1">OFFSET('COM Assumptions T15'!$D39,0,MATCH(VLOOKUP('COM Assumptions'!AG$2,'RES Assumptions T15'!$V$3:$W$35,2,FALSE),'COM Assumptions T15'!$E$2:$S$2,0))</f>
        <v>0</v>
      </c>
      <c r="AH39" s="1">
        <f ca="1">OFFSET('COM Assumptions T15'!$D39,0,MATCH(VLOOKUP('COM Assumptions'!AH$2,'RES Assumptions T15'!$V$3:$W$35,2,FALSE),'COM Assumptions T15'!$E$2:$S$2,0))</f>
        <v>0</v>
      </c>
      <c r="AI39" s="1"/>
      <c r="AK39" s="10">
        <f ca="1">IFERROR(SUMIFS('COM balance'!E$5:E$25,'COM balance'!$D$5:$D$25,'COM Assumptions'!$A39)*E39,"")</f>
        <v>0</v>
      </c>
      <c r="AL39" s="10">
        <f ca="1">IFERROR(SUMIFS('COM balance'!F$5:F$25,'COM balance'!$D$5:$D$25,'COM Assumptions'!$A39)*F39,"")</f>
        <v>0</v>
      </c>
      <c r="AM39" s="10">
        <f ca="1">IFERROR(SUMIFS('COM balance'!G$5:G$25,'COM balance'!$D$5:$D$25,'COM Assumptions'!$A39)*G39,"")</f>
        <v>0</v>
      </c>
      <c r="AN39" s="10">
        <f ca="1">IFERROR(SUMIFS('COM balance'!H$5:H$25,'COM balance'!$D$5:$D$25,'COM Assumptions'!$A39)*H39,"")</f>
        <v>0</v>
      </c>
      <c r="AO39" s="10">
        <f ca="1">IFERROR(SUMIFS('COM balance'!I$5:I$25,'COM balance'!$D$5:$D$25,'COM Assumptions'!$A39)*I39,"")</f>
        <v>0</v>
      </c>
      <c r="AP39" s="10">
        <f ca="1">IFERROR(SUMIFS('COM balance'!J$5:J$25,'COM balance'!$D$5:$D$25,'COM Assumptions'!$A39)*J39,"")</f>
        <v>0</v>
      </c>
      <c r="AQ39" s="10">
        <f ca="1">IFERROR(SUMIFS('COM balance'!K$5:K$25,'COM balance'!$D$5:$D$25,'COM Assumptions'!$A39)*K39,"")</f>
        <v>0</v>
      </c>
      <c r="AR39" s="10">
        <f ca="1">IFERROR(SUMIFS('COM balance'!L$5:L$25,'COM balance'!$D$5:$D$25,'COM Assumptions'!$A39)*L39,"")</f>
        <v>0</v>
      </c>
      <c r="AS39" s="10">
        <f ca="1">IFERROR(SUMIFS('COM balance'!M$5:M$25,'COM balance'!$D$5:$D$25,'COM Assumptions'!$A39)*M39,"")</f>
        <v>0</v>
      </c>
      <c r="AT39" s="10">
        <f ca="1">IFERROR(SUMIFS('COM balance'!N$5:N$25,'COM balance'!$D$5:$D$25,'COM Assumptions'!$A39)*N39,"")</f>
        <v>0</v>
      </c>
      <c r="AU39" s="10">
        <f ca="1">IFERROR(SUMIFS('COM balance'!O$5:O$25,'COM balance'!$D$5:$D$25,'COM Assumptions'!$A39)*O39,"")</f>
        <v>0</v>
      </c>
      <c r="AV39" s="10">
        <f ca="1">IFERROR(SUMIFS('COM balance'!P$5:P$25,'COM balance'!$D$5:$D$25,'COM Assumptions'!$A39)*P39,"")</f>
        <v>0</v>
      </c>
      <c r="AW39" s="10">
        <f ca="1">IFERROR(SUMIFS('COM balance'!Q$5:Q$25,'COM balance'!$D$5:$D$25,'COM Assumptions'!$A39)*Q39,"")</f>
        <v>0</v>
      </c>
      <c r="AX39" s="10">
        <f ca="1">IFERROR(SUMIFS('COM balance'!R$5:R$25,'COM balance'!$D$5:$D$25,'COM Assumptions'!$A39)*R39,"")</f>
        <v>0</v>
      </c>
      <c r="AY39" s="10">
        <f ca="1">IFERROR(SUMIFS('COM balance'!S$5:S$25,'COM balance'!$D$5:$D$25,'COM Assumptions'!$A39)*S39,"")</f>
        <v>0</v>
      </c>
      <c r="AZ39" s="10">
        <f ca="1">IFERROR(SUMIFS('COM balance'!T$5:T$25,'COM balance'!$D$5:$D$25,'COM Assumptions'!$A39)*T39,"")</f>
        <v>0</v>
      </c>
      <c r="BA39" s="10">
        <f ca="1">IFERROR(SUMIFS('COM balance'!U$5:U$25,'COM balance'!$D$5:$D$25,'COM Assumptions'!$A39)*U39,"")</f>
        <v>0</v>
      </c>
      <c r="BB39" s="10">
        <f ca="1">IFERROR(SUMIFS('COM balance'!V$5:V$25,'COM balance'!$D$5:$D$25,'COM Assumptions'!$A39)*V39,"")</f>
        <v>0</v>
      </c>
      <c r="BC39" s="10">
        <f ca="1">IFERROR(SUMIFS('COM balance'!W$5:W$25,'COM balance'!$D$5:$D$25,'COM Assumptions'!$A39)*W39,"")</f>
        <v>0</v>
      </c>
      <c r="BD39" s="10">
        <f ca="1">IFERROR(SUMIFS('COM balance'!X$5:X$25,'COM balance'!$D$5:$D$25,'COM Assumptions'!$A39)*X39,"")</f>
        <v>0</v>
      </c>
      <c r="BE39" s="10">
        <f ca="1">IFERROR(SUMIFS('COM balance'!Y$5:Y$25,'COM balance'!$D$5:$D$25,'COM Assumptions'!$A39)*Y39,"")</f>
        <v>0</v>
      </c>
      <c r="BF39" s="10">
        <f ca="1">IFERROR(SUMIFS('COM balance'!Z$5:Z$25,'COM balance'!$D$5:$D$25,'COM Assumptions'!$A39)*Z39,"")</f>
        <v>0</v>
      </c>
      <c r="BG39" s="10">
        <f ca="1">IFERROR(SUMIFS('COM balance'!AA$5:AA$25,'COM balance'!$D$5:$D$25,'COM Assumptions'!$A39)*AA39,"")</f>
        <v>0</v>
      </c>
      <c r="BH39" s="10">
        <f ca="1">IFERROR(SUMIFS('COM balance'!AB$5:AB$25,'COM balance'!$D$5:$D$25,'COM Assumptions'!$A39)*AB39,"")</f>
        <v>0</v>
      </c>
      <c r="BI39" s="10">
        <f ca="1">IFERROR(SUMIFS('COM balance'!AC$5:AC$25,'COM balance'!$D$5:$D$25,'COM Assumptions'!$A39)*AC39,"")</f>
        <v>0</v>
      </c>
      <c r="BJ39" s="10">
        <f ca="1">IFERROR(SUMIFS('COM balance'!AD$5:AD$25,'COM balance'!$D$5:$D$25,'COM Assumptions'!$A39)*AD39,"")</f>
        <v>0</v>
      </c>
      <c r="BK39" s="10">
        <f ca="1">IFERROR(SUMIFS('COM balance'!AE$5:AE$25,'COM balance'!$D$5:$D$25,'COM Assumptions'!$A39)*AE39,"")</f>
        <v>0</v>
      </c>
      <c r="BL39" s="10">
        <f ca="1">IFERROR(SUMIFS('COM balance'!AF$5:AF$25,'COM balance'!$D$5:$D$25,'COM Assumptions'!$A39)*AF39,"")</f>
        <v>0</v>
      </c>
      <c r="BM39" s="10">
        <f ca="1">IFERROR(SUMIFS('COM balance'!AG$5:AG$25,'COM balance'!$D$5:$D$25,'COM Assumptions'!$A39)*AG39,"")</f>
        <v>0</v>
      </c>
      <c r="BN39" s="10">
        <f ca="1">IFERROR(SUMIFS('COM balance'!AH$5:AH$25,'COM balance'!$D$5:$D$25,'COM Assumptions'!$A39)*AH39,"")</f>
        <v>0</v>
      </c>
    </row>
    <row r="40" spans="1:67" x14ac:dyDescent="0.45">
      <c r="A40" s="8">
        <f>VLOOKUP(C40,'COM balance'!$AM$5:$AN$25,2,FALSE)</f>
        <v>0</v>
      </c>
      <c r="B40" s="36"/>
      <c r="C40" s="20" t="s">
        <v>78</v>
      </c>
      <c r="D40" s="41" t="s">
        <v>82</v>
      </c>
      <c r="E40" s="14">
        <f ca="1">OFFSET('COM Assumptions T15'!$D40,0,MATCH(VLOOKUP('COM Assumptions'!E$2,'RES Assumptions T15'!$V$3:$W$35,2,FALSE),'COM Assumptions T15'!$E$2:$S$2,0))</f>
        <v>0.1</v>
      </c>
      <c r="F40" s="14">
        <f ca="1">OFFSET('COM Assumptions T15'!$D40,0,MATCH(VLOOKUP('COM Assumptions'!F$2,'RES Assumptions T15'!$V$3:$W$35,2,FALSE),'COM Assumptions T15'!$E$2:$S$2,0))</f>
        <v>0.1</v>
      </c>
      <c r="G40" s="14">
        <f ca="1">OFFSET('COM Assumptions T15'!$D40,0,MATCH(VLOOKUP('COM Assumptions'!G$2,'RES Assumptions T15'!$V$3:$W$35,2,FALSE),'COM Assumptions T15'!$E$2:$S$2,0))</f>
        <v>0.1</v>
      </c>
      <c r="H40" s="14">
        <f ca="1">OFFSET('COM Assumptions T15'!$D40,0,MATCH(VLOOKUP('COM Assumptions'!H$2,'RES Assumptions T15'!$V$3:$W$35,2,FALSE),'COM Assumptions T15'!$E$2:$S$2,0))</f>
        <v>1</v>
      </c>
      <c r="I40" s="14">
        <f ca="1">OFFSET('COM Assumptions T15'!$D40,0,MATCH(VLOOKUP('COM Assumptions'!I$2,'RES Assumptions T15'!$V$3:$W$35,2,FALSE),'COM Assumptions T15'!$E$2:$S$2,0))</f>
        <v>1</v>
      </c>
      <c r="J40" s="14">
        <f ca="1">OFFSET('COM Assumptions T15'!$D40,0,MATCH(VLOOKUP('COM Assumptions'!J$2,'RES Assumptions T15'!$V$3:$W$35,2,FALSE),'COM Assumptions T15'!$E$2:$S$2,0))</f>
        <v>0.2</v>
      </c>
      <c r="K40" s="14">
        <f ca="1">OFFSET('COM Assumptions T15'!$D40,0,MATCH(VLOOKUP('COM Assumptions'!K$2,'RES Assumptions T15'!$V$3:$W$35,2,FALSE),'COM Assumptions T15'!$E$2:$S$2,0))</f>
        <v>0.85</v>
      </c>
      <c r="L40" s="14">
        <f ca="1">OFFSET('COM Assumptions T15'!$D40,0,MATCH(VLOOKUP('COM Assumptions'!L$2,'RES Assumptions T15'!$V$3:$W$35,2,FALSE),'COM Assumptions T15'!$E$2:$S$2,0))</f>
        <v>0.1</v>
      </c>
      <c r="M40" s="14">
        <f ca="1">OFFSET('COM Assumptions T15'!$D40,0,MATCH(VLOOKUP('COM Assumptions'!M$2,'RES Assumptions T15'!$V$3:$W$35,2,FALSE),'COM Assumptions T15'!$E$2:$S$2,0))</f>
        <v>1</v>
      </c>
      <c r="N40" s="14">
        <f ca="1">OFFSET('COM Assumptions T15'!$D40,0,MATCH(VLOOKUP('COM Assumptions'!N$2,'RES Assumptions T15'!$V$3:$W$35,2,FALSE),'COM Assumptions T15'!$E$2:$S$2,0))</f>
        <v>0.3</v>
      </c>
      <c r="O40" s="14">
        <f ca="1">OFFSET('COM Assumptions T15'!$D40,0,MATCH(VLOOKUP('COM Assumptions'!O$2,'RES Assumptions T15'!$V$3:$W$35,2,FALSE),'COM Assumptions T15'!$E$2:$S$2,0))</f>
        <v>0.8</v>
      </c>
      <c r="P40" s="1">
        <f ca="1">OFFSET('COM Assumptions T15'!$D40,0,MATCH(VLOOKUP('COM Assumptions'!P$2,'RES Assumptions T15'!$V$3:$W$35,2,FALSE),'COM Assumptions T15'!$E$2:$S$2,0))</f>
        <v>1</v>
      </c>
      <c r="Q40" s="1">
        <f ca="1">OFFSET('COM Assumptions T15'!$D40,0,MATCH(VLOOKUP('COM Assumptions'!Q$2,'RES Assumptions T15'!$V$3:$W$35,2,FALSE),'COM Assumptions T15'!$E$2:$S$2,0))</f>
        <v>0.8</v>
      </c>
      <c r="R40" s="1">
        <f ca="1">OFFSET('COM Assumptions T15'!$D40,0,MATCH(VLOOKUP('COM Assumptions'!R$2,'RES Assumptions T15'!$V$3:$W$35,2,FALSE),'COM Assumptions T15'!$E$2:$S$2,0))</f>
        <v>0.8</v>
      </c>
      <c r="S40" s="1">
        <f ca="1">OFFSET('COM Assumptions T15'!$D40,0,MATCH(VLOOKUP('COM Assumptions'!S$2,'RES Assumptions T15'!$V$3:$W$35,2,FALSE),'COM Assumptions T15'!$E$2:$S$2,0))</f>
        <v>1</v>
      </c>
      <c r="T40" s="1">
        <f ca="1">OFFSET('COM Assumptions T15'!$D40,0,MATCH(VLOOKUP('COM Assumptions'!T$2,'RES Assumptions T15'!$V$3:$W$35,2,FALSE),'COM Assumptions T15'!$E$2:$S$2,0))</f>
        <v>0.8</v>
      </c>
      <c r="U40" s="1">
        <f ca="1">OFFSET('COM Assumptions T15'!$D40,0,MATCH(VLOOKUP('COM Assumptions'!U$2,'RES Assumptions T15'!$V$3:$W$35,2,FALSE),'COM Assumptions T15'!$E$2:$S$2,0))</f>
        <v>1</v>
      </c>
      <c r="V40" s="1">
        <f ca="1">OFFSET('COM Assumptions T15'!$D40,0,MATCH(VLOOKUP('COM Assumptions'!V$2,'RES Assumptions T15'!$V$3:$W$35,2,FALSE),'COM Assumptions T15'!$E$2:$S$2,0))</f>
        <v>0.8</v>
      </c>
      <c r="W40" s="1">
        <f ca="1">OFFSET('COM Assumptions T15'!$D40,0,MATCH(VLOOKUP('COM Assumptions'!W$2,'RES Assumptions T15'!$V$3:$W$35,2,FALSE),'COM Assumptions T15'!$E$2:$S$2,0))</f>
        <v>0.8</v>
      </c>
      <c r="X40" s="1">
        <f ca="1">OFFSET('COM Assumptions T15'!$D40,0,MATCH(VLOOKUP('COM Assumptions'!X$2,'RES Assumptions T15'!$V$3:$W$35,2,FALSE),'COM Assumptions T15'!$E$2:$S$2,0))</f>
        <v>0.1</v>
      </c>
      <c r="Y40" s="1">
        <f ca="1">OFFSET('COM Assumptions T15'!$D40,0,MATCH(VLOOKUP('COM Assumptions'!Y$2,'RES Assumptions T15'!$V$3:$W$35,2,FALSE),'COM Assumptions T15'!$E$2:$S$2,0))</f>
        <v>0.1</v>
      </c>
      <c r="Z40" s="1">
        <f ca="1">OFFSET('COM Assumptions T15'!$D40,0,MATCH(VLOOKUP('COM Assumptions'!Z$2,'RES Assumptions T15'!$V$3:$W$35,2,FALSE),'COM Assumptions T15'!$E$2:$S$2,0))</f>
        <v>0.1</v>
      </c>
      <c r="AA40" s="1">
        <f ca="1">OFFSET('COM Assumptions T15'!$D40,0,MATCH(VLOOKUP('COM Assumptions'!AA$2,'RES Assumptions T15'!$V$3:$W$35,2,FALSE),'COM Assumptions T15'!$E$2:$S$2,0))</f>
        <v>1</v>
      </c>
      <c r="AB40" s="1">
        <f ca="1">OFFSET('COM Assumptions T15'!$D40,0,MATCH(VLOOKUP('COM Assumptions'!AB$2,'RES Assumptions T15'!$V$3:$W$35,2,FALSE),'COM Assumptions T15'!$E$2:$S$2,0))</f>
        <v>0.8</v>
      </c>
      <c r="AC40" s="1">
        <f ca="1">OFFSET('COM Assumptions T15'!$D40,0,MATCH(VLOOKUP('COM Assumptions'!AC$2,'RES Assumptions T15'!$V$3:$W$35,2,FALSE),'COM Assumptions T15'!$E$2:$S$2,0))</f>
        <v>1</v>
      </c>
      <c r="AD40" s="1">
        <f ca="1">OFFSET('COM Assumptions T15'!$D40,0,MATCH(VLOOKUP('COM Assumptions'!AD$2,'RES Assumptions T15'!$V$3:$W$35,2,FALSE),'COM Assumptions T15'!$E$2:$S$2,0))</f>
        <v>1</v>
      </c>
      <c r="AE40" s="1">
        <f ca="1">OFFSET('COM Assumptions T15'!$D40,0,MATCH(VLOOKUP('COM Assumptions'!AE$2,'RES Assumptions T15'!$V$3:$W$35,2,FALSE),'COM Assumptions T15'!$E$2:$S$2,0))</f>
        <v>0.1</v>
      </c>
      <c r="AF40" s="1">
        <f ca="1">OFFSET('COM Assumptions T15'!$D40,0,MATCH(VLOOKUP('COM Assumptions'!AF$2,'RES Assumptions T15'!$V$3:$W$35,2,FALSE),'COM Assumptions T15'!$E$2:$S$2,0))</f>
        <v>0.8</v>
      </c>
      <c r="AG40" s="1">
        <f ca="1">OFFSET('COM Assumptions T15'!$D40,0,MATCH(VLOOKUP('COM Assumptions'!AG$2,'RES Assumptions T15'!$V$3:$W$35,2,FALSE),'COM Assumptions T15'!$E$2:$S$2,0))</f>
        <v>1</v>
      </c>
      <c r="AH40" s="1">
        <f ca="1">OFFSET('COM Assumptions T15'!$D40,0,MATCH(VLOOKUP('COM Assumptions'!AH$2,'RES Assumptions T15'!$V$3:$W$35,2,FALSE),'COM Assumptions T15'!$E$2:$S$2,0))</f>
        <v>1</v>
      </c>
      <c r="AI40" s="1"/>
      <c r="AK40" s="10">
        <f ca="1">IFERROR(SUMIFS('COM balance'!E$5:E$25,'COM balance'!$D$5:$D$25,'COM Assumptions'!$A40)*E40,"")</f>
        <v>0</v>
      </c>
      <c r="AL40" s="10">
        <f ca="1">IFERROR(SUMIFS('COM balance'!F$5:F$25,'COM balance'!$D$5:$D$25,'COM Assumptions'!$A40)*F40,"")</f>
        <v>0</v>
      </c>
      <c r="AM40" s="10">
        <f ca="1">IFERROR(SUMIFS('COM balance'!G$5:G$25,'COM balance'!$D$5:$D$25,'COM Assumptions'!$A40)*G40,"")</f>
        <v>0</v>
      </c>
      <c r="AN40" s="10">
        <f ca="1">IFERROR(SUMIFS('COM balance'!H$5:H$25,'COM balance'!$D$5:$D$25,'COM Assumptions'!$A40)*H40,"")</f>
        <v>0</v>
      </c>
      <c r="AO40" s="10">
        <f ca="1">IFERROR(SUMIFS('COM balance'!I$5:I$25,'COM balance'!$D$5:$D$25,'COM Assumptions'!$A40)*I40,"")</f>
        <v>0</v>
      </c>
      <c r="AP40" s="10">
        <f ca="1">IFERROR(SUMIFS('COM balance'!J$5:J$25,'COM balance'!$D$5:$D$25,'COM Assumptions'!$A40)*J40,"")</f>
        <v>0</v>
      </c>
      <c r="AQ40" s="10">
        <f ca="1">IFERROR(SUMIFS('COM balance'!K$5:K$25,'COM balance'!$D$5:$D$25,'COM Assumptions'!$A40)*K40,"")</f>
        <v>0</v>
      </c>
      <c r="AR40" s="10">
        <f ca="1">IFERROR(SUMIFS('COM balance'!L$5:L$25,'COM balance'!$D$5:$D$25,'COM Assumptions'!$A40)*L40,"")</f>
        <v>0</v>
      </c>
      <c r="AS40" s="10">
        <f ca="1">IFERROR(SUMIFS('COM balance'!M$5:M$25,'COM balance'!$D$5:$D$25,'COM Assumptions'!$A40)*M40,"")</f>
        <v>0</v>
      </c>
      <c r="AT40" s="10">
        <f ca="1">IFERROR(SUMIFS('COM balance'!N$5:N$25,'COM balance'!$D$5:$D$25,'COM Assumptions'!$A40)*N40,"")</f>
        <v>0</v>
      </c>
      <c r="AU40" s="10">
        <f ca="1">IFERROR(SUMIFS('COM balance'!O$5:O$25,'COM balance'!$D$5:$D$25,'COM Assumptions'!$A40)*O40,"")</f>
        <v>0</v>
      </c>
      <c r="AV40" s="10">
        <f ca="1">IFERROR(SUMIFS('COM balance'!P$5:P$25,'COM balance'!$D$5:$D$25,'COM Assumptions'!$A40)*P40,"")</f>
        <v>0</v>
      </c>
      <c r="AW40" s="10">
        <f ca="1">IFERROR(SUMIFS('COM balance'!Q$5:Q$25,'COM balance'!$D$5:$D$25,'COM Assumptions'!$A40)*Q40,"")</f>
        <v>0</v>
      </c>
      <c r="AX40" s="10">
        <f ca="1">IFERROR(SUMIFS('COM balance'!R$5:R$25,'COM balance'!$D$5:$D$25,'COM Assumptions'!$A40)*R40,"")</f>
        <v>0</v>
      </c>
      <c r="AY40" s="10">
        <f ca="1">IFERROR(SUMIFS('COM balance'!S$5:S$25,'COM balance'!$D$5:$D$25,'COM Assumptions'!$A40)*S40,"")</f>
        <v>0</v>
      </c>
      <c r="AZ40" s="10">
        <f ca="1">IFERROR(SUMIFS('COM balance'!T$5:T$25,'COM balance'!$D$5:$D$25,'COM Assumptions'!$A40)*T40,"")</f>
        <v>0</v>
      </c>
      <c r="BA40" s="10">
        <f ca="1">IFERROR(SUMIFS('COM balance'!U$5:U$25,'COM balance'!$D$5:$D$25,'COM Assumptions'!$A40)*U40,"")</f>
        <v>0</v>
      </c>
      <c r="BB40" s="10">
        <f ca="1">IFERROR(SUMIFS('COM balance'!V$5:V$25,'COM balance'!$D$5:$D$25,'COM Assumptions'!$A40)*V40,"")</f>
        <v>0</v>
      </c>
      <c r="BC40" s="10">
        <f ca="1">IFERROR(SUMIFS('COM balance'!W$5:W$25,'COM balance'!$D$5:$D$25,'COM Assumptions'!$A40)*W40,"")</f>
        <v>0</v>
      </c>
      <c r="BD40" s="10">
        <f ca="1">IFERROR(SUMIFS('COM balance'!X$5:X$25,'COM balance'!$D$5:$D$25,'COM Assumptions'!$A40)*X40,"")</f>
        <v>0</v>
      </c>
      <c r="BE40" s="10">
        <f ca="1">IFERROR(SUMIFS('COM balance'!Y$5:Y$25,'COM balance'!$D$5:$D$25,'COM Assumptions'!$A40)*Y40,"")</f>
        <v>0</v>
      </c>
      <c r="BF40" s="10">
        <f ca="1">IFERROR(SUMIFS('COM balance'!Z$5:Z$25,'COM balance'!$D$5:$D$25,'COM Assumptions'!$A40)*Z40,"")</f>
        <v>0</v>
      </c>
      <c r="BG40" s="10">
        <f ca="1">IFERROR(SUMIFS('COM balance'!AA$5:AA$25,'COM balance'!$D$5:$D$25,'COM Assumptions'!$A40)*AA40,"")</f>
        <v>0</v>
      </c>
      <c r="BH40" s="10">
        <f ca="1">IFERROR(SUMIFS('COM balance'!AB$5:AB$25,'COM balance'!$D$5:$D$25,'COM Assumptions'!$A40)*AB40,"")</f>
        <v>0</v>
      </c>
      <c r="BI40" s="10">
        <f ca="1">IFERROR(SUMIFS('COM balance'!AC$5:AC$25,'COM balance'!$D$5:$D$25,'COM Assumptions'!$A40)*AC40,"")</f>
        <v>0</v>
      </c>
      <c r="BJ40" s="10">
        <f ca="1">IFERROR(SUMIFS('COM balance'!AD$5:AD$25,'COM balance'!$D$5:$D$25,'COM Assumptions'!$A40)*AD40,"")</f>
        <v>0</v>
      </c>
      <c r="BK40" s="10">
        <f ca="1">IFERROR(SUMIFS('COM balance'!AE$5:AE$25,'COM balance'!$D$5:$D$25,'COM Assumptions'!$A40)*AE40,"")</f>
        <v>0</v>
      </c>
      <c r="BL40" s="10">
        <f ca="1">IFERROR(SUMIFS('COM balance'!AF$5:AF$25,'COM balance'!$D$5:$D$25,'COM Assumptions'!$A40)*AF40,"")</f>
        <v>0</v>
      </c>
      <c r="BM40" s="10">
        <f ca="1">IFERROR(SUMIFS('COM balance'!AG$5:AG$25,'COM balance'!$D$5:$D$25,'COM Assumptions'!$A40)*AG40,"")</f>
        <v>0</v>
      </c>
      <c r="BN40" s="10">
        <f ca="1">IFERROR(SUMIFS('COM balance'!AH$5:AH$25,'COM balance'!$D$5:$D$25,'COM Assumptions'!$A40)*AH40,"")</f>
        <v>0</v>
      </c>
    </row>
    <row r="41" spans="1:67" x14ac:dyDescent="0.45">
      <c r="A41" s="8">
        <f>VLOOKUP(C41,'COM balance'!$AM$5:$AN$25,2,FALSE)</f>
        <v>0</v>
      </c>
      <c r="B41" s="36"/>
      <c r="C41" s="20" t="s">
        <v>78</v>
      </c>
      <c r="D41" s="41" t="s">
        <v>84</v>
      </c>
      <c r="E41" s="14">
        <f ca="1">OFFSET('COM Assumptions T15'!$D41,0,MATCH(VLOOKUP('COM Assumptions'!E$2,'RES Assumptions T15'!$V$3:$W$35,2,FALSE),'COM Assumptions T15'!$E$2:$S$2,0))</f>
        <v>0.89999999999999991</v>
      </c>
      <c r="F41" s="14">
        <f ca="1">OFFSET('COM Assumptions T15'!$D41,0,MATCH(VLOOKUP('COM Assumptions'!F$2,'RES Assumptions T15'!$V$3:$W$35,2,FALSE),'COM Assumptions T15'!$E$2:$S$2,0))</f>
        <v>0.89999999999999991</v>
      </c>
      <c r="G41" s="14">
        <f ca="1">OFFSET('COM Assumptions T15'!$D41,0,MATCH(VLOOKUP('COM Assumptions'!G$2,'RES Assumptions T15'!$V$3:$W$35,2,FALSE),'COM Assumptions T15'!$E$2:$S$2,0))</f>
        <v>0.89999999999999991</v>
      </c>
      <c r="H41" s="14">
        <f ca="1">OFFSET('COM Assumptions T15'!$D41,0,MATCH(VLOOKUP('COM Assumptions'!H$2,'RES Assumptions T15'!$V$3:$W$35,2,FALSE),'COM Assumptions T15'!$E$2:$S$2,0))</f>
        <v>0</v>
      </c>
      <c r="I41" s="14">
        <f ca="1">OFFSET('COM Assumptions T15'!$D41,0,MATCH(VLOOKUP('COM Assumptions'!I$2,'RES Assumptions T15'!$V$3:$W$35,2,FALSE),'COM Assumptions T15'!$E$2:$S$2,0))</f>
        <v>0</v>
      </c>
      <c r="J41" s="14">
        <f ca="1">OFFSET('COM Assumptions T15'!$D41,0,MATCH(VLOOKUP('COM Assumptions'!J$2,'RES Assumptions T15'!$V$3:$W$35,2,FALSE),'COM Assumptions T15'!$E$2:$S$2,0))</f>
        <v>0.8</v>
      </c>
      <c r="K41" s="14">
        <f ca="1">OFFSET('COM Assumptions T15'!$D41,0,MATCH(VLOOKUP('COM Assumptions'!K$2,'RES Assumptions T15'!$V$3:$W$35,2,FALSE),'COM Assumptions T15'!$E$2:$S$2,0))</f>
        <v>0.15</v>
      </c>
      <c r="L41" s="14">
        <f ca="1">OFFSET('COM Assumptions T15'!$D41,0,MATCH(VLOOKUP('COM Assumptions'!L$2,'RES Assumptions T15'!$V$3:$W$35,2,FALSE),'COM Assumptions T15'!$E$2:$S$2,0))</f>
        <v>0.89999999999999991</v>
      </c>
      <c r="M41" s="14">
        <f ca="1">OFFSET('COM Assumptions T15'!$D41,0,MATCH(VLOOKUP('COM Assumptions'!M$2,'RES Assumptions T15'!$V$3:$W$35,2,FALSE),'COM Assumptions T15'!$E$2:$S$2,0))</f>
        <v>0</v>
      </c>
      <c r="N41" s="14">
        <f ca="1">OFFSET('COM Assumptions T15'!$D41,0,MATCH(VLOOKUP('COM Assumptions'!N$2,'RES Assumptions T15'!$V$3:$W$35,2,FALSE),'COM Assumptions T15'!$E$2:$S$2,0))</f>
        <v>0.7</v>
      </c>
      <c r="O41" s="14">
        <f ca="1">OFFSET('COM Assumptions T15'!$D41,0,MATCH(VLOOKUP('COM Assumptions'!O$2,'RES Assumptions T15'!$V$3:$W$35,2,FALSE),'COM Assumptions T15'!$E$2:$S$2,0))</f>
        <v>0.2</v>
      </c>
      <c r="P41" s="1">
        <f ca="1">OFFSET('COM Assumptions T15'!$D41,0,MATCH(VLOOKUP('COM Assumptions'!P$2,'RES Assumptions T15'!$V$3:$W$35,2,FALSE),'COM Assumptions T15'!$E$2:$S$2,0))</f>
        <v>0</v>
      </c>
      <c r="Q41" s="1">
        <f ca="1">OFFSET('COM Assumptions T15'!$D41,0,MATCH(VLOOKUP('COM Assumptions'!Q$2,'RES Assumptions T15'!$V$3:$W$35,2,FALSE),'COM Assumptions T15'!$E$2:$S$2,0))</f>
        <v>0.2</v>
      </c>
      <c r="R41" s="1">
        <f ca="1">OFFSET('COM Assumptions T15'!$D41,0,MATCH(VLOOKUP('COM Assumptions'!R$2,'RES Assumptions T15'!$V$3:$W$35,2,FALSE),'COM Assumptions T15'!$E$2:$S$2,0))</f>
        <v>0.2</v>
      </c>
      <c r="S41" s="1">
        <f ca="1">OFFSET('COM Assumptions T15'!$D41,0,MATCH(VLOOKUP('COM Assumptions'!S$2,'RES Assumptions T15'!$V$3:$W$35,2,FALSE),'COM Assumptions T15'!$E$2:$S$2,0))</f>
        <v>0</v>
      </c>
      <c r="T41" s="1">
        <f ca="1">OFFSET('COM Assumptions T15'!$D41,0,MATCH(VLOOKUP('COM Assumptions'!T$2,'RES Assumptions T15'!$V$3:$W$35,2,FALSE),'COM Assumptions T15'!$E$2:$S$2,0))</f>
        <v>0.2</v>
      </c>
      <c r="U41" s="1">
        <f ca="1">OFFSET('COM Assumptions T15'!$D41,0,MATCH(VLOOKUP('COM Assumptions'!U$2,'RES Assumptions T15'!$V$3:$W$35,2,FALSE),'COM Assumptions T15'!$E$2:$S$2,0))</f>
        <v>0</v>
      </c>
      <c r="V41" s="1">
        <f ca="1">OFFSET('COM Assumptions T15'!$D41,0,MATCH(VLOOKUP('COM Assumptions'!V$2,'RES Assumptions T15'!$V$3:$W$35,2,FALSE),'COM Assumptions T15'!$E$2:$S$2,0))</f>
        <v>0.2</v>
      </c>
      <c r="W41" s="1">
        <f ca="1">OFFSET('COM Assumptions T15'!$D41,0,MATCH(VLOOKUP('COM Assumptions'!W$2,'RES Assumptions T15'!$V$3:$W$35,2,FALSE),'COM Assumptions T15'!$E$2:$S$2,0))</f>
        <v>0.2</v>
      </c>
      <c r="X41" s="1">
        <f ca="1">OFFSET('COM Assumptions T15'!$D41,0,MATCH(VLOOKUP('COM Assumptions'!X$2,'RES Assumptions T15'!$V$3:$W$35,2,FALSE),'COM Assumptions T15'!$E$2:$S$2,0))</f>
        <v>0.89999999999999991</v>
      </c>
      <c r="Y41" s="1">
        <f ca="1">OFFSET('COM Assumptions T15'!$D41,0,MATCH(VLOOKUP('COM Assumptions'!Y$2,'RES Assumptions T15'!$V$3:$W$35,2,FALSE),'COM Assumptions T15'!$E$2:$S$2,0))</f>
        <v>0.89999999999999991</v>
      </c>
      <c r="Z41" s="1">
        <f ca="1">OFFSET('COM Assumptions T15'!$D41,0,MATCH(VLOOKUP('COM Assumptions'!Z$2,'RES Assumptions T15'!$V$3:$W$35,2,FALSE),'COM Assumptions T15'!$E$2:$S$2,0))</f>
        <v>0.89999999999999991</v>
      </c>
      <c r="AA41" s="1">
        <f ca="1">OFFSET('COM Assumptions T15'!$D41,0,MATCH(VLOOKUP('COM Assumptions'!AA$2,'RES Assumptions T15'!$V$3:$W$35,2,FALSE),'COM Assumptions T15'!$E$2:$S$2,0))</f>
        <v>0</v>
      </c>
      <c r="AB41" s="1">
        <f ca="1">OFFSET('COM Assumptions T15'!$D41,0,MATCH(VLOOKUP('COM Assumptions'!AB$2,'RES Assumptions T15'!$V$3:$W$35,2,FALSE),'COM Assumptions T15'!$E$2:$S$2,0))</f>
        <v>0.2</v>
      </c>
      <c r="AC41" s="1">
        <f ca="1">OFFSET('COM Assumptions T15'!$D41,0,MATCH(VLOOKUP('COM Assumptions'!AC$2,'RES Assumptions T15'!$V$3:$W$35,2,FALSE),'COM Assumptions T15'!$E$2:$S$2,0))</f>
        <v>0</v>
      </c>
      <c r="AD41" s="1">
        <f ca="1">OFFSET('COM Assumptions T15'!$D41,0,MATCH(VLOOKUP('COM Assumptions'!AD$2,'RES Assumptions T15'!$V$3:$W$35,2,FALSE),'COM Assumptions T15'!$E$2:$S$2,0))</f>
        <v>0</v>
      </c>
      <c r="AE41" s="1">
        <f ca="1">OFFSET('COM Assumptions T15'!$D41,0,MATCH(VLOOKUP('COM Assumptions'!AE$2,'RES Assumptions T15'!$V$3:$W$35,2,FALSE),'COM Assumptions T15'!$E$2:$S$2,0))</f>
        <v>0.89999999999999991</v>
      </c>
      <c r="AF41" s="1">
        <f ca="1">OFFSET('COM Assumptions T15'!$D41,0,MATCH(VLOOKUP('COM Assumptions'!AF$2,'RES Assumptions T15'!$V$3:$W$35,2,FALSE),'COM Assumptions T15'!$E$2:$S$2,0))</f>
        <v>0.2</v>
      </c>
      <c r="AG41" s="1">
        <f ca="1">OFFSET('COM Assumptions T15'!$D41,0,MATCH(VLOOKUP('COM Assumptions'!AG$2,'RES Assumptions T15'!$V$3:$W$35,2,FALSE),'COM Assumptions T15'!$E$2:$S$2,0))</f>
        <v>0</v>
      </c>
      <c r="AH41" s="1">
        <f ca="1">OFFSET('COM Assumptions T15'!$D41,0,MATCH(VLOOKUP('COM Assumptions'!AH$2,'RES Assumptions T15'!$V$3:$W$35,2,FALSE),'COM Assumptions T15'!$E$2:$S$2,0))</f>
        <v>0</v>
      </c>
      <c r="AI41" s="1"/>
      <c r="AK41" s="10">
        <f ca="1">IFERROR(SUMIFS('COM balance'!E$5:E$25,'COM balance'!$D$5:$D$25,'COM Assumptions'!$A41)*E41,"")</f>
        <v>0</v>
      </c>
      <c r="AL41" s="10">
        <f ca="1">IFERROR(SUMIFS('COM balance'!F$5:F$25,'COM balance'!$D$5:$D$25,'COM Assumptions'!$A41)*F41,"")</f>
        <v>0</v>
      </c>
      <c r="AM41" s="10">
        <f ca="1">IFERROR(SUMIFS('COM balance'!G$5:G$25,'COM balance'!$D$5:$D$25,'COM Assumptions'!$A41)*G41,"")</f>
        <v>0</v>
      </c>
      <c r="AN41" s="10">
        <f ca="1">IFERROR(SUMIFS('COM balance'!H$5:H$25,'COM balance'!$D$5:$D$25,'COM Assumptions'!$A41)*H41,"")</f>
        <v>0</v>
      </c>
      <c r="AO41" s="10">
        <f ca="1">IFERROR(SUMIFS('COM balance'!I$5:I$25,'COM balance'!$D$5:$D$25,'COM Assumptions'!$A41)*I41,"")</f>
        <v>0</v>
      </c>
      <c r="AP41" s="10">
        <f ca="1">IFERROR(SUMIFS('COM balance'!J$5:J$25,'COM balance'!$D$5:$D$25,'COM Assumptions'!$A41)*J41,"")</f>
        <v>0</v>
      </c>
      <c r="AQ41" s="10">
        <f ca="1">IFERROR(SUMIFS('COM balance'!K$5:K$25,'COM balance'!$D$5:$D$25,'COM Assumptions'!$A41)*K41,"")</f>
        <v>0</v>
      </c>
      <c r="AR41" s="10">
        <f ca="1">IFERROR(SUMIFS('COM balance'!L$5:L$25,'COM balance'!$D$5:$D$25,'COM Assumptions'!$A41)*L41,"")</f>
        <v>0</v>
      </c>
      <c r="AS41" s="10">
        <f ca="1">IFERROR(SUMIFS('COM balance'!M$5:M$25,'COM balance'!$D$5:$D$25,'COM Assumptions'!$A41)*M41,"")</f>
        <v>0</v>
      </c>
      <c r="AT41" s="10">
        <f ca="1">IFERROR(SUMIFS('COM balance'!N$5:N$25,'COM balance'!$D$5:$D$25,'COM Assumptions'!$A41)*N41,"")</f>
        <v>0</v>
      </c>
      <c r="AU41" s="10">
        <f ca="1">IFERROR(SUMIFS('COM balance'!O$5:O$25,'COM balance'!$D$5:$D$25,'COM Assumptions'!$A41)*O41,"")</f>
        <v>0</v>
      </c>
      <c r="AV41" s="10">
        <f ca="1">IFERROR(SUMIFS('COM balance'!P$5:P$25,'COM balance'!$D$5:$D$25,'COM Assumptions'!$A41)*P41,"")</f>
        <v>0</v>
      </c>
      <c r="AW41" s="10">
        <f ca="1">IFERROR(SUMIFS('COM balance'!Q$5:Q$25,'COM balance'!$D$5:$D$25,'COM Assumptions'!$A41)*Q41,"")</f>
        <v>0</v>
      </c>
      <c r="AX41" s="10">
        <f ca="1">IFERROR(SUMIFS('COM balance'!R$5:R$25,'COM balance'!$D$5:$D$25,'COM Assumptions'!$A41)*R41,"")</f>
        <v>0</v>
      </c>
      <c r="AY41" s="10">
        <f ca="1">IFERROR(SUMIFS('COM balance'!S$5:S$25,'COM balance'!$D$5:$D$25,'COM Assumptions'!$A41)*S41,"")</f>
        <v>0</v>
      </c>
      <c r="AZ41" s="10">
        <f ca="1">IFERROR(SUMIFS('COM balance'!T$5:T$25,'COM balance'!$D$5:$D$25,'COM Assumptions'!$A41)*T41,"")</f>
        <v>0</v>
      </c>
      <c r="BA41" s="10">
        <f ca="1">IFERROR(SUMIFS('COM balance'!U$5:U$25,'COM balance'!$D$5:$D$25,'COM Assumptions'!$A41)*U41,"")</f>
        <v>0</v>
      </c>
      <c r="BB41" s="10">
        <f ca="1">IFERROR(SUMIFS('COM balance'!V$5:V$25,'COM balance'!$D$5:$D$25,'COM Assumptions'!$A41)*V41,"")</f>
        <v>0</v>
      </c>
      <c r="BC41" s="10">
        <f ca="1">IFERROR(SUMIFS('COM balance'!W$5:W$25,'COM balance'!$D$5:$D$25,'COM Assumptions'!$A41)*W41,"")</f>
        <v>0</v>
      </c>
      <c r="BD41" s="10">
        <f ca="1">IFERROR(SUMIFS('COM balance'!X$5:X$25,'COM balance'!$D$5:$D$25,'COM Assumptions'!$A41)*X41,"")</f>
        <v>0</v>
      </c>
      <c r="BE41" s="10">
        <f ca="1">IFERROR(SUMIFS('COM balance'!Y$5:Y$25,'COM balance'!$D$5:$D$25,'COM Assumptions'!$A41)*Y41,"")</f>
        <v>0</v>
      </c>
      <c r="BF41" s="10">
        <f ca="1">IFERROR(SUMIFS('COM balance'!Z$5:Z$25,'COM balance'!$D$5:$D$25,'COM Assumptions'!$A41)*Z41,"")</f>
        <v>0</v>
      </c>
      <c r="BG41" s="10">
        <f ca="1">IFERROR(SUMIFS('COM balance'!AA$5:AA$25,'COM balance'!$D$5:$D$25,'COM Assumptions'!$A41)*AA41,"")</f>
        <v>0</v>
      </c>
      <c r="BH41" s="10">
        <f ca="1">IFERROR(SUMIFS('COM balance'!AB$5:AB$25,'COM balance'!$D$5:$D$25,'COM Assumptions'!$A41)*AB41,"")</f>
        <v>0</v>
      </c>
      <c r="BI41" s="10">
        <f ca="1">IFERROR(SUMIFS('COM balance'!AC$5:AC$25,'COM balance'!$D$5:$D$25,'COM Assumptions'!$A41)*AC41,"")</f>
        <v>0</v>
      </c>
      <c r="BJ41" s="10">
        <f ca="1">IFERROR(SUMIFS('COM balance'!AD$5:AD$25,'COM balance'!$D$5:$D$25,'COM Assumptions'!$A41)*AD41,"")</f>
        <v>0</v>
      </c>
      <c r="BK41" s="10">
        <f ca="1">IFERROR(SUMIFS('COM balance'!AE$5:AE$25,'COM balance'!$D$5:$D$25,'COM Assumptions'!$A41)*AE41,"")</f>
        <v>0</v>
      </c>
      <c r="BL41" s="10">
        <f ca="1">IFERROR(SUMIFS('COM balance'!AF$5:AF$25,'COM balance'!$D$5:$D$25,'COM Assumptions'!$A41)*AF41,"")</f>
        <v>0</v>
      </c>
      <c r="BM41" s="10">
        <f ca="1">IFERROR(SUMIFS('COM balance'!AG$5:AG$25,'COM balance'!$D$5:$D$25,'COM Assumptions'!$A41)*AG41,"")</f>
        <v>0</v>
      </c>
      <c r="BN41" s="10">
        <f ca="1">IFERROR(SUMIFS('COM balance'!AH$5:AH$25,'COM balance'!$D$5:$D$25,'COM Assumptions'!$A41)*AH41,"")</f>
        <v>0</v>
      </c>
    </row>
    <row r="42" spans="1:67" x14ac:dyDescent="0.45">
      <c r="A42" s="8">
        <f>VLOOKUP(C42,'COM balance'!$AM$5:$AN$25,2,FALSE)</f>
        <v>0</v>
      </c>
      <c r="B42" s="36"/>
      <c r="C42" s="22" t="s">
        <v>78</v>
      </c>
      <c r="D42" s="42" t="s">
        <v>89</v>
      </c>
      <c r="E42" s="18">
        <f ca="1">OFFSET('COM Assumptions T15'!$D42,0,MATCH(VLOOKUP('COM Assumptions'!E$2,'RES Assumptions T15'!$V$3:$W$35,2,FALSE),'COM Assumptions T15'!$E$2:$S$2,0))</f>
        <v>0</v>
      </c>
      <c r="F42" s="18">
        <f ca="1">OFFSET('COM Assumptions T15'!$D42,0,MATCH(VLOOKUP('COM Assumptions'!F$2,'RES Assumptions T15'!$V$3:$W$35,2,FALSE),'COM Assumptions T15'!$E$2:$S$2,0))</f>
        <v>0</v>
      </c>
      <c r="G42" s="18">
        <f ca="1">OFFSET('COM Assumptions T15'!$D42,0,MATCH(VLOOKUP('COM Assumptions'!G$2,'RES Assumptions T15'!$V$3:$W$35,2,FALSE),'COM Assumptions T15'!$E$2:$S$2,0))</f>
        <v>0</v>
      </c>
      <c r="H42" s="18">
        <f ca="1">OFFSET('COM Assumptions T15'!$D42,0,MATCH(VLOOKUP('COM Assumptions'!H$2,'RES Assumptions T15'!$V$3:$W$35,2,FALSE),'COM Assumptions T15'!$E$2:$S$2,0))</f>
        <v>0</v>
      </c>
      <c r="I42" s="18">
        <f ca="1">OFFSET('COM Assumptions T15'!$D42,0,MATCH(VLOOKUP('COM Assumptions'!I$2,'RES Assumptions T15'!$V$3:$W$35,2,FALSE),'COM Assumptions T15'!$E$2:$S$2,0))</f>
        <v>0</v>
      </c>
      <c r="J42" s="18">
        <f ca="1">OFFSET('COM Assumptions T15'!$D42,0,MATCH(VLOOKUP('COM Assumptions'!J$2,'RES Assumptions T15'!$V$3:$W$35,2,FALSE),'COM Assumptions T15'!$E$2:$S$2,0))</f>
        <v>0</v>
      </c>
      <c r="K42" s="18">
        <f ca="1">OFFSET('COM Assumptions T15'!$D42,0,MATCH(VLOOKUP('COM Assumptions'!K$2,'RES Assumptions T15'!$V$3:$W$35,2,FALSE),'COM Assumptions T15'!$E$2:$S$2,0))</f>
        <v>0</v>
      </c>
      <c r="L42" s="18">
        <f ca="1">OFFSET('COM Assumptions T15'!$D42,0,MATCH(VLOOKUP('COM Assumptions'!L$2,'RES Assumptions T15'!$V$3:$W$35,2,FALSE),'COM Assumptions T15'!$E$2:$S$2,0))</f>
        <v>0</v>
      </c>
      <c r="M42" s="18">
        <f ca="1">OFFSET('COM Assumptions T15'!$D42,0,MATCH(VLOOKUP('COM Assumptions'!M$2,'RES Assumptions T15'!$V$3:$W$35,2,FALSE),'COM Assumptions T15'!$E$2:$S$2,0))</f>
        <v>0</v>
      </c>
      <c r="N42" s="18">
        <f ca="1">OFFSET('COM Assumptions T15'!$D42,0,MATCH(VLOOKUP('COM Assumptions'!N$2,'RES Assumptions T15'!$V$3:$W$35,2,FALSE),'COM Assumptions T15'!$E$2:$S$2,0))</f>
        <v>0</v>
      </c>
      <c r="O42" s="18">
        <f ca="1">OFFSET('COM Assumptions T15'!$D42,0,MATCH(VLOOKUP('COM Assumptions'!O$2,'RES Assumptions T15'!$V$3:$W$35,2,FALSE),'COM Assumptions T15'!$E$2:$S$2,0))</f>
        <v>0</v>
      </c>
      <c r="P42" s="1">
        <f ca="1">OFFSET('COM Assumptions T15'!$D42,0,MATCH(VLOOKUP('COM Assumptions'!P$2,'RES Assumptions T15'!$V$3:$W$35,2,FALSE),'COM Assumptions T15'!$E$2:$S$2,0))</f>
        <v>0</v>
      </c>
      <c r="Q42" s="1">
        <f ca="1">OFFSET('COM Assumptions T15'!$D42,0,MATCH(VLOOKUP('COM Assumptions'!Q$2,'RES Assumptions T15'!$V$3:$W$35,2,FALSE),'COM Assumptions T15'!$E$2:$S$2,0))</f>
        <v>0</v>
      </c>
      <c r="R42" s="1">
        <f ca="1">OFFSET('COM Assumptions T15'!$D42,0,MATCH(VLOOKUP('COM Assumptions'!R$2,'RES Assumptions T15'!$V$3:$W$35,2,FALSE),'COM Assumptions T15'!$E$2:$S$2,0))</f>
        <v>0</v>
      </c>
      <c r="S42" s="1">
        <f ca="1">OFFSET('COM Assumptions T15'!$D42,0,MATCH(VLOOKUP('COM Assumptions'!S$2,'RES Assumptions T15'!$V$3:$W$35,2,FALSE),'COM Assumptions T15'!$E$2:$S$2,0))</f>
        <v>0</v>
      </c>
      <c r="T42" s="1">
        <f ca="1">OFFSET('COM Assumptions T15'!$D42,0,MATCH(VLOOKUP('COM Assumptions'!T$2,'RES Assumptions T15'!$V$3:$W$35,2,FALSE),'COM Assumptions T15'!$E$2:$S$2,0))</f>
        <v>0</v>
      </c>
      <c r="U42" s="1">
        <f ca="1">OFFSET('COM Assumptions T15'!$D42,0,MATCH(VLOOKUP('COM Assumptions'!U$2,'RES Assumptions T15'!$V$3:$W$35,2,FALSE),'COM Assumptions T15'!$E$2:$S$2,0))</f>
        <v>0</v>
      </c>
      <c r="V42" s="1">
        <f ca="1">OFFSET('COM Assumptions T15'!$D42,0,MATCH(VLOOKUP('COM Assumptions'!V$2,'RES Assumptions T15'!$V$3:$W$35,2,FALSE),'COM Assumptions T15'!$E$2:$S$2,0))</f>
        <v>0</v>
      </c>
      <c r="W42" s="1">
        <f ca="1">OFFSET('COM Assumptions T15'!$D42,0,MATCH(VLOOKUP('COM Assumptions'!W$2,'RES Assumptions T15'!$V$3:$W$35,2,FALSE),'COM Assumptions T15'!$E$2:$S$2,0))</f>
        <v>0</v>
      </c>
      <c r="X42" s="1">
        <f ca="1">OFFSET('COM Assumptions T15'!$D42,0,MATCH(VLOOKUP('COM Assumptions'!X$2,'RES Assumptions T15'!$V$3:$W$35,2,FALSE),'COM Assumptions T15'!$E$2:$S$2,0))</f>
        <v>0</v>
      </c>
      <c r="Y42" s="1">
        <f ca="1">OFFSET('COM Assumptions T15'!$D42,0,MATCH(VLOOKUP('COM Assumptions'!Y$2,'RES Assumptions T15'!$V$3:$W$35,2,FALSE),'COM Assumptions T15'!$E$2:$S$2,0))</f>
        <v>0</v>
      </c>
      <c r="Z42" s="1">
        <f ca="1">OFFSET('COM Assumptions T15'!$D42,0,MATCH(VLOOKUP('COM Assumptions'!Z$2,'RES Assumptions T15'!$V$3:$W$35,2,FALSE),'COM Assumptions T15'!$E$2:$S$2,0))</f>
        <v>0</v>
      </c>
      <c r="AA42" s="1">
        <f ca="1">OFFSET('COM Assumptions T15'!$D42,0,MATCH(VLOOKUP('COM Assumptions'!AA$2,'RES Assumptions T15'!$V$3:$W$35,2,FALSE),'COM Assumptions T15'!$E$2:$S$2,0))</f>
        <v>0</v>
      </c>
      <c r="AB42" s="1">
        <f ca="1">OFFSET('COM Assumptions T15'!$D42,0,MATCH(VLOOKUP('COM Assumptions'!AB$2,'RES Assumptions T15'!$V$3:$W$35,2,FALSE),'COM Assumptions T15'!$E$2:$S$2,0))</f>
        <v>0</v>
      </c>
      <c r="AC42" s="1">
        <f ca="1">OFFSET('COM Assumptions T15'!$D42,0,MATCH(VLOOKUP('COM Assumptions'!AC$2,'RES Assumptions T15'!$V$3:$W$35,2,FALSE),'COM Assumptions T15'!$E$2:$S$2,0))</f>
        <v>0</v>
      </c>
      <c r="AD42" s="1">
        <f ca="1">OFFSET('COM Assumptions T15'!$D42,0,MATCH(VLOOKUP('COM Assumptions'!AD$2,'RES Assumptions T15'!$V$3:$W$35,2,FALSE),'COM Assumptions T15'!$E$2:$S$2,0))</f>
        <v>0</v>
      </c>
      <c r="AE42" s="1">
        <f ca="1">OFFSET('COM Assumptions T15'!$D42,0,MATCH(VLOOKUP('COM Assumptions'!AE$2,'RES Assumptions T15'!$V$3:$W$35,2,FALSE),'COM Assumptions T15'!$E$2:$S$2,0))</f>
        <v>0</v>
      </c>
      <c r="AF42" s="1">
        <f ca="1">OFFSET('COM Assumptions T15'!$D42,0,MATCH(VLOOKUP('COM Assumptions'!AF$2,'RES Assumptions T15'!$V$3:$W$35,2,FALSE),'COM Assumptions T15'!$E$2:$S$2,0))</f>
        <v>0</v>
      </c>
      <c r="AG42" s="1">
        <f ca="1">OFFSET('COM Assumptions T15'!$D42,0,MATCH(VLOOKUP('COM Assumptions'!AG$2,'RES Assumptions T15'!$V$3:$W$35,2,FALSE),'COM Assumptions T15'!$E$2:$S$2,0))</f>
        <v>0</v>
      </c>
      <c r="AH42" s="1">
        <f ca="1">OFFSET('COM Assumptions T15'!$D42,0,MATCH(VLOOKUP('COM Assumptions'!AH$2,'RES Assumptions T15'!$V$3:$W$35,2,FALSE),'COM Assumptions T15'!$E$2:$S$2,0))</f>
        <v>0</v>
      </c>
      <c r="AI42" s="1"/>
      <c r="AK42" s="10">
        <f ca="1">IFERROR(SUMIFS('COM balance'!E$5:E$25,'COM balance'!$D$5:$D$25,'COM Assumptions'!$A42)*E42,"")</f>
        <v>0</v>
      </c>
      <c r="AL42" s="10">
        <f ca="1">IFERROR(SUMIFS('COM balance'!F$5:F$25,'COM balance'!$D$5:$D$25,'COM Assumptions'!$A42)*F42,"")</f>
        <v>0</v>
      </c>
      <c r="AM42" s="10">
        <f ca="1">IFERROR(SUMIFS('COM balance'!G$5:G$25,'COM balance'!$D$5:$D$25,'COM Assumptions'!$A42)*G42,"")</f>
        <v>0</v>
      </c>
      <c r="AN42" s="10">
        <f ca="1">IFERROR(SUMIFS('COM balance'!H$5:H$25,'COM balance'!$D$5:$D$25,'COM Assumptions'!$A42)*H42,"")</f>
        <v>0</v>
      </c>
      <c r="AO42" s="10">
        <f ca="1">IFERROR(SUMIFS('COM balance'!I$5:I$25,'COM balance'!$D$5:$D$25,'COM Assumptions'!$A42)*I42,"")</f>
        <v>0</v>
      </c>
      <c r="AP42" s="10">
        <f ca="1">IFERROR(SUMIFS('COM balance'!J$5:J$25,'COM balance'!$D$5:$D$25,'COM Assumptions'!$A42)*J42,"")</f>
        <v>0</v>
      </c>
      <c r="AQ42" s="10">
        <f ca="1">IFERROR(SUMIFS('COM balance'!K$5:K$25,'COM balance'!$D$5:$D$25,'COM Assumptions'!$A42)*K42,"")</f>
        <v>0</v>
      </c>
      <c r="AR42" s="10">
        <f ca="1">IFERROR(SUMIFS('COM balance'!L$5:L$25,'COM balance'!$D$5:$D$25,'COM Assumptions'!$A42)*L42,"")</f>
        <v>0</v>
      </c>
      <c r="AS42" s="10">
        <f ca="1">IFERROR(SUMIFS('COM balance'!M$5:M$25,'COM balance'!$D$5:$D$25,'COM Assumptions'!$A42)*M42,"")</f>
        <v>0</v>
      </c>
      <c r="AT42" s="10">
        <f ca="1">IFERROR(SUMIFS('COM balance'!N$5:N$25,'COM balance'!$D$5:$D$25,'COM Assumptions'!$A42)*N42,"")</f>
        <v>0</v>
      </c>
      <c r="AU42" s="10">
        <f ca="1">IFERROR(SUMIFS('COM balance'!O$5:O$25,'COM balance'!$D$5:$D$25,'COM Assumptions'!$A42)*O42,"")</f>
        <v>0</v>
      </c>
      <c r="AV42" s="10">
        <f ca="1">IFERROR(SUMIFS('COM balance'!P$5:P$25,'COM balance'!$D$5:$D$25,'COM Assumptions'!$A42)*P42,"")</f>
        <v>0</v>
      </c>
      <c r="AW42" s="10">
        <f ca="1">IFERROR(SUMIFS('COM balance'!Q$5:Q$25,'COM balance'!$D$5:$D$25,'COM Assumptions'!$A42)*Q42,"")</f>
        <v>0</v>
      </c>
      <c r="AX42" s="10">
        <f ca="1">IFERROR(SUMIFS('COM balance'!R$5:R$25,'COM balance'!$D$5:$D$25,'COM Assumptions'!$A42)*R42,"")</f>
        <v>0</v>
      </c>
      <c r="AY42" s="10">
        <f ca="1">IFERROR(SUMIFS('COM balance'!S$5:S$25,'COM balance'!$D$5:$D$25,'COM Assumptions'!$A42)*S42,"")</f>
        <v>0</v>
      </c>
      <c r="AZ42" s="10">
        <f ca="1">IFERROR(SUMIFS('COM balance'!T$5:T$25,'COM balance'!$D$5:$D$25,'COM Assumptions'!$A42)*T42,"")</f>
        <v>0</v>
      </c>
      <c r="BA42" s="10">
        <f ca="1">IFERROR(SUMIFS('COM balance'!U$5:U$25,'COM balance'!$D$5:$D$25,'COM Assumptions'!$A42)*U42,"")</f>
        <v>0</v>
      </c>
      <c r="BB42" s="10">
        <f ca="1">IFERROR(SUMIFS('COM balance'!V$5:V$25,'COM balance'!$D$5:$D$25,'COM Assumptions'!$A42)*V42,"")</f>
        <v>0</v>
      </c>
      <c r="BC42" s="10">
        <f ca="1">IFERROR(SUMIFS('COM balance'!W$5:W$25,'COM balance'!$D$5:$D$25,'COM Assumptions'!$A42)*W42,"")</f>
        <v>0</v>
      </c>
      <c r="BD42" s="10">
        <f ca="1">IFERROR(SUMIFS('COM balance'!X$5:X$25,'COM balance'!$D$5:$D$25,'COM Assumptions'!$A42)*X42,"")</f>
        <v>0</v>
      </c>
      <c r="BE42" s="10">
        <f ca="1">IFERROR(SUMIFS('COM balance'!Y$5:Y$25,'COM balance'!$D$5:$D$25,'COM Assumptions'!$A42)*Y42,"")</f>
        <v>0</v>
      </c>
      <c r="BF42" s="10">
        <f ca="1">IFERROR(SUMIFS('COM balance'!Z$5:Z$25,'COM balance'!$D$5:$D$25,'COM Assumptions'!$A42)*Z42,"")</f>
        <v>0</v>
      </c>
      <c r="BG42" s="10">
        <f ca="1">IFERROR(SUMIFS('COM balance'!AA$5:AA$25,'COM balance'!$D$5:$D$25,'COM Assumptions'!$A42)*AA42,"")</f>
        <v>0</v>
      </c>
      <c r="BH42" s="10">
        <f ca="1">IFERROR(SUMIFS('COM balance'!AB$5:AB$25,'COM balance'!$D$5:$D$25,'COM Assumptions'!$A42)*AB42,"")</f>
        <v>0</v>
      </c>
      <c r="BI42" s="10">
        <f ca="1">IFERROR(SUMIFS('COM balance'!AC$5:AC$25,'COM balance'!$D$5:$D$25,'COM Assumptions'!$A42)*AC42,"")</f>
        <v>0</v>
      </c>
      <c r="BJ42" s="10">
        <f ca="1">IFERROR(SUMIFS('COM balance'!AD$5:AD$25,'COM balance'!$D$5:$D$25,'COM Assumptions'!$A42)*AD42,"")</f>
        <v>0</v>
      </c>
      <c r="BK42" s="10">
        <f ca="1">IFERROR(SUMIFS('COM balance'!AE$5:AE$25,'COM balance'!$D$5:$D$25,'COM Assumptions'!$A42)*AE42,"")</f>
        <v>0</v>
      </c>
      <c r="BL42" s="10">
        <f ca="1">IFERROR(SUMIFS('COM balance'!AF$5:AF$25,'COM balance'!$D$5:$D$25,'COM Assumptions'!$A42)*AF42,"")</f>
        <v>0</v>
      </c>
      <c r="BM42" s="10">
        <f ca="1">IFERROR(SUMIFS('COM balance'!AG$5:AG$25,'COM balance'!$D$5:$D$25,'COM Assumptions'!$A42)*AG42,"")</f>
        <v>0</v>
      </c>
      <c r="BN42" s="10">
        <f ca="1">IFERROR(SUMIFS('COM balance'!AH$5:AH$25,'COM balance'!$D$5:$D$25,'COM Assumptions'!$A42)*AH42,"")</f>
        <v>0</v>
      </c>
    </row>
    <row r="43" spans="1:67" x14ac:dyDescent="0.45">
      <c r="A43" s="8" t="str">
        <f>VLOOKUP(C43,'COM balance'!$AM$5:$AN$25,2,FALSE)</f>
        <v>COMELC</v>
      </c>
      <c r="B43" s="36"/>
      <c r="C43" s="20" t="s">
        <v>34</v>
      </c>
      <c r="D43" s="41" t="s">
        <v>82</v>
      </c>
      <c r="E43" s="28">
        <f ca="1">OFFSET('COM Assumptions T15'!$D43,0,MATCH(VLOOKUP('COM Assumptions'!E$2,'RES Assumptions T15'!$V$3:$W$35,2,FALSE),'COM Assumptions T15'!$E$2:$S$2,0))</f>
        <v>0</v>
      </c>
      <c r="F43" s="28">
        <f ca="1">OFFSET('COM Assumptions T15'!$D43,0,MATCH(VLOOKUP('COM Assumptions'!F$2,'RES Assumptions T15'!$V$3:$W$35,2,FALSE),'COM Assumptions T15'!$E$2:$S$2,0))</f>
        <v>0</v>
      </c>
      <c r="G43" s="28">
        <f ca="1">OFFSET('COM Assumptions T15'!$D43,0,MATCH(VLOOKUP('COM Assumptions'!G$2,'RES Assumptions T15'!$V$3:$W$35,2,FALSE),'COM Assumptions T15'!$E$2:$S$2,0))</f>
        <v>0.02</v>
      </c>
      <c r="H43" s="28">
        <f ca="1">OFFSET('COM Assumptions T15'!$D43,0,MATCH(VLOOKUP('COM Assumptions'!H$2,'RES Assumptions T15'!$V$3:$W$35,2,FALSE),'COM Assumptions T15'!$E$2:$S$2,0))</f>
        <v>0.1</v>
      </c>
      <c r="I43" s="28">
        <f ca="1">OFFSET('COM Assumptions T15'!$D43,0,MATCH(VLOOKUP('COM Assumptions'!I$2,'RES Assumptions T15'!$V$3:$W$35,2,FALSE),'COM Assumptions T15'!$E$2:$S$2,0))</f>
        <v>0.05</v>
      </c>
      <c r="J43" s="28">
        <f ca="1">OFFSET('COM Assumptions T15'!$D43,0,MATCH(VLOOKUP('COM Assumptions'!J$2,'RES Assumptions T15'!$V$3:$W$35,2,FALSE),'COM Assumptions T15'!$E$2:$S$2,0))</f>
        <v>0.03</v>
      </c>
      <c r="K43" s="28">
        <f ca="1">OFFSET('COM Assumptions T15'!$D43,0,MATCH(VLOOKUP('COM Assumptions'!K$2,'RES Assumptions T15'!$V$3:$W$35,2,FALSE),'COM Assumptions T15'!$E$2:$S$2,0))</f>
        <v>0.04</v>
      </c>
      <c r="L43" s="28">
        <f ca="1">OFFSET('COM Assumptions T15'!$D43,0,MATCH(VLOOKUP('COM Assumptions'!L$2,'RES Assumptions T15'!$V$3:$W$35,2,FALSE),'COM Assumptions T15'!$E$2:$S$2,0))</f>
        <v>0.02</v>
      </c>
      <c r="M43" s="28">
        <f ca="1">OFFSET('COM Assumptions T15'!$D43,0,MATCH(VLOOKUP('COM Assumptions'!M$2,'RES Assumptions T15'!$V$3:$W$35,2,FALSE),'COM Assumptions T15'!$E$2:$S$2,0))</f>
        <v>0.17</v>
      </c>
      <c r="N43" s="28">
        <f ca="1">OFFSET('COM Assumptions T15'!$D43,0,MATCH(VLOOKUP('COM Assumptions'!N$2,'RES Assumptions T15'!$V$3:$W$35,2,FALSE),'COM Assumptions T15'!$E$2:$S$2,0))</f>
        <v>0.02</v>
      </c>
      <c r="O43" s="28">
        <f ca="1">OFFSET('COM Assumptions T15'!$D43,0,MATCH(VLOOKUP('COM Assumptions'!O$2,'RES Assumptions T15'!$V$3:$W$35,2,FALSE),'COM Assumptions T15'!$E$2:$S$2,0))</f>
        <v>0.15</v>
      </c>
      <c r="P43" s="1">
        <f ca="1">OFFSET('COM Assumptions T15'!$D43,0,MATCH(VLOOKUP('COM Assumptions'!P$2,'RES Assumptions T15'!$V$3:$W$35,2,FALSE),'COM Assumptions T15'!$E$2:$S$2,0))</f>
        <v>0.1</v>
      </c>
      <c r="Q43" s="1">
        <f ca="1">OFFSET('COM Assumptions T15'!$D43,0,MATCH(VLOOKUP('COM Assumptions'!Q$2,'RES Assumptions T15'!$V$3:$W$35,2,FALSE),'COM Assumptions T15'!$E$2:$S$2,0))</f>
        <v>0.15</v>
      </c>
      <c r="R43" s="1">
        <f ca="1">OFFSET('COM Assumptions T15'!$D43,0,MATCH(VLOOKUP('COM Assumptions'!R$2,'RES Assumptions T15'!$V$3:$W$35,2,FALSE),'COM Assumptions T15'!$E$2:$S$2,0))</f>
        <v>0.15</v>
      </c>
      <c r="S43" s="1">
        <f ca="1">OFFSET('COM Assumptions T15'!$D43,0,MATCH(VLOOKUP('COM Assumptions'!S$2,'RES Assumptions T15'!$V$3:$W$35,2,FALSE),'COM Assumptions T15'!$E$2:$S$2,0))</f>
        <v>0.1</v>
      </c>
      <c r="T43" s="1">
        <f ca="1">OFFSET('COM Assumptions T15'!$D43,0,MATCH(VLOOKUP('COM Assumptions'!T$2,'RES Assumptions T15'!$V$3:$W$35,2,FALSE),'COM Assumptions T15'!$E$2:$S$2,0))</f>
        <v>0.15</v>
      </c>
      <c r="U43" s="1">
        <f ca="1">OFFSET('COM Assumptions T15'!$D43,0,MATCH(VLOOKUP('COM Assumptions'!U$2,'RES Assumptions T15'!$V$3:$W$35,2,FALSE),'COM Assumptions T15'!$E$2:$S$2,0))</f>
        <v>0.05</v>
      </c>
      <c r="V43" s="1">
        <f ca="1">OFFSET('COM Assumptions T15'!$D43,0,MATCH(VLOOKUP('COM Assumptions'!V$2,'RES Assumptions T15'!$V$3:$W$35,2,FALSE),'COM Assumptions T15'!$E$2:$S$2,0))</f>
        <v>0.15</v>
      </c>
      <c r="W43" s="1">
        <f ca="1">OFFSET('COM Assumptions T15'!$D43,0,MATCH(VLOOKUP('COM Assumptions'!W$2,'RES Assumptions T15'!$V$3:$W$35,2,FALSE),'COM Assumptions T15'!$E$2:$S$2,0))</f>
        <v>0.15</v>
      </c>
      <c r="X43" s="1">
        <f ca="1">OFFSET('COM Assumptions T15'!$D43,0,MATCH(VLOOKUP('COM Assumptions'!X$2,'RES Assumptions T15'!$V$3:$W$35,2,FALSE),'COM Assumptions T15'!$E$2:$S$2,0))</f>
        <v>0.02</v>
      </c>
      <c r="Y43" s="1">
        <f ca="1">OFFSET('COM Assumptions T15'!$D43,0,MATCH(VLOOKUP('COM Assumptions'!Y$2,'RES Assumptions T15'!$V$3:$W$35,2,FALSE),'COM Assumptions T15'!$E$2:$S$2,0))</f>
        <v>0.02</v>
      </c>
      <c r="Z43" s="1">
        <f ca="1">OFFSET('COM Assumptions T15'!$D43,0,MATCH(VLOOKUP('COM Assumptions'!Z$2,'RES Assumptions T15'!$V$3:$W$35,2,FALSE),'COM Assumptions T15'!$E$2:$S$2,0))</f>
        <v>0.05</v>
      </c>
      <c r="AA43" s="1">
        <f ca="1">OFFSET('COM Assumptions T15'!$D43,0,MATCH(VLOOKUP('COM Assumptions'!AA$2,'RES Assumptions T15'!$V$3:$W$35,2,FALSE),'COM Assumptions T15'!$E$2:$S$2,0))</f>
        <v>0.05</v>
      </c>
      <c r="AB43" s="1">
        <f ca="1">OFFSET('COM Assumptions T15'!$D43,0,MATCH(VLOOKUP('COM Assumptions'!AB$2,'RES Assumptions T15'!$V$3:$W$35,2,FALSE),'COM Assumptions T15'!$E$2:$S$2,0))</f>
        <v>0.15</v>
      </c>
      <c r="AC43" s="1">
        <f ca="1">OFFSET('COM Assumptions T15'!$D43,0,MATCH(VLOOKUP('COM Assumptions'!AC$2,'RES Assumptions T15'!$V$3:$W$35,2,FALSE),'COM Assumptions T15'!$E$2:$S$2,0))</f>
        <v>0.1</v>
      </c>
      <c r="AD43" s="1">
        <f ca="1">OFFSET('COM Assumptions T15'!$D43,0,MATCH(VLOOKUP('COM Assumptions'!AD$2,'RES Assumptions T15'!$V$3:$W$35,2,FALSE),'COM Assumptions T15'!$E$2:$S$2,0))</f>
        <v>0.05</v>
      </c>
      <c r="AE43" s="1">
        <f ca="1">OFFSET('COM Assumptions T15'!$D43,0,MATCH(VLOOKUP('COM Assumptions'!AE$2,'RES Assumptions T15'!$V$3:$W$35,2,FALSE),'COM Assumptions T15'!$E$2:$S$2,0))</f>
        <v>0</v>
      </c>
      <c r="AF43" s="1">
        <f ca="1">OFFSET('COM Assumptions T15'!$D43,0,MATCH(VLOOKUP('COM Assumptions'!AF$2,'RES Assumptions T15'!$V$3:$W$35,2,FALSE),'COM Assumptions T15'!$E$2:$S$2,0))</f>
        <v>0.15</v>
      </c>
      <c r="AG43" s="1">
        <f ca="1">OFFSET('COM Assumptions T15'!$D43,0,MATCH(VLOOKUP('COM Assumptions'!AG$2,'RES Assumptions T15'!$V$3:$W$35,2,FALSE),'COM Assumptions T15'!$E$2:$S$2,0))</f>
        <v>4.5652792094116795E-2</v>
      </c>
      <c r="AH43" s="1">
        <f ca="1">OFFSET('COM Assumptions T15'!$D43,0,MATCH(VLOOKUP('COM Assumptions'!AH$2,'RES Assumptions T15'!$V$3:$W$35,2,FALSE),'COM Assumptions T15'!$E$2:$S$2,0))</f>
        <v>4.5652792094116795E-2</v>
      </c>
      <c r="AI43" s="1" t="str">
        <f>D43</f>
        <v>CH</v>
      </c>
      <c r="AJ43" s="2">
        <f ca="1">SUM(AK43:BN43)</f>
        <v>1089.4957578549347</v>
      </c>
      <c r="AK43" s="10">
        <f ca="1">IFERROR(SUMIFS('COM balance'!E$5:E$25,'COM balance'!$D$5:$D$25,'COM Assumptions'!$A43)*E43,"")</f>
        <v>0</v>
      </c>
      <c r="AL43" s="10">
        <f ca="1">IFERROR(SUMIFS('COM balance'!F$5:F$25,'COM balance'!$D$5:$D$25,'COM Assumptions'!$A43)*F43,"")</f>
        <v>0</v>
      </c>
      <c r="AM43" s="10">
        <f ca="1">IFERROR(SUMIFS('COM balance'!G$5:G$25,'COM balance'!$D$5:$D$25,'COM Assumptions'!$A43)*G43,"")</f>
        <v>3.1258343163600002</v>
      </c>
      <c r="AN43" s="10">
        <f ca="1">IFERROR(SUMIFS('COM balance'!H$5:H$25,'COM balance'!$D$5:$D$25,'COM Assumptions'!$A43)*H43,"")</f>
        <v>9.7654401140400005</v>
      </c>
      <c r="AO43" s="10">
        <f ca="1">IFERROR(SUMIFS('COM balance'!I$5:I$25,'COM balance'!$D$5:$D$25,'COM Assumptions'!$A43)*I43,"")</f>
        <v>86.434307817300009</v>
      </c>
      <c r="AP43" s="10">
        <f ca="1">IFERROR(SUMIFS('COM balance'!J$5:J$25,'COM balance'!$D$5:$D$25,'COM Assumptions'!$A43)*J43,"")</f>
        <v>34.983273055895999</v>
      </c>
      <c r="AQ43" s="10">
        <f ca="1">IFERROR(SUMIFS('COM balance'!K$5:K$25,'COM balance'!$D$5:$D$25,'COM Assumptions'!$A43)*K43,"")</f>
        <v>11.636758258127999</v>
      </c>
      <c r="AR43" s="10">
        <f ca="1">IFERROR(SUMIFS('COM balance'!L$5:L$25,'COM balance'!$D$5:$D$25,'COM Assumptions'!$A43)*L43,"")</f>
        <v>10.15503818256</v>
      </c>
      <c r="AS43" s="10">
        <f ca="1">IFERROR(SUMIFS('COM balance'!M$5:M$25,'COM balance'!$D$5:$D$25,'COM Assumptions'!$A43)*M43,"")</f>
        <v>92.623752102815999</v>
      </c>
      <c r="AT43" s="10">
        <f ca="1">IFERROR(SUMIFS('COM balance'!N$5:N$25,'COM balance'!$D$5:$D$25,'COM Assumptions'!$A43)*N43,"")</f>
        <v>35.087377586688</v>
      </c>
      <c r="AU43" s="10">
        <f ca="1">IFERROR(SUMIFS('COM balance'!O$5:O$25,'COM balance'!$D$5:$D$25,'COM Assumptions'!$A43)*O43,"")</f>
        <v>29.876571256859997</v>
      </c>
      <c r="AV43" s="10">
        <f ca="1">IFERROR(SUMIFS('COM balance'!P$5:P$25,'COM balance'!$D$5:$D$25,'COM Assumptions'!$A43)*P43,"")</f>
        <v>33.761116744560006</v>
      </c>
      <c r="AW43" s="10">
        <f ca="1">IFERROR(SUMIFS('COM balance'!Q$5:Q$25,'COM balance'!$D$5:$D$25,'COM Assumptions'!$A43)*Q43,"")</f>
        <v>39.518052364619997</v>
      </c>
      <c r="AX43" s="10">
        <f ca="1">IFERROR(SUMIFS('COM balance'!R$5:R$25,'COM balance'!$D$5:$D$25,'COM Assumptions'!$A43)*R43,"")</f>
        <v>59.610987046619996</v>
      </c>
      <c r="AY43" s="10">
        <f ca="1">IFERROR(SUMIFS('COM balance'!S$5:S$25,'COM balance'!$D$5:$D$25,'COM Assumptions'!$A43)*S43,"")</f>
        <v>12.806664226560001</v>
      </c>
      <c r="AZ43" s="10">
        <f ca="1">IFERROR(SUMIFS('COM balance'!T$5:T$25,'COM balance'!$D$5:$D$25,'COM Assumptions'!$A43)*T43,"")</f>
        <v>49.177653733440003</v>
      </c>
      <c r="BA43" s="10">
        <f ca="1">IFERROR(SUMIFS('COM balance'!U$5:U$25,'COM balance'!$D$5:$D$25,'COM Assumptions'!$A43)*U43,"")</f>
        <v>24.526779537420001</v>
      </c>
      <c r="BB43" s="10">
        <f ca="1">IFERROR(SUMIFS('COM balance'!V$5:V$25,'COM balance'!$D$5:$D$25,'COM Assumptions'!$A43)*V43,"")</f>
        <v>73.768900361220005</v>
      </c>
      <c r="BC43" s="10">
        <f ca="1">IFERROR(SUMIFS('COM balance'!W$5:W$25,'COM balance'!$D$5:$D$25,'COM Assumptions'!$A43)*W43,"")</f>
        <v>70.185960222479991</v>
      </c>
      <c r="BD43" s="10">
        <f ca="1">IFERROR(SUMIFS('COM balance'!X$5:X$25,'COM balance'!$D$5:$D$25,'COM Assumptions'!$A43)*X43,"")</f>
        <v>8.1834833572559997</v>
      </c>
      <c r="BE43" s="10">
        <f ca="1">IFERROR(SUMIFS('COM balance'!Y$5:Y$25,'COM balance'!$D$5:$D$25,'COM Assumptions'!$A43)*Y43,"")</f>
        <v>6.4335272311439997</v>
      </c>
      <c r="BF43" s="10">
        <f ca="1">IFERROR(SUMIFS('COM balance'!Z$5:Z$25,'COM balance'!$D$5:$D$25,'COM Assumptions'!$A43)*Z43,"")</f>
        <v>5.1689698983000003</v>
      </c>
      <c r="BG43" s="10">
        <f ca="1">IFERROR(SUMIFS('COM balance'!AA$5:AA$25,'COM balance'!$D$5:$D$25,'COM Assumptions'!$A43)*AA43,"")</f>
        <v>27.879245756460001</v>
      </c>
      <c r="BH43" s="10">
        <f ca="1">IFERROR(SUMIFS('COM balance'!AB$5:AB$25,'COM balance'!$D$5:$D$25,'COM Assumptions'!$A43)*AB43,"")</f>
        <v>14.880266314739998</v>
      </c>
      <c r="BI43" s="10">
        <f ca="1">IFERROR(SUMIFS('COM balance'!AC$5:AC$25,'COM balance'!$D$5:$D$25,'COM Assumptions'!$A43)*AC43,"")</f>
        <v>55.032803935920008</v>
      </c>
      <c r="BJ43" s="10">
        <f ca="1">IFERROR(SUMIFS('COM balance'!AD$5:AD$25,'COM balance'!$D$5:$D$25,'COM Assumptions'!$A43)*AD43,"")</f>
        <v>22.031019265140003</v>
      </c>
      <c r="BK43" s="10">
        <f ca="1">IFERROR(SUMIFS('COM balance'!AE$5:AE$25,'COM balance'!$D$5:$D$25,'COM Assumptions'!$A43)*AE43,"")</f>
        <v>0</v>
      </c>
      <c r="BL43" s="10">
        <f ca="1">IFERROR(SUMIFS('COM balance'!AF$5:AF$25,'COM balance'!$D$5:$D$25,'COM Assumptions'!$A43)*AF43,"")</f>
        <v>48.665142311939995</v>
      </c>
      <c r="BM43" s="10">
        <f ca="1">IFERROR(SUMIFS('COM balance'!AG$5:AG$25,'COM balance'!$D$5:$D$25,'COM Assumptions'!$A43)*AG43,"")</f>
        <v>224.17683285646672</v>
      </c>
      <c r="BN43" s="10">
        <f ca="1">IFERROR(SUMIFS('COM balance'!AH$5:AH$25,'COM balance'!$D$5:$D$25,'COM Assumptions'!$A43)*AH43,"")</f>
        <v>0</v>
      </c>
      <c r="BO43" s="2"/>
    </row>
    <row r="44" spans="1:67" x14ac:dyDescent="0.45">
      <c r="A44" s="8" t="str">
        <f>VLOOKUP(C44,'COM balance'!$AM$5:$AN$25,2,FALSE)</f>
        <v>COMELC</v>
      </c>
      <c r="B44" s="36"/>
      <c r="C44" s="20" t="s">
        <v>34</v>
      </c>
      <c r="D44" s="41" t="s">
        <v>83</v>
      </c>
      <c r="E44" s="25">
        <f ca="1">OFFSET('COM Assumptions T15'!$D44,0,MATCH(VLOOKUP('COM Assumptions'!E$2,'RES Assumptions T15'!$V$3:$W$35,2,FALSE),'COM Assumptions T15'!$E$2:$S$2,0))</f>
        <v>0.15</v>
      </c>
      <c r="F44" s="25">
        <f ca="1">OFFSET('COM Assumptions T15'!$D44,0,MATCH(VLOOKUP('COM Assumptions'!F$2,'RES Assumptions T15'!$V$3:$W$35,2,FALSE),'COM Assumptions T15'!$E$2:$S$2,0))</f>
        <v>0.15</v>
      </c>
      <c r="G44" s="25">
        <f ca="1">OFFSET('COM Assumptions T15'!$D44,0,MATCH(VLOOKUP('COM Assumptions'!G$2,'RES Assumptions T15'!$V$3:$W$35,2,FALSE),'COM Assumptions T15'!$E$2:$S$2,0))</f>
        <v>0.08</v>
      </c>
      <c r="H44" s="25">
        <f ca="1">OFFSET('COM Assumptions T15'!$D44,0,MATCH(VLOOKUP('COM Assumptions'!H$2,'RES Assumptions T15'!$V$3:$W$35,2,FALSE),'COM Assumptions T15'!$E$2:$S$2,0))</f>
        <v>0.01</v>
      </c>
      <c r="I44" s="25">
        <f ca="1">OFFSET('COM Assumptions T15'!$D44,0,MATCH(VLOOKUP('COM Assumptions'!I$2,'RES Assumptions T15'!$V$3:$W$35,2,FALSE),'COM Assumptions T15'!$E$2:$S$2,0))</f>
        <v>0.14000000000000001</v>
      </c>
      <c r="J44" s="25">
        <f ca="1">OFFSET('COM Assumptions T15'!$D44,0,MATCH(VLOOKUP('COM Assumptions'!J$2,'RES Assumptions T15'!$V$3:$W$35,2,FALSE),'COM Assumptions T15'!$E$2:$S$2,0))</f>
        <v>0.13</v>
      </c>
      <c r="K44" s="25">
        <f ca="1">OFFSET('COM Assumptions T15'!$D44,0,MATCH(VLOOKUP('COM Assumptions'!K$2,'RES Assumptions T15'!$V$3:$W$35,2,FALSE),'COM Assumptions T15'!$E$2:$S$2,0))</f>
        <v>0.06</v>
      </c>
      <c r="L44" s="25">
        <f ca="1">OFFSET('COM Assumptions T15'!$D44,0,MATCH(VLOOKUP('COM Assumptions'!L$2,'RES Assumptions T15'!$V$3:$W$35,2,FALSE),'COM Assumptions T15'!$E$2:$S$2,0))</f>
        <v>0.08</v>
      </c>
      <c r="M44" s="25">
        <f ca="1">OFFSET('COM Assumptions T15'!$D44,0,MATCH(VLOOKUP('COM Assumptions'!M$2,'RES Assumptions T15'!$V$3:$W$35,2,FALSE),'COM Assumptions T15'!$E$2:$S$2,0))</f>
        <v>0.13</v>
      </c>
      <c r="N44" s="25">
        <f ca="1">OFFSET('COM Assumptions T15'!$D44,0,MATCH(VLOOKUP('COM Assumptions'!N$2,'RES Assumptions T15'!$V$3:$W$35,2,FALSE),'COM Assumptions T15'!$E$2:$S$2,0))</f>
        <v>0.03</v>
      </c>
      <c r="O44" s="25">
        <f ca="1">OFFSET('COM Assumptions T15'!$D44,0,MATCH(VLOOKUP('COM Assumptions'!O$2,'RES Assumptions T15'!$V$3:$W$35,2,FALSE),'COM Assumptions T15'!$E$2:$S$2,0))</f>
        <v>0.1</v>
      </c>
      <c r="P44" s="1">
        <f ca="1">OFFSET('COM Assumptions T15'!$D44,0,MATCH(VLOOKUP('COM Assumptions'!P$2,'RES Assumptions T15'!$V$3:$W$35,2,FALSE),'COM Assumptions T15'!$E$2:$S$2,0))</f>
        <v>0.01</v>
      </c>
      <c r="Q44" s="1">
        <f ca="1">OFFSET('COM Assumptions T15'!$D44,0,MATCH(VLOOKUP('COM Assumptions'!Q$2,'RES Assumptions T15'!$V$3:$W$35,2,FALSE),'COM Assumptions T15'!$E$2:$S$2,0))</f>
        <v>0.1</v>
      </c>
      <c r="R44" s="1">
        <f ca="1">OFFSET('COM Assumptions T15'!$D44,0,MATCH(VLOOKUP('COM Assumptions'!R$2,'RES Assumptions T15'!$V$3:$W$35,2,FALSE),'COM Assumptions T15'!$E$2:$S$2,0))</f>
        <v>0.1</v>
      </c>
      <c r="S44" s="1">
        <f ca="1">OFFSET('COM Assumptions T15'!$D44,0,MATCH(VLOOKUP('COM Assumptions'!S$2,'RES Assumptions T15'!$V$3:$W$35,2,FALSE),'COM Assumptions T15'!$E$2:$S$2,0))</f>
        <v>0.01</v>
      </c>
      <c r="T44" s="1">
        <f ca="1">OFFSET('COM Assumptions T15'!$D44,0,MATCH(VLOOKUP('COM Assumptions'!T$2,'RES Assumptions T15'!$V$3:$W$35,2,FALSE),'COM Assumptions T15'!$E$2:$S$2,0))</f>
        <v>0.1</v>
      </c>
      <c r="U44" s="1">
        <f ca="1">OFFSET('COM Assumptions T15'!$D44,0,MATCH(VLOOKUP('COM Assumptions'!U$2,'RES Assumptions T15'!$V$3:$W$35,2,FALSE),'COM Assumptions T15'!$E$2:$S$2,0))</f>
        <v>0.1</v>
      </c>
      <c r="V44" s="1">
        <f ca="1">OFFSET('COM Assumptions T15'!$D44,0,MATCH(VLOOKUP('COM Assumptions'!V$2,'RES Assumptions T15'!$V$3:$W$35,2,FALSE),'COM Assumptions T15'!$E$2:$S$2,0))</f>
        <v>0.1</v>
      </c>
      <c r="W44" s="1">
        <f ca="1">OFFSET('COM Assumptions T15'!$D44,0,MATCH(VLOOKUP('COM Assumptions'!W$2,'RES Assumptions T15'!$V$3:$W$35,2,FALSE),'COM Assumptions T15'!$E$2:$S$2,0))</f>
        <v>0.1</v>
      </c>
      <c r="X44" s="1">
        <f ca="1">OFFSET('COM Assumptions T15'!$D44,0,MATCH(VLOOKUP('COM Assumptions'!X$2,'RES Assumptions T15'!$V$3:$W$35,2,FALSE),'COM Assumptions T15'!$E$2:$S$2,0))</f>
        <v>0.05</v>
      </c>
      <c r="Y44" s="1">
        <f ca="1">OFFSET('COM Assumptions T15'!$D44,0,MATCH(VLOOKUP('COM Assumptions'!Y$2,'RES Assumptions T15'!$V$3:$W$35,2,FALSE),'COM Assumptions T15'!$E$2:$S$2,0))</f>
        <v>0.08</v>
      </c>
      <c r="Z44" s="1">
        <f ca="1">OFFSET('COM Assumptions T15'!$D44,0,MATCH(VLOOKUP('COM Assumptions'!Z$2,'RES Assumptions T15'!$V$3:$W$35,2,FALSE),'COM Assumptions T15'!$E$2:$S$2,0))</f>
        <v>0.1</v>
      </c>
      <c r="AA44" s="1">
        <f ca="1">OFFSET('COM Assumptions T15'!$D44,0,MATCH(VLOOKUP('COM Assumptions'!AA$2,'RES Assumptions T15'!$V$3:$W$35,2,FALSE),'COM Assumptions T15'!$E$2:$S$2,0))</f>
        <v>0.1</v>
      </c>
      <c r="AB44" s="1">
        <f ca="1">OFFSET('COM Assumptions T15'!$D44,0,MATCH(VLOOKUP('COM Assumptions'!AB$2,'RES Assumptions T15'!$V$3:$W$35,2,FALSE),'COM Assumptions T15'!$E$2:$S$2,0))</f>
        <v>0.1</v>
      </c>
      <c r="AC44" s="1">
        <f ca="1">OFFSET('COM Assumptions T15'!$D44,0,MATCH(VLOOKUP('COM Assumptions'!AC$2,'RES Assumptions T15'!$V$3:$W$35,2,FALSE),'COM Assumptions T15'!$E$2:$S$2,0))</f>
        <v>0.01</v>
      </c>
      <c r="AD44" s="1">
        <f ca="1">OFFSET('COM Assumptions T15'!$D44,0,MATCH(VLOOKUP('COM Assumptions'!AD$2,'RES Assumptions T15'!$V$3:$W$35,2,FALSE),'COM Assumptions T15'!$E$2:$S$2,0))</f>
        <v>0.1</v>
      </c>
      <c r="AE44" s="1">
        <f ca="1">OFFSET('COM Assumptions T15'!$D44,0,MATCH(VLOOKUP('COM Assumptions'!AE$2,'RES Assumptions T15'!$V$3:$W$35,2,FALSE),'COM Assumptions T15'!$E$2:$S$2,0))</f>
        <v>0.15</v>
      </c>
      <c r="AF44" s="1">
        <f ca="1">OFFSET('COM Assumptions T15'!$D44,0,MATCH(VLOOKUP('COM Assumptions'!AF$2,'RES Assumptions T15'!$V$3:$W$35,2,FALSE),'COM Assumptions T15'!$E$2:$S$2,0))</f>
        <v>0.1</v>
      </c>
      <c r="AG44" s="1">
        <f ca="1">OFFSET('COM Assumptions T15'!$D44,0,MATCH(VLOOKUP('COM Assumptions'!AG$2,'RES Assumptions T15'!$V$3:$W$35,2,FALSE),'COM Assumptions T15'!$E$2:$S$2,0))</f>
        <v>0.20724701637407295</v>
      </c>
      <c r="AH44" s="1">
        <f ca="1">OFFSET('COM Assumptions T15'!$D44,0,MATCH(VLOOKUP('COM Assumptions'!AH$2,'RES Assumptions T15'!$V$3:$W$35,2,FALSE),'COM Assumptions T15'!$E$2:$S$2,0))</f>
        <v>0.20724701637407295</v>
      </c>
      <c r="AI44" s="1" t="str">
        <f t="shared" ref="AI44:AI50" si="18">D44</f>
        <v>CL</v>
      </c>
      <c r="AJ44" s="2">
        <f t="shared" ref="AJ44:AJ50" ca="1" si="19">SUM(AK44:BN44)</f>
        <v>2145.4441722135239</v>
      </c>
      <c r="AK44" s="10">
        <f ca="1">IFERROR(SUMIFS('COM balance'!E$5:E$25,'COM balance'!$D$5:$D$25,'COM Assumptions'!$A44)*E44,"")</f>
        <v>28.711389422339998</v>
      </c>
      <c r="AL44" s="10">
        <f ca="1">IFERROR(SUMIFS('COM balance'!F$5:F$25,'COM balance'!$D$5:$D$25,'COM Assumptions'!$A44)*F44,"")</f>
        <v>17.69999133204</v>
      </c>
      <c r="AM44" s="10">
        <f ca="1">IFERROR(SUMIFS('COM balance'!G$5:G$25,'COM balance'!$D$5:$D$25,'COM Assumptions'!$A44)*G44,"")</f>
        <v>12.503337265440001</v>
      </c>
      <c r="AN44" s="10">
        <f ca="1">IFERROR(SUMIFS('COM balance'!H$5:H$25,'COM balance'!$D$5:$D$25,'COM Assumptions'!$A44)*H44,"")</f>
        <v>0.97654401140400005</v>
      </c>
      <c r="AO44" s="10">
        <f ca="1">IFERROR(SUMIFS('COM balance'!I$5:I$25,'COM balance'!$D$5:$D$25,'COM Assumptions'!$A44)*I44,"")</f>
        <v>242.01606188844002</v>
      </c>
      <c r="AP44" s="10">
        <f ca="1">IFERROR(SUMIFS('COM balance'!J$5:J$25,'COM balance'!$D$5:$D$25,'COM Assumptions'!$A44)*J44,"")</f>
        <v>151.59418324221602</v>
      </c>
      <c r="AQ44" s="10">
        <f ca="1">IFERROR(SUMIFS('COM balance'!K$5:K$25,'COM balance'!$D$5:$D$25,'COM Assumptions'!$A44)*K44,"")</f>
        <v>17.455137387192</v>
      </c>
      <c r="AR44" s="10">
        <f ca="1">IFERROR(SUMIFS('COM balance'!L$5:L$25,'COM balance'!$D$5:$D$25,'COM Assumptions'!$A44)*L44,"")</f>
        <v>40.620152730240001</v>
      </c>
      <c r="AS44" s="10">
        <f ca="1">IFERROR(SUMIFS('COM balance'!M$5:M$25,'COM balance'!$D$5:$D$25,'COM Assumptions'!$A44)*M44,"")</f>
        <v>70.829928078623993</v>
      </c>
      <c r="AT44" s="10">
        <f ca="1">IFERROR(SUMIFS('COM balance'!N$5:N$25,'COM balance'!$D$5:$D$25,'COM Assumptions'!$A44)*N44,"")</f>
        <v>52.631066380031996</v>
      </c>
      <c r="AU44" s="10">
        <f ca="1">IFERROR(SUMIFS('COM balance'!O$5:O$25,'COM balance'!$D$5:$D$25,'COM Assumptions'!$A44)*O44,"")</f>
        <v>19.91771417124</v>
      </c>
      <c r="AV44" s="10">
        <f ca="1">IFERROR(SUMIFS('COM balance'!P$5:P$25,'COM balance'!$D$5:$D$25,'COM Assumptions'!$A44)*P44,"")</f>
        <v>3.3761116744560002</v>
      </c>
      <c r="AW44" s="10">
        <f ca="1">IFERROR(SUMIFS('COM balance'!Q$5:Q$25,'COM balance'!$D$5:$D$25,'COM Assumptions'!$A44)*Q44,"")</f>
        <v>26.345368243079999</v>
      </c>
      <c r="AX44" s="10">
        <f ca="1">IFERROR(SUMIFS('COM balance'!R$5:R$25,'COM balance'!$D$5:$D$25,'COM Assumptions'!$A44)*R44,"")</f>
        <v>39.740658031080002</v>
      </c>
      <c r="AY44" s="10">
        <f ca="1">IFERROR(SUMIFS('COM balance'!S$5:S$25,'COM balance'!$D$5:$D$25,'COM Assumptions'!$A44)*S44,"")</f>
        <v>1.2806664226560001</v>
      </c>
      <c r="AZ44" s="10">
        <f ca="1">IFERROR(SUMIFS('COM balance'!T$5:T$25,'COM balance'!$D$5:$D$25,'COM Assumptions'!$A44)*T44,"")</f>
        <v>32.78510248896</v>
      </c>
      <c r="BA44" s="10">
        <f ca="1">IFERROR(SUMIFS('COM balance'!U$5:U$25,'COM balance'!$D$5:$D$25,'COM Assumptions'!$A44)*U44,"")</f>
        <v>49.053559074840003</v>
      </c>
      <c r="BB44" s="10">
        <f ca="1">IFERROR(SUMIFS('COM balance'!V$5:V$25,'COM balance'!$D$5:$D$25,'COM Assumptions'!$A44)*V44,"")</f>
        <v>49.179266907480006</v>
      </c>
      <c r="BC44" s="10">
        <f ca="1">IFERROR(SUMIFS('COM balance'!W$5:W$25,'COM balance'!$D$5:$D$25,'COM Assumptions'!$A44)*W44,"")</f>
        <v>46.790640148320001</v>
      </c>
      <c r="BD44" s="10">
        <f ca="1">IFERROR(SUMIFS('COM balance'!X$5:X$25,'COM balance'!$D$5:$D$25,'COM Assumptions'!$A44)*X44,"")</f>
        <v>20.45870839314</v>
      </c>
      <c r="BE44" s="10">
        <f ca="1">IFERROR(SUMIFS('COM balance'!Y$5:Y$25,'COM balance'!$D$5:$D$25,'COM Assumptions'!$A44)*Y44,"")</f>
        <v>25.734108924575999</v>
      </c>
      <c r="BF44" s="10">
        <f ca="1">IFERROR(SUMIFS('COM balance'!Z$5:Z$25,'COM balance'!$D$5:$D$25,'COM Assumptions'!$A44)*Z44,"")</f>
        <v>10.337939796600001</v>
      </c>
      <c r="BG44" s="10">
        <f ca="1">IFERROR(SUMIFS('COM balance'!AA$5:AA$25,'COM balance'!$D$5:$D$25,'COM Assumptions'!$A44)*AA44,"")</f>
        <v>55.758491512920003</v>
      </c>
      <c r="BH44" s="10">
        <f ca="1">IFERROR(SUMIFS('COM balance'!AB$5:AB$25,'COM balance'!$D$5:$D$25,'COM Assumptions'!$A44)*AB44,"")</f>
        <v>9.9201775431600012</v>
      </c>
      <c r="BI44" s="10">
        <f ca="1">IFERROR(SUMIFS('COM balance'!AC$5:AC$25,'COM balance'!$D$5:$D$25,'COM Assumptions'!$A44)*AC44,"")</f>
        <v>5.5032803935920001</v>
      </c>
      <c r="BJ44" s="10">
        <f ca="1">IFERROR(SUMIFS('COM balance'!AD$5:AD$25,'COM balance'!$D$5:$D$25,'COM Assumptions'!$A44)*AD44,"")</f>
        <v>44.062038530280006</v>
      </c>
      <c r="BK44" s="10">
        <f ca="1">IFERROR(SUMIFS('COM balance'!AE$5:AE$25,'COM balance'!$D$5:$D$25,'COM Assumptions'!$A44)*AE44,"")</f>
        <v>20.038106023919998</v>
      </c>
      <c r="BL44" s="10">
        <f ca="1">IFERROR(SUMIFS('COM balance'!AF$5:AF$25,'COM balance'!$D$5:$D$25,'COM Assumptions'!$A44)*AF44,"")</f>
        <v>32.443428207960004</v>
      </c>
      <c r="BM44" s="10">
        <f ca="1">IFERROR(SUMIFS('COM balance'!AG$5:AG$25,'COM balance'!$D$5:$D$25,'COM Assumptions'!$A44)*AG44,"")</f>
        <v>1017.6810139872956</v>
      </c>
      <c r="BN44" s="10">
        <f ca="1">IFERROR(SUMIFS('COM balance'!AH$5:AH$25,'COM balance'!$D$5:$D$25,'COM Assumptions'!$A44)*AH44,"")</f>
        <v>0</v>
      </c>
      <c r="BO44" s="2"/>
    </row>
    <row r="45" spans="1:67" x14ac:dyDescent="0.45">
      <c r="A45" s="8" t="str">
        <f>VLOOKUP(C45,'COM balance'!$AM$5:$AN$25,2,FALSE)</f>
        <v>COMELC</v>
      </c>
      <c r="B45" s="36"/>
      <c r="C45" s="20" t="s">
        <v>34</v>
      </c>
      <c r="D45" s="41" t="s">
        <v>84</v>
      </c>
      <c r="E45" s="25">
        <f ca="1">OFFSET('COM Assumptions T15'!$D45,0,MATCH(VLOOKUP('COM Assumptions'!E$2,'RES Assumptions T15'!$V$3:$W$35,2,FALSE),'COM Assumptions T15'!$E$2:$S$2,0))</f>
        <v>0.05</v>
      </c>
      <c r="F45" s="25">
        <f ca="1">OFFSET('COM Assumptions T15'!$D45,0,MATCH(VLOOKUP('COM Assumptions'!F$2,'RES Assumptions T15'!$V$3:$W$35,2,FALSE),'COM Assumptions T15'!$E$2:$S$2,0))</f>
        <v>0.05</v>
      </c>
      <c r="G45" s="25">
        <f ca="1">OFFSET('COM Assumptions T15'!$D45,0,MATCH(VLOOKUP('COM Assumptions'!G$2,'RES Assumptions T15'!$V$3:$W$35,2,FALSE),'COM Assumptions T15'!$E$2:$S$2,0))</f>
        <v>0.02</v>
      </c>
      <c r="H45" s="25">
        <f ca="1">OFFSET('COM Assumptions T15'!$D45,0,MATCH(VLOOKUP('COM Assumptions'!H$2,'RES Assumptions T15'!$V$3:$W$35,2,FALSE),'COM Assumptions T15'!$E$2:$S$2,0))</f>
        <v>0.1</v>
      </c>
      <c r="I45" s="25">
        <f ca="1">OFFSET('COM Assumptions T15'!$D45,0,MATCH(VLOOKUP('COM Assumptions'!I$2,'RES Assumptions T15'!$V$3:$W$35,2,FALSE),'COM Assumptions T15'!$E$2:$S$2,0))</f>
        <v>0</v>
      </c>
      <c r="J45" s="25">
        <f ca="1">OFFSET('COM Assumptions T15'!$D45,0,MATCH(VLOOKUP('COM Assumptions'!J$2,'RES Assumptions T15'!$V$3:$W$35,2,FALSE),'COM Assumptions T15'!$E$2:$S$2,0))</f>
        <v>0.06</v>
      </c>
      <c r="K45" s="25">
        <f ca="1">OFFSET('COM Assumptions T15'!$D45,0,MATCH(VLOOKUP('COM Assumptions'!K$2,'RES Assumptions T15'!$V$3:$W$35,2,FALSE),'COM Assumptions T15'!$E$2:$S$2,0))</f>
        <v>0.1</v>
      </c>
      <c r="L45" s="25">
        <f ca="1">OFFSET('COM Assumptions T15'!$D45,0,MATCH(VLOOKUP('COM Assumptions'!L$2,'RES Assumptions T15'!$V$3:$W$35,2,FALSE),'COM Assumptions T15'!$E$2:$S$2,0))</f>
        <v>0.02</v>
      </c>
      <c r="M45" s="25">
        <f ca="1">OFFSET('COM Assumptions T15'!$D45,0,MATCH(VLOOKUP('COM Assumptions'!M$2,'RES Assumptions T15'!$V$3:$W$35,2,FALSE),'COM Assumptions T15'!$E$2:$S$2,0))</f>
        <v>0.03</v>
      </c>
      <c r="N45" s="25">
        <f ca="1">OFFSET('COM Assumptions T15'!$D45,0,MATCH(VLOOKUP('COM Assumptions'!N$2,'RES Assumptions T15'!$V$3:$W$35,2,FALSE),'COM Assumptions T15'!$E$2:$S$2,0))</f>
        <v>0.02</v>
      </c>
      <c r="O45" s="25">
        <f ca="1">OFFSET('COM Assumptions T15'!$D45,0,MATCH(VLOOKUP('COM Assumptions'!O$2,'RES Assumptions T15'!$V$3:$W$35,2,FALSE),'COM Assumptions T15'!$E$2:$S$2,0))</f>
        <v>0.06</v>
      </c>
      <c r="P45" s="1">
        <f ca="1">OFFSET('COM Assumptions T15'!$D45,0,MATCH(VLOOKUP('COM Assumptions'!P$2,'RES Assumptions T15'!$V$3:$W$35,2,FALSE),'COM Assumptions T15'!$E$2:$S$2,0))</f>
        <v>0.1</v>
      </c>
      <c r="Q45" s="1">
        <f ca="1">OFFSET('COM Assumptions T15'!$D45,0,MATCH(VLOOKUP('COM Assumptions'!Q$2,'RES Assumptions T15'!$V$3:$W$35,2,FALSE),'COM Assumptions T15'!$E$2:$S$2,0))</f>
        <v>0.06</v>
      </c>
      <c r="R45" s="1">
        <f ca="1">OFFSET('COM Assumptions T15'!$D45,0,MATCH(VLOOKUP('COM Assumptions'!R$2,'RES Assumptions T15'!$V$3:$W$35,2,FALSE),'COM Assumptions T15'!$E$2:$S$2,0))</f>
        <v>0.06</v>
      </c>
      <c r="S45" s="1">
        <f ca="1">OFFSET('COM Assumptions T15'!$D45,0,MATCH(VLOOKUP('COM Assumptions'!S$2,'RES Assumptions T15'!$V$3:$W$35,2,FALSE),'COM Assumptions T15'!$E$2:$S$2,0))</f>
        <v>0.1</v>
      </c>
      <c r="T45" s="1">
        <f ca="1">OFFSET('COM Assumptions T15'!$D45,0,MATCH(VLOOKUP('COM Assumptions'!T$2,'RES Assumptions T15'!$V$3:$W$35,2,FALSE),'COM Assumptions T15'!$E$2:$S$2,0))</f>
        <v>0.06</v>
      </c>
      <c r="U45" s="1">
        <f ca="1">OFFSET('COM Assumptions T15'!$D45,0,MATCH(VLOOKUP('COM Assumptions'!U$2,'RES Assumptions T15'!$V$3:$W$35,2,FALSE),'COM Assumptions T15'!$E$2:$S$2,0))</f>
        <v>0.05</v>
      </c>
      <c r="V45" s="1">
        <f ca="1">OFFSET('COM Assumptions T15'!$D45,0,MATCH(VLOOKUP('COM Assumptions'!V$2,'RES Assumptions T15'!$V$3:$W$35,2,FALSE),'COM Assumptions T15'!$E$2:$S$2,0))</f>
        <v>0.06</v>
      </c>
      <c r="W45" s="1">
        <f ca="1">OFFSET('COM Assumptions T15'!$D45,0,MATCH(VLOOKUP('COM Assumptions'!W$2,'RES Assumptions T15'!$V$3:$W$35,2,FALSE),'COM Assumptions T15'!$E$2:$S$2,0))</f>
        <v>0.06</v>
      </c>
      <c r="X45" s="1">
        <f ca="1">OFFSET('COM Assumptions T15'!$D45,0,MATCH(VLOOKUP('COM Assumptions'!X$2,'RES Assumptions T15'!$V$3:$W$35,2,FALSE),'COM Assumptions T15'!$E$2:$S$2,0))</f>
        <v>0.01</v>
      </c>
      <c r="Y45" s="1">
        <f ca="1">OFFSET('COM Assumptions T15'!$D45,0,MATCH(VLOOKUP('COM Assumptions'!Y$2,'RES Assumptions T15'!$V$3:$W$35,2,FALSE),'COM Assumptions T15'!$E$2:$S$2,0))</f>
        <v>0.02</v>
      </c>
      <c r="Z45" s="1">
        <f ca="1">OFFSET('COM Assumptions T15'!$D45,0,MATCH(VLOOKUP('COM Assumptions'!Z$2,'RES Assumptions T15'!$V$3:$W$35,2,FALSE),'COM Assumptions T15'!$E$2:$S$2,0))</f>
        <v>0.05</v>
      </c>
      <c r="AA45" s="1">
        <f ca="1">OFFSET('COM Assumptions T15'!$D45,0,MATCH(VLOOKUP('COM Assumptions'!AA$2,'RES Assumptions T15'!$V$3:$W$35,2,FALSE),'COM Assumptions T15'!$E$2:$S$2,0))</f>
        <v>0.05</v>
      </c>
      <c r="AB45" s="1">
        <f ca="1">OFFSET('COM Assumptions T15'!$D45,0,MATCH(VLOOKUP('COM Assumptions'!AB$2,'RES Assumptions T15'!$V$3:$W$35,2,FALSE),'COM Assumptions T15'!$E$2:$S$2,0))</f>
        <v>0.06</v>
      </c>
      <c r="AC45" s="1">
        <f ca="1">OFFSET('COM Assumptions T15'!$D45,0,MATCH(VLOOKUP('COM Assumptions'!AC$2,'RES Assumptions T15'!$V$3:$W$35,2,FALSE),'COM Assumptions T15'!$E$2:$S$2,0))</f>
        <v>0.1</v>
      </c>
      <c r="AD45" s="1">
        <f ca="1">OFFSET('COM Assumptions T15'!$D45,0,MATCH(VLOOKUP('COM Assumptions'!AD$2,'RES Assumptions T15'!$V$3:$W$35,2,FALSE),'COM Assumptions T15'!$E$2:$S$2,0))</f>
        <v>0.05</v>
      </c>
      <c r="AE45" s="1">
        <f ca="1">OFFSET('COM Assumptions T15'!$D45,0,MATCH(VLOOKUP('COM Assumptions'!AE$2,'RES Assumptions T15'!$V$3:$W$35,2,FALSE),'COM Assumptions T15'!$E$2:$S$2,0))</f>
        <v>0.05</v>
      </c>
      <c r="AF45" s="1">
        <f ca="1">OFFSET('COM Assumptions T15'!$D45,0,MATCH(VLOOKUP('COM Assumptions'!AF$2,'RES Assumptions T15'!$V$3:$W$35,2,FALSE),'COM Assumptions T15'!$E$2:$S$2,0))</f>
        <v>0.06</v>
      </c>
      <c r="AG45" s="1">
        <f ca="1">OFFSET('COM Assumptions T15'!$D45,0,MATCH(VLOOKUP('COM Assumptions'!AG$2,'RES Assumptions T15'!$V$3:$W$35,2,FALSE),'COM Assumptions T15'!$E$2:$S$2,0))</f>
        <v>4.7250673863187216E-2</v>
      </c>
      <c r="AH45" s="1">
        <f ca="1">OFFSET('COM Assumptions T15'!$D45,0,MATCH(VLOOKUP('COM Assumptions'!AH$2,'RES Assumptions T15'!$V$3:$W$35,2,FALSE),'COM Assumptions T15'!$E$2:$S$2,0))</f>
        <v>4.7250673863187216E-2</v>
      </c>
      <c r="AI45" s="1" t="str">
        <f t="shared" si="18"/>
        <v>CHW</v>
      </c>
      <c r="AJ45" s="2">
        <f t="shared" ca="1" si="19"/>
        <v>773.71579980723493</v>
      </c>
      <c r="AK45" s="10">
        <f ca="1">IFERROR(SUMIFS('COM balance'!E$5:E$25,'COM balance'!$D$5:$D$25,'COM Assumptions'!$A45)*E45,"")</f>
        <v>9.5704631407799994</v>
      </c>
      <c r="AL45" s="10">
        <f ca="1">IFERROR(SUMIFS('COM balance'!F$5:F$25,'COM balance'!$D$5:$D$25,'COM Assumptions'!$A45)*F45,"")</f>
        <v>5.8999971106800002</v>
      </c>
      <c r="AM45" s="10">
        <f ca="1">IFERROR(SUMIFS('COM balance'!G$5:G$25,'COM balance'!$D$5:$D$25,'COM Assumptions'!$A45)*G45,"")</f>
        <v>3.1258343163600002</v>
      </c>
      <c r="AN45" s="10">
        <f ca="1">IFERROR(SUMIFS('COM balance'!H$5:H$25,'COM balance'!$D$5:$D$25,'COM Assumptions'!$A45)*H45,"")</f>
        <v>9.7654401140400005</v>
      </c>
      <c r="AO45" s="10">
        <f ca="1">IFERROR(SUMIFS('COM balance'!I$5:I$25,'COM balance'!$D$5:$D$25,'COM Assumptions'!$A45)*I45,"")</f>
        <v>0</v>
      </c>
      <c r="AP45" s="10">
        <f ca="1">IFERROR(SUMIFS('COM balance'!J$5:J$25,'COM balance'!$D$5:$D$25,'COM Assumptions'!$A45)*J45,"")</f>
        <v>69.966546111791999</v>
      </c>
      <c r="AQ45" s="10">
        <f ca="1">IFERROR(SUMIFS('COM balance'!K$5:K$25,'COM balance'!$D$5:$D$25,'COM Assumptions'!$A45)*K45,"")</f>
        <v>29.091895645320001</v>
      </c>
      <c r="AR45" s="10">
        <f ca="1">IFERROR(SUMIFS('COM balance'!L$5:L$25,'COM balance'!$D$5:$D$25,'COM Assumptions'!$A45)*L45,"")</f>
        <v>10.15503818256</v>
      </c>
      <c r="AS45" s="10">
        <f ca="1">IFERROR(SUMIFS('COM balance'!M$5:M$25,'COM balance'!$D$5:$D$25,'COM Assumptions'!$A45)*M45,"")</f>
        <v>16.345368018144001</v>
      </c>
      <c r="AT45" s="10">
        <f ca="1">IFERROR(SUMIFS('COM balance'!N$5:N$25,'COM balance'!$D$5:$D$25,'COM Assumptions'!$A45)*N45,"")</f>
        <v>35.087377586688</v>
      </c>
      <c r="AU45" s="10">
        <f ca="1">IFERROR(SUMIFS('COM balance'!O$5:O$25,'COM balance'!$D$5:$D$25,'COM Assumptions'!$A45)*O45,"")</f>
        <v>11.950628502743999</v>
      </c>
      <c r="AV45" s="10">
        <f ca="1">IFERROR(SUMIFS('COM balance'!P$5:P$25,'COM balance'!$D$5:$D$25,'COM Assumptions'!$A45)*P45,"")</f>
        <v>33.761116744560006</v>
      </c>
      <c r="AW45" s="10">
        <f ca="1">IFERROR(SUMIFS('COM balance'!Q$5:Q$25,'COM balance'!$D$5:$D$25,'COM Assumptions'!$A45)*Q45,"")</f>
        <v>15.807220945847998</v>
      </c>
      <c r="AX45" s="10">
        <f ca="1">IFERROR(SUMIFS('COM balance'!R$5:R$25,'COM balance'!$D$5:$D$25,'COM Assumptions'!$A45)*R45,"")</f>
        <v>23.844394818647999</v>
      </c>
      <c r="AY45" s="10">
        <f ca="1">IFERROR(SUMIFS('COM balance'!S$5:S$25,'COM balance'!$D$5:$D$25,'COM Assumptions'!$A45)*S45,"")</f>
        <v>12.806664226560001</v>
      </c>
      <c r="AZ45" s="10">
        <f ca="1">IFERROR(SUMIFS('COM balance'!T$5:T$25,'COM balance'!$D$5:$D$25,'COM Assumptions'!$A45)*T45,"")</f>
        <v>19.671061493376001</v>
      </c>
      <c r="BA45" s="10">
        <f ca="1">IFERROR(SUMIFS('COM balance'!U$5:U$25,'COM balance'!$D$5:$D$25,'COM Assumptions'!$A45)*U45,"")</f>
        <v>24.526779537420001</v>
      </c>
      <c r="BB45" s="10">
        <f ca="1">IFERROR(SUMIFS('COM balance'!V$5:V$25,'COM balance'!$D$5:$D$25,'COM Assumptions'!$A45)*V45,"")</f>
        <v>29.507560144488</v>
      </c>
      <c r="BC45" s="10">
        <f ca="1">IFERROR(SUMIFS('COM balance'!W$5:W$25,'COM balance'!$D$5:$D$25,'COM Assumptions'!$A45)*W45,"")</f>
        <v>28.074384088991998</v>
      </c>
      <c r="BD45" s="10">
        <f ca="1">IFERROR(SUMIFS('COM balance'!X$5:X$25,'COM balance'!$D$5:$D$25,'COM Assumptions'!$A45)*X45,"")</f>
        <v>4.0917416786279999</v>
      </c>
      <c r="BE45" s="10">
        <f ca="1">IFERROR(SUMIFS('COM balance'!Y$5:Y$25,'COM balance'!$D$5:$D$25,'COM Assumptions'!$A45)*Y45,"")</f>
        <v>6.4335272311439997</v>
      </c>
      <c r="BF45" s="10">
        <f ca="1">IFERROR(SUMIFS('COM balance'!Z$5:Z$25,'COM balance'!$D$5:$D$25,'COM Assumptions'!$A45)*Z45,"")</f>
        <v>5.1689698983000003</v>
      </c>
      <c r="BG45" s="10">
        <f ca="1">IFERROR(SUMIFS('COM balance'!AA$5:AA$25,'COM balance'!$D$5:$D$25,'COM Assumptions'!$A45)*AA45,"")</f>
        <v>27.879245756460001</v>
      </c>
      <c r="BH45" s="10">
        <f ca="1">IFERROR(SUMIFS('COM balance'!AB$5:AB$25,'COM balance'!$D$5:$D$25,'COM Assumptions'!$A45)*AB45,"")</f>
        <v>5.9521065258959993</v>
      </c>
      <c r="BI45" s="10">
        <f ca="1">IFERROR(SUMIFS('COM balance'!AC$5:AC$25,'COM balance'!$D$5:$D$25,'COM Assumptions'!$A45)*AC45,"")</f>
        <v>55.032803935920008</v>
      </c>
      <c r="BJ45" s="10">
        <f ca="1">IFERROR(SUMIFS('COM balance'!AD$5:AD$25,'COM balance'!$D$5:$D$25,'COM Assumptions'!$A45)*AD45,"")</f>
        <v>22.031019265140003</v>
      </c>
      <c r="BK45" s="10">
        <f ca="1">IFERROR(SUMIFS('COM balance'!AE$5:AE$25,'COM balance'!$D$5:$D$25,'COM Assumptions'!$A45)*AE45,"")</f>
        <v>6.6793686746400001</v>
      </c>
      <c r="BL45" s="10">
        <f ca="1">IFERROR(SUMIFS('COM balance'!AF$5:AF$25,'COM balance'!$D$5:$D$25,'COM Assumptions'!$A45)*AF45,"")</f>
        <v>19.466056924775998</v>
      </c>
      <c r="BM45" s="10">
        <f ca="1">IFERROR(SUMIFS('COM balance'!AG$5:AG$25,'COM balance'!$D$5:$D$25,'COM Assumptions'!$A45)*AG45,"")</f>
        <v>232.02318918733081</v>
      </c>
      <c r="BN45" s="10">
        <f ca="1">IFERROR(SUMIFS('COM balance'!AH$5:AH$25,'COM balance'!$D$5:$D$25,'COM Assumptions'!$A45)*AH45,"")</f>
        <v>0</v>
      </c>
      <c r="BO45" s="2"/>
    </row>
    <row r="46" spans="1:67" x14ac:dyDescent="0.45">
      <c r="A46" s="8" t="str">
        <f>VLOOKUP(C46,'COM balance'!$AM$5:$AN$25,2,FALSE)</f>
        <v>COMELC</v>
      </c>
      <c r="B46" s="36"/>
      <c r="C46" s="20" t="s">
        <v>34</v>
      </c>
      <c r="D46" s="41" t="s">
        <v>85</v>
      </c>
      <c r="E46" s="25">
        <f ca="1">OFFSET('COM Assumptions T15'!$D46,0,MATCH(VLOOKUP('COM Assumptions'!E$2,'RES Assumptions T15'!$V$3:$W$35,2,FALSE),'COM Assumptions T15'!$E$2:$S$2,0))</f>
        <v>0.4</v>
      </c>
      <c r="F46" s="25">
        <f ca="1">OFFSET('COM Assumptions T15'!$D46,0,MATCH(VLOOKUP('COM Assumptions'!F$2,'RES Assumptions T15'!$V$3:$W$35,2,FALSE),'COM Assumptions T15'!$E$2:$S$2,0))</f>
        <v>0.4</v>
      </c>
      <c r="G46" s="25">
        <f ca="1">OFFSET('COM Assumptions T15'!$D46,0,MATCH(VLOOKUP('COM Assumptions'!G$2,'RES Assumptions T15'!$V$3:$W$35,2,FALSE),'COM Assumptions T15'!$E$2:$S$2,0))</f>
        <v>0.42</v>
      </c>
      <c r="H46" s="25">
        <f ca="1">OFFSET('COM Assumptions T15'!$D46,0,MATCH(VLOOKUP('COM Assumptions'!H$2,'RES Assumptions T15'!$V$3:$W$35,2,FALSE),'COM Assumptions T15'!$E$2:$S$2,0))</f>
        <v>0.4</v>
      </c>
      <c r="I46" s="25">
        <f ca="1">OFFSET('COM Assumptions T15'!$D46,0,MATCH(VLOOKUP('COM Assumptions'!I$2,'RES Assumptions T15'!$V$3:$W$35,2,FALSE),'COM Assumptions T15'!$E$2:$S$2,0))</f>
        <v>0.4</v>
      </c>
      <c r="J46" s="25">
        <f ca="1">OFFSET('COM Assumptions T15'!$D46,0,MATCH(VLOOKUP('COM Assumptions'!J$2,'RES Assumptions T15'!$V$3:$W$35,2,FALSE),'COM Assumptions T15'!$E$2:$S$2,0))</f>
        <v>0.35</v>
      </c>
      <c r="K46" s="25">
        <f ca="1">OFFSET('COM Assumptions T15'!$D46,0,MATCH(VLOOKUP('COM Assumptions'!K$2,'RES Assumptions T15'!$V$3:$W$35,2,FALSE),'COM Assumptions T15'!$E$2:$S$2,0))</f>
        <v>0.3</v>
      </c>
      <c r="L46" s="25">
        <f ca="1">OFFSET('COM Assumptions T15'!$D46,0,MATCH(VLOOKUP('COM Assumptions'!L$2,'RES Assumptions T15'!$V$3:$W$35,2,FALSE),'COM Assumptions T15'!$E$2:$S$2,0))</f>
        <v>0.42</v>
      </c>
      <c r="M46" s="25">
        <f ca="1">OFFSET('COM Assumptions T15'!$D46,0,MATCH(VLOOKUP('COM Assumptions'!M$2,'RES Assumptions T15'!$V$3:$W$35,2,FALSE),'COM Assumptions T15'!$E$2:$S$2,0))</f>
        <v>0.38</v>
      </c>
      <c r="N46" s="25">
        <f ca="1">OFFSET('COM Assumptions T15'!$D46,0,MATCH(VLOOKUP('COM Assumptions'!N$2,'RES Assumptions T15'!$V$3:$W$35,2,FALSE),'COM Assumptions T15'!$E$2:$S$2,0))</f>
        <v>0.6</v>
      </c>
      <c r="O46" s="25">
        <f ca="1">OFFSET('COM Assumptions T15'!$D46,0,MATCH(VLOOKUP('COM Assumptions'!O$2,'RES Assumptions T15'!$V$3:$W$35,2,FALSE),'COM Assumptions T15'!$E$2:$S$2,0))</f>
        <v>0.39</v>
      </c>
      <c r="P46" s="9">
        <f ca="1">OFFSET('COM Assumptions T15'!$D46,0,MATCH(VLOOKUP('COM Assumptions'!P$2,'RES Assumptions T15'!$V$3:$W$35,2,FALSE),'COM Assumptions T15'!$E$2:$S$2,0))</f>
        <v>0.4</v>
      </c>
      <c r="Q46" s="9">
        <f ca="1">OFFSET('COM Assumptions T15'!$D46,0,MATCH(VLOOKUP('COM Assumptions'!Q$2,'RES Assumptions T15'!$V$3:$W$35,2,FALSE),'COM Assumptions T15'!$E$2:$S$2,0))</f>
        <v>0.39</v>
      </c>
      <c r="R46" s="9">
        <f ca="1">OFFSET('COM Assumptions T15'!$D46,0,MATCH(VLOOKUP('COM Assumptions'!R$2,'RES Assumptions T15'!$V$3:$W$35,2,FALSE),'COM Assumptions T15'!$E$2:$S$2,0))</f>
        <v>0.39</v>
      </c>
      <c r="S46" s="9">
        <f ca="1">OFFSET('COM Assumptions T15'!$D46,0,MATCH(VLOOKUP('COM Assumptions'!S$2,'RES Assumptions T15'!$V$3:$W$35,2,FALSE),'COM Assumptions T15'!$E$2:$S$2,0))</f>
        <v>0.4</v>
      </c>
      <c r="T46" s="9">
        <f ca="1">OFFSET('COM Assumptions T15'!$D46,0,MATCH(VLOOKUP('COM Assumptions'!T$2,'RES Assumptions T15'!$V$3:$W$35,2,FALSE),'COM Assumptions T15'!$E$2:$S$2,0))</f>
        <v>0.39</v>
      </c>
      <c r="U46" s="9">
        <f ca="1">OFFSET('COM Assumptions T15'!$D46,0,MATCH(VLOOKUP('COM Assumptions'!U$2,'RES Assumptions T15'!$V$3:$W$35,2,FALSE),'COM Assumptions T15'!$E$2:$S$2,0))</f>
        <v>0.36</v>
      </c>
      <c r="V46" s="9">
        <f ca="1">OFFSET('COM Assumptions T15'!$D46,0,MATCH(VLOOKUP('COM Assumptions'!V$2,'RES Assumptions T15'!$V$3:$W$35,2,FALSE),'COM Assumptions T15'!$E$2:$S$2,0))</f>
        <v>0.39</v>
      </c>
      <c r="W46" s="9">
        <f ca="1">OFFSET('COM Assumptions T15'!$D46,0,MATCH(VLOOKUP('COM Assumptions'!W$2,'RES Assumptions T15'!$V$3:$W$35,2,FALSE),'COM Assumptions T15'!$E$2:$S$2,0))</f>
        <v>0.39</v>
      </c>
      <c r="X46" s="9">
        <f ca="1">OFFSET('COM Assumptions T15'!$D46,0,MATCH(VLOOKUP('COM Assumptions'!X$2,'RES Assumptions T15'!$V$3:$W$35,2,FALSE),'COM Assumptions T15'!$E$2:$S$2,0))</f>
        <v>0.4</v>
      </c>
      <c r="Y46" s="9">
        <f ca="1">OFFSET('COM Assumptions T15'!$D46,0,MATCH(VLOOKUP('COM Assumptions'!Y$2,'RES Assumptions T15'!$V$3:$W$35,2,FALSE),'COM Assumptions T15'!$E$2:$S$2,0))</f>
        <v>0.42</v>
      </c>
      <c r="Z46" s="9">
        <f ca="1">OFFSET('COM Assumptions T15'!$D46,0,MATCH(VLOOKUP('COM Assumptions'!Z$2,'RES Assumptions T15'!$V$3:$W$35,2,FALSE),'COM Assumptions T15'!$E$2:$S$2,0))</f>
        <v>0.38</v>
      </c>
      <c r="AA46" s="9">
        <f ca="1">OFFSET('COM Assumptions T15'!$D46,0,MATCH(VLOOKUP('COM Assumptions'!AA$2,'RES Assumptions T15'!$V$3:$W$35,2,FALSE),'COM Assumptions T15'!$E$2:$S$2,0))</f>
        <v>0.36</v>
      </c>
      <c r="AB46" s="9">
        <f ca="1">OFFSET('COM Assumptions T15'!$D46,0,MATCH(VLOOKUP('COM Assumptions'!AB$2,'RES Assumptions T15'!$V$3:$W$35,2,FALSE),'COM Assumptions T15'!$E$2:$S$2,0))</f>
        <v>0.39</v>
      </c>
      <c r="AC46" s="9">
        <f ca="1">OFFSET('COM Assumptions T15'!$D46,0,MATCH(VLOOKUP('COM Assumptions'!AC$2,'RES Assumptions T15'!$V$3:$W$35,2,FALSE),'COM Assumptions T15'!$E$2:$S$2,0))</f>
        <v>0.4</v>
      </c>
      <c r="AD46" s="9">
        <f ca="1">OFFSET('COM Assumptions T15'!$D46,0,MATCH(VLOOKUP('COM Assumptions'!AD$2,'RES Assumptions T15'!$V$3:$W$35,2,FALSE),'COM Assumptions T15'!$E$2:$S$2,0))</f>
        <v>0.36</v>
      </c>
      <c r="AE46" s="9">
        <f ca="1">OFFSET('COM Assumptions T15'!$D46,0,MATCH(VLOOKUP('COM Assumptions'!AE$2,'RES Assumptions T15'!$V$3:$W$35,2,FALSE),'COM Assumptions T15'!$E$2:$S$2,0))</f>
        <v>0.4</v>
      </c>
      <c r="AF46" s="9">
        <f ca="1">OFFSET('COM Assumptions T15'!$D46,0,MATCH(VLOOKUP('COM Assumptions'!AF$2,'RES Assumptions T15'!$V$3:$W$35,2,FALSE),'COM Assumptions T15'!$E$2:$S$2,0))</f>
        <v>0.39</v>
      </c>
      <c r="AG46" s="9">
        <f ca="1">OFFSET('COM Assumptions T15'!$D46,0,MATCH(VLOOKUP('COM Assumptions'!AG$2,'RES Assumptions T15'!$V$3:$W$35,2,FALSE),'COM Assumptions T15'!$E$2:$S$2,0))</f>
        <v>0.39595432418647619</v>
      </c>
      <c r="AH46" s="9">
        <f ca="1">OFFSET('COM Assumptions T15'!$D46,0,MATCH(VLOOKUP('COM Assumptions'!AH$2,'RES Assumptions T15'!$V$3:$W$35,2,FALSE),'COM Assumptions T15'!$E$2:$S$2,0))</f>
        <v>0.39595432418647619</v>
      </c>
      <c r="AI46" s="1" t="str">
        <f t="shared" si="18"/>
        <v>CLA</v>
      </c>
      <c r="AJ46" s="2">
        <f t="shared" ca="1" si="19"/>
        <v>7169.217140880226</v>
      </c>
      <c r="AK46" s="10">
        <f ca="1">IFERROR(SUMIFS('COM balance'!E$5:E$25,'COM balance'!$D$5:$D$25,'COM Assumptions'!$A46)*E46,"")</f>
        <v>76.563705126239995</v>
      </c>
      <c r="AL46" s="10">
        <f ca="1">IFERROR(SUMIFS('COM balance'!F$5:F$25,'COM balance'!$D$5:$D$25,'COM Assumptions'!$A46)*F46,"")</f>
        <v>47.199976885440002</v>
      </c>
      <c r="AM46" s="10">
        <f ca="1">IFERROR(SUMIFS('COM balance'!G$5:G$25,'COM balance'!$D$5:$D$25,'COM Assumptions'!$A46)*G46,"")</f>
        <v>65.642520643560005</v>
      </c>
      <c r="AN46" s="10">
        <f ca="1">IFERROR(SUMIFS('COM balance'!H$5:H$25,'COM balance'!$D$5:$D$25,'COM Assumptions'!$A46)*H46,"")</f>
        <v>39.061760456160002</v>
      </c>
      <c r="AO46" s="10">
        <f ca="1">IFERROR(SUMIFS('COM balance'!I$5:I$25,'COM balance'!$D$5:$D$25,'COM Assumptions'!$A46)*I46,"")</f>
        <v>691.47446253840008</v>
      </c>
      <c r="AP46" s="10">
        <f ca="1">IFERROR(SUMIFS('COM balance'!J$5:J$25,'COM balance'!$D$5:$D$25,'COM Assumptions'!$A46)*J46,"")</f>
        <v>408.13818565212</v>
      </c>
      <c r="AQ46" s="10">
        <f ca="1">IFERROR(SUMIFS('COM balance'!K$5:K$25,'COM balance'!$D$5:$D$25,'COM Assumptions'!$A46)*K46,"")</f>
        <v>87.275686935959996</v>
      </c>
      <c r="AR46" s="10">
        <f ca="1">IFERROR(SUMIFS('COM balance'!L$5:L$25,'COM balance'!$D$5:$D$25,'COM Assumptions'!$A46)*L46,"")</f>
        <v>213.25580183375999</v>
      </c>
      <c r="AS46" s="10">
        <f ca="1">IFERROR(SUMIFS('COM balance'!M$5:M$25,'COM balance'!$D$5:$D$25,'COM Assumptions'!$A46)*M46,"")</f>
        <v>207.04132822982399</v>
      </c>
      <c r="AT46" s="10">
        <f ca="1">IFERROR(SUMIFS('COM balance'!N$5:N$25,'COM balance'!$D$5:$D$25,'COM Assumptions'!$A46)*N46,"")</f>
        <v>1052.6213276006399</v>
      </c>
      <c r="AU46" s="10">
        <f ca="1">IFERROR(SUMIFS('COM balance'!O$5:O$25,'COM balance'!$D$5:$D$25,'COM Assumptions'!$A46)*O46,"")</f>
        <v>77.679085267836001</v>
      </c>
      <c r="AV46" s="10">
        <f ca="1">IFERROR(SUMIFS('COM balance'!P$5:P$25,'COM balance'!$D$5:$D$25,'COM Assumptions'!$A46)*P46,"")</f>
        <v>135.04446697824002</v>
      </c>
      <c r="AW46" s="10">
        <f ca="1">IFERROR(SUMIFS('COM balance'!Q$5:Q$25,'COM balance'!$D$5:$D$25,'COM Assumptions'!$A46)*Q46,"")</f>
        <v>102.746936148012</v>
      </c>
      <c r="AX46" s="10">
        <f ca="1">IFERROR(SUMIFS('COM balance'!R$5:R$25,'COM balance'!$D$5:$D$25,'COM Assumptions'!$A46)*R46,"")</f>
        <v>154.98856632121201</v>
      </c>
      <c r="AY46" s="10">
        <f ca="1">IFERROR(SUMIFS('COM balance'!S$5:S$25,'COM balance'!$D$5:$D$25,'COM Assumptions'!$A46)*S46,"")</f>
        <v>51.226656906240002</v>
      </c>
      <c r="AZ46" s="10">
        <f ca="1">IFERROR(SUMIFS('COM balance'!T$5:T$25,'COM balance'!$D$5:$D$25,'COM Assumptions'!$A46)*T46,"")</f>
        <v>127.86189970694402</v>
      </c>
      <c r="BA46" s="10">
        <f ca="1">IFERROR(SUMIFS('COM balance'!U$5:U$25,'COM balance'!$D$5:$D$25,'COM Assumptions'!$A46)*U46,"")</f>
        <v>176.59281266942401</v>
      </c>
      <c r="BB46" s="10">
        <f ca="1">IFERROR(SUMIFS('COM balance'!V$5:V$25,'COM balance'!$D$5:$D$25,'COM Assumptions'!$A46)*V46,"")</f>
        <v>191.79914093917202</v>
      </c>
      <c r="BC46" s="10">
        <f ca="1">IFERROR(SUMIFS('COM balance'!W$5:W$25,'COM balance'!$D$5:$D$25,'COM Assumptions'!$A46)*W46,"")</f>
        <v>182.48349657844801</v>
      </c>
      <c r="BD46" s="10">
        <f ca="1">IFERROR(SUMIFS('COM balance'!X$5:X$25,'COM balance'!$D$5:$D$25,'COM Assumptions'!$A46)*X46,"")</f>
        <v>163.66966714512</v>
      </c>
      <c r="BE46" s="10">
        <f ca="1">IFERROR(SUMIFS('COM balance'!Y$5:Y$25,'COM balance'!$D$5:$D$25,'COM Assumptions'!$A46)*Y46,"")</f>
        <v>135.104071854024</v>
      </c>
      <c r="BF46" s="10">
        <f ca="1">IFERROR(SUMIFS('COM balance'!Z$5:Z$25,'COM balance'!$D$5:$D$25,'COM Assumptions'!$A46)*Z46,"")</f>
        <v>39.284171227080002</v>
      </c>
      <c r="BG46" s="10">
        <f ca="1">IFERROR(SUMIFS('COM balance'!AA$5:AA$25,'COM balance'!$D$5:$D$25,'COM Assumptions'!$A46)*AA46,"")</f>
        <v>200.73056944651199</v>
      </c>
      <c r="BH46" s="10">
        <f ca="1">IFERROR(SUMIFS('COM balance'!AB$5:AB$25,'COM balance'!$D$5:$D$25,'COM Assumptions'!$A46)*AB46,"")</f>
        <v>38.688692418324003</v>
      </c>
      <c r="BI46" s="10">
        <f ca="1">IFERROR(SUMIFS('COM balance'!AC$5:AC$25,'COM balance'!$D$5:$D$25,'COM Assumptions'!$A46)*AC46,"")</f>
        <v>220.13121574368003</v>
      </c>
      <c r="BJ46" s="10">
        <f ca="1">IFERROR(SUMIFS('COM balance'!AD$5:AD$25,'COM balance'!$D$5:$D$25,'COM Assumptions'!$A46)*AD46,"")</f>
        <v>158.62333870900798</v>
      </c>
      <c r="BK46" s="10">
        <f ca="1">IFERROR(SUMIFS('COM balance'!AE$5:AE$25,'COM balance'!$D$5:$D$25,'COM Assumptions'!$A46)*AE46,"")</f>
        <v>53.43494939712</v>
      </c>
      <c r="BL46" s="10">
        <f ca="1">IFERROR(SUMIFS('COM balance'!AF$5:AF$25,'COM balance'!$D$5:$D$25,'COM Assumptions'!$A46)*AF46,"")</f>
        <v>126.52937001104401</v>
      </c>
      <c r="BM46" s="10">
        <f ca="1">IFERROR(SUMIFS('COM balance'!AG$5:AG$25,'COM balance'!$D$5:$D$25,'COM Assumptions'!$A46)*AG46,"")</f>
        <v>1944.3232775106819</v>
      </c>
      <c r="BN46" s="10">
        <f ca="1">IFERROR(SUMIFS('COM balance'!AH$5:AH$25,'COM balance'!$D$5:$D$25,'COM Assumptions'!$A46)*AH46,"")</f>
        <v>0</v>
      </c>
      <c r="BO46" s="2"/>
    </row>
    <row r="47" spans="1:67" x14ac:dyDescent="0.45">
      <c r="A47" s="8" t="str">
        <f>VLOOKUP(C47,'COM balance'!$AM$5:$AN$25,2,FALSE)</f>
        <v>COMELC</v>
      </c>
      <c r="B47" s="36"/>
      <c r="C47" s="20" t="s">
        <v>34</v>
      </c>
      <c r="D47" s="41" t="s">
        <v>86</v>
      </c>
      <c r="E47" s="25">
        <f ca="1">OFFSET('COM Assumptions T15'!$D47,0,MATCH(VLOOKUP('COM Assumptions'!E$2,'RES Assumptions T15'!$V$3:$W$35,2,FALSE),'COM Assumptions T15'!$E$2:$S$2,0))</f>
        <v>0.05</v>
      </c>
      <c r="F47" s="25">
        <f ca="1">OFFSET('COM Assumptions T15'!$D47,0,MATCH(VLOOKUP('COM Assumptions'!F$2,'RES Assumptions T15'!$V$3:$W$35,2,FALSE),'COM Assumptions T15'!$E$2:$S$2,0))</f>
        <v>0.05</v>
      </c>
      <c r="G47" s="25">
        <f ca="1">OFFSET('COM Assumptions T15'!$D47,0,MATCH(VLOOKUP('COM Assumptions'!G$2,'RES Assumptions T15'!$V$3:$W$35,2,FALSE),'COM Assumptions T15'!$E$2:$S$2,0))</f>
        <v>0.02</v>
      </c>
      <c r="H47" s="25">
        <f ca="1">OFFSET('COM Assumptions T15'!$D47,0,MATCH(VLOOKUP('COM Assumptions'!H$2,'RES Assumptions T15'!$V$3:$W$35,2,FALSE),'COM Assumptions T15'!$E$2:$S$2,0))</f>
        <v>0.03</v>
      </c>
      <c r="I47" s="25">
        <f ca="1">OFFSET('COM Assumptions T15'!$D47,0,MATCH(VLOOKUP('COM Assumptions'!I$2,'RES Assumptions T15'!$V$3:$W$35,2,FALSE),'COM Assumptions T15'!$E$2:$S$2,0))</f>
        <v>0</v>
      </c>
      <c r="J47" s="25">
        <f ca="1">OFFSET('COM Assumptions T15'!$D47,0,MATCH(VLOOKUP('COM Assumptions'!J$2,'RES Assumptions T15'!$V$3:$W$35,2,FALSE),'COM Assumptions T15'!$E$2:$S$2,0))</f>
        <v>0.01</v>
      </c>
      <c r="K47" s="25">
        <f ca="1">OFFSET('COM Assumptions T15'!$D47,0,MATCH(VLOOKUP('COM Assumptions'!K$2,'RES Assumptions T15'!$V$3:$W$35,2,FALSE),'COM Assumptions T15'!$E$2:$S$2,0))</f>
        <v>0.05</v>
      </c>
      <c r="L47" s="25">
        <f ca="1">OFFSET('COM Assumptions T15'!$D47,0,MATCH(VLOOKUP('COM Assumptions'!L$2,'RES Assumptions T15'!$V$3:$W$35,2,FALSE),'COM Assumptions T15'!$E$2:$S$2,0))</f>
        <v>0.02</v>
      </c>
      <c r="M47" s="25">
        <f ca="1">OFFSET('COM Assumptions T15'!$D47,0,MATCH(VLOOKUP('COM Assumptions'!M$2,'RES Assumptions T15'!$V$3:$W$35,2,FALSE),'COM Assumptions T15'!$E$2:$S$2,0))</f>
        <v>0.04</v>
      </c>
      <c r="N47" s="25">
        <f ca="1">OFFSET('COM Assumptions T15'!$D47,0,MATCH(VLOOKUP('COM Assumptions'!N$2,'RES Assumptions T15'!$V$3:$W$35,2,FALSE),'COM Assumptions T15'!$E$2:$S$2,0))</f>
        <v>0.05</v>
      </c>
      <c r="O47" s="25">
        <f ca="1">OFFSET('COM Assumptions T15'!$D47,0,MATCH(VLOOKUP('COM Assumptions'!O$2,'RES Assumptions T15'!$V$3:$W$35,2,FALSE),'COM Assumptions T15'!$E$2:$S$2,0))</f>
        <v>0.04</v>
      </c>
      <c r="P47" s="9">
        <f ca="1">OFFSET('COM Assumptions T15'!$D47,0,MATCH(VLOOKUP('COM Assumptions'!P$2,'RES Assumptions T15'!$V$3:$W$35,2,FALSE),'COM Assumptions T15'!$E$2:$S$2,0))</f>
        <v>0.03</v>
      </c>
      <c r="Q47" s="9">
        <f ca="1">OFFSET('COM Assumptions T15'!$D47,0,MATCH(VLOOKUP('COM Assumptions'!Q$2,'RES Assumptions T15'!$V$3:$W$35,2,FALSE),'COM Assumptions T15'!$E$2:$S$2,0))</f>
        <v>0.04</v>
      </c>
      <c r="R47" s="9">
        <f ca="1">OFFSET('COM Assumptions T15'!$D47,0,MATCH(VLOOKUP('COM Assumptions'!R$2,'RES Assumptions T15'!$V$3:$W$35,2,FALSE),'COM Assumptions T15'!$E$2:$S$2,0))</f>
        <v>0.04</v>
      </c>
      <c r="S47" s="9">
        <f ca="1">OFFSET('COM Assumptions T15'!$D47,0,MATCH(VLOOKUP('COM Assumptions'!S$2,'RES Assumptions T15'!$V$3:$W$35,2,FALSE),'COM Assumptions T15'!$E$2:$S$2,0))</f>
        <v>0.03</v>
      </c>
      <c r="T47" s="9">
        <f ca="1">OFFSET('COM Assumptions T15'!$D47,0,MATCH(VLOOKUP('COM Assumptions'!T$2,'RES Assumptions T15'!$V$3:$W$35,2,FALSE),'COM Assumptions T15'!$E$2:$S$2,0))</f>
        <v>0.04</v>
      </c>
      <c r="U47" s="9">
        <f ca="1">OFFSET('COM Assumptions T15'!$D47,0,MATCH(VLOOKUP('COM Assumptions'!U$2,'RES Assumptions T15'!$V$3:$W$35,2,FALSE),'COM Assumptions T15'!$E$2:$S$2,0))</f>
        <v>0.03</v>
      </c>
      <c r="V47" s="9">
        <f ca="1">OFFSET('COM Assumptions T15'!$D47,0,MATCH(VLOOKUP('COM Assumptions'!V$2,'RES Assumptions T15'!$V$3:$W$35,2,FALSE),'COM Assumptions T15'!$E$2:$S$2,0))</f>
        <v>0.04</v>
      </c>
      <c r="W47" s="9">
        <f ca="1">OFFSET('COM Assumptions T15'!$D47,0,MATCH(VLOOKUP('COM Assumptions'!W$2,'RES Assumptions T15'!$V$3:$W$35,2,FALSE),'COM Assumptions T15'!$E$2:$S$2,0))</f>
        <v>0.04</v>
      </c>
      <c r="X47" s="9">
        <f ca="1">OFFSET('COM Assumptions T15'!$D47,0,MATCH(VLOOKUP('COM Assumptions'!X$2,'RES Assumptions T15'!$V$3:$W$35,2,FALSE),'COM Assumptions T15'!$E$2:$S$2,0))</f>
        <v>0.03</v>
      </c>
      <c r="Y47" s="9">
        <f ca="1">OFFSET('COM Assumptions T15'!$D47,0,MATCH(VLOOKUP('COM Assumptions'!Y$2,'RES Assumptions T15'!$V$3:$W$35,2,FALSE),'COM Assumptions T15'!$E$2:$S$2,0))</f>
        <v>0.02</v>
      </c>
      <c r="Z47" s="9">
        <f ca="1">OFFSET('COM Assumptions T15'!$D47,0,MATCH(VLOOKUP('COM Assumptions'!Z$2,'RES Assumptions T15'!$V$3:$W$35,2,FALSE),'COM Assumptions T15'!$E$2:$S$2,0))</f>
        <v>0.02</v>
      </c>
      <c r="AA47" s="9">
        <f ca="1">OFFSET('COM Assumptions T15'!$D47,0,MATCH(VLOOKUP('COM Assumptions'!AA$2,'RES Assumptions T15'!$V$3:$W$35,2,FALSE),'COM Assumptions T15'!$E$2:$S$2,0))</f>
        <v>0.03</v>
      </c>
      <c r="AB47" s="9">
        <f ca="1">OFFSET('COM Assumptions T15'!$D47,0,MATCH(VLOOKUP('COM Assumptions'!AB$2,'RES Assumptions T15'!$V$3:$W$35,2,FALSE),'COM Assumptions T15'!$E$2:$S$2,0))</f>
        <v>0.04</v>
      </c>
      <c r="AC47" s="9">
        <f ca="1">OFFSET('COM Assumptions T15'!$D47,0,MATCH(VLOOKUP('COM Assumptions'!AC$2,'RES Assumptions T15'!$V$3:$W$35,2,FALSE),'COM Assumptions T15'!$E$2:$S$2,0))</f>
        <v>0.03</v>
      </c>
      <c r="AD47" s="9">
        <f ca="1">OFFSET('COM Assumptions T15'!$D47,0,MATCH(VLOOKUP('COM Assumptions'!AD$2,'RES Assumptions T15'!$V$3:$W$35,2,FALSE),'COM Assumptions T15'!$E$2:$S$2,0))</f>
        <v>0.03</v>
      </c>
      <c r="AE47" s="9">
        <f ca="1">OFFSET('COM Assumptions T15'!$D47,0,MATCH(VLOOKUP('COM Assumptions'!AE$2,'RES Assumptions T15'!$V$3:$W$35,2,FALSE),'COM Assumptions T15'!$E$2:$S$2,0))</f>
        <v>0.05</v>
      </c>
      <c r="AF47" s="9">
        <f ca="1">OFFSET('COM Assumptions T15'!$D47,0,MATCH(VLOOKUP('COM Assumptions'!AF$2,'RES Assumptions T15'!$V$3:$W$35,2,FALSE),'COM Assumptions T15'!$E$2:$S$2,0))</f>
        <v>0.04</v>
      </c>
      <c r="AG47" s="9">
        <f ca="1">OFFSET('COM Assumptions T15'!$D47,0,MATCH(VLOOKUP('COM Assumptions'!AG$2,'RES Assumptions T15'!$V$3:$W$35,2,FALSE),'COM Assumptions T15'!$E$2:$S$2,0))</f>
        <v>1.0313924754943369E-2</v>
      </c>
      <c r="AH47" s="9">
        <f ca="1">OFFSET('COM Assumptions T15'!$D47,0,MATCH(VLOOKUP('COM Assumptions'!AH$2,'RES Assumptions T15'!$V$3:$W$35,2,FALSE),'COM Assumptions T15'!$E$2:$S$2,0))</f>
        <v>1.0313924754943369E-2</v>
      </c>
      <c r="AI47" s="1" t="str">
        <f t="shared" si="18"/>
        <v>CCK</v>
      </c>
      <c r="AJ47" s="2">
        <f t="shared" ca="1" si="19"/>
        <v>423.49358081087337</v>
      </c>
      <c r="AK47" s="10">
        <f ca="1">IFERROR(SUMIFS('COM balance'!E$5:E$25,'COM balance'!$D$5:$D$25,'COM Assumptions'!$A47)*E47,"")</f>
        <v>9.5704631407799994</v>
      </c>
      <c r="AL47" s="10">
        <f ca="1">IFERROR(SUMIFS('COM balance'!F$5:F$25,'COM balance'!$D$5:$D$25,'COM Assumptions'!$A47)*F47,"")</f>
        <v>5.8999971106800002</v>
      </c>
      <c r="AM47" s="10">
        <f ca="1">IFERROR(SUMIFS('COM balance'!G$5:G$25,'COM balance'!$D$5:$D$25,'COM Assumptions'!$A47)*G47,"")</f>
        <v>3.1258343163600002</v>
      </c>
      <c r="AN47" s="10">
        <f ca="1">IFERROR(SUMIFS('COM balance'!H$5:H$25,'COM balance'!$D$5:$D$25,'COM Assumptions'!$A47)*H47,"")</f>
        <v>2.9296320342119997</v>
      </c>
      <c r="AO47" s="10">
        <f ca="1">IFERROR(SUMIFS('COM balance'!I$5:I$25,'COM balance'!$D$5:$D$25,'COM Assumptions'!$A47)*I47,"")</f>
        <v>0</v>
      </c>
      <c r="AP47" s="10">
        <f ca="1">IFERROR(SUMIFS('COM balance'!J$5:J$25,'COM balance'!$D$5:$D$25,'COM Assumptions'!$A47)*J47,"")</f>
        <v>11.661091018632002</v>
      </c>
      <c r="AQ47" s="10">
        <f ca="1">IFERROR(SUMIFS('COM balance'!K$5:K$25,'COM balance'!$D$5:$D$25,'COM Assumptions'!$A47)*K47,"")</f>
        <v>14.545947822660001</v>
      </c>
      <c r="AR47" s="10">
        <f ca="1">IFERROR(SUMIFS('COM balance'!L$5:L$25,'COM balance'!$D$5:$D$25,'COM Assumptions'!$A47)*L47,"")</f>
        <v>10.15503818256</v>
      </c>
      <c r="AS47" s="10">
        <f ca="1">IFERROR(SUMIFS('COM balance'!M$5:M$25,'COM balance'!$D$5:$D$25,'COM Assumptions'!$A47)*M47,"")</f>
        <v>21.793824024191998</v>
      </c>
      <c r="AT47" s="10">
        <f ca="1">IFERROR(SUMIFS('COM balance'!N$5:N$25,'COM balance'!$D$5:$D$25,'COM Assumptions'!$A47)*N47,"")</f>
        <v>87.718443966720002</v>
      </c>
      <c r="AU47" s="10">
        <f ca="1">IFERROR(SUMIFS('COM balance'!O$5:O$25,'COM balance'!$D$5:$D$25,'COM Assumptions'!$A47)*O47,"")</f>
        <v>7.9670856684959999</v>
      </c>
      <c r="AV47" s="10">
        <f ca="1">IFERROR(SUMIFS('COM balance'!P$5:P$25,'COM balance'!$D$5:$D$25,'COM Assumptions'!$A47)*P47,"")</f>
        <v>10.128335023368001</v>
      </c>
      <c r="AW47" s="10">
        <f ca="1">IFERROR(SUMIFS('COM balance'!Q$5:Q$25,'COM balance'!$D$5:$D$25,'COM Assumptions'!$A47)*Q47,"")</f>
        <v>10.538147297231999</v>
      </c>
      <c r="AX47" s="10">
        <f ca="1">IFERROR(SUMIFS('COM balance'!R$5:R$25,'COM balance'!$D$5:$D$25,'COM Assumptions'!$A47)*R47,"")</f>
        <v>15.896263212432</v>
      </c>
      <c r="AY47" s="10">
        <f ca="1">IFERROR(SUMIFS('COM balance'!S$5:S$25,'COM balance'!$D$5:$D$25,'COM Assumptions'!$A47)*S47,"")</f>
        <v>3.8419992679679997</v>
      </c>
      <c r="AZ47" s="10">
        <f ca="1">IFERROR(SUMIFS('COM balance'!T$5:T$25,'COM balance'!$D$5:$D$25,'COM Assumptions'!$A47)*T47,"")</f>
        <v>13.114040995584</v>
      </c>
      <c r="BA47" s="10">
        <f ca="1">IFERROR(SUMIFS('COM balance'!U$5:U$25,'COM balance'!$D$5:$D$25,'COM Assumptions'!$A47)*U47,"")</f>
        <v>14.716067722451999</v>
      </c>
      <c r="BB47" s="10">
        <f ca="1">IFERROR(SUMIFS('COM balance'!V$5:V$25,'COM balance'!$D$5:$D$25,'COM Assumptions'!$A47)*V47,"")</f>
        <v>19.671706762992002</v>
      </c>
      <c r="BC47" s="10">
        <f ca="1">IFERROR(SUMIFS('COM balance'!W$5:W$25,'COM balance'!$D$5:$D$25,'COM Assumptions'!$A47)*W47,"")</f>
        <v>18.716256059328</v>
      </c>
      <c r="BD47" s="10">
        <f ca="1">IFERROR(SUMIFS('COM balance'!X$5:X$25,'COM balance'!$D$5:$D$25,'COM Assumptions'!$A47)*X47,"")</f>
        <v>12.275225035884</v>
      </c>
      <c r="BE47" s="10">
        <f ca="1">IFERROR(SUMIFS('COM balance'!Y$5:Y$25,'COM balance'!$D$5:$D$25,'COM Assumptions'!$A47)*Y47,"")</f>
        <v>6.4335272311439997</v>
      </c>
      <c r="BF47" s="10">
        <f ca="1">IFERROR(SUMIFS('COM balance'!Z$5:Z$25,'COM balance'!$D$5:$D$25,'COM Assumptions'!$A47)*Z47,"")</f>
        <v>2.0675879593199999</v>
      </c>
      <c r="BG47" s="10">
        <f ca="1">IFERROR(SUMIFS('COM balance'!AA$5:AA$25,'COM balance'!$D$5:$D$25,'COM Assumptions'!$A47)*AA47,"")</f>
        <v>16.727547453875999</v>
      </c>
      <c r="BH47" s="10">
        <f ca="1">IFERROR(SUMIFS('COM balance'!AB$5:AB$25,'COM balance'!$D$5:$D$25,'COM Assumptions'!$A47)*AB47,"")</f>
        <v>3.9680710172640001</v>
      </c>
      <c r="BI47" s="10">
        <f ca="1">IFERROR(SUMIFS('COM balance'!AC$5:AC$25,'COM balance'!$D$5:$D$25,'COM Assumptions'!$A47)*AC47,"")</f>
        <v>16.509841180776</v>
      </c>
      <c r="BJ47" s="10">
        <f ca="1">IFERROR(SUMIFS('COM balance'!AD$5:AD$25,'COM balance'!$D$5:$D$25,'COM Assumptions'!$A47)*AD47,"")</f>
        <v>13.218611559084</v>
      </c>
      <c r="BK47" s="10">
        <f ca="1">IFERROR(SUMIFS('COM balance'!AE$5:AE$25,'COM balance'!$D$5:$D$25,'COM Assumptions'!$A47)*AE47,"")</f>
        <v>6.6793686746400001</v>
      </c>
      <c r="BL47" s="10">
        <f ca="1">IFERROR(SUMIFS('COM balance'!AF$5:AF$25,'COM balance'!$D$5:$D$25,'COM Assumptions'!$A47)*AF47,"")</f>
        <v>12.977371283184</v>
      </c>
      <c r="BM47" s="10">
        <f ca="1">IFERROR(SUMIFS('COM balance'!AG$5:AG$25,'COM balance'!$D$5:$D$25,'COM Assumptions'!$A47)*AG47,"")</f>
        <v>50.646255789053399</v>
      </c>
      <c r="BN47" s="10">
        <f ca="1">IFERROR(SUMIFS('COM balance'!AH$5:AH$25,'COM balance'!$D$5:$D$25,'COM Assumptions'!$A47)*AH47,"")</f>
        <v>0</v>
      </c>
      <c r="BO47" s="2"/>
    </row>
    <row r="48" spans="1:67" x14ac:dyDescent="0.45">
      <c r="A48" s="8" t="str">
        <f>VLOOKUP(C48,'COM balance'!$AM$5:$AN$25,2,FALSE)</f>
        <v>COMELC</v>
      </c>
      <c r="B48" s="36"/>
      <c r="C48" s="20" t="s">
        <v>34</v>
      </c>
      <c r="D48" s="41" t="s">
        <v>87</v>
      </c>
      <c r="E48" s="25">
        <f ca="1">OFFSET('COM Assumptions T15'!$D48,0,MATCH(VLOOKUP('COM Assumptions'!E$2,'RES Assumptions T15'!$V$3:$W$35,2,FALSE),'COM Assumptions T15'!$E$2:$S$2,0))</f>
        <v>0.15</v>
      </c>
      <c r="F48" s="25">
        <f ca="1">OFFSET('COM Assumptions T15'!$D48,0,MATCH(VLOOKUP('COM Assumptions'!F$2,'RES Assumptions T15'!$V$3:$W$35,2,FALSE),'COM Assumptions T15'!$E$2:$S$2,0))</f>
        <v>0.15</v>
      </c>
      <c r="G48" s="25">
        <f ca="1">OFFSET('COM Assumptions T15'!$D48,0,MATCH(VLOOKUP('COM Assumptions'!G$2,'RES Assumptions T15'!$V$3:$W$35,2,FALSE),'COM Assumptions T15'!$E$2:$S$2,0))</f>
        <v>0.24</v>
      </c>
      <c r="H48" s="25">
        <f ca="1">OFFSET('COM Assumptions T15'!$D48,0,MATCH(VLOOKUP('COM Assumptions'!H$2,'RES Assumptions T15'!$V$3:$W$35,2,FALSE),'COM Assumptions T15'!$E$2:$S$2,0))</f>
        <v>0.1</v>
      </c>
      <c r="I48" s="25">
        <f ca="1">OFFSET('COM Assumptions T15'!$D48,0,MATCH(VLOOKUP('COM Assumptions'!I$2,'RES Assumptions T15'!$V$3:$W$35,2,FALSE),'COM Assumptions T15'!$E$2:$S$2,0))</f>
        <v>0.09</v>
      </c>
      <c r="J48" s="25">
        <f ca="1">OFFSET('COM Assumptions T15'!$D48,0,MATCH(VLOOKUP('COM Assumptions'!J$2,'RES Assumptions T15'!$V$3:$W$35,2,FALSE),'COM Assumptions T15'!$E$2:$S$2,0))</f>
        <v>0.2</v>
      </c>
      <c r="K48" s="25">
        <f ca="1">OFFSET('COM Assumptions T15'!$D48,0,MATCH(VLOOKUP('COM Assumptions'!K$2,'RES Assumptions T15'!$V$3:$W$35,2,FALSE),'COM Assumptions T15'!$E$2:$S$2,0))</f>
        <v>0.2</v>
      </c>
      <c r="L48" s="25">
        <f ca="1">OFFSET('COM Assumptions T15'!$D48,0,MATCH(VLOOKUP('COM Assumptions'!L$2,'RES Assumptions T15'!$V$3:$W$35,2,FALSE),'COM Assumptions T15'!$E$2:$S$2,0))</f>
        <v>0.24</v>
      </c>
      <c r="M48" s="25">
        <f ca="1">OFFSET('COM Assumptions T15'!$D48,0,MATCH(VLOOKUP('COM Assumptions'!M$2,'RES Assumptions T15'!$V$3:$W$35,2,FALSE),'COM Assumptions T15'!$E$2:$S$2,0))</f>
        <v>0.05</v>
      </c>
      <c r="N48" s="25">
        <f ca="1">OFFSET('COM Assumptions T15'!$D48,0,MATCH(VLOOKUP('COM Assumptions'!N$2,'RES Assumptions T15'!$V$3:$W$35,2,FALSE),'COM Assumptions T15'!$E$2:$S$2,0))</f>
        <v>0.08</v>
      </c>
      <c r="O48" s="25">
        <f ca="1">OFFSET('COM Assumptions T15'!$D48,0,MATCH(VLOOKUP('COM Assumptions'!O$2,'RES Assumptions T15'!$V$3:$W$35,2,FALSE),'COM Assumptions T15'!$E$2:$S$2,0))</f>
        <v>0.09</v>
      </c>
      <c r="P48" s="9">
        <f ca="1">OFFSET('COM Assumptions T15'!$D48,0,MATCH(VLOOKUP('COM Assumptions'!P$2,'RES Assumptions T15'!$V$3:$W$35,2,FALSE),'COM Assumptions T15'!$E$2:$S$2,0))</f>
        <v>0.1</v>
      </c>
      <c r="Q48" s="9">
        <f ca="1">OFFSET('COM Assumptions T15'!$D48,0,MATCH(VLOOKUP('COM Assumptions'!Q$2,'RES Assumptions T15'!$V$3:$W$35,2,FALSE),'COM Assumptions T15'!$E$2:$S$2,0))</f>
        <v>0.09</v>
      </c>
      <c r="R48" s="9">
        <f ca="1">OFFSET('COM Assumptions T15'!$D48,0,MATCH(VLOOKUP('COM Assumptions'!R$2,'RES Assumptions T15'!$V$3:$W$35,2,FALSE),'COM Assumptions T15'!$E$2:$S$2,0))</f>
        <v>0.09</v>
      </c>
      <c r="S48" s="9">
        <f ca="1">OFFSET('COM Assumptions T15'!$D48,0,MATCH(VLOOKUP('COM Assumptions'!S$2,'RES Assumptions T15'!$V$3:$W$35,2,FALSE),'COM Assumptions T15'!$E$2:$S$2,0))</f>
        <v>0.1</v>
      </c>
      <c r="T48" s="9">
        <f ca="1">OFFSET('COM Assumptions T15'!$D48,0,MATCH(VLOOKUP('COM Assumptions'!T$2,'RES Assumptions T15'!$V$3:$W$35,2,FALSE),'COM Assumptions T15'!$E$2:$S$2,0))</f>
        <v>0.09</v>
      </c>
      <c r="U48" s="9">
        <f ca="1">OFFSET('COM Assumptions T15'!$D48,0,MATCH(VLOOKUP('COM Assumptions'!U$2,'RES Assumptions T15'!$V$3:$W$35,2,FALSE),'COM Assumptions T15'!$E$2:$S$2,0))</f>
        <v>0.21</v>
      </c>
      <c r="V48" s="9">
        <f ca="1">OFFSET('COM Assumptions T15'!$D48,0,MATCH(VLOOKUP('COM Assumptions'!V$2,'RES Assumptions T15'!$V$3:$W$35,2,FALSE),'COM Assumptions T15'!$E$2:$S$2,0))</f>
        <v>0.09</v>
      </c>
      <c r="W48" s="9">
        <f ca="1">OFFSET('COM Assumptions T15'!$D48,0,MATCH(VLOOKUP('COM Assumptions'!W$2,'RES Assumptions T15'!$V$3:$W$35,2,FALSE),'COM Assumptions T15'!$E$2:$S$2,0))</f>
        <v>0.09</v>
      </c>
      <c r="X48" s="9">
        <f ca="1">OFFSET('COM Assumptions T15'!$D48,0,MATCH(VLOOKUP('COM Assumptions'!X$2,'RES Assumptions T15'!$V$3:$W$35,2,FALSE),'COM Assumptions T15'!$E$2:$S$2,0))</f>
        <v>0.17</v>
      </c>
      <c r="Y48" s="9">
        <f ca="1">OFFSET('COM Assumptions T15'!$D48,0,MATCH(VLOOKUP('COM Assumptions'!Y$2,'RES Assumptions T15'!$V$3:$W$35,2,FALSE),'COM Assumptions T15'!$E$2:$S$2,0))</f>
        <v>0.24</v>
      </c>
      <c r="Z48" s="9">
        <f ca="1">OFFSET('COM Assumptions T15'!$D48,0,MATCH(VLOOKUP('COM Assumptions'!Z$2,'RES Assumptions T15'!$V$3:$W$35,2,FALSE),'COM Assumptions T15'!$E$2:$S$2,0))</f>
        <v>0.2</v>
      </c>
      <c r="AA48" s="9">
        <f ca="1">OFFSET('COM Assumptions T15'!$D48,0,MATCH(VLOOKUP('COM Assumptions'!AA$2,'RES Assumptions T15'!$V$3:$W$35,2,FALSE),'COM Assumptions T15'!$E$2:$S$2,0))</f>
        <v>0.21</v>
      </c>
      <c r="AB48" s="9">
        <f ca="1">OFFSET('COM Assumptions T15'!$D48,0,MATCH(VLOOKUP('COM Assumptions'!AB$2,'RES Assumptions T15'!$V$3:$W$35,2,FALSE),'COM Assumptions T15'!$E$2:$S$2,0))</f>
        <v>0.09</v>
      </c>
      <c r="AC48" s="9">
        <f ca="1">OFFSET('COM Assumptions T15'!$D48,0,MATCH(VLOOKUP('COM Assumptions'!AC$2,'RES Assumptions T15'!$V$3:$W$35,2,FALSE),'COM Assumptions T15'!$E$2:$S$2,0))</f>
        <v>0.1</v>
      </c>
      <c r="AD48" s="9">
        <f ca="1">OFFSET('COM Assumptions T15'!$D48,0,MATCH(VLOOKUP('COM Assumptions'!AD$2,'RES Assumptions T15'!$V$3:$W$35,2,FALSE),'COM Assumptions T15'!$E$2:$S$2,0))</f>
        <v>0.21</v>
      </c>
      <c r="AE48" s="9">
        <f ca="1">OFFSET('COM Assumptions T15'!$D48,0,MATCH(VLOOKUP('COM Assumptions'!AE$2,'RES Assumptions T15'!$V$3:$W$35,2,FALSE),'COM Assumptions T15'!$E$2:$S$2,0))</f>
        <v>0.15</v>
      </c>
      <c r="AF48" s="9">
        <f ca="1">OFFSET('COM Assumptions T15'!$D48,0,MATCH(VLOOKUP('COM Assumptions'!AF$2,'RES Assumptions T15'!$V$3:$W$35,2,FALSE),'COM Assumptions T15'!$E$2:$S$2,0))</f>
        <v>0.09</v>
      </c>
      <c r="AG48" s="9">
        <f ca="1">OFFSET('COM Assumptions T15'!$D48,0,MATCH(VLOOKUP('COM Assumptions'!AG$2,'RES Assumptions T15'!$V$3:$W$35,2,FALSE),'COM Assumptions T15'!$E$2:$S$2,0))</f>
        <v>5.9719534137051444E-2</v>
      </c>
      <c r="AH48" s="9">
        <f ca="1">OFFSET('COM Assumptions T15'!$D48,0,MATCH(VLOOKUP('COM Assumptions'!AH$2,'RES Assumptions T15'!$V$3:$W$35,2,FALSE),'COM Assumptions T15'!$E$2:$S$2,0))</f>
        <v>5.9719534137051444E-2</v>
      </c>
      <c r="AI48" s="1" t="str">
        <f t="shared" si="18"/>
        <v>CRF</v>
      </c>
      <c r="AJ48" s="2">
        <f t="shared" ca="1" si="19"/>
        <v>1956.4998591867932</v>
      </c>
      <c r="AK48" s="10">
        <f ca="1">IFERROR(SUMIFS('COM balance'!E$5:E$25,'COM balance'!$D$5:$D$25,'COM Assumptions'!$A48)*E48,"")</f>
        <v>28.711389422339998</v>
      </c>
      <c r="AL48" s="10">
        <f ca="1">IFERROR(SUMIFS('COM balance'!F$5:F$25,'COM balance'!$D$5:$D$25,'COM Assumptions'!$A48)*F48,"")</f>
        <v>17.69999133204</v>
      </c>
      <c r="AM48" s="10">
        <f ca="1">IFERROR(SUMIFS('COM balance'!G$5:G$25,'COM balance'!$D$5:$D$25,'COM Assumptions'!$A48)*G48,"")</f>
        <v>37.510011796320001</v>
      </c>
      <c r="AN48" s="10">
        <f ca="1">IFERROR(SUMIFS('COM balance'!H$5:H$25,'COM balance'!$D$5:$D$25,'COM Assumptions'!$A48)*H48,"")</f>
        <v>9.7654401140400005</v>
      </c>
      <c r="AO48" s="10">
        <f ca="1">IFERROR(SUMIFS('COM balance'!I$5:I$25,'COM balance'!$D$5:$D$25,'COM Assumptions'!$A48)*I48,"")</f>
        <v>155.58175407113998</v>
      </c>
      <c r="AP48" s="10">
        <f ca="1">IFERROR(SUMIFS('COM balance'!J$5:J$25,'COM balance'!$D$5:$D$25,'COM Assumptions'!$A48)*J48,"")</f>
        <v>233.22182037264002</v>
      </c>
      <c r="AQ48" s="10">
        <f ca="1">IFERROR(SUMIFS('COM balance'!K$5:K$25,'COM balance'!$D$5:$D$25,'COM Assumptions'!$A48)*K48,"")</f>
        <v>58.183791290640002</v>
      </c>
      <c r="AR48" s="10">
        <f ca="1">IFERROR(SUMIFS('COM balance'!L$5:L$25,'COM balance'!$D$5:$D$25,'COM Assumptions'!$A48)*L48,"")</f>
        <v>121.86045819072</v>
      </c>
      <c r="AS48" s="10">
        <f ca="1">IFERROR(SUMIFS('COM balance'!M$5:M$25,'COM balance'!$D$5:$D$25,'COM Assumptions'!$A48)*M48,"")</f>
        <v>27.24228003024</v>
      </c>
      <c r="AT48" s="10">
        <f ca="1">IFERROR(SUMIFS('COM balance'!N$5:N$25,'COM balance'!$D$5:$D$25,'COM Assumptions'!$A48)*N48,"")</f>
        <v>140.349510346752</v>
      </c>
      <c r="AU48" s="10">
        <f ca="1">IFERROR(SUMIFS('COM balance'!O$5:O$25,'COM balance'!$D$5:$D$25,'COM Assumptions'!$A48)*O48,"")</f>
        <v>17.925942754115997</v>
      </c>
      <c r="AV48" s="10">
        <f ca="1">IFERROR(SUMIFS('COM balance'!P$5:P$25,'COM balance'!$D$5:$D$25,'COM Assumptions'!$A48)*P48,"")</f>
        <v>33.761116744560006</v>
      </c>
      <c r="AW48" s="10">
        <f ca="1">IFERROR(SUMIFS('COM balance'!Q$5:Q$25,'COM balance'!$D$5:$D$25,'COM Assumptions'!$A48)*Q48,"")</f>
        <v>23.710831418771996</v>
      </c>
      <c r="AX48" s="10">
        <f ca="1">IFERROR(SUMIFS('COM balance'!R$5:R$25,'COM balance'!$D$5:$D$25,'COM Assumptions'!$A48)*R48,"")</f>
        <v>35.766592227971998</v>
      </c>
      <c r="AY48" s="10">
        <f ca="1">IFERROR(SUMIFS('COM balance'!S$5:S$25,'COM balance'!$D$5:$D$25,'COM Assumptions'!$A48)*S48,"")</f>
        <v>12.806664226560001</v>
      </c>
      <c r="AZ48" s="10">
        <f ca="1">IFERROR(SUMIFS('COM balance'!T$5:T$25,'COM balance'!$D$5:$D$25,'COM Assumptions'!$A48)*T48,"")</f>
        <v>29.506592240063998</v>
      </c>
      <c r="BA48" s="10">
        <f ca="1">IFERROR(SUMIFS('COM balance'!U$5:U$25,'COM balance'!$D$5:$D$25,'COM Assumptions'!$A48)*U48,"")</f>
        <v>103.012474057164</v>
      </c>
      <c r="BB48" s="10">
        <f ca="1">IFERROR(SUMIFS('COM balance'!V$5:V$25,'COM balance'!$D$5:$D$25,'COM Assumptions'!$A48)*V48,"")</f>
        <v>44.261340216732002</v>
      </c>
      <c r="BC48" s="10">
        <f ca="1">IFERROR(SUMIFS('COM balance'!W$5:W$25,'COM balance'!$D$5:$D$25,'COM Assumptions'!$A48)*W48,"")</f>
        <v>42.111576133488001</v>
      </c>
      <c r="BD48" s="10">
        <f ca="1">IFERROR(SUMIFS('COM balance'!X$5:X$25,'COM balance'!$D$5:$D$25,'COM Assumptions'!$A48)*X48,"")</f>
        <v>69.559608536676009</v>
      </c>
      <c r="BE48" s="10">
        <f ca="1">IFERROR(SUMIFS('COM balance'!Y$5:Y$25,'COM balance'!$D$5:$D$25,'COM Assumptions'!$A48)*Y48,"")</f>
        <v>77.202326773727989</v>
      </c>
      <c r="BF48" s="10">
        <f ca="1">IFERROR(SUMIFS('COM balance'!Z$5:Z$25,'COM balance'!$D$5:$D$25,'COM Assumptions'!$A48)*Z48,"")</f>
        <v>20.675879593200001</v>
      </c>
      <c r="BG48" s="10">
        <f ca="1">IFERROR(SUMIFS('COM balance'!AA$5:AA$25,'COM balance'!$D$5:$D$25,'COM Assumptions'!$A48)*AA48,"")</f>
        <v>117.092832177132</v>
      </c>
      <c r="BH48" s="10">
        <f ca="1">IFERROR(SUMIFS('COM balance'!AB$5:AB$25,'COM balance'!$D$5:$D$25,'COM Assumptions'!$A48)*AB48,"")</f>
        <v>8.928159788843999</v>
      </c>
      <c r="BI48" s="10">
        <f ca="1">IFERROR(SUMIFS('COM balance'!AC$5:AC$25,'COM balance'!$D$5:$D$25,'COM Assumptions'!$A48)*AC48,"")</f>
        <v>55.032803935920008</v>
      </c>
      <c r="BJ48" s="10">
        <f ca="1">IFERROR(SUMIFS('COM balance'!AD$5:AD$25,'COM balance'!$D$5:$D$25,'COM Assumptions'!$A48)*AD48,"")</f>
        <v>92.530280913588001</v>
      </c>
      <c r="BK48" s="10">
        <f ca="1">IFERROR(SUMIFS('COM balance'!AE$5:AE$25,'COM balance'!$D$5:$D$25,'COM Assumptions'!$A48)*AE48,"")</f>
        <v>20.038106023919998</v>
      </c>
      <c r="BL48" s="10">
        <f ca="1">IFERROR(SUMIFS('COM balance'!AF$5:AF$25,'COM balance'!$D$5:$D$25,'COM Assumptions'!$A48)*AF48,"")</f>
        <v>29.199085387163997</v>
      </c>
      <c r="BM48" s="10">
        <f ca="1">IFERROR(SUMIFS('COM balance'!AG$5:AG$25,'COM balance'!$D$5:$D$25,'COM Assumptions'!$A48)*AG48,"")</f>
        <v>293.25119907032143</v>
      </c>
      <c r="BN48" s="10">
        <f ca="1">IFERROR(SUMIFS('COM balance'!AH$5:AH$25,'COM balance'!$D$5:$D$25,'COM Assumptions'!$A48)*AH48,"")</f>
        <v>0</v>
      </c>
      <c r="BO48" s="2"/>
    </row>
    <row r="49" spans="1:67" x14ac:dyDescent="0.45">
      <c r="A49" s="8" t="str">
        <f>VLOOKUP(C49,'COM balance'!$AM$5:$AN$25,2,FALSE)</f>
        <v>COMELC</v>
      </c>
      <c r="B49" s="36"/>
      <c r="C49" s="20" t="s">
        <v>34</v>
      </c>
      <c r="D49" s="41" t="s">
        <v>88</v>
      </c>
      <c r="E49" s="25">
        <f ca="1">OFFSET('COM Assumptions T15'!$D49,0,MATCH(VLOOKUP('COM Assumptions'!E$2,'RES Assumptions T15'!$V$3:$W$35,2,FALSE),'COM Assumptions T15'!$E$2:$S$2,0))</f>
        <v>0.19999999999999984</v>
      </c>
      <c r="F49" s="25">
        <f ca="1">OFFSET('COM Assumptions T15'!$D49,0,MATCH(VLOOKUP('COM Assumptions'!F$2,'RES Assumptions T15'!$V$3:$W$35,2,FALSE),'COM Assumptions T15'!$E$2:$S$2,0))</f>
        <v>0.19999999999999984</v>
      </c>
      <c r="G49" s="25">
        <f ca="1">OFFSET('COM Assumptions T15'!$D49,0,MATCH(VLOOKUP('COM Assumptions'!G$2,'RES Assumptions T15'!$V$3:$W$35,2,FALSE),'COM Assumptions T15'!$E$2:$S$2,0))</f>
        <v>0.19999999999999996</v>
      </c>
      <c r="H49" s="25">
        <f ca="1">OFFSET('COM Assumptions T15'!$D49,0,MATCH(VLOOKUP('COM Assumptions'!H$2,'RES Assumptions T15'!$V$3:$W$35,2,FALSE),'COM Assumptions T15'!$E$2:$S$2,0))</f>
        <v>0.2599999999999999</v>
      </c>
      <c r="I49" s="25">
        <f ca="1">OFFSET('COM Assumptions T15'!$D49,0,MATCH(VLOOKUP('COM Assumptions'!I$2,'RES Assumptions T15'!$V$3:$W$35,2,FALSE),'COM Assumptions T15'!$E$2:$S$2,0))</f>
        <v>0.31999999999999995</v>
      </c>
      <c r="J49" s="25">
        <f ca="1">OFFSET('COM Assumptions T15'!$D49,0,MATCH(VLOOKUP('COM Assumptions'!J$2,'RES Assumptions T15'!$V$3:$W$35,2,FALSE),'COM Assumptions T15'!$E$2:$S$2,0))</f>
        <v>0.21999999999999997</v>
      </c>
      <c r="K49" s="25">
        <f ca="1">OFFSET('COM Assumptions T15'!$D49,0,MATCH(VLOOKUP('COM Assumptions'!K$2,'RES Assumptions T15'!$V$3:$W$35,2,FALSE),'COM Assumptions T15'!$E$2:$S$2,0))</f>
        <v>0.25</v>
      </c>
      <c r="L49" s="25">
        <f ca="1">OFFSET('COM Assumptions T15'!$D49,0,MATCH(VLOOKUP('COM Assumptions'!L$2,'RES Assumptions T15'!$V$3:$W$35,2,FALSE),'COM Assumptions T15'!$E$2:$S$2,0))</f>
        <v>0.19999999999999996</v>
      </c>
      <c r="M49" s="25">
        <f ca="1">OFFSET('COM Assumptions T15'!$D49,0,MATCH(VLOOKUP('COM Assumptions'!M$2,'RES Assumptions T15'!$V$3:$W$35,2,FALSE),'COM Assumptions T15'!$E$2:$S$2,0))</f>
        <v>0.19999999999999984</v>
      </c>
      <c r="N49" s="25">
        <f ca="1">OFFSET('COM Assumptions T15'!$D49,0,MATCH(VLOOKUP('COM Assumptions'!N$2,'RES Assumptions T15'!$V$3:$W$35,2,FALSE),'COM Assumptions T15'!$E$2:$S$2,0))</f>
        <v>0.20000000000000007</v>
      </c>
      <c r="O49" s="25">
        <f ca="1">OFFSET('COM Assumptions T15'!$D49,0,MATCH(VLOOKUP('COM Assumptions'!O$2,'RES Assumptions T15'!$V$3:$W$35,2,FALSE),'COM Assumptions T15'!$E$2:$S$2,0))</f>
        <v>0.17000000000000004</v>
      </c>
      <c r="P49" s="9">
        <f ca="1">OFFSET('COM Assumptions T15'!$D49,0,MATCH(VLOOKUP('COM Assumptions'!P$2,'RES Assumptions T15'!$V$3:$W$35,2,FALSE),'COM Assumptions T15'!$E$2:$S$2,0))</f>
        <v>0.2599999999999999</v>
      </c>
      <c r="Q49" s="9">
        <f ca="1">OFFSET('COM Assumptions T15'!$D49,0,MATCH(VLOOKUP('COM Assumptions'!Q$2,'RES Assumptions T15'!$V$3:$W$35,2,FALSE),'COM Assumptions T15'!$E$2:$S$2,0))</f>
        <v>0.17000000000000004</v>
      </c>
      <c r="R49" s="9">
        <f ca="1">OFFSET('COM Assumptions T15'!$D49,0,MATCH(VLOOKUP('COM Assumptions'!R$2,'RES Assumptions T15'!$V$3:$W$35,2,FALSE),'COM Assumptions T15'!$E$2:$S$2,0))</f>
        <v>0.17000000000000004</v>
      </c>
      <c r="S49" s="9">
        <f ca="1">OFFSET('COM Assumptions T15'!$D49,0,MATCH(VLOOKUP('COM Assumptions'!S$2,'RES Assumptions T15'!$V$3:$W$35,2,FALSE),'COM Assumptions T15'!$E$2:$S$2,0))</f>
        <v>0.2599999999999999</v>
      </c>
      <c r="T49" s="9">
        <f ca="1">OFFSET('COM Assumptions T15'!$D49,0,MATCH(VLOOKUP('COM Assumptions'!T$2,'RES Assumptions T15'!$V$3:$W$35,2,FALSE),'COM Assumptions T15'!$E$2:$S$2,0))</f>
        <v>0.17000000000000004</v>
      </c>
      <c r="U49" s="9">
        <f ca="1">OFFSET('COM Assumptions T15'!$D49,0,MATCH(VLOOKUP('COM Assumptions'!U$2,'RES Assumptions T15'!$V$3:$W$35,2,FALSE),'COM Assumptions T15'!$E$2:$S$2,0))</f>
        <v>0.19999999999999996</v>
      </c>
      <c r="V49" s="9">
        <f ca="1">OFFSET('COM Assumptions T15'!$D49,0,MATCH(VLOOKUP('COM Assumptions'!V$2,'RES Assumptions T15'!$V$3:$W$35,2,FALSE),'COM Assumptions T15'!$E$2:$S$2,0))</f>
        <v>0.17000000000000004</v>
      </c>
      <c r="W49" s="9">
        <f ca="1">OFFSET('COM Assumptions T15'!$D49,0,MATCH(VLOOKUP('COM Assumptions'!W$2,'RES Assumptions T15'!$V$3:$W$35,2,FALSE),'COM Assumptions T15'!$E$2:$S$2,0))</f>
        <v>0.17000000000000004</v>
      </c>
      <c r="X49" s="9">
        <f ca="1">OFFSET('COM Assumptions T15'!$D49,0,MATCH(VLOOKUP('COM Assumptions'!X$2,'RES Assumptions T15'!$V$3:$W$35,2,FALSE),'COM Assumptions T15'!$E$2:$S$2,0))</f>
        <v>0.31999999999999995</v>
      </c>
      <c r="Y49" s="9">
        <f ca="1">OFFSET('COM Assumptions T15'!$D49,0,MATCH(VLOOKUP('COM Assumptions'!Y$2,'RES Assumptions T15'!$V$3:$W$35,2,FALSE),'COM Assumptions T15'!$E$2:$S$2,0))</f>
        <v>0.19999999999999996</v>
      </c>
      <c r="Z49" s="9">
        <f ca="1">OFFSET('COM Assumptions T15'!$D49,0,MATCH(VLOOKUP('COM Assumptions'!Z$2,'RES Assumptions T15'!$V$3:$W$35,2,FALSE),'COM Assumptions T15'!$E$2:$S$2,0))</f>
        <v>0.19999999999999996</v>
      </c>
      <c r="AA49" s="9">
        <f ca="1">OFFSET('COM Assumptions T15'!$D49,0,MATCH(VLOOKUP('COM Assumptions'!AA$2,'RES Assumptions T15'!$V$3:$W$35,2,FALSE),'COM Assumptions T15'!$E$2:$S$2,0))</f>
        <v>0.19999999999999996</v>
      </c>
      <c r="AB49" s="9">
        <f ca="1">OFFSET('COM Assumptions T15'!$D49,0,MATCH(VLOOKUP('COM Assumptions'!AB$2,'RES Assumptions T15'!$V$3:$W$35,2,FALSE),'COM Assumptions T15'!$E$2:$S$2,0))</f>
        <v>0.17000000000000004</v>
      </c>
      <c r="AC49" s="9">
        <f ca="1">OFFSET('COM Assumptions T15'!$D49,0,MATCH(VLOOKUP('COM Assumptions'!AC$2,'RES Assumptions T15'!$V$3:$W$35,2,FALSE),'COM Assumptions T15'!$E$2:$S$2,0))</f>
        <v>0.2599999999999999</v>
      </c>
      <c r="AD49" s="9">
        <f ca="1">OFFSET('COM Assumptions T15'!$D49,0,MATCH(VLOOKUP('COM Assumptions'!AD$2,'RES Assumptions T15'!$V$3:$W$35,2,FALSE),'COM Assumptions T15'!$E$2:$S$2,0))</f>
        <v>0.19999999999999996</v>
      </c>
      <c r="AE49" s="9">
        <f ca="1">OFFSET('COM Assumptions T15'!$D49,0,MATCH(VLOOKUP('COM Assumptions'!AE$2,'RES Assumptions T15'!$V$3:$W$35,2,FALSE),'COM Assumptions T15'!$E$2:$S$2,0))</f>
        <v>0.19999999999999984</v>
      </c>
      <c r="AF49" s="9">
        <f ca="1">OFFSET('COM Assumptions T15'!$D49,0,MATCH(VLOOKUP('COM Assumptions'!AF$2,'RES Assumptions T15'!$V$3:$W$35,2,FALSE),'COM Assumptions T15'!$E$2:$S$2,0))</f>
        <v>0.17000000000000004</v>
      </c>
      <c r="AG49" s="9">
        <f ca="1">OFFSET('COM Assumptions T15'!$D49,0,MATCH(VLOOKUP('COM Assumptions'!AG$2,'RES Assumptions T15'!$V$3:$W$35,2,FALSE),'COM Assumptions T15'!$E$2:$S$2,0))</f>
        <v>0.23386173459015203</v>
      </c>
      <c r="AH49" s="9">
        <f ca="1">OFFSET('COM Assumptions T15'!$D49,0,MATCH(VLOOKUP('COM Assumptions'!AH$2,'RES Assumptions T15'!$V$3:$W$35,2,FALSE),'COM Assumptions T15'!$E$2:$S$2,0))</f>
        <v>0.23386173459015203</v>
      </c>
      <c r="AI49" s="1" t="str">
        <f t="shared" si="18"/>
        <v>COE</v>
      </c>
      <c r="AJ49" s="2">
        <f t="shared" ca="1" si="19"/>
        <v>3952.4308685304136</v>
      </c>
      <c r="AK49" s="10">
        <f ca="1">IFERROR(SUMIFS('COM balance'!E$5:E$25,'COM balance'!$D$5:$D$25,'COM Assumptions'!$A49)*E49,"")</f>
        <v>38.281852563119969</v>
      </c>
      <c r="AL49" s="10">
        <f ca="1">IFERROR(SUMIFS('COM balance'!F$5:F$25,'COM balance'!$D$5:$D$25,'COM Assumptions'!$A49)*F49,"")</f>
        <v>23.59998844271998</v>
      </c>
      <c r="AM49" s="10">
        <f ca="1">IFERROR(SUMIFS('COM balance'!G$5:G$25,'COM balance'!$D$5:$D$25,'COM Assumptions'!$A49)*G49,"")</f>
        <v>31.258343163599992</v>
      </c>
      <c r="AN49" s="10">
        <f ca="1">IFERROR(SUMIFS('COM balance'!H$5:H$25,'COM balance'!$D$5:$D$25,'COM Assumptions'!$A49)*H49,"")</f>
        <v>25.390144296503991</v>
      </c>
      <c r="AO49" s="10">
        <f ca="1">IFERROR(SUMIFS('COM balance'!I$5:I$25,'COM balance'!$D$5:$D$25,'COM Assumptions'!$A49)*I49,"")</f>
        <v>553.1795700307199</v>
      </c>
      <c r="AP49" s="10">
        <f ca="1">IFERROR(SUMIFS('COM balance'!J$5:J$25,'COM balance'!$D$5:$D$25,'COM Assumptions'!$A49)*J49,"")</f>
        <v>256.54400240990401</v>
      </c>
      <c r="AQ49" s="10">
        <f ca="1">IFERROR(SUMIFS('COM balance'!K$5:K$25,'COM balance'!$D$5:$D$25,'COM Assumptions'!$A49)*K49,"")</f>
        <v>72.729739113299999</v>
      </c>
      <c r="AR49" s="10">
        <f ca="1">IFERROR(SUMIFS('COM balance'!L$5:L$25,'COM balance'!$D$5:$D$25,'COM Assumptions'!$A49)*L49,"")</f>
        <v>101.55038182559998</v>
      </c>
      <c r="AS49" s="10">
        <f ca="1">IFERROR(SUMIFS('COM balance'!M$5:M$25,'COM balance'!$D$5:$D$25,'COM Assumptions'!$A49)*M49,"")</f>
        <v>108.96912012095991</v>
      </c>
      <c r="AT49" s="10">
        <f ca="1">IFERROR(SUMIFS('COM balance'!N$5:N$25,'COM balance'!$D$5:$D$25,'COM Assumptions'!$A49)*N49,"")</f>
        <v>350.87377586688012</v>
      </c>
      <c r="AU49" s="10">
        <f ca="1">IFERROR(SUMIFS('COM balance'!O$5:O$25,'COM balance'!$D$5:$D$25,'COM Assumptions'!$A49)*O49,"")</f>
        <v>33.860114091108002</v>
      </c>
      <c r="AV49" s="10">
        <f ca="1">IFERROR(SUMIFS('COM balance'!P$5:P$25,'COM balance'!$D$5:$D$25,'COM Assumptions'!$A49)*P49,"")</f>
        <v>87.778903535855974</v>
      </c>
      <c r="AW49" s="10">
        <f ca="1">IFERROR(SUMIFS('COM balance'!Q$5:Q$25,'COM balance'!$D$5:$D$25,'COM Assumptions'!$A49)*Q49,"")</f>
        <v>44.787126013236005</v>
      </c>
      <c r="AX49" s="10">
        <f ca="1">IFERROR(SUMIFS('COM balance'!R$5:R$25,'COM balance'!$D$5:$D$25,'COM Assumptions'!$A49)*R49,"")</f>
        <v>67.55911865283602</v>
      </c>
      <c r="AY49" s="10">
        <f ca="1">IFERROR(SUMIFS('COM balance'!S$5:S$25,'COM balance'!$D$5:$D$25,'COM Assumptions'!$A49)*S49,"")</f>
        <v>33.297326989055989</v>
      </c>
      <c r="AZ49" s="10">
        <f ca="1">IFERROR(SUMIFS('COM balance'!T$5:T$25,'COM balance'!$D$5:$D$25,'COM Assumptions'!$A49)*T49,"")</f>
        <v>55.734674231232013</v>
      </c>
      <c r="BA49" s="10">
        <f ca="1">IFERROR(SUMIFS('COM balance'!U$5:U$25,'COM balance'!$D$5:$D$25,'COM Assumptions'!$A49)*U49,"")</f>
        <v>98.107118149679977</v>
      </c>
      <c r="BB49" s="10">
        <f ca="1">IFERROR(SUMIFS('COM balance'!V$5:V$25,'COM balance'!$D$5:$D$25,'COM Assumptions'!$A49)*V49,"")</f>
        <v>83.604753742716028</v>
      </c>
      <c r="BC49" s="10">
        <f ca="1">IFERROR(SUMIFS('COM balance'!W$5:W$25,'COM balance'!$D$5:$D$25,'COM Assumptions'!$A49)*W49,"")</f>
        <v>79.544088252144022</v>
      </c>
      <c r="BD49" s="10">
        <f ca="1">IFERROR(SUMIFS('COM balance'!X$5:X$25,'COM balance'!$D$5:$D$25,'COM Assumptions'!$A49)*X49,"")</f>
        <v>130.93573371609597</v>
      </c>
      <c r="BE49" s="10">
        <f ca="1">IFERROR(SUMIFS('COM balance'!Y$5:Y$25,'COM balance'!$D$5:$D$25,'COM Assumptions'!$A49)*Y49,"")</f>
        <v>64.335272311439979</v>
      </c>
      <c r="BF49" s="10">
        <f ca="1">IFERROR(SUMIFS('COM balance'!Z$5:Z$25,'COM balance'!$D$5:$D$25,'COM Assumptions'!$A49)*Z49,"")</f>
        <v>20.675879593199994</v>
      </c>
      <c r="BG49" s="10">
        <f ca="1">IFERROR(SUMIFS('COM balance'!AA$5:AA$25,'COM balance'!$D$5:$D$25,'COM Assumptions'!$A49)*AA49,"")</f>
        <v>111.51698302583998</v>
      </c>
      <c r="BH49" s="10">
        <f ca="1">IFERROR(SUMIFS('COM balance'!AB$5:AB$25,'COM balance'!$D$5:$D$25,'COM Assumptions'!$A49)*AB49,"")</f>
        <v>16.864301823372003</v>
      </c>
      <c r="BI49" s="10">
        <f ca="1">IFERROR(SUMIFS('COM balance'!AC$5:AC$25,'COM balance'!$D$5:$D$25,'COM Assumptions'!$A49)*AC49,"")</f>
        <v>143.08529023339196</v>
      </c>
      <c r="BJ49" s="10">
        <f ca="1">IFERROR(SUMIFS('COM balance'!AD$5:AD$25,'COM balance'!$D$5:$D$25,'COM Assumptions'!$A49)*AD49,"")</f>
        <v>88.124077060559983</v>
      </c>
      <c r="BK49" s="10">
        <f ca="1">IFERROR(SUMIFS('COM balance'!AE$5:AE$25,'COM balance'!$D$5:$D$25,'COM Assumptions'!$A49)*AE49,"")</f>
        <v>26.717474698559979</v>
      </c>
      <c r="BL49" s="10">
        <f ca="1">IFERROR(SUMIFS('COM balance'!AF$5:AF$25,'COM balance'!$D$5:$D$25,'COM Assumptions'!$A49)*AF49,"")</f>
        <v>55.153827953532016</v>
      </c>
      <c r="BM49" s="10">
        <f ca="1">IFERROR(SUMIFS('COM balance'!AG$5:AG$25,'COM balance'!$D$5:$D$25,'COM Assumptions'!$A49)*AG49,"")</f>
        <v>1148.3718866232498</v>
      </c>
      <c r="BN49" s="10">
        <f ca="1">IFERROR(SUMIFS('COM balance'!AH$5:AH$25,'COM balance'!$D$5:$D$25,'COM Assumptions'!$A49)*AH49,"")</f>
        <v>0</v>
      </c>
      <c r="BO49" s="2"/>
    </row>
    <row r="50" spans="1:67" x14ac:dyDescent="0.45">
      <c r="A50" s="8" t="str">
        <f>VLOOKUP(C50,'COM balance'!$AM$5:$AN$25,2,FALSE)</f>
        <v>COMELC</v>
      </c>
      <c r="B50" s="36"/>
      <c r="C50" s="22" t="s">
        <v>34</v>
      </c>
      <c r="D50" s="42" t="s">
        <v>89</v>
      </c>
      <c r="E50" s="26">
        <f ca="1">OFFSET('COM Assumptions T15'!$D50,0,MATCH(VLOOKUP('COM Assumptions'!E$2,'RES Assumptions T15'!$V$3:$W$35,2,FALSE),'COM Assumptions T15'!$E$2:$S$2,0))</f>
        <v>0</v>
      </c>
      <c r="F50" s="26">
        <f ca="1">OFFSET('COM Assumptions T15'!$D50,0,MATCH(VLOOKUP('COM Assumptions'!F$2,'RES Assumptions T15'!$V$3:$W$35,2,FALSE),'COM Assumptions T15'!$E$2:$S$2,0))</f>
        <v>0</v>
      </c>
      <c r="G50" s="26">
        <f ca="1">OFFSET('COM Assumptions T15'!$D50,0,MATCH(VLOOKUP('COM Assumptions'!G$2,'RES Assumptions T15'!$V$3:$W$35,2,FALSE),'COM Assumptions T15'!$E$2:$S$2,0))</f>
        <v>0</v>
      </c>
      <c r="H50" s="26">
        <f ca="1">OFFSET('COM Assumptions T15'!$D50,0,MATCH(VLOOKUP('COM Assumptions'!H$2,'RES Assumptions T15'!$V$3:$W$35,2,FALSE),'COM Assumptions T15'!$E$2:$S$2,0))</f>
        <v>0</v>
      </c>
      <c r="I50" s="26">
        <f ca="1">OFFSET('COM Assumptions T15'!$D50,0,MATCH(VLOOKUP('COM Assumptions'!I$2,'RES Assumptions T15'!$V$3:$W$35,2,FALSE),'COM Assumptions T15'!$E$2:$S$2,0))</f>
        <v>0</v>
      </c>
      <c r="J50" s="26">
        <f ca="1">OFFSET('COM Assumptions T15'!$D50,0,MATCH(VLOOKUP('COM Assumptions'!J$2,'RES Assumptions T15'!$V$3:$W$35,2,FALSE),'COM Assumptions T15'!$E$2:$S$2,0))</f>
        <v>0</v>
      </c>
      <c r="K50" s="26">
        <f ca="1">OFFSET('COM Assumptions T15'!$D50,0,MATCH(VLOOKUP('COM Assumptions'!K$2,'RES Assumptions T15'!$V$3:$W$35,2,FALSE),'COM Assumptions T15'!$E$2:$S$2,0))</f>
        <v>0</v>
      </c>
      <c r="L50" s="26">
        <f ca="1">OFFSET('COM Assumptions T15'!$D50,0,MATCH(VLOOKUP('COM Assumptions'!L$2,'RES Assumptions T15'!$V$3:$W$35,2,FALSE),'COM Assumptions T15'!$E$2:$S$2,0))</f>
        <v>0</v>
      </c>
      <c r="M50" s="26">
        <f ca="1">OFFSET('COM Assumptions T15'!$D50,0,MATCH(VLOOKUP('COM Assumptions'!M$2,'RES Assumptions T15'!$V$3:$W$35,2,FALSE),'COM Assumptions T15'!$E$2:$S$2,0))</f>
        <v>0</v>
      </c>
      <c r="N50" s="26">
        <f ca="1">OFFSET('COM Assumptions T15'!$D50,0,MATCH(VLOOKUP('COM Assumptions'!N$2,'RES Assumptions T15'!$V$3:$W$35,2,FALSE),'COM Assumptions T15'!$E$2:$S$2,0))</f>
        <v>0</v>
      </c>
      <c r="O50" s="26">
        <f ca="1">OFFSET('COM Assumptions T15'!$D50,0,MATCH(VLOOKUP('COM Assumptions'!O$2,'RES Assumptions T15'!$V$3:$W$35,2,FALSE),'COM Assumptions T15'!$E$2:$S$2,0))</f>
        <v>0</v>
      </c>
      <c r="P50" s="9">
        <f ca="1">OFFSET('COM Assumptions T15'!$D50,0,MATCH(VLOOKUP('COM Assumptions'!P$2,'RES Assumptions T15'!$V$3:$W$35,2,FALSE),'COM Assumptions T15'!$E$2:$S$2,0))</f>
        <v>0</v>
      </c>
      <c r="Q50" s="9">
        <f ca="1">OFFSET('COM Assumptions T15'!$D50,0,MATCH(VLOOKUP('COM Assumptions'!Q$2,'RES Assumptions T15'!$V$3:$W$35,2,FALSE),'COM Assumptions T15'!$E$2:$S$2,0))</f>
        <v>0</v>
      </c>
      <c r="R50" s="9">
        <f ca="1">OFFSET('COM Assumptions T15'!$D50,0,MATCH(VLOOKUP('COM Assumptions'!R$2,'RES Assumptions T15'!$V$3:$W$35,2,FALSE),'COM Assumptions T15'!$E$2:$S$2,0))</f>
        <v>0</v>
      </c>
      <c r="S50" s="9">
        <f ca="1">OFFSET('COM Assumptions T15'!$D50,0,MATCH(VLOOKUP('COM Assumptions'!S$2,'RES Assumptions T15'!$V$3:$W$35,2,FALSE),'COM Assumptions T15'!$E$2:$S$2,0))</f>
        <v>0</v>
      </c>
      <c r="T50" s="9">
        <f ca="1">OFFSET('COM Assumptions T15'!$D50,0,MATCH(VLOOKUP('COM Assumptions'!T$2,'RES Assumptions T15'!$V$3:$W$35,2,FALSE),'COM Assumptions T15'!$E$2:$S$2,0))</f>
        <v>0</v>
      </c>
      <c r="U50" s="9">
        <f ca="1">OFFSET('COM Assumptions T15'!$D50,0,MATCH(VLOOKUP('COM Assumptions'!U$2,'RES Assumptions T15'!$V$3:$W$35,2,FALSE),'COM Assumptions T15'!$E$2:$S$2,0))</f>
        <v>0</v>
      </c>
      <c r="V50" s="9">
        <f ca="1">OFFSET('COM Assumptions T15'!$D50,0,MATCH(VLOOKUP('COM Assumptions'!V$2,'RES Assumptions T15'!$V$3:$W$35,2,FALSE),'COM Assumptions T15'!$E$2:$S$2,0))</f>
        <v>0</v>
      </c>
      <c r="W50" s="9">
        <f ca="1">OFFSET('COM Assumptions T15'!$D50,0,MATCH(VLOOKUP('COM Assumptions'!W$2,'RES Assumptions T15'!$V$3:$W$35,2,FALSE),'COM Assumptions T15'!$E$2:$S$2,0))</f>
        <v>0</v>
      </c>
      <c r="X50" s="9">
        <f ca="1">OFFSET('COM Assumptions T15'!$D50,0,MATCH(VLOOKUP('COM Assumptions'!X$2,'RES Assumptions T15'!$V$3:$W$35,2,FALSE),'COM Assumptions T15'!$E$2:$S$2,0))</f>
        <v>0</v>
      </c>
      <c r="Y50" s="9">
        <f ca="1">OFFSET('COM Assumptions T15'!$D50,0,MATCH(VLOOKUP('COM Assumptions'!Y$2,'RES Assumptions T15'!$V$3:$W$35,2,FALSE),'COM Assumptions T15'!$E$2:$S$2,0))</f>
        <v>0</v>
      </c>
      <c r="Z50" s="9">
        <f ca="1">OFFSET('COM Assumptions T15'!$D50,0,MATCH(VLOOKUP('COM Assumptions'!Z$2,'RES Assumptions T15'!$V$3:$W$35,2,FALSE),'COM Assumptions T15'!$E$2:$S$2,0))</f>
        <v>0</v>
      </c>
      <c r="AA50" s="9">
        <f ca="1">OFFSET('COM Assumptions T15'!$D50,0,MATCH(VLOOKUP('COM Assumptions'!AA$2,'RES Assumptions T15'!$V$3:$W$35,2,FALSE),'COM Assumptions T15'!$E$2:$S$2,0))</f>
        <v>0</v>
      </c>
      <c r="AB50" s="9">
        <f ca="1">OFFSET('COM Assumptions T15'!$D50,0,MATCH(VLOOKUP('COM Assumptions'!AB$2,'RES Assumptions T15'!$V$3:$W$35,2,FALSE),'COM Assumptions T15'!$E$2:$S$2,0))</f>
        <v>0</v>
      </c>
      <c r="AC50" s="9">
        <f ca="1">OFFSET('COM Assumptions T15'!$D50,0,MATCH(VLOOKUP('COM Assumptions'!AC$2,'RES Assumptions T15'!$V$3:$W$35,2,FALSE),'COM Assumptions T15'!$E$2:$S$2,0))</f>
        <v>0</v>
      </c>
      <c r="AD50" s="9">
        <f ca="1">OFFSET('COM Assumptions T15'!$D50,0,MATCH(VLOOKUP('COM Assumptions'!AD$2,'RES Assumptions T15'!$V$3:$W$35,2,FALSE),'COM Assumptions T15'!$E$2:$S$2,0))</f>
        <v>0</v>
      </c>
      <c r="AE50" s="9">
        <f ca="1">OFFSET('COM Assumptions T15'!$D50,0,MATCH(VLOOKUP('COM Assumptions'!AE$2,'RES Assumptions T15'!$V$3:$W$35,2,FALSE),'COM Assumptions T15'!$E$2:$S$2,0))</f>
        <v>0</v>
      </c>
      <c r="AF50" s="9">
        <f ca="1">OFFSET('COM Assumptions T15'!$D50,0,MATCH(VLOOKUP('COM Assumptions'!AF$2,'RES Assumptions T15'!$V$3:$W$35,2,FALSE),'COM Assumptions T15'!$E$2:$S$2,0))</f>
        <v>0</v>
      </c>
      <c r="AG50" s="9">
        <f ca="1">OFFSET('COM Assumptions T15'!$D50,0,MATCH(VLOOKUP('COM Assumptions'!AG$2,'RES Assumptions T15'!$V$3:$W$35,2,FALSE),'COM Assumptions T15'!$E$2:$S$2,0))</f>
        <v>0</v>
      </c>
      <c r="AH50" s="9">
        <f ca="1">OFFSET('COM Assumptions T15'!$D50,0,MATCH(VLOOKUP('COM Assumptions'!AH$2,'RES Assumptions T15'!$V$3:$W$35,2,FALSE),'COM Assumptions T15'!$E$2:$S$2,0))</f>
        <v>0</v>
      </c>
      <c r="AI50" s="1" t="str">
        <f t="shared" si="18"/>
        <v>COT</v>
      </c>
      <c r="AJ50" s="2">
        <f t="shared" ca="1" si="19"/>
        <v>0</v>
      </c>
      <c r="AK50" s="10">
        <f ca="1">IFERROR(SUMIFS('COM balance'!E$5:E$25,'COM balance'!$D$5:$D$25,'COM Assumptions'!$A50)*E50,"")</f>
        <v>0</v>
      </c>
      <c r="AL50" s="10">
        <f ca="1">IFERROR(SUMIFS('COM balance'!F$5:F$25,'COM balance'!$D$5:$D$25,'COM Assumptions'!$A50)*F50,"")</f>
        <v>0</v>
      </c>
      <c r="AM50" s="10">
        <f ca="1">IFERROR(SUMIFS('COM balance'!G$5:G$25,'COM balance'!$D$5:$D$25,'COM Assumptions'!$A50)*G50,"")</f>
        <v>0</v>
      </c>
      <c r="AN50" s="10">
        <f ca="1">IFERROR(SUMIFS('COM balance'!H$5:H$25,'COM balance'!$D$5:$D$25,'COM Assumptions'!$A50)*H50,"")</f>
        <v>0</v>
      </c>
      <c r="AO50" s="10">
        <f ca="1">IFERROR(SUMIFS('COM balance'!I$5:I$25,'COM balance'!$D$5:$D$25,'COM Assumptions'!$A50)*I50,"")</f>
        <v>0</v>
      </c>
      <c r="AP50" s="10">
        <f ca="1">IFERROR(SUMIFS('COM balance'!J$5:J$25,'COM balance'!$D$5:$D$25,'COM Assumptions'!$A50)*J50,"")</f>
        <v>0</v>
      </c>
      <c r="AQ50" s="10">
        <f ca="1">IFERROR(SUMIFS('COM balance'!K$5:K$25,'COM balance'!$D$5:$D$25,'COM Assumptions'!$A50)*K50,"")</f>
        <v>0</v>
      </c>
      <c r="AR50" s="10">
        <f ca="1">IFERROR(SUMIFS('COM balance'!L$5:L$25,'COM balance'!$D$5:$D$25,'COM Assumptions'!$A50)*L50,"")</f>
        <v>0</v>
      </c>
      <c r="AS50" s="10">
        <f ca="1">IFERROR(SUMIFS('COM balance'!M$5:M$25,'COM balance'!$D$5:$D$25,'COM Assumptions'!$A50)*M50,"")</f>
        <v>0</v>
      </c>
      <c r="AT50" s="10">
        <f ca="1">IFERROR(SUMIFS('COM balance'!N$5:N$25,'COM balance'!$D$5:$D$25,'COM Assumptions'!$A50)*N50,"")</f>
        <v>0</v>
      </c>
      <c r="AU50" s="10">
        <f ca="1">IFERROR(SUMIFS('COM balance'!O$5:O$25,'COM balance'!$D$5:$D$25,'COM Assumptions'!$A50)*O50,"")</f>
        <v>0</v>
      </c>
      <c r="AV50" s="10">
        <f ca="1">IFERROR(SUMIFS('COM balance'!P$5:P$25,'COM balance'!$D$5:$D$25,'COM Assumptions'!$A50)*P50,"")</f>
        <v>0</v>
      </c>
      <c r="AW50" s="10">
        <f ca="1">IFERROR(SUMIFS('COM balance'!Q$5:Q$25,'COM balance'!$D$5:$D$25,'COM Assumptions'!$A50)*Q50,"")</f>
        <v>0</v>
      </c>
      <c r="AX50" s="10">
        <f ca="1">IFERROR(SUMIFS('COM balance'!R$5:R$25,'COM balance'!$D$5:$D$25,'COM Assumptions'!$A50)*R50,"")</f>
        <v>0</v>
      </c>
      <c r="AY50" s="10">
        <f ca="1">IFERROR(SUMIFS('COM balance'!S$5:S$25,'COM balance'!$D$5:$D$25,'COM Assumptions'!$A50)*S50,"")</f>
        <v>0</v>
      </c>
      <c r="AZ50" s="10">
        <f ca="1">IFERROR(SUMIFS('COM balance'!T$5:T$25,'COM balance'!$D$5:$D$25,'COM Assumptions'!$A50)*T50,"")</f>
        <v>0</v>
      </c>
      <c r="BA50" s="10">
        <f ca="1">IFERROR(SUMIFS('COM balance'!U$5:U$25,'COM balance'!$D$5:$D$25,'COM Assumptions'!$A50)*U50,"")</f>
        <v>0</v>
      </c>
      <c r="BB50" s="10">
        <f ca="1">IFERROR(SUMIFS('COM balance'!V$5:V$25,'COM balance'!$D$5:$D$25,'COM Assumptions'!$A50)*V50,"")</f>
        <v>0</v>
      </c>
      <c r="BC50" s="10">
        <f ca="1">IFERROR(SUMIFS('COM balance'!W$5:W$25,'COM balance'!$D$5:$D$25,'COM Assumptions'!$A50)*W50,"")</f>
        <v>0</v>
      </c>
      <c r="BD50" s="10">
        <f ca="1">IFERROR(SUMIFS('COM balance'!X$5:X$25,'COM balance'!$D$5:$D$25,'COM Assumptions'!$A50)*X50,"")</f>
        <v>0</v>
      </c>
      <c r="BE50" s="10">
        <f ca="1">IFERROR(SUMIFS('COM balance'!Y$5:Y$25,'COM balance'!$D$5:$D$25,'COM Assumptions'!$A50)*Y50,"")</f>
        <v>0</v>
      </c>
      <c r="BF50" s="10">
        <f ca="1">IFERROR(SUMIFS('COM balance'!Z$5:Z$25,'COM balance'!$D$5:$D$25,'COM Assumptions'!$A50)*Z50,"")</f>
        <v>0</v>
      </c>
      <c r="BG50" s="10">
        <f ca="1">IFERROR(SUMIFS('COM balance'!AA$5:AA$25,'COM balance'!$D$5:$D$25,'COM Assumptions'!$A50)*AA50,"")</f>
        <v>0</v>
      </c>
      <c r="BH50" s="10">
        <f ca="1">IFERROR(SUMIFS('COM balance'!AB$5:AB$25,'COM balance'!$D$5:$D$25,'COM Assumptions'!$A50)*AB50,"")</f>
        <v>0</v>
      </c>
      <c r="BI50" s="10">
        <f ca="1">IFERROR(SUMIFS('COM balance'!AC$5:AC$25,'COM balance'!$D$5:$D$25,'COM Assumptions'!$A50)*AC50,"")</f>
        <v>0</v>
      </c>
      <c r="BJ50" s="10">
        <f ca="1">IFERROR(SUMIFS('COM balance'!AD$5:AD$25,'COM balance'!$D$5:$D$25,'COM Assumptions'!$A50)*AD50,"")</f>
        <v>0</v>
      </c>
      <c r="BK50" s="10">
        <f ca="1">IFERROR(SUMIFS('COM balance'!AE$5:AE$25,'COM balance'!$D$5:$D$25,'COM Assumptions'!$A50)*AE50,"")</f>
        <v>0</v>
      </c>
      <c r="BL50" s="10">
        <f ca="1">IFERROR(SUMIFS('COM balance'!AF$5:AF$25,'COM balance'!$D$5:$D$25,'COM Assumptions'!$A50)*AF50,"")</f>
        <v>0</v>
      </c>
      <c r="BM50" s="10">
        <f ca="1">IFERROR(SUMIFS('COM balance'!AG$5:AG$25,'COM balance'!$D$5:$D$25,'COM Assumptions'!$A50)*AG50,"")</f>
        <v>0</v>
      </c>
      <c r="BN50" s="10">
        <f ca="1">IFERROR(SUMIFS('COM balance'!AH$5:AH$25,'COM balance'!$D$5:$D$25,'COM Assumptions'!$A50)*AH50,"")</f>
        <v>0</v>
      </c>
      <c r="BO50" s="8"/>
    </row>
    <row r="51" spans="1:67" x14ac:dyDescent="0.45">
      <c r="A51" s="8" t="str">
        <f>VLOOKUP(C51,'COM balance'!$AM$5:$AN$25,2,FALSE)</f>
        <v>COMHET</v>
      </c>
      <c r="B51" s="36"/>
      <c r="C51" s="20" t="s">
        <v>79</v>
      </c>
      <c r="D51" s="41" t="s">
        <v>82</v>
      </c>
      <c r="E51" s="25">
        <f ca="1">OFFSET('COM Assumptions T15'!$D51,0,MATCH(VLOOKUP('COM Assumptions'!E$2,'RES Assumptions T15'!$V$3:$W$35,2,FALSE),'COM Assumptions T15'!$E$2:$S$2,0))</f>
        <v>1</v>
      </c>
      <c r="F51" s="25">
        <f ca="1">OFFSET('COM Assumptions T15'!$D51,0,MATCH(VLOOKUP('COM Assumptions'!F$2,'RES Assumptions T15'!$V$3:$W$35,2,FALSE),'COM Assumptions T15'!$E$2:$S$2,0))</f>
        <v>1</v>
      </c>
      <c r="G51" s="25">
        <f ca="1">OFFSET('COM Assumptions T15'!$D51,0,MATCH(VLOOKUP('COM Assumptions'!G$2,'RES Assumptions T15'!$V$3:$W$35,2,FALSE),'COM Assumptions T15'!$E$2:$S$2,0))</f>
        <v>1</v>
      </c>
      <c r="H51" s="25">
        <f ca="1">OFFSET('COM Assumptions T15'!$D51,0,MATCH(VLOOKUP('COM Assumptions'!H$2,'RES Assumptions T15'!$V$3:$W$35,2,FALSE),'COM Assumptions T15'!$E$2:$S$2,0))</f>
        <v>1</v>
      </c>
      <c r="I51" s="25">
        <f ca="1">OFFSET('COM Assumptions T15'!$D51,0,MATCH(VLOOKUP('COM Assumptions'!I$2,'RES Assumptions T15'!$V$3:$W$35,2,FALSE),'COM Assumptions T15'!$E$2:$S$2,0))</f>
        <v>1</v>
      </c>
      <c r="J51" s="25">
        <f ca="1">OFFSET('COM Assumptions T15'!$D51,0,MATCH(VLOOKUP('COM Assumptions'!J$2,'RES Assumptions T15'!$V$3:$W$35,2,FALSE),'COM Assumptions T15'!$E$2:$S$2,0))</f>
        <v>0.8</v>
      </c>
      <c r="K51" s="25">
        <f ca="1">OFFSET('COM Assumptions T15'!$D51,0,MATCH(VLOOKUP('COM Assumptions'!K$2,'RES Assumptions T15'!$V$3:$W$35,2,FALSE),'COM Assumptions T15'!$E$2:$S$2,0))</f>
        <v>1</v>
      </c>
      <c r="L51" s="25">
        <f ca="1">OFFSET('COM Assumptions T15'!$D51,0,MATCH(VLOOKUP('COM Assumptions'!L$2,'RES Assumptions T15'!$V$3:$W$35,2,FALSE),'COM Assumptions T15'!$E$2:$S$2,0))</f>
        <v>1</v>
      </c>
      <c r="M51" s="25">
        <f ca="1">OFFSET('COM Assumptions T15'!$D51,0,MATCH(VLOOKUP('COM Assumptions'!M$2,'RES Assumptions T15'!$V$3:$W$35,2,FALSE),'COM Assumptions T15'!$E$2:$S$2,0))</f>
        <v>1</v>
      </c>
      <c r="N51" s="25">
        <f ca="1">OFFSET('COM Assumptions T15'!$D51,0,MATCH(VLOOKUP('COM Assumptions'!N$2,'RES Assumptions T15'!$V$3:$W$35,2,FALSE),'COM Assumptions T15'!$E$2:$S$2,0))</f>
        <v>1</v>
      </c>
      <c r="O51" s="25">
        <f ca="1">OFFSET('COM Assumptions T15'!$D51,0,MATCH(VLOOKUP('COM Assumptions'!O$2,'RES Assumptions T15'!$V$3:$W$35,2,FALSE),'COM Assumptions T15'!$E$2:$S$2,0))</f>
        <v>1</v>
      </c>
      <c r="P51" s="9">
        <f ca="1">OFFSET('COM Assumptions T15'!$D51,0,MATCH(VLOOKUP('COM Assumptions'!P$2,'RES Assumptions T15'!$V$3:$W$35,2,FALSE),'COM Assumptions T15'!$E$2:$S$2,0))</f>
        <v>1</v>
      </c>
      <c r="Q51" s="9">
        <f ca="1">OFFSET('COM Assumptions T15'!$D51,0,MATCH(VLOOKUP('COM Assumptions'!Q$2,'RES Assumptions T15'!$V$3:$W$35,2,FALSE),'COM Assumptions T15'!$E$2:$S$2,0))</f>
        <v>1</v>
      </c>
      <c r="R51" s="9">
        <f ca="1">OFFSET('COM Assumptions T15'!$D51,0,MATCH(VLOOKUP('COM Assumptions'!R$2,'RES Assumptions T15'!$V$3:$W$35,2,FALSE),'COM Assumptions T15'!$E$2:$S$2,0))</f>
        <v>1</v>
      </c>
      <c r="S51" s="9">
        <f ca="1">OFFSET('COM Assumptions T15'!$D51,0,MATCH(VLOOKUP('COM Assumptions'!S$2,'RES Assumptions T15'!$V$3:$W$35,2,FALSE),'COM Assumptions T15'!$E$2:$S$2,0))</f>
        <v>1</v>
      </c>
      <c r="T51" s="9">
        <f ca="1">OFFSET('COM Assumptions T15'!$D51,0,MATCH(VLOOKUP('COM Assumptions'!T$2,'RES Assumptions T15'!$V$3:$W$35,2,FALSE),'COM Assumptions T15'!$E$2:$S$2,0))</f>
        <v>1</v>
      </c>
      <c r="U51" s="9">
        <f ca="1">OFFSET('COM Assumptions T15'!$D51,0,MATCH(VLOOKUP('COM Assumptions'!U$2,'RES Assumptions T15'!$V$3:$W$35,2,FALSE),'COM Assumptions T15'!$E$2:$S$2,0))</f>
        <v>1</v>
      </c>
      <c r="V51" s="9">
        <f ca="1">OFFSET('COM Assumptions T15'!$D51,0,MATCH(VLOOKUP('COM Assumptions'!V$2,'RES Assumptions T15'!$V$3:$W$35,2,FALSE),'COM Assumptions T15'!$E$2:$S$2,0))</f>
        <v>1</v>
      </c>
      <c r="W51" s="9">
        <f ca="1">OFFSET('COM Assumptions T15'!$D51,0,MATCH(VLOOKUP('COM Assumptions'!W$2,'RES Assumptions T15'!$V$3:$W$35,2,FALSE),'COM Assumptions T15'!$E$2:$S$2,0))</f>
        <v>1</v>
      </c>
      <c r="X51" s="9">
        <f ca="1">OFFSET('COM Assumptions T15'!$D51,0,MATCH(VLOOKUP('COM Assumptions'!X$2,'RES Assumptions T15'!$V$3:$W$35,2,FALSE),'COM Assumptions T15'!$E$2:$S$2,0))</f>
        <v>1</v>
      </c>
      <c r="Y51" s="9">
        <f ca="1">OFFSET('COM Assumptions T15'!$D51,0,MATCH(VLOOKUP('COM Assumptions'!Y$2,'RES Assumptions T15'!$V$3:$W$35,2,FALSE),'COM Assumptions T15'!$E$2:$S$2,0))</f>
        <v>1</v>
      </c>
      <c r="Z51" s="9">
        <f ca="1">OFFSET('COM Assumptions T15'!$D51,0,MATCH(VLOOKUP('COM Assumptions'!Z$2,'RES Assumptions T15'!$V$3:$W$35,2,FALSE),'COM Assumptions T15'!$E$2:$S$2,0))</f>
        <v>1</v>
      </c>
      <c r="AA51" s="9">
        <f ca="1">OFFSET('COM Assumptions T15'!$D51,0,MATCH(VLOOKUP('COM Assumptions'!AA$2,'RES Assumptions T15'!$V$3:$W$35,2,FALSE),'COM Assumptions T15'!$E$2:$S$2,0))</f>
        <v>1</v>
      </c>
      <c r="AB51" s="9">
        <f ca="1">OFFSET('COM Assumptions T15'!$D51,0,MATCH(VLOOKUP('COM Assumptions'!AB$2,'RES Assumptions T15'!$V$3:$W$35,2,FALSE),'COM Assumptions T15'!$E$2:$S$2,0))</f>
        <v>1</v>
      </c>
      <c r="AC51" s="9">
        <f ca="1">OFFSET('COM Assumptions T15'!$D51,0,MATCH(VLOOKUP('COM Assumptions'!AC$2,'RES Assumptions T15'!$V$3:$W$35,2,FALSE),'COM Assumptions T15'!$E$2:$S$2,0))</f>
        <v>1</v>
      </c>
      <c r="AD51" s="9">
        <f ca="1">OFFSET('COM Assumptions T15'!$D51,0,MATCH(VLOOKUP('COM Assumptions'!AD$2,'RES Assumptions T15'!$V$3:$W$35,2,FALSE),'COM Assumptions T15'!$E$2:$S$2,0))</f>
        <v>1</v>
      </c>
      <c r="AE51" s="9">
        <f ca="1">OFFSET('COM Assumptions T15'!$D51,0,MATCH(VLOOKUP('COM Assumptions'!AE$2,'RES Assumptions T15'!$V$3:$W$35,2,FALSE),'COM Assumptions T15'!$E$2:$S$2,0))</f>
        <v>1</v>
      </c>
      <c r="AF51" s="9">
        <f ca="1">OFFSET('COM Assumptions T15'!$D51,0,MATCH(VLOOKUP('COM Assumptions'!AF$2,'RES Assumptions T15'!$V$3:$W$35,2,FALSE),'COM Assumptions T15'!$E$2:$S$2,0))</f>
        <v>1</v>
      </c>
      <c r="AG51" s="9">
        <f ca="1">OFFSET('COM Assumptions T15'!$D51,0,MATCH(VLOOKUP('COM Assumptions'!AG$2,'RES Assumptions T15'!$V$3:$W$35,2,FALSE),'COM Assumptions T15'!$E$2:$S$2,0))</f>
        <v>1</v>
      </c>
      <c r="AH51" s="9">
        <f ca="1">OFFSET('COM Assumptions T15'!$D51,0,MATCH(VLOOKUP('COM Assumptions'!AH$2,'RES Assumptions T15'!$V$3:$W$35,2,FALSE),'COM Assumptions T15'!$E$2:$S$2,0))</f>
        <v>1</v>
      </c>
      <c r="AI51" s="1"/>
      <c r="AJ51" s="2"/>
      <c r="AK51" s="10">
        <f ca="1">IFERROR(SUMIFS('COM balance'!E$5:E$25,'COM balance'!$D$5:$D$25,'COM Assumptions'!$A51)*E51,"")</f>
        <v>0</v>
      </c>
      <c r="AL51" s="10">
        <f ca="1">IFERROR(SUMIFS('COM balance'!F$5:F$25,'COM balance'!$D$5:$D$25,'COM Assumptions'!$A51)*F51,"")</f>
        <v>0</v>
      </c>
      <c r="AM51" s="10">
        <f ca="1">IFERROR(SUMIFS('COM balance'!G$5:G$25,'COM balance'!$D$5:$D$25,'COM Assumptions'!$A51)*G51,"")</f>
        <v>0</v>
      </c>
      <c r="AN51" s="10">
        <f ca="1">IFERROR(SUMIFS('COM balance'!H$5:H$25,'COM balance'!$D$5:$D$25,'COM Assumptions'!$A51)*H51,"")</f>
        <v>144.25462813679999</v>
      </c>
      <c r="AO51" s="10">
        <f ca="1">IFERROR(SUMIFS('COM balance'!I$5:I$25,'COM balance'!$D$5:$D$25,'COM Assumptions'!$A51)*I51,"")</f>
        <v>34.9030446732</v>
      </c>
      <c r="AP51" s="10">
        <f ca="1">IFERROR(SUMIFS('COM balance'!J$5:J$25,'COM balance'!$D$5:$D$25,'COM Assumptions'!$A51)*J51,"")</f>
        <v>12.551088556800002</v>
      </c>
      <c r="AQ51" s="10">
        <f ca="1">IFERROR(SUMIFS('COM balance'!K$5:K$25,'COM balance'!$D$5:$D$25,'COM Assumptions'!$A51)*K51,"")</f>
        <v>0</v>
      </c>
      <c r="AR51" s="10">
        <f ca="1">IFERROR(SUMIFS('COM balance'!L$5:L$25,'COM balance'!$D$5:$D$25,'COM Assumptions'!$A51)*L51,"")</f>
        <v>0</v>
      </c>
      <c r="AS51" s="10">
        <f ca="1">IFERROR(SUMIFS('COM balance'!M$5:M$25,'COM balance'!$D$5:$D$25,'COM Assumptions'!$A51)*M51,"")</f>
        <v>0.29199999240000002</v>
      </c>
      <c r="AT51" s="10">
        <f ca="1">IFERROR(SUMIFS('COM balance'!N$5:N$25,'COM balance'!$D$5:$D$25,'COM Assumptions'!$A51)*N51,"")</f>
        <v>138.47320162080001</v>
      </c>
      <c r="AU51" s="10">
        <f ca="1">IFERROR(SUMIFS('COM balance'!O$5:O$25,'COM balance'!$D$5:$D$25,'COM Assumptions'!$A51)*O51,"")</f>
        <v>128.08354437720001</v>
      </c>
      <c r="AV51" s="10">
        <f ca="1">IFERROR(SUMIFS('COM balance'!P$5:P$25,'COM balance'!$D$5:$D$25,'COM Assumptions'!$A51)*P51,"")</f>
        <v>112.67438704200001</v>
      </c>
      <c r="AW51" s="10">
        <f ca="1">IFERROR(SUMIFS('COM balance'!Q$5:Q$25,'COM balance'!$D$5:$D$25,'COM Assumptions'!$A51)*Q51,"")</f>
        <v>15.421098088800001</v>
      </c>
      <c r="AX51" s="10">
        <f ca="1">IFERROR(SUMIFS('COM balance'!R$5:R$25,'COM balance'!$D$5:$D$25,'COM Assumptions'!$A51)*R51,"")</f>
        <v>12.413472627599999</v>
      </c>
      <c r="AY51" s="10">
        <f ca="1">IFERROR(SUMIFS('COM balance'!S$5:S$25,'COM balance'!$D$5:$D$25,'COM Assumptions'!$A51)*S51,"")</f>
        <v>22.328476542000001</v>
      </c>
      <c r="AZ51" s="10">
        <f ca="1">IFERROR(SUMIFS('COM balance'!T$5:T$25,'COM balance'!$D$5:$D$25,'COM Assumptions'!$A51)*T51,"")</f>
        <v>0.9996236208</v>
      </c>
      <c r="BA51" s="10">
        <f ca="1">IFERROR(SUMIFS('COM balance'!U$5:U$25,'COM balance'!$D$5:$D$25,'COM Assumptions'!$A51)*U51,"")</f>
        <v>122.94034946639999</v>
      </c>
      <c r="BB51" s="10">
        <f ca="1">IFERROR(SUMIFS('COM balance'!V$5:V$25,'COM balance'!$D$5:$D$25,'COM Assumptions'!$A51)*V51,"")</f>
        <v>33.509020305600004</v>
      </c>
      <c r="BC51" s="10">
        <f ca="1">IFERROR(SUMIFS('COM balance'!W$5:W$25,'COM balance'!$D$5:$D$25,'COM Assumptions'!$A51)*W51,"")</f>
        <v>58.193999546400001</v>
      </c>
      <c r="BD51" s="10">
        <f ca="1">IFERROR(SUMIFS('COM balance'!X$5:X$25,'COM balance'!$D$5:$D$25,'COM Assumptions'!$A51)*X51,"")</f>
        <v>0</v>
      </c>
      <c r="BE51" s="10">
        <f ca="1">IFERROR(SUMIFS('COM balance'!Y$5:Y$25,'COM balance'!$D$5:$D$25,'COM Assumptions'!$A51)*Y51,"")</f>
        <v>0</v>
      </c>
      <c r="BF51" s="10">
        <f ca="1">IFERROR(SUMIFS('COM balance'!Z$5:Z$25,'COM balance'!$D$5:$D$25,'COM Assumptions'!$A51)*Z51,"")</f>
        <v>0</v>
      </c>
      <c r="BG51" s="10">
        <f ca="1">IFERROR(SUMIFS('COM balance'!AA$5:AA$25,'COM balance'!$D$5:$D$25,'COM Assumptions'!$A51)*AA51,"")</f>
        <v>0</v>
      </c>
      <c r="BH51" s="10">
        <f ca="1">IFERROR(SUMIFS('COM balance'!AB$5:AB$25,'COM balance'!$D$5:$D$25,'COM Assumptions'!$A51)*AB51,"")</f>
        <v>27.786133627200002</v>
      </c>
      <c r="BI51" s="10">
        <f ca="1">IFERROR(SUMIFS('COM balance'!AC$5:AC$25,'COM balance'!$D$5:$D$25,'COM Assumptions'!$A51)*AC51,"")</f>
        <v>791.34960101399997</v>
      </c>
      <c r="BJ51" s="10">
        <f ca="1">IFERROR(SUMIFS('COM balance'!AD$5:AD$25,'COM balance'!$D$5:$D$25,'COM Assumptions'!$A51)*AD51,"")</f>
        <v>0</v>
      </c>
      <c r="BK51" s="10">
        <f ca="1">IFERROR(SUMIFS('COM balance'!AE$5:AE$25,'COM balance'!$D$5:$D$25,'COM Assumptions'!$A51)*AE51,"")</f>
        <v>0</v>
      </c>
      <c r="BL51" s="10">
        <f ca="1">IFERROR(SUMIFS('COM balance'!AF$5:AF$25,'COM balance'!$D$5:$D$25,'COM Assumptions'!$A51)*AF51,"")</f>
        <v>12.561651853200001</v>
      </c>
      <c r="BM51" s="10">
        <f ca="1">IFERROR(SUMIFS('COM balance'!AG$5:AG$25,'COM balance'!$D$5:$D$25,'COM Assumptions'!$A51)*AG51,"")</f>
        <v>53.0122400208</v>
      </c>
      <c r="BN51" s="10">
        <f ca="1">IFERROR(SUMIFS('COM balance'!AH$5:AH$25,'COM balance'!$D$5:$D$25,'COM Assumptions'!$A51)*AH51,"")</f>
        <v>0</v>
      </c>
      <c r="BO51" s="8"/>
    </row>
    <row r="52" spans="1:67" x14ac:dyDescent="0.45">
      <c r="A52" s="8" t="str">
        <f>VLOOKUP(C52,'COM balance'!$AM$5:$AN$25,2,FALSE)</f>
        <v>COMHET</v>
      </c>
      <c r="B52" s="36"/>
      <c r="C52" s="20" t="s">
        <v>79</v>
      </c>
      <c r="D52" s="41" t="s">
        <v>84</v>
      </c>
      <c r="E52" s="25">
        <f ca="1">OFFSET('COM Assumptions T15'!$D52,0,MATCH(VLOOKUP('COM Assumptions'!E$2,'RES Assumptions T15'!$V$3:$W$35,2,FALSE),'COM Assumptions T15'!$E$2:$S$2,0))</f>
        <v>0</v>
      </c>
      <c r="F52" s="25">
        <f ca="1">OFFSET('COM Assumptions T15'!$D52,0,MATCH(VLOOKUP('COM Assumptions'!F$2,'RES Assumptions T15'!$V$3:$W$35,2,FALSE),'COM Assumptions T15'!$E$2:$S$2,0))</f>
        <v>0</v>
      </c>
      <c r="G52" s="25">
        <f ca="1">OFFSET('COM Assumptions T15'!$D52,0,MATCH(VLOOKUP('COM Assumptions'!G$2,'RES Assumptions T15'!$V$3:$W$35,2,FALSE),'COM Assumptions T15'!$E$2:$S$2,0))</f>
        <v>0</v>
      </c>
      <c r="H52" s="25">
        <f ca="1">OFFSET('COM Assumptions T15'!$D52,0,MATCH(VLOOKUP('COM Assumptions'!H$2,'RES Assumptions T15'!$V$3:$W$35,2,FALSE),'COM Assumptions T15'!$E$2:$S$2,0))</f>
        <v>0</v>
      </c>
      <c r="I52" s="25">
        <f ca="1">OFFSET('COM Assumptions T15'!$D52,0,MATCH(VLOOKUP('COM Assumptions'!I$2,'RES Assumptions T15'!$V$3:$W$35,2,FALSE),'COM Assumptions T15'!$E$2:$S$2,0))</f>
        <v>0</v>
      </c>
      <c r="J52" s="25">
        <f ca="1">OFFSET('COM Assumptions T15'!$D52,0,MATCH(VLOOKUP('COM Assumptions'!J$2,'RES Assumptions T15'!$V$3:$W$35,2,FALSE),'COM Assumptions T15'!$E$2:$S$2,0))</f>
        <v>0.2</v>
      </c>
      <c r="K52" s="25">
        <f ca="1">OFFSET('COM Assumptions T15'!$D52,0,MATCH(VLOOKUP('COM Assumptions'!K$2,'RES Assumptions T15'!$V$3:$W$35,2,FALSE),'COM Assumptions T15'!$E$2:$S$2,0))</f>
        <v>0</v>
      </c>
      <c r="L52" s="25">
        <f ca="1">OFFSET('COM Assumptions T15'!$D52,0,MATCH(VLOOKUP('COM Assumptions'!L$2,'RES Assumptions T15'!$V$3:$W$35,2,FALSE),'COM Assumptions T15'!$E$2:$S$2,0))</f>
        <v>0</v>
      </c>
      <c r="M52" s="25">
        <f ca="1">OFFSET('COM Assumptions T15'!$D52,0,MATCH(VLOOKUP('COM Assumptions'!M$2,'RES Assumptions T15'!$V$3:$W$35,2,FALSE),'COM Assumptions T15'!$E$2:$S$2,0))</f>
        <v>0</v>
      </c>
      <c r="N52" s="25">
        <f ca="1">OFFSET('COM Assumptions T15'!$D52,0,MATCH(VLOOKUP('COM Assumptions'!N$2,'RES Assumptions T15'!$V$3:$W$35,2,FALSE),'COM Assumptions T15'!$E$2:$S$2,0))</f>
        <v>0</v>
      </c>
      <c r="O52" s="25">
        <f ca="1">OFFSET('COM Assumptions T15'!$D52,0,MATCH(VLOOKUP('COM Assumptions'!O$2,'RES Assumptions T15'!$V$3:$W$35,2,FALSE),'COM Assumptions T15'!$E$2:$S$2,0))</f>
        <v>0</v>
      </c>
      <c r="P52" s="9">
        <f ca="1">OFFSET('COM Assumptions T15'!$D52,0,MATCH(VLOOKUP('COM Assumptions'!P$2,'RES Assumptions T15'!$V$3:$W$35,2,FALSE),'COM Assumptions T15'!$E$2:$S$2,0))</f>
        <v>0</v>
      </c>
      <c r="Q52" s="9">
        <f ca="1">OFFSET('COM Assumptions T15'!$D52,0,MATCH(VLOOKUP('COM Assumptions'!Q$2,'RES Assumptions T15'!$V$3:$W$35,2,FALSE),'COM Assumptions T15'!$E$2:$S$2,0))</f>
        <v>0</v>
      </c>
      <c r="R52" s="9">
        <f ca="1">OFFSET('COM Assumptions T15'!$D52,0,MATCH(VLOOKUP('COM Assumptions'!R$2,'RES Assumptions T15'!$V$3:$W$35,2,FALSE),'COM Assumptions T15'!$E$2:$S$2,0))</f>
        <v>0</v>
      </c>
      <c r="S52" s="9">
        <f ca="1">OFFSET('COM Assumptions T15'!$D52,0,MATCH(VLOOKUP('COM Assumptions'!S$2,'RES Assumptions T15'!$V$3:$W$35,2,FALSE),'COM Assumptions T15'!$E$2:$S$2,0))</f>
        <v>0</v>
      </c>
      <c r="T52" s="9">
        <f ca="1">OFFSET('COM Assumptions T15'!$D52,0,MATCH(VLOOKUP('COM Assumptions'!T$2,'RES Assumptions T15'!$V$3:$W$35,2,FALSE),'COM Assumptions T15'!$E$2:$S$2,0))</f>
        <v>0</v>
      </c>
      <c r="U52" s="9">
        <f ca="1">OFFSET('COM Assumptions T15'!$D52,0,MATCH(VLOOKUP('COM Assumptions'!U$2,'RES Assumptions T15'!$V$3:$W$35,2,FALSE),'COM Assumptions T15'!$E$2:$S$2,0))</f>
        <v>0</v>
      </c>
      <c r="V52" s="9">
        <f ca="1">OFFSET('COM Assumptions T15'!$D52,0,MATCH(VLOOKUP('COM Assumptions'!V$2,'RES Assumptions T15'!$V$3:$W$35,2,FALSE),'COM Assumptions T15'!$E$2:$S$2,0))</f>
        <v>0</v>
      </c>
      <c r="W52" s="9">
        <f ca="1">OFFSET('COM Assumptions T15'!$D52,0,MATCH(VLOOKUP('COM Assumptions'!W$2,'RES Assumptions T15'!$V$3:$W$35,2,FALSE),'COM Assumptions T15'!$E$2:$S$2,0))</f>
        <v>0</v>
      </c>
      <c r="X52" s="9">
        <f ca="1">OFFSET('COM Assumptions T15'!$D52,0,MATCH(VLOOKUP('COM Assumptions'!X$2,'RES Assumptions T15'!$V$3:$W$35,2,FALSE),'COM Assumptions T15'!$E$2:$S$2,0))</f>
        <v>0</v>
      </c>
      <c r="Y52" s="9">
        <f ca="1">OFFSET('COM Assumptions T15'!$D52,0,MATCH(VLOOKUP('COM Assumptions'!Y$2,'RES Assumptions T15'!$V$3:$W$35,2,FALSE),'COM Assumptions T15'!$E$2:$S$2,0))</f>
        <v>0</v>
      </c>
      <c r="Z52" s="9">
        <f ca="1">OFFSET('COM Assumptions T15'!$D52,0,MATCH(VLOOKUP('COM Assumptions'!Z$2,'RES Assumptions T15'!$V$3:$W$35,2,FALSE),'COM Assumptions T15'!$E$2:$S$2,0))</f>
        <v>0</v>
      </c>
      <c r="AA52" s="9">
        <f ca="1">OFFSET('COM Assumptions T15'!$D52,0,MATCH(VLOOKUP('COM Assumptions'!AA$2,'RES Assumptions T15'!$V$3:$W$35,2,FALSE),'COM Assumptions T15'!$E$2:$S$2,0))</f>
        <v>0</v>
      </c>
      <c r="AB52" s="9">
        <f ca="1">OFFSET('COM Assumptions T15'!$D52,0,MATCH(VLOOKUP('COM Assumptions'!AB$2,'RES Assumptions T15'!$V$3:$W$35,2,FALSE),'COM Assumptions T15'!$E$2:$S$2,0))</f>
        <v>0</v>
      </c>
      <c r="AC52" s="9">
        <f ca="1">OFFSET('COM Assumptions T15'!$D52,0,MATCH(VLOOKUP('COM Assumptions'!AC$2,'RES Assumptions T15'!$V$3:$W$35,2,FALSE),'COM Assumptions T15'!$E$2:$S$2,0))</f>
        <v>0</v>
      </c>
      <c r="AD52" s="9">
        <f ca="1">OFFSET('COM Assumptions T15'!$D52,0,MATCH(VLOOKUP('COM Assumptions'!AD$2,'RES Assumptions T15'!$V$3:$W$35,2,FALSE),'COM Assumptions T15'!$E$2:$S$2,0))</f>
        <v>0</v>
      </c>
      <c r="AE52" s="9">
        <f ca="1">OFFSET('COM Assumptions T15'!$D52,0,MATCH(VLOOKUP('COM Assumptions'!AE$2,'RES Assumptions T15'!$V$3:$W$35,2,FALSE),'COM Assumptions T15'!$E$2:$S$2,0))</f>
        <v>0</v>
      </c>
      <c r="AF52" s="9">
        <f ca="1">OFFSET('COM Assumptions T15'!$D52,0,MATCH(VLOOKUP('COM Assumptions'!AF$2,'RES Assumptions T15'!$V$3:$W$35,2,FALSE),'COM Assumptions T15'!$E$2:$S$2,0))</f>
        <v>0</v>
      </c>
      <c r="AG52" s="9">
        <f ca="1">OFFSET('COM Assumptions T15'!$D52,0,MATCH(VLOOKUP('COM Assumptions'!AG$2,'RES Assumptions T15'!$V$3:$W$35,2,FALSE),'COM Assumptions T15'!$E$2:$S$2,0))</f>
        <v>0</v>
      </c>
      <c r="AH52" s="9">
        <f ca="1">OFFSET('COM Assumptions T15'!$D52,0,MATCH(VLOOKUP('COM Assumptions'!AH$2,'RES Assumptions T15'!$V$3:$W$35,2,FALSE),'COM Assumptions T15'!$E$2:$S$2,0))</f>
        <v>0</v>
      </c>
      <c r="AI52" s="1"/>
      <c r="AJ52" s="8"/>
      <c r="AK52" s="10">
        <f ca="1">IFERROR(SUMIFS('COM balance'!E$5:E$25,'COM balance'!$D$5:$D$25,'COM Assumptions'!$A52)*E52,"")</f>
        <v>0</v>
      </c>
      <c r="AL52" s="10">
        <f ca="1">IFERROR(SUMIFS('COM balance'!F$5:F$25,'COM balance'!$D$5:$D$25,'COM Assumptions'!$A52)*F52,"")</f>
        <v>0</v>
      </c>
      <c r="AM52" s="10">
        <f ca="1">IFERROR(SUMIFS('COM balance'!G$5:G$25,'COM balance'!$D$5:$D$25,'COM Assumptions'!$A52)*G52,"")</f>
        <v>0</v>
      </c>
      <c r="AN52" s="10">
        <f ca="1">IFERROR(SUMIFS('COM balance'!H$5:H$25,'COM balance'!$D$5:$D$25,'COM Assumptions'!$A52)*H52,"")</f>
        <v>0</v>
      </c>
      <c r="AO52" s="10">
        <f ca="1">IFERROR(SUMIFS('COM balance'!I$5:I$25,'COM balance'!$D$5:$D$25,'COM Assumptions'!$A52)*I52,"")</f>
        <v>0</v>
      </c>
      <c r="AP52" s="10">
        <f ca="1">IFERROR(SUMIFS('COM balance'!J$5:J$25,'COM balance'!$D$5:$D$25,'COM Assumptions'!$A52)*J52,"")</f>
        <v>3.1377721392000004</v>
      </c>
      <c r="AQ52" s="10">
        <f ca="1">IFERROR(SUMIFS('COM balance'!K$5:K$25,'COM balance'!$D$5:$D$25,'COM Assumptions'!$A52)*K52,"")</f>
        <v>0</v>
      </c>
      <c r="AR52" s="10">
        <f ca="1">IFERROR(SUMIFS('COM balance'!L$5:L$25,'COM balance'!$D$5:$D$25,'COM Assumptions'!$A52)*L52,"")</f>
        <v>0</v>
      </c>
      <c r="AS52" s="10">
        <f ca="1">IFERROR(SUMIFS('COM balance'!M$5:M$25,'COM balance'!$D$5:$D$25,'COM Assumptions'!$A52)*M52,"")</f>
        <v>0</v>
      </c>
      <c r="AT52" s="10">
        <f ca="1">IFERROR(SUMIFS('COM balance'!N$5:N$25,'COM balance'!$D$5:$D$25,'COM Assumptions'!$A52)*N52,"")</f>
        <v>0</v>
      </c>
      <c r="AU52" s="10">
        <f ca="1">IFERROR(SUMIFS('COM balance'!O$5:O$25,'COM balance'!$D$5:$D$25,'COM Assumptions'!$A52)*O52,"")</f>
        <v>0</v>
      </c>
      <c r="AV52" s="10">
        <f ca="1">IFERROR(SUMIFS('COM balance'!P$5:P$25,'COM balance'!$D$5:$D$25,'COM Assumptions'!$A52)*P52,"")</f>
        <v>0</v>
      </c>
      <c r="AW52" s="10">
        <f ca="1">IFERROR(SUMIFS('COM balance'!Q$5:Q$25,'COM balance'!$D$5:$D$25,'COM Assumptions'!$A52)*Q52,"")</f>
        <v>0</v>
      </c>
      <c r="AX52" s="10">
        <f ca="1">IFERROR(SUMIFS('COM balance'!R$5:R$25,'COM balance'!$D$5:$D$25,'COM Assumptions'!$A52)*R52,"")</f>
        <v>0</v>
      </c>
      <c r="AY52" s="10">
        <f ca="1">IFERROR(SUMIFS('COM balance'!S$5:S$25,'COM balance'!$D$5:$D$25,'COM Assumptions'!$A52)*S52,"")</f>
        <v>0</v>
      </c>
      <c r="AZ52" s="10">
        <f ca="1">IFERROR(SUMIFS('COM balance'!T$5:T$25,'COM balance'!$D$5:$D$25,'COM Assumptions'!$A52)*T52,"")</f>
        <v>0</v>
      </c>
      <c r="BA52" s="10">
        <f ca="1">IFERROR(SUMIFS('COM balance'!U$5:U$25,'COM balance'!$D$5:$D$25,'COM Assumptions'!$A52)*U52,"")</f>
        <v>0</v>
      </c>
      <c r="BB52" s="10">
        <f ca="1">IFERROR(SUMIFS('COM balance'!V$5:V$25,'COM balance'!$D$5:$D$25,'COM Assumptions'!$A52)*V52,"")</f>
        <v>0</v>
      </c>
      <c r="BC52" s="10">
        <f ca="1">IFERROR(SUMIFS('COM balance'!W$5:W$25,'COM balance'!$D$5:$D$25,'COM Assumptions'!$A52)*W52,"")</f>
        <v>0</v>
      </c>
      <c r="BD52" s="10">
        <f ca="1">IFERROR(SUMIFS('COM balance'!X$5:X$25,'COM balance'!$D$5:$D$25,'COM Assumptions'!$A52)*X52,"")</f>
        <v>0</v>
      </c>
      <c r="BE52" s="10">
        <f ca="1">IFERROR(SUMIFS('COM balance'!Y$5:Y$25,'COM balance'!$D$5:$D$25,'COM Assumptions'!$A52)*Y52,"")</f>
        <v>0</v>
      </c>
      <c r="BF52" s="10">
        <f ca="1">IFERROR(SUMIFS('COM balance'!Z$5:Z$25,'COM balance'!$D$5:$D$25,'COM Assumptions'!$A52)*Z52,"")</f>
        <v>0</v>
      </c>
      <c r="BG52" s="10">
        <f ca="1">IFERROR(SUMIFS('COM balance'!AA$5:AA$25,'COM balance'!$D$5:$D$25,'COM Assumptions'!$A52)*AA52,"")</f>
        <v>0</v>
      </c>
      <c r="BH52" s="10">
        <f ca="1">IFERROR(SUMIFS('COM balance'!AB$5:AB$25,'COM balance'!$D$5:$D$25,'COM Assumptions'!$A52)*AB52,"")</f>
        <v>0</v>
      </c>
      <c r="BI52" s="10">
        <f ca="1">IFERROR(SUMIFS('COM balance'!AC$5:AC$25,'COM balance'!$D$5:$D$25,'COM Assumptions'!$A52)*AC52,"")</f>
        <v>0</v>
      </c>
      <c r="BJ52" s="10">
        <f ca="1">IFERROR(SUMIFS('COM balance'!AD$5:AD$25,'COM balance'!$D$5:$D$25,'COM Assumptions'!$A52)*AD52,"")</f>
        <v>0</v>
      </c>
      <c r="BK52" s="10">
        <f ca="1">IFERROR(SUMIFS('COM balance'!AE$5:AE$25,'COM balance'!$D$5:$D$25,'COM Assumptions'!$A52)*AE52,"")</f>
        <v>0</v>
      </c>
      <c r="BL52" s="10">
        <f ca="1">IFERROR(SUMIFS('COM balance'!AF$5:AF$25,'COM balance'!$D$5:$D$25,'COM Assumptions'!$A52)*AF52,"")</f>
        <v>0</v>
      </c>
      <c r="BM52" s="10">
        <f ca="1">IFERROR(SUMIFS('COM balance'!AG$5:AG$25,'COM balance'!$D$5:$D$25,'COM Assumptions'!$A52)*AG52,"")</f>
        <v>0</v>
      </c>
      <c r="BN52" s="10">
        <f ca="1">IFERROR(SUMIFS('COM balance'!AH$5:AH$25,'COM balance'!$D$5:$D$25,'COM Assumptions'!$A52)*AH52,"")</f>
        <v>0</v>
      </c>
      <c r="BO52" s="8"/>
    </row>
    <row r="53" spans="1:67" x14ac:dyDescent="0.45">
      <c r="A53" s="8" t="str">
        <f>VLOOKUP(C53,'COM balance'!$AM$5:$AN$25,2,FALSE)</f>
        <v>COMHET</v>
      </c>
      <c r="B53" s="36"/>
      <c r="C53" s="22" t="s">
        <v>79</v>
      </c>
      <c r="D53" s="42" t="s">
        <v>89</v>
      </c>
      <c r="E53" s="26">
        <f ca="1">OFFSET('COM Assumptions T15'!$D53,0,MATCH(VLOOKUP('COM Assumptions'!E$2,'RES Assumptions T15'!$V$3:$W$35,2,FALSE),'COM Assumptions T15'!$E$2:$S$2,0))</f>
        <v>0</v>
      </c>
      <c r="F53" s="26">
        <f ca="1">OFFSET('COM Assumptions T15'!$D53,0,MATCH(VLOOKUP('COM Assumptions'!F$2,'RES Assumptions T15'!$V$3:$W$35,2,FALSE),'COM Assumptions T15'!$E$2:$S$2,0))</f>
        <v>0</v>
      </c>
      <c r="G53" s="26">
        <f ca="1">OFFSET('COM Assumptions T15'!$D53,0,MATCH(VLOOKUP('COM Assumptions'!G$2,'RES Assumptions T15'!$V$3:$W$35,2,FALSE),'COM Assumptions T15'!$E$2:$S$2,0))</f>
        <v>0</v>
      </c>
      <c r="H53" s="26">
        <f ca="1">OFFSET('COM Assumptions T15'!$D53,0,MATCH(VLOOKUP('COM Assumptions'!H$2,'RES Assumptions T15'!$V$3:$W$35,2,FALSE),'COM Assumptions T15'!$E$2:$S$2,0))</f>
        <v>0</v>
      </c>
      <c r="I53" s="26">
        <f ca="1">OFFSET('COM Assumptions T15'!$D53,0,MATCH(VLOOKUP('COM Assumptions'!I$2,'RES Assumptions T15'!$V$3:$W$35,2,FALSE),'COM Assumptions T15'!$E$2:$S$2,0))</f>
        <v>0</v>
      </c>
      <c r="J53" s="26">
        <f ca="1">OFFSET('COM Assumptions T15'!$D53,0,MATCH(VLOOKUP('COM Assumptions'!J$2,'RES Assumptions T15'!$V$3:$W$35,2,FALSE),'COM Assumptions T15'!$E$2:$S$2,0))</f>
        <v>0</v>
      </c>
      <c r="K53" s="26">
        <f ca="1">OFFSET('COM Assumptions T15'!$D53,0,MATCH(VLOOKUP('COM Assumptions'!K$2,'RES Assumptions T15'!$V$3:$W$35,2,FALSE),'COM Assumptions T15'!$E$2:$S$2,0))</f>
        <v>0</v>
      </c>
      <c r="L53" s="26">
        <f ca="1">OFFSET('COM Assumptions T15'!$D53,0,MATCH(VLOOKUP('COM Assumptions'!L$2,'RES Assumptions T15'!$V$3:$W$35,2,FALSE),'COM Assumptions T15'!$E$2:$S$2,0))</f>
        <v>0</v>
      </c>
      <c r="M53" s="26">
        <f ca="1">OFFSET('COM Assumptions T15'!$D53,0,MATCH(VLOOKUP('COM Assumptions'!M$2,'RES Assumptions T15'!$V$3:$W$35,2,FALSE),'COM Assumptions T15'!$E$2:$S$2,0))</f>
        <v>0</v>
      </c>
      <c r="N53" s="26">
        <f ca="1">OFFSET('COM Assumptions T15'!$D53,0,MATCH(VLOOKUP('COM Assumptions'!N$2,'RES Assumptions T15'!$V$3:$W$35,2,FALSE),'COM Assumptions T15'!$E$2:$S$2,0))</f>
        <v>0</v>
      </c>
      <c r="O53" s="26">
        <f ca="1">OFFSET('COM Assumptions T15'!$D53,0,MATCH(VLOOKUP('COM Assumptions'!O$2,'RES Assumptions T15'!$V$3:$W$35,2,FALSE),'COM Assumptions T15'!$E$2:$S$2,0))</f>
        <v>0</v>
      </c>
      <c r="P53" s="9">
        <f ca="1">OFFSET('COM Assumptions T15'!$D53,0,MATCH(VLOOKUP('COM Assumptions'!P$2,'RES Assumptions T15'!$V$3:$W$35,2,FALSE),'COM Assumptions T15'!$E$2:$S$2,0))</f>
        <v>0</v>
      </c>
      <c r="Q53" s="9">
        <f ca="1">OFFSET('COM Assumptions T15'!$D53,0,MATCH(VLOOKUP('COM Assumptions'!Q$2,'RES Assumptions T15'!$V$3:$W$35,2,FALSE),'COM Assumptions T15'!$E$2:$S$2,0))</f>
        <v>0</v>
      </c>
      <c r="R53" s="9">
        <f ca="1">OFFSET('COM Assumptions T15'!$D53,0,MATCH(VLOOKUP('COM Assumptions'!R$2,'RES Assumptions T15'!$V$3:$W$35,2,FALSE),'COM Assumptions T15'!$E$2:$S$2,0))</f>
        <v>0</v>
      </c>
      <c r="S53" s="9">
        <f ca="1">OFFSET('COM Assumptions T15'!$D53,0,MATCH(VLOOKUP('COM Assumptions'!S$2,'RES Assumptions T15'!$V$3:$W$35,2,FALSE),'COM Assumptions T15'!$E$2:$S$2,0))</f>
        <v>0</v>
      </c>
      <c r="T53" s="9">
        <f ca="1">OFFSET('COM Assumptions T15'!$D53,0,MATCH(VLOOKUP('COM Assumptions'!T$2,'RES Assumptions T15'!$V$3:$W$35,2,FALSE),'COM Assumptions T15'!$E$2:$S$2,0))</f>
        <v>0</v>
      </c>
      <c r="U53" s="9">
        <f ca="1">OFFSET('COM Assumptions T15'!$D53,0,MATCH(VLOOKUP('COM Assumptions'!U$2,'RES Assumptions T15'!$V$3:$W$35,2,FALSE),'COM Assumptions T15'!$E$2:$S$2,0))</f>
        <v>0</v>
      </c>
      <c r="V53" s="9">
        <f ca="1">OFFSET('COM Assumptions T15'!$D53,0,MATCH(VLOOKUP('COM Assumptions'!V$2,'RES Assumptions T15'!$V$3:$W$35,2,FALSE),'COM Assumptions T15'!$E$2:$S$2,0))</f>
        <v>0</v>
      </c>
      <c r="W53" s="9">
        <f ca="1">OFFSET('COM Assumptions T15'!$D53,0,MATCH(VLOOKUP('COM Assumptions'!W$2,'RES Assumptions T15'!$V$3:$W$35,2,FALSE),'COM Assumptions T15'!$E$2:$S$2,0))</f>
        <v>0</v>
      </c>
      <c r="X53" s="9">
        <f ca="1">OFFSET('COM Assumptions T15'!$D53,0,MATCH(VLOOKUP('COM Assumptions'!X$2,'RES Assumptions T15'!$V$3:$W$35,2,FALSE),'COM Assumptions T15'!$E$2:$S$2,0))</f>
        <v>0</v>
      </c>
      <c r="Y53" s="9">
        <f ca="1">OFFSET('COM Assumptions T15'!$D53,0,MATCH(VLOOKUP('COM Assumptions'!Y$2,'RES Assumptions T15'!$V$3:$W$35,2,FALSE),'COM Assumptions T15'!$E$2:$S$2,0))</f>
        <v>0</v>
      </c>
      <c r="Z53" s="9">
        <f ca="1">OFFSET('COM Assumptions T15'!$D53,0,MATCH(VLOOKUP('COM Assumptions'!Z$2,'RES Assumptions T15'!$V$3:$W$35,2,FALSE),'COM Assumptions T15'!$E$2:$S$2,0))</f>
        <v>0</v>
      </c>
      <c r="AA53" s="9">
        <f ca="1">OFFSET('COM Assumptions T15'!$D53,0,MATCH(VLOOKUP('COM Assumptions'!AA$2,'RES Assumptions T15'!$V$3:$W$35,2,FALSE),'COM Assumptions T15'!$E$2:$S$2,0))</f>
        <v>0</v>
      </c>
      <c r="AB53" s="9">
        <f ca="1">OFFSET('COM Assumptions T15'!$D53,0,MATCH(VLOOKUP('COM Assumptions'!AB$2,'RES Assumptions T15'!$V$3:$W$35,2,FALSE),'COM Assumptions T15'!$E$2:$S$2,0))</f>
        <v>0</v>
      </c>
      <c r="AC53" s="9">
        <f ca="1">OFFSET('COM Assumptions T15'!$D53,0,MATCH(VLOOKUP('COM Assumptions'!AC$2,'RES Assumptions T15'!$V$3:$W$35,2,FALSE),'COM Assumptions T15'!$E$2:$S$2,0))</f>
        <v>0</v>
      </c>
      <c r="AD53" s="9">
        <f ca="1">OFFSET('COM Assumptions T15'!$D53,0,MATCH(VLOOKUP('COM Assumptions'!AD$2,'RES Assumptions T15'!$V$3:$W$35,2,FALSE),'COM Assumptions T15'!$E$2:$S$2,0))</f>
        <v>0</v>
      </c>
      <c r="AE53" s="9">
        <f ca="1">OFFSET('COM Assumptions T15'!$D53,0,MATCH(VLOOKUP('COM Assumptions'!AE$2,'RES Assumptions T15'!$V$3:$W$35,2,FALSE),'COM Assumptions T15'!$E$2:$S$2,0))</f>
        <v>0</v>
      </c>
      <c r="AF53" s="9">
        <f ca="1">OFFSET('COM Assumptions T15'!$D53,0,MATCH(VLOOKUP('COM Assumptions'!AF$2,'RES Assumptions T15'!$V$3:$W$35,2,FALSE),'COM Assumptions T15'!$E$2:$S$2,0))</f>
        <v>0</v>
      </c>
      <c r="AG53" s="9">
        <f ca="1">OFFSET('COM Assumptions T15'!$D53,0,MATCH(VLOOKUP('COM Assumptions'!AG$2,'RES Assumptions T15'!$V$3:$W$35,2,FALSE),'COM Assumptions T15'!$E$2:$S$2,0))</f>
        <v>0</v>
      </c>
      <c r="AH53" s="9">
        <f ca="1">OFFSET('COM Assumptions T15'!$D53,0,MATCH(VLOOKUP('COM Assumptions'!AH$2,'RES Assumptions T15'!$V$3:$W$35,2,FALSE),'COM Assumptions T15'!$E$2:$S$2,0))</f>
        <v>0</v>
      </c>
      <c r="AI53" s="1"/>
      <c r="AJ53" s="8"/>
      <c r="AK53" s="10">
        <f ca="1">IFERROR(SUMIFS('COM balance'!E$5:E$25,'COM balance'!$D$5:$D$25,'COM Assumptions'!$A53)*E53,"")</f>
        <v>0</v>
      </c>
      <c r="AL53" s="10">
        <f ca="1">IFERROR(SUMIFS('COM balance'!F$5:F$25,'COM balance'!$D$5:$D$25,'COM Assumptions'!$A53)*F53,"")</f>
        <v>0</v>
      </c>
      <c r="AM53" s="10">
        <f ca="1">IFERROR(SUMIFS('COM balance'!G$5:G$25,'COM balance'!$D$5:$D$25,'COM Assumptions'!$A53)*G53,"")</f>
        <v>0</v>
      </c>
      <c r="AN53" s="10">
        <f ca="1">IFERROR(SUMIFS('COM balance'!H$5:H$25,'COM balance'!$D$5:$D$25,'COM Assumptions'!$A53)*H53,"")</f>
        <v>0</v>
      </c>
      <c r="AO53" s="10">
        <f ca="1">IFERROR(SUMIFS('COM balance'!I$5:I$25,'COM balance'!$D$5:$D$25,'COM Assumptions'!$A53)*I53,"")</f>
        <v>0</v>
      </c>
      <c r="AP53" s="10">
        <f ca="1">IFERROR(SUMIFS('COM balance'!J$5:J$25,'COM balance'!$D$5:$D$25,'COM Assumptions'!$A53)*J53,"")</f>
        <v>0</v>
      </c>
      <c r="AQ53" s="10">
        <f ca="1">IFERROR(SUMIFS('COM balance'!K$5:K$25,'COM balance'!$D$5:$D$25,'COM Assumptions'!$A53)*K53,"")</f>
        <v>0</v>
      </c>
      <c r="AR53" s="10">
        <f ca="1">IFERROR(SUMIFS('COM balance'!L$5:L$25,'COM balance'!$D$5:$D$25,'COM Assumptions'!$A53)*L53,"")</f>
        <v>0</v>
      </c>
      <c r="AS53" s="10">
        <f ca="1">IFERROR(SUMIFS('COM balance'!M$5:M$25,'COM balance'!$D$5:$D$25,'COM Assumptions'!$A53)*M53,"")</f>
        <v>0</v>
      </c>
      <c r="AT53" s="10">
        <f ca="1">IFERROR(SUMIFS('COM balance'!N$5:N$25,'COM balance'!$D$5:$D$25,'COM Assumptions'!$A53)*N53,"")</f>
        <v>0</v>
      </c>
      <c r="AU53" s="10">
        <f ca="1">IFERROR(SUMIFS('COM balance'!O$5:O$25,'COM balance'!$D$5:$D$25,'COM Assumptions'!$A53)*O53,"")</f>
        <v>0</v>
      </c>
      <c r="AV53" s="10">
        <f ca="1">IFERROR(SUMIFS('COM balance'!P$5:P$25,'COM balance'!$D$5:$D$25,'COM Assumptions'!$A53)*P53,"")</f>
        <v>0</v>
      </c>
      <c r="AW53" s="10">
        <f ca="1">IFERROR(SUMIFS('COM balance'!Q$5:Q$25,'COM balance'!$D$5:$D$25,'COM Assumptions'!$A53)*Q53,"")</f>
        <v>0</v>
      </c>
      <c r="AX53" s="10">
        <f ca="1">IFERROR(SUMIFS('COM balance'!R$5:R$25,'COM balance'!$D$5:$D$25,'COM Assumptions'!$A53)*R53,"")</f>
        <v>0</v>
      </c>
      <c r="AY53" s="10">
        <f ca="1">IFERROR(SUMIFS('COM balance'!S$5:S$25,'COM balance'!$D$5:$D$25,'COM Assumptions'!$A53)*S53,"")</f>
        <v>0</v>
      </c>
      <c r="AZ53" s="10">
        <f ca="1">IFERROR(SUMIFS('COM balance'!T$5:T$25,'COM balance'!$D$5:$D$25,'COM Assumptions'!$A53)*T53,"")</f>
        <v>0</v>
      </c>
      <c r="BA53" s="10">
        <f ca="1">IFERROR(SUMIFS('COM balance'!U$5:U$25,'COM balance'!$D$5:$D$25,'COM Assumptions'!$A53)*U53,"")</f>
        <v>0</v>
      </c>
      <c r="BB53" s="10">
        <f ca="1">IFERROR(SUMIFS('COM balance'!V$5:V$25,'COM balance'!$D$5:$D$25,'COM Assumptions'!$A53)*V53,"")</f>
        <v>0</v>
      </c>
      <c r="BC53" s="10">
        <f ca="1">IFERROR(SUMIFS('COM balance'!W$5:W$25,'COM balance'!$D$5:$D$25,'COM Assumptions'!$A53)*W53,"")</f>
        <v>0</v>
      </c>
      <c r="BD53" s="10">
        <f ca="1">IFERROR(SUMIFS('COM balance'!X$5:X$25,'COM balance'!$D$5:$D$25,'COM Assumptions'!$A53)*X53,"")</f>
        <v>0</v>
      </c>
      <c r="BE53" s="10">
        <f ca="1">IFERROR(SUMIFS('COM balance'!Y$5:Y$25,'COM balance'!$D$5:$D$25,'COM Assumptions'!$A53)*Y53,"")</f>
        <v>0</v>
      </c>
      <c r="BF53" s="10">
        <f ca="1">IFERROR(SUMIFS('COM balance'!Z$5:Z$25,'COM balance'!$D$5:$D$25,'COM Assumptions'!$A53)*Z53,"")</f>
        <v>0</v>
      </c>
      <c r="BG53" s="10">
        <f ca="1">IFERROR(SUMIFS('COM balance'!AA$5:AA$25,'COM balance'!$D$5:$D$25,'COM Assumptions'!$A53)*AA53,"")</f>
        <v>0</v>
      </c>
      <c r="BH53" s="10">
        <f ca="1">IFERROR(SUMIFS('COM balance'!AB$5:AB$25,'COM balance'!$D$5:$D$25,'COM Assumptions'!$A53)*AB53,"")</f>
        <v>0</v>
      </c>
      <c r="BI53" s="10">
        <f ca="1">IFERROR(SUMIFS('COM balance'!AC$5:AC$25,'COM balance'!$D$5:$D$25,'COM Assumptions'!$A53)*AC53,"")</f>
        <v>0</v>
      </c>
      <c r="BJ53" s="10">
        <f ca="1">IFERROR(SUMIFS('COM balance'!AD$5:AD$25,'COM balance'!$D$5:$D$25,'COM Assumptions'!$A53)*AD53,"")</f>
        <v>0</v>
      </c>
      <c r="BK53" s="10">
        <f ca="1">IFERROR(SUMIFS('COM balance'!AE$5:AE$25,'COM balance'!$D$5:$D$25,'COM Assumptions'!$A53)*AE53,"")</f>
        <v>0</v>
      </c>
      <c r="BL53" s="10">
        <f ca="1">IFERROR(SUMIFS('COM balance'!AF$5:AF$25,'COM balance'!$D$5:$D$25,'COM Assumptions'!$A53)*AF53,"")</f>
        <v>0</v>
      </c>
      <c r="BM53" s="10">
        <f ca="1">IFERROR(SUMIFS('COM balance'!AG$5:AG$25,'COM balance'!$D$5:$D$25,'COM Assumptions'!$A53)*AG53,"")</f>
        <v>0</v>
      </c>
      <c r="BN53" s="10">
        <f ca="1">IFERROR(SUMIFS('COM balance'!AH$5:AH$25,'COM balance'!$D$5:$D$25,'COM Assumptions'!$A53)*AH53,"")</f>
        <v>0</v>
      </c>
      <c r="BO53" s="8"/>
    </row>
    <row r="54" spans="1:67" x14ac:dyDescent="0.45">
      <c r="A54" s="8" t="str">
        <f>VLOOKUP(C54,'COM balance'!$AM$5:$AN$25,2,FALSE)</f>
        <v>COMGEO</v>
      </c>
      <c r="B54" s="36"/>
      <c r="C54" s="20" t="s">
        <v>80</v>
      </c>
      <c r="D54" s="41" t="s">
        <v>82</v>
      </c>
      <c r="E54" s="25">
        <f ca="1">OFFSET('COM Assumptions T15'!$D54,0,MATCH(VLOOKUP('COM Assumptions'!E$2,'RES Assumptions T15'!$V$3:$W$35,2,FALSE),'COM Assumptions T15'!$E$2:$S$2,0))</f>
        <v>1</v>
      </c>
      <c r="F54" s="25">
        <f ca="1">OFFSET('COM Assumptions T15'!$D54,0,MATCH(VLOOKUP('COM Assumptions'!F$2,'RES Assumptions T15'!$V$3:$W$35,2,FALSE),'COM Assumptions T15'!$E$2:$S$2,0))</f>
        <v>1</v>
      </c>
      <c r="G54" s="25">
        <f ca="1">OFFSET('COM Assumptions T15'!$D54,0,MATCH(VLOOKUP('COM Assumptions'!G$2,'RES Assumptions T15'!$V$3:$W$35,2,FALSE),'COM Assumptions T15'!$E$2:$S$2,0))</f>
        <v>1</v>
      </c>
      <c r="H54" s="25">
        <f ca="1">OFFSET('COM Assumptions T15'!$D54,0,MATCH(VLOOKUP('COM Assumptions'!H$2,'RES Assumptions T15'!$V$3:$W$35,2,FALSE),'COM Assumptions T15'!$E$2:$S$2,0))</f>
        <v>1</v>
      </c>
      <c r="I54" s="25">
        <f ca="1">OFFSET('COM Assumptions T15'!$D54,0,MATCH(VLOOKUP('COM Assumptions'!I$2,'RES Assumptions T15'!$V$3:$W$35,2,FALSE),'COM Assumptions T15'!$E$2:$S$2,0))</f>
        <v>0.9</v>
      </c>
      <c r="J54" s="25">
        <f ca="1">OFFSET('COM Assumptions T15'!$D54,0,MATCH(VLOOKUP('COM Assumptions'!J$2,'RES Assumptions T15'!$V$3:$W$35,2,FALSE),'COM Assumptions T15'!$E$2:$S$2,0))</f>
        <v>1</v>
      </c>
      <c r="K54" s="25">
        <f ca="1">OFFSET('COM Assumptions T15'!$D54,0,MATCH(VLOOKUP('COM Assumptions'!K$2,'RES Assumptions T15'!$V$3:$W$35,2,FALSE),'COM Assumptions T15'!$E$2:$S$2,0))</f>
        <v>1</v>
      </c>
      <c r="L54" s="25">
        <f ca="1">OFFSET('COM Assumptions T15'!$D54,0,MATCH(VLOOKUP('COM Assumptions'!L$2,'RES Assumptions T15'!$V$3:$W$35,2,FALSE),'COM Assumptions T15'!$E$2:$S$2,0))</f>
        <v>1</v>
      </c>
      <c r="M54" s="25">
        <f ca="1">OFFSET('COM Assumptions T15'!$D54,0,MATCH(VLOOKUP('COM Assumptions'!M$2,'RES Assumptions T15'!$V$3:$W$35,2,FALSE),'COM Assumptions T15'!$E$2:$S$2,0))</f>
        <v>0.85</v>
      </c>
      <c r="N54" s="25">
        <f ca="1">OFFSET('COM Assumptions T15'!$D54,0,MATCH(VLOOKUP('COM Assumptions'!N$2,'RES Assumptions T15'!$V$3:$W$35,2,FALSE),'COM Assumptions T15'!$E$2:$S$2,0))</f>
        <v>1</v>
      </c>
      <c r="O54" s="25">
        <f ca="1">OFFSET('COM Assumptions T15'!$D54,0,MATCH(VLOOKUP('COM Assumptions'!O$2,'RES Assumptions T15'!$V$3:$W$35,2,FALSE),'COM Assumptions T15'!$E$2:$S$2,0))</f>
        <v>0.85907483764910464</v>
      </c>
      <c r="P54" s="9">
        <f ca="1">OFFSET('COM Assumptions T15'!$D54,0,MATCH(VLOOKUP('COM Assumptions'!P$2,'RES Assumptions T15'!$V$3:$W$35,2,FALSE),'COM Assumptions T15'!$E$2:$S$2,0))</f>
        <v>0.8</v>
      </c>
      <c r="Q54" s="9">
        <f ca="1">OFFSET('COM Assumptions T15'!$D54,0,MATCH(VLOOKUP('COM Assumptions'!Q$2,'RES Assumptions T15'!$V$3:$W$35,2,FALSE),'COM Assumptions T15'!$E$2:$S$2,0))</f>
        <v>0.85907483764910464</v>
      </c>
      <c r="R54" s="9">
        <f ca="1">OFFSET('COM Assumptions T15'!$D54,0,MATCH(VLOOKUP('COM Assumptions'!R$2,'RES Assumptions T15'!$V$3:$W$35,2,FALSE),'COM Assumptions T15'!$E$2:$S$2,0))</f>
        <v>0.85907483764910464</v>
      </c>
      <c r="S54" s="9">
        <f ca="1">OFFSET('COM Assumptions T15'!$D54,0,MATCH(VLOOKUP('COM Assumptions'!S$2,'RES Assumptions T15'!$V$3:$W$35,2,FALSE),'COM Assumptions T15'!$E$2:$S$2,0))</f>
        <v>0.8</v>
      </c>
      <c r="T54" s="9">
        <f ca="1">OFFSET('COM Assumptions T15'!$D54,0,MATCH(VLOOKUP('COM Assumptions'!T$2,'RES Assumptions T15'!$V$3:$W$35,2,FALSE),'COM Assumptions T15'!$E$2:$S$2,0))</f>
        <v>0.85907483764910464</v>
      </c>
      <c r="U54" s="9">
        <f ca="1">OFFSET('COM Assumptions T15'!$D54,0,MATCH(VLOOKUP('COM Assumptions'!U$2,'RES Assumptions T15'!$V$3:$W$35,2,FALSE),'COM Assumptions T15'!$E$2:$S$2,0))</f>
        <v>0.8</v>
      </c>
      <c r="V54" s="9">
        <f ca="1">OFFSET('COM Assumptions T15'!$D54,0,MATCH(VLOOKUP('COM Assumptions'!V$2,'RES Assumptions T15'!$V$3:$W$35,2,FALSE),'COM Assumptions T15'!$E$2:$S$2,0))</f>
        <v>0.85907483764910464</v>
      </c>
      <c r="W54" s="9">
        <f ca="1">OFFSET('COM Assumptions T15'!$D54,0,MATCH(VLOOKUP('COM Assumptions'!W$2,'RES Assumptions T15'!$V$3:$W$35,2,FALSE),'COM Assumptions T15'!$E$2:$S$2,0))</f>
        <v>0.85907483764910464</v>
      </c>
      <c r="X54" s="9">
        <f ca="1">OFFSET('COM Assumptions T15'!$D54,0,MATCH(VLOOKUP('COM Assumptions'!X$2,'RES Assumptions T15'!$V$3:$W$35,2,FALSE),'COM Assumptions T15'!$E$2:$S$2,0))</f>
        <v>0</v>
      </c>
      <c r="Y54" s="9">
        <f ca="1">OFFSET('COM Assumptions T15'!$D54,0,MATCH(VLOOKUP('COM Assumptions'!Y$2,'RES Assumptions T15'!$V$3:$W$35,2,FALSE),'COM Assumptions T15'!$E$2:$S$2,0))</f>
        <v>1</v>
      </c>
      <c r="Z54" s="9">
        <f ca="1">OFFSET('COM Assumptions T15'!$D54,0,MATCH(VLOOKUP('COM Assumptions'!Z$2,'RES Assumptions T15'!$V$3:$W$35,2,FALSE),'COM Assumptions T15'!$E$2:$S$2,0))</f>
        <v>0.8</v>
      </c>
      <c r="AA54" s="9">
        <f ca="1">OFFSET('COM Assumptions T15'!$D54,0,MATCH(VLOOKUP('COM Assumptions'!AA$2,'RES Assumptions T15'!$V$3:$W$35,2,FALSE),'COM Assumptions T15'!$E$2:$S$2,0))</f>
        <v>0.8</v>
      </c>
      <c r="AB54" s="9">
        <f ca="1">OFFSET('COM Assumptions T15'!$D54,0,MATCH(VLOOKUP('COM Assumptions'!AB$2,'RES Assumptions T15'!$V$3:$W$35,2,FALSE),'COM Assumptions T15'!$E$2:$S$2,0))</f>
        <v>0.85907483764910464</v>
      </c>
      <c r="AC54" s="9">
        <f ca="1">OFFSET('COM Assumptions T15'!$D54,0,MATCH(VLOOKUP('COM Assumptions'!AC$2,'RES Assumptions T15'!$V$3:$W$35,2,FALSE),'COM Assumptions T15'!$E$2:$S$2,0))</f>
        <v>1</v>
      </c>
      <c r="AD54" s="9">
        <f ca="1">OFFSET('COM Assumptions T15'!$D54,0,MATCH(VLOOKUP('COM Assumptions'!AD$2,'RES Assumptions T15'!$V$3:$W$35,2,FALSE),'COM Assumptions T15'!$E$2:$S$2,0))</f>
        <v>0.8</v>
      </c>
      <c r="AE54" s="9">
        <f ca="1">OFFSET('COM Assumptions T15'!$D54,0,MATCH(VLOOKUP('COM Assumptions'!AE$2,'RES Assumptions T15'!$V$3:$W$35,2,FALSE),'COM Assumptions T15'!$E$2:$S$2,0))</f>
        <v>1</v>
      </c>
      <c r="AF54" s="9">
        <f ca="1">OFFSET('COM Assumptions T15'!$D54,0,MATCH(VLOOKUP('COM Assumptions'!AF$2,'RES Assumptions T15'!$V$3:$W$35,2,FALSE),'COM Assumptions T15'!$E$2:$S$2,0))</f>
        <v>0.85907483764910464</v>
      </c>
      <c r="AG54" s="9">
        <f ca="1">OFFSET('COM Assumptions T15'!$D54,0,MATCH(VLOOKUP('COM Assumptions'!AG$2,'RES Assumptions T15'!$V$3:$W$35,2,FALSE),'COM Assumptions T15'!$E$2:$S$2,0))</f>
        <v>0.85907483764910464</v>
      </c>
      <c r="AH54" s="9">
        <f ca="1">OFFSET('COM Assumptions T15'!$D54,0,MATCH(VLOOKUP('COM Assumptions'!AH$2,'RES Assumptions T15'!$V$3:$W$35,2,FALSE),'COM Assumptions T15'!$E$2:$S$2,0))</f>
        <v>0.85907483764910464</v>
      </c>
      <c r="AI54" s="1"/>
      <c r="AJ54" s="8"/>
      <c r="AK54" s="10">
        <f ca="1">IFERROR(SUMIFS('COM balance'!E$5:E$25,'COM balance'!$D$5:$D$25,'COM Assumptions'!$A54)*E54,"")</f>
        <v>0</v>
      </c>
      <c r="AL54" s="10">
        <f ca="1">IFERROR(SUMIFS('COM balance'!F$5:F$25,'COM balance'!$D$5:$D$25,'COM Assumptions'!$A54)*F54,"")</f>
        <v>0</v>
      </c>
      <c r="AM54" s="10">
        <f ca="1">IFERROR(SUMIFS('COM balance'!G$5:G$25,'COM balance'!$D$5:$D$25,'COM Assumptions'!$A54)*G54,"")</f>
        <v>0</v>
      </c>
      <c r="AN54" s="10">
        <f ca="1">IFERROR(SUMIFS('COM balance'!H$5:H$25,'COM balance'!$D$5:$D$25,'COM Assumptions'!$A54)*H54,"")</f>
        <v>0.37200136680000001</v>
      </c>
      <c r="AO54" s="10">
        <f ca="1">IFERROR(SUMIFS('COM balance'!I$5:I$25,'COM balance'!$D$5:$D$25,'COM Assumptions'!$A54)*I54,"")</f>
        <v>7.7222796206399993</v>
      </c>
      <c r="AP54" s="10">
        <f ca="1">IFERROR(SUMIFS('COM balance'!J$5:J$25,'COM balance'!$D$5:$D$25,'COM Assumptions'!$A54)*J54,"")</f>
        <v>0</v>
      </c>
      <c r="AQ54" s="10">
        <f ca="1">IFERROR(SUMIFS('COM balance'!K$5:K$25,'COM balance'!$D$5:$D$25,'COM Assumptions'!$A54)*K54,"")</f>
        <v>2.3777800164</v>
      </c>
      <c r="AR54" s="10">
        <f ca="1">IFERROR(SUMIFS('COM balance'!L$5:L$25,'COM balance'!$D$5:$D$25,'COM Assumptions'!$A54)*L54,"")</f>
        <v>0</v>
      </c>
      <c r="AS54" s="10">
        <f ca="1">IFERROR(SUMIFS('COM balance'!M$5:M$25,'COM balance'!$D$5:$D$25,'COM Assumptions'!$A54)*M54,"")</f>
        <v>0</v>
      </c>
      <c r="AT54" s="10">
        <f ca="1">IFERROR(SUMIFS('COM balance'!N$5:N$25,'COM balance'!$D$5:$D$25,'COM Assumptions'!$A54)*N54,"")</f>
        <v>149.181378048</v>
      </c>
      <c r="AU54" s="10">
        <f ca="1">IFERROR(SUMIFS('COM balance'!O$5:O$25,'COM balance'!$D$5:$D$25,'COM Assumptions'!$A54)*O54,"")</f>
        <v>0</v>
      </c>
      <c r="AV54" s="10">
        <f ca="1">IFERROR(SUMIFS('COM balance'!P$5:P$25,'COM balance'!$D$5:$D$25,'COM Assumptions'!$A54)*P54,"")</f>
        <v>0.61317528192000004</v>
      </c>
      <c r="AW54" s="10">
        <f ca="1">IFERROR(SUMIFS('COM balance'!Q$5:Q$25,'COM balance'!$D$5:$D$25,'COM Assumptions'!$A54)*Q54,"")</f>
        <v>0</v>
      </c>
      <c r="AX54" s="10">
        <f ca="1">IFERROR(SUMIFS('COM balance'!R$5:R$25,'COM balance'!$D$5:$D$25,'COM Assumptions'!$A54)*R54,"")</f>
        <v>3.1064730166265551</v>
      </c>
      <c r="AY54" s="10">
        <f ca="1">IFERROR(SUMIFS('COM balance'!S$5:S$25,'COM balance'!$D$5:$D$25,'COM Assumptions'!$A54)*S54,"")</f>
        <v>3.2156533180799998</v>
      </c>
      <c r="AZ54" s="10">
        <f ca="1">IFERROR(SUMIFS('COM balance'!T$5:T$25,'COM balance'!$D$5:$D$25,'COM Assumptions'!$A54)*T54,"")</f>
        <v>6.5461296450900736E-2</v>
      </c>
      <c r="BA54" s="10">
        <f ca="1">IFERROR(SUMIFS('COM balance'!U$5:U$25,'COM balance'!$D$5:$D$25,'COM Assumptions'!$A54)*U54,"")</f>
        <v>0.10343405664000001</v>
      </c>
      <c r="BB54" s="10">
        <f ca="1">IFERROR(SUMIFS('COM balance'!V$5:V$25,'COM balance'!$D$5:$D$25,'COM Assumptions'!$A54)*V54,"")</f>
        <v>0.60148141114786968</v>
      </c>
      <c r="BC54" s="10">
        <f ca="1">IFERROR(SUMIFS('COM balance'!W$5:W$25,'COM balance'!$D$5:$D$25,'COM Assumptions'!$A54)*W54,"")</f>
        <v>2.0016445906146823</v>
      </c>
      <c r="BD54" s="10">
        <f ca="1">IFERROR(SUMIFS('COM balance'!X$5:X$25,'COM balance'!$D$5:$D$25,'COM Assumptions'!$A54)*X54,"")</f>
        <v>0</v>
      </c>
      <c r="BE54" s="10">
        <f ca="1">IFERROR(SUMIFS('COM balance'!Y$5:Y$25,'COM balance'!$D$5:$D$25,'COM Assumptions'!$A54)*Y54,"")</f>
        <v>0.1024007544</v>
      </c>
      <c r="BF54" s="10">
        <f ca="1">IFERROR(SUMIFS('COM balance'!Z$5:Z$25,'COM balance'!$D$5:$D$25,'COM Assumptions'!$A54)*Z54,"")</f>
        <v>0</v>
      </c>
      <c r="BG54" s="10">
        <f ca="1">IFERROR(SUMIFS('COM balance'!AA$5:AA$25,'COM balance'!$D$5:$D$25,'COM Assumptions'!$A54)*AA54,"")</f>
        <v>0</v>
      </c>
      <c r="BH54" s="10">
        <f ca="1">IFERROR(SUMIFS('COM balance'!AB$5:AB$25,'COM balance'!$D$5:$D$25,'COM Assumptions'!$A54)*AB54,"")</f>
        <v>0.22078081099151869</v>
      </c>
      <c r="BI54" s="10">
        <f ca="1">IFERROR(SUMIFS('COM balance'!AC$5:AC$25,'COM balance'!$D$5:$D$25,'COM Assumptions'!$A54)*AC54,"")</f>
        <v>0</v>
      </c>
      <c r="BJ54" s="10">
        <f ca="1">IFERROR(SUMIFS('COM balance'!AD$5:AD$25,'COM balance'!$D$5:$D$25,'COM Assumptions'!$A54)*AD54,"")</f>
        <v>0</v>
      </c>
      <c r="BK54" s="10">
        <f ca="1">IFERROR(SUMIFS('COM balance'!AE$5:AE$25,'COM balance'!$D$5:$D$25,'COM Assumptions'!$A54)*AE54,"")</f>
        <v>0</v>
      </c>
      <c r="BL54" s="10">
        <f ca="1">IFERROR(SUMIFS('COM balance'!AF$5:AF$25,'COM balance'!$D$5:$D$25,'COM Assumptions'!$A54)*AF54,"")</f>
        <v>1.4602904592893241E-2</v>
      </c>
      <c r="BM54" s="10">
        <f ca="1">IFERROR(SUMIFS('COM balance'!AG$5:AG$25,'COM balance'!$D$5:$D$25,'COM Assumptions'!$A54)*AG54,"")</f>
        <v>0</v>
      </c>
      <c r="BN54" s="10">
        <f ca="1">IFERROR(SUMIFS('COM balance'!AH$5:AH$25,'COM balance'!$D$5:$D$25,'COM Assumptions'!$A54)*AH54,"")</f>
        <v>0</v>
      </c>
      <c r="BO54" s="8"/>
    </row>
    <row r="55" spans="1:67" x14ac:dyDescent="0.45">
      <c r="A55" s="8" t="str">
        <f>VLOOKUP(C55,'COM balance'!$AM$5:$AN$25,2,FALSE)</f>
        <v>COMGEO</v>
      </c>
      <c r="B55" s="36"/>
      <c r="C55" s="20" t="s">
        <v>80</v>
      </c>
      <c r="D55" s="41" t="s">
        <v>83</v>
      </c>
      <c r="E55" s="25">
        <f ca="1">OFFSET('COM Assumptions T15'!$D55,0,MATCH(VLOOKUP('COM Assumptions'!E$2,'RES Assumptions T15'!$V$3:$W$35,2,FALSE),'COM Assumptions T15'!$E$2:$S$2,0))</f>
        <v>0</v>
      </c>
      <c r="F55" s="25">
        <f ca="1">OFFSET('COM Assumptions T15'!$D55,0,MATCH(VLOOKUP('COM Assumptions'!F$2,'RES Assumptions T15'!$V$3:$W$35,2,FALSE),'COM Assumptions T15'!$E$2:$S$2,0))</f>
        <v>0</v>
      </c>
      <c r="G55" s="25">
        <f ca="1">OFFSET('COM Assumptions T15'!$D55,0,MATCH(VLOOKUP('COM Assumptions'!G$2,'RES Assumptions T15'!$V$3:$W$35,2,FALSE),'COM Assumptions T15'!$E$2:$S$2,0))</f>
        <v>0</v>
      </c>
      <c r="H55" s="25">
        <f ca="1">OFFSET('COM Assumptions T15'!$D55,0,MATCH(VLOOKUP('COM Assumptions'!H$2,'RES Assumptions T15'!$V$3:$W$35,2,FALSE),'COM Assumptions T15'!$E$2:$S$2,0))</f>
        <v>0</v>
      </c>
      <c r="I55" s="25">
        <f ca="1">OFFSET('COM Assumptions T15'!$D55,0,MATCH(VLOOKUP('COM Assumptions'!I$2,'RES Assumptions T15'!$V$3:$W$35,2,FALSE),'COM Assumptions T15'!$E$2:$S$2,0))</f>
        <v>0.1</v>
      </c>
      <c r="J55" s="25">
        <f ca="1">OFFSET('COM Assumptions T15'!$D55,0,MATCH(VLOOKUP('COM Assumptions'!J$2,'RES Assumptions T15'!$V$3:$W$35,2,FALSE),'COM Assumptions T15'!$E$2:$S$2,0))</f>
        <v>0</v>
      </c>
      <c r="K55" s="25">
        <f ca="1">OFFSET('COM Assumptions T15'!$D55,0,MATCH(VLOOKUP('COM Assumptions'!K$2,'RES Assumptions T15'!$V$3:$W$35,2,FALSE),'COM Assumptions T15'!$E$2:$S$2,0))</f>
        <v>0</v>
      </c>
      <c r="L55" s="25">
        <f ca="1">OFFSET('COM Assumptions T15'!$D55,0,MATCH(VLOOKUP('COM Assumptions'!L$2,'RES Assumptions T15'!$V$3:$W$35,2,FALSE),'COM Assumptions T15'!$E$2:$S$2,0))</f>
        <v>0</v>
      </c>
      <c r="M55" s="25">
        <f ca="1">OFFSET('COM Assumptions T15'!$D55,0,MATCH(VLOOKUP('COM Assumptions'!M$2,'RES Assumptions T15'!$V$3:$W$35,2,FALSE),'COM Assumptions T15'!$E$2:$S$2,0))</f>
        <v>0.15</v>
      </c>
      <c r="N55" s="25">
        <f ca="1">OFFSET('COM Assumptions T15'!$D55,0,MATCH(VLOOKUP('COM Assumptions'!N$2,'RES Assumptions T15'!$V$3:$W$35,2,FALSE),'COM Assumptions T15'!$E$2:$S$2,0))</f>
        <v>0</v>
      </c>
      <c r="O55" s="25">
        <f ca="1">OFFSET('COM Assumptions T15'!$D55,0,MATCH(VLOOKUP('COM Assumptions'!O$2,'RES Assumptions T15'!$V$3:$W$35,2,FALSE),'COM Assumptions T15'!$E$2:$S$2,0))</f>
        <v>0.14092516235089531</v>
      </c>
      <c r="P55" s="9">
        <f ca="1">OFFSET('COM Assumptions T15'!$D55,0,MATCH(VLOOKUP('COM Assumptions'!P$2,'RES Assumptions T15'!$V$3:$W$35,2,FALSE),'COM Assumptions T15'!$E$2:$S$2,0))</f>
        <v>0</v>
      </c>
      <c r="Q55" s="9">
        <f ca="1">OFFSET('COM Assumptions T15'!$D55,0,MATCH(VLOOKUP('COM Assumptions'!Q$2,'RES Assumptions T15'!$V$3:$W$35,2,FALSE),'COM Assumptions T15'!$E$2:$S$2,0))</f>
        <v>0.14092516235089531</v>
      </c>
      <c r="R55" s="9">
        <f ca="1">OFFSET('COM Assumptions T15'!$D55,0,MATCH(VLOOKUP('COM Assumptions'!R$2,'RES Assumptions T15'!$V$3:$W$35,2,FALSE),'COM Assumptions T15'!$E$2:$S$2,0))</f>
        <v>0.14092516235089531</v>
      </c>
      <c r="S55" s="9">
        <f ca="1">OFFSET('COM Assumptions T15'!$D55,0,MATCH(VLOOKUP('COM Assumptions'!S$2,'RES Assumptions T15'!$V$3:$W$35,2,FALSE),'COM Assumptions T15'!$E$2:$S$2,0))</f>
        <v>0</v>
      </c>
      <c r="T55" s="9">
        <f ca="1">OFFSET('COM Assumptions T15'!$D55,0,MATCH(VLOOKUP('COM Assumptions'!T$2,'RES Assumptions T15'!$V$3:$W$35,2,FALSE),'COM Assumptions T15'!$E$2:$S$2,0))</f>
        <v>0.14092516235089531</v>
      </c>
      <c r="U55" s="9">
        <f ca="1">OFFSET('COM Assumptions T15'!$D55,0,MATCH(VLOOKUP('COM Assumptions'!U$2,'RES Assumptions T15'!$V$3:$W$35,2,FALSE),'COM Assumptions T15'!$E$2:$S$2,0))</f>
        <v>0</v>
      </c>
      <c r="V55" s="9">
        <f ca="1">OFFSET('COM Assumptions T15'!$D55,0,MATCH(VLOOKUP('COM Assumptions'!V$2,'RES Assumptions T15'!$V$3:$W$35,2,FALSE),'COM Assumptions T15'!$E$2:$S$2,0))</f>
        <v>0.14092516235089531</v>
      </c>
      <c r="W55" s="9">
        <f ca="1">OFFSET('COM Assumptions T15'!$D55,0,MATCH(VLOOKUP('COM Assumptions'!W$2,'RES Assumptions T15'!$V$3:$W$35,2,FALSE),'COM Assumptions T15'!$E$2:$S$2,0))</f>
        <v>0.14092516235089531</v>
      </c>
      <c r="X55" s="9">
        <f ca="1">OFFSET('COM Assumptions T15'!$D55,0,MATCH(VLOOKUP('COM Assumptions'!X$2,'RES Assumptions T15'!$V$3:$W$35,2,FALSE),'COM Assumptions T15'!$E$2:$S$2,0))</f>
        <v>0</v>
      </c>
      <c r="Y55" s="9">
        <f ca="1">OFFSET('COM Assumptions T15'!$D55,0,MATCH(VLOOKUP('COM Assumptions'!Y$2,'RES Assumptions T15'!$V$3:$W$35,2,FALSE),'COM Assumptions T15'!$E$2:$S$2,0))</f>
        <v>0</v>
      </c>
      <c r="Z55" s="9">
        <f ca="1">OFFSET('COM Assumptions T15'!$D55,0,MATCH(VLOOKUP('COM Assumptions'!Z$2,'RES Assumptions T15'!$V$3:$W$35,2,FALSE),'COM Assumptions T15'!$E$2:$S$2,0))</f>
        <v>0</v>
      </c>
      <c r="AA55" s="9">
        <f ca="1">OFFSET('COM Assumptions T15'!$D55,0,MATCH(VLOOKUP('COM Assumptions'!AA$2,'RES Assumptions T15'!$V$3:$W$35,2,FALSE),'COM Assumptions T15'!$E$2:$S$2,0))</f>
        <v>0</v>
      </c>
      <c r="AB55" s="9">
        <f ca="1">OFFSET('COM Assumptions T15'!$D55,0,MATCH(VLOOKUP('COM Assumptions'!AB$2,'RES Assumptions T15'!$V$3:$W$35,2,FALSE),'COM Assumptions T15'!$E$2:$S$2,0))</f>
        <v>0.14092516235089531</v>
      </c>
      <c r="AC55" s="9">
        <f ca="1">OFFSET('COM Assumptions T15'!$D55,0,MATCH(VLOOKUP('COM Assumptions'!AC$2,'RES Assumptions T15'!$V$3:$W$35,2,FALSE),'COM Assumptions T15'!$E$2:$S$2,0))</f>
        <v>0</v>
      </c>
      <c r="AD55" s="9">
        <f ca="1">OFFSET('COM Assumptions T15'!$D55,0,MATCH(VLOOKUP('COM Assumptions'!AD$2,'RES Assumptions T15'!$V$3:$W$35,2,FALSE),'COM Assumptions T15'!$E$2:$S$2,0))</f>
        <v>0</v>
      </c>
      <c r="AE55" s="9">
        <f ca="1">OFFSET('COM Assumptions T15'!$D55,0,MATCH(VLOOKUP('COM Assumptions'!AE$2,'RES Assumptions T15'!$V$3:$W$35,2,FALSE),'COM Assumptions T15'!$E$2:$S$2,0))</f>
        <v>0</v>
      </c>
      <c r="AF55" s="9">
        <f ca="1">OFFSET('COM Assumptions T15'!$D55,0,MATCH(VLOOKUP('COM Assumptions'!AF$2,'RES Assumptions T15'!$V$3:$W$35,2,FALSE),'COM Assumptions T15'!$E$2:$S$2,0))</f>
        <v>0.14092516235089531</v>
      </c>
      <c r="AG55" s="9">
        <f ca="1">OFFSET('COM Assumptions T15'!$D55,0,MATCH(VLOOKUP('COM Assumptions'!AG$2,'RES Assumptions T15'!$V$3:$W$35,2,FALSE),'COM Assumptions T15'!$E$2:$S$2,0))</f>
        <v>0.14092516235089531</v>
      </c>
      <c r="AH55" s="9">
        <f ca="1">OFFSET('COM Assumptions T15'!$D55,0,MATCH(VLOOKUP('COM Assumptions'!AH$2,'RES Assumptions T15'!$V$3:$W$35,2,FALSE),'COM Assumptions T15'!$E$2:$S$2,0))</f>
        <v>0.14092516235089531</v>
      </c>
      <c r="AI55" s="1"/>
      <c r="AJ55" s="8"/>
      <c r="AK55" s="10">
        <f ca="1">IFERROR(SUMIFS('COM balance'!E$5:E$25,'COM balance'!$D$5:$D$25,'COM Assumptions'!$A55)*E55,"")</f>
        <v>0</v>
      </c>
      <c r="AL55" s="10">
        <f ca="1">IFERROR(SUMIFS('COM balance'!F$5:F$25,'COM balance'!$D$5:$D$25,'COM Assumptions'!$A55)*F55,"")</f>
        <v>0</v>
      </c>
      <c r="AM55" s="10">
        <f ca="1">IFERROR(SUMIFS('COM balance'!G$5:G$25,'COM balance'!$D$5:$D$25,'COM Assumptions'!$A55)*G55,"")</f>
        <v>0</v>
      </c>
      <c r="AN55" s="10">
        <f ca="1">IFERROR(SUMIFS('COM balance'!H$5:H$25,'COM balance'!$D$5:$D$25,'COM Assumptions'!$A55)*H55,"")</f>
        <v>0</v>
      </c>
      <c r="AO55" s="10">
        <f ca="1">IFERROR(SUMIFS('COM balance'!I$5:I$25,'COM balance'!$D$5:$D$25,'COM Assumptions'!$A55)*I55,"")</f>
        <v>0.85803106895999992</v>
      </c>
      <c r="AP55" s="10">
        <f ca="1">IFERROR(SUMIFS('COM balance'!J$5:J$25,'COM balance'!$D$5:$D$25,'COM Assumptions'!$A55)*J55,"")</f>
        <v>0</v>
      </c>
      <c r="AQ55" s="10">
        <f ca="1">IFERROR(SUMIFS('COM balance'!K$5:K$25,'COM balance'!$D$5:$D$25,'COM Assumptions'!$A55)*K55,"")</f>
        <v>0</v>
      </c>
      <c r="AR55" s="10">
        <f ca="1">IFERROR(SUMIFS('COM balance'!L$5:L$25,'COM balance'!$D$5:$D$25,'COM Assumptions'!$A55)*L55,"")</f>
        <v>0</v>
      </c>
      <c r="AS55" s="10">
        <f ca="1">IFERROR(SUMIFS('COM balance'!M$5:M$25,'COM balance'!$D$5:$D$25,'COM Assumptions'!$A55)*M55,"")</f>
        <v>0</v>
      </c>
      <c r="AT55" s="10">
        <f ca="1">IFERROR(SUMIFS('COM balance'!N$5:N$25,'COM balance'!$D$5:$D$25,'COM Assumptions'!$A55)*N55,"")</f>
        <v>0</v>
      </c>
      <c r="AU55" s="10">
        <f ca="1">IFERROR(SUMIFS('COM balance'!O$5:O$25,'COM balance'!$D$5:$D$25,'COM Assumptions'!$A55)*O55,"")</f>
        <v>0</v>
      </c>
      <c r="AV55" s="10">
        <f ca="1">IFERROR(SUMIFS('COM balance'!P$5:P$25,'COM balance'!$D$5:$D$25,'COM Assumptions'!$A55)*P55,"")</f>
        <v>0</v>
      </c>
      <c r="AW55" s="10">
        <f ca="1">IFERROR(SUMIFS('COM balance'!Q$5:Q$25,'COM balance'!$D$5:$D$25,'COM Assumptions'!$A55)*Q55,"")</f>
        <v>0</v>
      </c>
      <c r="AX55" s="10">
        <f ca="1">IFERROR(SUMIFS('COM balance'!R$5:R$25,'COM balance'!$D$5:$D$25,'COM Assumptions'!$A55)*R55,"")</f>
        <v>0.50959496777344471</v>
      </c>
      <c r="AY55" s="10">
        <f ca="1">IFERROR(SUMIFS('COM balance'!S$5:S$25,'COM balance'!$D$5:$D$25,'COM Assumptions'!$A55)*S55,"")</f>
        <v>0</v>
      </c>
      <c r="AZ55" s="10">
        <f ca="1">IFERROR(SUMIFS('COM balance'!T$5:T$25,'COM balance'!$D$5:$D$25,'COM Assumptions'!$A55)*T55,"")</f>
        <v>1.0738463549099259E-2</v>
      </c>
      <c r="BA55" s="10">
        <f ca="1">IFERROR(SUMIFS('COM balance'!U$5:U$25,'COM balance'!$D$5:$D$25,'COM Assumptions'!$A55)*U55,"")</f>
        <v>0</v>
      </c>
      <c r="BB55" s="10">
        <f ca="1">IFERROR(SUMIFS('COM balance'!V$5:V$25,'COM balance'!$D$5:$D$25,'COM Assumptions'!$A55)*V55,"")</f>
        <v>9.8668779252130259E-2</v>
      </c>
      <c r="BC55" s="10">
        <f ca="1">IFERROR(SUMIFS('COM balance'!W$5:W$25,'COM balance'!$D$5:$D$25,'COM Assumptions'!$A55)*W55,"")</f>
        <v>0.32835566418531742</v>
      </c>
      <c r="BD55" s="10">
        <f ca="1">IFERROR(SUMIFS('COM balance'!X$5:X$25,'COM balance'!$D$5:$D$25,'COM Assumptions'!$A55)*X55,"")</f>
        <v>0</v>
      </c>
      <c r="BE55" s="10">
        <f ca="1">IFERROR(SUMIFS('COM balance'!Y$5:Y$25,'COM balance'!$D$5:$D$25,'COM Assumptions'!$A55)*Y55,"")</f>
        <v>0</v>
      </c>
      <c r="BF55" s="10">
        <f ca="1">IFERROR(SUMIFS('COM balance'!Z$5:Z$25,'COM balance'!$D$5:$D$25,'COM Assumptions'!$A55)*Z55,"")</f>
        <v>0</v>
      </c>
      <c r="BG55" s="10">
        <f ca="1">IFERROR(SUMIFS('COM balance'!AA$5:AA$25,'COM balance'!$D$5:$D$25,'COM Assumptions'!$A55)*AA55,"")</f>
        <v>0</v>
      </c>
      <c r="BH55" s="10">
        <f ca="1">IFERROR(SUMIFS('COM balance'!AB$5:AB$25,'COM balance'!$D$5:$D$25,'COM Assumptions'!$A55)*AB55,"")</f>
        <v>3.6217533408481307E-2</v>
      </c>
      <c r="BI55" s="10">
        <f ca="1">IFERROR(SUMIFS('COM balance'!AC$5:AC$25,'COM balance'!$D$5:$D$25,'COM Assumptions'!$A55)*AC55,"")</f>
        <v>0</v>
      </c>
      <c r="BJ55" s="10">
        <f ca="1">IFERROR(SUMIFS('COM balance'!AD$5:AD$25,'COM balance'!$D$5:$D$25,'COM Assumptions'!$A55)*AD55,"")</f>
        <v>0</v>
      </c>
      <c r="BK55" s="10">
        <f ca="1">IFERROR(SUMIFS('COM balance'!AE$5:AE$25,'COM balance'!$D$5:$D$25,'COM Assumptions'!$A55)*AE55,"")</f>
        <v>0</v>
      </c>
      <c r="BL55" s="10">
        <f ca="1">IFERROR(SUMIFS('COM balance'!AF$5:AF$25,'COM balance'!$D$5:$D$25,'COM Assumptions'!$A55)*AF55,"")</f>
        <v>2.3955034071067574E-3</v>
      </c>
      <c r="BM55" s="10">
        <f ca="1">IFERROR(SUMIFS('COM balance'!AG$5:AG$25,'COM balance'!$D$5:$D$25,'COM Assumptions'!$A55)*AG55,"")</f>
        <v>0</v>
      </c>
      <c r="BN55" s="10">
        <f ca="1">IFERROR(SUMIFS('COM balance'!AH$5:AH$25,'COM balance'!$D$5:$D$25,'COM Assumptions'!$A55)*AH55,"")</f>
        <v>0</v>
      </c>
      <c r="BO55" s="8"/>
    </row>
    <row r="56" spans="1:67" x14ac:dyDescent="0.45">
      <c r="A56" s="8" t="str">
        <f>VLOOKUP(C56,'COM balance'!$AM$5:$AN$25,2,FALSE)</f>
        <v>COMGEO</v>
      </c>
      <c r="B56" s="36"/>
      <c r="C56" s="20" t="s">
        <v>80</v>
      </c>
      <c r="D56" s="41" t="s">
        <v>84</v>
      </c>
      <c r="E56" s="25">
        <f ca="1">OFFSET('COM Assumptions T15'!$D56,0,MATCH(VLOOKUP('COM Assumptions'!E$2,'RES Assumptions T15'!$V$3:$W$35,2,FALSE),'COM Assumptions T15'!$E$2:$S$2,0))</f>
        <v>0</v>
      </c>
      <c r="F56" s="25">
        <f ca="1">OFFSET('COM Assumptions T15'!$D56,0,MATCH(VLOOKUP('COM Assumptions'!F$2,'RES Assumptions T15'!$V$3:$W$35,2,FALSE),'COM Assumptions T15'!$E$2:$S$2,0))</f>
        <v>0</v>
      </c>
      <c r="G56" s="25">
        <f ca="1">OFFSET('COM Assumptions T15'!$D56,0,MATCH(VLOOKUP('COM Assumptions'!G$2,'RES Assumptions T15'!$V$3:$W$35,2,FALSE),'COM Assumptions T15'!$E$2:$S$2,0))</f>
        <v>0</v>
      </c>
      <c r="H56" s="25">
        <f ca="1">OFFSET('COM Assumptions T15'!$D56,0,MATCH(VLOOKUP('COM Assumptions'!H$2,'RES Assumptions T15'!$V$3:$W$35,2,FALSE),'COM Assumptions T15'!$E$2:$S$2,0))</f>
        <v>0</v>
      </c>
      <c r="I56" s="25">
        <f ca="1">OFFSET('COM Assumptions T15'!$D56,0,MATCH(VLOOKUP('COM Assumptions'!I$2,'RES Assumptions T15'!$V$3:$W$35,2,FALSE),'COM Assumptions T15'!$E$2:$S$2,0))</f>
        <v>0</v>
      </c>
      <c r="J56" s="25">
        <f ca="1">OFFSET('COM Assumptions T15'!$D56,0,MATCH(VLOOKUP('COM Assumptions'!J$2,'RES Assumptions T15'!$V$3:$W$35,2,FALSE),'COM Assumptions T15'!$E$2:$S$2,0))</f>
        <v>0</v>
      </c>
      <c r="K56" s="25">
        <f ca="1">OFFSET('COM Assumptions T15'!$D56,0,MATCH(VLOOKUP('COM Assumptions'!K$2,'RES Assumptions T15'!$V$3:$W$35,2,FALSE),'COM Assumptions T15'!$E$2:$S$2,0))</f>
        <v>0</v>
      </c>
      <c r="L56" s="25">
        <f ca="1">OFFSET('COM Assumptions T15'!$D56,0,MATCH(VLOOKUP('COM Assumptions'!L$2,'RES Assumptions T15'!$V$3:$W$35,2,FALSE),'COM Assumptions T15'!$E$2:$S$2,0))</f>
        <v>0</v>
      </c>
      <c r="M56" s="25">
        <f ca="1">OFFSET('COM Assumptions T15'!$D56,0,MATCH(VLOOKUP('COM Assumptions'!M$2,'RES Assumptions T15'!$V$3:$W$35,2,FALSE),'COM Assumptions T15'!$E$2:$S$2,0))</f>
        <v>0</v>
      </c>
      <c r="N56" s="25">
        <f ca="1">OFFSET('COM Assumptions T15'!$D56,0,MATCH(VLOOKUP('COM Assumptions'!N$2,'RES Assumptions T15'!$V$3:$W$35,2,FALSE),'COM Assumptions T15'!$E$2:$S$2,0))</f>
        <v>0</v>
      </c>
      <c r="O56" s="25">
        <f ca="1">OFFSET('COM Assumptions T15'!$D56,0,MATCH(VLOOKUP('COM Assumptions'!O$2,'RES Assumptions T15'!$V$3:$W$35,2,FALSE),'COM Assumptions T15'!$E$2:$S$2,0))</f>
        <v>0</v>
      </c>
      <c r="P56" s="9">
        <f ca="1">OFFSET('COM Assumptions T15'!$D56,0,MATCH(VLOOKUP('COM Assumptions'!P$2,'RES Assumptions T15'!$V$3:$W$35,2,FALSE),'COM Assumptions T15'!$E$2:$S$2,0))</f>
        <v>0.2</v>
      </c>
      <c r="Q56" s="9">
        <f ca="1">OFFSET('COM Assumptions T15'!$D56,0,MATCH(VLOOKUP('COM Assumptions'!Q$2,'RES Assumptions T15'!$V$3:$W$35,2,FALSE),'COM Assumptions T15'!$E$2:$S$2,0))</f>
        <v>0</v>
      </c>
      <c r="R56" s="9">
        <f ca="1">OFFSET('COM Assumptions T15'!$D56,0,MATCH(VLOOKUP('COM Assumptions'!R$2,'RES Assumptions T15'!$V$3:$W$35,2,FALSE),'COM Assumptions T15'!$E$2:$S$2,0))</f>
        <v>0</v>
      </c>
      <c r="S56" s="9">
        <f ca="1">OFFSET('COM Assumptions T15'!$D56,0,MATCH(VLOOKUP('COM Assumptions'!S$2,'RES Assumptions T15'!$V$3:$W$35,2,FALSE),'COM Assumptions T15'!$E$2:$S$2,0))</f>
        <v>0.2</v>
      </c>
      <c r="T56" s="9">
        <f ca="1">OFFSET('COM Assumptions T15'!$D56,0,MATCH(VLOOKUP('COM Assumptions'!T$2,'RES Assumptions T15'!$V$3:$W$35,2,FALSE),'COM Assumptions T15'!$E$2:$S$2,0))</f>
        <v>0</v>
      </c>
      <c r="U56" s="9">
        <f ca="1">OFFSET('COM Assumptions T15'!$D56,0,MATCH(VLOOKUP('COM Assumptions'!U$2,'RES Assumptions T15'!$V$3:$W$35,2,FALSE),'COM Assumptions T15'!$E$2:$S$2,0))</f>
        <v>0.2</v>
      </c>
      <c r="V56" s="9">
        <f ca="1">OFFSET('COM Assumptions T15'!$D56,0,MATCH(VLOOKUP('COM Assumptions'!V$2,'RES Assumptions T15'!$V$3:$W$35,2,FALSE),'COM Assumptions T15'!$E$2:$S$2,0))</f>
        <v>0</v>
      </c>
      <c r="W56" s="9">
        <f ca="1">OFFSET('COM Assumptions T15'!$D56,0,MATCH(VLOOKUP('COM Assumptions'!W$2,'RES Assumptions T15'!$V$3:$W$35,2,FALSE),'COM Assumptions T15'!$E$2:$S$2,0))</f>
        <v>0</v>
      </c>
      <c r="X56" s="9">
        <f ca="1">OFFSET('COM Assumptions T15'!$D56,0,MATCH(VLOOKUP('COM Assumptions'!X$2,'RES Assumptions T15'!$V$3:$W$35,2,FALSE),'COM Assumptions T15'!$E$2:$S$2,0))</f>
        <v>1</v>
      </c>
      <c r="Y56" s="9">
        <f ca="1">OFFSET('COM Assumptions T15'!$D56,0,MATCH(VLOOKUP('COM Assumptions'!Y$2,'RES Assumptions T15'!$V$3:$W$35,2,FALSE),'COM Assumptions T15'!$E$2:$S$2,0))</f>
        <v>0</v>
      </c>
      <c r="Z56" s="9">
        <f ca="1">OFFSET('COM Assumptions T15'!$D56,0,MATCH(VLOOKUP('COM Assumptions'!Z$2,'RES Assumptions T15'!$V$3:$W$35,2,FALSE),'COM Assumptions T15'!$E$2:$S$2,0))</f>
        <v>0.2</v>
      </c>
      <c r="AA56" s="9">
        <f ca="1">OFFSET('COM Assumptions T15'!$D56,0,MATCH(VLOOKUP('COM Assumptions'!AA$2,'RES Assumptions T15'!$V$3:$W$35,2,FALSE),'COM Assumptions T15'!$E$2:$S$2,0))</f>
        <v>0.2</v>
      </c>
      <c r="AB56" s="9">
        <f ca="1">OFFSET('COM Assumptions T15'!$D56,0,MATCH(VLOOKUP('COM Assumptions'!AB$2,'RES Assumptions T15'!$V$3:$W$35,2,FALSE),'COM Assumptions T15'!$E$2:$S$2,0))</f>
        <v>0</v>
      </c>
      <c r="AC56" s="9">
        <f ca="1">OFFSET('COM Assumptions T15'!$D56,0,MATCH(VLOOKUP('COM Assumptions'!AC$2,'RES Assumptions T15'!$V$3:$W$35,2,FALSE),'COM Assumptions T15'!$E$2:$S$2,0))</f>
        <v>0</v>
      </c>
      <c r="AD56" s="9">
        <f ca="1">OFFSET('COM Assumptions T15'!$D56,0,MATCH(VLOOKUP('COM Assumptions'!AD$2,'RES Assumptions T15'!$V$3:$W$35,2,FALSE),'COM Assumptions T15'!$E$2:$S$2,0))</f>
        <v>0.2</v>
      </c>
      <c r="AE56" s="9">
        <f ca="1">OFFSET('COM Assumptions T15'!$D56,0,MATCH(VLOOKUP('COM Assumptions'!AE$2,'RES Assumptions T15'!$V$3:$W$35,2,FALSE),'COM Assumptions T15'!$E$2:$S$2,0))</f>
        <v>0</v>
      </c>
      <c r="AF56" s="9">
        <f ca="1">OFFSET('COM Assumptions T15'!$D56,0,MATCH(VLOOKUP('COM Assumptions'!AF$2,'RES Assumptions T15'!$V$3:$W$35,2,FALSE),'COM Assumptions T15'!$E$2:$S$2,0))</f>
        <v>0</v>
      </c>
      <c r="AG56" s="9">
        <f ca="1">OFFSET('COM Assumptions T15'!$D56,0,MATCH(VLOOKUP('COM Assumptions'!AG$2,'RES Assumptions T15'!$V$3:$W$35,2,FALSE),'COM Assumptions T15'!$E$2:$S$2,0))</f>
        <v>0</v>
      </c>
      <c r="AH56" s="9">
        <f ca="1">OFFSET('COM Assumptions T15'!$D56,0,MATCH(VLOOKUP('COM Assumptions'!AH$2,'RES Assumptions T15'!$V$3:$W$35,2,FALSE),'COM Assumptions T15'!$E$2:$S$2,0))</f>
        <v>0</v>
      </c>
      <c r="AI56" s="1"/>
      <c r="AJ56" s="8"/>
      <c r="AK56" s="10">
        <f ca="1">IFERROR(SUMIFS('COM balance'!E$5:E$25,'COM balance'!$D$5:$D$25,'COM Assumptions'!$A56)*E56,"")</f>
        <v>0</v>
      </c>
      <c r="AL56" s="10">
        <f ca="1">IFERROR(SUMIFS('COM balance'!F$5:F$25,'COM balance'!$D$5:$D$25,'COM Assumptions'!$A56)*F56,"")</f>
        <v>0</v>
      </c>
      <c r="AM56" s="10">
        <f ca="1">IFERROR(SUMIFS('COM balance'!G$5:G$25,'COM balance'!$D$5:$D$25,'COM Assumptions'!$A56)*G56,"")</f>
        <v>0</v>
      </c>
      <c r="AN56" s="10">
        <f ca="1">IFERROR(SUMIFS('COM balance'!H$5:H$25,'COM balance'!$D$5:$D$25,'COM Assumptions'!$A56)*H56,"")</f>
        <v>0</v>
      </c>
      <c r="AO56" s="10">
        <f ca="1">IFERROR(SUMIFS('COM balance'!I$5:I$25,'COM balance'!$D$5:$D$25,'COM Assumptions'!$A56)*I56,"")</f>
        <v>0</v>
      </c>
      <c r="AP56" s="10">
        <f ca="1">IFERROR(SUMIFS('COM balance'!J$5:J$25,'COM balance'!$D$5:$D$25,'COM Assumptions'!$A56)*J56,"")</f>
        <v>0</v>
      </c>
      <c r="AQ56" s="10">
        <f ca="1">IFERROR(SUMIFS('COM balance'!K$5:K$25,'COM balance'!$D$5:$D$25,'COM Assumptions'!$A56)*K56,"")</f>
        <v>0</v>
      </c>
      <c r="AR56" s="10">
        <f ca="1">IFERROR(SUMIFS('COM balance'!L$5:L$25,'COM balance'!$D$5:$D$25,'COM Assumptions'!$A56)*L56,"")</f>
        <v>0</v>
      </c>
      <c r="AS56" s="10">
        <f ca="1">IFERROR(SUMIFS('COM balance'!M$5:M$25,'COM balance'!$D$5:$D$25,'COM Assumptions'!$A56)*M56,"")</f>
        <v>0</v>
      </c>
      <c r="AT56" s="10">
        <f ca="1">IFERROR(SUMIFS('COM balance'!N$5:N$25,'COM balance'!$D$5:$D$25,'COM Assumptions'!$A56)*N56,"")</f>
        <v>0</v>
      </c>
      <c r="AU56" s="10">
        <f ca="1">IFERROR(SUMIFS('COM balance'!O$5:O$25,'COM balance'!$D$5:$D$25,'COM Assumptions'!$A56)*O56,"")</f>
        <v>0</v>
      </c>
      <c r="AV56" s="10">
        <f ca="1">IFERROR(SUMIFS('COM balance'!P$5:P$25,'COM balance'!$D$5:$D$25,'COM Assumptions'!$A56)*P56,"")</f>
        <v>0.15329382048000001</v>
      </c>
      <c r="AW56" s="10">
        <f ca="1">IFERROR(SUMIFS('COM balance'!Q$5:Q$25,'COM balance'!$D$5:$D$25,'COM Assumptions'!$A56)*Q56,"")</f>
        <v>0</v>
      </c>
      <c r="AX56" s="10">
        <f ca="1">IFERROR(SUMIFS('COM balance'!R$5:R$25,'COM balance'!$D$5:$D$25,'COM Assumptions'!$A56)*R56,"")</f>
        <v>0</v>
      </c>
      <c r="AY56" s="10">
        <f ca="1">IFERROR(SUMIFS('COM balance'!S$5:S$25,'COM balance'!$D$5:$D$25,'COM Assumptions'!$A56)*S56,"")</f>
        <v>0.80391332951999994</v>
      </c>
      <c r="AZ56" s="10">
        <f ca="1">IFERROR(SUMIFS('COM balance'!T$5:T$25,'COM balance'!$D$5:$D$25,'COM Assumptions'!$A56)*T56,"")</f>
        <v>0</v>
      </c>
      <c r="BA56" s="10">
        <f ca="1">IFERROR(SUMIFS('COM balance'!U$5:U$25,'COM balance'!$D$5:$D$25,'COM Assumptions'!$A56)*U56,"")</f>
        <v>2.5858514160000002E-2</v>
      </c>
      <c r="BB56" s="10">
        <f ca="1">IFERROR(SUMIFS('COM balance'!V$5:V$25,'COM balance'!$D$5:$D$25,'COM Assumptions'!$A56)*V56,"")</f>
        <v>0</v>
      </c>
      <c r="BC56" s="10">
        <f ca="1">IFERROR(SUMIFS('COM balance'!W$5:W$25,'COM balance'!$D$5:$D$25,'COM Assumptions'!$A56)*W56,"")</f>
        <v>0</v>
      </c>
      <c r="BD56" s="10">
        <f ca="1">IFERROR(SUMIFS('COM balance'!X$5:X$25,'COM balance'!$D$5:$D$25,'COM Assumptions'!$A56)*X56,"")</f>
        <v>0</v>
      </c>
      <c r="BE56" s="10">
        <f ca="1">IFERROR(SUMIFS('COM balance'!Y$5:Y$25,'COM balance'!$D$5:$D$25,'COM Assumptions'!$A56)*Y56,"")</f>
        <v>0</v>
      </c>
      <c r="BF56" s="10">
        <f ca="1">IFERROR(SUMIFS('COM balance'!Z$5:Z$25,'COM balance'!$D$5:$D$25,'COM Assumptions'!$A56)*Z56,"")</f>
        <v>0</v>
      </c>
      <c r="BG56" s="10">
        <f ca="1">IFERROR(SUMIFS('COM balance'!AA$5:AA$25,'COM balance'!$D$5:$D$25,'COM Assumptions'!$A56)*AA56,"")</f>
        <v>0</v>
      </c>
      <c r="BH56" s="10">
        <f ca="1">IFERROR(SUMIFS('COM balance'!AB$5:AB$25,'COM balance'!$D$5:$D$25,'COM Assumptions'!$A56)*AB56,"")</f>
        <v>0</v>
      </c>
      <c r="BI56" s="10">
        <f ca="1">IFERROR(SUMIFS('COM balance'!AC$5:AC$25,'COM balance'!$D$5:$D$25,'COM Assumptions'!$A56)*AC56,"")</f>
        <v>0</v>
      </c>
      <c r="BJ56" s="10">
        <f ca="1">IFERROR(SUMIFS('COM balance'!AD$5:AD$25,'COM balance'!$D$5:$D$25,'COM Assumptions'!$A56)*AD56,"")</f>
        <v>0</v>
      </c>
      <c r="BK56" s="10">
        <f ca="1">IFERROR(SUMIFS('COM balance'!AE$5:AE$25,'COM balance'!$D$5:$D$25,'COM Assumptions'!$A56)*AE56,"")</f>
        <v>0</v>
      </c>
      <c r="BL56" s="10">
        <f ca="1">IFERROR(SUMIFS('COM balance'!AF$5:AF$25,'COM balance'!$D$5:$D$25,'COM Assumptions'!$A56)*AF56,"")</f>
        <v>0</v>
      </c>
      <c r="BM56" s="10">
        <f ca="1">IFERROR(SUMIFS('COM balance'!AG$5:AG$25,'COM balance'!$D$5:$D$25,'COM Assumptions'!$A56)*AG56,"")</f>
        <v>0</v>
      </c>
      <c r="BN56" s="10">
        <f ca="1">IFERROR(SUMIFS('COM balance'!AH$5:AH$25,'COM balance'!$D$5:$D$25,'COM Assumptions'!$A56)*AH56,"")</f>
        <v>0</v>
      </c>
      <c r="BO56" s="8"/>
    </row>
    <row r="57" spans="1:67" x14ac:dyDescent="0.45">
      <c r="A57" s="8" t="str">
        <f>VLOOKUP(C57,'COM balance'!$AM$5:$AN$25,2,FALSE)</f>
        <v>COMGEO</v>
      </c>
      <c r="B57" s="36"/>
      <c r="C57" s="22" t="s">
        <v>80</v>
      </c>
      <c r="D57" s="42" t="s">
        <v>89</v>
      </c>
      <c r="E57" s="26">
        <f ca="1">OFFSET('COM Assumptions T15'!$D57,0,MATCH(VLOOKUP('COM Assumptions'!E$2,'RES Assumptions T15'!$V$3:$W$35,2,FALSE),'COM Assumptions T15'!$E$2:$S$2,0))</f>
        <v>0</v>
      </c>
      <c r="F57" s="26">
        <f ca="1">OFFSET('COM Assumptions T15'!$D57,0,MATCH(VLOOKUP('COM Assumptions'!F$2,'RES Assumptions T15'!$V$3:$W$35,2,FALSE),'COM Assumptions T15'!$E$2:$S$2,0))</f>
        <v>0</v>
      </c>
      <c r="G57" s="26">
        <f ca="1">OFFSET('COM Assumptions T15'!$D57,0,MATCH(VLOOKUP('COM Assumptions'!G$2,'RES Assumptions T15'!$V$3:$W$35,2,FALSE),'COM Assumptions T15'!$E$2:$S$2,0))</f>
        <v>0</v>
      </c>
      <c r="H57" s="26">
        <f ca="1">OFFSET('COM Assumptions T15'!$D57,0,MATCH(VLOOKUP('COM Assumptions'!H$2,'RES Assumptions T15'!$V$3:$W$35,2,FALSE),'COM Assumptions T15'!$E$2:$S$2,0))</f>
        <v>0</v>
      </c>
      <c r="I57" s="26">
        <f ca="1">OFFSET('COM Assumptions T15'!$D57,0,MATCH(VLOOKUP('COM Assumptions'!I$2,'RES Assumptions T15'!$V$3:$W$35,2,FALSE),'COM Assumptions T15'!$E$2:$S$2,0))</f>
        <v>0</v>
      </c>
      <c r="J57" s="26">
        <f ca="1">OFFSET('COM Assumptions T15'!$D57,0,MATCH(VLOOKUP('COM Assumptions'!J$2,'RES Assumptions T15'!$V$3:$W$35,2,FALSE),'COM Assumptions T15'!$E$2:$S$2,0))</f>
        <v>0</v>
      </c>
      <c r="K57" s="26">
        <f ca="1">OFFSET('COM Assumptions T15'!$D57,0,MATCH(VLOOKUP('COM Assumptions'!K$2,'RES Assumptions T15'!$V$3:$W$35,2,FALSE),'COM Assumptions T15'!$E$2:$S$2,0))</f>
        <v>0</v>
      </c>
      <c r="L57" s="26">
        <f ca="1">OFFSET('COM Assumptions T15'!$D57,0,MATCH(VLOOKUP('COM Assumptions'!L$2,'RES Assumptions T15'!$V$3:$W$35,2,FALSE),'COM Assumptions T15'!$E$2:$S$2,0))</f>
        <v>0</v>
      </c>
      <c r="M57" s="26">
        <f ca="1">OFFSET('COM Assumptions T15'!$D57,0,MATCH(VLOOKUP('COM Assumptions'!M$2,'RES Assumptions T15'!$V$3:$W$35,2,FALSE),'COM Assumptions T15'!$E$2:$S$2,0))</f>
        <v>0</v>
      </c>
      <c r="N57" s="26">
        <f ca="1">OFFSET('COM Assumptions T15'!$D57,0,MATCH(VLOOKUP('COM Assumptions'!N$2,'RES Assumptions T15'!$V$3:$W$35,2,FALSE),'COM Assumptions T15'!$E$2:$S$2,0))</f>
        <v>0</v>
      </c>
      <c r="O57" s="26">
        <f ca="1">OFFSET('COM Assumptions T15'!$D57,0,MATCH(VLOOKUP('COM Assumptions'!O$2,'RES Assumptions T15'!$V$3:$W$35,2,FALSE),'COM Assumptions T15'!$E$2:$S$2,0))</f>
        <v>0</v>
      </c>
      <c r="P57" s="9">
        <f ca="1">OFFSET('COM Assumptions T15'!$D57,0,MATCH(VLOOKUP('COM Assumptions'!P$2,'RES Assumptions T15'!$V$3:$W$35,2,FALSE),'COM Assumptions T15'!$E$2:$S$2,0))</f>
        <v>0</v>
      </c>
      <c r="Q57" s="9">
        <f ca="1">OFFSET('COM Assumptions T15'!$D57,0,MATCH(VLOOKUP('COM Assumptions'!Q$2,'RES Assumptions T15'!$V$3:$W$35,2,FALSE),'COM Assumptions T15'!$E$2:$S$2,0))</f>
        <v>0</v>
      </c>
      <c r="R57" s="9">
        <f ca="1">OFFSET('COM Assumptions T15'!$D57,0,MATCH(VLOOKUP('COM Assumptions'!R$2,'RES Assumptions T15'!$V$3:$W$35,2,FALSE),'COM Assumptions T15'!$E$2:$S$2,0))</f>
        <v>0</v>
      </c>
      <c r="S57" s="9">
        <f ca="1">OFFSET('COM Assumptions T15'!$D57,0,MATCH(VLOOKUP('COM Assumptions'!S$2,'RES Assumptions T15'!$V$3:$W$35,2,FALSE),'COM Assumptions T15'!$E$2:$S$2,0))</f>
        <v>0</v>
      </c>
      <c r="T57" s="9">
        <f ca="1">OFFSET('COM Assumptions T15'!$D57,0,MATCH(VLOOKUP('COM Assumptions'!T$2,'RES Assumptions T15'!$V$3:$W$35,2,FALSE),'COM Assumptions T15'!$E$2:$S$2,0))</f>
        <v>0</v>
      </c>
      <c r="U57" s="9">
        <f ca="1">OFFSET('COM Assumptions T15'!$D57,0,MATCH(VLOOKUP('COM Assumptions'!U$2,'RES Assumptions T15'!$V$3:$W$35,2,FALSE),'COM Assumptions T15'!$E$2:$S$2,0))</f>
        <v>0</v>
      </c>
      <c r="V57" s="9">
        <f ca="1">OFFSET('COM Assumptions T15'!$D57,0,MATCH(VLOOKUP('COM Assumptions'!V$2,'RES Assumptions T15'!$V$3:$W$35,2,FALSE),'COM Assumptions T15'!$E$2:$S$2,0))</f>
        <v>0</v>
      </c>
      <c r="W57" s="9">
        <f ca="1">OFFSET('COM Assumptions T15'!$D57,0,MATCH(VLOOKUP('COM Assumptions'!W$2,'RES Assumptions T15'!$V$3:$W$35,2,FALSE),'COM Assumptions T15'!$E$2:$S$2,0))</f>
        <v>0</v>
      </c>
      <c r="X57" s="9">
        <f ca="1">OFFSET('COM Assumptions T15'!$D57,0,MATCH(VLOOKUP('COM Assumptions'!X$2,'RES Assumptions T15'!$V$3:$W$35,2,FALSE),'COM Assumptions T15'!$E$2:$S$2,0))</f>
        <v>0</v>
      </c>
      <c r="Y57" s="9">
        <f ca="1">OFFSET('COM Assumptions T15'!$D57,0,MATCH(VLOOKUP('COM Assumptions'!Y$2,'RES Assumptions T15'!$V$3:$W$35,2,FALSE),'COM Assumptions T15'!$E$2:$S$2,0))</f>
        <v>0</v>
      </c>
      <c r="Z57" s="9">
        <f ca="1">OFFSET('COM Assumptions T15'!$D57,0,MATCH(VLOOKUP('COM Assumptions'!Z$2,'RES Assumptions T15'!$V$3:$W$35,2,FALSE),'COM Assumptions T15'!$E$2:$S$2,0))</f>
        <v>0</v>
      </c>
      <c r="AA57" s="9">
        <f ca="1">OFFSET('COM Assumptions T15'!$D57,0,MATCH(VLOOKUP('COM Assumptions'!AA$2,'RES Assumptions T15'!$V$3:$W$35,2,FALSE),'COM Assumptions T15'!$E$2:$S$2,0))</f>
        <v>0</v>
      </c>
      <c r="AB57" s="9">
        <f ca="1">OFFSET('COM Assumptions T15'!$D57,0,MATCH(VLOOKUP('COM Assumptions'!AB$2,'RES Assumptions T15'!$V$3:$W$35,2,FALSE),'COM Assumptions T15'!$E$2:$S$2,0))</f>
        <v>0</v>
      </c>
      <c r="AC57" s="9">
        <f ca="1">OFFSET('COM Assumptions T15'!$D57,0,MATCH(VLOOKUP('COM Assumptions'!AC$2,'RES Assumptions T15'!$V$3:$W$35,2,FALSE),'COM Assumptions T15'!$E$2:$S$2,0))</f>
        <v>0</v>
      </c>
      <c r="AD57" s="9">
        <f ca="1">OFFSET('COM Assumptions T15'!$D57,0,MATCH(VLOOKUP('COM Assumptions'!AD$2,'RES Assumptions T15'!$V$3:$W$35,2,FALSE),'COM Assumptions T15'!$E$2:$S$2,0))</f>
        <v>0</v>
      </c>
      <c r="AE57" s="9">
        <f ca="1">OFFSET('COM Assumptions T15'!$D57,0,MATCH(VLOOKUP('COM Assumptions'!AE$2,'RES Assumptions T15'!$V$3:$W$35,2,FALSE),'COM Assumptions T15'!$E$2:$S$2,0))</f>
        <v>0</v>
      </c>
      <c r="AF57" s="9">
        <f ca="1">OFFSET('COM Assumptions T15'!$D57,0,MATCH(VLOOKUP('COM Assumptions'!AF$2,'RES Assumptions T15'!$V$3:$W$35,2,FALSE),'COM Assumptions T15'!$E$2:$S$2,0))</f>
        <v>0</v>
      </c>
      <c r="AG57" s="9">
        <f ca="1">OFFSET('COM Assumptions T15'!$D57,0,MATCH(VLOOKUP('COM Assumptions'!AG$2,'RES Assumptions T15'!$V$3:$W$35,2,FALSE),'COM Assumptions T15'!$E$2:$S$2,0))</f>
        <v>0</v>
      </c>
      <c r="AH57" s="9">
        <f ca="1">OFFSET('COM Assumptions T15'!$D57,0,MATCH(VLOOKUP('COM Assumptions'!AH$2,'RES Assumptions T15'!$V$3:$W$35,2,FALSE),'COM Assumptions T15'!$E$2:$S$2,0))</f>
        <v>0</v>
      </c>
      <c r="AI57" s="1"/>
      <c r="AJ57" s="8"/>
      <c r="AK57" s="10">
        <f ca="1">IFERROR(SUMIFS('COM balance'!E$5:E$25,'COM balance'!$D$5:$D$25,'COM Assumptions'!$A57)*E57,"")</f>
        <v>0</v>
      </c>
      <c r="AL57" s="10">
        <f ca="1">IFERROR(SUMIFS('COM balance'!F$5:F$25,'COM balance'!$D$5:$D$25,'COM Assumptions'!$A57)*F57,"")</f>
        <v>0</v>
      </c>
      <c r="AM57" s="10">
        <f ca="1">IFERROR(SUMIFS('COM balance'!G$5:G$25,'COM balance'!$D$5:$D$25,'COM Assumptions'!$A57)*G57,"")</f>
        <v>0</v>
      </c>
      <c r="AN57" s="10">
        <f ca="1">IFERROR(SUMIFS('COM balance'!H$5:H$25,'COM balance'!$D$5:$D$25,'COM Assumptions'!$A57)*H57,"")</f>
        <v>0</v>
      </c>
      <c r="AO57" s="10">
        <f ca="1">IFERROR(SUMIFS('COM balance'!I$5:I$25,'COM balance'!$D$5:$D$25,'COM Assumptions'!$A57)*I57,"")</f>
        <v>0</v>
      </c>
      <c r="AP57" s="10">
        <f ca="1">IFERROR(SUMIFS('COM balance'!J$5:J$25,'COM balance'!$D$5:$D$25,'COM Assumptions'!$A57)*J57,"")</f>
        <v>0</v>
      </c>
      <c r="AQ57" s="10">
        <f ca="1">IFERROR(SUMIFS('COM balance'!K$5:K$25,'COM balance'!$D$5:$D$25,'COM Assumptions'!$A57)*K57,"")</f>
        <v>0</v>
      </c>
      <c r="AR57" s="10">
        <f ca="1">IFERROR(SUMIFS('COM balance'!L$5:L$25,'COM balance'!$D$5:$D$25,'COM Assumptions'!$A57)*L57,"")</f>
        <v>0</v>
      </c>
      <c r="AS57" s="10">
        <f ca="1">IFERROR(SUMIFS('COM balance'!M$5:M$25,'COM balance'!$D$5:$D$25,'COM Assumptions'!$A57)*M57,"")</f>
        <v>0</v>
      </c>
      <c r="AT57" s="10">
        <f ca="1">IFERROR(SUMIFS('COM balance'!N$5:N$25,'COM balance'!$D$5:$D$25,'COM Assumptions'!$A57)*N57,"")</f>
        <v>0</v>
      </c>
      <c r="AU57" s="10">
        <f ca="1">IFERROR(SUMIFS('COM balance'!O$5:O$25,'COM balance'!$D$5:$D$25,'COM Assumptions'!$A57)*O57,"")</f>
        <v>0</v>
      </c>
      <c r="AV57" s="10">
        <f ca="1">IFERROR(SUMIFS('COM balance'!P$5:P$25,'COM balance'!$D$5:$D$25,'COM Assumptions'!$A57)*P57,"")</f>
        <v>0</v>
      </c>
      <c r="AW57" s="10">
        <f ca="1">IFERROR(SUMIFS('COM balance'!Q$5:Q$25,'COM balance'!$D$5:$D$25,'COM Assumptions'!$A57)*Q57,"")</f>
        <v>0</v>
      </c>
      <c r="AX57" s="10">
        <f ca="1">IFERROR(SUMIFS('COM balance'!R$5:R$25,'COM balance'!$D$5:$D$25,'COM Assumptions'!$A57)*R57,"")</f>
        <v>0</v>
      </c>
      <c r="AY57" s="10">
        <f ca="1">IFERROR(SUMIFS('COM balance'!S$5:S$25,'COM balance'!$D$5:$D$25,'COM Assumptions'!$A57)*S57,"")</f>
        <v>0</v>
      </c>
      <c r="AZ57" s="10">
        <f ca="1">IFERROR(SUMIFS('COM balance'!T$5:T$25,'COM balance'!$D$5:$D$25,'COM Assumptions'!$A57)*T57,"")</f>
        <v>0</v>
      </c>
      <c r="BA57" s="10">
        <f ca="1">IFERROR(SUMIFS('COM balance'!U$5:U$25,'COM balance'!$D$5:$D$25,'COM Assumptions'!$A57)*U57,"")</f>
        <v>0</v>
      </c>
      <c r="BB57" s="10">
        <f ca="1">IFERROR(SUMIFS('COM balance'!V$5:V$25,'COM balance'!$D$5:$D$25,'COM Assumptions'!$A57)*V57,"")</f>
        <v>0</v>
      </c>
      <c r="BC57" s="10">
        <f ca="1">IFERROR(SUMIFS('COM balance'!W$5:W$25,'COM balance'!$D$5:$D$25,'COM Assumptions'!$A57)*W57,"")</f>
        <v>0</v>
      </c>
      <c r="BD57" s="10">
        <f ca="1">IFERROR(SUMIFS('COM balance'!X$5:X$25,'COM balance'!$D$5:$D$25,'COM Assumptions'!$A57)*X57,"")</f>
        <v>0</v>
      </c>
      <c r="BE57" s="10">
        <f ca="1">IFERROR(SUMIFS('COM balance'!Y$5:Y$25,'COM balance'!$D$5:$D$25,'COM Assumptions'!$A57)*Y57,"")</f>
        <v>0</v>
      </c>
      <c r="BF57" s="10">
        <f ca="1">IFERROR(SUMIFS('COM balance'!Z$5:Z$25,'COM balance'!$D$5:$D$25,'COM Assumptions'!$A57)*Z57,"")</f>
        <v>0</v>
      </c>
      <c r="BG57" s="10">
        <f ca="1">IFERROR(SUMIFS('COM balance'!AA$5:AA$25,'COM balance'!$D$5:$D$25,'COM Assumptions'!$A57)*AA57,"")</f>
        <v>0</v>
      </c>
      <c r="BH57" s="10">
        <f ca="1">IFERROR(SUMIFS('COM balance'!AB$5:AB$25,'COM balance'!$D$5:$D$25,'COM Assumptions'!$A57)*AB57,"")</f>
        <v>0</v>
      </c>
      <c r="BI57" s="10">
        <f ca="1">IFERROR(SUMIFS('COM balance'!AC$5:AC$25,'COM balance'!$D$5:$D$25,'COM Assumptions'!$A57)*AC57,"")</f>
        <v>0</v>
      </c>
      <c r="BJ57" s="10">
        <f ca="1">IFERROR(SUMIFS('COM balance'!AD$5:AD$25,'COM balance'!$D$5:$D$25,'COM Assumptions'!$A57)*AD57,"")</f>
        <v>0</v>
      </c>
      <c r="BK57" s="10">
        <f ca="1">IFERROR(SUMIFS('COM balance'!AE$5:AE$25,'COM balance'!$D$5:$D$25,'COM Assumptions'!$A57)*AE57,"")</f>
        <v>0</v>
      </c>
      <c r="BL57" s="10">
        <f ca="1">IFERROR(SUMIFS('COM balance'!AF$5:AF$25,'COM balance'!$D$5:$D$25,'COM Assumptions'!$A57)*AF57,"")</f>
        <v>0</v>
      </c>
      <c r="BM57" s="10">
        <f ca="1">IFERROR(SUMIFS('COM balance'!AG$5:AG$25,'COM balance'!$D$5:$D$25,'COM Assumptions'!$A57)*AG57,"")</f>
        <v>0</v>
      </c>
      <c r="BN57" s="10">
        <f ca="1">IFERROR(SUMIFS('COM balance'!AH$5:AH$25,'COM balance'!$D$5:$D$25,'COM Assumptions'!$A57)*AH57,"")</f>
        <v>0</v>
      </c>
      <c r="BO57" s="8"/>
    </row>
    <row r="58" spans="1:67" x14ac:dyDescent="0.45">
      <c r="A58" s="8" t="str">
        <f>VLOOKUP(C58,'COM balance'!$AM$5:$AN$25,2,FALSE)</f>
        <v>COMSTH</v>
      </c>
      <c r="B58" s="36"/>
      <c r="C58" s="20" t="s">
        <v>81</v>
      </c>
      <c r="D58" s="41" t="s">
        <v>82</v>
      </c>
      <c r="E58" s="25">
        <f ca="1">OFFSET('COM Assumptions T15'!$D58,0,MATCH(VLOOKUP('COM Assumptions'!E$2,'RES Assumptions T15'!$V$3:$W$35,2,FALSE),'COM Assumptions T15'!$E$2:$S$2,0))</f>
        <v>0</v>
      </c>
      <c r="F58" s="25">
        <f ca="1">OFFSET('COM Assumptions T15'!$D58,0,MATCH(VLOOKUP('COM Assumptions'!F$2,'RES Assumptions T15'!$V$3:$W$35,2,FALSE),'COM Assumptions T15'!$E$2:$S$2,0))</f>
        <v>0</v>
      </c>
      <c r="G58" s="25">
        <f ca="1">OFFSET('COM Assumptions T15'!$D58,0,MATCH(VLOOKUP('COM Assumptions'!G$2,'RES Assumptions T15'!$V$3:$W$35,2,FALSE),'COM Assumptions T15'!$E$2:$S$2,0))</f>
        <v>0</v>
      </c>
      <c r="H58" s="25">
        <f ca="1">OFFSET('COM Assumptions T15'!$D58,0,MATCH(VLOOKUP('COM Assumptions'!H$2,'RES Assumptions T15'!$V$3:$W$35,2,FALSE),'COM Assumptions T15'!$E$2:$S$2,0))</f>
        <v>0</v>
      </c>
      <c r="I58" s="25">
        <f ca="1">OFFSET('COM Assumptions T15'!$D58,0,MATCH(VLOOKUP('COM Assumptions'!I$2,'RES Assumptions T15'!$V$3:$W$35,2,FALSE),'COM Assumptions T15'!$E$2:$S$2,0))</f>
        <v>0</v>
      </c>
      <c r="J58" s="25">
        <f ca="1">OFFSET('COM Assumptions T15'!$D58,0,MATCH(VLOOKUP('COM Assumptions'!J$2,'RES Assumptions T15'!$V$3:$W$35,2,FALSE),'COM Assumptions T15'!$E$2:$S$2,0))</f>
        <v>0</v>
      </c>
      <c r="K58" s="25">
        <f ca="1">OFFSET('COM Assumptions T15'!$D58,0,MATCH(VLOOKUP('COM Assumptions'!K$2,'RES Assumptions T15'!$V$3:$W$35,2,FALSE),'COM Assumptions T15'!$E$2:$S$2,0))</f>
        <v>0</v>
      </c>
      <c r="L58" s="25">
        <f ca="1">OFFSET('COM Assumptions T15'!$D58,0,MATCH(VLOOKUP('COM Assumptions'!L$2,'RES Assumptions T15'!$V$3:$W$35,2,FALSE),'COM Assumptions T15'!$E$2:$S$2,0))</f>
        <v>0</v>
      </c>
      <c r="M58" s="25">
        <f ca="1">OFFSET('COM Assumptions T15'!$D58,0,MATCH(VLOOKUP('COM Assumptions'!M$2,'RES Assumptions T15'!$V$3:$W$35,2,FALSE),'COM Assumptions T15'!$E$2:$S$2,0))</f>
        <v>0</v>
      </c>
      <c r="N58" s="25">
        <f ca="1">OFFSET('COM Assumptions T15'!$D58,0,MATCH(VLOOKUP('COM Assumptions'!N$2,'RES Assumptions T15'!$V$3:$W$35,2,FALSE),'COM Assumptions T15'!$E$2:$S$2,0))</f>
        <v>0</v>
      </c>
      <c r="O58" s="25">
        <f ca="1">OFFSET('COM Assumptions T15'!$D58,0,MATCH(VLOOKUP('COM Assumptions'!O$2,'RES Assumptions T15'!$V$3:$W$35,2,FALSE),'COM Assumptions T15'!$E$2:$S$2,0))</f>
        <v>0</v>
      </c>
      <c r="P58" s="9">
        <f ca="1">OFFSET('COM Assumptions T15'!$D58,0,MATCH(VLOOKUP('COM Assumptions'!P$2,'RES Assumptions T15'!$V$3:$W$35,2,FALSE),'COM Assumptions T15'!$E$2:$S$2,0))</f>
        <v>0</v>
      </c>
      <c r="Q58" s="9">
        <f ca="1">OFFSET('COM Assumptions T15'!$D58,0,MATCH(VLOOKUP('COM Assumptions'!Q$2,'RES Assumptions T15'!$V$3:$W$35,2,FALSE),'COM Assumptions T15'!$E$2:$S$2,0))</f>
        <v>0</v>
      </c>
      <c r="R58" s="9">
        <f ca="1">OFFSET('COM Assumptions T15'!$D58,0,MATCH(VLOOKUP('COM Assumptions'!R$2,'RES Assumptions T15'!$V$3:$W$35,2,FALSE),'COM Assumptions T15'!$E$2:$S$2,0))</f>
        <v>0</v>
      </c>
      <c r="S58" s="9">
        <f ca="1">OFFSET('COM Assumptions T15'!$D58,0,MATCH(VLOOKUP('COM Assumptions'!S$2,'RES Assumptions T15'!$V$3:$W$35,2,FALSE),'COM Assumptions T15'!$E$2:$S$2,0))</f>
        <v>0</v>
      </c>
      <c r="T58" s="9">
        <f ca="1">OFFSET('COM Assumptions T15'!$D58,0,MATCH(VLOOKUP('COM Assumptions'!T$2,'RES Assumptions T15'!$V$3:$W$35,2,FALSE),'COM Assumptions T15'!$E$2:$S$2,0))</f>
        <v>0</v>
      </c>
      <c r="U58" s="9">
        <f ca="1">OFFSET('COM Assumptions T15'!$D58,0,MATCH(VLOOKUP('COM Assumptions'!U$2,'RES Assumptions T15'!$V$3:$W$35,2,FALSE),'COM Assumptions T15'!$E$2:$S$2,0))</f>
        <v>0</v>
      </c>
      <c r="V58" s="9">
        <f ca="1">OFFSET('COM Assumptions T15'!$D58,0,MATCH(VLOOKUP('COM Assumptions'!V$2,'RES Assumptions T15'!$V$3:$W$35,2,FALSE),'COM Assumptions T15'!$E$2:$S$2,0))</f>
        <v>0</v>
      </c>
      <c r="W58" s="9">
        <f ca="1">OFFSET('COM Assumptions T15'!$D58,0,MATCH(VLOOKUP('COM Assumptions'!W$2,'RES Assumptions T15'!$V$3:$W$35,2,FALSE),'COM Assumptions T15'!$E$2:$S$2,0))</f>
        <v>0</v>
      </c>
      <c r="X58" s="9">
        <f ca="1">OFFSET('COM Assumptions T15'!$D58,0,MATCH(VLOOKUP('COM Assumptions'!X$2,'RES Assumptions T15'!$V$3:$W$35,2,FALSE),'COM Assumptions T15'!$E$2:$S$2,0))</f>
        <v>0</v>
      </c>
      <c r="Y58" s="9">
        <f ca="1">OFFSET('COM Assumptions T15'!$D58,0,MATCH(VLOOKUP('COM Assumptions'!Y$2,'RES Assumptions T15'!$V$3:$W$35,2,FALSE),'COM Assumptions T15'!$E$2:$S$2,0))</f>
        <v>0</v>
      </c>
      <c r="Z58" s="9">
        <f ca="1">OFFSET('COM Assumptions T15'!$D58,0,MATCH(VLOOKUP('COM Assumptions'!Z$2,'RES Assumptions T15'!$V$3:$W$35,2,FALSE),'COM Assumptions T15'!$E$2:$S$2,0))</f>
        <v>0</v>
      </c>
      <c r="AA58" s="9">
        <f ca="1">OFFSET('COM Assumptions T15'!$D58,0,MATCH(VLOOKUP('COM Assumptions'!AA$2,'RES Assumptions T15'!$V$3:$W$35,2,FALSE),'COM Assumptions T15'!$E$2:$S$2,0))</f>
        <v>0</v>
      </c>
      <c r="AB58" s="9">
        <f ca="1">OFFSET('COM Assumptions T15'!$D58,0,MATCH(VLOOKUP('COM Assumptions'!AB$2,'RES Assumptions T15'!$V$3:$W$35,2,FALSE),'COM Assumptions T15'!$E$2:$S$2,0))</f>
        <v>0</v>
      </c>
      <c r="AC58" s="9">
        <f ca="1">OFFSET('COM Assumptions T15'!$D58,0,MATCH(VLOOKUP('COM Assumptions'!AC$2,'RES Assumptions T15'!$V$3:$W$35,2,FALSE),'COM Assumptions T15'!$E$2:$S$2,0))</f>
        <v>0</v>
      </c>
      <c r="AD58" s="9">
        <f ca="1">OFFSET('COM Assumptions T15'!$D58,0,MATCH(VLOOKUP('COM Assumptions'!AD$2,'RES Assumptions T15'!$V$3:$W$35,2,FALSE),'COM Assumptions T15'!$E$2:$S$2,0))</f>
        <v>0</v>
      </c>
      <c r="AE58" s="9">
        <f ca="1">OFFSET('COM Assumptions T15'!$D58,0,MATCH(VLOOKUP('COM Assumptions'!AE$2,'RES Assumptions T15'!$V$3:$W$35,2,FALSE),'COM Assumptions T15'!$E$2:$S$2,0))</f>
        <v>0</v>
      </c>
      <c r="AF58" s="9">
        <f ca="1">OFFSET('COM Assumptions T15'!$D58,0,MATCH(VLOOKUP('COM Assumptions'!AF$2,'RES Assumptions T15'!$V$3:$W$35,2,FALSE),'COM Assumptions T15'!$E$2:$S$2,0))</f>
        <v>0</v>
      </c>
      <c r="AG58" s="9">
        <f ca="1">OFFSET('COM Assumptions T15'!$D58,0,MATCH(VLOOKUP('COM Assumptions'!AG$2,'RES Assumptions T15'!$V$3:$W$35,2,FALSE),'COM Assumptions T15'!$E$2:$S$2,0))</f>
        <v>0</v>
      </c>
      <c r="AH58" s="9">
        <f ca="1">OFFSET('COM Assumptions T15'!$D58,0,MATCH(VLOOKUP('COM Assumptions'!AH$2,'RES Assumptions T15'!$V$3:$W$35,2,FALSE),'COM Assumptions T15'!$E$2:$S$2,0))</f>
        <v>0</v>
      </c>
      <c r="AI58" s="1"/>
      <c r="AJ58" s="8"/>
      <c r="AK58" s="10">
        <f ca="1">IFERROR(SUMIFS('COM balance'!E$5:E$25,'COM balance'!$D$5:$D$25,'COM Assumptions'!$A58)*E58,"")</f>
        <v>0</v>
      </c>
      <c r="AL58" s="10">
        <f ca="1">IFERROR(SUMIFS('COM balance'!F$5:F$25,'COM balance'!$D$5:$D$25,'COM Assumptions'!$A58)*F58,"")</f>
        <v>0</v>
      </c>
      <c r="AM58" s="10">
        <f ca="1">IFERROR(SUMIFS('COM balance'!G$5:G$25,'COM balance'!$D$5:$D$25,'COM Assumptions'!$A58)*G58,"")</f>
        <v>0</v>
      </c>
      <c r="AN58" s="10">
        <f ca="1">IFERROR(SUMIFS('COM balance'!H$5:H$25,'COM balance'!$D$5:$D$25,'COM Assumptions'!$A58)*H58,"")</f>
        <v>0</v>
      </c>
      <c r="AO58" s="10">
        <f ca="1">IFERROR(SUMIFS('COM balance'!I$5:I$25,'COM balance'!$D$5:$D$25,'COM Assumptions'!$A58)*I58,"")</f>
        <v>0</v>
      </c>
      <c r="AP58" s="10">
        <f ca="1">IFERROR(SUMIFS('COM balance'!J$5:J$25,'COM balance'!$D$5:$D$25,'COM Assumptions'!$A58)*J58,"")</f>
        <v>0</v>
      </c>
      <c r="AQ58" s="10">
        <f ca="1">IFERROR(SUMIFS('COM balance'!K$5:K$25,'COM balance'!$D$5:$D$25,'COM Assumptions'!$A58)*K58,"")</f>
        <v>0</v>
      </c>
      <c r="AR58" s="10">
        <f ca="1">IFERROR(SUMIFS('COM balance'!L$5:L$25,'COM balance'!$D$5:$D$25,'COM Assumptions'!$A58)*L58,"")</f>
        <v>0</v>
      </c>
      <c r="AS58" s="10">
        <f ca="1">IFERROR(SUMIFS('COM balance'!M$5:M$25,'COM balance'!$D$5:$D$25,'COM Assumptions'!$A58)*M58,"")</f>
        <v>0</v>
      </c>
      <c r="AT58" s="10">
        <f ca="1">IFERROR(SUMIFS('COM balance'!N$5:N$25,'COM balance'!$D$5:$D$25,'COM Assumptions'!$A58)*N58,"")</f>
        <v>0</v>
      </c>
      <c r="AU58" s="10">
        <f ca="1">IFERROR(SUMIFS('COM balance'!O$5:O$25,'COM balance'!$D$5:$D$25,'COM Assumptions'!$A58)*O58,"")</f>
        <v>0</v>
      </c>
      <c r="AV58" s="10">
        <f ca="1">IFERROR(SUMIFS('COM balance'!P$5:P$25,'COM balance'!$D$5:$D$25,'COM Assumptions'!$A58)*P58,"")</f>
        <v>0</v>
      </c>
      <c r="AW58" s="10">
        <f ca="1">IFERROR(SUMIFS('COM balance'!Q$5:Q$25,'COM balance'!$D$5:$D$25,'COM Assumptions'!$A58)*Q58,"")</f>
        <v>0</v>
      </c>
      <c r="AX58" s="10">
        <f ca="1">IFERROR(SUMIFS('COM balance'!R$5:R$25,'COM balance'!$D$5:$D$25,'COM Assumptions'!$A58)*R58,"")</f>
        <v>0</v>
      </c>
      <c r="AY58" s="10">
        <f ca="1">IFERROR(SUMIFS('COM balance'!S$5:S$25,'COM balance'!$D$5:$D$25,'COM Assumptions'!$A58)*S58,"")</f>
        <v>0</v>
      </c>
      <c r="AZ58" s="10">
        <f ca="1">IFERROR(SUMIFS('COM balance'!T$5:T$25,'COM balance'!$D$5:$D$25,'COM Assumptions'!$A58)*T58,"")</f>
        <v>0</v>
      </c>
      <c r="BA58" s="10">
        <f ca="1">IFERROR(SUMIFS('COM balance'!U$5:U$25,'COM balance'!$D$5:$D$25,'COM Assumptions'!$A58)*U58,"")</f>
        <v>0</v>
      </c>
      <c r="BB58" s="10">
        <f ca="1">IFERROR(SUMIFS('COM balance'!V$5:V$25,'COM balance'!$D$5:$D$25,'COM Assumptions'!$A58)*V58,"")</f>
        <v>0</v>
      </c>
      <c r="BC58" s="10">
        <f ca="1">IFERROR(SUMIFS('COM balance'!W$5:W$25,'COM balance'!$D$5:$D$25,'COM Assumptions'!$A58)*W58,"")</f>
        <v>0</v>
      </c>
      <c r="BD58" s="10">
        <f ca="1">IFERROR(SUMIFS('COM balance'!X$5:X$25,'COM balance'!$D$5:$D$25,'COM Assumptions'!$A58)*X58,"")</f>
        <v>0</v>
      </c>
      <c r="BE58" s="10">
        <f ca="1">IFERROR(SUMIFS('COM balance'!Y$5:Y$25,'COM balance'!$D$5:$D$25,'COM Assumptions'!$A58)*Y58,"")</f>
        <v>0</v>
      </c>
      <c r="BF58" s="10">
        <f ca="1">IFERROR(SUMIFS('COM balance'!Z$5:Z$25,'COM balance'!$D$5:$D$25,'COM Assumptions'!$A58)*Z58,"")</f>
        <v>0</v>
      </c>
      <c r="BG58" s="10">
        <f ca="1">IFERROR(SUMIFS('COM balance'!AA$5:AA$25,'COM balance'!$D$5:$D$25,'COM Assumptions'!$A58)*AA58,"")</f>
        <v>0</v>
      </c>
      <c r="BH58" s="10">
        <f ca="1">IFERROR(SUMIFS('COM balance'!AB$5:AB$25,'COM balance'!$D$5:$D$25,'COM Assumptions'!$A58)*AB58,"")</f>
        <v>0</v>
      </c>
      <c r="BI58" s="10">
        <f ca="1">IFERROR(SUMIFS('COM balance'!AC$5:AC$25,'COM balance'!$D$5:$D$25,'COM Assumptions'!$A58)*AC58,"")</f>
        <v>0</v>
      </c>
      <c r="BJ58" s="10">
        <f ca="1">IFERROR(SUMIFS('COM balance'!AD$5:AD$25,'COM balance'!$D$5:$D$25,'COM Assumptions'!$A58)*AD58,"")</f>
        <v>0</v>
      </c>
      <c r="BK58" s="10">
        <f ca="1">IFERROR(SUMIFS('COM balance'!AE$5:AE$25,'COM balance'!$D$5:$D$25,'COM Assumptions'!$A58)*AE58,"")</f>
        <v>0</v>
      </c>
      <c r="BL58" s="10">
        <f ca="1">IFERROR(SUMIFS('COM balance'!AF$5:AF$25,'COM balance'!$D$5:$D$25,'COM Assumptions'!$A58)*AF58,"")</f>
        <v>0</v>
      </c>
      <c r="BM58" s="10">
        <f ca="1">IFERROR(SUMIFS('COM balance'!AG$5:AG$25,'COM balance'!$D$5:$D$25,'COM Assumptions'!$A58)*AG58,"")</f>
        <v>0</v>
      </c>
      <c r="BN58" s="10">
        <f ca="1">IFERROR(SUMIFS('COM balance'!AH$5:AH$25,'COM balance'!$D$5:$D$25,'COM Assumptions'!$A58)*AH58,"")</f>
        <v>0</v>
      </c>
      <c r="BO58" s="8"/>
    </row>
    <row r="59" spans="1:67" x14ac:dyDescent="0.45">
      <c r="A59" s="8" t="str">
        <f>VLOOKUP(C59,'COM balance'!$AM$5:$AN$25,2,FALSE)</f>
        <v>COMSTH</v>
      </c>
      <c r="B59" s="36"/>
      <c r="C59" s="20" t="s">
        <v>81</v>
      </c>
      <c r="D59" s="41" t="s">
        <v>84</v>
      </c>
      <c r="E59" s="25">
        <f ca="1">OFFSET('COM Assumptions T15'!$D59,0,MATCH(VLOOKUP('COM Assumptions'!E$2,'RES Assumptions T15'!$V$3:$W$35,2,FALSE),'COM Assumptions T15'!$E$2:$S$2,0))</f>
        <v>1</v>
      </c>
      <c r="F59" s="25">
        <f ca="1">OFFSET('COM Assumptions T15'!$D59,0,MATCH(VLOOKUP('COM Assumptions'!F$2,'RES Assumptions T15'!$V$3:$W$35,2,FALSE),'COM Assumptions T15'!$E$2:$S$2,0))</f>
        <v>1</v>
      </c>
      <c r="G59" s="25">
        <f ca="1">OFFSET('COM Assumptions T15'!$D59,0,MATCH(VLOOKUP('COM Assumptions'!G$2,'RES Assumptions T15'!$V$3:$W$35,2,FALSE),'COM Assumptions T15'!$E$2:$S$2,0))</f>
        <v>1</v>
      </c>
      <c r="H59" s="25">
        <f ca="1">OFFSET('COM Assumptions T15'!$D59,0,MATCH(VLOOKUP('COM Assumptions'!H$2,'RES Assumptions T15'!$V$3:$W$35,2,FALSE),'COM Assumptions T15'!$E$2:$S$2,0))</f>
        <v>1</v>
      </c>
      <c r="I59" s="25">
        <f ca="1">OFFSET('COM Assumptions T15'!$D59,0,MATCH(VLOOKUP('COM Assumptions'!I$2,'RES Assumptions T15'!$V$3:$W$35,2,FALSE),'COM Assumptions T15'!$E$2:$S$2,0))</f>
        <v>1</v>
      </c>
      <c r="J59" s="25">
        <f ca="1">OFFSET('COM Assumptions T15'!$D59,0,MATCH(VLOOKUP('COM Assumptions'!J$2,'RES Assumptions T15'!$V$3:$W$35,2,FALSE),'COM Assumptions T15'!$E$2:$S$2,0))</f>
        <v>1</v>
      </c>
      <c r="K59" s="25">
        <f ca="1">OFFSET('COM Assumptions T15'!$D59,0,MATCH(VLOOKUP('COM Assumptions'!K$2,'RES Assumptions T15'!$V$3:$W$35,2,FALSE),'COM Assumptions T15'!$E$2:$S$2,0))</f>
        <v>1</v>
      </c>
      <c r="L59" s="25">
        <f ca="1">OFFSET('COM Assumptions T15'!$D59,0,MATCH(VLOOKUP('COM Assumptions'!L$2,'RES Assumptions T15'!$V$3:$W$35,2,FALSE),'COM Assumptions T15'!$E$2:$S$2,0))</f>
        <v>1</v>
      </c>
      <c r="M59" s="25">
        <f ca="1">OFFSET('COM Assumptions T15'!$D59,0,MATCH(VLOOKUP('COM Assumptions'!M$2,'RES Assumptions T15'!$V$3:$W$35,2,FALSE),'COM Assumptions T15'!$E$2:$S$2,0))</f>
        <v>1</v>
      </c>
      <c r="N59" s="25">
        <f ca="1">OFFSET('COM Assumptions T15'!$D59,0,MATCH(VLOOKUP('COM Assumptions'!N$2,'RES Assumptions T15'!$V$3:$W$35,2,FALSE),'COM Assumptions T15'!$E$2:$S$2,0))</f>
        <v>1</v>
      </c>
      <c r="O59" s="25">
        <f ca="1">OFFSET('COM Assumptions T15'!$D59,0,MATCH(VLOOKUP('COM Assumptions'!O$2,'RES Assumptions T15'!$V$3:$W$35,2,FALSE),'COM Assumptions T15'!$E$2:$S$2,0))</f>
        <v>1</v>
      </c>
      <c r="P59" s="9">
        <f ca="1">OFFSET('COM Assumptions T15'!$D59,0,MATCH(VLOOKUP('COM Assumptions'!P$2,'RES Assumptions T15'!$V$3:$W$35,2,FALSE),'COM Assumptions T15'!$E$2:$S$2,0))</f>
        <v>1</v>
      </c>
      <c r="Q59" s="9">
        <f ca="1">OFFSET('COM Assumptions T15'!$D59,0,MATCH(VLOOKUP('COM Assumptions'!Q$2,'RES Assumptions T15'!$V$3:$W$35,2,FALSE),'COM Assumptions T15'!$E$2:$S$2,0))</f>
        <v>1</v>
      </c>
      <c r="R59" s="9">
        <f ca="1">OFFSET('COM Assumptions T15'!$D59,0,MATCH(VLOOKUP('COM Assumptions'!R$2,'RES Assumptions T15'!$V$3:$W$35,2,FALSE),'COM Assumptions T15'!$E$2:$S$2,0))</f>
        <v>1</v>
      </c>
      <c r="S59" s="9">
        <f ca="1">OFFSET('COM Assumptions T15'!$D59,0,MATCH(VLOOKUP('COM Assumptions'!S$2,'RES Assumptions T15'!$V$3:$W$35,2,FALSE),'COM Assumptions T15'!$E$2:$S$2,0))</f>
        <v>1</v>
      </c>
      <c r="T59" s="9">
        <f ca="1">OFFSET('COM Assumptions T15'!$D59,0,MATCH(VLOOKUP('COM Assumptions'!T$2,'RES Assumptions T15'!$V$3:$W$35,2,FALSE),'COM Assumptions T15'!$E$2:$S$2,0))</f>
        <v>1</v>
      </c>
      <c r="U59" s="9">
        <f ca="1">OFFSET('COM Assumptions T15'!$D59,0,MATCH(VLOOKUP('COM Assumptions'!U$2,'RES Assumptions T15'!$V$3:$W$35,2,FALSE),'COM Assumptions T15'!$E$2:$S$2,0))</f>
        <v>1</v>
      </c>
      <c r="V59" s="9">
        <f ca="1">OFFSET('COM Assumptions T15'!$D59,0,MATCH(VLOOKUP('COM Assumptions'!V$2,'RES Assumptions T15'!$V$3:$W$35,2,FALSE),'COM Assumptions T15'!$E$2:$S$2,0))</f>
        <v>1</v>
      </c>
      <c r="W59" s="9">
        <f ca="1">OFFSET('COM Assumptions T15'!$D59,0,MATCH(VLOOKUP('COM Assumptions'!W$2,'RES Assumptions T15'!$V$3:$W$35,2,FALSE),'COM Assumptions T15'!$E$2:$S$2,0))</f>
        <v>1</v>
      </c>
      <c r="X59" s="9">
        <f ca="1">OFFSET('COM Assumptions T15'!$D59,0,MATCH(VLOOKUP('COM Assumptions'!X$2,'RES Assumptions T15'!$V$3:$W$35,2,FALSE),'COM Assumptions T15'!$E$2:$S$2,0))</f>
        <v>0.95</v>
      </c>
      <c r="Y59" s="9">
        <f ca="1">OFFSET('COM Assumptions T15'!$D59,0,MATCH(VLOOKUP('COM Assumptions'!Y$2,'RES Assumptions T15'!$V$3:$W$35,2,FALSE),'COM Assumptions T15'!$E$2:$S$2,0))</f>
        <v>1</v>
      </c>
      <c r="Z59" s="9">
        <f ca="1">OFFSET('COM Assumptions T15'!$D59,0,MATCH(VLOOKUP('COM Assumptions'!Z$2,'RES Assumptions T15'!$V$3:$W$35,2,FALSE),'COM Assumptions T15'!$E$2:$S$2,0))</f>
        <v>1</v>
      </c>
      <c r="AA59" s="9">
        <f ca="1">OFFSET('COM Assumptions T15'!$D59,0,MATCH(VLOOKUP('COM Assumptions'!AA$2,'RES Assumptions T15'!$V$3:$W$35,2,FALSE),'COM Assumptions T15'!$E$2:$S$2,0))</f>
        <v>1</v>
      </c>
      <c r="AB59" s="9">
        <f ca="1">OFFSET('COM Assumptions T15'!$D59,0,MATCH(VLOOKUP('COM Assumptions'!AB$2,'RES Assumptions T15'!$V$3:$W$35,2,FALSE),'COM Assumptions T15'!$E$2:$S$2,0))</f>
        <v>1</v>
      </c>
      <c r="AC59" s="9">
        <f ca="1">OFFSET('COM Assumptions T15'!$D59,0,MATCH(VLOOKUP('COM Assumptions'!AC$2,'RES Assumptions T15'!$V$3:$W$35,2,FALSE),'COM Assumptions T15'!$E$2:$S$2,0))</f>
        <v>1</v>
      </c>
      <c r="AD59" s="9">
        <f ca="1">OFFSET('COM Assumptions T15'!$D59,0,MATCH(VLOOKUP('COM Assumptions'!AD$2,'RES Assumptions T15'!$V$3:$W$35,2,FALSE),'COM Assumptions T15'!$E$2:$S$2,0))</f>
        <v>1</v>
      </c>
      <c r="AE59" s="9">
        <f ca="1">OFFSET('COM Assumptions T15'!$D59,0,MATCH(VLOOKUP('COM Assumptions'!AE$2,'RES Assumptions T15'!$V$3:$W$35,2,FALSE),'COM Assumptions T15'!$E$2:$S$2,0))</f>
        <v>1</v>
      </c>
      <c r="AF59" s="9">
        <f ca="1">OFFSET('COM Assumptions T15'!$D59,0,MATCH(VLOOKUP('COM Assumptions'!AF$2,'RES Assumptions T15'!$V$3:$W$35,2,FALSE),'COM Assumptions T15'!$E$2:$S$2,0))</f>
        <v>1</v>
      </c>
      <c r="AG59" s="9">
        <f ca="1">OFFSET('COM Assumptions T15'!$D59,0,MATCH(VLOOKUP('COM Assumptions'!AG$2,'RES Assumptions T15'!$V$3:$W$35,2,FALSE),'COM Assumptions T15'!$E$2:$S$2,0))</f>
        <v>1</v>
      </c>
      <c r="AH59" s="9">
        <f ca="1">OFFSET('COM Assumptions T15'!$D59,0,MATCH(VLOOKUP('COM Assumptions'!AH$2,'RES Assumptions T15'!$V$3:$W$35,2,FALSE),'COM Assumptions T15'!$E$2:$S$2,0))</f>
        <v>1</v>
      </c>
      <c r="AI59" s="1"/>
      <c r="AJ59" s="8"/>
      <c r="AK59" s="10">
        <f ca="1">IFERROR(SUMIFS('COM balance'!E$5:E$25,'COM balance'!$D$5:$D$25,'COM Assumptions'!$A59)*E59,"")</f>
        <v>0.110698992</v>
      </c>
      <c r="AL59" s="10">
        <f ca="1">IFERROR(SUMIFS('COM balance'!F$5:F$25,'COM balance'!$D$5:$D$25,'COM Assumptions'!$A59)*F59,"")</f>
        <v>0</v>
      </c>
      <c r="AM59" s="10">
        <f ca="1">IFERROR(SUMIFS('COM balance'!G$5:G$25,'COM balance'!$D$5:$D$25,'COM Assumptions'!$A59)*G59,"")</f>
        <v>0</v>
      </c>
      <c r="AN59" s="10">
        <f ca="1">IFERROR(SUMIFS('COM balance'!H$5:H$25,'COM balance'!$D$5:$D$25,'COM Assumptions'!$A59)*H59,"")</f>
        <v>0.30489114960000002</v>
      </c>
      <c r="AO59" s="10">
        <f ca="1">IFERROR(SUMIFS('COM balance'!I$5:I$25,'COM balance'!$D$5:$D$25,'COM Assumptions'!$A59)*I59,"")</f>
        <v>1.6861708980000001</v>
      </c>
      <c r="AP59" s="10">
        <f ca="1">IFERROR(SUMIFS('COM balance'!J$5:J$25,'COM balance'!$D$5:$D$25,'COM Assumptions'!$A59)*J59,"")</f>
        <v>0.53710782479999997</v>
      </c>
      <c r="AQ59" s="10">
        <f ca="1">IFERROR(SUMIFS('COM balance'!K$5:K$25,'COM balance'!$D$5:$D$25,'COM Assumptions'!$A59)*K59,"")</f>
        <v>0.47100662640000002</v>
      </c>
      <c r="AR59" s="10">
        <f ca="1">IFERROR(SUMIFS('COM balance'!L$5:L$25,'COM balance'!$D$5:$D$25,'COM Assumptions'!$A59)*L59,"")</f>
        <v>0</v>
      </c>
      <c r="AS59" s="10">
        <f ca="1">IFERROR(SUMIFS('COM balance'!M$5:M$25,'COM balance'!$D$5:$D$25,'COM Assumptions'!$A59)*M59,"")</f>
        <v>0</v>
      </c>
      <c r="AT59" s="10">
        <f ca="1">IFERROR(SUMIFS('COM balance'!N$5:N$25,'COM balance'!$D$5:$D$25,'COM Assumptions'!$A59)*N59,"")</f>
        <v>97.632001760400001</v>
      </c>
      <c r="AU59" s="10">
        <f ca="1">IFERROR(SUMIFS('COM balance'!O$5:O$25,'COM balance'!$D$5:$D$25,'COM Assumptions'!$A59)*O59,"")</f>
        <v>9.1649051999999995E-2</v>
      </c>
      <c r="AV59" s="10">
        <f ca="1">IFERROR(SUMIFS('COM balance'!P$5:P$25,'COM balance'!$D$5:$D$25,'COM Assumptions'!$A59)*P59,"")</f>
        <v>3.0579089291999999</v>
      </c>
      <c r="AW59" s="10">
        <f ca="1">IFERROR(SUMIFS('COM balance'!Q$5:Q$25,'COM balance'!$D$5:$D$25,'COM Assumptions'!$A59)*Q59,"")</f>
        <v>0.30587086079999998</v>
      </c>
      <c r="AX59" s="10">
        <f ca="1">IFERROR(SUMIFS('COM balance'!R$5:R$25,'COM balance'!$D$5:$D$25,'COM Assumptions'!$A59)*R59,"")</f>
        <v>2.8025559971999998</v>
      </c>
      <c r="AY59" s="10">
        <f ca="1">IFERROR(SUMIFS('COM balance'!S$5:S$25,'COM balance'!$D$5:$D$25,'COM Assumptions'!$A59)*S59,"")</f>
        <v>0.84109462560000003</v>
      </c>
      <c r="AZ59" s="10">
        <f ca="1">IFERROR(SUMIFS('COM balance'!T$5:T$25,'COM balance'!$D$5:$D$25,'COM Assumptions'!$A59)*T59,"")</f>
        <v>3.69139689</v>
      </c>
      <c r="BA59" s="10">
        <f ca="1">IFERROR(SUMIFS('COM balance'!U$5:U$25,'COM balance'!$D$5:$D$25,'COM Assumptions'!$A59)*U59,"")</f>
        <v>0.63914432759999995</v>
      </c>
      <c r="BB59" s="10">
        <f ca="1">IFERROR(SUMIFS('COM balance'!V$5:V$25,'COM balance'!$D$5:$D$25,'COM Assumptions'!$A59)*V59,"")</f>
        <v>0.56816969399999995</v>
      </c>
      <c r="BC59" s="10">
        <f ca="1">IFERROR(SUMIFS('COM balance'!W$5:W$25,'COM balance'!$D$5:$D$25,'COM Assumptions'!$A59)*W59,"")</f>
        <v>1.2639991068</v>
      </c>
      <c r="BD59" s="10">
        <f ca="1">IFERROR(SUMIFS('COM balance'!X$5:X$25,'COM balance'!$D$5:$D$25,'COM Assumptions'!$A59)*X59,"")</f>
        <v>3.9560453553600001</v>
      </c>
      <c r="BE59" s="10">
        <f ca="1">IFERROR(SUMIFS('COM balance'!Y$5:Y$25,'COM balance'!$D$5:$D$25,'COM Assumptions'!$A59)*Y59,"")</f>
        <v>0.59198839920000002</v>
      </c>
      <c r="BF59" s="10">
        <f ca="1">IFERROR(SUMIFS('COM balance'!Z$5:Z$25,'COM balance'!$D$5:$D$25,'COM Assumptions'!$A59)*Z59,"")</f>
        <v>5.1750020304</v>
      </c>
      <c r="BG59" s="10">
        <f ca="1">IFERROR(SUMIFS('COM balance'!AA$5:AA$25,'COM balance'!$D$5:$D$25,'COM Assumptions'!$A59)*AA59,"")</f>
        <v>2.9220472692000001</v>
      </c>
      <c r="BH59" s="10">
        <f ca="1">IFERROR(SUMIFS('COM balance'!AB$5:AB$25,'COM balance'!$D$5:$D$25,'COM Assumptions'!$A59)*AB59,"")</f>
        <v>0</v>
      </c>
      <c r="BI59" s="10">
        <f ca="1">IFERROR(SUMIFS('COM balance'!AC$5:AC$25,'COM balance'!$D$5:$D$25,'COM Assumptions'!$A59)*AC59,"")</f>
        <v>0</v>
      </c>
      <c r="BJ59" s="10">
        <f ca="1">IFERROR(SUMIFS('COM balance'!AD$5:AD$25,'COM balance'!$D$5:$D$25,'COM Assumptions'!$A59)*AD59,"")</f>
        <v>0</v>
      </c>
      <c r="BK59" s="10">
        <f ca="1">IFERROR(SUMIFS('COM balance'!AE$5:AE$25,'COM balance'!$D$5:$D$25,'COM Assumptions'!$A59)*AE59,"")</f>
        <v>0</v>
      </c>
      <c r="BL59" s="10">
        <f ca="1">IFERROR(SUMIFS('COM balance'!AF$5:AF$25,'COM balance'!$D$5:$D$25,'COM Assumptions'!$A59)*AF59,"")</f>
        <v>0.71899916399999997</v>
      </c>
      <c r="BM59" s="10">
        <f ca="1">IFERROR(SUMIFS('COM balance'!AG$5:AG$25,'COM balance'!$D$5:$D$25,'COM Assumptions'!$A59)*AG59,"")</f>
        <v>75.532555738799999</v>
      </c>
      <c r="BN59" s="10">
        <f ca="1">IFERROR(SUMIFS('COM balance'!AH$5:AH$25,'COM balance'!$D$5:$D$25,'COM Assumptions'!$A59)*AH59,"")</f>
        <v>0</v>
      </c>
      <c r="BO59" s="8"/>
    </row>
    <row r="60" spans="1:67" x14ac:dyDescent="0.45">
      <c r="A60" s="8" t="str">
        <f>VLOOKUP(C60,'COM balance'!$AM$5:$AN$25,2,FALSE)</f>
        <v>COMSTH</v>
      </c>
      <c r="B60" s="36"/>
      <c r="C60" s="20" t="s">
        <v>81</v>
      </c>
      <c r="D60" s="41" t="s">
        <v>86</v>
      </c>
      <c r="E60" s="25">
        <f ca="1">OFFSET('COM Assumptions T15'!$D60,0,MATCH(VLOOKUP('COM Assumptions'!E$2,'RES Assumptions T15'!$V$3:$W$35,2,FALSE),'COM Assumptions T15'!$E$2:$S$2,0))</f>
        <v>0</v>
      </c>
      <c r="F60" s="25">
        <f ca="1">OFFSET('COM Assumptions T15'!$D60,0,MATCH(VLOOKUP('COM Assumptions'!F$2,'RES Assumptions T15'!$V$3:$W$35,2,FALSE),'COM Assumptions T15'!$E$2:$S$2,0))</f>
        <v>0</v>
      </c>
      <c r="G60" s="25">
        <f ca="1">OFFSET('COM Assumptions T15'!$D60,0,MATCH(VLOOKUP('COM Assumptions'!G$2,'RES Assumptions T15'!$V$3:$W$35,2,FALSE),'COM Assumptions T15'!$E$2:$S$2,0))</f>
        <v>0</v>
      </c>
      <c r="H60" s="25">
        <f ca="1">OFFSET('COM Assumptions T15'!$D60,0,MATCH(VLOOKUP('COM Assumptions'!H$2,'RES Assumptions T15'!$V$3:$W$35,2,FALSE),'COM Assumptions T15'!$E$2:$S$2,0))</f>
        <v>0</v>
      </c>
      <c r="I60" s="25">
        <f ca="1">OFFSET('COM Assumptions T15'!$D60,0,MATCH(VLOOKUP('COM Assumptions'!I$2,'RES Assumptions T15'!$V$3:$W$35,2,FALSE),'COM Assumptions T15'!$E$2:$S$2,0))</f>
        <v>0</v>
      </c>
      <c r="J60" s="25">
        <f ca="1">OFFSET('COM Assumptions T15'!$D60,0,MATCH(VLOOKUP('COM Assumptions'!J$2,'RES Assumptions T15'!$V$3:$W$35,2,FALSE),'COM Assumptions T15'!$E$2:$S$2,0))</f>
        <v>0</v>
      </c>
      <c r="K60" s="25">
        <f ca="1">OFFSET('COM Assumptions T15'!$D60,0,MATCH(VLOOKUP('COM Assumptions'!K$2,'RES Assumptions T15'!$V$3:$W$35,2,FALSE),'COM Assumptions T15'!$E$2:$S$2,0))</f>
        <v>0</v>
      </c>
      <c r="L60" s="25">
        <f ca="1">OFFSET('COM Assumptions T15'!$D60,0,MATCH(VLOOKUP('COM Assumptions'!L$2,'RES Assumptions T15'!$V$3:$W$35,2,FALSE),'COM Assumptions T15'!$E$2:$S$2,0))</f>
        <v>0</v>
      </c>
      <c r="M60" s="25">
        <f ca="1">OFFSET('COM Assumptions T15'!$D60,0,MATCH(VLOOKUP('COM Assumptions'!M$2,'RES Assumptions T15'!$V$3:$W$35,2,FALSE),'COM Assumptions T15'!$E$2:$S$2,0))</f>
        <v>0</v>
      </c>
      <c r="N60" s="25">
        <f ca="1">OFFSET('COM Assumptions T15'!$D60,0,MATCH(VLOOKUP('COM Assumptions'!N$2,'RES Assumptions T15'!$V$3:$W$35,2,FALSE),'COM Assumptions T15'!$E$2:$S$2,0))</f>
        <v>0</v>
      </c>
      <c r="O60" s="25">
        <f ca="1">OFFSET('COM Assumptions T15'!$D60,0,MATCH(VLOOKUP('COM Assumptions'!O$2,'RES Assumptions T15'!$V$3:$W$35,2,FALSE),'COM Assumptions T15'!$E$2:$S$2,0))</f>
        <v>0</v>
      </c>
      <c r="P60" s="1">
        <f ca="1">OFFSET('COM Assumptions T15'!$D60,0,MATCH(VLOOKUP('COM Assumptions'!P$2,'RES Assumptions T15'!$V$3:$W$35,2,FALSE),'COM Assumptions T15'!$E$2:$S$2,0))</f>
        <v>0</v>
      </c>
      <c r="Q60" s="1">
        <f ca="1">OFFSET('COM Assumptions T15'!$D60,0,MATCH(VLOOKUP('COM Assumptions'!Q$2,'RES Assumptions T15'!$V$3:$W$35,2,FALSE),'COM Assumptions T15'!$E$2:$S$2,0))</f>
        <v>0</v>
      </c>
      <c r="R60" s="1">
        <f ca="1">OFFSET('COM Assumptions T15'!$D60,0,MATCH(VLOOKUP('COM Assumptions'!R$2,'RES Assumptions T15'!$V$3:$W$35,2,FALSE),'COM Assumptions T15'!$E$2:$S$2,0))</f>
        <v>0</v>
      </c>
      <c r="S60" s="1">
        <f ca="1">OFFSET('COM Assumptions T15'!$D60,0,MATCH(VLOOKUP('COM Assumptions'!S$2,'RES Assumptions T15'!$V$3:$W$35,2,FALSE),'COM Assumptions T15'!$E$2:$S$2,0))</f>
        <v>0</v>
      </c>
      <c r="T60" s="1">
        <f ca="1">OFFSET('COM Assumptions T15'!$D60,0,MATCH(VLOOKUP('COM Assumptions'!T$2,'RES Assumptions T15'!$V$3:$W$35,2,FALSE),'COM Assumptions T15'!$E$2:$S$2,0))</f>
        <v>0</v>
      </c>
      <c r="U60" s="1">
        <f ca="1">OFFSET('COM Assumptions T15'!$D60,0,MATCH(VLOOKUP('COM Assumptions'!U$2,'RES Assumptions T15'!$V$3:$W$35,2,FALSE),'COM Assumptions T15'!$E$2:$S$2,0))</f>
        <v>0</v>
      </c>
      <c r="V60" s="1">
        <f ca="1">OFFSET('COM Assumptions T15'!$D60,0,MATCH(VLOOKUP('COM Assumptions'!V$2,'RES Assumptions T15'!$V$3:$W$35,2,FALSE),'COM Assumptions T15'!$E$2:$S$2,0))</f>
        <v>0</v>
      </c>
      <c r="W60" s="1">
        <f ca="1">OFFSET('COM Assumptions T15'!$D60,0,MATCH(VLOOKUP('COM Assumptions'!W$2,'RES Assumptions T15'!$V$3:$W$35,2,FALSE),'COM Assumptions T15'!$E$2:$S$2,0))</f>
        <v>0</v>
      </c>
      <c r="X60" s="1">
        <f ca="1">OFFSET('COM Assumptions T15'!$D60,0,MATCH(VLOOKUP('COM Assumptions'!X$2,'RES Assumptions T15'!$V$3:$W$35,2,FALSE),'COM Assumptions T15'!$E$2:$S$2,0))</f>
        <v>0.05</v>
      </c>
      <c r="Y60" s="1">
        <f ca="1">OFFSET('COM Assumptions T15'!$D60,0,MATCH(VLOOKUP('COM Assumptions'!Y$2,'RES Assumptions T15'!$V$3:$W$35,2,FALSE),'COM Assumptions T15'!$E$2:$S$2,0))</f>
        <v>0</v>
      </c>
      <c r="Z60" s="1">
        <f ca="1">OFFSET('COM Assumptions T15'!$D60,0,MATCH(VLOOKUP('COM Assumptions'!Z$2,'RES Assumptions T15'!$V$3:$W$35,2,FALSE),'COM Assumptions T15'!$E$2:$S$2,0))</f>
        <v>0</v>
      </c>
      <c r="AA60" s="1">
        <f ca="1">OFFSET('COM Assumptions T15'!$D60,0,MATCH(VLOOKUP('COM Assumptions'!AA$2,'RES Assumptions T15'!$V$3:$W$35,2,FALSE),'COM Assumptions T15'!$E$2:$S$2,0))</f>
        <v>0</v>
      </c>
      <c r="AB60" s="1">
        <f ca="1">OFFSET('COM Assumptions T15'!$D60,0,MATCH(VLOOKUP('COM Assumptions'!AB$2,'RES Assumptions T15'!$V$3:$W$35,2,FALSE),'COM Assumptions T15'!$E$2:$S$2,0))</f>
        <v>0</v>
      </c>
      <c r="AC60" s="1">
        <f ca="1">OFFSET('COM Assumptions T15'!$D60,0,MATCH(VLOOKUP('COM Assumptions'!AC$2,'RES Assumptions T15'!$V$3:$W$35,2,FALSE),'COM Assumptions T15'!$E$2:$S$2,0))</f>
        <v>0</v>
      </c>
      <c r="AD60" s="1">
        <f ca="1">OFFSET('COM Assumptions T15'!$D60,0,MATCH(VLOOKUP('COM Assumptions'!AD$2,'RES Assumptions T15'!$V$3:$W$35,2,FALSE),'COM Assumptions T15'!$E$2:$S$2,0))</f>
        <v>0</v>
      </c>
      <c r="AE60" s="1">
        <f ca="1">OFFSET('COM Assumptions T15'!$D60,0,MATCH(VLOOKUP('COM Assumptions'!AE$2,'RES Assumptions T15'!$V$3:$W$35,2,FALSE),'COM Assumptions T15'!$E$2:$S$2,0))</f>
        <v>0</v>
      </c>
      <c r="AF60" s="1">
        <f ca="1">OFFSET('COM Assumptions T15'!$D60,0,MATCH(VLOOKUP('COM Assumptions'!AF$2,'RES Assumptions T15'!$V$3:$W$35,2,FALSE),'COM Assumptions T15'!$E$2:$S$2,0))</f>
        <v>0</v>
      </c>
      <c r="AG60" s="1">
        <f ca="1">OFFSET('COM Assumptions T15'!$D60,0,MATCH(VLOOKUP('COM Assumptions'!AG$2,'RES Assumptions T15'!$V$3:$W$35,2,FALSE),'COM Assumptions T15'!$E$2:$S$2,0))</f>
        <v>0</v>
      </c>
      <c r="AH60" s="1">
        <f ca="1">OFFSET('COM Assumptions T15'!$D60,0,MATCH(VLOOKUP('COM Assumptions'!AH$2,'RES Assumptions T15'!$V$3:$W$35,2,FALSE),'COM Assumptions T15'!$E$2:$S$2,0))</f>
        <v>0</v>
      </c>
      <c r="AI60" s="1"/>
      <c r="AK60" s="10">
        <f ca="1">IFERROR(SUMIFS('COM balance'!E$5:E$25,'COM balance'!$D$5:$D$25,'COM Assumptions'!$A60)*E60,"")</f>
        <v>0</v>
      </c>
      <c r="AL60" s="10">
        <f ca="1">IFERROR(SUMIFS('COM balance'!F$5:F$25,'COM balance'!$D$5:$D$25,'COM Assumptions'!$A60)*F60,"")</f>
        <v>0</v>
      </c>
      <c r="AM60" s="10">
        <f ca="1">IFERROR(SUMIFS('COM balance'!G$5:G$25,'COM balance'!$D$5:$D$25,'COM Assumptions'!$A60)*G60,"")</f>
        <v>0</v>
      </c>
      <c r="AN60" s="10">
        <f ca="1">IFERROR(SUMIFS('COM balance'!H$5:H$25,'COM balance'!$D$5:$D$25,'COM Assumptions'!$A60)*H60,"")</f>
        <v>0</v>
      </c>
      <c r="AO60" s="10">
        <f ca="1">IFERROR(SUMIFS('COM balance'!I$5:I$25,'COM balance'!$D$5:$D$25,'COM Assumptions'!$A60)*I60,"")</f>
        <v>0</v>
      </c>
      <c r="AP60" s="10">
        <f ca="1">IFERROR(SUMIFS('COM balance'!J$5:J$25,'COM balance'!$D$5:$D$25,'COM Assumptions'!$A60)*J60,"")</f>
        <v>0</v>
      </c>
      <c r="AQ60" s="10">
        <f ca="1">IFERROR(SUMIFS('COM balance'!K$5:K$25,'COM balance'!$D$5:$D$25,'COM Assumptions'!$A60)*K60,"")</f>
        <v>0</v>
      </c>
      <c r="AR60" s="10">
        <f ca="1">IFERROR(SUMIFS('COM balance'!L$5:L$25,'COM balance'!$D$5:$D$25,'COM Assumptions'!$A60)*L60,"")</f>
        <v>0</v>
      </c>
      <c r="AS60" s="10">
        <f ca="1">IFERROR(SUMIFS('COM balance'!M$5:M$25,'COM balance'!$D$5:$D$25,'COM Assumptions'!$A60)*M60,"")</f>
        <v>0</v>
      </c>
      <c r="AT60" s="10">
        <f ca="1">IFERROR(SUMIFS('COM balance'!N$5:N$25,'COM balance'!$D$5:$D$25,'COM Assumptions'!$A60)*N60,"")</f>
        <v>0</v>
      </c>
      <c r="AU60" s="10">
        <f ca="1">IFERROR(SUMIFS('COM balance'!O$5:O$25,'COM balance'!$D$5:$D$25,'COM Assumptions'!$A60)*O60,"")</f>
        <v>0</v>
      </c>
      <c r="AV60" s="10">
        <f ca="1">IFERROR(SUMIFS('COM balance'!P$5:P$25,'COM balance'!$D$5:$D$25,'COM Assumptions'!$A60)*P60,"")</f>
        <v>0</v>
      </c>
      <c r="AW60" s="10">
        <f ca="1">IFERROR(SUMIFS('COM balance'!Q$5:Q$25,'COM balance'!$D$5:$D$25,'COM Assumptions'!$A60)*Q60,"")</f>
        <v>0</v>
      </c>
      <c r="AX60" s="10">
        <f ca="1">IFERROR(SUMIFS('COM balance'!R$5:R$25,'COM balance'!$D$5:$D$25,'COM Assumptions'!$A60)*R60,"")</f>
        <v>0</v>
      </c>
      <c r="AY60" s="10">
        <f ca="1">IFERROR(SUMIFS('COM balance'!S$5:S$25,'COM balance'!$D$5:$D$25,'COM Assumptions'!$A60)*S60,"")</f>
        <v>0</v>
      </c>
      <c r="AZ60" s="10">
        <f ca="1">IFERROR(SUMIFS('COM balance'!T$5:T$25,'COM balance'!$D$5:$D$25,'COM Assumptions'!$A60)*T60,"")</f>
        <v>0</v>
      </c>
      <c r="BA60" s="10">
        <f ca="1">IFERROR(SUMIFS('COM balance'!U$5:U$25,'COM balance'!$D$5:$D$25,'COM Assumptions'!$A60)*U60,"")</f>
        <v>0</v>
      </c>
      <c r="BB60" s="10">
        <f ca="1">IFERROR(SUMIFS('COM balance'!V$5:V$25,'COM balance'!$D$5:$D$25,'COM Assumptions'!$A60)*V60,"")</f>
        <v>0</v>
      </c>
      <c r="BC60" s="10">
        <f ca="1">IFERROR(SUMIFS('COM balance'!W$5:W$25,'COM balance'!$D$5:$D$25,'COM Assumptions'!$A60)*W60,"")</f>
        <v>0</v>
      </c>
      <c r="BD60" s="10">
        <f ca="1">IFERROR(SUMIFS('COM balance'!X$5:X$25,'COM balance'!$D$5:$D$25,'COM Assumptions'!$A60)*X60,"")</f>
        <v>0.20821291344000004</v>
      </c>
      <c r="BE60" s="10">
        <f ca="1">IFERROR(SUMIFS('COM balance'!Y$5:Y$25,'COM balance'!$D$5:$D$25,'COM Assumptions'!$A60)*Y60,"")</f>
        <v>0</v>
      </c>
      <c r="BF60" s="10">
        <f ca="1">IFERROR(SUMIFS('COM balance'!Z$5:Z$25,'COM balance'!$D$5:$D$25,'COM Assumptions'!$A60)*Z60,"")</f>
        <v>0</v>
      </c>
      <c r="BG60" s="10">
        <f ca="1">IFERROR(SUMIFS('COM balance'!AA$5:AA$25,'COM balance'!$D$5:$D$25,'COM Assumptions'!$A60)*AA60,"")</f>
        <v>0</v>
      </c>
      <c r="BH60" s="10">
        <f ca="1">IFERROR(SUMIFS('COM balance'!AB$5:AB$25,'COM balance'!$D$5:$D$25,'COM Assumptions'!$A60)*AB60,"")</f>
        <v>0</v>
      </c>
      <c r="BI60" s="10">
        <f ca="1">IFERROR(SUMIFS('COM balance'!AC$5:AC$25,'COM balance'!$D$5:$D$25,'COM Assumptions'!$A60)*AC60,"")</f>
        <v>0</v>
      </c>
      <c r="BJ60" s="10">
        <f ca="1">IFERROR(SUMIFS('COM balance'!AD$5:AD$25,'COM balance'!$D$5:$D$25,'COM Assumptions'!$A60)*AD60,"")</f>
        <v>0</v>
      </c>
      <c r="BK60" s="10">
        <f ca="1">IFERROR(SUMIFS('COM balance'!AE$5:AE$25,'COM balance'!$D$5:$D$25,'COM Assumptions'!$A60)*AE60,"")</f>
        <v>0</v>
      </c>
      <c r="BL60" s="10">
        <f ca="1">IFERROR(SUMIFS('COM balance'!AF$5:AF$25,'COM balance'!$D$5:$D$25,'COM Assumptions'!$A60)*AF60,"")</f>
        <v>0</v>
      </c>
      <c r="BM60" s="10">
        <f ca="1">IFERROR(SUMIFS('COM balance'!AG$5:AG$25,'COM balance'!$D$5:$D$25,'COM Assumptions'!$A60)*AG60,"")</f>
        <v>0</v>
      </c>
      <c r="BN60" s="10">
        <f ca="1">IFERROR(SUMIFS('COM balance'!AH$5:AH$25,'COM balance'!$D$5:$D$25,'COM Assumptions'!$A60)*AH60,"")</f>
        <v>0</v>
      </c>
    </row>
    <row r="61" spans="1:67" x14ac:dyDescent="0.45">
      <c r="A61" s="8" t="str">
        <f>VLOOKUP(C61,'COM balance'!$AM$5:$AN$25,2,FALSE)</f>
        <v>COMSTH</v>
      </c>
      <c r="B61" s="36"/>
      <c r="C61" s="22" t="s">
        <v>81</v>
      </c>
      <c r="D61" s="42" t="s">
        <v>89</v>
      </c>
      <c r="E61" s="25">
        <f ca="1">OFFSET('COM Assumptions T15'!$D61,0,MATCH(VLOOKUP('COM Assumptions'!E$2,'RES Assumptions T15'!$V$3:$W$35,2,FALSE),'COM Assumptions T15'!$E$2:$S$2,0))</f>
        <v>0</v>
      </c>
      <c r="F61" s="25">
        <f ca="1">OFFSET('COM Assumptions T15'!$D61,0,MATCH(VLOOKUP('COM Assumptions'!F$2,'RES Assumptions T15'!$V$3:$W$35,2,FALSE),'COM Assumptions T15'!$E$2:$S$2,0))</f>
        <v>0</v>
      </c>
      <c r="G61" s="25">
        <f ca="1">OFFSET('COM Assumptions T15'!$D61,0,MATCH(VLOOKUP('COM Assumptions'!G$2,'RES Assumptions T15'!$V$3:$W$35,2,FALSE),'COM Assumptions T15'!$E$2:$S$2,0))</f>
        <v>0</v>
      </c>
      <c r="H61" s="25">
        <f ca="1">OFFSET('COM Assumptions T15'!$D61,0,MATCH(VLOOKUP('COM Assumptions'!H$2,'RES Assumptions T15'!$V$3:$W$35,2,FALSE),'COM Assumptions T15'!$E$2:$S$2,0))</f>
        <v>0</v>
      </c>
      <c r="I61" s="25">
        <f ca="1">OFFSET('COM Assumptions T15'!$D61,0,MATCH(VLOOKUP('COM Assumptions'!I$2,'RES Assumptions T15'!$V$3:$W$35,2,FALSE),'COM Assumptions T15'!$E$2:$S$2,0))</f>
        <v>0</v>
      </c>
      <c r="J61" s="25">
        <f ca="1">OFFSET('COM Assumptions T15'!$D61,0,MATCH(VLOOKUP('COM Assumptions'!J$2,'RES Assumptions T15'!$V$3:$W$35,2,FALSE),'COM Assumptions T15'!$E$2:$S$2,0))</f>
        <v>0</v>
      </c>
      <c r="K61" s="25">
        <f ca="1">OFFSET('COM Assumptions T15'!$D61,0,MATCH(VLOOKUP('COM Assumptions'!K$2,'RES Assumptions T15'!$V$3:$W$35,2,FALSE),'COM Assumptions T15'!$E$2:$S$2,0))</f>
        <v>0</v>
      </c>
      <c r="L61" s="25">
        <f ca="1">OFFSET('COM Assumptions T15'!$D61,0,MATCH(VLOOKUP('COM Assumptions'!L$2,'RES Assumptions T15'!$V$3:$W$35,2,FALSE),'COM Assumptions T15'!$E$2:$S$2,0))</f>
        <v>0</v>
      </c>
      <c r="M61" s="25">
        <f ca="1">OFFSET('COM Assumptions T15'!$D61,0,MATCH(VLOOKUP('COM Assumptions'!M$2,'RES Assumptions T15'!$V$3:$W$35,2,FALSE),'COM Assumptions T15'!$E$2:$S$2,0))</f>
        <v>0</v>
      </c>
      <c r="N61" s="25">
        <f ca="1">OFFSET('COM Assumptions T15'!$D61,0,MATCH(VLOOKUP('COM Assumptions'!N$2,'RES Assumptions T15'!$V$3:$W$35,2,FALSE),'COM Assumptions T15'!$E$2:$S$2,0))</f>
        <v>0</v>
      </c>
      <c r="O61" s="25">
        <f ca="1">OFFSET('COM Assumptions T15'!$D61,0,MATCH(VLOOKUP('COM Assumptions'!O$2,'RES Assumptions T15'!$V$3:$W$35,2,FALSE),'COM Assumptions T15'!$E$2:$S$2,0))</f>
        <v>0</v>
      </c>
      <c r="P61" s="1">
        <f ca="1">OFFSET('COM Assumptions T15'!$D61,0,MATCH(VLOOKUP('COM Assumptions'!P$2,'RES Assumptions T15'!$V$3:$W$35,2,FALSE),'COM Assumptions T15'!$E$2:$S$2,0))</f>
        <v>0</v>
      </c>
      <c r="Q61" s="1">
        <f ca="1">OFFSET('COM Assumptions T15'!$D61,0,MATCH(VLOOKUP('COM Assumptions'!Q$2,'RES Assumptions T15'!$V$3:$W$35,2,FALSE),'COM Assumptions T15'!$E$2:$S$2,0))</f>
        <v>0</v>
      </c>
      <c r="R61" s="1">
        <f ca="1">OFFSET('COM Assumptions T15'!$D61,0,MATCH(VLOOKUP('COM Assumptions'!R$2,'RES Assumptions T15'!$V$3:$W$35,2,FALSE),'COM Assumptions T15'!$E$2:$S$2,0))</f>
        <v>0</v>
      </c>
      <c r="S61" s="1">
        <f ca="1">OFFSET('COM Assumptions T15'!$D61,0,MATCH(VLOOKUP('COM Assumptions'!S$2,'RES Assumptions T15'!$V$3:$W$35,2,FALSE),'COM Assumptions T15'!$E$2:$S$2,0))</f>
        <v>0</v>
      </c>
      <c r="T61" s="1">
        <f ca="1">OFFSET('COM Assumptions T15'!$D61,0,MATCH(VLOOKUP('COM Assumptions'!T$2,'RES Assumptions T15'!$V$3:$W$35,2,FALSE),'COM Assumptions T15'!$E$2:$S$2,0))</f>
        <v>0</v>
      </c>
      <c r="U61" s="1">
        <f ca="1">OFFSET('COM Assumptions T15'!$D61,0,MATCH(VLOOKUP('COM Assumptions'!U$2,'RES Assumptions T15'!$V$3:$W$35,2,FALSE),'COM Assumptions T15'!$E$2:$S$2,0))</f>
        <v>0</v>
      </c>
      <c r="V61" s="1">
        <f ca="1">OFFSET('COM Assumptions T15'!$D61,0,MATCH(VLOOKUP('COM Assumptions'!V$2,'RES Assumptions T15'!$V$3:$W$35,2,FALSE),'COM Assumptions T15'!$E$2:$S$2,0))</f>
        <v>0</v>
      </c>
      <c r="W61" s="1">
        <f ca="1">OFFSET('COM Assumptions T15'!$D61,0,MATCH(VLOOKUP('COM Assumptions'!W$2,'RES Assumptions T15'!$V$3:$W$35,2,FALSE),'COM Assumptions T15'!$E$2:$S$2,0))</f>
        <v>0</v>
      </c>
      <c r="X61" s="1">
        <f ca="1">OFFSET('COM Assumptions T15'!$D61,0,MATCH(VLOOKUP('COM Assumptions'!X$2,'RES Assumptions T15'!$V$3:$W$35,2,FALSE),'COM Assumptions T15'!$E$2:$S$2,0))</f>
        <v>0</v>
      </c>
      <c r="Y61" s="1">
        <f ca="1">OFFSET('COM Assumptions T15'!$D61,0,MATCH(VLOOKUP('COM Assumptions'!Y$2,'RES Assumptions T15'!$V$3:$W$35,2,FALSE),'COM Assumptions T15'!$E$2:$S$2,0))</f>
        <v>0</v>
      </c>
      <c r="Z61" s="1">
        <f ca="1">OFFSET('COM Assumptions T15'!$D61,0,MATCH(VLOOKUP('COM Assumptions'!Z$2,'RES Assumptions T15'!$V$3:$W$35,2,FALSE),'COM Assumptions T15'!$E$2:$S$2,0))</f>
        <v>0</v>
      </c>
      <c r="AA61" s="1">
        <f ca="1">OFFSET('COM Assumptions T15'!$D61,0,MATCH(VLOOKUP('COM Assumptions'!AA$2,'RES Assumptions T15'!$V$3:$W$35,2,FALSE),'COM Assumptions T15'!$E$2:$S$2,0))</f>
        <v>0</v>
      </c>
      <c r="AB61" s="1">
        <f ca="1">OFFSET('COM Assumptions T15'!$D61,0,MATCH(VLOOKUP('COM Assumptions'!AB$2,'RES Assumptions T15'!$V$3:$W$35,2,FALSE),'COM Assumptions T15'!$E$2:$S$2,0))</f>
        <v>0</v>
      </c>
      <c r="AC61" s="1">
        <f ca="1">OFFSET('COM Assumptions T15'!$D61,0,MATCH(VLOOKUP('COM Assumptions'!AC$2,'RES Assumptions T15'!$V$3:$W$35,2,FALSE),'COM Assumptions T15'!$E$2:$S$2,0))</f>
        <v>0</v>
      </c>
      <c r="AD61" s="1">
        <f ca="1">OFFSET('COM Assumptions T15'!$D61,0,MATCH(VLOOKUP('COM Assumptions'!AD$2,'RES Assumptions T15'!$V$3:$W$35,2,FALSE),'COM Assumptions T15'!$E$2:$S$2,0))</f>
        <v>0</v>
      </c>
      <c r="AE61" s="1">
        <f ca="1">OFFSET('COM Assumptions T15'!$D61,0,MATCH(VLOOKUP('COM Assumptions'!AE$2,'RES Assumptions T15'!$V$3:$W$35,2,FALSE),'COM Assumptions T15'!$E$2:$S$2,0))</f>
        <v>0</v>
      </c>
      <c r="AF61" s="1">
        <f ca="1">OFFSET('COM Assumptions T15'!$D61,0,MATCH(VLOOKUP('COM Assumptions'!AF$2,'RES Assumptions T15'!$V$3:$W$35,2,FALSE),'COM Assumptions T15'!$E$2:$S$2,0))</f>
        <v>0</v>
      </c>
      <c r="AG61" s="1">
        <f ca="1">OFFSET('COM Assumptions T15'!$D61,0,MATCH(VLOOKUP('COM Assumptions'!AG$2,'RES Assumptions T15'!$V$3:$W$35,2,FALSE),'COM Assumptions T15'!$E$2:$S$2,0))</f>
        <v>0</v>
      </c>
      <c r="AH61" s="1">
        <f ca="1">OFFSET('COM Assumptions T15'!$D61,0,MATCH(VLOOKUP('COM Assumptions'!AH$2,'RES Assumptions T15'!$V$3:$W$35,2,FALSE),'COM Assumptions T15'!$E$2:$S$2,0))</f>
        <v>0</v>
      </c>
      <c r="AI61" s="1"/>
      <c r="AK61" s="10">
        <f ca="1">IFERROR(SUMIFS('COM balance'!E$5:E$25,'COM balance'!$D$5:$D$25,'COM Assumptions'!$A61)*E61,"")</f>
        <v>0</v>
      </c>
      <c r="AL61" s="10">
        <f ca="1">IFERROR(SUMIFS('COM balance'!F$5:F$25,'COM balance'!$D$5:$D$25,'COM Assumptions'!$A61)*F61,"")</f>
        <v>0</v>
      </c>
      <c r="AM61" s="10">
        <f ca="1">IFERROR(SUMIFS('COM balance'!G$5:G$25,'COM balance'!$D$5:$D$25,'COM Assumptions'!$A61)*G61,"")</f>
        <v>0</v>
      </c>
      <c r="AN61" s="10">
        <f ca="1">IFERROR(SUMIFS('COM balance'!H$5:H$25,'COM balance'!$D$5:$D$25,'COM Assumptions'!$A61)*H61,"")</f>
        <v>0</v>
      </c>
      <c r="AO61" s="10">
        <f ca="1">IFERROR(SUMIFS('COM balance'!I$5:I$25,'COM balance'!$D$5:$D$25,'COM Assumptions'!$A61)*I61,"")</f>
        <v>0</v>
      </c>
      <c r="AP61" s="10">
        <f ca="1">IFERROR(SUMIFS('COM balance'!J$5:J$25,'COM balance'!$D$5:$D$25,'COM Assumptions'!$A61)*J61,"")</f>
        <v>0</v>
      </c>
      <c r="AQ61" s="10">
        <f ca="1">IFERROR(SUMIFS('COM balance'!K$5:K$25,'COM balance'!$D$5:$D$25,'COM Assumptions'!$A61)*K61,"")</f>
        <v>0</v>
      </c>
      <c r="AR61" s="10">
        <f ca="1">IFERROR(SUMIFS('COM balance'!L$5:L$25,'COM balance'!$D$5:$D$25,'COM Assumptions'!$A61)*L61,"")</f>
        <v>0</v>
      </c>
      <c r="AS61" s="10">
        <f ca="1">IFERROR(SUMIFS('COM balance'!M$5:M$25,'COM balance'!$D$5:$D$25,'COM Assumptions'!$A61)*M61,"")</f>
        <v>0</v>
      </c>
      <c r="AT61" s="10">
        <f ca="1">IFERROR(SUMIFS('COM balance'!N$5:N$25,'COM balance'!$D$5:$D$25,'COM Assumptions'!$A61)*N61,"")</f>
        <v>0</v>
      </c>
      <c r="AU61" s="10">
        <f ca="1">IFERROR(SUMIFS('COM balance'!O$5:O$25,'COM balance'!$D$5:$D$25,'COM Assumptions'!$A61)*O61,"")</f>
        <v>0</v>
      </c>
      <c r="AV61" s="10">
        <f ca="1">IFERROR(SUMIFS('COM balance'!P$5:P$25,'COM balance'!$D$5:$D$25,'COM Assumptions'!$A61)*P61,"")</f>
        <v>0</v>
      </c>
      <c r="AW61" s="10">
        <f ca="1">IFERROR(SUMIFS('COM balance'!Q$5:Q$25,'COM balance'!$D$5:$D$25,'COM Assumptions'!$A61)*Q61,"")</f>
        <v>0</v>
      </c>
      <c r="AX61" s="10">
        <f ca="1">IFERROR(SUMIFS('COM balance'!R$5:R$25,'COM balance'!$D$5:$D$25,'COM Assumptions'!$A61)*R61,"")</f>
        <v>0</v>
      </c>
      <c r="AY61" s="10">
        <f ca="1">IFERROR(SUMIFS('COM balance'!S$5:S$25,'COM balance'!$D$5:$D$25,'COM Assumptions'!$A61)*S61,"")</f>
        <v>0</v>
      </c>
      <c r="AZ61" s="10">
        <f ca="1">IFERROR(SUMIFS('COM balance'!T$5:T$25,'COM balance'!$D$5:$D$25,'COM Assumptions'!$A61)*T61,"")</f>
        <v>0</v>
      </c>
      <c r="BA61" s="10">
        <f ca="1">IFERROR(SUMIFS('COM balance'!U$5:U$25,'COM balance'!$D$5:$D$25,'COM Assumptions'!$A61)*U61,"")</f>
        <v>0</v>
      </c>
      <c r="BB61" s="10">
        <f ca="1">IFERROR(SUMIFS('COM balance'!V$5:V$25,'COM balance'!$D$5:$D$25,'COM Assumptions'!$A61)*V61,"")</f>
        <v>0</v>
      </c>
      <c r="BC61" s="10">
        <f ca="1">IFERROR(SUMIFS('COM balance'!W$5:W$25,'COM balance'!$D$5:$D$25,'COM Assumptions'!$A61)*W61,"")</f>
        <v>0</v>
      </c>
      <c r="BD61" s="10">
        <f ca="1">IFERROR(SUMIFS('COM balance'!X$5:X$25,'COM balance'!$D$5:$D$25,'COM Assumptions'!$A61)*X61,"")</f>
        <v>0</v>
      </c>
      <c r="BE61" s="10">
        <f ca="1">IFERROR(SUMIFS('COM balance'!Y$5:Y$25,'COM balance'!$D$5:$D$25,'COM Assumptions'!$A61)*Y61,"")</f>
        <v>0</v>
      </c>
      <c r="BF61" s="10">
        <f ca="1">IFERROR(SUMIFS('COM balance'!Z$5:Z$25,'COM balance'!$D$5:$D$25,'COM Assumptions'!$A61)*Z61,"")</f>
        <v>0</v>
      </c>
      <c r="BG61" s="10">
        <f ca="1">IFERROR(SUMIFS('COM balance'!AA$5:AA$25,'COM balance'!$D$5:$D$25,'COM Assumptions'!$A61)*AA61,"")</f>
        <v>0</v>
      </c>
      <c r="BH61" s="10">
        <f ca="1">IFERROR(SUMIFS('COM balance'!AB$5:AB$25,'COM balance'!$D$5:$D$25,'COM Assumptions'!$A61)*AB61,"")</f>
        <v>0</v>
      </c>
      <c r="BI61" s="10">
        <f ca="1">IFERROR(SUMIFS('COM balance'!AC$5:AC$25,'COM balance'!$D$5:$D$25,'COM Assumptions'!$A61)*AC61,"")</f>
        <v>0</v>
      </c>
      <c r="BJ61" s="10">
        <f ca="1">IFERROR(SUMIFS('COM balance'!AD$5:AD$25,'COM balance'!$D$5:$D$25,'COM Assumptions'!$A61)*AD61,"")</f>
        <v>0</v>
      </c>
      <c r="BK61" s="10">
        <f ca="1">IFERROR(SUMIFS('COM balance'!AE$5:AE$25,'COM balance'!$D$5:$D$25,'COM Assumptions'!$A61)*AE61,"")</f>
        <v>0</v>
      </c>
      <c r="BL61" s="10">
        <f ca="1">IFERROR(SUMIFS('COM balance'!AF$5:AF$25,'COM balance'!$D$5:$D$25,'COM Assumptions'!$A61)*AF61,"")</f>
        <v>0</v>
      </c>
      <c r="BM61" s="10">
        <f ca="1">IFERROR(SUMIFS('COM balance'!AG$5:AG$25,'COM balance'!$D$5:$D$25,'COM Assumptions'!$A61)*AG61,"")</f>
        <v>0</v>
      </c>
      <c r="BN61" s="10">
        <f ca="1">IFERROR(SUMIFS('COM balance'!AH$5:AH$25,'COM balance'!$D$5:$D$25,'COM Assumptions'!$A61)*AH61,"")</f>
        <v>0</v>
      </c>
    </row>
    <row r="62" spans="1:67" x14ac:dyDescent="0.45">
      <c r="A62" s="8"/>
      <c r="B62" s="8"/>
      <c r="C62" s="9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67" x14ac:dyDescent="0.45">
      <c r="A63" s="8"/>
      <c r="B63" s="8"/>
      <c r="C63" s="5" t="s">
        <v>90</v>
      </c>
      <c r="D63" s="6"/>
      <c r="E63" s="36">
        <v>3</v>
      </c>
      <c r="F63" s="36">
        <f>E63+1</f>
        <v>4</v>
      </c>
      <c r="G63" s="36">
        <f t="shared" ref="G63:S63" si="20">F63+1</f>
        <v>5</v>
      </c>
      <c r="H63" s="36">
        <f t="shared" si="20"/>
        <v>6</v>
      </c>
      <c r="I63" s="36">
        <f t="shared" si="20"/>
        <v>7</v>
      </c>
      <c r="J63" s="36">
        <f t="shared" si="20"/>
        <v>8</v>
      </c>
      <c r="K63" s="36">
        <f t="shared" si="20"/>
        <v>9</v>
      </c>
      <c r="L63" s="36">
        <f t="shared" si="20"/>
        <v>10</v>
      </c>
      <c r="M63" s="36">
        <f t="shared" si="20"/>
        <v>11</v>
      </c>
      <c r="N63" s="36">
        <f t="shared" si="20"/>
        <v>12</v>
      </c>
      <c r="O63" s="36">
        <f t="shared" si="20"/>
        <v>13</v>
      </c>
      <c r="P63" s="36">
        <f t="shared" si="20"/>
        <v>14</v>
      </c>
      <c r="Q63" s="36">
        <f t="shared" si="20"/>
        <v>15</v>
      </c>
      <c r="R63" s="36">
        <f t="shared" si="20"/>
        <v>16</v>
      </c>
      <c r="S63" s="36">
        <f t="shared" si="20"/>
        <v>17</v>
      </c>
      <c r="T63" s="36">
        <f t="shared" ref="T63" si="21">S63+1</f>
        <v>18</v>
      </c>
      <c r="U63" s="36">
        <f t="shared" ref="U63" si="22">T63+1</f>
        <v>19</v>
      </c>
      <c r="V63" s="36">
        <f t="shared" ref="V63" si="23">U63+1</f>
        <v>20</v>
      </c>
      <c r="W63" s="36">
        <f t="shared" ref="W63" si="24">V63+1</f>
        <v>21</v>
      </c>
      <c r="X63" s="36">
        <f t="shared" ref="X63" si="25">W63+1</f>
        <v>22</v>
      </c>
      <c r="Y63" s="36">
        <f t="shared" ref="Y63" si="26">X63+1</f>
        <v>23</v>
      </c>
      <c r="Z63" s="36">
        <f t="shared" ref="Z63" si="27">Y63+1</f>
        <v>24</v>
      </c>
      <c r="AA63" s="36">
        <f t="shared" ref="AA63" si="28">Z63+1</f>
        <v>25</v>
      </c>
      <c r="AB63" s="36">
        <f t="shared" ref="AB63" si="29">AA63+1</f>
        <v>26</v>
      </c>
      <c r="AC63" s="36">
        <f t="shared" ref="AC63" si="30">AB63+1</f>
        <v>27</v>
      </c>
      <c r="AD63" s="36">
        <f t="shared" ref="AD63" si="31">AC63+1</f>
        <v>28</v>
      </c>
      <c r="AE63" s="36">
        <f t="shared" ref="AE63" si="32">AD63+1</f>
        <v>29</v>
      </c>
      <c r="AF63" s="36">
        <f t="shared" ref="AF63" si="33">AE63+1</f>
        <v>30</v>
      </c>
      <c r="AG63" s="36">
        <f t="shared" ref="AG63" si="34">AF63+1</f>
        <v>31</v>
      </c>
      <c r="AH63" s="36">
        <f t="shared" ref="AH63" si="35">AG63+1</f>
        <v>32</v>
      </c>
      <c r="AI63" s="36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</row>
    <row r="64" spans="1:67" x14ac:dyDescent="0.45">
      <c r="A64" s="37" t="str">
        <f>B64&amp;D64</f>
        <v>CHCOMNGA</v>
      </c>
      <c r="B64" s="6" t="s">
        <v>82</v>
      </c>
      <c r="C64" s="6" t="s">
        <v>257</v>
      </c>
      <c r="D64" s="6" t="s">
        <v>47</v>
      </c>
      <c r="E64" s="30">
        <f ca="1">OFFSET('COM Assumptions T15'!$D64,0,MATCH(VLOOKUP('COM Assumptions'!E$2,'RES Assumptions T15'!$V$3:$W$35,2,FALSE),'COM Assumptions T15'!$E$2:$S$2,0))</f>
        <v>0.999</v>
      </c>
      <c r="F64" s="30">
        <f ca="1">OFFSET('COM Assumptions T15'!$D64,0,MATCH(VLOOKUP('COM Assumptions'!F$2,'RES Assumptions T15'!$V$3:$W$35,2,FALSE),'COM Assumptions T15'!$E$2:$S$2,0))</f>
        <v>0.999</v>
      </c>
      <c r="G64" s="30">
        <f ca="1">OFFSET('COM Assumptions T15'!$D64,0,MATCH(VLOOKUP('COM Assumptions'!G$2,'RES Assumptions T15'!$V$3:$W$35,2,FALSE),'COM Assumptions T15'!$E$2:$S$2,0))</f>
        <v>1</v>
      </c>
      <c r="H64" s="30">
        <f ca="1">OFFSET('COM Assumptions T15'!$D64,0,MATCH(VLOOKUP('COM Assumptions'!H$2,'RES Assumptions T15'!$V$3:$W$35,2,FALSE),'COM Assumptions T15'!$E$2:$S$2,0))</f>
        <v>0.999</v>
      </c>
      <c r="I64" s="30">
        <f ca="1">OFFSET('COM Assumptions T15'!$D64,0,MATCH(VLOOKUP('COM Assumptions'!I$2,'RES Assumptions T15'!$V$3:$W$35,2,FALSE),'COM Assumptions T15'!$E$2:$S$2,0))</f>
        <v>0.99990000000000001</v>
      </c>
      <c r="J64" s="30">
        <f ca="1">OFFSET('COM Assumptions T15'!$D64,0,MATCH(VLOOKUP('COM Assumptions'!J$2,'RES Assumptions T15'!$V$3:$W$35,2,FALSE),'COM Assumptions T15'!$E$2:$S$2,0))</f>
        <v>0.99990000000000001</v>
      </c>
      <c r="K64" s="30">
        <f ca="1">OFFSET('COM Assumptions T15'!$D64,0,MATCH(VLOOKUP('COM Assumptions'!K$2,'RES Assumptions T15'!$V$3:$W$35,2,FALSE),'COM Assumptions T15'!$E$2:$S$2,0))</f>
        <v>0.999</v>
      </c>
      <c r="L64" s="30">
        <f ca="1">OFFSET('COM Assumptions T15'!$D64,0,MATCH(VLOOKUP('COM Assumptions'!L$2,'RES Assumptions T15'!$V$3:$W$35,2,FALSE),'COM Assumptions T15'!$E$2:$S$2,0))</f>
        <v>1</v>
      </c>
      <c r="M64" s="30">
        <f ca="1">OFFSET('COM Assumptions T15'!$D64,0,MATCH(VLOOKUP('COM Assumptions'!M$2,'RES Assumptions T15'!$V$3:$W$35,2,FALSE),'COM Assumptions T15'!$E$2:$S$2,0))</f>
        <v>0.97</v>
      </c>
      <c r="N64" s="30">
        <f ca="1">OFFSET('COM Assumptions T15'!$D64,0,MATCH(VLOOKUP('COM Assumptions'!N$2,'RES Assumptions T15'!$V$3:$W$35,2,FALSE),'COM Assumptions T15'!$E$2:$S$2,0))</f>
        <v>0.99990000000000001</v>
      </c>
      <c r="O64" s="30">
        <f ca="1">OFFSET('COM Assumptions T15'!$D64,0,MATCH(VLOOKUP('COM Assumptions'!O$2,'RES Assumptions T15'!$V$3:$W$35,2,FALSE),'COM Assumptions T15'!$E$2:$S$2,0))</f>
        <v>0.99990000000000001</v>
      </c>
      <c r="P64" s="30">
        <f ca="1">OFFSET('COM Assumptions T15'!$D64,0,MATCH(VLOOKUP('COM Assumptions'!P$2,'RES Assumptions T15'!$V$3:$W$35,2,FALSE),'COM Assumptions T15'!$E$2:$S$2,0))</f>
        <v>0.99990000000000001</v>
      </c>
      <c r="Q64" s="30">
        <f ca="1">OFFSET('COM Assumptions T15'!$D64,0,MATCH(VLOOKUP('COM Assumptions'!Q$2,'RES Assumptions T15'!$V$3:$W$35,2,FALSE),'COM Assumptions T15'!$E$2:$S$2,0))</f>
        <v>0.99990000000000001</v>
      </c>
      <c r="R64" s="30">
        <f ca="1">OFFSET('COM Assumptions T15'!$D64,0,MATCH(VLOOKUP('COM Assumptions'!R$2,'RES Assumptions T15'!$V$3:$W$35,2,FALSE),'COM Assumptions T15'!$E$2:$S$2,0))</f>
        <v>0.99990000000000001</v>
      </c>
      <c r="S64" s="30">
        <f ca="1">OFFSET('COM Assumptions T15'!$D64,0,MATCH(VLOOKUP('COM Assumptions'!S$2,'RES Assumptions T15'!$V$3:$W$35,2,FALSE),'COM Assumptions T15'!$E$2:$S$2,0))</f>
        <v>0.99990000000000001</v>
      </c>
      <c r="T64">
        <f ca="1">OFFSET('COM Assumptions T15'!$D64,0,MATCH(VLOOKUP('COM Assumptions'!T$2,'RES Assumptions T15'!$V$3:$W$35,2,FALSE),'COM Assumptions T15'!$E$2:$S$2,0))</f>
        <v>0.99990000000000001</v>
      </c>
      <c r="U64" s="6">
        <f ca="1">OFFSET('COM Assumptions T15'!$D64,0,MATCH(VLOOKUP('COM Assumptions'!U$2,'RES Assumptions T15'!$V$3:$W$35,2,FALSE),'COM Assumptions T15'!$E$2:$S$2,0))</f>
        <v>0.99990000000000001</v>
      </c>
      <c r="V64" s="6">
        <f ca="1">OFFSET('COM Assumptions T15'!$D64,0,MATCH(VLOOKUP('COM Assumptions'!V$2,'RES Assumptions T15'!$V$3:$W$35,2,FALSE),'COM Assumptions T15'!$E$2:$S$2,0))</f>
        <v>0.99990000000000001</v>
      </c>
      <c r="W64" s="6">
        <f ca="1">OFFSET('COM Assumptions T15'!$D64,0,MATCH(VLOOKUP('COM Assumptions'!W$2,'RES Assumptions T15'!$V$3:$W$35,2,FALSE),'COM Assumptions T15'!$E$2:$S$2,0))</f>
        <v>0.99990000000000001</v>
      </c>
      <c r="X64" s="6">
        <f ca="1">OFFSET('COM Assumptions T15'!$D64,0,MATCH(VLOOKUP('COM Assumptions'!X$2,'RES Assumptions T15'!$V$3:$W$35,2,FALSE),'COM Assumptions T15'!$E$2:$S$2,0))</f>
        <v>0.999</v>
      </c>
      <c r="Y64" s="6">
        <f ca="1">OFFSET('COM Assumptions T15'!$D64,0,MATCH(VLOOKUP('COM Assumptions'!Y$2,'RES Assumptions T15'!$V$3:$W$35,2,FALSE),'COM Assumptions T15'!$E$2:$S$2,0))</f>
        <v>1</v>
      </c>
      <c r="Z64" s="6">
        <f ca="1">OFFSET('COM Assumptions T15'!$D64,0,MATCH(VLOOKUP('COM Assumptions'!Z$2,'RES Assumptions T15'!$V$3:$W$35,2,FALSE),'COM Assumptions T15'!$E$2:$S$2,0))</f>
        <v>0.99990000000000001</v>
      </c>
      <c r="AA64" s="6">
        <f ca="1">OFFSET('COM Assumptions T15'!$D64,0,MATCH(VLOOKUP('COM Assumptions'!AA$2,'RES Assumptions T15'!$V$3:$W$35,2,FALSE),'COM Assumptions T15'!$E$2:$S$2,0))</f>
        <v>0.99990000000000001</v>
      </c>
      <c r="AB64" s="6">
        <f ca="1">OFFSET('COM Assumptions T15'!$D64,0,MATCH(VLOOKUP('COM Assumptions'!AB$2,'RES Assumptions T15'!$V$3:$W$35,2,FALSE),'COM Assumptions T15'!$E$2:$S$2,0))</f>
        <v>0.99990000000000001</v>
      </c>
      <c r="AC64" s="6">
        <f ca="1">OFFSET('COM Assumptions T15'!$D64,0,MATCH(VLOOKUP('COM Assumptions'!AC$2,'RES Assumptions T15'!$V$3:$W$35,2,FALSE),'COM Assumptions T15'!$E$2:$S$2,0))</f>
        <v>0.999</v>
      </c>
      <c r="AD64" s="6">
        <f ca="1">OFFSET('COM Assumptions T15'!$D64,0,MATCH(VLOOKUP('COM Assumptions'!AD$2,'RES Assumptions T15'!$V$3:$W$35,2,FALSE),'COM Assumptions T15'!$E$2:$S$2,0))</f>
        <v>0.99990000000000001</v>
      </c>
      <c r="AE64" s="6">
        <f ca="1">OFFSET('COM Assumptions T15'!$D64,0,MATCH(VLOOKUP('COM Assumptions'!AE$2,'RES Assumptions T15'!$V$3:$W$35,2,FALSE),'COM Assumptions T15'!$E$2:$S$2,0))</f>
        <v>0.999</v>
      </c>
      <c r="AF64" s="6">
        <f ca="1">OFFSET('COM Assumptions T15'!$D64,0,MATCH(VLOOKUP('COM Assumptions'!AF$2,'RES Assumptions T15'!$V$3:$W$35,2,FALSE),'COM Assumptions T15'!$E$2:$S$2,0))</f>
        <v>0.99990000000000001</v>
      </c>
      <c r="AG64" s="6">
        <f ca="1">OFFSET('COM Assumptions T15'!$D64,0,MATCH(VLOOKUP('COM Assumptions'!AG$2,'RES Assumptions T15'!$V$3:$W$35,2,FALSE),'COM Assumptions T15'!$E$2:$S$2,0))</f>
        <v>0.9986705871212993</v>
      </c>
      <c r="AH64" s="6">
        <f ca="1">OFFSET('COM Assumptions T15'!$D64,0,MATCH(VLOOKUP('COM Assumptions'!AH$2,'RES Assumptions T15'!$V$3:$W$35,2,FALSE),'COM Assumptions T15'!$E$2:$S$2,0))</f>
        <v>0.9986705871212993</v>
      </c>
      <c r="AI64" s="6"/>
      <c r="AJ64" s="6"/>
    </row>
    <row r="65" spans="1:38" x14ac:dyDescent="0.45">
      <c r="A65" s="37" t="str">
        <f t="shared" ref="A65:A78" si="36">B65&amp;D65</f>
        <v>CHCOMNGA</v>
      </c>
      <c r="B65" s="6" t="s">
        <v>82</v>
      </c>
      <c r="C65" s="6" t="s">
        <v>258</v>
      </c>
      <c r="D65" s="6" t="s">
        <v>47</v>
      </c>
      <c r="E65" s="30">
        <f ca="1">OFFSET('COM Assumptions T15'!$D65,0,MATCH(VLOOKUP('COM Assumptions'!E$2,'RES Assumptions T15'!$V$3:$W$35,2,FALSE),'COM Assumptions T15'!$E$2:$S$2,0))</f>
        <v>1.0000000000000009E-3</v>
      </c>
      <c r="F65" s="30">
        <f ca="1">OFFSET('COM Assumptions T15'!$D65,0,MATCH(VLOOKUP('COM Assumptions'!F$2,'RES Assumptions T15'!$V$3:$W$35,2,FALSE),'COM Assumptions T15'!$E$2:$S$2,0))</f>
        <v>1.0000000000000009E-3</v>
      </c>
      <c r="G65" s="30">
        <f ca="1">OFFSET('COM Assumptions T15'!$D65,0,MATCH(VLOOKUP('COM Assumptions'!G$2,'RES Assumptions T15'!$V$3:$W$35,2,FALSE),'COM Assumptions T15'!$E$2:$S$2,0))</f>
        <v>0</v>
      </c>
      <c r="H65" s="30">
        <f ca="1">OFFSET('COM Assumptions T15'!$D65,0,MATCH(VLOOKUP('COM Assumptions'!H$2,'RES Assumptions T15'!$V$3:$W$35,2,FALSE),'COM Assumptions T15'!$E$2:$S$2,0))</f>
        <v>1.0000000000000009E-3</v>
      </c>
      <c r="I65" s="30">
        <f ca="1">OFFSET('COM Assumptions T15'!$D65,0,MATCH(VLOOKUP('COM Assumptions'!I$2,'RES Assumptions T15'!$V$3:$W$35,2,FALSE),'COM Assumptions T15'!$E$2:$S$2,0))</f>
        <v>9.9999999999988987E-5</v>
      </c>
      <c r="J65" s="30">
        <f ca="1">OFFSET('COM Assumptions T15'!$D65,0,MATCH(VLOOKUP('COM Assumptions'!J$2,'RES Assumptions T15'!$V$3:$W$35,2,FALSE),'COM Assumptions T15'!$E$2:$S$2,0))</f>
        <v>9.9999999999988987E-5</v>
      </c>
      <c r="K65" s="30">
        <f ca="1">OFFSET('COM Assumptions T15'!$D65,0,MATCH(VLOOKUP('COM Assumptions'!K$2,'RES Assumptions T15'!$V$3:$W$35,2,FALSE),'COM Assumptions T15'!$E$2:$S$2,0))</f>
        <v>1.0000000000000009E-3</v>
      </c>
      <c r="L65" s="30">
        <f ca="1">OFFSET('COM Assumptions T15'!$D65,0,MATCH(VLOOKUP('COM Assumptions'!L$2,'RES Assumptions T15'!$V$3:$W$35,2,FALSE),'COM Assumptions T15'!$E$2:$S$2,0))</f>
        <v>0</v>
      </c>
      <c r="M65" s="30">
        <f ca="1">OFFSET('COM Assumptions T15'!$D65,0,MATCH(VLOOKUP('COM Assumptions'!M$2,'RES Assumptions T15'!$V$3:$W$35,2,FALSE),'COM Assumptions T15'!$E$2:$S$2,0))</f>
        <v>3.0000000000000027E-2</v>
      </c>
      <c r="N65" s="30">
        <f ca="1">OFFSET('COM Assumptions T15'!$D65,0,MATCH(VLOOKUP('COM Assumptions'!N$2,'RES Assumptions T15'!$V$3:$W$35,2,FALSE),'COM Assumptions T15'!$E$2:$S$2,0))</f>
        <v>9.9999999999988987E-5</v>
      </c>
      <c r="O65" s="30">
        <f ca="1">OFFSET('COM Assumptions T15'!$D65,0,MATCH(VLOOKUP('COM Assumptions'!O$2,'RES Assumptions T15'!$V$3:$W$35,2,FALSE),'COM Assumptions T15'!$E$2:$S$2,0))</f>
        <v>9.9999999999988987E-5</v>
      </c>
      <c r="P65" s="30">
        <f ca="1">OFFSET('COM Assumptions T15'!$D65,0,MATCH(VLOOKUP('COM Assumptions'!P$2,'RES Assumptions T15'!$V$3:$W$35,2,FALSE),'COM Assumptions T15'!$E$2:$S$2,0))</f>
        <v>9.9999999999988987E-5</v>
      </c>
      <c r="Q65" s="30">
        <f ca="1">OFFSET('COM Assumptions T15'!$D65,0,MATCH(VLOOKUP('COM Assumptions'!Q$2,'RES Assumptions T15'!$V$3:$W$35,2,FALSE),'COM Assumptions T15'!$E$2:$S$2,0))</f>
        <v>9.9999999999988987E-5</v>
      </c>
      <c r="R65" s="30">
        <f ca="1">OFFSET('COM Assumptions T15'!$D65,0,MATCH(VLOOKUP('COM Assumptions'!R$2,'RES Assumptions T15'!$V$3:$W$35,2,FALSE),'COM Assumptions T15'!$E$2:$S$2,0))</f>
        <v>9.9999999999988987E-5</v>
      </c>
      <c r="S65" s="30">
        <f ca="1">OFFSET('COM Assumptions T15'!$D65,0,MATCH(VLOOKUP('COM Assumptions'!S$2,'RES Assumptions T15'!$V$3:$W$35,2,FALSE),'COM Assumptions T15'!$E$2:$S$2,0))</f>
        <v>9.9999999999988987E-5</v>
      </c>
      <c r="T65">
        <f ca="1">OFFSET('COM Assumptions T15'!$D65,0,MATCH(VLOOKUP('COM Assumptions'!T$2,'RES Assumptions T15'!$V$3:$W$35,2,FALSE),'COM Assumptions T15'!$E$2:$S$2,0))</f>
        <v>9.9999999999988987E-5</v>
      </c>
      <c r="U65" s="6">
        <f ca="1">OFFSET('COM Assumptions T15'!$D65,0,MATCH(VLOOKUP('COM Assumptions'!U$2,'RES Assumptions T15'!$V$3:$W$35,2,FALSE),'COM Assumptions T15'!$E$2:$S$2,0))</f>
        <v>9.9999999999988987E-5</v>
      </c>
      <c r="V65" s="6">
        <f ca="1">OFFSET('COM Assumptions T15'!$D65,0,MATCH(VLOOKUP('COM Assumptions'!V$2,'RES Assumptions T15'!$V$3:$W$35,2,FALSE),'COM Assumptions T15'!$E$2:$S$2,0))</f>
        <v>9.9999999999988987E-5</v>
      </c>
      <c r="W65" s="6">
        <f ca="1">OFFSET('COM Assumptions T15'!$D65,0,MATCH(VLOOKUP('COM Assumptions'!W$2,'RES Assumptions T15'!$V$3:$W$35,2,FALSE),'COM Assumptions T15'!$E$2:$S$2,0))</f>
        <v>9.9999999999988987E-5</v>
      </c>
      <c r="X65" s="6">
        <f ca="1">OFFSET('COM Assumptions T15'!$D65,0,MATCH(VLOOKUP('COM Assumptions'!X$2,'RES Assumptions T15'!$V$3:$W$35,2,FALSE),'COM Assumptions T15'!$E$2:$S$2,0))</f>
        <v>1.0000000000000009E-3</v>
      </c>
      <c r="Y65" s="6">
        <f ca="1">OFFSET('COM Assumptions T15'!$D65,0,MATCH(VLOOKUP('COM Assumptions'!Y$2,'RES Assumptions T15'!$V$3:$W$35,2,FALSE),'COM Assumptions T15'!$E$2:$S$2,0))</f>
        <v>0</v>
      </c>
      <c r="Z65" s="6">
        <f ca="1">OFFSET('COM Assumptions T15'!$D65,0,MATCH(VLOOKUP('COM Assumptions'!Z$2,'RES Assumptions T15'!$V$3:$W$35,2,FALSE),'COM Assumptions T15'!$E$2:$S$2,0))</f>
        <v>9.9999999999988987E-5</v>
      </c>
      <c r="AA65" s="6">
        <f ca="1">OFFSET('COM Assumptions T15'!$D65,0,MATCH(VLOOKUP('COM Assumptions'!AA$2,'RES Assumptions T15'!$V$3:$W$35,2,FALSE),'COM Assumptions T15'!$E$2:$S$2,0))</f>
        <v>9.9999999999988987E-5</v>
      </c>
      <c r="AB65" s="6">
        <f ca="1">OFFSET('COM Assumptions T15'!$D65,0,MATCH(VLOOKUP('COM Assumptions'!AB$2,'RES Assumptions T15'!$V$3:$W$35,2,FALSE),'COM Assumptions T15'!$E$2:$S$2,0))</f>
        <v>9.9999999999988987E-5</v>
      </c>
      <c r="AC65" s="6">
        <f ca="1">OFFSET('COM Assumptions T15'!$D65,0,MATCH(VLOOKUP('COM Assumptions'!AC$2,'RES Assumptions T15'!$V$3:$W$35,2,FALSE),'COM Assumptions T15'!$E$2:$S$2,0))</f>
        <v>1.0000000000000009E-3</v>
      </c>
      <c r="AD65" s="6">
        <f ca="1">OFFSET('COM Assumptions T15'!$D65,0,MATCH(VLOOKUP('COM Assumptions'!AD$2,'RES Assumptions T15'!$V$3:$W$35,2,FALSE),'COM Assumptions T15'!$E$2:$S$2,0))</f>
        <v>9.9999999999988987E-5</v>
      </c>
      <c r="AE65" s="6">
        <f ca="1">OFFSET('COM Assumptions T15'!$D65,0,MATCH(VLOOKUP('COM Assumptions'!AE$2,'RES Assumptions T15'!$V$3:$W$35,2,FALSE),'COM Assumptions T15'!$E$2:$S$2,0))</f>
        <v>1.0000000000000009E-3</v>
      </c>
      <c r="AF65" s="6">
        <f ca="1">OFFSET('COM Assumptions T15'!$D65,0,MATCH(VLOOKUP('COM Assumptions'!AF$2,'RES Assumptions T15'!$V$3:$W$35,2,FALSE),'COM Assumptions T15'!$E$2:$S$2,0))</f>
        <v>9.9999999999988987E-5</v>
      </c>
      <c r="AG65" s="6">
        <f ca="1">OFFSET('COM Assumptions T15'!$D65,0,MATCH(VLOOKUP('COM Assumptions'!AG$2,'RES Assumptions T15'!$V$3:$W$35,2,FALSE),'COM Assumptions T15'!$E$2:$S$2,0))</f>
        <v>1.3294128787007115E-3</v>
      </c>
      <c r="AH65" s="6">
        <f ca="1">OFFSET('COM Assumptions T15'!$D65,0,MATCH(VLOOKUP('COM Assumptions'!AH$2,'RES Assumptions T15'!$V$3:$W$35,2,FALSE),'COM Assumptions T15'!$E$2:$S$2,0))</f>
        <v>1.3294128787007115E-3</v>
      </c>
      <c r="AI65" s="6"/>
      <c r="AJ65" s="6"/>
    </row>
    <row r="66" spans="1:38" x14ac:dyDescent="0.45">
      <c r="A66" s="37" t="str">
        <f t="shared" si="36"/>
        <v>CHCOMELC</v>
      </c>
      <c r="B66" s="6" t="s">
        <v>82</v>
      </c>
      <c r="C66" s="6" t="s">
        <v>259</v>
      </c>
      <c r="D66" s="6" t="s">
        <v>51</v>
      </c>
      <c r="E66" s="30">
        <f ca="1">OFFSET('COM Assumptions T15'!$D66,0,MATCH(VLOOKUP('COM Assumptions'!E$2,'RES Assumptions T15'!$V$3:$W$35,2,FALSE),'COM Assumptions T15'!$E$2:$S$2,0))</f>
        <v>0.98</v>
      </c>
      <c r="F66" s="30">
        <f ca="1">OFFSET('COM Assumptions T15'!$D66,0,MATCH(VLOOKUP('COM Assumptions'!F$2,'RES Assumptions T15'!$V$3:$W$35,2,FALSE),'COM Assumptions T15'!$E$2:$S$2,0))</f>
        <v>0.98</v>
      </c>
      <c r="G66" s="30">
        <f ca="1">OFFSET('COM Assumptions T15'!$D66,0,MATCH(VLOOKUP('COM Assumptions'!G$2,'RES Assumptions T15'!$V$3:$W$35,2,FALSE),'COM Assumptions T15'!$E$2:$S$2,0))</f>
        <v>0.99</v>
      </c>
      <c r="H66" s="30">
        <f ca="1">OFFSET('COM Assumptions T15'!$D66,0,MATCH(VLOOKUP('COM Assumptions'!H$2,'RES Assumptions T15'!$V$3:$W$35,2,FALSE),'COM Assumptions T15'!$E$2:$S$2,0))</f>
        <v>0.85</v>
      </c>
      <c r="I66" s="30">
        <f ca="1">OFFSET('COM Assumptions T15'!$D66,0,MATCH(VLOOKUP('COM Assumptions'!I$2,'RES Assumptions T15'!$V$3:$W$35,2,FALSE),'COM Assumptions T15'!$E$2:$S$2,0))</f>
        <v>0.45</v>
      </c>
      <c r="J66" s="30">
        <f ca="1">OFFSET('COM Assumptions T15'!$D66,0,MATCH(VLOOKUP('COM Assumptions'!J$2,'RES Assumptions T15'!$V$3:$W$35,2,FALSE),'COM Assumptions T15'!$E$2:$S$2,0))</f>
        <v>0.9</v>
      </c>
      <c r="K66" s="30">
        <f ca="1">OFFSET('COM Assumptions T15'!$D66,0,MATCH(VLOOKUP('COM Assumptions'!K$2,'RES Assumptions T15'!$V$3:$W$35,2,FALSE),'COM Assumptions T15'!$E$2:$S$2,0))</f>
        <v>0.95</v>
      </c>
      <c r="L66" s="30">
        <f ca="1">OFFSET('COM Assumptions T15'!$D66,0,MATCH(VLOOKUP('COM Assumptions'!L$2,'RES Assumptions T15'!$V$3:$W$35,2,FALSE),'COM Assumptions T15'!$E$2:$S$2,0))</f>
        <v>0.99</v>
      </c>
      <c r="M66" s="30">
        <f ca="1">OFFSET('COM Assumptions T15'!$D66,0,MATCH(VLOOKUP('COM Assumptions'!M$2,'RES Assumptions T15'!$V$3:$W$35,2,FALSE),'COM Assumptions T15'!$E$2:$S$2,0))</f>
        <v>0.95</v>
      </c>
      <c r="N66" s="30">
        <f ca="1">OFFSET('COM Assumptions T15'!$D66,0,MATCH(VLOOKUP('COM Assumptions'!N$2,'RES Assumptions T15'!$V$3:$W$35,2,FALSE),'COM Assumptions T15'!$E$2:$S$2,0))</f>
        <v>0.76149999999999995</v>
      </c>
      <c r="O66" s="30">
        <f ca="1">OFFSET('COM Assumptions T15'!$D66,0,MATCH(VLOOKUP('COM Assumptions'!O$2,'RES Assumptions T15'!$V$3:$W$35,2,FALSE),'COM Assumptions T15'!$E$2:$S$2,0))</f>
        <v>0.75</v>
      </c>
      <c r="P66" s="30">
        <f ca="1">OFFSET('COM Assumptions T15'!$D66,0,MATCH(VLOOKUP('COM Assumptions'!P$2,'RES Assumptions T15'!$V$3:$W$35,2,FALSE),'COM Assumptions T15'!$E$2:$S$2,0))</f>
        <v>0.9</v>
      </c>
      <c r="Q66" s="30">
        <f ca="1">OFFSET('COM Assumptions T15'!$D66,0,MATCH(VLOOKUP('COM Assumptions'!Q$2,'RES Assumptions T15'!$V$3:$W$35,2,FALSE),'COM Assumptions T15'!$E$2:$S$2,0))</f>
        <v>0.75</v>
      </c>
      <c r="R66" s="30">
        <f ca="1">OFFSET('COM Assumptions T15'!$D66,0,MATCH(VLOOKUP('COM Assumptions'!R$2,'RES Assumptions T15'!$V$3:$W$35,2,FALSE),'COM Assumptions T15'!$E$2:$S$2,0))</f>
        <v>0.75</v>
      </c>
      <c r="S66" s="30">
        <f ca="1">OFFSET('COM Assumptions T15'!$D66,0,MATCH(VLOOKUP('COM Assumptions'!S$2,'RES Assumptions T15'!$V$3:$W$35,2,FALSE),'COM Assumptions T15'!$E$2:$S$2,0))</f>
        <v>0.9</v>
      </c>
      <c r="T66">
        <f ca="1">OFFSET('COM Assumptions T15'!$D66,0,MATCH(VLOOKUP('COM Assumptions'!T$2,'RES Assumptions T15'!$V$3:$W$35,2,FALSE),'COM Assumptions T15'!$E$2:$S$2,0))</f>
        <v>0.75</v>
      </c>
      <c r="U66" s="6">
        <f ca="1">OFFSET('COM Assumptions T15'!$D66,0,MATCH(VLOOKUP('COM Assumptions'!U$2,'RES Assumptions T15'!$V$3:$W$35,2,FALSE),'COM Assumptions T15'!$E$2:$S$2,0))</f>
        <v>0.8</v>
      </c>
      <c r="V66" s="6">
        <f ca="1">OFFSET('COM Assumptions T15'!$D66,0,MATCH(VLOOKUP('COM Assumptions'!V$2,'RES Assumptions T15'!$V$3:$W$35,2,FALSE),'COM Assumptions T15'!$E$2:$S$2,0))</f>
        <v>0.75</v>
      </c>
      <c r="W66" s="6">
        <f ca="1">OFFSET('COM Assumptions T15'!$D66,0,MATCH(VLOOKUP('COM Assumptions'!W$2,'RES Assumptions T15'!$V$3:$W$35,2,FALSE),'COM Assumptions T15'!$E$2:$S$2,0))</f>
        <v>0.75</v>
      </c>
      <c r="X66" s="6">
        <f ca="1">OFFSET('COM Assumptions T15'!$D66,0,MATCH(VLOOKUP('COM Assumptions'!X$2,'RES Assumptions T15'!$V$3:$W$35,2,FALSE),'COM Assumptions T15'!$E$2:$S$2,0))</f>
        <v>0.80500000000000005</v>
      </c>
      <c r="Y66" s="6">
        <f ca="1">OFFSET('COM Assumptions T15'!$D66,0,MATCH(VLOOKUP('COM Assumptions'!Y$2,'RES Assumptions T15'!$V$3:$W$35,2,FALSE),'COM Assumptions T15'!$E$2:$S$2,0))</f>
        <v>0.99</v>
      </c>
      <c r="Z66" s="6">
        <f ca="1">OFFSET('COM Assumptions T15'!$D66,0,MATCH(VLOOKUP('COM Assumptions'!Z$2,'RES Assumptions T15'!$V$3:$W$35,2,FALSE),'COM Assumptions T15'!$E$2:$S$2,0))</f>
        <v>0.85</v>
      </c>
      <c r="AA66" s="6">
        <f ca="1">OFFSET('COM Assumptions T15'!$D66,0,MATCH(VLOOKUP('COM Assumptions'!AA$2,'RES Assumptions T15'!$V$3:$W$35,2,FALSE),'COM Assumptions T15'!$E$2:$S$2,0))</f>
        <v>0.8</v>
      </c>
      <c r="AB66" s="6">
        <f ca="1">OFFSET('COM Assumptions T15'!$D66,0,MATCH(VLOOKUP('COM Assumptions'!AB$2,'RES Assumptions T15'!$V$3:$W$35,2,FALSE),'COM Assumptions T15'!$E$2:$S$2,0))</f>
        <v>0.75</v>
      </c>
      <c r="AC66" s="6">
        <f ca="1">OFFSET('COM Assumptions T15'!$D66,0,MATCH(VLOOKUP('COM Assumptions'!AC$2,'RES Assumptions T15'!$V$3:$W$35,2,FALSE),'COM Assumptions T15'!$E$2:$S$2,0))</f>
        <v>0.85</v>
      </c>
      <c r="AD66" s="6">
        <f ca="1">OFFSET('COM Assumptions T15'!$D66,0,MATCH(VLOOKUP('COM Assumptions'!AD$2,'RES Assumptions T15'!$V$3:$W$35,2,FALSE),'COM Assumptions T15'!$E$2:$S$2,0))</f>
        <v>0.8</v>
      </c>
      <c r="AE66" s="6">
        <f ca="1">OFFSET('COM Assumptions T15'!$D66,0,MATCH(VLOOKUP('COM Assumptions'!AE$2,'RES Assumptions T15'!$V$3:$W$35,2,FALSE),'COM Assumptions T15'!$E$2:$S$2,0))</f>
        <v>0.98</v>
      </c>
      <c r="AF66" s="6">
        <f ca="1">OFFSET('COM Assumptions T15'!$D66,0,MATCH(VLOOKUP('COM Assumptions'!AF$2,'RES Assumptions T15'!$V$3:$W$35,2,FALSE),'COM Assumptions T15'!$E$2:$S$2,0))</f>
        <v>0.75</v>
      </c>
      <c r="AG66" s="6">
        <f ca="1">OFFSET('COM Assumptions T15'!$D66,0,MATCH(VLOOKUP('COM Assumptions'!AG$2,'RES Assumptions T15'!$V$3:$W$35,2,FALSE),'COM Assumptions T15'!$E$2:$S$2,0))</f>
        <v>0.57765437559964972</v>
      </c>
      <c r="AH66" s="6">
        <f ca="1">OFFSET('COM Assumptions T15'!$D66,0,MATCH(VLOOKUP('COM Assumptions'!AH$2,'RES Assumptions T15'!$V$3:$W$35,2,FALSE),'COM Assumptions T15'!$E$2:$S$2,0))</f>
        <v>0.57765437559964972</v>
      </c>
      <c r="AI66" s="6"/>
      <c r="AJ66" s="6"/>
    </row>
    <row r="67" spans="1:38" x14ac:dyDescent="0.45">
      <c r="A67" s="37" t="str">
        <f t="shared" si="36"/>
        <v>CHCOMELC</v>
      </c>
      <c r="B67" s="6" t="s">
        <v>82</v>
      </c>
      <c r="C67" s="6" t="s">
        <v>260</v>
      </c>
      <c r="D67" s="6" t="s">
        <v>51</v>
      </c>
      <c r="E67" s="30">
        <f ca="1">OFFSET('COM Assumptions T15'!$D67,0,MATCH(VLOOKUP('COM Assumptions'!E$2,'RES Assumptions T15'!$V$3:$W$35,2,FALSE),'COM Assumptions T15'!$E$2:$S$2,0))</f>
        <v>0.02</v>
      </c>
      <c r="F67" s="30">
        <f ca="1">OFFSET('COM Assumptions T15'!$D67,0,MATCH(VLOOKUP('COM Assumptions'!F$2,'RES Assumptions T15'!$V$3:$W$35,2,FALSE),'COM Assumptions T15'!$E$2:$S$2,0))</f>
        <v>0.02</v>
      </c>
      <c r="G67" s="30">
        <f ca="1">OFFSET('COM Assumptions T15'!$D67,0,MATCH(VLOOKUP('COM Assumptions'!G$2,'RES Assumptions T15'!$V$3:$W$35,2,FALSE),'COM Assumptions T15'!$E$2:$S$2,0))</f>
        <v>1.0000000000000009E-2</v>
      </c>
      <c r="H67" s="30">
        <f ca="1">OFFSET('COM Assumptions T15'!$D67,0,MATCH(VLOOKUP('COM Assumptions'!H$2,'RES Assumptions T15'!$V$3:$W$35,2,FALSE),'COM Assumptions T15'!$E$2:$S$2,0))</f>
        <v>0.15</v>
      </c>
      <c r="I67" s="30">
        <f ca="1">OFFSET('COM Assumptions T15'!$D67,0,MATCH(VLOOKUP('COM Assumptions'!I$2,'RES Assumptions T15'!$V$3:$W$35,2,FALSE),'COM Assumptions T15'!$E$2:$S$2,0))</f>
        <v>0.55000000000000004</v>
      </c>
      <c r="J67" s="30">
        <f ca="1">OFFSET('COM Assumptions T15'!$D67,0,MATCH(VLOOKUP('COM Assumptions'!J$2,'RES Assumptions T15'!$V$3:$W$35,2,FALSE),'COM Assumptions T15'!$E$2:$S$2,0))</f>
        <v>0.1</v>
      </c>
      <c r="K67" s="30">
        <f ca="1">OFFSET('COM Assumptions T15'!$D67,0,MATCH(VLOOKUP('COM Assumptions'!K$2,'RES Assumptions T15'!$V$3:$W$35,2,FALSE),'COM Assumptions T15'!$E$2:$S$2,0))</f>
        <v>0.05</v>
      </c>
      <c r="L67" s="30">
        <f ca="1">OFFSET('COM Assumptions T15'!$D67,0,MATCH(VLOOKUP('COM Assumptions'!L$2,'RES Assumptions T15'!$V$3:$W$35,2,FALSE),'COM Assumptions T15'!$E$2:$S$2,0))</f>
        <v>1.0000000000000009E-2</v>
      </c>
      <c r="M67" s="30">
        <f ca="1">OFFSET('COM Assumptions T15'!$D67,0,MATCH(VLOOKUP('COM Assumptions'!M$2,'RES Assumptions T15'!$V$3:$W$35,2,FALSE),'COM Assumptions T15'!$E$2:$S$2,0))</f>
        <v>0.05</v>
      </c>
      <c r="N67" s="30">
        <f ca="1">OFFSET('COM Assumptions T15'!$D67,0,MATCH(VLOOKUP('COM Assumptions'!N$2,'RES Assumptions T15'!$V$3:$W$35,2,FALSE),'COM Assumptions T15'!$E$2:$S$2,0))</f>
        <v>0.23849999999999999</v>
      </c>
      <c r="O67" s="30">
        <f ca="1">OFFSET('COM Assumptions T15'!$D67,0,MATCH(VLOOKUP('COM Assumptions'!O$2,'RES Assumptions T15'!$V$3:$W$35,2,FALSE),'COM Assumptions T15'!$E$2:$S$2,0))</f>
        <v>0.25</v>
      </c>
      <c r="P67" s="30">
        <f ca="1">OFFSET('COM Assumptions T15'!$D67,0,MATCH(VLOOKUP('COM Assumptions'!P$2,'RES Assumptions T15'!$V$3:$W$35,2,FALSE),'COM Assumptions T15'!$E$2:$S$2,0))</f>
        <v>0.1</v>
      </c>
      <c r="Q67" s="30">
        <f ca="1">OFFSET('COM Assumptions T15'!$D67,0,MATCH(VLOOKUP('COM Assumptions'!Q$2,'RES Assumptions T15'!$V$3:$W$35,2,FALSE),'COM Assumptions T15'!$E$2:$S$2,0))</f>
        <v>0.25</v>
      </c>
      <c r="R67" s="30">
        <f ca="1">OFFSET('COM Assumptions T15'!$D67,0,MATCH(VLOOKUP('COM Assumptions'!R$2,'RES Assumptions T15'!$V$3:$W$35,2,FALSE),'COM Assumptions T15'!$E$2:$S$2,0))</f>
        <v>0.25</v>
      </c>
      <c r="S67" s="30">
        <f ca="1">OFFSET('COM Assumptions T15'!$D67,0,MATCH(VLOOKUP('COM Assumptions'!S$2,'RES Assumptions T15'!$V$3:$W$35,2,FALSE),'COM Assumptions T15'!$E$2:$S$2,0))</f>
        <v>0.1</v>
      </c>
      <c r="T67">
        <f ca="1">OFFSET('COM Assumptions T15'!$D67,0,MATCH(VLOOKUP('COM Assumptions'!T$2,'RES Assumptions T15'!$V$3:$W$35,2,FALSE),'COM Assumptions T15'!$E$2:$S$2,0))</f>
        <v>0.25</v>
      </c>
      <c r="U67" s="6">
        <f ca="1">OFFSET('COM Assumptions T15'!$D67,0,MATCH(VLOOKUP('COM Assumptions'!U$2,'RES Assumptions T15'!$V$3:$W$35,2,FALSE),'COM Assumptions T15'!$E$2:$S$2,0))</f>
        <v>0.2</v>
      </c>
      <c r="V67" s="6">
        <f ca="1">OFFSET('COM Assumptions T15'!$D67,0,MATCH(VLOOKUP('COM Assumptions'!V$2,'RES Assumptions T15'!$V$3:$W$35,2,FALSE),'COM Assumptions T15'!$E$2:$S$2,0))</f>
        <v>0.25</v>
      </c>
      <c r="W67" s="6">
        <f ca="1">OFFSET('COM Assumptions T15'!$D67,0,MATCH(VLOOKUP('COM Assumptions'!W$2,'RES Assumptions T15'!$V$3:$W$35,2,FALSE),'COM Assumptions T15'!$E$2:$S$2,0))</f>
        <v>0.25</v>
      </c>
      <c r="X67" s="6">
        <f ca="1">OFFSET('COM Assumptions T15'!$D67,0,MATCH(VLOOKUP('COM Assumptions'!X$2,'RES Assumptions T15'!$V$3:$W$35,2,FALSE),'COM Assumptions T15'!$E$2:$S$2,0))</f>
        <v>0.19499999999999995</v>
      </c>
      <c r="Y67" s="6">
        <f ca="1">OFFSET('COM Assumptions T15'!$D67,0,MATCH(VLOOKUP('COM Assumptions'!Y$2,'RES Assumptions T15'!$V$3:$W$35,2,FALSE),'COM Assumptions T15'!$E$2:$S$2,0))</f>
        <v>1.0000000000000009E-2</v>
      </c>
      <c r="Z67" s="6">
        <f ca="1">OFFSET('COM Assumptions T15'!$D67,0,MATCH(VLOOKUP('COM Assumptions'!Z$2,'RES Assumptions T15'!$V$3:$W$35,2,FALSE),'COM Assumptions T15'!$E$2:$S$2,0))</f>
        <v>0.15</v>
      </c>
      <c r="AA67" s="6">
        <f ca="1">OFFSET('COM Assumptions T15'!$D67,0,MATCH(VLOOKUP('COM Assumptions'!AA$2,'RES Assumptions T15'!$V$3:$W$35,2,FALSE),'COM Assumptions T15'!$E$2:$S$2,0))</f>
        <v>0.2</v>
      </c>
      <c r="AB67" s="6">
        <f ca="1">OFFSET('COM Assumptions T15'!$D67,0,MATCH(VLOOKUP('COM Assumptions'!AB$2,'RES Assumptions T15'!$V$3:$W$35,2,FALSE),'COM Assumptions T15'!$E$2:$S$2,0))</f>
        <v>0.25</v>
      </c>
      <c r="AC67" s="6">
        <f ca="1">OFFSET('COM Assumptions T15'!$D67,0,MATCH(VLOOKUP('COM Assumptions'!AC$2,'RES Assumptions T15'!$V$3:$W$35,2,FALSE),'COM Assumptions T15'!$E$2:$S$2,0))</f>
        <v>0.15</v>
      </c>
      <c r="AD67" s="6">
        <f ca="1">OFFSET('COM Assumptions T15'!$D67,0,MATCH(VLOOKUP('COM Assumptions'!AD$2,'RES Assumptions T15'!$V$3:$W$35,2,FALSE),'COM Assumptions T15'!$E$2:$S$2,0))</f>
        <v>0.2</v>
      </c>
      <c r="AE67" s="6">
        <f ca="1">OFFSET('COM Assumptions T15'!$D67,0,MATCH(VLOOKUP('COM Assumptions'!AE$2,'RES Assumptions T15'!$V$3:$W$35,2,FALSE),'COM Assumptions T15'!$E$2:$S$2,0))</f>
        <v>0.02</v>
      </c>
      <c r="AF67" s="6">
        <f ca="1">OFFSET('COM Assumptions T15'!$D67,0,MATCH(VLOOKUP('COM Assumptions'!AF$2,'RES Assumptions T15'!$V$3:$W$35,2,FALSE),'COM Assumptions T15'!$E$2:$S$2,0))</f>
        <v>0.25</v>
      </c>
      <c r="AG67" s="6">
        <f ca="1">OFFSET('COM Assumptions T15'!$D67,0,MATCH(VLOOKUP('COM Assumptions'!AG$2,'RES Assumptions T15'!$V$3:$W$35,2,FALSE),'COM Assumptions T15'!$E$2:$S$2,0))</f>
        <v>0.42234562440035034</v>
      </c>
      <c r="AH67" s="6">
        <f ca="1">OFFSET('COM Assumptions T15'!$D67,0,MATCH(VLOOKUP('COM Assumptions'!AH$2,'RES Assumptions T15'!$V$3:$W$35,2,FALSE),'COM Assumptions T15'!$E$2:$S$2,0))</f>
        <v>0.42234562440035034</v>
      </c>
      <c r="AI67" s="6"/>
      <c r="AJ67" s="6"/>
    </row>
    <row r="68" spans="1:38" x14ac:dyDescent="0.45">
      <c r="A68" s="37" t="str">
        <f t="shared" si="36"/>
        <v/>
      </c>
      <c r="B68" s="8"/>
      <c r="C68" s="5" t="s">
        <v>99</v>
      </c>
      <c r="D68" s="6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</row>
    <row r="69" spans="1:38" x14ac:dyDescent="0.45">
      <c r="A69" s="37" t="str">
        <f t="shared" si="36"/>
        <v>CLCOMELC</v>
      </c>
      <c r="B69" s="6" t="s">
        <v>83</v>
      </c>
      <c r="C69" s="6" t="s">
        <v>261</v>
      </c>
      <c r="D69" s="6" t="s">
        <v>51</v>
      </c>
      <c r="E69" s="30">
        <f ca="1">OFFSET('COM Assumptions T15'!$D69,0,MATCH(VLOOKUP('COM Assumptions'!E$2,'RES Assumptions T15'!$V$3:$W$35,2,FALSE),'COM Assumptions T15'!$E$2:$S$2,0))</f>
        <v>0.54406775401472696</v>
      </c>
      <c r="F69" s="30">
        <f ca="1">OFFSET('COM Assumptions T15'!$D69,0,MATCH(VLOOKUP('COM Assumptions'!F$2,'RES Assumptions T15'!$V$3:$W$35,2,FALSE),'COM Assumptions T15'!$E$2:$S$2,0))</f>
        <v>0.54406775401472696</v>
      </c>
      <c r="G69" s="30">
        <f ca="1">OFFSET('COM Assumptions T15'!$D69,0,MATCH(VLOOKUP('COM Assumptions'!G$2,'RES Assumptions T15'!$V$3:$W$35,2,FALSE),'COM Assumptions T15'!$E$2:$S$2,0))</f>
        <v>0.7</v>
      </c>
      <c r="H69" s="30">
        <f ca="1">OFFSET('COM Assumptions T15'!$D69,0,MATCH(VLOOKUP('COM Assumptions'!H$2,'RES Assumptions T15'!$V$3:$W$35,2,FALSE),'COM Assumptions T15'!$E$2:$S$2,0))</f>
        <v>0.54406775401472696</v>
      </c>
      <c r="I69" s="30">
        <f ca="1">OFFSET('COM Assumptions T15'!$D69,0,MATCH(VLOOKUP('COM Assumptions'!I$2,'RES Assumptions T15'!$V$3:$W$35,2,FALSE),'COM Assumptions T15'!$E$2:$S$2,0))</f>
        <v>0.05</v>
      </c>
      <c r="J69" s="30">
        <f ca="1">OFFSET('COM Assumptions T15'!$D69,0,MATCH(VLOOKUP('COM Assumptions'!J$2,'RES Assumptions T15'!$V$3:$W$35,2,FALSE),'COM Assumptions T15'!$E$2:$S$2,0))</f>
        <v>0.2</v>
      </c>
      <c r="K69" s="30">
        <f ca="1">OFFSET('COM Assumptions T15'!$D69,0,MATCH(VLOOKUP('COM Assumptions'!K$2,'RES Assumptions T15'!$V$3:$W$35,2,FALSE),'COM Assumptions T15'!$E$2:$S$2,0))</f>
        <v>0.54406775401472696</v>
      </c>
      <c r="L69" s="30">
        <f ca="1">OFFSET('COM Assumptions T15'!$D69,0,MATCH(VLOOKUP('COM Assumptions'!L$2,'RES Assumptions T15'!$V$3:$W$35,2,FALSE),'COM Assumptions T15'!$E$2:$S$2,0))</f>
        <v>0.7</v>
      </c>
      <c r="M69" s="30">
        <f ca="1">OFFSET('COM Assumptions T15'!$D69,0,MATCH(VLOOKUP('COM Assumptions'!M$2,'RES Assumptions T15'!$V$3:$W$35,2,FALSE),'COM Assumptions T15'!$E$2:$S$2,0))</f>
        <v>0.55437697429720711</v>
      </c>
      <c r="N69" s="30">
        <f ca="1">OFFSET('COM Assumptions T15'!$D69,0,MATCH(VLOOKUP('COM Assumptions'!N$2,'RES Assumptions T15'!$V$3:$W$35,2,FALSE),'COM Assumptions T15'!$E$2:$S$2,0))</f>
        <v>0.54492829100232343</v>
      </c>
      <c r="O69" s="30">
        <f ca="1">OFFSET('COM Assumptions T15'!$D69,0,MATCH(VLOOKUP('COM Assumptions'!O$2,'RES Assumptions T15'!$V$3:$W$35,2,FALSE),'COM Assumptions T15'!$E$2:$S$2,0))</f>
        <v>0.54406775401472696</v>
      </c>
      <c r="P69" s="30">
        <f ca="1">OFFSET('COM Assumptions T15'!$D69,0,MATCH(VLOOKUP('COM Assumptions'!P$2,'RES Assumptions T15'!$V$3:$W$35,2,FALSE),'COM Assumptions T15'!$E$2:$S$2,0))</f>
        <v>0.54406775401472696</v>
      </c>
      <c r="Q69" s="30">
        <f ca="1">OFFSET('COM Assumptions T15'!$D69,0,MATCH(VLOOKUP('COM Assumptions'!Q$2,'RES Assumptions T15'!$V$3:$W$35,2,FALSE),'COM Assumptions T15'!$E$2:$S$2,0))</f>
        <v>0.54406775401472696</v>
      </c>
      <c r="R69" s="30">
        <f ca="1">OFFSET('COM Assumptions T15'!$D69,0,MATCH(VLOOKUP('COM Assumptions'!R$2,'RES Assumptions T15'!$V$3:$W$35,2,FALSE),'COM Assumptions T15'!$E$2:$S$2,0))</f>
        <v>0.54406775401472696</v>
      </c>
      <c r="S69" s="30">
        <f ca="1">OFFSET('COM Assumptions T15'!$D69,0,MATCH(VLOOKUP('COM Assumptions'!S$2,'RES Assumptions T15'!$V$3:$W$35,2,FALSE),'COM Assumptions T15'!$E$2:$S$2,0))</f>
        <v>0.54406775401472696</v>
      </c>
      <c r="T69" s="30">
        <f ca="1">OFFSET('COM Assumptions T15'!$D69,0,MATCH(VLOOKUP('COM Assumptions'!T$2,'RES Assumptions T15'!$V$3:$W$35,2,FALSE),'COM Assumptions T15'!$E$2:$S$2,0))</f>
        <v>0.54406775401472696</v>
      </c>
      <c r="U69" s="30">
        <f ca="1">OFFSET('COM Assumptions T15'!$D69,0,MATCH(VLOOKUP('COM Assumptions'!U$2,'RES Assumptions T15'!$V$3:$W$35,2,FALSE),'COM Assumptions T15'!$E$2:$S$2,0))</f>
        <v>0.54406775401472696</v>
      </c>
      <c r="V69" s="30">
        <f ca="1">OFFSET('COM Assumptions T15'!$D69,0,MATCH(VLOOKUP('COM Assumptions'!V$2,'RES Assumptions T15'!$V$3:$W$35,2,FALSE),'COM Assumptions T15'!$E$2:$S$2,0))</f>
        <v>0.54406775401472696</v>
      </c>
      <c r="W69" s="30">
        <f ca="1">OFFSET('COM Assumptions T15'!$D69,0,MATCH(VLOOKUP('COM Assumptions'!W$2,'RES Assumptions T15'!$V$3:$W$35,2,FALSE),'COM Assumptions T15'!$E$2:$S$2,0))</f>
        <v>0.54406775401472696</v>
      </c>
      <c r="X69" s="30">
        <f ca="1">OFFSET('COM Assumptions T15'!$D69,0,MATCH(VLOOKUP('COM Assumptions'!X$2,'RES Assumptions T15'!$V$3:$W$35,2,FALSE),'COM Assumptions T15'!$E$2:$S$2,0))</f>
        <v>0.5</v>
      </c>
      <c r="Y69" s="30">
        <f ca="1">OFFSET('COM Assumptions T15'!$D69,0,MATCH(VLOOKUP('COM Assumptions'!Y$2,'RES Assumptions T15'!$V$3:$W$35,2,FALSE),'COM Assumptions T15'!$E$2:$S$2,0))</f>
        <v>0.7</v>
      </c>
      <c r="Z69" s="30">
        <f ca="1">OFFSET('COM Assumptions T15'!$D69,0,MATCH(VLOOKUP('COM Assumptions'!Z$2,'RES Assumptions T15'!$V$3:$W$35,2,FALSE),'COM Assumptions T15'!$E$2:$S$2,0))</f>
        <v>0.5</v>
      </c>
      <c r="AA69" s="30">
        <f ca="1">OFFSET('COM Assumptions T15'!$D69,0,MATCH(VLOOKUP('COM Assumptions'!AA$2,'RES Assumptions T15'!$V$3:$W$35,2,FALSE),'COM Assumptions T15'!$E$2:$S$2,0))</f>
        <v>0.54406775401472696</v>
      </c>
      <c r="AB69" s="30">
        <f ca="1">OFFSET('COM Assumptions T15'!$D69,0,MATCH(VLOOKUP('COM Assumptions'!AB$2,'RES Assumptions T15'!$V$3:$W$35,2,FALSE),'COM Assumptions T15'!$E$2:$S$2,0))</f>
        <v>0.54406775401472696</v>
      </c>
      <c r="AC69" s="30">
        <f ca="1">OFFSET('COM Assumptions T15'!$D69,0,MATCH(VLOOKUP('COM Assumptions'!AC$2,'RES Assumptions T15'!$V$3:$W$35,2,FALSE),'COM Assumptions T15'!$E$2:$S$2,0))</f>
        <v>0.54406775401472696</v>
      </c>
      <c r="AD69" s="30">
        <f ca="1">OFFSET('COM Assumptions T15'!$D69,0,MATCH(VLOOKUP('COM Assumptions'!AD$2,'RES Assumptions T15'!$V$3:$W$35,2,FALSE),'COM Assumptions T15'!$E$2:$S$2,0))</f>
        <v>0.54406775401472696</v>
      </c>
      <c r="AE69" s="30">
        <f ca="1">OFFSET('COM Assumptions T15'!$D69,0,MATCH(VLOOKUP('COM Assumptions'!AE$2,'RES Assumptions T15'!$V$3:$W$35,2,FALSE),'COM Assumptions T15'!$E$2:$S$2,0))</f>
        <v>0.54406775401472696</v>
      </c>
      <c r="AF69" s="30">
        <f ca="1">OFFSET('COM Assumptions T15'!$D69,0,MATCH(VLOOKUP('COM Assumptions'!AF$2,'RES Assumptions T15'!$V$3:$W$35,2,FALSE),'COM Assumptions T15'!$E$2:$S$2,0))</f>
        <v>0.54406775401472696</v>
      </c>
      <c r="AG69" s="30">
        <f ca="1">OFFSET('COM Assumptions T15'!$D69,0,MATCH(VLOOKUP('COM Assumptions'!AG$2,'RES Assumptions T15'!$V$3:$W$35,2,FALSE),'COM Assumptions T15'!$E$2:$S$2,0))</f>
        <v>0.43634385209802534</v>
      </c>
      <c r="AH69" s="30">
        <f ca="1">OFFSET('COM Assumptions T15'!$D69,0,MATCH(VLOOKUP('COM Assumptions'!AH$2,'RES Assumptions T15'!$V$3:$W$35,2,FALSE),'COM Assumptions T15'!$E$2:$S$2,0))</f>
        <v>0.43634385209802534</v>
      </c>
      <c r="AI69" s="30"/>
      <c r="AJ69" s="6" t="s">
        <v>201</v>
      </c>
      <c r="AK69" s="6"/>
      <c r="AL69" s="6"/>
    </row>
    <row r="70" spans="1:38" x14ac:dyDescent="0.45">
      <c r="A70" s="37" t="str">
        <f t="shared" si="36"/>
        <v>CLCOMELC</v>
      </c>
      <c r="B70" s="6" t="s">
        <v>83</v>
      </c>
      <c r="C70" s="6" t="s">
        <v>262</v>
      </c>
      <c r="D70" s="6" t="s">
        <v>51</v>
      </c>
      <c r="E70" s="30">
        <f ca="1">OFFSET('COM Assumptions T15'!$D70,0,MATCH(VLOOKUP('COM Assumptions'!E$2,'RES Assumptions T15'!$V$3:$W$35,2,FALSE),'COM Assumptions T15'!$E$2:$S$2,0))</f>
        <v>3.2859189263903903E-3</v>
      </c>
      <c r="F70" s="30">
        <f ca="1">OFFSET('COM Assumptions T15'!$D70,0,MATCH(VLOOKUP('COM Assumptions'!F$2,'RES Assumptions T15'!$V$3:$W$35,2,FALSE),'COM Assumptions T15'!$E$2:$S$2,0))</f>
        <v>3.2859189263903903E-3</v>
      </c>
      <c r="G70" s="30">
        <f ca="1">OFFSET('COM Assumptions T15'!$D70,0,MATCH(VLOOKUP('COM Assumptions'!G$2,'RES Assumptions T15'!$V$3:$W$35,2,FALSE),'COM Assumptions T15'!$E$2:$S$2,0))</f>
        <v>0.01</v>
      </c>
      <c r="H70" s="30">
        <f ca="1">OFFSET('COM Assumptions T15'!$D70,0,MATCH(VLOOKUP('COM Assumptions'!H$2,'RES Assumptions T15'!$V$3:$W$35,2,FALSE),'COM Assumptions T15'!$E$2:$S$2,0))</f>
        <v>3.2859189263903903E-3</v>
      </c>
      <c r="I70" s="30">
        <f ca="1">OFFSET('COM Assumptions T15'!$D70,0,MATCH(VLOOKUP('COM Assumptions'!I$2,'RES Assumptions T15'!$V$3:$W$35,2,FALSE),'COM Assumptions T15'!$E$2:$S$2,0))</f>
        <v>0.67</v>
      </c>
      <c r="J70" s="30">
        <f ca="1">OFFSET('COM Assumptions T15'!$D70,0,MATCH(VLOOKUP('COM Assumptions'!J$2,'RES Assumptions T15'!$V$3:$W$35,2,FALSE),'COM Assumptions T15'!$E$2:$S$2,0))</f>
        <v>0.1</v>
      </c>
      <c r="K70" s="30">
        <f ca="1">OFFSET('COM Assumptions T15'!$D70,0,MATCH(VLOOKUP('COM Assumptions'!K$2,'RES Assumptions T15'!$V$3:$W$35,2,FALSE),'COM Assumptions T15'!$E$2:$S$2,0))</f>
        <v>3.2859189263903903E-3</v>
      </c>
      <c r="L70" s="30">
        <f ca="1">OFFSET('COM Assumptions T15'!$D70,0,MATCH(VLOOKUP('COM Assumptions'!L$2,'RES Assumptions T15'!$V$3:$W$35,2,FALSE),'COM Assumptions T15'!$E$2:$S$2,0))</f>
        <v>0.01</v>
      </c>
      <c r="M70" s="30">
        <f ca="1">OFFSET('COM Assumptions T15'!$D70,0,MATCH(VLOOKUP('COM Assumptions'!M$2,'RES Assumptions T15'!$V$3:$W$35,2,FALSE),'COM Assumptions T15'!$E$2:$S$2,0))</f>
        <v>4.0622230302479381E-3</v>
      </c>
      <c r="N70" s="30">
        <f ca="1">OFFSET('COM Assumptions T15'!$D70,0,MATCH(VLOOKUP('COM Assumptions'!N$2,'RES Assumptions T15'!$V$3:$W$35,2,FALSE),'COM Assumptions T15'!$E$2:$S$2,0))</f>
        <v>3.3851454210399811E-3</v>
      </c>
      <c r="O70" s="30">
        <f ca="1">OFFSET('COM Assumptions T15'!$D70,0,MATCH(VLOOKUP('COM Assumptions'!O$2,'RES Assumptions T15'!$V$3:$W$35,2,FALSE),'COM Assumptions T15'!$E$2:$S$2,0))</f>
        <v>3.2859189263903903E-3</v>
      </c>
      <c r="P70" s="30">
        <f ca="1">OFFSET('COM Assumptions T15'!$D70,0,MATCH(VLOOKUP('COM Assumptions'!P$2,'RES Assumptions T15'!$V$3:$W$35,2,FALSE),'COM Assumptions T15'!$E$2:$S$2,0))</f>
        <v>3.2859189263903903E-3</v>
      </c>
      <c r="Q70" s="30">
        <f ca="1">OFFSET('COM Assumptions T15'!$D70,0,MATCH(VLOOKUP('COM Assumptions'!Q$2,'RES Assumptions T15'!$V$3:$W$35,2,FALSE),'COM Assumptions T15'!$E$2:$S$2,0))</f>
        <v>3.2859189263903903E-3</v>
      </c>
      <c r="R70" s="30">
        <f ca="1">OFFSET('COM Assumptions T15'!$D70,0,MATCH(VLOOKUP('COM Assumptions'!R$2,'RES Assumptions T15'!$V$3:$W$35,2,FALSE),'COM Assumptions T15'!$E$2:$S$2,0))</f>
        <v>3.2859189263903903E-3</v>
      </c>
      <c r="S70" s="30">
        <f ca="1">OFFSET('COM Assumptions T15'!$D70,0,MATCH(VLOOKUP('COM Assumptions'!S$2,'RES Assumptions T15'!$V$3:$W$35,2,FALSE),'COM Assumptions T15'!$E$2:$S$2,0))</f>
        <v>3.2859189263903903E-3</v>
      </c>
      <c r="T70" s="30">
        <f ca="1">OFFSET('COM Assumptions T15'!$D70,0,MATCH(VLOOKUP('COM Assumptions'!T$2,'RES Assumptions T15'!$V$3:$W$35,2,FALSE),'COM Assumptions T15'!$E$2:$S$2,0))</f>
        <v>3.2859189263903903E-3</v>
      </c>
      <c r="U70" s="30">
        <f ca="1">OFFSET('COM Assumptions T15'!$D70,0,MATCH(VLOOKUP('COM Assumptions'!U$2,'RES Assumptions T15'!$V$3:$W$35,2,FALSE),'COM Assumptions T15'!$E$2:$S$2,0))</f>
        <v>3.2859189263903903E-3</v>
      </c>
      <c r="V70" s="30">
        <f ca="1">OFFSET('COM Assumptions T15'!$D70,0,MATCH(VLOOKUP('COM Assumptions'!V$2,'RES Assumptions T15'!$V$3:$W$35,2,FALSE),'COM Assumptions T15'!$E$2:$S$2,0))</f>
        <v>3.2859189263903903E-3</v>
      </c>
      <c r="W70" s="30">
        <f ca="1">OFFSET('COM Assumptions T15'!$D70,0,MATCH(VLOOKUP('COM Assumptions'!W$2,'RES Assumptions T15'!$V$3:$W$35,2,FALSE),'COM Assumptions T15'!$E$2:$S$2,0))</f>
        <v>3.2859189263903903E-3</v>
      </c>
      <c r="X70" s="30">
        <f ca="1">OFFSET('COM Assumptions T15'!$D70,0,MATCH(VLOOKUP('COM Assumptions'!X$2,'RES Assumptions T15'!$V$3:$W$35,2,FALSE),'COM Assumptions T15'!$E$2:$S$2,0))</f>
        <v>5.0000000000000017E-2</v>
      </c>
      <c r="Y70" s="30">
        <f ca="1">OFFSET('COM Assumptions T15'!$D70,0,MATCH(VLOOKUP('COM Assumptions'!Y$2,'RES Assumptions T15'!$V$3:$W$35,2,FALSE),'COM Assumptions T15'!$E$2:$S$2,0))</f>
        <v>0.01</v>
      </c>
      <c r="Z70" s="30">
        <f ca="1">OFFSET('COM Assumptions T15'!$D70,0,MATCH(VLOOKUP('COM Assumptions'!Z$2,'RES Assumptions T15'!$V$3:$W$35,2,FALSE),'COM Assumptions T15'!$E$2:$S$2,0))</f>
        <v>0.05</v>
      </c>
      <c r="AA70" s="30">
        <f ca="1">OFFSET('COM Assumptions T15'!$D70,0,MATCH(VLOOKUP('COM Assumptions'!AA$2,'RES Assumptions T15'!$V$3:$W$35,2,FALSE),'COM Assumptions T15'!$E$2:$S$2,0))</f>
        <v>3.2859189263903903E-3</v>
      </c>
      <c r="AB70" s="30">
        <f ca="1">OFFSET('COM Assumptions T15'!$D70,0,MATCH(VLOOKUP('COM Assumptions'!AB$2,'RES Assumptions T15'!$V$3:$W$35,2,FALSE),'COM Assumptions T15'!$E$2:$S$2,0))</f>
        <v>3.2859189263903903E-3</v>
      </c>
      <c r="AC70" s="30">
        <f ca="1">OFFSET('COM Assumptions T15'!$D70,0,MATCH(VLOOKUP('COM Assumptions'!AC$2,'RES Assumptions T15'!$V$3:$W$35,2,FALSE),'COM Assumptions T15'!$E$2:$S$2,0))</f>
        <v>3.2859189263903903E-3</v>
      </c>
      <c r="AD70" s="30">
        <f ca="1">OFFSET('COM Assumptions T15'!$D70,0,MATCH(VLOOKUP('COM Assumptions'!AD$2,'RES Assumptions T15'!$V$3:$W$35,2,FALSE),'COM Assumptions T15'!$E$2:$S$2,0))</f>
        <v>3.2859189263903903E-3</v>
      </c>
      <c r="AE70" s="30">
        <f ca="1">OFFSET('COM Assumptions T15'!$D70,0,MATCH(VLOOKUP('COM Assumptions'!AE$2,'RES Assumptions T15'!$V$3:$W$35,2,FALSE),'COM Assumptions T15'!$E$2:$S$2,0))</f>
        <v>3.2859189263903903E-3</v>
      </c>
      <c r="AF70" s="30">
        <f ca="1">OFFSET('COM Assumptions T15'!$D70,0,MATCH(VLOOKUP('COM Assumptions'!AF$2,'RES Assumptions T15'!$V$3:$W$35,2,FALSE),'COM Assumptions T15'!$E$2:$S$2,0))</f>
        <v>3.2859189263903903E-3</v>
      </c>
      <c r="AG70" s="30">
        <f ca="1">OFFSET('COM Assumptions T15'!$D70,0,MATCH(VLOOKUP('COM Assumptions'!AG$2,'RES Assumptions T15'!$V$3:$W$35,2,FALSE),'COM Assumptions T15'!$E$2:$S$2,0))</f>
        <v>8.8788954170164417E-3</v>
      </c>
      <c r="AH70" s="30">
        <f ca="1">OFFSET('COM Assumptions T15'!$D70,0,MATCH(VLOOKUP('COM Assumptions'!AH$2,'RES Assumptions T15'!$V$3:$W$35,2,FALSE),'COM Assumptions T15'!$E$2:$S$2,0))</f>
        <v>8.8788954170164417E-3</v>
      </c>
      <c r="AI70" s="30"/>
      <c r="AJ70" s="6" t="s">
        <v>203</v>
      </c>
      <c r="AK70" s="6"/>
      <c r="AL70" s="6"/>
    </row>
    <row r="71" spans="1:38" x14ac:dyDescent="0.45">
      <c r="A71" s="37" t="str">
        <f t="shared" si="36"/>
        <v>CLCOMELC</v>
      </c>
      <c r="B71" s="6" t="s">
        <v>83</v>
      </c>
      <c r="C71" s="6" t="s">
        <v>263</v>
      </c>
      <c r="D71" s="6" t="s">
        <v>51</v>
      </c>
      <c r="E71" s="30">
        <f ca="1">OFFSET('COM Assumptions T15'!$D71,0,MATCH(VLOOKUP('COM Assumptions'!E$2,'RES Assumptions T15'!$V$3:$W$35,2,FALSE),'COM Assumptions T15'!$E$2:$S$2,0))</f>
        <v>0.11269508180241762</v>
      </c>
      <c r="F71" s="30">
        <f ca="1">OFFSET('COM Assumptions T15'!$D71,0,MATCH(VLOOKUP('COM Assumptions'!F$2,'RES Assumptions T15'!$V$3:$W$35,2,FALSE),'COM Assumptions T15'!$E$2:$S$2,0))</f>
        <v>0.11269508180241762</v>
      </c>
      <c r="G71" s="30">
        <f ca="1">OFFSET('COM Assumptions T15'!$D71,0,MATCH(VLOOKUP('COM Assumptions'!G$2,'RES Assumptions T15'!$V$3:$W$35,2,FALSE),'COM Assumptions T15'!$E$2:$S$2,0))</f>
        <v>0.28000000000000003</v>
      </c>
      <c r="H71" s="30">
        <f ca="1">OFFSET('COM Assumptions T15'!$D71,0,MATCH(VLOOKUP('COM Assumptions'!H$2,'RES Assumptions T15'!$V$3:$W$35,2,FALSE),'COM Assumptions T15'!$E$2:$S$2,0))</f>
        <v>0.11269508180241762</v>
      </c>
      <c r="I71" s="30">
        <f ca="1">OFFSET('COM Assumptions T15'!$D71,0,MATCH(VLOOKUP('COM Assumptions'!I$2,'RES Assumptions T15'!$V$3:$W$35,2,FALSE),'COM Assumptions T15'!$E$2:$S$2,0))</f>
        <v>0.28000000000000003</v>
      </c>
      <c r="J71" s="30">
        <f ca="1">OFFSET('COM Assumptions T15'!$D71,0,MATCH(VLOOKUP('COM Assumptions'!J$2,'RES Assumptions T15'!$V$3:$W$35,2,FALSE),'COM Assumptions T15'!$E$2:$S$2,0))</f>
        <v>0.5</v>
      </c>
      <c r="K71" s="30">
        <f ca="1">OFFSET('COM Assumptions T15'!$D71,0,MATCH(VLOOKUP('COM Assumptions'!K$2,'RES Assumptions T15'!$V$3:$W$35,2,FALSE),'COM Assumptions T15'!$E$2:$S$2,0))</f>
        <v>0.11269508180241762</v>
      </c>
      <c r="L71" s="30">
        <f ca="1">OFFSET('COM Assumptions T15'!$D71,0,MATCH(VLOOKUP('COM Assumptions'!L$2,'RES Assumptions T15'!$V$3:$W$35,2,FALSE),'COM Assumptions T15'!$E$2:$S$2,0))</f>
        <v>0.28000000000000003</v>
      </c>
      <c r="M71" s="30">
        <f ca="1">OFFSET('COM Assumptions T15'!$D71,0,MATCH(VLOOKUP('COM Assumptions'!M$2,'RES Assumptions T15'!$V$3:$W$35,2,FALSE),'COM Assumptions T15'!$E$2:$S$2,0))</f>
        <v>0.10678817353362272</v>
      </c>
      <c r="N71" s="30">
        <f ca="1">OFFSET('COM Assumptions T15'!$D71,0,MATCH(VLOOKUP('COM Assumptions'!N$2,'RES Assumptions T15'!$V$3:$W$35,2,FALSE),'COM Assumptions T15'!$E$2:$S$2,0))</f>
        <v>0.14982773816200626</v>
      </c>
      <c r="O71" s="30">
        <f ca="1">OFFSET('COM Assumptions T15'!$D71,0,MATCH(VLOOKUP('COM Assumptions'!O$2,'RES Assumptions T15'!$V$3:$W$35,2,FALSE),'COM Assumptions T15'!$E$2:$S$2,0))</f>
        <v>0.11269508180241762</v>
      </c>
      <c r="P71" s="30">
        <f ca="1">OFFSET('COM Assumptions T15'!$D71,0,MATCH(VLOOKUP('COM Assumptions'!P$2,'RES Assumptions T15'!$V$3:$W$35,2,FALSE),'COM Assumptions T15'!$E$2:$S$2,0))</f>
        <v>0.11269508180241762</v>
      </c>
      <c r="Q71" s="30">
        <f ca="1">OFFSET('COM Assumptions T15'!$D71,0,MATCH(VLOOKUP('COM Assumptions'!Q$2,'RES Assumptions T15'!$V$3:$W$35,2,FALSE),'COM Assumptions T15'!$E$2:$S$2,0))</f>
        <v>0.11269508180241762</v>
      </c>
      <c r="R71" s="30">
        <f ca="1">OFFSET('COM Assumptions T15'!$D71,0,MATCH(VLOOKUP('COM Assumptions'!R$2,'RES Assumptions T15'!$V$3:$W$35,2,FALSE),'COM Assumptions T15'!$E$2:$S$2,0))</f>
        <v>0.11269508180241762</v>
      </c>
      <c r="S71" s="30">
        <f ca="1">OFFSET('COM Assumptions T15'!$D71,0,MATCH(VLOOKUP('COM Assumptions'!S$2,'RES Assumptions T15'!$V$3:$W$35,2,FALSE),'COM Assumptions T15'!$E$2:$S$2,0))</f>
        <v>0.11269508180241762</v>
      </c>
      <c r="T71" s="30">
        <f ca="1">OFFSET('COM Assumptions T15'!$D71,0,MATCH(VLOOKUP('COM Assumptions'!T$2,'RES Assumptions T15'!$V$3:$W$35,2,FALSE),'COM Assumptions T15'!$E$2:$S$2,0))</f>
        <v>0.11269508180241762</v>
      </c>
      <c r="U71" s="30">
        <f ca="1">OFFSET('COM Assumptions T15'!$D71,0,MATCH(VLOOKUP('COM Assumptions'!U$2,'RES Assumptions T15'!$V$3:$W$35,2,FALSE),'COM Assumptions T15'!$E$2:$S$2,0))</f>
        <v>0.11269508180241762</v>
      </c>
      <c r="V71" s="30">
        <f ca="1">OFFSET('COM Assumptions T15'!$D71,0,MATCH(VLOOKUP('COM Assumptions'!V$2,'RES Assumptions T15'!$V$3:$W$35,2,FALSE),'COM Assumptions T15'!$E$2:$S$2,0))</f>
        <v>0.11269508180241762</v>
      </c>
      <c r="W71" s="30">
        <f ca="1">OFFSET('COM Assumptions T15'!$D71,0,MATCH(VLOOKUP('COM Assumptions'!W$2,'RES Assumptions T15'!$V$3:$W$35,2,FALSE),'COM Assumptions T15'!$E$2:$S$2,0))</f>
        <v>0.11269508180241762</v>
      </c>
      <c r="X71" s="30">
        <f ca="1">OFFSET('COM Assumptions T15'!$D71,0,MATCH(VLOOKUP('COM Assumptions'!X$2,'RES Assumptions T15'!$V$3:$W$35,2,FALSE),'COM Assumptions T15'!$E$2:$S$2,0))</f>
        <v>0.25</v>
      </c>
      <c r="Y71" s="30">
        <f ca="1">OFFSET('COM Assumptions T15'!$D71,0,MATCH(VLOOKUP('COM Assumptions'!Y$2,'RES Assumptions T15'!$V$3:$W$35,2,FALSE),'COM Assumptions T15'!$E$2:$S$2,0))</f>
        <v>0.28000000000000003</v>
      </c>
      <c r="Z71" s="30">
        <f ca="1">OFFSET('COM Assumptions T15'!$D71,0,MATCH(VLOOKUP('COM Assumptions'!Z$2,'RES Assumptions T15'!$V$3:$W$35,2,FALSE),'COM Assumptions T15'!$E$2:$S$2,0))</f>
        <v>0.25</v>
      </c>
      <c r="AA71" s="30">
        <f ca="1">OFFSET('COM Assumptions T15'!$D71,0,MATCH(VLOOKUP('COM Assumptions'!AA$2,'RES Assumptions T15'!$V$3:$W$35,2,FALSE),'COM Assumptions T15'!$E$2:$S$2,0))</f>
        <v>0.11269508180241762</v>
      </c>
      <c r="AB71" s="30">
        <f ca="1">OFFSET('COM Assumptions T15'!$D71,0,MATCH(VLOOKUP('COM Assumptions'!AB$2,'RES Assumptions T15'!$V$3:$W$35,2,FALSE),'COM Assumptions T15'!$E$2:$S$2,0))</f>
        <v>0.11269508180241762</v>
      </c>
      <c r="AC71" s="30">
        <f ca="1">OFFSET('COM Assumptions T15'!$D71,0,MATCH(VLOOKUP('COM Assumptions'!AC$2,'RES Assumptions T15'!$V$3:$W$35,2,FALSE),'COM Assumptions T15'!$E$2:$S$2,0))</f>
        <v>0.11269508180241762</v>
      </c>
      <c r="AD71" s="30">
        <f ca="1">OFFSET('COM Assumptions T15'!$D71,0,MATCH(VLOOKUP('COM Assumptions'!AD$2,'RES Assumptions T15'!$V$3:$W$35,2,FALSE),'COM Assumptions T15'!$E$2:$S$2,0))</f>
        <v>0.11269508180241762</v>
      </c>
      <c r="AE71" s="30">
        <f ca="1">OFFSET('COM Assumptions T15'!$D71,0,MATCH(VLOOKUP('COM Assumptions'!AE$2,'RES Assumptions T15'!$V$3:$W$35,2,FALSE),'COM Assumptions T15'!$E$2:$S$2,0))</f>
        <v>0.11269508180241762</v>
      </c>
      <c r="AF71" s="30">
        <f ca="1">OFFSET('COM Assumptions T15'!$D71,0,MATCH(VLOOKUP('COM Assumptions'!AF$2,'RES Assumptions T15'!$V$3:$W$35,2,FALSE),'COM Assumptions T15'!$E$2:$S$2,0))</f>
        <v>0.11269508180241762</v>
      </c>
      <c r="AG71" s="30">
        <f ca="1">OFFSET('COM Assumptions T15'!$D71,0,MATCH(VLOOKUP('COM Assumptions'!AG$2,'RES Assumptions T15'!$V$3:$W$35,2,FALSE),'COM Assumptions T15'!$E$2:$S$2,0))</f>
        <v>0.13873466971029175</v>
      </c>
      <c r="AH71" s="30">
        <f ca="1">OFFSET('COM Assumptions T15'!$D71,0,MATCH(VLOOKUP('COM Assumptions'!AH$2,'RES Assumptions T15'!$V$3:$W$35,2,FALSE),'COM Assumptions T15'!$E$2:$S$2,0))</f>
        <v>0.13873466971029175</v>
      </c>
      <c r="AI71" s="30"/>
      <c r="AJ71" s="6" t="s">
        <v>205</v>
      </c>
      <c r="AK71" s="6"/>
      <c r="AL71" s="6"/>
    </row>
    <row r="72" spans="1:38" x14ac:dyDescent="0.45">
      <c r="A72" s="37" t="str">
        <f t="shared" si="36"/>
        <v>CLCOMELC</v>
      </c>
      <c r="B72" s="6" t="s">
        <v>83</v>
      </c>
      <c r="C72" s="6" t="s">
        <v>264</v>
      </c>
      <c r="D72" s="6" t="s">
        <v>51</v>
      </c>
      <c r="E72" s="30">
        <f ca="1">OFFSET('COM Assumptions T15'!$D72,0,MATCH(VLOOKUP('COM Assumptions'!E$2,'RES Assumptions T15'!$V$3:$W$35,2,FALSE),'COM Assumptions T15'!$E$2:$S$2,0))</f>
        <v>0.33995124525646508</v>
      </c>
      <c r="F72" s="30">
        <f ca="1">OFFSET('COM Assumptions T15'!$D72,0,MATCH(VLOOKUP('COM Assumptions'!F$2,'RES Assumptions T15'!$V$3:$W$35,2,FALSE),'COM Assumptions T15'!$E$2:$S$2,0))</f>
        <v>0.33995124525646508</v>
      </c>
      <c r="G72" s="30">
        <f ca="1">OFFSET('COM Assumptions T15'!$D72,0,MATCH(VLOOKUP('COM Assumptions'!G$2,'RES Assumptions T15'!$V$3:$W$35,2,FALSE),'COM Assumptions T15'!$E$2:$S$2,0))</f>
        <v>0.01</v>
      </c>
      <c r="H72" s="30">
        <f ca="1">OFFSET('COM Assumptions T15'!$D72,0,MATCH(VLOOKUP('COM Assumptions'!H$2,'RES Assumptions T15'!$V$3:$W$35,2,FALSE),'COM Assumptions T15'!$E$2:$S$2,0))</f>
        <v>0.33995124525646508</v>
      </c>
      <c r="I72" s="30">
        <f ca="1">OFFSET('COM Assumptions T15'!$D72,0,MATCH(VLOOKUP('COM Assumptions'!I$2,'RES Assumptions T15'!$V$3:$W$35,2,FALSE),'COM Assumptions T15'!$E$2:$S$2,0))</f>
        <v>0</v>
      </c>
      <c r="J72" s="30">
        <f ca="1">OFFSET('COM Assumptions T15'!$D72,0,MATCH(VLOOKUP('COM Assumptions'!J$2,'RES Assumptions T15'!$V$3:$W$35,2,FALSE),'COM Assumptions T15'!$E$2:$S$2,0))</f>
        <v>0.2</v>
      </c>
      <c r="K72" s="30">
        <f ca="1">OFFSET('COM Assumptions T15'!$D72,0,MATCH(VLOOKUP('COM Assumptions'!K$2,'RES Assumptions T15'!$V$3:$W$35,2,FALSE),'COM Assumptions T15'!$E$2:$S$2,0))</f>
        <v>0.33995124525646508</v>
      </c>
      <c r="L72" s="30">
        <f ca="1">OFFSET('COM Assumptions T15'!$D72,0,MATCH(VLOOKUP('COM Assumptions'!L$2,'RES Assumptions T15'!$V$3:$W$35,2,FALSE),'COM Assumptions T15'!$E$2:$S$2,0))</f>
        <v>0.01</v>
      </c>
      <c r="M72" s="30">
        <f ca="1">OFFSET('COM Assumptions T15'!$D72,0,MATCH(VLOOKUP('COM Assumptions'!M$2,'RES Assumptions T15'!$V$3:$W$35,2,FALSE),'COM Assumptions T15'!$E$2:$S$2,0))</f>
        <v>0.33477262913892236</v>
      </c>
      <c r="N72" s="30">
        <f ca="1">OFFSET('COM Assumptions T15'!$D72,0,MATCH(VLOOKUP('COM Assumptions'!N$2,'RES Assumptions T15'!$V$3:$W$35,2,FALSE),'COM Assumptions T15'!$E$2:$S$2,0))</f>
        <v>0.30185882541463027</v>
      </c>
      <c r="O72" s="30">
        <f ca="1">OFFSET('COM Assumptions T15'!$D72,0,MATCH(VLOOKUP('COM Assumptions'!O$2,'RES Assumptions T15'!$V$3:$W$35,2,FALSE),'COM Assumptions T15'!$E$2:$S$2,0))</f>
        <v>0.33995124525646508</v>
      </c>
      <c r="P72" s="30">
        <f ca="1">OFFSET('COM Assumptions T15'!$D72,0,MATCH(VLOOKUP('COM Assumptions'!P$2,'RES Assumptions T15'!$V$3:$W$35,2,FALSE),'COM Assumptions T15'!$E$2:$S$2,0))</f>
        <v>0.33995124525646508</v>
      </c>
      <c r="Q72" s="30">
        <f ca="1">OFFSET('COM Assumptions T15'!$D72,0,MATCH(VLOOKUP('COM Assumptions'!Q$2,'RES Assumptions T15'!$V$3:$W$35,2,FALSE),'COM Assumptions T15'!$E$2:$S$2,0))</f>
        <v>0.33995124525646508</v>
      </c>
      <c r="R72" s="30">
        <f ca="1">OFFSET('COM Assumptions T15'!$D72,0,MATCH(VLOOKUP('COM Assumptions'!R$2,'RES Assumptions T15'!$V$3:$W$35,2,FALSE),'COM Assumptions T15'!$E$2:$S$2,0))</f>
        <v>0.33995124525646508</v>
      </c>
      <c r="S72" s="30">
        <f ca="1">OFFSET('COM Assumptions T15'!$D72,0,MATCH(VLOOKUP('COM Assumptions'!S$2,'RES Assumptions T15'!$V$3:$W$35,2,FALSE),'COM Assumptions T15'!$E$2:$S$2,0))</f>
        <v>0.33995124525646508</v>
      </c>
      <c r="T72" s="30">
        <f ca="1">OFFSET('COM Assumptions T15'!$D72,0,MATCH(VLOOKUP('COM Assumptions'!T$2,'RES Assumptions T15'!$V$3:$W$35,2,FALSE),'COM Assumptions T15'!$E$2:$S$2,0))</f>
        <v>0.33995124525646508</v>
      </c>
      <c r="U72" s="30">
        <f ca="1">OFFSET('COM Assumptions T15'!$D72,0,MATCH(VLOOKUP('COM Assumptions'!U$2,'RES Assumptions T15'!$V$3:$W$35,2,FALSE),'COM Assumptions T15'!$E$2:$S$2,0))</f>
        <v>0.33995124525646508</v>
      </c>
      <c r="V72" s="30">
        <f ca="1">OFFSET('COM Assumptions T15'!$D72,0,MATCH(VLOOKUP('COM Assumptions'!V$2,'RES Assumptions T15'!$V$3:$W$35,2,FALSE),'COM Assumptions T15'!$E$2:$S$2,0))</f>
        <v>0.33995124525646508</v>
      </c>
      <c r="W72" s="30">
        <f ca="1">OFFSET('COM Assumptions T15'!$D72,0,MATCH(VLOOKUP('COM Assumptions'!W$2,'RES Assumptions T15'!$V$3:$W$35,2,FALSE),'COM Assumptions T15'!$E$2:$S$2,0))</f>
        <v>0.33995124525646508</v>
      </c>
      <c r="X72" s="30">
        <f ca="1">OFFSET('COM Assumptions T15'!$D72,0,MATCH(VLOOKUP('COM Assumptions'!X$2,'RES Assumptions T15'!$V$3:$W$35,2,FALSE),'COM Assumptions T15'!$E$2:$S$2,0))</f>
        <v>0.20000000000000007</v>
      </c>
      <c r="Y72" s="30">
        <f ca="1">OFFSET('COM Assumptions T15'!$D72,0,MATCH(VLOOKUP('COM Assumptions'!Y$2,'RES Assumptions T15'!$V$3:$W$35,2,FALSE),'COM Assumptions T15'!$E$2:$S$2,0))</f>
        <v>0.01</v>
      </c>
      <c r="Z72" s="30">
        <f ca="1">OFFSET('COM Assumptions T15'!$D72,0,MATCH(VLOOKUP('COM Assumptions'!Z$2,'RES Assumptions T15'!$V$3:$W$35,2,FALSE),'COM Assumptions T15'!$E$2:$S$2,0))</f>
        <v>0.2</v>
      </c>
      <c r="AA72" s="30">
        <f ca="1">OFFSET('COM Assumptions T15'!$D72,0,MATCH(VLOOKUP('COM Assumptions'!AA$2,'RES Assumptions T15'!$V$3:$W$35,2,FALSE),'COM Assumptions T15'!$E$2:$S$2,0))</f>
        <v>0.33995124525646508</v>
      </c>
      <c r="AB72" s="30">
        <f ca="1">OFFSET('COM Assumptions T15'!$D72,0,MATCH(VLOOKUP('COM Assumptions'!AB$2,'RES Assumptions T15'!$V$3:$W$35,2,FALSE),'COM Assumptions T15'!$E$2:$S$2,0))</f>
        <v>0.33995124525646508</v>
      </c>
      <c r="AC72" s="30">
        <f ca="1">OFFSET('COM Assumptions T15'!$D72,0,MATCH(VLOOKUP('COM Assumptions'!AC$2,'RES Assumptions T15'!$V$3:$W$35,2,FALSE),'COM Assumptions T15'!$E$2:$S$2,0))</f>
        <v>0.33995124525646508</v>
      </c>
      <c r="AD72" s="30">
        <f ca="1">OFFSET('COM Assumptions T15'!$D72,0,MATCH(VLOOKUP('COM Assumptions'!AD$2,'RES Assumptions T15'!$V$3:$W$35,2,FALSE),'COM Assumptions T15'!$E$2:$S$2,0))</f>
        <v>0.33995124525646508</v>
      </c>
      <c r="AE72" s="30">
        <f ca="1">OFFSET('COM Assumptions T15'!$D72,0,MATCH(VLOOKUP('COM Assumptions'!AE$2,'RES Assumptions T15'!$V$3:$W$35,2,FALSE),'COM Assumptions T15'!$E$2:$S$2,0))</f>
        <v>0.33995124525646508</v>
      </c>
      <c r="AF72" s="30">
        <f ca="1">OFFSET('COM Assumptions T15'!$D72,0,MATCH(VLOOKUP('COM Assumptions'!AF$2,'RES Assumptions T15'!$V$3:$W$35,2,FALSE),'COM Assumptions T15'!$E$2:$S$2,0))</f>
        <v>0.33995124525646508</v>
      </c>
      <c r="AG72" s="30">
        <f ca="1">OFFSET('COM Assumptions T15'!$D72,0,MATCH(VLOOKUP('COM Assumptions'!AG$2,'RES Assumptions T15'!$V$3:$W$35,2,FALSE),'COM Assumptions T15'!$E$2:$S$2,0))</f>
        <v>0.41604258277466649</v>
      </c>
      <c r="AH72" s="30">
        <f ca="1">OFFSET('COM Assumptions T15'!$D72,0,MATCH(VLOOKUP('COM Assumptions'!AH$2,'RES Assumptions T15'!$V$3:$W$35,2,FALSE),'COM Assumptions T15'!$E$2:$S$2,0))</f>
        <v>0.41604258277466649</v>
      </c>
      <c r="AI72" s="30"/>
      <c r="AJ72" s="6" t="s">
        <v>207</v>
      </c>
      <c r="AK72" s="6"/>
      <c r="AL72" s="6"/>
    </row>
    <row r="73" spans="1:38" x14ac:dyDescent="0.45">
      <c r="A73" s="37" t="str">
        <f t="shared" si="36"/>
        <v/>
      </c>
      <c r="B73" s="6"/>
      <c r="C73" s="5" t="s">
        <v>111</v>
      </c>
      <c r="D73" s="6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6"/>
      <c r="AK73" s="6"/>
      <c r="AL73" s="6"/>
    </row>
    <row r="74" spans="1:38" x14ac:dyDescent="0.45">
      <c r="A74" s="37" t="str">
        <f t="shared" si="36"/>
        <v>CLACOMELC</v>
      </c>
      <c r="B74" s="6" t="s">
        <v>85</v>
      </c>
      <c r="C74" s="6" t="s">
        <v>252</v>
      </c>
      <c r="D74" s="6" t="s">
        <v>51</v>
      </c>
      <c r="E74" s="30">
        <f ca="1">OFFSET('COM Assumptions T15'!$D74,0,MATCH(VLOOKUP('COM Assumptions'!E$2,'RES Assumptions T15'!$V$3:$W$35,2,FALSE),'COM Assumptions T15'!$E$2:$S$2,0))</f>
        <v>0.3</v>
      </c>
      <c r="F74" s="30">
        <f ca="1">OFFSET('COM Assumptions T15'!$D74,0,MATCH(VLOOKUP('COM Assumptions'!F$2,'RES Assumptions T15'!$V$3:$W$35,2,FALSE),'COM Assumptions T15'!$E$2:$S$2,0))</f>
        <v>0.3</v>
      </c>
      <c r="G74" s="30">
        <f ca="1">OFFSET('COM Assumptions T15'!$D74,0,MATCH(VLOOKUP('COM Assumptions'!G$2,'RES Assumptions T15'!$V$3:$W$35,2,FALSE),'COM Assumptions T15'!$E$2:$S$2,0))</f>
        <v>0.05</v>
      </c>
      <c r="H74" s="30">
        <f ca="1">OFFSET('COM Assumptions T15'!$D74,0,MATCH(VLOOKUP('COM Assumptions'!H$2,'RES Assumptions T15'!$V$3:$W$35,2,FALSE),'COM Assumptions T15'!$E$2:$S$2,0))</f>
        <v>0.3</v>
      </c>
      <c r="I74" s="30">
        <f ca="1">OFFSET('COM Assumptions T15'!$D74,0,MATCH(VLOOKUP('COM Assumptions'!I$2,'RES Assumptions T15'!$V$3:$W$35,2,FALSE),'COM Assumptions T15'!$E$2:$S$2,0))</f>
        <v>0.26900000000000002</v>
      </c>
      <c r="J74" s="30">
        <f ca="1">OFFSET('COM Assumptions T15'!$D74,0,MATCH(VLOOKUP('COM Assumptions'!J$2,'RES Assumptions T15'!$V$3:$W$35,2,FALSE),'COM Assumptions T15'!$E$2:$S$2,0))</f>
        <v>0.6</v>
      </c>
      <c r="K74" s="30">
        <f ca="1">OFFSET('COM Assumptions T15'!$D74,0,MATCH(VLOOKUP('COM Assumptions'!K$2,'RES Assumptions T15'!$V$3:$W$35,2,FALSE),'COM Assumptions T15'!$E$2:$S$2,0))</f>
        <v>0.2</v>
      </c>
      <c r="L74" s="30">
        <f ca="1">OFFSET('COM Assumptions T15'!$D74,0,MATCH(VLOOKUP('COM Assumptions'!L$2,'RES Assumptions T15'!$V$3:$W$35,2,FALSE),'COM Assumptions T15'!$E$2:$S$2,0))</f>
        <v>0.05</v>
      </c>
      <c r="M74" s="30">
        <f ca="1">OFFSET('COM Assumptions T15'!$D74,0,MATCH(VLOOKUP('COM Assumptions'!M$2,'RES Assumptions T15'!$V$3:$W$35,2,FALSE),'COM Assumptions T15'!$E$2:$S$2,0))</f>
        <v>0.2</v>
      </c>
      <c r="N74" s="30">
        <f ca="1">OFFSET('COM Assumptions T15'!$D74,0,MATCH(VLOOKUP('COM Assumptions'!N$2,'RES Assumptions T15'!$V$3:$W$35,2,FALSE),'COM Assumptions T15'!$E$2:$S$2,0))</f>
        <v>0.50800000000000001</v>
      </c>
      <c r="O74" s="30">
        <f ca="1">OFFSET('COM Assumptions T15'!$D74,0,MATCH(VLOOKUP('COM Assumptions'!O$2,'RES Assumptions T15'!$V$3:$W$35,2,FALSE),'COM Assumptions T15'!$E$2:$S$2,0))</f>
        <v>0.05</v>
      </c>
      <c r="P74" s="30">
        <f ca="1">OFFSET('COM Assumptions T15'!$D74,0,MATCH(VLOOKUP('COM Assumptions'!P$2,'RES Assumptions T15'!$V$3:$W$35,2,FALSE),'COM Assumptions T15'!$E$2:$S$2,0))</f>
        <v>0.3</v>
      </c>
      <c r="Q74" s="30">
        <f ca="1">OFFSET('COM Assumptions T15'!$D74,0,MATCH(VLOOKUP('COM Assumptions'!Q$2,'RES Assumptions T15'!$V$3:$W$35,2,FALSE),'COM Assumptions T15'!$E$2:$S$2,0))</f>
        <v>0.05</v>
      </c>
      <c r="R74" s="30">
        <f ca="1">OFFSET('COM Assumptions T15'!$D74,0,MATCH(VLOOKUP('COM Assumptions'!R$2,'RES Assumptions T15'!$V$3:$W$35,2,FALSE),'COM Assumptions T15'!$E$2:$S$2,0))</f>
        <v>0.05</v>
      </c>
      <c r="S74" s="30">
        <f ca="1">OFFSET('COM Assumptions T15'!$D74,0,MATCH(VLOOKUP('COM Assumptions'!S$2,'RES Assumptions T15'!$V$3:$W$35,2,FALSE),'COM Assumptions T15'!$E$2:$S$2,0))</f>
        <v>0.3</v>
      </c>
      <c r="T74" s="30">
        <f ca="1">OFFSET('COM Assumptions T15'!$D74,0,MATCH(VLOOKUP('COM Assumptions'!T$2,'RES Assumptions T15'!$V$3:$W$35,2,FALSE),'COM Assumptions T15'!$E$2:$S$2,0))</f>
        <v>0.05</v>
      </c>
      <c r="U74" s="30">
        <f ca="1">OFFSET('COM Assumptions T15'!$D74,0,MATCH(VLOOKUP('COM Assumptions'!U$2,'RES Assumptions T15'!$V$3:$W$35,2,FALSE),'COM Assumptions T15'!$E$2:$S$2,0))</f>
        <v>0.3</v>
      </c>
      <c r="V74" s="30">
        <f ca="1">OFFSET('COM Assumptions T15'!$D74,0,MATCH(VLOOKUP('COM Assumptions'!V$2,'RES Assumptions T15'!$V$3:$W$35,2,FALSE),'COM Assumptions T15'!$E$2:$S$2,0))</f>
        <v>0.05</v>
      </c>
      <c r="W74" s="30">
        <f ca="1">OFFSET('COM Assumptions T15'!$D74,0,MATCH(VLOOKUP('COM Assumptions'!W$2,'RES Assumptions T15'!$V$3:$W$35,2,FALSE),'COM Assumptions T15'!$E$2:$S$2,0))</f>
        <v>0.05</v>
      </c>
      <c r="X74" s="30">
        <f ca="1">OFFSET('COM Assumptions T15'!$D74,0,MATCH(VLOOKUP('COM Assumptions'!X$2,'RES Assumptions T15'!$V$3:$W$35,2,FALSE),'COM Assumptions T15'!$E$2:$S$2,0))</f>
        <v>0.25</v>
      </c>
      <c r="Y74" s="30">
        <f ca="1">OFFSET('COM Assumptions T15'!$D74,0,MATCH(VLOOKUP('COM Assumptions'!Y$2,'RES Assumptions T15'!$V$3:$W$35,2,FALSE),'COM Assumptions T15'!$E$2:$S$2,0))</f>
        <v>0.05</v>
      </c>
      <c r="Z74" s="30">
        <f ca="1">OFFSET('COM Assumptions T15'!$D74,0,MATCH(VLOOKUP('COM Assumptions'!Z$2,'RES Assumptions T15'!$V$3:$W$35,2,FALSE),'COM Assumptions T15'!$E$2:$S$2,0))</f>
        <v>0.25</v>
      </c>
      <c r="AA74" s="30">
        <f ca="1">OFFSET('COM Assumptions T15'!$D74,0,MATCH(VLOOKUP('COM Assumptions'!AA$2,'RES Assumptions T15'!$V$3:$W$35,2,FALSE),'COM Assumptions T15'!$E$2:$S$2,0))</f>
        <v>0.3</v>
      </c>
      <c r="AB74" s="30">
        <f ca="1">OFFSET('COM Assumptions T15'!$D74,0,MATCH(VLOOKUP('COM Assumptions'!AB$2,'RES Assumptions T15'!$V$3:$W$35,2,FALSE),'COM Assumptions T15'!$E$2:$S$2,0))</f>
        <v>0.05</v>
      </c>
      <c r="AC74" s="30">
        <f ca="1">OFFSET('COM Assumptions T15'!$D74,0,MATCH(VLOOKUP('COM Assumptions'!AC$2,'RES Assumptions T15'!$V$3:$W$35,2,FALSE),'COM Assumptions T15'!$E$2:$S$2,0))</f>
        <v>0.3</v>
      </c>
      <c r="AD74" s="30">
        <f ca="1">OFFSET('COM Assumptions T15'!$D74,0,MATCH(VLOOKUP('COM Assumptions'!AD$2,'RES Assumptions T15'!$V$3:$W$35,2,FALSE),'COM Assumptions T15'!$E$2:$S$2,0))</f>
        <v>0.3</v>
      </c>
      <c r="AE74" s="30">
        <f ca="1">OFFSET('COM Assumptions T15'!$D74,0,MATCH(VLOOKUP('COM Assumptions'!AE$2,'RES Assumptions T15'!$V$3:$W$35,2,FALSE),'COM Assumptions T15'!$E$2:$S$2,0))</f>
        <v>0.3</v>
      </c>
      <c r="AF74" s="30">
        <f ca="1">OFFSET('COM Assumptions T15'!$D74,0,MATCH(VLOOKUP('COM Assumptions'!AF$2,'RES Assumptions T15'!$V$3:$W$35,2,FALSE),'COM Assumptions T15'!$E$2:$S$2,0))</f>
        <v>0.05</v>
      </c>
      <c r="AG74" s="30">
        <f ca="1">OFFSET('COM Assumptions T15'!$D74,0,MATCH(VLOOKUP('COM Assumptions'!AG$2,'RES Assumptions T15'!$V$3:$W$35,2,FALSE),'COM Assumptions T15'!$E$2:$S$2,0))</f>
        <v>0.05</v>
      </c>
      <c r="AH74" s="30">
        <f ca="1">OFFSET('COM Assumptions T15'!$D74,0,MATCH(VLOOKUP('COM Assumptions'!AH$2,'RES Assumptions T15'!$V$3:$W$35,2,FALSE),'COM Assumptions T15'!$E$2:$S$2,0))</f>
        <v>0.05</v>
      </c>
      <c r="AI74" s="30"/>
      <c r="AJ74" s="6" t="s">
        <v>209</v>
      </c>
      <c r="AK74" s="6"/>
      <c r="AL74" s="6"/>
    </row>
    <row r="75" spans="1:38" x14ac:dyDescent="0.45">
      <c r="A75" s="37" t="str">
        <f t="shared" si="36"/>
        <v>CLACOMELC</v>
      </c>
      <c r="B75" s="6" t="s">
        <v>85</v>
      </c>
      <c r="C75" s="6" t="s">
        <v>253</v>
      </c>
      <c r="D75" s="6" t="s">
        <v>51</v>
      </c>
      <c r="E75" s="30">
        <f ca="1">OFFSET('COM Assumptions T15'!$D75,0,MATCH(VLOOKUP('COM Assumptions'!E$2,'RES Assumptions T15'!$V$3:$W$35,2,FALSE),'COM Assumptions T15'!$E$2:$S$2,0))</f>
        <v>0.02</v>
      </c>
      <c r="F75" s="30">
        <f ca="1">OFFSET('COM Assumptions T15'!$D75,0,MATCH(VLOOKUP('COM Assumptions'!F$2,'RES Assumptions T15'!$V$3:$W$35,2,FALSE),'COM Assumptions T15'!$E$2:$S$2,0))</f>
        <v>0.02</v>
      </c>
      <c r="G75" s="30">
        <f ca="1">OFFSET('COM Assumptions T15'!$D75,0,MATCH(VLOOKUP('COM Assumptions'!G$2,'RES Assumptions T15'!$V$3:$W$35,2,FALSE),'COM Assumptions T15'!$E$2:$S$2,0))</f>
        <v>0</v>
      </c>
      <c r="H75" s="30">
        <f ca="1">OFFSET('COM Assumptions T15'!$D75,0,MATCH(VLOOKUP('COM Assumptions'!H$2,'RES Assumptions T15'!$V$3:$W$35,2,FALSE),'COM Assumptions T15'!$E$2:$S$2,0))</f>
        <v>0.02</v>
      </c>
      <c r="I75" s="30">
        <f ca="1">OFFSET('COM Assumptions T15'!$D75,0,MATCH(VLOOKUP('COM Assumptions'!I$2,'RES Assumptions T15'!$V$3:$W$35,2,FALSE),'COM Assumptions T15'!$E$2:$S$2,0))</f>
        <v>0</v>
      </c>
      <c r="J75" s="30">
        <f ca="1">OFFSET('COM Assumptions T15'!$D75,0,MATCH(VLOOKUP('COM Assumptions'!J$2,'RES Assumptions T15'!$V$3:$W$35,2,FALSE),'COM Assumptions T15'!$E$2:$S$2,0))</f>
        <v>0.01</v>
      </c>
      <c r="K75" s="30">
        <f ca="1">OFFSET('COM Assumptions T15'!$D75,0,MATCH(VLOOKUP('COM Assumptions'!K$2,'RES Assumptions T15'!$V$3:$W$35,2,FALSE),'COM Assumptions T15'!$E$2:$S$2,0))</f>
        <v>0.15</v>
      </c>
      <c r="L75" s="30">
        <f ca="1">OFFSET('COM Assumptions T15'!$D75,0,MATCH(VLOOKUP('COM Assumptions'!L$2,'RES Assumptions T15'!$V$3:$W$35,2,FALSE),'COM Assumptions T15'!$E$2:$S$2,0))</f>
        <v>0</v>
      </c>
      <c r="M75" s="30">
        <f ca="1">OFFSET('COM Assumptions T15'!$D75,0,MATCH(VLOOKUP('COM Assumptions'!M$2,'RES Assumptions T15'!$V$3:$W$35,2,FALSE),'COM Assumptions T15'!$E$2:$S$2,0))</f>
        <v>0.25</v>
      </c>
      <c r="N75" s="30">
        <f ca="1">OFFSET('COM Assumptions T15'!$D75,0,MATCH(VLOOKUP('COM Assumptions'!N$2,'RES Assumptions T15'!$V$3:$W$35,2,FALSE),'COM Assumptions T15'!$E$2:$S$2,0))</f>
        <v>7.0000000000000001E-3</v>
      </c>
      <c r="O75" s="30">
        <f ca="1">OFFSET('COM Assumptions T15'!$D75,0,MATCH(VLOOKUP('COM Assumptions'!O$2,'RES Assumptions T15'!$V$3:$W$35,2,FALSE),'COM Assumptions T15'!$E$2:$S$2,0))</f>
        <v>0.01</v>
      </c>
      <c r="P75" s="30">
        <f ca="1">OFFSET('COM Assumptions T15'!$D75,0,MATCH(VLOOKUP('COM Assumptions'!P$2,'RES Assumptions T15'!$V$3:$W$35,2,FALSE),'COM Assumptions T15'!$E$2:$S$2,0))</f>
        <v>0.02</v>
      </c>
      <c r="Q75" s="30">
        <f ca="1">OFFSET('COM Assumptions T15'!$D75,0,MATCH(VLOOKUP('COM Assumptions'!Q$2,'RES Assumptions T15'!$V$3:$W$35,2,FALSE),'COM Assumptions T15'!$E$2:$S$2,0))</f>
        <v>0.01</v>
      </c>
      <c r="R75" s="30">
        <f ca="1">OFFSET('COM Assumptions T15'!$D75,0,MATCH(VLOOKUP('COM Assumptions'!R$2,'RES Assumptions T15'!$V$3:$W$35,2,FALSE),'COM Assumptions T15'!$E$2:$S$2,0))</f>
        <v>0.01</v>
      </c>
      <c r="S75" s="30">
        <f ca="1">OFFSET('COM Assumptions T15'!$D75,0,MATCH(VLOOKUP('COM Assumptions'!S$2,'RES Assumptions T15'!$V$3:$W$35,2,FALSE),'COM Assumptions T15'!$E$2:$S$2,0))</f>
        <v>0.02</v>
      </c>
      <c r="T75" s="30">
        <f ca="1">OFFSET('COM Assumptions T15'!$D75,0,MATCH(VLOOKUP('COM Assumptions'!T$2,'RES Assumptions T15'!$V$3:$W$35,2,FALSE),'COM Assumptions T15'!$E$2:$S$2,0))</f>
        <v>0.01</v>
      </c>
      <c r="U75" s="30">
        <f ca="1">OFFSET('COM Assumptions T15'!$D75,0,MATCH(VLOOKUP('COM Assumptions'!U$2,'RES Assumptions T15'!$V$3:$W$35,2,FALSE),'COM Assumptions T15'!$E$2:$S$2,0))</f>
        <v>0.02</v>
      </c>
      <c r="V75" s="30">
        <f ca="1">OFFSET('COM Assumptions T15'!$D75,0,MATCH(VLOOKUP('COM Assumptions'!V$2,'RES Assumptions T15'!$V$3:$W$35,2,FALSE),'COM Assumptions T15'!$E$2:$S$2,0))</f>
        <v>0.01</v>
      </c>
      <c r="W75" s="30">
        <f ca="1">OFFSET('COM Assumptions T15'!$D75,0,MATCH(VLOOKUP('COM Assumptions'!W$2,'RES Assumptions T15'!$V$3:$W$35,2,FALSE),'COM Assumptions T15'!$E$2:$S$2,0))</f>
        <v>0.01</v>
      </c>
      <c r="X75" s="30">
        <f ca="1">OFFSET('COM Assumptions T15'!$D75,0,MATCH(VLOOKUP('COM Assumptions'!X$2,'RES Assumptions T15'!$V$3:$W$35,2,FALSE),'COM Assumptions T15'!$E$2:$S$2,0))</f>
        <v>0</v>
      </c>
      <c r="Y75" s="30">
        <f ca="1">OFFSET('COM Assumptions T15'!$D75,0,MATCH(VLOOKUP('COM Assumptions'!Y$2,'RES Assumptions T15'!$V$3:$W$35,2,FALSE),'COM Assumptions T15'!$E$2:$S$2,0))</f>
        <v>0</v>
      </c>
      <c r="Z75" s="30">
        <f ca="1">OFFSET('COM Assumptions T15'!$D75,0,MATCH(VLOOKUP('COM Assumptions'!Z$2,'RES Assumptions T15'!$V$3:$W$35,2,FALSE),'COM Assumptions T15'!$E$2:$S$2,0))</f>
        <v>0.02</v>
      </c>
      <c r="AA75" s="30">
        <f ca="1">OFFSET('COM Assumptions T15'!$D75,0,MATCH(VLOOKUP('COM Assumptions'!AA$2,'RES Assumptions T15'!$V$3:$W$35,2,FALSE),'COM Assumptions T15'!$E$2:$S$2,0))</f>
        <v>0.02</v>
      </c>
      <c r="AB75" s="30">
        <f ca="1">OFFSET('COM Assumptions T15'!$D75,0,MATCH(VLOOKUP('COM Assumptions'!AB$2,'RES Assumptions T15'!$V$3:$W$35,2,FALSE),'COM Assumptions T15'!$E$2:$S$2,0))</f>
        <v>0.01</v>
      </c>
      <c r="AC75" s="30">
        <f ca="1">OFFSET('COM Assumptions T15'!$D75,0,MATCH(VLOOKUP('COM Assumptions'!AC$2,'RES Assumptions T15'!$V$3:$W$35,2,FALSE),'COM Assumptions T15'!$E$2:$S$2,0))</f>
        <v>0.02</v>
      </c>
      <c r="AD75" s="30">
        <f ca="1">OFFSET('COM Assumptions T15'!$D75,0,MATCH(VLOOKUP('COM Assumptions'!AD$2,'RES Assumptions T15'!$V$3:$W$35,2,FALSE),'COM Assumptions T15'!$E$2:$S$2,0))</f>
        <v>0.02</v>
      </c>
      <c r="AE75" s="30">
        <f ca="1">OFFSET('COM Assumptions T15'!$D75,0,MATCH(VLOOKUP('COM Assumptions'!AE$2,'RES Assumptions T15'!$V$3:$W$35,2,FALSE),'COM Assumptions T15'!$E$2:$S$2,0))</f>
        <v>0.02</v>
      </c>
      <c r="AF75" s="30">
        <f ca="1">OFFSET('COM Assumptions T15'!$D75,0,MATCH(VLOOKUP('COM Assumptions'!AF$2,'RES Assumptions T15'!$V$3:$W$35,2,FALSE),'COM Assumptions T15'!$E$2:$S$2,0))</f>
        <v>0.01</v>
      </c>
      <c r="AG75" s="30">
        <f ca="1">OFFSET('COM Assumptions T15'!$D75,0,MATCH(VLOOKUP('COM Assumptions'!AG$2,'RES Assumptions T15'!$V$3:$W$35,2,FALSE),'COM Assumptions T15'!$E$2:$S$2,0))</f>
        <v>0.01</v>
      </c>
      <c r="AH75" s="30">
        <f ca="1">OFFSET('COM Assumptions T15'!$D75,0,MATCH(VLOOKUP('COM Assumptions'!AH$2,'RES Assumptions T15'!$V$3:$W$35,2,FALSE),'COM Assumptions T15'!$E$2:$S$2,0))</f>
        <v>0.01</v>
      </c>
      <c r="AI75" s="30"/>
      <c r="AJ75" s="6" t="s">
        <v>211</v>
      </c>
      <c r="AK75" s="6"/>
      <c r="AL75" s="6"/>
    </row>
    <row r="76" spans="1:38" x14ac:dyDescent="0.45">
      <c r="A76" s="37" t="str">
        <f t="shared" si="36"/>
        <v>CLACOMELC</v>
      </c>
      <c r="B76" s="6" t="s">
        <v>85</v>
      </c>
      <c r="C76" s="6" t="s">
        <v>254</v>
      </c>
      <c r="D76" s="6" t="s">
        <v>51</v>
      </c>
      <c r="E76" s="30">
        <f ca="1">OFFSET('COM Assumptions T15'!$D76,0,MATCH(VLOOKUP('COM Assumptions'!E$2,'RES Assumptions T15'!$V$3:$W$35,2,FALSE),'COM Assumptions T15'!$E$2:$S$2,0))</f>
        <v>0.05</v>
      </c>
      <c r="F76" s="30">
        <f ca="1">OFFSET('COM Assumptions T15'!$D76,0,MATCH(VLOOKUP('COM Assumptions'!F$2,'RES Assumptions T15'!$V$3:$W$35,2,FALSE),'COM Assumptions T15'!$E$2:$S$2,0))</f>
        <v>0.05</v>
      </c>
      <c r="G76" s="30">
        <f ca="1">OFFSET('COM Assumptions T15'!$D76,0,MATCH(VLOOKUP('COM Assumptions'!G$2,'RES Assumptions T15'!$V$3:$W$35,2,FALSE),'COM Assumptions T15'!$E$2:$S$2,0))</f>
        <v>0</v>
      </c>
      <c r="H76" s="30">
        <f ca="1">OFFSET('COM Assumptions T15'!$D76,0,MATCH(VLOOKUP('COM Assumptions'!H$2,'RES Assumptions T15'!$V$3:$W$35,2,FALSE),'COM Assumptions T15'!$E$2:$S$2,0))</f>
        <v>0.05</v>
      </c>
      <c r="I76" s="30">
        <f ca="1">OFFSET('COM Assumptions T15'!$D76,0,MATCH(VLOOKUP('COM Assumptions'!I$2,'RES Assumptions T15'!$V$3:$W$35,2,FALSE),'COM Assumptions T15'!$E$2:$S$2,0))</f>
        <v>0</v>
      </c>
      <c r="J76" s="30">
        <f ca="1">OFFSET('COM Assumptions T15'!$D76,0,MATCH(VLOOKUP('COM Assumptions'!J$2,'RES Assumptions T15'!$V$3:$W$35,2,FALSE),'COM Assumptions T15'!$E$2:$S$2,0))</f>
        <v>0.04</v>
      </c>
      <c r="K76" s="30">
        <f ca="1">OFFSET('COM Assumptions T15'!$D76,0,MATCH(VLOOKUP('COM Assumptions'!K$2,'RES Assumptions T15'!$V$3:$W$35,2,FALSE),'COM Assumptions T15'!$E$2:$S$2,0))</f>
        <v>0.05</v>
      </c>
      <c r="L76" s="30">
        <f ca="1">OFFSET('COM Assumptions T15'!$D76,0,MATCH(VLOOKUP('COM Assumptions'!L$2,'RES Assumptions T15'!$V$3:$W$35,2,FALSE),'COM Assumptions T15'!$E$2:$S$2,0))</f>
        <v>0</v>
      </c>
      <c r="M76" s="30">
        <f ca="1">OFFSET('COM Assumptions T15'!$D76,0,MATCH(VLOOKUP('COM Assumptions'!M$2,'RES Assumptions T15'!$V$3:$W$35,2,FALSE),'COM Assumptions T15'!$E$2:$S$2,0))</f>
        <v>0.25</v>
      </c>
      <c r="N76" s="30">
        <f ca="1">OFFSET('COM Assumptions T15'!$D76,0,MATCH(VLOOKUP('COM Assumptions'!N$2,'RES Assumptions T15'!$V$3:$W$35,2,FALSE),'COM Assumptions T15'!$E$2:$S$2,0))</f>
        <v>0.25</v>
      </c>
      <c r="O76" s="30">
        <f ca="1">OFFSET('COM Assumptions T15'!$D76,0,MATCH(VLOOKUP('COM Assumptions'!O$2,'RES Assumptions T15'!$V$3:$W$35,2,FALSE),'COM Assumptions T15'!$E$2:$S$2,0))</f>
        <v>0.08</v>
      </c>
      <c r="P76" s="30">
        <f ca="1">OFFSET('COM Assumptions T15'!$D76,0,MATCH(VLOOKUP('COM Assumptions'!P$2,'RES Assumptions T15'!$V$3:$W$35,2,FALSE),'COM Assumptions T15'!$E$2:$S$2,0))</f>
        <v>0.05</v>
      </c>
      <c r="Q76" s="30">
        <f ca="1">OFFSET('COM Assumptions T15'!$D76,0,MATCH(VLOOKUP('COM Assumptions'!Q$2,'RES Assumptions T15'!$V$3:$W$35,2,FALSE),'COM Assumptions T15'!$E$2:$S$2,0))</f>
        <v>0.08</v>
      </c>
      <c r="R76" s="30">
        <f ca="1">OFFSET('COM Assumptions T15'!$D76,0,MATCH(VLOOKUP('COM Assumptions'!R$2,'RES Assumptions T15'!$V$3:$W$35,2,FALSE),'COM Assumptions T15'!$E$2:$S$2,0))</f>
        <v>0.08</v>
      </c>
      <c r="S76" s="30">
        <f ca="1">OFFSET('COM Assumptions T15'!$D76,0,MATCH(VLOOKUP('COM Assumptions'!S$2,'RES Assumptions T15'!$V$3:$W$35,2,FALSE),'COM Assumptions T15'!$E$2:$S$2,0))</f>
        <v>0.05</v>
      </c>
      <c r="T76" s="30">
        <f ca="1">OFFSET('COM Assumptions T15'!$D76,0,MATCH(VLOOKUP('COM Assumptions'!T$2,'RES Assumptions T15'!$V$3:$W$35,2,FALSE),'COM Assumptions T15'!$E$2:$S$2,0))</f>
        <v>0.08</v>
      </c>
      <c r="U76" s="30">
        <f ca="1">OFFSET('COM Assumptions T15'!$D76,0,MATCH(VLOOKUP('COM Assumptions'!U$2,'RES Assumptions T15'!$V$3:$W$35,2,FALSE),'COM Assumptions T15'!$E$2:$S$2,0))</f>
        <v>0.05</v>
      </c>
      <c r="V76" s="30">
        <f ca="1">OFFSET('COM Assumptions T15'!$D76,0,MATCH(VLOOKUP('COM Assumptions'!V$2,'RES Assumptions T15'!$V$3:$W$35,2,FALSE),'COM Assumptions T15'!$E$2:$S$2,0))</f>
        <v>0.08</v>
      </c>
      <c r="W76" s="30">
        <f ca="1">OFFSET('COM Assumptions T15'!$D76,0,MATCH(VLOOKUP('COM Assumptions'!W$2,'RES Assumptions T15'!$V$3:$W$35,2,FALSE),'COM Assumptions T15'!$E$2:$S$2,0))</f>
        <v>0.08</v>
      </c>
      <c r="X76" s="30">
        <f ca="1">OFFSET('COM Assumptions T15'!$D76,0,MATCH(VLOOKUP('COM Assumptions'!X$2,'RES Assumptions T15'!$V$3:$W$35,2,FALSE),'COM Assumptions T15'!$E$2:$S$2,0))</f>
        <v>0.2</v>
      </c>
      <c r="Y76" s="30">
        <f ca="1">OFFSET('COM Assumptions T15'!$D76,0,MATCH(VLOOKUP('COM Assumptions'!Y$2,'RES Assumptions T15'!$V$3:$W$35,2,FALSE),'COM Assumptions T15'!$E$2:$S$2,0))</f>
        <v>0</v>
      </c>
      <c r="Z76" s="30">
        <f ca="1">OFFSET('COM Assumptions T15'!$D76,0,MATCH(VLOOKUP('COM Assumptions'!Z$2,'RES Assumptions T15'!$V$3:$W$35,2,FALSE),'COM Assumptions T15'!$E$2:$S$2,0))</f>
        <v>0.01</v>
      </c>
      <c r="AA76" s="30">
        <f ca="1">OFFSET('COM Assumptions T15'!$D76,0,MATCH(VLOOKUP('COM Assumptions'!AA$2,'RES Assumptions T15'!$V$3:$W$35,2,FALSE),'COM Assumptions T15'!$E$2:$S$2,0))</f>
        <v>0.05</v>
      </c>
      <c r="AB76" s="30">
        <f ca="1">OFFSET('COM Assumptions T15'!$D76,0,MATCH(VLOOKUP('COM Assumptions'!AB$2,'RES Assumptions T15'!$V$3:$W$35,2,FALSE),'COM Assumptions T15'!$E$2:$S$2,0))</f>
        <v>0.08</v>
      </c>
      <c r="AC76" s="30">
        <f ca="1">OFFSET('COM Assumptions T15'!$D76,0,MATCH(VLOOKUP('COM Assumptions'!AC$2,'RES Assumptions T15'!$V$3:$W$35,2,FALSE),'COM Assumptions T15'!$E$2:$S$2,0))</f>
        <v>0.05</v>
      </c>
      <c r="AD76" s="30">
        <f ca="1">OFFSET('COM Assumptions T15'!$D76,0,MATCH(VLOOKUP('COM Assumptions'!AD$2,'RES Assumptions T15'!$V$3:$W$35,2,FALSE),'COM Assumptions T15'!$E$2:$S$2,0))</f>
        <v>0.05</v>
      </c>
      <c r="AE76" s="30">
        <f ca="1">OFFSET('COM Assumptions T15'!$D76,0,MATCH(VLOOKUP('COM Assumptions'!AE$2,'RES Assumptions T15'!$V$3:$W$35,2,FALSE),'COM Assumptions T15'!$E$2:$S$2,0))</f>
        <v>0.05</v>
      </c>
      <c r="AF76" s="30">
        <f ca="1">OFFSET('COM Assumptions T15'!$D76,0,MATCH(VLOOKUP('COM Assumptions'!AF$2,'RES Assumptions T15'!$V$3:$W$35,2,FALSE),'COM Assumptions T15'!$E$2:$S$2,0))</f>
        <v>0.08</v>
      </c>
      <c r="AG76" s="30">
        <f ca="1">OFFSET('COM Assumptions T15'!$D76,0,MATCH(VLOOKUP('COM Assumptions'!AG$2,'RES Assumptions T15'!$V$3:$W$35,2,FALSE),'COM Assumptions T15'!$E$2:$S$2,0))</f>
        <v>0.08</v>
      </c>
      <c r="AH76" s="30">
        <f ca="1">OFFSET('COM Assumptions T15'!$D76,0,MATCH(VLOOKUP('COM Assumptions'!AH$2,'RES Assumptions T15'!$V$3:$W$35,2,FALSE),'COM Assumptions T15'!$E$2:$S$2,0))</f>
        <v>0.08</v>
      </c>
      <c r="AI76" s="30"/>
      <c r="AJ76" s="6" t="s">
        <v>213</v>
      </c>
      <c r="AK76" s="6"/>
      <c r="AL76" s="6"/>
    </row>
    <row r="77" spans="1:38" x14ac:dyDescent="0.45">
      <c r="A77" s="37" t="str">
        <f t="shared" si="36"/>
        <v>CLACOMELC</v>
      </c>
      <c r="B77" s="6" t="s">
        <v>85</v>
      </c>
      <c r="C77" s="6" t="s">
        <v>255</v>
      </c>
      <c r="D77" s="6" t="s">
        <v>51</v>
      </c>
      <c r="E77" s="30">
        <f ca="1">OFFSET('COM Assumptions T15'!$D77,0,MATCH(VLOOKUP('COM Assumptions'!E$2,'RES Assumptions T15'!$V$3:$W$35,2,FALSE),'COM Assumptions T15'!$E$2:$S$2,0))</f>
        <v>0.6</v>
      </c>
      <c r="F77" s="30">
        <f ca="1">OFFSET('COM Assumptions T15'!$D77,0,MATCH(VLOOKUP('COM Assumptions'!F$2,'RES Assumptions T15'!$V$3:$W$35,2,FALSE),'COM Assumptions T15'!$E$2:$S$2,0))</f>
        <v>0.6</v>
      </c>
      <c r="G77" s="30">
        <f ca="1">OFFSET('COM Assumptions T15'!$D77,0,MATCH(VLOOKUP('COM Assumptions'!G$2,'RES Assumptions T15'!$V$3:$W$35,2,FALSE),'COM Assumptions T15'!$E$2:$S$2,0))</f>
        <v>0.9</v>
      </c>
      <c r="H77" s="30">
        <f ca="1">OFFSET('COM Assumptions T15'!$D77,0,MATCH(VLOOKUP('COM Assumptions'!H$2,'RES Assumptions T15'!$V$3:$W$35,2,FALSE),'COM Assumptions T15'!$E$2:$S$2,0))</f>
        <v>0.6</v>
      </c>
      <c r="I77" s="30">
        <f ca="1">OFFSET('COM Assumptions T15'!$D77,0,MATCH(VLOOKUP('COM Assumptions'!I$2,'RES Assumptions T15'!$V$3:$W$35,2,FALSE),'COM Assumptions T15'!$E$2:$S$2,0))</f>
        <v>0.73099999999999998</v>
      </c>
      <c r="J77" s="30">
        <f ca="1">OFFSET('COM Assumptions T15'!$D77,0,MATCH(VLOOKUP('COM Assumptions'!J$2,'RES Assumptions T15'!$V$3:$W$35,2,FALSE),'COM Assumptions T15'!$E$2:$S$2,0))</f>
        <v>0.3</v>
      </c>
      <c r="K77" s="30">
        <f ca="1">OFFSET('COM Assumptions T15'!$D77,0,MATCH(VLOOKUP('COM Assumptions'!K$2,'RES Assumptions T15'!$V$3:$W$35,2,FALSE),'COM Assumptions T15'!$E$2:$S$2,0))</f>
        <v>0.5</v>
      </c>
      <c r="L77" s="30">
        <f ca="1">OFFSET('COM Assumptions T15'!$D77,0,MATCH(VLOOKUP('COM Assumptions'!L$2,'RES Assumptions T15'!$V$3:$W$35,2,FALSE),'COM Assumptions T15'!$E$2:$S$2,0))</f>
        <v>0.9</v>
      </c>
      <c r="M77" s="30">
        <f ca="1">OFFSET('COM Assumptions T15'!$D77,0,MATCH(VLOOKUP('COM Assumptions'!M$2,'RES Assumptions T15'!$V$3:$W$35,2,FALSE),'COM Assumptions T15'!$E$2:$S$2,0))</f>
        <v>0.2</v>
      </c>
      <c r="N77" s="30">
        <f ca="1">OFFSET('COM Assumptions T15'!$D77,0,MATCH(VLOOKUP('COM Assumptions'!N$2,'RES Assumptions T15'!$V$3:$W$35,2,FALSE),'COM Assumptions T15'!$E$2:$S$2,0))</f>
        <v>0.23</v>
      </c>
      <c r="O77" s="30">
        <f ca="1">OFFSET('COM Assumptions T15'!$D77,0,MATCH(VLOOKUP('COM Assumptions'!O$2,'RES Assumptions T15'!$V$3:$W$35,2,FALSE),'COM Assumptions T15'!$E$2:$S$2,0))</f>
        <v>0.79</v>
      </c>
      <c r="P77" s="30">
        <f ca="1">OFFSET('COM Assumptions T15'!$D77,0,MATCH(VLOOKUP('COM Assumptions'!P$2,'RES Assumptions T15'!$V$3:$W$35,2,FALSE),'COM Assumptions T15'!$E$2:$S$2,0))</f>
        <v>0.6</v>
      </c>
      <c r="Q77" s="30">
        <f ca="1">OFFSET('COM Assumptions T15'!$D77,0,MATCH(VLOOKUP('COM Assumptions'!Q$2,'RES Assumptions T15'!$V$3:$W$35,2,FALSE),'COM Assumptions T15'!$E$2:$S$2,0))</f>
        <v>0.79</v>
      </c>
      <c r="R77" s="30">
        <f ca="1">OFFSET('COM Assumptions T15'!$D77,0,MATCH(VLOOKUP('COM Assumptions'!R$2,'RES Assumptions T15'!$V$3:$W$35,2,FALSE),'COM Assumptions T15'!$E$2:$S$2,0))</f>
        <v>0.79</v>
      </c>
      <c r="S77" s="30">
        <f ca="1">OFFSET('COM Assumptions T15'!$D77,0,MATCH(VLOOKUP('COM Assumptions'!S$2,'RES Assumptions T15'!$V$3:$W$35,2,FALSE),'COM Assumptions T15'!$E$2:$S$2,0))</f>
        <v>0.6</v>
      </c>
      <c r="T77" s="30">
        <f ca="1">OFFSET('COM Assumptions T15'!$D77,0,MATCH(VLOOKUP('COM Assumptions'!T$2,'RES Assumptions T15'!$V$3:$W$35,2,FALSE),'COM Assumptions T15'!$E$2:$S$2,0))</f>
        <v>0.79</v>
      </c>
      <c r="U77" s="30">
        <f ca="1">OFFSET('COM Assumptions T15'!$D77,0,MATCH(VLOOKUP('COM Assumptions'!U$2,'RES Assumptions T15'!$V$3:$W$35,2,FALSE),'COM Assumptions T15'!$E$2:$S$2,0))</f>
        <v>0.6</v>
      </c>
      <c r="V77" s="30">
        <f ca="1">OFFSET('COM Assumptions T15'!$D77,0,MATCH(VLOOKUP('COM Assumptions'!V$2,'RES Assumptions T15'!$V$3:$W$35,2,FALSE),'COM Assumptions T15'!$E$2:$S$2,0))</f>
        <v>0.79</v>
      </c>
      <c r="W77" s="30">
        <f ca="1">OFFSET('COM Assumptions T15'!$D77,0,MATCH(VLOOKUP('COM Assumptions'!W$2,'RES Assumptions T15'!$V$3:$W$35,2,FALSE),'COM Assumptions T15'!$E$2:$S$2,0))</f>
        <v>0.79</v>
      </c>
      <c r="X77" s="30">
        <f ca="1">OFFSET('COM Assumptions T15'!$D77,0,MATCH(VLOOKUP('COM Assumptions'!X$2,'RES Assumptions T15'!$V$3:$W$35,2,FALSE),'COM Assumptions T15'!$E$2:$S$2,0))</f>
        <v>0.5</v>
      </c>
      <c r="Y77" s="30">
        <f ca="1">OFFSET('COM Assumptions T15'!$D77,0,MATCH(VLOOKUP('COM Assumptions'!Y$2,'RES Assumptions T15'!$V$3:$W$35,2,FALSE),'COM Assumptions T15'!$E$2:$S$2,0))</f>
        <v>0.9</v>
      </c>
      <c r="Z77" s="30">
        <f ca="1">OFFSET('COM Assumptions T15'!$D77,0,MATCH(VLOOKUP('COM Assumptions'!Z$2,'RES Assumptions T15'!$V$3:$W$35,2,FALSE),'COM Assumptions T15'!$E$2:$S$2,0))</f>
        <v>0.67</v>
      </c>
      <c r="AA77" s="30">
        <f ca="1">OFFSET('COM Assumptions T15'!$D77,0,MATCH(VLOOKUP('COM Assumptions'!AA$2,'RES Assumptions T15'!$V$3:$W$35,2,FALSE),'COM Assumptions T15'!$E$2:$S$2,0))</f>
        <v>0.6</v>
      </c>
      <c r="AB77" s="30">
        <f ca="1">OFFSET('COM Assumptions T15'!$D77,0,MATCH(VLOOKUP('COM Assumptions'!AB$2,'RES Assumptions T15'!$V$3:$W$35,2,FALSE),'COM Assumptions T15'!$E$2:$S$2,0))</f>
        <v>0.79</v>
      </c>
      <c r="AC77" s="30">
        <f ca="1">OFFSET('COM Assumptions T15'!$D77,0,MATCH(VLOOKUP('COM Assumptions'!AC$2,'RES Assumptions T15'!$V$3:$W$35,2,FALSE),'COM Assumptions T15'!$E$2:$S$2,0))</f>
        <v>0.6</v>
      </c>
      <c r="AD77" s="30">
        <f ca="1">OFFSET('COM Assumptions T15'!$D77,0,MATCH(VLOOKUP('COM Assumptions'!AD$2,'RES Assumptions T15'!$V$3:$W$35,2,FALSE),'COM Assumptions T15'!$E$2:$S$2,0))</f>
        <v>0.6</v>
      </c>
      <c r="AE77" s="30">
        <f ca="1">OFFSET('COM Assumptions T15'!$D77,0,MATCH(VLOOKUP('COM Assumptions'!AE$2,'RES Assumptions T15'!$V$3:$W$35,2,FALSE),'COM Assumptions T15'!$E$2:$S$2,0))</f>
        <v>0.6</v>
      </c>
      <c r="AF77" s="30">
        <f ca="1">OFFSET('COM Assumptions T15'!$D77,0,MATCH(VLOOKUP('COM Assumptions'!AF$2,'RES Assumptions T15'!$V$3:$W$35,2,FALSE),'COM Assumptions T15'!$E$2:$S$2,0))</f>
        <v>0.79</v>
      </c>
      <c r="AG77" s="30">
        <f ca="1">OFFSET('COM Assumptions T15'!$D77,0,MATCH(VLOOKUP('COM Assumptions'!AG$2,'RES Assumptions T15'!$V$3:$W$35,2,FALSE),'COM Assumptions T15'!$E$2:$S$2,0))</f>
        <v>0.79</v>
      </c>
      <c r="AH77" s="30">
        <f ca="1">OFFSET('COM Assumptions T15'!$D77,0,MATCH(VLOOKUP('COM Assumptions'!AH$2,'RES Assumptions T15'!$V$3:$W$35,2,FALSE),'COM Assumptions T15'!$E$2:$S$2,0))</f>
        <v>0.79</v>
      </c>
      <c r="AI77" s="30"/>
      <c r="AJ77" s="6" t="s">
        <v>215</v>
      </c>
      <c r="AK77" s="6"/>
      <c r="AL77" s="6"/>
    </row>
    <row r="78" spans="1:38" x14ac:dyDescent="0.45">
      <c r="A78" s="37" t="str">
        <f t="shared" si="36"/>
        <v>CLACOMELC</v>
      </c>
      <c r="B78" s="6" t="s">
        <v>85</v>
      </c>
      <c r="C78" s="6" t="s">
        <v>256</v>
      </c>
      <c r="D78" s="6" t="s">
        <v>51</v>
      </c>
      <c r="E78" s="30">
        <f ca="1">OFFSET('COM Assumptions T15'!$D78,0,MATCH(VLOOKUP('COM Assumptions'!E$2,'RES Assumptions T15'!$V$3:$W$35,2,FALSE),'COM Assumptions T15'!$E$2:$S$2,0))</f>
        <v>0.03</v>
      </c>
      <c r="F78" s="30">
        <f ca="1">OFFSET('COM Assumptions T15'!$D78,0,MATCH(VLOOKUP('COM Assumptions'!F$2,'RES Assumptions T15'!$V$3:$W$35,2,FALSE),'COM Assumptions T15'!$E$2:$S$2,0))</f>
        <v>0.03</v>
      </c>
      <c r="G78" s="30">
        <f ca="1">OFFSET('COM Assumptions T15'!$D78,0,MATCH(VLOOKUP('COM Assumptions'!G$2,'RES Assumptions T15'!$V$3:$W$35,2,FALSE),'COM Assumptions T15'!$E$2:$S$2,0))</f>
        <v>0.05</v>
      </c>
      <c r="H78" s="30">
        <f ca="1">OFFSET('COM Assumptions T15'!$D78,0,MATCH(VLOOKUP('COM Assumptions'!H$2,'RES Assumptions T15'!$V$3:$W$35,2,FALSE),'COM Assumptions T15'!$E$2:$S$2,0))</f>
        <v>0.03</v>
      </c>
      <c r="I78" s="30">
        <f ca="1">OFFSET('COM Assumptions T15'!$D78,0,MATCH(VLOOKUP('COM Assumptions'!I$2,'RES Assumptions T15'!$V$3:$W$35,2,FALSE),'COM Assumptions T15'!$E$2:$S$2,0))</f>
        <v>0</v>
      </c>
      <c r="J78" s="30">
        <f ca="1">OFFSET('COM Assumptions T15'!$D78,0,MATCH(VLOOKUP('COM Assumptions'!J$2,'RES Assumptions T15'!$V$3:$W$35,2,FALSE),'COM Assumptions T15'!$E$2:$S$2,0))</f>
        <v>0.05</v>
      </c>
      <c r="K78" s="30">
        <f ca="1">OFFSET('COM Assumptions T15'!$D78,0,MATCH(VLOOKUP('COM Assumptions'!K$2,'RES Assumptions T15'!$V$3:$W$35,2,FALSE),'COM Assumptions T15'!$E$2:$S$2,0))</f>
        <v>0.1</v>
      </c>
      <c r="L78" s="30">
        <f ca="1">OFFSET('COM Assumptions T15'!$D78,0,MATCH(VLOOKUP('COM Assumptions'!L$2,'RES Assumptions T15'!$V$3:$W$35,2,FALSE),'COM Assumptions T15'!$E$2:$S$2,0))</f>
        <v>0.05</v>
      </c>
      <c r="M78" s="30">
        <f ca="1">OFFSET('COM Assumptions T15'!$D78,0,MATCH(VLOOKUP('COM Assumptions'!M$2,'RES Assumptions T15'!$V$3:$W$35,2,FALSE),'COM Assumptions T15'!$E$2:$S$2,0))</f>
        <v>0.1</v>
      </c>
      <c r="N78" s="30">
        <f ca="1">OFFSET('COM Assumptions T15'!$D78,0,MATCH(VLOOKUP('COM Assumptions'!N$2,'RES Assumptions T15'!$V$3:$W$35,2,FALSE),'COM Assumptions T15'!$E$2:$S$2,0))</f>
        <v>5.0000000000000001E-3</v>
      </c>
      <c r="O78" s="30">
        <f ca="1">OFFSET('COM Assumptions T15'!$D78,0,MATCH(VLOOKUP('COM Assumptions'!O$2,'RES Assumptions T15'!$V$3:$W$35,2,FALSE),'COM Assumptions T15'!$E$2:$S$2,0))</f>
        <v>7.0000000000000007E-2</v>
      </c>
      <c r="P78" s="30">
        <f ca="1">OFFSET('COM Assumptions T15'!$D78,0,MATCH(VLOOKUP('COM Assumptions'!P$2,'RES Assumptions T15'!$V$3:$W$35,2,FALSE),'COM Assumptions T15'!$E$2:$S$2,0))</f>
        <v>0.03</v>
      </c>
      <c r="Q78" s="30">
        <f ca="1">OFFSET('COM Assumptions T15'!$D78,0,MATCH(VLOOKUP('COM Assumptions'!Q$2,'RES Assumptions T15'!$V$3:$W$35,2,FALSE),'COM Assumptions T15'!$E$2:$S$2,0))</f>
        <v>7.0000000000000007E-2</v>
      </c>
      <c r="R78" s="30">
        <f ca="1">OFFSET('COM Assumptions T15'!$D78,0,MATCH(VLOOKUP('COM Assumptions'!R$2,'RES Assumptions T15'!$V$3:$W$35,2,FALSE),'COM Assumptions T15'!$E$2:$S$2,0))</f>
        <v>7.0000000000000007E-2</v>
      </c>
      <c r="S78" s="30">
        <f ca="1">OFFSET('COM Assumptions T15'!$D78,0,MATCH(VLOOKUP('COM Assumptions'!S$2,'RES Assumptions T15'!$V$3:$W$35,2,FALSE),'COM Assumptions T15'!$E$2:$S$2,0))</f>
        <v>0.03</v>
      </c>
      <c r="T78" s="30">
        <f ca="1">OFFSET('COM Assumptions T15'!$D78,0,MATCH(VLOOKUP('COM Assumptions'!T$2,'RES Assumptions T15'!$V$3:$W$35,2,FALSE),'COM Assumptions T15'!$E$2:$S$2,0))</f>
        <v>7.0000000000000007E-2</v>
      </c>
      <c r="U78" s="30">
        <f ca="1">OFFSET('COM Assumptions T15'!$D78,0,MATCH(VLOOKUP('COM Assumptions'!U$2,'RES Assumptions T15'!$V$3:$W$35,2,FALSE),'COM Assumptions T15'!$E$2:$S$2,0))</f>
        <v>0.03</v>
      </c>
      <c r="V78" s="30">
        <f ca="1">OFFSET('COM Assumptions T15'!$D78,0,MATCH(VLOOKUP('COM Assumptions'!V$2,'RES Assumptions T15'!$V$3:$W$35,2,FALSE),'COM Assumptions T15'!$E$2:$S$2,0))</f>
        <v>7.0000000000000007E-2</v>
      </c>
      <c r="W78" s="30">
        <f ca="1">OFFSET('COM Assumptions T15'!$D78,0,MATCH(VLOOKUP('COM Assumptions'!W$2,'RES Assumptions T15'!$V$3:$W$35,2,FALSE),'COM Assumptions T15'!$E$2:$S$2,0))</f>
        <v>7.0000000000000007E-2</v>
      </c>
      <c r="X78" s="30">
        <f ca="1">OFFSET('COM Assumptions T15'!$D78,0,MATCH(VLOOKUP('COM Assumptions'!X$2,'RES Assumptions T15'!$V$3:$W$35,2,FALSE),'COM Assumptions T15'!$E$2:$S$2,0))</f>
        <v>0.05</v>
      </c>
      <c r="Y78" s="30">
        <f ca="1">OFFSET('COM Assumptions T15'!$D78,0,MATCH(VLOOKUP('COM Assumptions'!Y$2,'RES Assumptions T15'!$V$3:$W$35,2,FALSE),'COM Assumptions T15'!$E$2:$S$2,0))</f>
        <v>0.05</v>
      </c>
      <c r="Z78" s="30">
        <f ca="1">OFFSET('COM Assumptions T15'!$D78,0,MATCH(VLOOKUP('COM Assumptions'!Z$2,'RES Assumptions T15'!$V$3:$W$35,2,FALSE),'COM Assumptions T15'!$E$2:$S$2,0))</f>
        <v>0.05</v>
      </c>
      <c r="AA78" s="30">
        <f ca="1">OFFSET('COM Assumptions T15'!$D78,0,MATCH(VLOOKUP('COM Assumptions'!AA$2,'RES Assumptions T15'!$V$3:$W$35,2,FALSE),'COM Assumptions T15'!$E$2:$S$2,0))</f>
        <v>0.03</v>
      </c>
      <c r="AB78" s="30">
        <f ca="1">OFFSET('COM Assumptions T15'!$D78,0,MATCH(VLOOKUP('COM Assumptions'!AB$2,'RES Assumptions T15'!$V$3:$W$35,2,FALSE),'COM Assumptions T15'!$E$2:$S$2,0))</f>
        <v>7.0000000000000007E-2</v>
      </c>
      <c r="AC78" s="30">
        <f ca="1">OFFSET('COM Assumptions T15'!$D78,0,MATCH(VLOOKUP('COM Assumptions'!AC$2,'RES Assumptions T15'!$V$3:$W$35,2,FALSE),'COM Assumptions T15'!$E$2:$S$2,0))</f>
        <v>0.03</v>
      </c>
      <c r="AD78" s="30">
        <f ca="1">OFFSET('COM Assumptions T15'!$D78,0,MATCH(VLOOKUP('COM Assumptions'!AD$2,'RES Assumptions T15'!$V$3:$W$35,2,FALSE),'COM Assumptions T15'!$E$2:$S$2,0))</f>
        <v>0.03</v>
      </c>
      <c r="AE78" s="30">
        <f ca="1">OFFSET('COM Assumptions T15'!$D78,0,MATCH(VLOOKUP('COM Assumptions'!AE$2,'RES Assumptions T15'!$V$3:$W$35,2,FALSE),'COM Assumptions T15'!$E$2:$S$2,0))</f>
        <v>0.03</v>
      </c>
      <c r="AF78" s="30">
        <f ca="1">OFFSET('COM Assumptions T15'!$D78,0,MATCH(VLOOKUP('COM Assumptions'!AF$2,'RES Assumptions T15'!$V$3:$W$35,2,FALSE),'COM Assumptions T15'!$E$2:$S$2,0))</f>
        <v>7.0000000000000007E-2</v>
      </c>
      <c r="AG78" s="30">
        <f ca="1">OFFSET('COM Assumptions T15'!$D78,0,MATCH(VLOOKUP('COM Assumptions'!AG$2,'RES Assumptions T15'!$V$3:$W$35,2,FALSE),'COM Assumptions T15'!$E$2:$S$2,0))</f>
        <v>7.0000000000000007E-2</v>
      </c>
      <c r="AH78" s="30">
        <f ca="1">OFFSET('COM Assumptions T15'!$D78,0,MATCH(VLOOKUP('COM Assumptions'!AH$2,'RES Assumptions T15'!$V$3:$W$35,2,FALSE),'COM Assumptions T15'!$E$2:$S$2,0))</f>
        <v>7.0000000000000007E-2</v>
      </c>
      <c r="AI78" s="30"/>
      <c r="AJ78" s="6" t="s">
        <v>217</v>
      </c>
      <c r="AK78" s="6"/>
      <c r="AL78" s="6"/>
    </row>
    <row r="79" spans="1:38" x14ac:dyDescent="0.45">
      <c r="A79" s="8"/>
      <c r="B79" s="8"/>
      <c r="C79" s="8"/>
    </row>
    <row r="80" spans="1:38" x14ac:dyDescent="0.45">
      <c r="A80" s="8"/>
      <c r="B80" s="8"/>
      <c r="C80" s="8"/>
      <c r="E80" s="43" t="str">
        <f>E2</f>
        <v>Africa_north</v>
      </c>
      <c r="F80" s="43" t="str">
        <f t="shared" ref="F80:S80" si="37">F2</f>
        <v>Africa_other</v>
      </c>
      <c r="G80" s="43" t="str">
        <f t="shared" si="37"/>
        <v>Arg-Chi</v>
      </c>
      <c r="H80" s="43" t="str">
        <f t="shared" si="37"/>
        <v>Asia_central</v>
      </c>
      <c r="I80" s="43" t="str">
        <f t="shared" si="37"/>
        <v>Asia_east</v>
      </c>
      <c r="J80" s="43" t="str">
        <f t="shared" si="37"/>
        <v>Asia_other</v>
      </c>
      <c r="K80" s="43" t="str">
        <f t="shared" si="37"/>
        <v>Australia_NZ</v>
      </c>
      <c r="L80" s="43" t="str">
        <f t="shared" si="37"/>
        <v>Brazil</v>
      </c>
      <c r="M80" s="43" t="str">
        <f t="shared" si="37"/>
        <v>Canada</v>
      </c>
      <c r="N80" s="43" t="str">
        <f t="shared" si="37"/>
        <v>China</v>
      </c>
      <c r="O80" s="43" t="str">
        <f t="shared" si="37"/>
        <v>EU_north</v>
      </c>
      <c r="P80" s="43" t="str">
        <f t="shared" si="37"/>
        <v>EU_northeast</v>
      </c>
      <c r="Q80" s="43" t="str">
        <f t="shared" si="37"/>
        <v>EU_northwest</v>
      </c>
      <c r="R80" s="43" t="str">
        <f t="shared" si="37"/>
        <v>EU_south</v>
      </c>
      <c r="S80" s="43" t="str">
        <f t="shared" si="37"/>
        <v>EU_southeast</v>
      </c>
      <c r="T80" s="43" t="str">
        <f t="shared" ref="T80:U80" si="38">T2</f>
        <v>EU_southwest</v>
      </c>
      <c r="U80" s="43" t="str">
        <f t="shared" si="38"/>
        <v>Europe_other</v>
      </c>
      <c r="V80" s="43" t="str">
        <f t="shared" ref="V80:AH80" si="39">V2</f>
        <v>France</v>
      </c>
      <c r="W80" s="43" t="str">
        <f t="shared" si="39"/>
        <v>Germany</v>
      </c>
      <c r="X80" s="43" t="str">
        <f t="shared" si="39"/>
        <v>India</v>
      </c>
      <c r="Y80" s="43" t="str">
        <f t="shared" si="39"/>
        <v>LatAm_other</v>
      </c>
      <c r="Z80" s="43" t="str">
        <f t="shared" si="39"/>
        <v>Mexico</v>
      </c>
      <c r="AA80" s="43" t="str">
        <f t="shared" si="39"/>
        <v>MidEast_other</v>
      </c>
      <c r="AB80" s="43" t="str">
        <f t="shared" si="39"/>
        <v>Nor-Ice</v>
      </c>
      <c r="AC80" s="43" t="str">
        <f t="shared" si="39"/>
        <v>Russia</v>
      </c>
      <c r="AD80" s="43" t="str">
        <f t="shared" si="39"/>
        <v>SaudiArabia</v>
      </c>
      <c r="AE80" s="43" t="str">
        <f t="shared" si="39"/>
        <v>SouthAfrica</v>
      </c>
      <c r="AF80" s="43" t="str">
        <f t="shared" si="39"/>
        <v>UK</v>
      </c>
      <c r="AG80" s="43" t="str">
        <f t="shared" si="39"/>
        <v>USA</v>
      </c>
      <c r="AH80" s="43" t="str">
        <f t="shared" si="39"/>
        <v>\I:</v>
      </c>
      <c r="AI80" s="43"/>
    </row>
    <row r="81" spans="1:43" x14ac:dyDescent="0.45">
      <c r="A81" s="8" t="str">
        <f t="shared" ref="A81:A111" si="40">"COM"&amp;VLOOKUP(RIGHT(C81,3),$AJ$81:$AM$105,2,FALSE)</f>
        <v>COMELC</v>
      </c>
      <c r="B81" s="8" t="str">
        <f t="shared" ref="B81:B127" si="41">LEFT(C81,IF(LEN(C81)=5,2,3))</f>
        <v>CL</v>
      </c>
      <c r="C81" s="8" t="str">
        <f>SUBSTITUTE(SUBSTITUTE(SUBSTITUTE('COM Veda input'!B4,"CC1","CL"),"000",""),"CH1","CH")</f>
        <v>CLCAE</v>
      </c>
      <c r="E81" s="10">
        <f ca="1">SUMIFS(E$3:E$61,$A$3:$A$61,$A81,$D$3:$D$61,$B81)*SUMIF('COM balance'!$D$5:$D$25,'COM Assumptions'!$A81,'COM balance'!E$5:E$25)*IFERROR(VLOOKUP($C81,$C$64:$AH$78,E$63,FALSE),1)</f>
        <v>15.620941157654711</v>
      </c>
      <c r="F81" s="10">
        <f ca="1">SUMIFS(F$3:F$61,$A$3:$A$61,$A81,$D$3:$D$61,$B81)*SUMIF('COM balance'!$D$5:$D$25,'COM Assumptions'!$A81,'COM balance'!F$5:F$25)*IFERROR(VLOOKUP($C81,$C$64:$AH$78,F$63,FALSE),1)</f>
        <v>9.6299945301031382</v>
      </c>
      <c r="G81" s="10">
        <f ca="1">SUMIFS(G$3:G$61,$A$3:$A$61,$A81,$D$3:$D$61,$B81)*SUMIF('COM balance'!$D$5:$D$25,'COM Assumptions'!$A81,'COM balance'!G$5:G$25)*IFERROR(VLOOKUP($C81,$C$64:$AH$78,G$63,FALSE),1)</f>
        <v>8.7523360858080004</v>
      </c>
      <c r="H81" s="10">
        <f ca="1">SUMIFS(H$3:H$61,$A$3:$A$61,$A81,$D$3:$D$61,$B81)*SUMIF('COM balance'!$D$5:$D$25,'COM Assumptions'!$A81,'COM balance'!H$5:H$25)*IFERROR(VLOOKUP($C81,$C$64:$AH$78,H$63,FALSE),1)</f>
        <v>0.53130610698110625</v>
      </c>
      <c r="I81" s="10">
        <f ca="1">SUMIFS(I$3:I$61,$A$3:$A$61,$A81,$D$3:$D$61,$B81)*SUMIF('COM balance'!$D$5:$D$25,'COM Assumptions'!$A81,'COM balance'!I$5:I$25)*IFERROR(VLOOKUP($C81,$C$64:$AH$78,I$63,FALSE),1)</f>
        <v>12.100803094422002</v>
      </c>
      <c r="J81" s="10">
        <f ca="1">SUMIFS(J$3:J$61,$A$3:$A$61,$A81,$D$3:$D$61,$B81)*SUMIF('COM balance'!$D$5:$D$25,'COM Assumptions'!$A81,'COM balance'!J$5:J$25)*IFERROR(VLOOKUP($C81,$C$64:$AH$78,J$63,FALSE),1)</f>
        <v>30.318836648443206</v>
      </c>
      <c r="K81" s="10">
        <f ca="1">SUMIFS(K$3:K$61,$A$3:$A$61,$A81,$D$3:$D$61,$B81)*SUMIF('COM balance'!$D$5:$D$25,'COM Assumptions'!$A81,'COM balance'!K$5:K$25)*IFERROR(VLOOKUP($C81,$C$64:$AH$78,K$63,FALSE),1)</f>
        <v>9.4967773942680402</v>
      </c>
      <c r="L81" s="10">
        <f ca="1">SUMIFS(L$3:L$61,$A$3:$A$61,$A81,$D$3:$D$61,$B81)*SUMIF('COM balance'!$D$5:$D$25,'COM Assumptions'!$A81,'COM balance'!L$5:L$25)*IFERROR(VLOOKUP($C81,$C$64:$AH$78,L$63,FALSE),1)</f>
        <v>28.434106911167998</v>
      </c>
      <c r="M81" s="10">
        <f ca="1">SUMIFS(M$3:M$61,$A$3:$A$61,$A81,$D$3:$D$61,$B81)*SUMIF('COM balance'!$D$5:$D$25,'COM Assumptions'!$A81,'COM balance'!M$5:M$25)*IFERROR(VLOOKUP($C81,$C$64:$AH$78,M$63,FALSE),1)</f>
        <v>39.266481217916365</v>
      </c>
      <c r="N81" s="10">
        <f ca="1">SUMIFS(N$3:N$61,$A$3:$A$61,$A81,$D$3:$D$61,$B81)*SUMIF('COM balance'!$D$5:$D$25,'COM Assumptions'!$A81,'COM balance'!N$5:N$25)*IFERROR(VLOOKUP($C81,$C$64:$AH$78,N$63,FALSE),1)</f>
        <v>28.680157056100676</v>
      </c>
      <c r="O81" s="10">
        <f ca="1">SUMIFS(O$3:O$61,$A$3:$A$61,$A81,$D$3:$D$61,$B81)*SUMIF('COM balance'!$D$5:$D$25,'COM Assumptions'!$A81,'COM balance'!O$5:O$25)*IFERROR(VLOOKUP($C81,$C$64:$AH$78,O$63,FALSE),1)</f>
        <v>10.836586014253845</v>
      </c>
      <c r="P81" s="10">
        <f ca="1">SUMIFS(P$3:P$61,$A$3:$A$61,$A81,$D$3:$D$61,$B81)*SUMIF('COM balance'!$D$5:$D$25,'COM Assumptions'!$A81,'COM balance'!P$5:P$25)*IFERROR(VLOOKUP($C81,$C$64:$AH$78,P$63,FALSE),1)</f>
        <v>1.836833496024175</v>
      </c>
      <c r="Q81" s="10">
        <f ca="1">SUMIFS(Q$3:Q$61,$A$3:$A$61,$A81,$D$3:$D$61,$B81)*SUMIF('COM balance'!$D$5:$D$25,'COM Assumptions'!$A81,'COM balance'!Q$5:Q$25)*IFERROR(VLOOKUP($C81,$C$64:$AH$78,Q$63,FALSE),1)</f>
        <v>14.333665328703448</v>
      </c>
      <c r="R81" s="10">
        <f ca="1">SUMIFS(R$3:R$61,$A$3:$A$61,$A81,$D$3:$D$61,$B81)*SUMIF('COM balance'!$D$5:$D$25,'COM Assumptions'!$A81,'COM balance'!R$5:R$25)*IFERROR(VLOOKUP($C81,$C$64:$AH$78,R$63,FALSE),1)</f>
        <v>21.62161055803702</v>
      </c>
      <c r="S81" s="10">
        <f ca="1">SUMIFS(S$3:S$61,$A$3:$A$61,$A81,$D$3:$D$61,$B81)*SUMIF('COM balance'!$D$5:$D$25,'COM Assumptions'!$A81,'COM balance'!S$5:S$25)*IFERROR(VLOOKUP($C81,$C$64:$AH$78,S$63,FALSE),1)</f>
        <v>0.69676930421652494</v>
      </c>
      <c r="T81" s="10">
        <f ca="1">SUMIFS(T$3:T$61,$A$3:$A$61,$A81,$D$3:$D$61,$B81)*SUMIF('COM balance'!$D$5:$D$25,'COM Assumptions'!$A81,'COM balance'!T$5:T$25)*IFERROR(VLOOKUP($C81,$C$64:$AH$78,T$63,FALSE),1)</f>
        <v>17.837317076311102</v>
      </c>
      <c r="U81" s="10">
        <f ca="1">SUMIFS(U$3:U$61,$A$3:$A$61,$A81,$D$3:$D$61,$B81)*SUMIF('COM balance'!$D$5:$D$25,'COM Assumptions'!$A81,'COM balance'!U$5:U$25)*IFERROR(VLOOKUP($C81,$C$64:$AH$78,U$63,FALSE),1)</f>
        <v>26.688459712276927</v>
      </c>
      <c r="V81" s="10">
        <f ca="1">SUMIFS(V$3:V$61,$A$3:$A$61,$A81,$D$3:$D$61,$B81)*SUMIF('COM balance'!$D$5:$D$25,'COM Assumptions'!$A81,'COM balance'!V$5:V$25)*IFERROR(VLOOKUP($C81,$C$64:$AH$78,V$63,FALSE),1)</f>
        <v>26.756853290443434</v>
      </c>
      <c r="W81" s="10">
        <f ca="1">SUMIFS(W$3:W$61,$A$3:$A$61,$A81,$D$3:$D$61,$B81)*SUMIF('COM balance'!$D$5:$D$25,'COM Assumptions'!$A81,'COM balance'!W$5:W$25)*IFERROR(VLOOKUP($C81,$C$64:$AH$78,W$63,FALSE),1)</f>
        <v>25.457278494407774</v>
      </c>
      <c r="X81" s="10">
        <f ca="1">SUMIFS(X$3:X$61,$A$3:$A$61,$A81,$D$3:$D$61,$B81)*SUMIF('COM balance'!$D$5:$D$25,'COM Assumptions'!$A81,'COM balance'!X$5:X$25)*IFERROR(VLOOKUP($C81,$C$64:$AH$78,X$63,FALSE),1)</f>
        <v>10.22935419657</v>
      </c>
      <c r="Y81" s="10">
        <f ca="1">SUMIFS(Y$3:Y$61,$A$3:$A$61,$A81,$D$3:$D$61,$B81)*SUMIF('COM balance'!$D$5:$D$25,'COM Assumptions'!$A81,'COM balance'!Y$5:Y$25)*IFERROR(VLOOKUP($C81,$C$64:$AH$78,Y$63,FALSE),1)</f>
        <v>18.013876247203196</v>
      </c>
      <c r="Z81" s="10">
        <f ca="1">SUMIFS(Z$3:Z$61,$A$3:$A$61,$A81,$D$3:$D$61,$B81)*SUMIF('COM balance'!$D$5:$D$25,'COM Assumptions'!$A81,'COM balance'!Z$5:Z$25)*IFERROR(VLOOKUP($C81,$C$64:$AH$78,Z$63,FALSE),1)</f>
        <v>5.1689698983000003</v>
      </c>
      <c r="AA81" s="10">
        <f ca="1">SUMIFS(AA$3:AA$61,$A$3:$A$61,$A81,$D$3:$D$61,$B81)*SUMIF('COM balance'!$D$5:$D$25,'COM Assumptions'!$A81,'COM balance'!AA$5:AA$25)*IFERROR(VLOOKUP($C81,$C$64:$AH$78,AA$63,FALSE),1)</f>
        <v>30.336397244683599</v>
      </c>
      <c r="AB81" s="10">
        <f ca="1">SUMIFS(AB$3:AB$61,$A$3:$A$61,$A81,$D$3:$D$61,$B81)*SUMIF('COM balance'!$D$5:$D$25,'COM Assumptions'!$A81,'COM balance'!AB$5:AB$25)*IFERROR(VLOOKUP($C81,$C$64:$AH$78,AB$63,FALSE),1)</f>
        <v>5.3972487153343938</v>
      </c>
      <c r="AC81" s="10">
        <f ca="1">SUMIFS(AC$3:AC$61,$A$3:$A$61,$A81,$D$3:$D$61,$B81)*SUMIF('COM balance'!$D$5:$D$25,'COM Assumptions'!$A81,'COM balance'!AC$5:AC$25)*IFERROR(VLOOKUP($C81,$C$64:$AH$78,AC$63,FALSE),1)</f>
        <v>2.9941574034548819</v>
      </c>
      <c r="AD81" s="10">
        <f ca="1">SUMIFS(AD$3:AD$61,$A$3:$A$61,$A81,$D$3:$D$61,$B81)*SUMIF('COM balance'!$D$5:$D$25,'COM Assumptions'!$A81,'COM balance'!AD$5:AD$25)*IFERROR(VLOOKUP($C81,$C$64:$AH$78,AD$63,FALSE),1)</f>
        <v>23.972734340479803</v>
      </c>
      <c r="AE81" s="10">
        <f ca="1">SUMIFS(AE$3:AE$61,$A$3:$A$61,$A81,$D$3:$D$61,$B81)*SUMIF('COM balance'!$D$5:$D$25,'COM Assumptions'!$A81,'COM balance'!AE$5:AE$25)*IFERROR(VLOOKUP($C81,$C$64:$AH$78,AE$63,FALSE),1)</f>
        <v>10.902087339143124</v>
      </c>
      <c r="AF81" s="10">
        <f ca="1">SUMIFS(AF$3:AF$61,$A$3:$A$61,$A81,$D$3:$D$61,$B81)*SUMIF('COM balance'!$D$5:$D$25,'COM Assumptions'!$A81,'COM balance'!AF$5:AF$25)*IFERROR(VLOOKUP($C81,$C$64:$AH$78,AF$63,FALSE),1)</f>
        <v>17.651423117642839</v>
      </c>
      <c r="AG81" s="10">
        <f ca="1">SUMIFS(AG$3:AG$61,$A$3:$A$61,$A81,$D$3:$D$61,$B81)*SUMIF('COM balance'!$D$5:$D$25,'COM Assumptions'!$A81,'COM balance'!AG$5:AG$25)*IFERROR(VLOOKUP($C81,$C$64:$AH$78,AG$63,FALSE),1)</f>
        <v>444.05885385024095</v>
      </c>
      <c r="AH81" s="10">
        <f ca="1">SUMIFS(AH$3:AH$61,$A$3:$A$61,$A81,$D$3:$D$61,$B81)*SUMIF('COM balance'!$D$5:$D$25,'COM Assumptions'!$A81,'COM balance'!AH$5:AH$25)*IFERROR(VLOOKUP($C81,$C$64:$AH$78,AH$63,FALSE),1)</f>
        <v>0</v>
      </c>
      <c r="AI81" s="10"/>
      <c r="AJ81" s="37" t="s">
        <v>182</v>
      </c>
      <c r="AK81" s="37" t="s">
        <v>182</v>
      </c>
      <c r="AN81" s="8"/>
      <c r="AO81" s="8"/>
      <c r="AP81" s="37" t="s">
        <v>86</v>
      </c>
      <c r="AQ81" s="37" t="str">
        <f>AP81</f>
        <v>CCK</v>
      </c>
    </row>
    <row r="82" spans="1:43" x14ac:dyDescent="0.45">
      <c r="A82" s="8" t="str">
        <f t="shared" si="40"/>
        <v>COMELC</v>
      </c>
      <c r="B82" s="8" t="str">
        <f t="shared" si="41"/>
        <v>CL</v>
      </c>
      <c r="C82" s="8" t="str">
        <f>SUBSTITUTE(SUBSTITUTE(SUBSTITUTE('COM Veda input'!B5,"CC1","CL"),"000",""),"CH1","CH")</f>
        <v>CLECE</v>
      </c>
      <c r="E82" s="10">
        <f ca="1">SUMIFS(E$3:E$61,$A$3:$A$61,$A82,$D$3:$D$61,$B82)*SUMIF('COM balance'!$D$5:$D$25,'COM Assumptions'!$A82,'COM balance'!E$5:E$25)*IFERROR(VLOOKUP($C82,$C$64:$AH$78,E$63,FALSE),1)</f>
        <v>9.7604725871677829</v>
      </c>
      <c r="F82" s="10">
        <f ca="1">SUMIFS(F$3:F$61,$A$3:$A$61,$A82,$D$3:$D$61,$B82)*SUMIF('COM balance'!$D$5:$D$25,'COM Assumptions'!$A82,'COM balance'!F$5:F$25)*IFERROR(VLOOKUP($C82,$C$64:$AH$78,F$63,FALSE),1)</f>
        <v>6.0171340943556357</v>
      </c>
      <c r="G82" s="10">
        <f ca="1">SUMIFS(G$3:G$61,$A$3:$A$61,$A82,$D$3:$D$61,$B82)*SUMIF('COM balance'!$D$5:$D$25,'COM Assumptions'!$A82,'COM balance'!G$5:G$25)*IFERROR(VLOOKUP($C82,$C$64:$AH$78,G$63,FALSE),1)</f>
        <v>0.12503337265440001</v>
      </c>
      <c r="H82" s="10">
        <f ca="1">SUMIFS(H$3:H$61,$A$3:$A$61,$A82,$D$3:$D$61,$B82)*SUMIF('COM balance'!$D$5:$D$25,'COM Assumptions'!$A82,'COM balance'!H$5:H$25)*IFERROR(VLOOKUP($C82,$C$64:$AH$78,H$63,FALSE),1)</f>
        <v>0.33197735272453344</v>
      </c>
      <c r="I82" s="10">
        <f ca="1">SUMIFS(I$3:I$61,$A$3:$A$61,$A82,$D$3:$D$61,$B82)*SUMIF('COM balance'!$D$5:$D$25,'COM Assumptions'!$A82,'COM balance'!I$5:I$25)*IFERROR(VLOOKUP($C82,$C$64:$AH$78,I$63,FALSE),1)</f>
        <v>0</v>
      </c>
      <c r="J82" s="10">
        <f ca="1">SUMIFS(J$3:J$61,$A$3:$A$61,$A82,$D$3:$D$61,$B82)*SUMIF('COM balance'!$D$5:$D$25,'COM Assumptions'!$A82,'COM balance'!J$5:J$25)*IFERROR(VLOOKUP($C82,$C$64:$AH$78,J$63,FALSE),1)</f>
        <v>30.318836648443206</v>
      </c>
      <c r="K82" s="10">
        <f ca="1">SUMIFS(K$3:K$61,$A$3:$A$61,$A82,$D$3:$D$61,$B82)*SUMIF('COM balance'!$D$5:$D$25,'COM Assumptions'!$A82,'COM balance'!K$5:K$25)*IFERROR(VLOOKUP($C82,$C$64:$AH$78,K$63,FALSE),1)</f>
        <v>5.9338956908986011</v>
      </c>
      <c r="L82" s="10">
        <f ca="1">SUMIFS(L$3:L$61,$A$3:$A$61,$A82,$D$3:$D$61,$B82)*SUMIF('COM balance'!$D$5:$D$25,'COM Assumptions'!$A82,'COM balance'!L$5:L$25)*IFERROR(VLOOKUP($C82,$C$64:$AH$78,L$63,FALSE),1)</f>
        <v>0.4062015273024</v>
      </c>
      <c r="M82" s="10">
        <f ca="1">SUMIFS(M$3:M$61,$A$3:$A$61,$A82,$D$3:$D$61,$B82)*SUMIF('COM balance'!$D$5:$D$25,'COM Assumptions'!$A82,'COM balance'!M$5:M$25)*IFERROR(VLOOKUP($C82,$C$64:$AH$78,M$63,FALSE),1)</f>
        <v>23.711921244601733</v>
      </c>
      <c r="N82" s="10">
        <f ca="1">SUMIFS(N$3:N$61,$A$3:$A$61,$A82,$D$3:$D$61,$B82)*SUMIF('COM balance'!$D$5:$D$25,'COM Assumptions'!$A82,'COM balance'!N$5:N$25)*IFERROR(VLOOKUP($C82,$C$64:$AH$78,N$63,FALSE),1)</f>
        <v>15.887151877795896</v>
      </c>
      <c r="O82" s="10">
        <f ca="1">SUMIFS(O$3:O$61,$A$3:$A$61,$A82,$D$3:$D$61,$B82)*SUMIF('COM balance'!$D$5:$D$25,'COM Assumptions'!$A82,'COM balance'!O$5:O$25)*IFERROR(VLOOKUP($C82,$C$64:$AH$78,O$63,FALSE),1)</f>
        <v>6.7710517351753792</v>
      </c>
      <c r="P82" s="10">
        <f ca="1">SUMIFS(P$3:P$61,$A$3:$A$61,$A82,$D$3:$D$61,$B82)*SUMIF('COM balance'!$D$5:$D$25,'COM Assumptions'!$A82,'COM balance'!P$5:P$25)*IFERROR(VLOOKUP($C82,$C$64:$AH$78,P$63,FALSE),1)</f>
        <v>1.1477133678562068</v>
      </c>
      <c r="Q82" s="10">
        <f ca="1">SUMIFS(Q$3:Q$61,$A$3:$A$61,$A82,$D$3:$D$61,$B82)*SUMIF('COM balance'!$D$5:$D$25,'COM Assumptions'!$A82,'COM balance'!Q$5:Q$25)*IFERROR(VLOOKUP($C82,$C$64:$AH$78,Q$63,FALSE),1)</f>
        <v>8.9561407409751759</v>
      </c>
      <c r="R82" s="10">
        <f ca="1">SUMIFS(R$3:R$61,$A$3:$A$61,$A82,$D$3:$D$61,$B82)*SUMIF('COM balance'!$D$5:$D$25,'COM Assumptions'!$A82,'COM balance'!R$5:R$25)*IFERROR(VLOOKUP($C82,$C$64:$AH$78,R$63,FALSE),1)</f>
        <v>13.509886184976986</v>
      </c>
      <c r="S82" s="10">
        <f ca="1">SUMIFS(S$3:S$61,$A$3:$A$61,$A82,$D$3:$D$61,$B82)*SUMIF('COM balance'!$D$5:$D$25,'COM Assumptions'!$A82,'COM balance'!S$5:S$25)*IFERROR(VLOOKUP($C82,$C$64:$AH$78,S$63,FALSE),1)</f>
        <v>0.43536414514004967</v>
      </c>
      <c r="T82" s="10">
        <f ca="1">SUMIFS(T$3:T$61,$A$3:$A$61,$A82,$D$3:$D$61,$B82)*SUMIF('COM balance'!$D$5:$D$25,'COM Assumptions'!$A82,'COM balance'!T$5:T$25)*IFERROR(VLOOKUP($C82,$C$64:$AH$78,T$63,FALSE),1)</f>
        <v>11.145336416982785</v>
      </c>
      <c r="U82" s="10">
        <f ca="1">SUMIFS(U$3:U$61,$A$3:$A$61,$A82,$D$3:$D$61,$B82)*SUMIF('COM balance'!$D$5:$D$25,'COM Assumptions'!$A82,'COM balance'!U$5:U$25)*IFERROR(VLOOKUP($C82,$C$64:$AH$78,U$63,FALSE),1)</f>
        <v>16.675818491753432</v>
      </c>
      <c r="V82" s="10">
        <f ca="1">SUMIFS(V$3:V$61,$A$3:$A$61,$A82,$D$3:$D$61,$B82)*SUMIF('COM balance'!$D$5:$D$25,'COM Assumptions'!$A82,'COM balance'!V$5:V$25)*IFERROR(VLOOKUP($C82,$C$64:$AH$78,V$63,FALSE),1)</f>
        <v>16.718553025997892</v>
      </c>
      <c r="W82" s="10">
        <f ca="1">SUMIFS(W$3:W$61,$A$3:$A$61,$A82,$D$3:$D$61,$B82)*SUMIF('COM balance'!$D$5:$D$25,'COM Assumptions'!$A82,'COM balance'!W$5:W$25)*IFERROR(VLOOKUP($C82,$C$64:$AH$78,W$63,FALSE),1)</f>
        <v>15.906536384768534</v>
      </c>
      <c r="X82" s="10">
        <f ca="1">SUMIFS(X$3:X$61,$A$3:$A$61,$A82,$D$3:$D$61,$B82)*SUMIF('COM balance'!$D$5:$D$25,'COM Assumptions'!$A82,'COM balance'!X$5:X$25)*IFERROR(VLOOKUP($C82,$C$64:$AH$78,X$63,FALSE),1)</f>
        <v>4.0917416786280016</v>
      </c>
      <c r="Y82" s="10">
        <f ca="1">SUMIFS(Y$3:Y$61,$A$3:$A$61,$A82,$D$3:$D$61,$B82)*SUMIF('COM balance'!$D$5:$D$25,'COM Assumptions'!$A82,'COM balance'!Y$5:Y$25)*IFERROR(VLOOKUP($C82,$C$64:$AH$78,Y$63,FALSE),1)</f>
        <v>0.25734108924575999</v>
      </c>
      <c r="Z82" s="10">
        <f ca="1">SUMIFS(Z$3:Z$61,$A$3:$A$61,$A82,$D$3:$D$61,$B82)*SUMIF('COM balance'!$D$5:$D$25,'COM Assumptions'!$A82,'COM balance'!Z$5:Z$25)*IFERROR(VLOOKUP($C82,$C$64:$AH$78,Z$63,FALSE),1)</f>
        <v>2.0675879593200004</v>
      </c>
      <c r="AA82" s="10">
        <f ca="1">SUMIFS(AA$3:AA$61,$A$3:$A$61,$A82,$D$3:$D$61,$B82)*SUMIF('COM balance'!$D$5:$D$25,'COM Assumptions'!$A82,'COM balance'!AA$5:AA$25)*IFERROR(VLOOKUP($C82,$C$64:$AH$78,AA$63,FALSE),1)</f>
        <v>18.955168623439196</v>
      </c>
      <c r="AB82" s="10">
        <f ca="1">SUMIFS(AB$3:AB$61,$A$3:$A$61,$A82,$D$3:$D$61,$B82)*SUMIF('COM balance'!$D$5:$D$25,'COM Assumptions'!$A82,'COM balance'!AB$5:AB$25)*IFERROR(VLOOKUP($C82,$C$64:$AH$78,AB$63,FALSE),1)</f>
        <v>3.372376708962463</v>
      </c>
      <c r="AC82" s="10">
        <f ca="1">SUMIFS(AC$3:AC$61,$A$3:$A$61,$A82,$D$3:$D$61,$B82)*SUMIF('COM balance'!$D$5:$D$25,'COM Assumptions'!$A82,'COM balance'!AC$5:AC$25)*IFERROR(VLOOKUP($C82,$C$64:$AH$78,AC$63,FALSE),1)</f>
        <v>1.8708470227970897</v>
      </c>
      <c r="AD82" s="10">
        <f ca="1">SUMIFS(AD$3:AD$61,$A$3:$A$61,$A82,$D$3:$D$61,$B82)*SUMIF('COM balance'!$D$5:$D$25,'COM Assumptions'!$A82,'COM balance'!AD$5:AD$25)*IFERROR(VLOOKUP($C82,$C$64:$AH$78,AD$63,FALSE),1)</f>
        <v>14.978944866907034</v>
      </c>
      <c r="AE82" s="10">
        <f ca="1">SUMIFS(AE$3:AE$61,$A$3:$A$61,$A82,$D$3:$D$61,$B82)*SUMIF('COM balance'!$D$5:$D$25,'COM Assumptions'!$A82,'COM balance'!AE$5:AE$25)*IFERROR(VLOOKUP($C82,$C$64:$AH$78,AE$63,FALSE),1)</f>
        <v>6.8119790954126778</v>
      </c>
      <c r="AF82" s="10">
        <f ca="1">SUMIFS(AF$3:AF$61,$A$3:$A$61,$A82,$D$3:$D$61,$B82)*SUMIF('COM balance'!$D$5:$D$25,'COM Assumptions'!$A82,'COM balance'!AF$5:AF$25)*IFERROR(VLOOKUP($C82,$C$64:$AH$78,AF$63,FALSE),1)</f>
        <v>11.029183819684729</v>
      </c>
      <c r="AG82" s="10">
        <f ca="1">SUMIFS(AG$3:AG$61,$A$3:$A$61,$A82,$D$3:$D$61,$B82)*SUMIF('COM balance'!$D$5:$D$25,'COM Assumptions'!$A82,'COM balance'!AG$5:AG$25)*IFERROR(VLOOKUP($C82,$C$64:$AH$78,AG$63,FALSE),1)</f>
        <v>423.39863750001598</v>
      </c>
      <c r="AH82" s="10">
        <f ca="1">SUMIFS(AH$3:AH$61,$A$3:$A$61,$A82,$D$3:$D$61,$B82)*SUMIF('COM balance'!$D$5:$D$25,'COM Assumptions'!$A82,'COM balance'!AH$5:AH$25)*IFERROR(VLOOKUP($C82,$C$64:$AH$78,AH$63,FALSE),1)</f>
        <v>0</v>
      </c>
      <c r="AI82" s="10"/>
      <c r="AJ82" s="37" t="s">
        <v>178</v>
      </c>
      <c r="AK82" s="37" t="s">
        <v>18</v>
      </c>
      <c r="AN82" s="8"/>
      <c r="AO82" s="8"/>
      <c r="AP82" s="37" t="s">
        <v>82</v>
      </c>
      <c r="AQ82" s="37" t="s">
        <v>268</v>
      </c>
    </row>
    <row r="83" spans="1:43" x14ac:dyDescent="0.45">
      <c r="A83" s="8" t="str">
        <f t="shared" si="40"/>
        <v>COMELC</v>
      </c>
      <c r="B83" s="8" t="str">
        <f t="shared" si="41"/>
        <v>CL</v>
      </c>
      <c r="C83" s="8" t="str">
        <f>SUBSTITUTE(SUBSTITUTE(SUBSTITUTE('COM Veda input'!B6,"CC1","CL"),"000",""),"CH1","CH")</f>
        <v>CLEHP</v>
      </c>
      <c r="E83" s="10">
        <f ca="1">SUMIFS(E$3:E$61,$A$3:$A$61,$A83,$D$3:$D$61,$B83)*SUMIF('COM balance'!$D$5:$D$25,'COM Assumptions'!$A83,'COM balance'!E$5:E$25)*IFERROR(VLOOKUP($C83,$C$64:$AH$78,E$63,FALSE),1)</f>
        <v>9.434329790583186E-2</v>
      </c>
      <c r="F83" s="10">
        <f ca="1">SUMIFS(F$3:F$61,$A$3:$A$61,$A83,$D$3:$D$61,$B83)*SUMIF('COM balance'!$D$5:$D$25,'COM Assumptions'!$A83,'COM balance'!F$5:F$25)*IFERROR(VLOOKUP($C83,$C$64:$AH$78,F$63,FALSE),1)</f>
        <v>5.8160736514896089E-2</v>
      </c>
      <c r="G83" s="10">
        <f ca="1">SUMIFS(G$3:G$61,$A$3:$A$61,$A83,$D$3:$D$61,$B83)*SUMIF('COM balance'!$D$5:$D$25,'COM Assumptions'!$A83,'COM balance'!G$5:G$25)*IFERROR(VLOOKUP($C83,$C$64:$AH$78,G$63,FALSE),1)</f>
        <v>0.12503337265440001</v>
      </c>
      <c r="H83" s="10">
        <f ca="1">SUMIFS(H$3:H$61,$A$3:$A$61,$A83,$D$3:$D$61,$B83)*SUMIF('COM balance'!$D$5:$D$25,'COM Assumptions'!$A83,'COM balance'!H$5:H$25)*IFERROR(VLOOKUP($C83,$C$64:$AH$78,H$63,FALSE),1)</f>
        <v>3.2088444495255971E-3</v>
      </c>
      <c r="I83" s="10">
        <f ca="1">SUMIFS(I$3:I$61,$A$3:$A$61,$A83,$D$3:$D$61,$B83)*SUMIF('COM balance'!$D$5:$D$25,'COM Assumptions'!$A83,'COM balance'!I$5:I$25)*IFERROR(VLOOKUP($C83,$C$64:$AH$78,I$63,FALSE),1)</f>
        <v>162.15076146525482</v>
      </c>
      <c r="J83" s="10">
        <f ca="1">SUMIFS(J$3:J$61,$A$3:$A$61,$A83,$D$3:$D$61,$B83)*SUMIF('COM balance'!$D$5:$D$25,'COM Assumptions'!$A83,'COM balance'!J$5:J$25)*IFERROR(VLOOKUP($C83,$C$64:$AH$78,J$63,FALSE),1)</f>
        <v>15.159418324221603</v>
      </c>
      <c r="K83" s="10">
        <f ca="1">SUMIFS(K$3:K$61,$A$3:$A$61,$A83,$D$3:$D$61,$B83)*SUMIF('COM balance'!$D$5:$D$25,'COM Assumptions'!$A83,'COM balance'!K$5:K$25)*IFERROR(VLOOKUP($C83,$C$64:$AH$78,K$63,FALSE),1)</f>
        <v>5.7356166303318697E-2</v>
      </c>
      <c r="L83" s="10">
        <f ca="1">SUMIFS(L$3:L$61,$A$3:$A$61,$A83,$D$3:$D$61,$B83)*SUMIF('COM balance'!$D$5:$D$25,'COM Assumptions'!$A83,'COM balance'!L$5:L$25)*IFERROR(VLOOKUP($C83,$C$64:$AH$78,L$63,FALSE),1)</f>
        <v>0.4062015273024</v>
      </c>
      <c r="M83" s="10">
        <f ca="1">SUMIFS(M$3:M$61,$A$3:$A$61,$A83,$D$3:$D$61,$B83)*SUMIF('COM balance'!$D$5:$D$25,'COM Assumptions'!$A83,'COM balance'!M$5:M$25)*IFERROR(VLOOKUP($C83,$C$64:$AH$78,M$63,FALSE),1)</f>
        <v>0.28772696507179146</v>
      </c>
      <c r="N83" s="10">
        <f ca="1">SUMIFS(N$3:N$61,$A$3:$A$61,$A83,$D$3:$D$61,$B83)*SUMIF('COM balance'!$D$5:$D$25,'COM Assumptions'!$A83,'COM balance'!N$5:N$25)*IFERROR(VLOOKUP($C83,$C$64:$AH$78,N$63,FALSE),1)</f>
        <v>0.1781638133608166</v>
      </c>
      <c r="O83" s="10">
        <f ca="1">SUMIFS(O$3:O$61,$A$3:$A$61,$A83,$D$3:$D$61,$B83)*SUMIF('COM balance'!$D$5:$D$25,'COM Assumptions'!$A83,'COM balance'!O$5:O$25)*IFERROR(VLOOKUP($C83,$C$64:$AH$78,O$63,FALSE),1)</f>
        <v>6.5447993965711604E-2</v>
      </c>
      <c r="P83" s="10">
        <f ca="1">SUMIFS(P$3:P$61,$A$3:$A$61,$A83,$D$3:$D$61,$B83)*SUMIF('COM balance'!$D$5:$D$25,'COM Assumptions'!$A83,'COM balance'!P$5:P$25)*IFERROR(VLOOKUP($C83,$C$64:$AH$78,P$63,FALSE),1)</f>
        <v>1.1093629248702523E-2</v>
      </c>
      <c r="Q83" s="10">
        <f ca="1">SUMIFS(Q$3:Q$61,$A$3:$A$61,$A83,$D$3:$D$61,$B83)*SUMIF('COM balance'!$D$5:$D$25,'COM Assumptions'!$A83,'COM balance'!Q$5:Q$25)*IFERROR(VLOOKUP($C83,$C$64:$AH$78,Q$63,FALSE),1)</f>
        <v>8.6568744132660913E-2</v>
      </c>
      <c r="R83" s="10">
        <f ca="1">SUMIFS(R$3:R$61,$A$3:$A$61,$A83,$D$3:$D$61,$B83)*SUMIF('COM balance'!$D$5:$D$25,'COM Assumptions'!$A83,'COM balance'!R$5:R$25)*IFERROR(VLOOKUP($C83,$C$64:$AH$78,R$63,FALSE),1)</f>
        <v>0.13058458037153403</v>
      </c>
      <c r="S83" s="10">
        <f ca="1">SUMIFS(S$3:S$61,$A$3:$A$61,$A83,$D$3:$D$61,$B83)*SUMIF('COM balance'!$D$5:$D$25,'COM Assumptions'!$A83,'COM balance'!S$5:S$25)*IFERROR(VLOOKUP($C83,$C$64:$AH$78,S$63,FALSE),1)</f>
        <v>4.2081660365980251E-3</v>
      </c>
      <c r="T83" s="10">
        <f ca="1">SUMIFS(T$3:T$61,$A$3:$A$61,$A83,$D$3:$D$61,$B83)*SUMIF('COM balance'!$D$5:$D$25,'COM Assumptions'!$A83,'COM balance'!T$5:T$25)*IFERROR(VLOOKUP($C83,$C$64:$AH$78,T$63,FALSE),1)</f>
        <v>0.10772918877212236</v>
      </c>
      <c r="U83" s="10">
        <f ca="1">SUMIFS(U$3:U$61,$A$3:$A$61,$A83,$D$3:$D$61,$B83)*SUMIF('COM balance'!$D$5:$D$25,'COM Assumptions'!$A83,'COM balance'!U$5:U$25)*IFERROR(VLOOKUP($C83,$C$64:$AH$78,U$63,FALSE),1)</f>
        <v>0.16118601817082584</v>
      </c>
      <c r="V83" s="10">
        <f ca="1">SUMIFS(V$3:V$61,$A$3:$A$61,$A83,$D$3:$D$61,$B83)*SUMIF('COM balance'!$D$5:$D$25,'COM Assumptions'!$A83,'COM balance'!V$5:V$25)*IFERROR(VLOOKUP($C83,$C$64:$AH$78,V$63,FALSE),1)</f>
        <v>0.16159908391729316</v>
      </c>
      <c r="W83" s="10">
        <f ca="1">SUMIFS(W$3:W$61,$A$3:$A$61,$A83,$D$3:$D$61,$B83)*SUMIF('COM balance'!$D$5:$D$25,'COM Assumptions'!$A83,'COM balance'!W$5:W$25)*IFERROR(VLOOKUP($C83,$C$64:$AH$78,W$63,FALSE),1)</f>
        <v>0.15375025004128676</v>
      </c>
      <c r="X83" s="10">
        <f ca="1">SUMIFS(X$3:X$61,$A$3:$A$61,$A83,$D$3:$D$61,$B83)*SUMIF('COM balance'!$D$5:$D$25,'COM Assumptions'!$A83,'COM balance'!X$5:X$25)*IFERROR(VLOOKUP($C83,$C$64:$AH$78,X$63,FALSE),1)</f>
        <v>1.0229354196570004</v>
      </c>
      <c r="Y83" s="10">
        <f ca="1">SUMIFS(Y$3:Y$61,$A$3:$A$61,$A83,$D$3:$D$61,$B83)*SUMIF('COM balance'!$D$5:$D$25,'COM Assumptions'!$A83,'COM balance'!Y$5:Y$25)*IFERROR(VLOOKUP($C83,$C$64:$AH$78,Y$63,FALSE),1)</f>
        <v>0.25734108924575999</v>
      </c>
      <c r="Z83" s="10">
        <f ca="1">SUMIFS(Z$3:Z$61,$A$3:$A$61,$A83,$D$3:$D$61,$B83)*SUMIF('COM balance'!$D$5:$D$25,'COM Assumptions'!$A83,'COM balance'!Z$5:Z$25)*IFERROR(VLOOKUP($C83,$C$64:$AH$78,Z$63,FALSE),1)</f>
        <v>0.5168969898300001</v>
      </c>
      <c r="AA83" s="10">
        <f ca="1">SUMIFS(AA$3:AA$61,$A$3:$A$61,$A83,$D$3:$D$61,$B83)*SUMIF('COM balance'!$D$5:$D$25,'COM Assumptions'!$A83,'COM balance'!AA$5:AA$25)*IFERROR(VLOOKUP($C83,$C$64:$AH$78,AA$63,FALSE),1)</f>
        <v>0.18321788256928179</v>
      </c>
      <c r="AB83" s="10">
        <f ca="1">SUMIFS(AB$3:AB$61,$A$3:$A$61,$A83,$D$3:$D$61,$B83)*SUMIF('COM balance'!$D$5:$D$25,'COM Assumptions'!$A83,'COM balance'!AB$5:AB$25)*IFERROR(VLOOKUP($C83,$C$64:$AH$78,AB$63,FALSE),1)</f>
        <v>3.2596899142222371E-2</v>
      </c>
      <c r="AC83" s="10">
        <f ca="1">SUMIFS(AC$3:AC$61,$A$3:$A$61,$A83,$D$3:$D$61,$B83)*SUMIF('COM balance'!$D$5:$D$25,'COM Assumptions'!$A83,'COM balance'!AC$5:AC$25)*IFERROR(VLOOKUP($C83,$C$64:$AH$78,AC$63,FALSE),1)</f>
        <v>1.8083333202537109E-2</v>
      </c>
      <c r="AD83" s="10">
        <f ca="1">SUMIFS(AD$3:AD$61,$A$3:$A$61,$A83,$D$3:$D$61,$B83)*SUMIF('COM balance'!$D$5:$D$25,'COM Assumptions'!$A83,'COM balance'!AD$5:AD$25)*IFERROR(VLOOKUP($C83,$C$64:$AH$78,AD$63,FALSE),1)</f>
        <v>0.1447842863419897</v>
      </c>
      <c r="AE83" s="10">
        <f ca="1">SUMIFS(AE$3:AE$61,$A$3:$A$61,$A83,$D$3:$D$61,$B83)*SUMIF('COM balance'!$D$5:$D$25,'COM Assumptions'!$A83,'COM balance'!AE$5:AE$25)*IFERROR(VLOOKUP($C83,$C$64:$AH$78,AE$63,FALSE),1)</f>
        <v>6.584359183301601E-2</v>
      </c>
      <c r="AF83" s="10">
        <f ca="1">SUMIFS(AF$3:AF$61,$A$3:$A$61,$A83,$D$3:$D$61,$B83)*SUMIF('COM balance'!$D$5:$D$25,'COM Assumptions'!$A83,'COM balance'!AF$5:AF$25)*IFERROR(VLOOKUP($C83,$C$64:$AH$78,AF$63,FALSE),1)</f>
        <v>0.10660647478552364</v>
      </c>
      <c r="AG83" s="10">
        <f ca="1">SUMIFS(AG$3:AG$61,$A$3:$A$61,$A83,$D$3:$D$61,$B83)*SUMIF('COM balance'!$D$5:$D$25,'COM Assumptions'!$A83,'COM balance'!AG$5:AG$25)*IFERROR(VLOOKUP($C83,$C$64:$AH$78,AG$63,FALSE),1)</f>
        <v>9.0358832910764448</v>
      </c>
      <c r="AH83" s="10">
        <f ca="1">SUMIFS(AH$3:AH$61,$A$3:$A$61,$A83,$D$3:$D$61,$B83)*SUMIF('COM balance'!$D$5:$D$25,'COM Assumptions'!$A83,'COM balance'!AH$5:AH$25)*IFERROR(VLOOKUP($C83,$C$64:$AH$78,AH$63,FALSE),1)</f>
        <v>0</v>
      </c>
      <c r="AI83" s="10"/>
      <c r="AJ83" s="37" t="s">
        <v>184</v>
      </c>
      <c r="AK83" s="37" t="s">
        <v>18</v>
      </c>
      <c r="AN83" s="8"/>
      <c r="AO83" s="8"/>
      <c r="AP83" s="37" t="s">
        <v>84</v>
      </c>
      <c r="AQ83" s="37" t="str">
        <f t="shared" ref="AQ83:AQ88" si="42">AP83</f>
        <v>CHW</v>
      </c>
    </row>
    <row r="84" spans="1:43" x14ac:dyDescent="0.45">
      <c r="A84" s="8" t="str">
        <f t="shared" si="40"/>
        <v>COMELC</v>
      </c>
      <c r="B84" s="8" t="str">
        <f t="shared" si="41"/>
        <v>CL</v>
      </c>
      <c r="C84" s="8" t="str">
        <f>SUBSTITUTE(SUBSTITUTE(SUBSTITUTE('COM Veda input'!B7,"CC1","CL"),"000",""),"CH1","CH")</f>
        <v>CLRAE</v>
      </c>
      <c r="E84" s="10">
        <f ca="1">SUMIFS(E$3:E$61,$A$3:$A$61,$A84,$D$3:$D$61,$B84)*SUMIF('COM balance'!$D$5:$D$25,'COM Assumptions'!$A84,'COM balance'!E$5:E$25)*IFERROR(VLOOKUP($C84,$C$64:$AH$78,E$63,FALSE),1)</f>
        <v>3.2356323796116739</v>
      </c>
      <c r="F84" s="10">
        <f ca="1">SUMIFS(F$3:F$61,$A$3:$A$61,$A84,$D$3:$D$61,$B84)*SUMIF('COM balance'!$D$5:$D$25,'COM Assumptions'!$A84,'COM balance'!F$5:F$25)*IFERROR(VLOOKUP($C84,$C$64:$AH$78,F$63,FALSE),1)</f>
        <v>1.9947019710663305</v>
      </c>
      <c r="G84" s="10">
        <f ca="1">SUMIFS(G$3:G$61,$A$3:$A$61,$A84,$D$3:$D$61,$B84)*SUMIF('COM balance'!$D$5:$D$25,'COM Assumptions'!$A84,'COM balance'!G$5:G$25)*IFERROR(VLOOKUP($C84,$C$64:$AH$78,G$63,FALSE),1)</f>
        <v>3.5009344343232005</v>
      </c>
      <c r="H84" s="10">
        <f ca="1">SUMIFS(H$3:H$61,$A$3:$A$61,$A84,$D$3:$D$61,$B84)*SUMIF('COM balance'!$D$5:$D$25,'COM Assumptions'!$A84,'COM balance'!H$5:H$25)*IFERROR(VLOOKUP($C84,$C$64:$AH$78,H$63,FALSE),1)</f>
        <v>0.11005170724883483</v>
      </c>
      <c r="I84" s="10">
        <f ca="1">SUMIFS(I$3:I$61,$A$3:$A$61,$A84,$D$3:$D$61,$B84)*SUMIF('COM balance'!$D$5:$D$25,'COM Assumptions'!$A84,'COM balance'!I$5:I$25)*IFERROR(VLOOKUP($C84,$C$64:$AH$78,I$63,FALSE),1)</f>
        <v>67.764497328763213</v>
      </c>
      <c r="J84" s="10">
        <f ca="1">SUMIFS(J$3:J$61,$A$3:$A$61,$A84,$D$3:$D$61,$B84)*SUMIF('COM balance'!$D$5:$D$25,'COM Assumptions'!$A84,'COM balance'!J$5:J$25)*IFERROR(VLOOKUP($C84,$C$64:$AH$78,J$63,FALSE),1)</f>
        <v>75.797091621108009</v>
      </c>
      <c r="K84" s="10">
        <f ca="1">SUMIFS(K$3:K$61,$A$3:$A$61,$A84,$D$3:$D$61,$B84)*SUMIF('COM balance'!$D$5:$D$25,'COM Assumptions'!$A84,'COM balance'!K$5:K$25)*IFERROR(VLOOKUP($C84,$C$64:$AH$78,K$63,FALSE),1)</f>
        <v>1.9671081357220406</v>
      </c>
      <c r="L84" s="10">
        <f ca="1">SUMIFS(L$3:L$61,$A$3:$A$61,$A84,$D$3:$D$61,$B84)*SUMIF('COM balance'!$D$5:$D$25,'COM Assumptions'!$A84,'COM balance'!L$5:L$25)*IFERROR(VLOOKUP($C84,$C$64:$AH$78,L$63,FALSE),1)</f>
        <v>11.373642764467201</v>
      </c>
      <c r="M84" s="10">
        <f ca="1">SUMIFS(M$3:M$61,$A$3:$A$61,$A84,$D$3:$D$61,$B84)*SUMIF('COM balance'!$D$5:$D$25,'COM Assumptions'!$A84,'COM balance'!M$5:M$25)*IFERROR(VLOOKUP($C84,$C$64:$AH$78,M$63,FALSE),1)</f>
        <v>7.5637986510341149</v>
      </c>
      <c r="N84" s="10">
        <f ca="1">SUMIFS(N$3:N$61,$A$3:$A$61,$A84,$D$3:$D$61,$B84)*SUMIF('COM balance'!$D$5:$D$25,'COM Assumptions'!$A84,'COM balance'!N$5:N$25)*IFERROR(VLOOKUP($C84,$C$64:$AH$78,N$63,FALSE),1)</f>
        <v>7.8855936327746043</v>
      </c>
      <c r="O84" s="10">
        <f ca="1">SUMIFS(O$3:O$61,$A$3:$A$61,$A84,$D$3:$D$61,$B84)*SUMIF('COM balance'!$D$5:$D$25,'COM Assumptions'!$A84,'COM balance'!O$5:O$25)*IFERROR(VLOOKUP($C84,$C$64:$AH$78,O$63,FALSE),1)</f>
        <v>2.2446284278450643</v>
      </c>
      <c r="P84" s="10">
        <f ca="1">SUMIFS(P$3:P$61,$A$3:$A$61,$A84,$D$3:$D$61,$B84)*SUMIF('COM balance'!$D$5:$D$25,'COM Assumptions'!$A84,'COM balance'!P$5:P$25)*IFERROR(VLOOKUP($C84,$C$64:$AH$78,P$63,FALSE),1)</f>
        <v>0.3804711813269161</v>
      </c>
      <c r="Q84" s="10">
        <f ca="1">SUMIFS(Q$3:Q$61,$A$3:$A$61,$A84,$D$3:$D$61,$B84)*SUMIF('COM balance'!$D$5:$D$25,'COM Assumptions'!$A84,'COM balance'!Q$5:Q$25)*IFERROR(VLOOKUP($C84,$C$64:$AH$78,Q$63,FALSE),1)</f>
        <v>2.9689934292687159</v>
      </c>
      <c r="R84" s="10">
        <f ca="1">SUMIFS(R$3:R$61,$A$3:$A$61,$A84,$D$3:$D$61,$B84)*SUMIF('COM balance'!$D$5:$D$25,'COM Assumptions'!$A84,'COM balance'!R$5:R$25)*IFERROR(VLOOKUP($C84,$C$64:$AH$78,R$63,FALSE),1)</f>
        <v>4.478576707694466</v>
      </c>
      <c r="S84" s="10">
        <f ca="1">SUMIFS(S$3:S$61,$A$3:$A$61,$A84,$D$3:$D$61,$B84)*SUMIF('COM balance'!$D$5:$D$25,'COM Assumptions'!$A84,'COM balance'!S$5:S$25)*IFERROR(VLOOKUP($C84,$C$64:$AH$78,S$63,FALSE),1)</f>
        <v>0.14432480726282745</v>
      </c>
      <c r="T84" s="10">
        <f ca="1">SUMIFS(T$3:T$61,$A$3:$A$61,$A84,$D$3:$D$61,$B84)*SUMIF('COM balance'!$D$5:$D$25,'COM Assumptions'!$A84,'COM balance'!T$5:T$25)*IFERROR(VLOOKUP($C84,$C$64:$AH$78,T$63,FALSE),1)</f>
        <v>3.6947198068939926</v>
      </c>
      <c r="U84" s="10">
        <f ca="1">SUMIFS(U$3:U$61,$A$3:$A$61,$A84,$D$3:$D$61,$B84)*SUMIF('COM balance'!$D$5:$D$25,'COM Assumptions'!$A84,'COM balance'!U$5:U$25)*IFERROR(VLOOKUP($C84,$C$64:$AH$78,U$63,FALSE),1)</f>
        <v>5.5280948526388194</v>
      </c>
      <c r="V84" s="10">
        <f ca="1">SUMIFS(V$3:V$61,$A$3:$A$61,$A84,$D$3:$D$61,$B84)*SUMIF('COM balance'!$D$5:$D$25,'COM Assumptions'!$A84,'COM balance'!V$5:V$25)*IFERROR(VLOOKUP($C84,$C$64:$AH$78,V$63,FALSE),1)</f>
        <v>5.5422615071213892</v>
      </c>
      <c r="W84" s="10">
        <f ca="1">SUMIFS(W$3:W$61,$A$3:$A$61,$A84,$D$3:$D$61,$B84)*SUMIF('COM balance'!$D$5:$D$25,'COM Assumptions'!$A84,'COM balance'!W$5:W$25)*IFERROR(VLOOKUP($C84,$C$64:$AH$78,W$63,FALSE),1)</f>
        <v>5.2730750191024089</v>
      </c>
      <c r="X84" s="10">
        <f ca="1">SUMIFS(X$3:X$61,$A$3:$A$61,$A84,$D$3:$D$61,$B84)*SUMIF('COM balance'!$D$5:$D$25,'COM Assumptions'!$A84,'COM balance'!X$5:X$25)*IFERROR(VLOOKUP($C84,$C$64:$AH$78,X$63,FALSE),1)</f>
        <v>5.1146770982850001</v>
      </c>
      <c r="Y84" s="10">
        <f ca="1">SUMIFS(Y$3:Y$61,$A$3:$A$61,$A84,$D$3:$D$61,$B84)*SUMIF('COM balance'!$D$5:$D$25,'COM Assumptions'!$A84,'COM balance'!Y$5:Y$25)*IFERROR(VLOOKUP($C84,$C$64:$AH$78,Y$63,FALSE),1)</f>
        <v>7.20555049888128</v>
      </c>
      <c r="Z84" s="10">
        <f ca="1">SUMIFS(Z$3:Z$61,$A$3:$A$61,$A84,$D$3:$D$61,$B84)*SUMIF('COM balance'!$D$5:$D$25,'COM Assumptions'!$A84,'COM balance'!Z$5:Z$25)*IFERROR(VLOOKUP($C84,$C$64:$AH$78,Z$63,FALSE),1)</f>
        <v>2.5844849491500002</v>
      </c>
      <c r="AA84" s="10">
        <f ca="1">SUMIFS(AA$3:AA$61,$A$3:$A$61,$A84,$D$3:$D$61,$B84)*SUMIF('COM balance'!$D$5:$D$25,'COM Assumptions'!$A84,'COM balance'!AA$5:AA$25)*IFERROR(VLOOKUP($C84,$C$64:$AH$78,AA$63,FALSE),1)</f>
        <v>6.2837077622279285</v>
      </c>
      <c r="AB84" s="10">
        <f ca="1">SUMIFS(AB$3:AB$61,$A$3:$A$61,$A84,$D$3:$D$61,$B84)*SUMIF('COM balance'!$D$5:$D$25,'COM Assumptions'!$A84,'COM balance'!AB$5:AB$25)*IFERROR(VLOOKUP($C84,$C$64:$AH$78,AB$63,FALSE),1)</f>
        <v>1.1179552197209226</v>
      </c>
      <c r="AC84" s="10">
        <f ca="1">SUMIFS(AC$3:AC$61,$A$3:$A$61,$A84,$D$3:$D$61,$B84)*SUMIF('COM balance'!$D$5:$D$25,'COM Assumptions'!$A84,'COM balance'!AC$5:AC$25)*IFERROR(VLOOKUP($C84,$C$64:$AH$78,AC$63,FALSE),1)</f>
        <v>0.62019263413749148</v>
      </c>
      <c r="AD84" s="10">
        <f ca="1">SUMIFS(AD$3:AD$61,$A$3:$A$61,$A84,$D$3:$D$61,$B84)*SUMIF('COM balance'!$D$5:$D$25,'COM Assumptions'!$A84,'COM balance'!AD$5:AD$25)*IFERROR(VLOOKUP($C84,$C$64:$AH$78,AD$63,FALSE),1)</f>
        <v>4.9655750365511819</v>
      </c>
      <c r="AE84" s="10">
        <f ca="1">SUMIFS(AE$3:AE$61,$A$3:$A$61,$A84,$D$3:$D$61,$B84)*SUMIF('COM balance'!$D$5:$D$25,'COM Assumptions'!$A84,'COM balance'!AE$5:AE$25)*IFERROR(VLOOKUP($C84,$C$64:$AH$78,AE$63,FALSE),1)</f>
        <v>2.2581959975311814</v>
      </c>
      <c r="AF84" s="10">
        <f ca="1">SUMIFS(AF$3:AF$61,$A$3:$A$61,$A84,$D$3:$D$61,$B84)*SUMIF('COM balance'!$D$5:$D$25,'COM Assumptions'!$A84,'COM balance'!AF$5:AF$25)*IFERROR(VLOOKUP($C84,$C$64:$AH$78,AF$63,FALSE),1)</f>
        <v>3.6562147958469158</v>
      </c>
      <c r="AG84" s="10">
        <f ca="1">SUMIFS(AG$3:AG$61,$A$3:$A$61,$A84,$D$3:$D$61,$B84)*SUMIF('COM balance'!$D$5:$D$25,'COM Assumptions'!$A84,'COM balance'!AG$5:AG$25)*IFERROR(VLOOKUP($C84,$C$64:$AH$78,AG$63,FALSE),1)</f>
        <v>141.18763934596225</v>
      </c>
      <c r="AH84" s="10">
        <f ca="1">SUMIFS(AH$3:AH$61,$A$3:$A$61,$A84,$D$3:$D$61,$B84)*SUMIF('COM balance'!$D$5:$D$25,'COM Assumptions'!$A84,'COM balance'!AH$5:AH$25)*IFERROR(VLOOKUP($C84,$C$64:$AH$78,AH$63,FALSE),1)</f>
        <v>0</v>
      </c>
      <c r="AI84" s="10"/>
      <c r="AJ84" s="37" t="s">
        <v>19</v>
      </c>
      <c r="AK84" s="37" t="str">
        <f>AJ84</f>
        <v>COA</v>
      </c>
      <c r="AN84" s="8"/>
      <c r="AO84" s="8"/>
      <c r="AP84" s="37" t="s">
        <v>83</v>
      </c>
      <c r="AQ84" s="37" t="s">
        <v>269</v>
      </c>
    </row>
    <row r="85" spans="1:43" x14ac:dyDescent="0.45">
      <c r="A85" s="8" t="str">
        <f t="shared" si="40"/>
        <v>COMOIL</v>
      </c>
      <c r="B85" s="8" t="str">
        <f t="shared" si="41"/>
        <v>CL</v>
      </c>
      <c r="C85" s="8" t="str">
        <f>SUBSTITUTE(SUBSTITUTE(SUBSTITUTE('COM Veda input'!B8,"CC1","CL"),"000",""),"CH1","CH")</f>
        <v>CLDST</v>
      </c>
      <c r="E85" s="10">
        <f ca="1">SUMIFS(E$3:E$61,$A$3:$A$61,$A85,$D$3:$D$61,$B85)*SUMIF('COM balance'!$D$5:$D$25,'COM Assumptions'!$A85,'COM balance'!E$5:E$25)*IFERROR(VLOOKUP($C85,$C$64:$AH$78,E$63,FALSE),1)</f>
        <v>0</v>
      </c>
      <c r="F85" s="10">
        <f ca="1">SUMIFS(F$3:F$61,$A$3:$A$61,$A85,$D$3:$D$61,$B85)*SUMIF('COM balance'!$D$5:$D$25,'COM Assumptions'!$A85,'COM balance'!F$5:F$25)*IFERROR(VLOOKUP($C85,$C$64:$AH$78,F$63,FALSE),1)</f>
        <v>0</v>
      </c>
      <c r="G85" s="10">
        <f ca="1">SUMIFS(G$3:G$61,$A$3:$A$61,$A85,$D$3:$D$61,$B85)*SUMIF('COM balance'!$D$5:$D$25,'COM Assumptions'!$A85,'COM balance'!G$5:G$25)*IFERROR(VLOOKUP($C85,$C$64:$AH$78,G$63,FALSE),1)</f>
        <v>0</v>
      </c>
      <c r="H85" s="10">
        <f ca="1">SUMIFS(H$3:H$61,$A$3:$A$61,$A85,$D$3:$D$61,$B85)*SUMIF('COM balance'!$D$5:$D$25,'COM Assumptions'!$A85,'COM balance'!H$5:H$25)*IFERROR(VLOOKUP($C85,$C$64:$AH$78,H$63,FALSE),1)</f>
        <v>0</v>
      </c>
      <c r="I85" s="10">
        <f ca="1">SUMIFS(I$3:I$61,$A$3:$A$61,$A85,$D$3:$D$61,$B85)*SUMIF('COM balance'!$D$5:$D$25,'COM Assumptions'!$A85,'COM balance'!I$5:I$25)*IFERROR(VLOOKUP($C85,$C$64:$AH$78,I$63,FALSE),1)</f>
        <v>7.8809427190439996</v>
      </c>
      <c r="J85" s="10">
        <f ca="1">SUMIFS(J$3:J$61,$A$3:$A$61,$A85,$D$3:$D$61,$B85)*SUMIF('COM balance'!$D$5:$D$25,'COM Assumptions'!$A85,'COM balance'!J$5:J$25)*IFERROR(VLOOKUP($C85,$C$64:$AH$78,J$63,FALSE),1)</f>
        <v>0</v>
      </c>
      <c r="K85" s="10">
        <f ca="1">SUMIFS(K$3:K$61,$A$3:$A$61,$A85,$D$3:$D$61,$B85)*SUMIF('COM balance'!$D$5:$D$25,'COM Assumptions'!$A85,'COM balance'!K$5:K$25)*IFERROR(VLOOKUP($C85,$C$64:$AH$78,K$63,FALSE),1)</f>
        <v>0</v>
      </c>
      <c r="L85" s="10">
        <f ca="1">SUMIFS(L$3:L$61,$A$3:$A$61,$A85,$D$3:$D$61,$B85)*SUMIF('COM balance'!$D$5:$D$25,'COM Assumptions'!$A85,'COM balance'!L$5:L$25)*IFERROR(VLOOKUP($C85,$C$64:$AH$78,L$63,FALSE),1)</f>
        <v>0</v>
      </c>
      <c r="M85" s="10">
        <f ca="1">SUMIFS(M$3:M$61,$A$3:$A$61,$A85,$D$3:$D$61,$B85)*SUMIF('COM balance'!$D$5:$D$25,'COM Assumptions'!$A85,'COM balance'!M$5:M$25)*IFERROR(VLOOKUP($C85,$C$64:$AH$78,M$63,FALSE),1)</f>
        <v>0</v>
      </c>
      <c r="N85" s="10">
        <f ca="1">SUMIFS(N$3:N$61,$A$3:$A$61,$A85,$D$3:$D$61,$B85)*SUMIF('COM balance'!$D$5:$D$25,'COM Assumptions'!$A85,'COM balance'!N$5:N$25)*IFERROR(VLOOKUP($C85,$C$64:$AH$78,N$63,FALSE),1)</f>
        <v>0</v>
      </c>
      <c r="O85" s="10">
        <f ca="1">SUMIFS(O$3:O$61,$A$3:$A$61,$A85,$D$3:$D$61,$B85)*SUMIF('COM balance'!$D$5:$D$25,'COM Assumptions'!$A85,'COM balance'!O$5:O$25)*IFERROR(VLOOKUP($C85,$C$64:$AH$78,O$63,FALSE),1)</f>
        <v>0.103266312498</v>
      </c>
      <c r="P85" s="10">
        <f ca="1">SUMIFS(P$3:P$61,$A$3:$A$61,$A85,$D$3:$D$61,$B85)*SUMIF('COM balance'!$D$5:$D$25,'COM Assumptions'!$A85,'COM balance'!P$5:P$25)*IFERROR(VLOOKUP($C85,$C$64:$AH$78,P$63,FALSE),1)</f>
        <v>0</v>
      </c>
      <c r="Q85" s="10">
        <f ca="1">SUMIFS(Q$3:Q$61,$A$3:$A$61,$A85,$D$3:$D$61,$B85)*SUMIF('COM balance'!$D$5:$D$25,'COM Assumptions'!$A85,'COM balance'!Q$5:Q$25)*IFERROR(VLOOKUP($C85,$C$64:$AH$78,Q$63,FALSE),1)</f>
        <v>0.22208656606200003</v>
      </c>
      <c r="R85" s="10">
        <f ca="1">SUMIFS(R$3:R$61,$A$3:$A$61,$A85,$D$3:$D$61,$B85)*SUMIF('COM balance'!$D$5:$D$25,'COM Assumptions'!$A85,'COM balance'!R$5:R$25)*IFERROR(VLOOKUP($C85,$C$64:$AH$78,R$63,FALSE),1)</f>
        <v>3.7372507235999997E-2</v>
      </c>
      <c r="S85" s="10">
        <f ca="1">SUMIFS(S$3:S$61,$A$3:$A$61,$A85,$D$3:$D$61,$B85)*SUMIF('COM balance'!$D$5:$D$25,'COM Assumptions'!$A85,'COM balance'!S$5:S$25)*IFERROR(VLOOKUP($C85,$C$64:$AH$78,S$63,FALSE),1)</f>
        <v>0</v>
      </c>
      <c r="T85" s="10">
        <f ca="1">SUMIFS(T$3:T$61,$A$3:$A$61,$A85,$D$3:$D$61,$B85)*SUMIF('COM balance'!$D$5:$D$25,'COM Assumptions'!$A85,'COM balance'!T$5:T$25)*IFERROR(VLOOKUP($C85,$C$64:$AH$78,T$63,FALSE),1)</f>
        <v>0.23559299445600002</v>
      </c>
      <c r="U85" s="10">
        <f ca="1">SUMIFS(U$3:U$61,$A$3:$A$61,$A85,$D$3:$D$61,$B85)*SUMIF('COM balance'!$D$5:$D$25,'COM Assumptions'!$A85,'COM balance'!U$5:U$25)*IFERROR(VLOOKUP($C85,$C$64:$AH$78,U$63,FALSE),1)</f>
        <v>0</v>
      </c>
      <c r="V85" s="10">
        <f ca="1">SUMIFS(V$3:V$61,$A$3:$A$61,$A85,$D$3:$D$61,$B85)*SUMIF('COM balance'!$D$5:$D$25,'COM Assumptions'!$A85,'COM balance'!V$5:V$25)*IFERROR(VLOOKUP($C85,$C$64:$AH$78,V$63,FALSE),1)</f>
        <v>0.42803393921999999</v>
      </c>
      <c r="W85" s="10">
        <f ca="1">SUMIFS(W$3:W$61,$A$3:$A$61,$A85,$D$3:$D$61,$B85)*SUMIF('COM balance'!$D$5:$D$25,'COM Assumptions'!$A85,'COM balance'!W$5:W$25)*IFERROR(VLOOKUP($C85,$C$64:$AH$78,W$63,FALSE),1)</f>
        <v>0.65727099446400006</v>
      </c>
      <c r="X85" s="10">
        <f ca="1">SUMIFS(X$3:X$61,$A$3:$A$61,$A85,$D$3:$D$61,$B85)*SUMIF('COM balance'!$D$5:$D$25,'COM Assumptions'!$A85,'COM balance'!X$5:X$25)*IFERROR(VLOOKUP($C85,$C$64:$AH$78,X$63,FALSE),1)</f>
        <v>0</v>
      </c>
      <c r="Y85" s="10">
        <f ca="1">SUMIFS(Y$3:Y$61,$A$3:$A$61,$A85,$D$3:$D$61,$B85)*SUMIF('COM balance'!$D$5:$D$25,'COM Assumptions'!$A85,'COM balance'!Y$5:Y$25)*IFERROR(VLOOKUP($C85,$C$64:$AH$78,Y$63,FALSE),1)</f>
        <v>0</v>
      </c>
      <c r="Z85" s="10">
        <f ca="1">SUMIFS(Z$3:Z$61,$A$3:$A$61,$A85,$D$3:$D$61,$B85)*SUMIF('COM balance'!$D$5:$D$25,'COM Assumptions'!$A85,'COM balance'!Z$5:Z$25)*IFERROR(VLOOKUP($C85,$C$64:$AH$78,Z$63,FALSE),1)</f>
        <v>0</v>
      </c>
      <c r="AA85" s="10">
        <f ca="1">SUMIFS(AA$3:AA$61,$A$3:$A$61,$A85,$D$3:$D$61,$B85)*SUMIF('COM balance'!$D$5:$D$25,'COM Assumptions'!$A85,'COM balance'!AA$5:AA$25)*IFERROR(VLOOKUP($C85,$C$64:$AH$78,AA$63,FALSE),1)</f>
        <v>0</v>
      </c>
      <c r="AB85" s="10">
        <f ca="1">SUMIFS(AB$3:AB$61,$A$3:$A$61,$A85,$D$3:$D$61,$B85)*SUMIF('COM balance'!$D$5:$D$25,'COM Assumptions'!$A85,'COM balance'!AB$5:AB$25)*IFERROR(VLOOKUP($C85,$C$64:$AH$78,AB$63,FALSE),1)</f>
        <v>5.9426957718000002E-2</v>
      </c>
      <c r="AC85" s="10">
        <f ca="1">SUMIFS(AC$3:AC$61,$A$3:$A$61,$A85,$D$3:$D$61,$B85)*SUMIF('COM balance'!$D$5:$D$25,'COM Assumptions'!$A85,'COM balance'!AC$5:AC$25)*IFERROR(VLOOKUP($C85,$C$64:$AH$78,AC$63,FALSE),1)</f>
        <v>0</v>
      </c>
      <c r="AD85" s="10">
        <f ca="1">SUMIFS(AD$3:AD$61,$A$3:$A$61,$A85,$D$3:$D$61,$B85)*SUMIF('COM balance'!$D$5:$D$25,'COM Assumptions'!$A85,'COM balance'!AD$5:AD$25)*IFERROR(VLOOKUP($C85,$C$64:$AH$78,AD$63,FALSE),1)</f>
        <v>0</v>
      </c>
      <c r="AE85" s="10">
        <f ca="1">SUMIFS(AE$3:AE$61,$A$3:$A$61,$A85,$D$3:$D$61,$B85)*SUMIF('COM balance'!$D$5:$D$25,'COM Assumptions'!$A85,'COM balance'!AE$5:AE$25)*IFERROR(VLOOKUP($C85,$C$64:$AH$78,AE$63,FALSE),1)</f>
        <v>0</v>
      </c>
      <c r="AF85" s="10">
        <f ca="1">SUMIFS(AF$3:AF$61,$A$3:$A$61,$A85,$D$3:$D$61,$B85)*SUMIF('COM balance'!$D$5:$D$25,'COM Assumptions'!$A85,'COM balance'!AF$5:AF$25)*IFERROR(VLOOKUP($C85,$C$64:$AH$78,AF$63,FALSE),1)</f>
        <v>0.19344569302799999</v>
      </c>
      <c r="AG85" s="10">
        <f ca="1">SUMIFS(AG$3:AG$61,$A$3:$A$61,$A85,$D$3:$D$61,$B85)*SUMIF('COM balance'!$D$5:$D$25,'COM Assumptions'!$A85,'COM balance'!AG$5:AG$25)*IFERROR(VLOOKUP($C85,$C$64:$AH$78,AG$63,FALSE),1)</f>
        <v>0.64528000911529415</v>
      </c>
      <c r="AH85" s="10">
        <f ca="1">SUMIFS(AH$3:AH$61,$A$3:$A$61,$A85,$D$3:$D$61,$B85)*SUMIF('COM balance'!$D$5:$D$25,'COM Assumptions'!$A85,'COM balance'!AH$5:AH$25)*IFERROR(VLOOKUP($C85,$C$64:$AH$78,AH$63,FALSE),1)</f>
        <v>0</v>
      </c>
      <c r="AI85" s="10"/>
      <c r="AJ85" s="37" t="s">
        <v>20</v>
      </c>
      <c r="AK85" s="37" t="s">
        <v>22</v>
      </c>
      <c r="AN85" s="8"/>
      <c r="AO85" s="8"/>
      <c r="AP85" s="37" t="s">
        <v>85</v>
      </c>
      <c r="AQ85" s="37" t="str">
        <f t="shared" si="42"/>
        <v>CLA</v>
      </c>
    </row>
    <row r="86" spans="1:43" x14ac:dyDescent="0.45">
      <c r="A86" s="8" t="str">
        <f t="shared" si="40"/>
        <v>COMGEO</v>
      </c>
      <c r="B86" s="8" t="str">
        <f t="shared" si="41"/>
        <v>CL</v>
      </c>
      <c r="C86" s="8" t="str">
        <f>SUBSTITUTE(SUBSTITUTE(SUBSTITUTE('COM Veda input'!B9,"CC1","CL"),"000",""),"CH1","CH")</f>
        <v>CLGEO</v>
      </c>
      <c r="E86" s="10">
        <f ca="1">SUMIFS(E$3:E$61,$A$3:$A$61,$A86,$D$3:$D$61,$B86)*SUMIF('COM balance'!$D$5:$D$25,'COM Assumptions'!$A86,'COM balance'!E$5:E$25)*IFERROR(VLOOKUP($C86,$C$64:$AH$78,E$63,FALSE),1)</f>
        <v>0</v>
      </c>
      <c r="F86" s="10">
        <f ca="1">SUMIFS(F$3:F$61,$A$3:$A$61,$A86,$D$3:$D$61,$B86)*SUMIF('COM balance'!$D$5:$D$25,'COM Assumptions'!$A86,'COM balance'!F$5:F$25)*IFERROR(VLOOKUP($C86,$C$64:$AH$78,F$63,FALSE),1)</f>
        <v>0</v>
      </c>
      <c r="G86" s="10">
        <f ca="1">SUMIFS(G$3:G$61,$A$3:$A$61,$A86,$D$3:$D$61,$B86)*SUMIF('COM balance'!$D$5:$D$25,'COM Assumptions'!$A86,'COM balance'!G$5:G$25)*IFERROR(VLOOKUP($C86,$C$64:$AH$78,G$63,FALSE),1)</f>
        <v>0</v>
      </c>
      <c r="H86" s="10">
        <f ca="1">SUMIFS(H$3:H$61,$A$3:$A$61,$A86,$D$3:$D$61,$B86)*SUMIF('COM balance'!$D$5:$D$25,'COM Assumptions'!$A86,'COM balance'!H$5:H$25)*IFERROR(VLOOKUP($C86,$C$64:$AH$78,H$63,FALSE),1)</f>
        <v>0</v>
      </c>
      <c r="I86" s="10">
        <f ca="1">SUMIFS(I$3:I$61,$A$3:$A$61,$A86,$D$3:$D$61,$B86)*SUMIF('COM balance'!$D$5:$D$25,'COM Assumptions'!$A86,'COM balance'!I$5:I$25)*IFERROR(VLOOKUP($C86,$C$64:$AH$78,I$63,FALSE),1)</f>
        <v>0.85803106895999992</v>
      </c>
      <c r="J86" s="10">
        <f ca="1">SUMIFS(J$3:J$61,$A$3:$A$61,$A86,$D$3:$D$61,$B86)*SUMIF('COM balance'!$D$5:$D$25,'COM Assumptions'!$A86,'COM balance'!J$5:J$25)*IFERROR(VLOOKUP($C86,$C$64:$AH$78,J$63,FALSE),1)</f>
        <v>0</v>
      </c>
      <c r="K86" s="10">
        <f ca="1">SUMIFS(K$3:K$61,$A$3:$A$61,$A86,$D$3:$D$61,$B86)*SUMIF('COM balance'!$D$5:$D$25,'COM Assumptions'!$A86,'COM balance'!K$5:K$25)*IFERROR(VLOOKUP($C86,$C$64:$AH$78,K$63,FALSE),1)</f>
        <v>0</v>
      </c>
      <c r="L86" s="10">
        <f ca="1">SUMIFS(L$3:L$61,$A$3:$A$61,$A86,$D$3:$D$61,$B86)*SUMIF('COM balance'!$D$5:$D$25,'COM Assumptions'!$A86,'COM balance'!L$5:L$25)*IFERROR(VLOOKUP($C86,$C$64:$AH$78,L$63,FALSE),1)</f>
        <v>0</v>
      </c>
      <c r="M86" s="10">
        <f ca="1">SUMIFS(M$3:M$61,$A$3:$A$61,$A86,$D$3:$D$61,$B86)*SUMIF('COM balance'!$D$5:$D$25,'COM Assumptions'!$A86,'COM balance'!M$5:M$25)*IFERROR(VLOOKUP($C86,$C$64:$AH$78,M$63,FALSE),1)</f>
        <v>0</v>
      </c>
      <c r="N86" s="10">
        <f ca="1">SUMIFS(N$3:N$61,$A$3:$A$61,$A86,$D$3:$D$61,$B86)*SUMIF('COM balance'!$D$5:$D$25,'COM Assumptions'!$A86,'COM balance'!N$5:N$25)*IFERROR(VLOOKUP($C86,$C$64:$AH$78,N$63,FALSE),1)</f>
        <v>0</v>
      </c>
      <c r="O86" s="10">
        <f ca="1">SUMIFS(O$3:O$61,$A$3:$A$61,$A86,$D$3:$D$61,$B86)*SUMIF('COM balance'!$D$5:$D$25,'COM Assumptions'!$A86,'COM balance'!O$5:O$25)*IFERROR(VLOOKUP($C86,$C$64:$AH$78,O$63,FALSE),1)</f>
        <v>0</v>
      </c>
      <c r="P86" s="10">
        <f ca="1">SUMIFS(P$3:P$61,$A$3:$A$61,$A86,$D$3:$D$61,$B86)*SUMIF('COM balance'!$D$5:$D$25,'COM Assumptions'!$A86,'COM balance'!P$5:P$25)*IFERROR(VLOOKUP($C86,$C$64:$AH$78,P$63,FALSE),1)</f>
        <v>0</v>
      </c>
      <c r="Q86" s="10">
        <f ca="1">SUMIFS(Q$3:Q$61,$A$3:$A$61,$A86,$D$3:$D$61,$B86)*SUMIF('COM balance'!$D$5:$D$25,'COM Assumptions'!$A86,'COM balance'!Q$5:Q$25)*IFERROR(VLOOKUP($C86,$C$64:$AH$78,Q$63,FALSE),1)</f>
        <v>0</v>
      </c>
      <c r="R86" s="10">
        <f ca="1">SUMIFS(R$3:R$61,$A$3:$A$61,$A86,$D$3:$D$61,$B86)*SUMIF('COM balance'!$D$5:$D$25,'COM Assumptions'!$A86,'COM balance'!R$5:R$25)*IFERROR(VLOOKUP($C86,$C$64:$AH$78,R$63,FALSE),1)</f>
        <v>0.50959496777344471</v>
      </c>
      <c r="S86" s="10">
        <f ca="1">SUMIFS(S$3:S$61,$A$3:$A$61,$A86,$D$3:$D$61,$B86)*SUMIF('COM balance'!$D$5:$D$25,'COM Assumptions'!$A86,'COM balance'!S$5:S$25)*IFERROR(VLOOKUP($C86,$C$64:$AH$78,S$63,FALSE),1)</f>
        <v>0</v>
      </c>
      <c r="T86" s="10">
        <f ca="1">SUMIFS(T$3:T$61,$A$3:$A$61,$A86,$D$3:$D$61,$B86)*SUMIF('COM balance'!$D$5:$D$25,'COM Assumptions'!$A86,'COM balance'!T$5:T$25)*IFERROR(VLOOKUP($C86,$C$64:$AH$78,T$63,FALSE),1)</f>
        <v>1.0738463549099259E-2</v>
      </c>
      <c r="U86" s="10">
        <f ca="1">SUMIFS(U$3:U$61,$A$3:$A$61,$A86,$D$3:$D$61,$B86)*SUMIF('COM balance'!$D$5:$D$25,'COM Assumptions'!$A86,'COM balance'!U$5:U$25)*IFERROR(VLOOKUP($C86,$C$64:$AH$78,U$63,FALSE),1)</f>
        <v>0</v>
      </c>
      <c r="V86" s="10">
        <f ca="1">SUMIFS(V$3:V$61,$A$3:$A$61,$A86,$D$3:$D$61,$B86)*SUMIF('COM balance'!$D$5:$D$25,'COM Assumptions'!$A86,'COM balance'!V$5:V$25)*IFERROR(VLOOKUP($C86,$C$64:$AH$78,V$63,FALSE),1)</f>
        <v>9.8668779252130259E-2</v>
      </c>
      <c r="W86" s="10">
        <f ca="1">SUMIFS(W$3:W$61,$A$3:$A$61,$A86,$D$3:$D$61,$B86)*SUMIF('COM balance'!$D$5:$D$25,'COM Assumptions'!$A86,'COM balance'!W$5:W$25)*IFERROR(VLOOKUP($C86,$C$64:$AH$78,W$63,FALSE),1)</f>
        <v>0.32835566418531742</v>
      </c>
      <c r="X86" s="10">
        <f ca="1">SUMIFS(X$3:X$61,$A$3:$A$61,$A86,$D$3:$D$61,$B86)*SUMIF('COM balance'!$D$5:$D$25,'COM Assumptions'!$A86,'COM balance'!X$5:X$25)*IFERROR(VLOOKUP($C86,$C$64:$AH$78,X$63,FALSE),1)</f>
        <v>0</v>
      </c>
      <c r="Y86" s="10">
        <f ca="1">SUMIFS(Y$3:Y$61,$A$3:$A$61,$A86,$D$3:$D$61,$B86)*SUMIF('COM balance'!$D$5:$D$25,'COM Assumptions'!$A86,'COM balance'!Y$5:Y$25)*IFERROR(VLOOKUP($C86,$C$64:$AH$78,Y$63,FALSE),1)</f>
        <v>0</v>
      </c>
      <c r="Z86" s="10">
        <f ca="1">SUMIFS(Z$3:Z$61,$A$3:$A$61,$A86,$D$3:$D$61,$B86)*SUMIF('COM balance'!$D$5:$D$25,'COM Assumptions'!$A86,'COM balance'!Z$5:Z$25)*IFERROR(VLOOKUP($C86,$C$64:$AH$78,Z$63,FALSE),1)</f>
        <v>0</v>
      </c>
      <c r="AA86" s="10">
        <f ca="1">SUMIFS(AA$3:AA$61,$A$3:$A$61,$A86,$D$3:$D$61,$B86)*SUMIF('COM balance'!$D$5:$D$25,'COM Assumptions'!$A86,'COM balance'!AA$5:AA$25)*IFERROR(VLOOKUP($C86,$C$64:$AH$78,AA$63,FALSE),1)</f>
        <v>0</v>
      </c>
      <c r="AB86" s="10">
        <f ca="1">SUMIFS(AB$3:AB$61,$A$3:$A$61,$A86,$D$3:$D$61,$B86)*SUMIF('COM balance'!$D$5:$D$25,'COM Assumptions'!$A86,'COM balance'!AB$5:AB$25)*IFERROR(VLOOKUP($C86,$C$64:$AH$78,AB$63,FALSE),1)</f>
        <v>3.6217533408481307E-2</v>
      </c>
      <c r="AC86" s="10">
        <f ca="1">SUMIFS(AC$3:AC$61,$A$3:$A$61,$A86,$D$3:$D$61,$B86)*SUMIF('COM balance'!$D$5:$D$25,'COM Assumptions'!$A86,'COM balance'!AC$5:AC$25)*IFERROR(VLOOKUP($C86,$C$64:$AH$78,AC$63,FALSE),1)</f>
        <v>0</v>
      </c>
      <c r="AD86" s="10">
        <f ca="1">SUMIFS(AD$3:AD$61,$A$3:$A$61,$A86,$D$3:$D$61,$B86)*SUMIF('COM balance'!$D$5:$D$25,'COM Assumptions'!$A86,'COM balance'!AD$5:AD$25)*IFERROR(VLOOKUP($C86,$C$64:$AH$78,AD$63,FALSE),1)</f>
        <v>0</v>
      </c>
      <c r="AE86" s="10">
        <f ca="1">SUMIFS(AE$3:AE$61,$A$3:$A$61,$A86,$D$3:$D$61,$B86)*SUMIF('COM balance'!$D$5:$D$25,'COM Assumptions'!$A86,'COM balance'!AE$5:AE$25)*IFERROR(VLOOKUP($C86,$C$64:$AH$78,AE$63,FALSE),1)</f>
        <v>0</v>
      </c>
      <c r="AF86" s="10">
        <f ca="1">SUMIFS(AF$3:AF$61,$A$3:$A$61,$A86,$D$3:$D$61,$B86)*SUMIF('COM balance'!$D$5:$D$25,'COM Assumptions'!$A86,'COM balance'!AF$5:AF$25)*IFERROR(VLOOKUP($C86,$C$64:$AH$78,AF$63,FALSE),1)</f>
        <v>2.3955034071067574E-3</v>
      </c>
      <c r="AG86" s="10">
        <f ca="1">SUMIFS(AG$3:AG$61,$A$3:$A$61,$A86,$D$3:$D$61,$B86)*SUMIF('COM balance'!$D$5:$D$25,'COM Assumptions'!$A86,'COM balance'!AG$5:AG$25)*IFERROR(VLOOKUP($C86,$C$64:$AH$78,AG$63,FALSE),1)</f>
        <v>0</v>
      </c>
      <c r="AH86" s="10">
        <f ca="1">SUMIFS(AH$3:AH$61,$A$3:$A$61,$A86,$D$3:$D$61,$B86)*SUMIF('COM balance'!$D$5:$D$25,'COM Assumptions'!$A86,'COM balance'!AH$5:AH$25)*IFERROR(VLOOKUP($C86,$C$64:$AH$78,AH$63,FALSE),1)</f>
        <v>0</v>
      </c>
      <c r="AI86" s="10"/>
      <c r="AJ86" s="37" t="s">
        <v>265</v>
      </c>
      <c r="AK86" s="37" t="s">
        <v>18</v>
      </c>
      <c r="AN86" s="8"/>
      <c r="AO86" s="8"/>
      <c r="AP86" s="37" t="s">
        <v>88</v>
      </c>
      <c r="AQ86" s="37" t="str">
        <f t="shared" si="42"/>
        <v>COE</v>
      </c>
    </row>
    <row r="87" spans="1:43" x14ac:dyDescent="0.45">
      <c r="A87" s="8" t="str">
        <f t="shared" si="40"/>
        <v>COMNGA</v>
      </c>
      <c r="B87" s="8" t="str">
        <f t="shared" si="41"/>
        <v>CL</v>
      </c>
      <c r="C87" s="8" t="str">
        <f>SUBSTITUTE(SUBSTITUTE(SUBSTITUTE('COM Veda input'!B10,"CC1","CL"),"000",""),"CH1","CH")</f>
        <v>CLNGA</v>
      </c>
      <c r="E87" s="10">
        <f ca="1">SUMIFS(E$3:E$61,$A$3:$A$61,$A87,$D$3:$D$61,$B87)*SUMIF('COM balance'!$D$5:$D$25,'COM Assumptions'!$A87,'COM balance'!E$5:E$25)*IFERROR(VLOOKUP($C87,$C$64:$AH$78,E$63,FALSE),1)</f>
        <v>0</v>
      </c>
      <c r="F87" s="10">
        <f ca="1">SUMIFS(F$3:F$61,$A$3:$A$61,$A87,$D$3:$D$61,$B87)*SUMIF('COM balance'!$D$5:$D$25,'COM Assumptions'!$A87,'COM balance'!F$5:F$25)*IFERROR(VLOOKUP($C87,$C$64:$AH$78,F$63,FALSE),1)</f>
        <v>0</v>
      </c>
      <c r="G87" s="10">
        <f ca="1">SUMIFS(G$3:G$61,$A$3:$A$61,$A87,$D$3:$D$61,$B87)*SUMIF('COM balance'!$D$5:$D$25,'COM Assumptions'!$A87,'COM balance'!G$5:G$25)*IFERROR(VLOOKUP($C87,$C$64:$AH$78,G$63,FALSE),1)</f>
        <v>0</v>
      </c>
      <c r="H87" s="10">
        <f ca="1">SUMIFS(H$3:H$61,$A$3:$A$61,$A87,$D$3:$D$61,$B87)*SUMIF('COM balance'!$D$5:$D$25,'COM Assumptions'!$A87,'COM balance'!H$5:H$25)*IFERROR(VLOOKUP($C87,$C$64:$AH$78,H$63,FALSE),1)</f>
        <v>3.9338424618840002</v>
      </c>
      <c r="I87" s="10">
        <f ca="1">SUMIFS(I$3:I$61,$A$3:$A$61,$A87,$D$3:$D$61,$B87)*SUMIF('COM balance'!$D$5:$D$25,'COM Assumptions'!$A87,'COM balance'!I$5:I$25)*IFERROR(VLOOKUP($C87,$C$64:$AH$78,I$63,FALSE),1)</f>
        <v>33.151986078912003</v>
      </c>
      <c r="J87" s="10">
        <f ca="1">SUMIFS(J$3:J$61,$A$3:$A$61,$A87,$D$3:$D$61,$B87)*SUMIF('COM balance'!$D$5:$D$25,'COM Assumptions'!$A87,'COM balance'!J$5:J$25)*IFERROR(VLOOKUP($C87,$C$64:$AH$78,J$63,FALSE),1)</f>
        <v>1.208897804304</v>
      </c>
      <c r="K87" s="10">
        <f ca="1">SUMIFS(K$3:K$61,$A$3:$A$61,$A87,$D$3:$D$61,$B87)*SUMIF('COM balance'!$D$5:$D$25,'COM Assumptions'!$A87,'COM balance'!K$5:K$25)*IFERROR(VLOOKUP($C87,$C$64:$AH$78,K$63,FALSE),1)</f>
        <v>0</v>
      </c>
      <c r="L87" s="10">
        <f ca="1">SUMIFS(L$3:L$61,$A$3:$A$61,$A87,$D$3:$D$61,$B87)*SUMIF('COM balance'!$D$5:$D$25,'COM Assumptions'!$A87,'COM balance'!L$5:L$25)*IFERROR(VLOOKUP($C87,$C$64:$AH$78,L$63,FALSE),1)</f>
        <v>0</v>
      </c>
      <c r="M87" s="10">
        <f ca="1">SUMIFS(M$3:M$61,$A$3:$A$61,$A87,$D$3:$D$61,$B87)*SUMIF('COM balance'!$D$5:$D$25,'COM Assumptions'!$A87,'COM balance'!M$5:M$25)*IFERROR(VLOOKUP($C87,$C$64:$AH$78,M$63,FALSE),1)</f>
        <v>0</v>
      </c>
      <c r="N87" s="10">
        <f ca="1">SUMIFS(N$3:N$61,$A$3:$A$61,$A87,$D$3:$D$61,$B87)*SUMIF('COM balance'!$D$5:$D$25,'COM Assumptions'!$A87,'COM balance'!N$5:N$25)*IFERROR(VLOOKUP($C87,$C$64:$AH$78,N$63,FALSE),1)</f>
        <v>26.62801513362</v>
      </c>
      <c r="O87" s="10">
        <f ca="1">SUMIFS(O$3:O$61,$A$3:$A$61,$A87,$D$3:$D$61,$B87)*SUMIF('COM balance'!$D$5:$D$25,'COM Assumptions'!$A87,'COM balance'!O$5:O$25)*IFERROR(VLOOKUP($C87,$C$64:$AH$78,O$63,FALSE),1)</f>
        <v>7.3370362428000005E-2</v>
      </c>
      <c r="P87" s="10">
        <f ca="1">SUMIFS(P$3:P$61,$A$3:$A$61,$A87,$D$3:$D$61,$B87)*SUMIF('COM balance'!$D$5:$D$25,'COM Assumptions'!$A87,'COM balance'!P$5:P$25)*IFERROR(VLOOKUP($C87,$C$64:$AH$78,P$63,FALSE),1)</f>
        <v>1.5251478679080002</v>
      </c>
      <c r="Q87" s="10">
        <f ca="1">SUMIFS(Q$3:Q$61,$A$3:$A$61,$A87,$D$3:$D$61,$B87)*SUMIF('COM balance'!$D$5:$D$25,'COM Assumptions'!$A87,'COM balance'!Q$5:Q$25)*IFERROR(VLOOKUP($C87,$C$64:$AH$78,Q$63,FALSE),1)</f>
        <v>1.1028141312840001</v>
      </c>
      <c r="R87" s="10">
        <f ca="1">SUMIFS(R$3:R$61,$A$3:$A$61,$A87,$D$3:$D$61,$B87)*SUMIF('COM balance'!$D$5:$D$25,'COM Assumptions'!$A87,'COM balance'!R$5:R$25)*IFERROR(VLOOKUP($C87,$C$64:$AH$78,R$63,FALSE),1)</f>
        <v>1.524166565724</v>
      </c>
      <c r="S87" s="10">
        <f ca="1">SUMIFS(S$3:S$61,$A$3:$A$61,$A87,$D$3:$D$61,$B87)*SUMIF('COM balance'!$D$5:$D$25,'COM Assumptions'!$A87,'COM balance'!S$5:S$25)*IFERROR(VLOOKUP($C87,$C$64:$AH$78,S$63,FALSE),1)</f>
        <v>0.92445456722399999</v>
      </c>
      <c r="T87" s="10">
        <f ca="1">SUMIFS(T$3:T$61,$A$3:$A$61,$A87,$D$3:$D$61,$B87)*SUMIF('COM balance'!$D$5:$D$25,'COM Assumptions'!$A87,'COM balance'!T$5:T$25)*IFERROR(VLOOKUP($C87,$C$64:$AH$78,T$63,FALSE),1)</f>
        <v>0.47005356418200001</v>
      </c>
      <c r="U87" s="10">
        <f ca="1">SUMIFS(U$3:U$61,$A$3:$A$61,$A87,$D$3:$D$61,$B87)*SUMIF('COM balance'!$D$5:$D$25,'COM Assumptions'!$A87,'COM balance'!U$5:U$25)*IFERROR(VLOOKUP($C87,$C$64:$AH$78,U$63,FALSE),1)</f>
        <v>2.3471469173880002</v>
      </c>
      <c r="V87" s="10">
        <f ca="1">SUMIFS(V$3:V$61,$A$3:$A$61,$A87,$D$3:$D$61,$B87)*SUMIF('COM balance'!$D$5:$D$25,'COM Assumptions'!$A87,'COM balance'!V$5:V$25)*IFERROR(VLOOKUP($C87,$C$64:$AH$78,V$63,FALSE),1)</f>
        <v>1.27854237528</v>
      </c>
      <c r="W87" s="10">
        <f ca="1">SUMIFS(W$3:W$61,$A$3:$A$61,$A87,$D$3:$D$61,$B87)*SUMIF('COM balance'!$D$5:$D$25,'COM Assumptions'!$A87,'COM balance'!W$5:W$25)*IFERROR(VLOOKUP($C87,$C$64:$AH$78,W$63,FALSE),1)</f>
        <v>2.066292312192</v>
      </c>
      <c r="X87" s="10">
        <f ca="1">SUMIFS(X$3:X$61,$A$3:$A$61,$A87,$D$3:$D$61,$B87)*SUMIF('COM balance'!$D$5:$D$25,'COM Assumptions'!$A87,'COM balance'!X$5:X$25)*IFERROR(VLOOKUP($C87,$C$64:$AH$78,X$63,FALSE),1)</f>
        <v>0</v>
      </c>
      <c r="Y87" s="10">
        <f ca="1">SUMIFS(Y$3:Y$61,$A$3:$A$61,$A87,$D$3:$D$61,$B87)*SUMIF('COM balance'!$D$5:$D$25,'COM Assumptions'!$A87,'COM balance'!Y$5:Y$25)*IFERROR(VLOOKUP($C87,$C$64:$AH$78,Y$63,FALSE),1)</f>
        <v>0</v>
      </c>
      <c r="Z87" s="10">
        <f ca="1">SUMIFS(Z$3:Z$61,$A$3:$A$61,$A87,$D$3:$D$61,$B87)*SUMIF('COM balance'!$D$5:$D$25,'COM Assumptions'!$A87,'COM balance'!Z$5:Z$25)*IFERROR(VLOOKUP($C87,$C$64:$AH$78,Z$63,FALSE),1)</f>
        <v>0</v>
      </c>
      <c r="AA87" s="10">
        <f ca="1">SUMIFS(AA$3:AA$61,$A$3:$A$61,$A87,$D$3:$D$61,$B87)*SUMIF('COM balance'!$D$5:$D$25,'COM Assumptions'!$A87,'COM balance'!AA$5:AA$25)*IFERROR(VLOOKUP($C87,$C$64:$AH$78,AA$63,FALSE),1)</f>
        <v>5.4080095083840005</v>
      </c>
      <c r="AB87" s="10">
        <f ca="1">SUMIFS(AB$3:AB$61,$A$3:$A$61,$A87,$D$3:$D$61,$B87)*SUMIF('COM balance'!$D$5:$D$25,'COM Assumptions'!$A87,'COM balance'!AB$5:AB$25)*IFERROR(VLOOKUP($C87,$C$64:$AH$78,AB$63,FALSE),1)</f>
        <v>1.4500709658E-2</v>
      </c>
      <c r="AC87" s="10">
        <f ca="1">SUMIFS(AC$3:AC$61,$A$3:$A$61,$A87,$D$3:$D$61,$B87)*SUMIF('COM balance'!$D$5:$D$25,'COM Assumptions'!$A87,'COM balance'!AC$5:AC$25)*IFERROR(VLOOKUP($C87,$C$64:$AH$78,AC$63,FALSE),1)</f>
        <v>2.3607468579600002</v>
      </c>
      <c r="AD87" s="10">
        <f ca="1">SUMIFS(AD$3:AD$61,$A$3:$A$61,$A87,$D$3:$D$61,$B87)*SUMIF('COM balance'!$D$5:$D$25,'COM Assumptions'!$A87,'COM balance'!AD$5:AD$25)*IFERROR(VLOOKUP($C87,$C$64:$AH$78,AD$63,FALSE),1)</f>
        <v>0</v>
      </c>
      <c r="AE87" s="10">
        <f ca="1">SUMIFS(AE$3:AE$61,$A$3:$A$61,$A87,$D$3:$D$61,$B87)*SUMIF('COM balance'!$D$5:$D$25,'COM Assumptions'!$A87,'COM balance'!AE$5:AE$25)*IFERROR(VLOOKUP($C87,$C$64:$AH$78,AE$63,FALSE),1)</f>
        <v>0</v>
      </c>
      <c r="AF87" s="10">
        <f ca="1">SUMIFS(AF$3:AF$61,$A$3:$A$61,$A87,$D$3:$D$61,$B87)*SUMIF('COM balance'!$D$5:$D$25,'COM Assumptions'!$A87,'COM balance'!AF$5:AF$25)*IFERROR(VLOOKUP($C87,$C$64:$AH$78,AF$63,FALSE),1)</f>
        <v>1.33522149429</v>
      </c>
      <c r="AG87" s="10">
        <f ca="1">SUMIFS(AG$3:AG$61,$A$3:$A$61,$A87,$D$3:$D$61,$B87)*SUMIF('COM balance'!$D$5:$D$25,'COM Assumptions'!$A87,'COM balance'!AG$5:AG$25)*IFERROR(VLOOKUP($C87,$C$64:$AH$78,AG$63,FALSE),1)</f>
        <v>21.41948981126982</v>
      </c>
      <c r="AH87" s="10">
        <f ca="1">SUMIFS(AH$3:AH$61,$A$3:$A$61,$A87,$D$3:$D$61,$B87)*SUMIF('COM balance'!$D$5:$D$25,'COM Assumptions'!$A87,'COM balance'!AH$5:AH$25)*IFERROR(VLOOKUP($C87,$C$64:$AH$78,AH$63,FALSE),1)</f>
        <v>0</v>
      </c>
      <c r="AI87" s="10"/>
      <c r="AJ87" s="37" t="s">
        <v>179</v>
      </c>
      <c r="AK87" s="37" t="s">
        <v>18</v>
      </c>
      <c r="AN87" s="8"/>
      <c r="AO87" s="8"/>
      <c r="AP87" s="37" t="s">
        <v>89</v>
      </c>
      <c r="AQ87" s="37" t="str">
        <f t="shared" si="42"/>
        <v>COT</v>
      </c>
    </row>
    <row r="88" spans="1:43" x14ac:dyDescent="0.45">
      <c r="A88" s="8" t="str">
        <f t="shared" si="40"/>
        <v>COMBIO</v>
      </c>
      <c r="B88" s="8" t="str">
        <f t="shared" si="41"/>
        <v>CCK</v>
      </c>
      <c r="C88" s="8" t="str">
        <f>SUBSTITUTE(SUBSTITUTE(SUBSTITUTE('COM Veda input'!B11,"CC1","CL"),"000",""),"CH1","CH")</f>
        <v>CCKBIO</v>
      </c>
      <c r="E88" s="10">
        <f ca="1">SUMIFS(E$3:E$61,$A$3:$A$61,$A88,$D$3:$D$61,$B88)*SUMIF('COM balance'!$D$5:$D$25,'COM Assumptions'!$A88,'COM balance'!E$5:E$25)*IFERROR(VLOOKUP($C88,$C$64:$AH$78,E$63,FALSE),1)</f>
        <v>22.541329267200002</v>
      </c>
      <c r="F88" s="10">
        <f ca="1">SUMIFS(F$3:F$61,$A$3:$A$61,$A88,$D$3:$D$61,$B88)*SUMIF('COM balance'!$D$5:$D$25,'COM Assumptions'!$A88,'COM balance'!F$5:F$25)*IFERROR(VLOOKUP($C88,$C$64:$AH$78,F$63,FALSE),1)</f>
        <v>256.96765683071999</v>
      </c>
      <c r="G88" s="10">
        <f ca="1">SUMIFS(G$3:G$61,$A$3:$A$61,$A88,$D$3:$D$61,$B88)*SUMIF('COM balance'!$D$5:$D$25,'COM Assumptions'!$A88,'COM balance'!G$5:G$25)*IFERROR(VLOOKUP($C88,$C$64:$AH$78,G$63,FALSE),1)</f>
        <v>4.8680158060799998</v>
      </c>
      <c r="H88" s="10">
        <f ca="1">SUMIFS(H$3:H$61,$A$3:$A$61,$A88,$D$3:$D$61,$B88)*SUMIF('COM balance'!$D$5:$D$25,'COM Assumptions'!$A88,'COM balance'!H$5:H$25)*IFERROR(VLOOKUP($C88,$C$64:$AH$78,H$63,FALSE),1)</f>
        <v>0</v>
      </c>
      <c r="I88" s="10">
        <f ca="1">SUMIFS(I$3:I$61,$A$3:$A$61,$A88,$D$3:$D$61,$B88)*SUMIF('COM balance'!$D$5:$D$25,'COM Assumptions'!$A88,'COM balance'!I$5:I$25)*IFERROR(VLOOKUP($C88,$C$64:$AH$78,I$63,FALSE),1)</f>
        <v>0</v>
      </c>
      <c r="J88" s="10">
        <f ca="1">SUMIFS(J$3:J$61,$A$3:$A$61,$A88,$D$3:$D$61,$B88)*SUMIF('COM balance'!$D$5:$D$25,'COM Assumptions'!$A88,'COM balance'!J$5:J$25)*IFERROR(VLOOKUP($C88,$C$64:$AH$78,J$63,FALSE),1)</f>
        <v>34.4648960532</v>
      </c>
      <c r="K88" s="10">
        <f ca="1">SUMIFS(K$3:K$61,$A$3:$A$61,$A88,$D$3:$D$61,$B88)*SUMIF('COM balance'!$D$5:$D$25,'COM Assumptions'!$A88,'COM balance'!K$5:K$25)*IFERROR(VLOOKUP($C88,$C$64:$AH$78,K$63,FALSE),1)</f>
        <v>0</v>
      </c>
      <c r="L88" s="10">
        <f ca="1">SUMIFS(L$3:L$61,$A$3:$A$61,$A88,$D$3:$D$61,$B88)*SUMIF('COM balance'!$D$5:$D$25,'COM Assumptions'!$A88,'COM balance'!L$5:L$25)*IFERROR(VLOOKUP($C88,$C$64:$AH$78,L$63,FALSE),1)</f>
        <v>4.8316831743599993</v>
      </c>
      <c r="M88" s="10">
        <f ca="1">SUMIFS(M$3:M$61,$A$3:$A$61,$A88,$D$3:$D$61,$B88)*SUMIF('COM balance'!$D$5:$D$25,'COM Assumptions'!$A88,'COM balance'!M$5:M$25)*IFERROR(VLOOKUP($C88,$C$64:$AH$78,M$63,FALSE),1)</f>
        <v>0</v>
      </c>
      <c r="N88" s="10">
        <f ca="1">SUMIFS(N$3:N$61,$A$3:$A$61,$A88,$D$3:$D$61,$B88)*SUMIF('COM balance'!$D$5:$D$25,'COM Assumptions'!$A88,'COM balance'!N$5:N$25)*IFERROR(VLOOKUP($C88,$C$64:$AH$78,N$63,FALSE),1)</f>
        <v>3.5013789720000001E-2</v>
      </c>
      <c r="O88" s="10">
        <f ca="1">SUMIFS(O$3:O$61,$A$3:$A$61,$A88,$D$3:$D$61,$B88)*SUMIF('COM balance'!$D$5:$D$25,'COM Assumptions'!$A88,'COM balance'!O$5:O$25)*IFERROR(VLOOKUP($C88,$C$64:$AH$78,O$63,FALSE),1)</f>
        <v>1.8441924530400002</v>
      </c>
      <c r="P88" s="10">
        <f ca="1">SUMIFS(P$3:P$61,$A$3:$A$61,$A88,$D$3:$D$61,$B88)*SUMIF('COM balance'!$D$5:$D$25,'COM Assumptions'!$A88,'COM balance'!P$5:P$25)*IFERROR(VLOOKUP($C88,$C$64:$AH$78,P$63,FALSE),1)</f>
        <v>0</v>
      </c>
      <c r="Q88" s="10">
        <f ca="1">SUMIFS(Q$3:Q$61,$A$3:$A$61,$A88,$D$3:$D$61,$B88)*SUMIF('COM balance'!$D$5:$D$25,'COM Assumptions'!$A88,'COM balance'!Q$5:Q$25)*IFERROR(VLOOKUP($C88,$C$64:$AH$78,Q$63,FALSE),1)</f>
        <v>2.0141857440000002</v>
      </c>
      <c r="R88" s="10">
        <f ca="1">SUMIFS(R$3:R$61,$A$3:$A$61,$A88,$D$3:$D$61,$B88)*SUMIF('COM balance'!$D$5:$D$25,'COM Assumptions'!$A88,'COM balance'!R$5:R$25)*IFERROR(VLOOKUP($C88,$C$64:$AH$78,R$63,FALSE),1)</f>
        <v>0.69261311304000006</v>
      </c>
      <c r="S88" s="10">
        <f ca="1">SUMIFS(S$3:S$61,$A$3:$A$61,$A88,$D$3:$D$61,$B88)*SUMIF('COM balance'!$D$5:$D$25,'COM Assumptions'!$A88,'COM balance'!S$5:S$25)*IFERROR(VLOOKUP($C88,$C$64:$AH$78,S$63,FALSE),1)</f>
        <v>0</v>
      </c>
      <c r="T88" s="10">
        <f ca="1">SUMIFS(T$3:T$61,$A$3:$A$61,$A88,$D$3:$D$61,$B88)*SUMIF('COM balance'!$D$5:$D$25,'COM Assumptions'!$A88,'COM balance'!T$5:T$25)*IFERROR(VLOOKUP($C88,$C$64:$AH$78,T$63,FALSE),1)</f>
        <v>1.28164814352</v>
      </c>
      <c r="U88" s="10">
        <f ca="1">SUMIFS(U$3:U$61,$A$3:$A$61,$A88,$D$3:$D$61,$B88)*SUMIF('COM balance'!$D$5:$D$25,'COM Assumptions'!$A88,'COM balance'!U$5:U$25)*IFERROR(VLOOKUP($C88,$C$64:$AH$78,U$63,FALSE),1)</f>
        <v>0</v>
      </c>
      <c r="V88" s="10">
        <f ca="1">SUMIFS(V$3:V$61,$A$3:$A$61,$A88,$D$3:$D$61,$B88)*SUMIF('COM balance'!$D$5:$D$25,'COM Assumptions'!$A88,'COM balance'!V$5:V$25)*IFERROR(VLOOKUP($C88,$C$64:$AH$78,V$63,FALSE),1)</f>
        <v>3.4589440792800001</v>
      </c>
      <c r="W88" s="10">
        <f ca="1">SUMIFS(W$3:W$61,$A$3:$A$61,$A88,$D$3:$D$61,$B88)*SUMIF('COM balance'!$D$5:$D$25,'COM Assumptions'!$A88,'COM balance'!W$5:W$25)*IFERROR(VLOOKUP($C88,$C$64:$AH$78,W$63,FALSE),1)</f>
        <v>13.10933386008</v>
      </c>
      <c r="X88" s="10">
        <f ca="1">SUMIFS(X$3:X$61,$A$3:$A$61,$A88,$D$3:$D$61,$B88)*SUMIF('COM balance'!$D$5:$D$25,'COM Assumptions'!$A88,'COM balance'!X$5:X$25)*IFERROR(VLOOKUP($C88,$C$64:$AH$78,X$63,FALSE),1)</f>
        <v>76.82079976704</v>
      </c>
      <c r="Y88" s="10">
        <f ca="1">SUMIFS(Y$3:Y$61,$A$3:$A$61,$A88,$D$3:$D$61,$B88)*SUMIF('COM balance'!$D$5:$D$25,'COM Assumptions'!$A88,'COM balance'!Y$5:Y$25)*IFERROR(VLOOKUP($C88,$C$64:$AH$78,Y$63,FALSE),1)</f>
        <v>17.578657449359998</v>
      </c>
      <c r="Z88" s="10">
        <f ca="1">SUMIFS(Z$3:Z$61,$A$3:$A$61,$A88,$D$3:$D$61,$B88)*SUMIF('COM balance'!$D$5:$D$25,'COM Assumptions'!$A88,'COM balance'!Z$5:Z$25)*IFERROR(VLOOKUP($C88,$C$64:$AH$78,Z$63,FALSE),1)</f>
        <v>0</v>
      </c>
      <c r="AA88" s="10">
        <f ca="1">SUMIFS(AA$3:AA$61,$A$3:$A$61,$A88,$D$3:$D$61,$B88)*SUMIF('COM balance'!$D$5:$D$25,'COM Assumptions'!$A88,'COM balance'!AA$5:AA$25)*IFERROR(VLOOKUP($C88,$C$64:$AH$78,AA$63,FALSE),1)</f>
        <v>0</v>
      </c>
      <c r="AB88" s="10">
        <f ca="1">SUMIFS(AB$3:AB$61,$A$3:$A$61,$A88,$D$3:$D$61,$B88)*SUMIF('COM balance'!$D$5:$D$25,'COM Assumptions'!$A88,'COM balance'!AB$5:AB$25)*IFERROR(VLOOKUP($C88,$C$64:$AH$78,AB$63,FALSE),1)</f>
        <v>0.39564841319999999</v>
      </c>
      <c r="AC88" s="10">
        <f ca="1">SUMIFS(AC$3:AC$61,$A$3:$A$61,$A88,$D$3:$D$61,$B88)*SUMIF('COM balance'!$D$5:$D$25,'COM Assumptions'!$A88,'COM balance'!AC$5:AC$25)*IFERROR(VLOOKUP($C88,$C$64:$AH$78,AC$63,FALSE),1)</f>
        <v>0</v>
      </c>
      <c r="AD88" s="10">
        <f ca="1">SUMIFS(AD$3:AD$61,$A$3:$A$61,$A88,$D$3:$D$61,$B88)*SUMIF('COM balance'!$D$5:$D$25,'COM Assumptions'!$A88,'COM balance'!AD$5:AD$25)*IFERROR(VLOOKUP($C88,$C$64:$AH$78,AD$63,FALSE),1)</f>
        <v>0</v>
      </c>
      <c r="AE88" s="10">
        <f ca="1">SUMIFS(AE$3:AE$61,$A$3:$A$61,$A88,$D$3:$D$61,$B88)*SUMIF('COM balance'!$D$5:$D$25,'COM Assumptions'!$A88,'COM balance'!AE$5:AE$25)*IFERROR(VLOOKUP($C88,$C$64:$AH$78,AE$63,FALSE),1)</f>
        <v>0</v>
      </c>
      <c r="AF88" s="10">
        <f ca="1">SUMIFS(AF$3:AF$61,$A$3:$A$61,$A88,$D$3:$D$61,$B88)*SUMIF('COM balance'!$D$5:$D$25,'COM Assumptions'!$A88,'COM balance'!AF$5:AF$25)*IFERROR(VLOOKUP($C88,$C$64:$AH$78,AF$63,FALSE),1)</f>
        <v>1.8419994072000003</v>
      </c>
      <c r="AG88" s="10">
        <f ca="1">SUMIFS(AG$3:AG$61,$A$3:$A$61,$A88,$D$3:$D$61,$B88)*SUMIF('COM balance'!$D$5:$D$25,'COM Assumptions'!$A88,'COM balance'!AG$5:AG$25)*IFERROR(VLOOKUP($C88,$C$64:$AH$78,AG$63,FALSE),1)</f>
        <v>0</v>
      </c>
      <c r="AH88" s="10">
        <f ca="1">SUMIFS(AH$3:AH$61,$A$3:$A$61,$A88,$D$3:$D$61,$B88)*SUMIF('COM balance'!$D$5:$D$25,'COM Assumptions'!$A88,'COM balance'!AH$5:AH$25)*IFERROR(VLOOKUP($C88,$C$64:$AH$78,AH$63,FALSE),1)</f>
        <v>0</v>
      </c>
      <c r="AI88" s="10"/>
      <c r="AJ88" s="37" t="s">
        <v>18</v>
      </c>
      <c r="AK88" s="37" t="str">
        <f>AJ88</f>
        <v>ELC</v>
      </c>
      <c r="AN88" s="8"/>
      <c r="AO88" s="8"/>
      <c r="AP88" s="37" t="s">
        <v>87</v>
      </c>
      <c r="AQ88" s="37" t="str">
        <f t="shared" si="42"/>
        <v>CRF</v>
      </c>
    </row>
    <row r="89" spans="1:43" x14ac:dyDescent="0.45">
      <c r="A89" s="8" t="str">
        <f t="shared" si="40"/>
        <v>COMCOA</v>
      </c>
      <c r="B89" s="8" t="str">
        <f t="shared" si="41"/>
        <v>CCK</v>
      </c>
      <c r="C89" s="8" t="str">
        <f>SUBSTITUTE(SUBSTITUTE(SUBSTITUTE('COM Veda input'!B12,"CC1","CL"),"000",""),"CH1","CH")</f>
        <v>CCKCOA</v>
      </c>
      <c r="E89" s="10">
        <f ca="1">SUMIFS(E$3:E$61,$A$3:$A$61,$A89,$D$3:$D$61,$B89)*SUMIF('COM balance'!$D$5:$D$25,'COM Assumptions'!$A89,'COM balance'!E$5:E$25)*IFERROR(VLOOKUP($C89,$C$64:$AH$78,E$63,FALSE),1)</f>
        <v>0</v>
      </c>
      <c r="F89" s="10">
        <f ca="1">SUMIFS(F$3:F$61,$A$3:$A$61,$A89,$D$3:$D$61,$B89)*SUMIF('COM balance'!$D$5:$D$25,'COM Assumptions'!$A89,'COM balance'!F$5:F$25)*IFERROR(VLOOKUP($C89,$C$64:$AH$78,F$63,FALSE),1)</f>
        <v>6.0367375799999998E-2</v>
      </c>
      <c r="G89" s="10">
        <f ca="1">SUMIFS(G$3:G$61,$A$3:$A$61,$A89,$D$3:$D$61,$B89)*SUMIF('COM balance'!$D$5:$D$25,'COM Assumptions'!$A89,'COM balance'!G$5:G$25)*IFERROR(VLOOKUP($C89,$C$64:$AH$78,G$63,FALSE),1)</f>
        <v>0</v>
      </c>
      <c r="H89" s="10">
        <f ca="1">SUMIFS(H$3:H$61,$A$3:$A$61,$A89,$D$3:$D$61,$B89)*SUMIF('COM balance'!$D$5:$D$25,'COM Assumptions'!$A89,'COM balance'!H$5:H$25)*IFERROR(VLOOKUP($C89,$C$64:$AH$78,H$63,FALSE),1)</f>
        <v>0</v>
      </c>
      <c r="I89" s="10">
        <f ca="1">SUMIFS(I$3:I$61,$A$3:$A$61,$A89,$D$3:$D$61,$B89)*SUMIF('COM balance'!$D$5:$D$25,'COM Assumptions'!$A89,'COM balance'!I$5:I$25)*IFERROR(VLOOKUP($C89,$C$64:$AH$78,I$63,FALSE),1)</f>
        <v>1.1928138771600001</v>
      </c>
      <c r="J89" s="10">
        <f ca="1">SUMIFS(J$3:J$61,$A$3:$A$61,$A89,$D$3:$D$61,$B89)*SUMIF('COM balance'!$D$5:$D$25,'COM Assumptions'!$A89,'COM balance'!J$5:J$25)*IFERROR(VLOOKUP($C89,$C$64:$AH$78,J$63,FALSE),1)</f>
        <v>8.8707552857999996</v>
      </c>
      <c r="K89" s="10">
        <f ca="1">SUMIFS(K$3:K$61,$A$3:$A$61,$A89,$D$3:$D$61,$B89)*SUMIF('COM balance'!$D$5:$D$25,'COM Assumptions'!$A89,'COM balance'!K$5:K$25)*IFERROR(VLOOKUP($C89,$C$64:$AH$78,K$63,FALSE),1)</f>
        <v>0</v>
      </c>
      <c r="L89" s="10">
        <f ca="1">SUMIFS(L$3:L$61,$A$3:$A$61,$A89,$D$3:$D$61,$B89)*SUMIF('COM balance'!$D$5:$D$25,'COM Assumptions'!$A89,'COM balance'!L$5:L$25)*IFERROR(VLOOKUP($C89,$C$64:$AH$78,L$63,FALSE),1)</f>
        <v>0</v>
      </c>
      <c r="M89" s="10">
        <f ca="1">SUMIFS(M$3:M$61,$A$3:$A$61,$A89,$D$3:$D$61,$B89)*SUMIF('COM balance'!$D$5:$D$25,'COM Assumptions'!$A89,'COM balance'!M$5:M$25)*IFERROR(VLOOKUP($C89,$C$64:$AH$78,M$63,FALSE),1)</f>
        <v>0</v>
      </c>
      <c r="N89" s="10">
        <f ca="1">SUMIFS(N$3:N$61,$A$3:$A$61,$A89,$D$3:$D$61,$B89)*SUMIF('COM balance'!$D$5:$D$25,'COM Assumptions'!$A89,'COM balance'!N$5:N$25)*IFERROR(VLOOKUP($C89,$C$64:$AH$78,N$63,FALSE),1)</f>
        <v>153.84488374656001</v>
      </c>
      <c r="O89" s="10">
        <f ca="1">SUMIFS(O$3:O$61,$A$3:$A$61,$A89,$D$3:$D$61,$B89)*SUMIF('COM balance'!$D$5:$D$25,'COM Assumptions'!$A89,'COM balance'!O$5:O$25)*IFERROR(VLOOKUP($C89,$C$64:$AH$78,O$63,FALSE),1)</f>
        <v>0</v>
      </c>
      <c r="P89" s="10">
        <f ca="1">SUMIFS(P$3:P$61,$A$3:$A$61,$A89,$D$3:$D$61,$B89)*SUMIF('COM balance'!$D$5:$D$25,'COM Assumptions'!$A89,'COM balance'!P$5:P$25)*IFERROR(VLOOKUP($C89,$C$64:$AH$78,P$63,FALSE),1)</f>
        <v>0</v>
      </c>
      <c r="Q89" s="10">
        <f ca="1">SUMIFS(Q$3:Q$61,$A$3:$A$61,$A89,$D$3:$D$61,$B89)*SUMIF('COM balance'!$D$5:$D$25,'COM Assumptions'!$A89,'COM balance'!Q$5:Q$25)*IFERROR(VLOOKUP($C89,$C$64:$AH$78,Q$63,FALSE),1)</f>
        <v>0</v>
      </c>
      <c r="R89" s="10">
        <f ca="1">SUMIFS(R$3:R$61,$A$3:$A$61,$A89,$D$3:$D$61,$B89)*SUMIF('COM balance'!$D$5:$D$25,'COM Assumptions'!$A89,'COM balance'!R$5:R$25)*IFERROR(VLOOKUP($C89,$C$64:$AH$78,R$63,FALSE),1)</f>
        <v>0</v>
      </c>
      <c r="S89" s="10">
        <f ca="1">SUMIFS(S$3:S$61,$A$3:$A$61,$A89,$D$3:$D$61,$B89)*SUMIF('COM balance'!$D$5:$D$25,'COM Assumptions'!$A89,'COM balance'!S$5:S$25)*IFERROR(VLOOKUP($C89,$C$64:$AH$78,S$63,FALSE),1)</f>
        <v>0</v>
      </c>
      <c r="T89" s="10">
        <f ca="1">SUMIFS(T$3:T$61,$A$3:$A$61,$A89,$D$3:$D$61,$B89)*SUMIF('COM balance'!$D$5:$D$25,'COM Assumptions'!$A89,'COM balance'!T$5:T$25)*IFERROR(VLOOKUP($C89,$C$64:$AH$78,T$63,FALSE),1)</f>
        <v>0</v>
      </c>
      <c r="U89" s="10">
        <f ca="1">SUMIFS(U$3:U$61,$A$3:$A$61,$A89,$D$3:$D$61,$B89)*SUMIF('COM balance'!$D$5:$D$25,'COM Assumptions'!$A89,'COM balance'!U$5:U$25)*IFERROR(VLOOKUP($C89,$C$64:$AH$78,U$63,FALSE),1)</f>
        <v>0</v>
      </c>
      <c r="V89" s="10">
        <f ca="1">SUMIFS(V$3:V$61,$A$3:$A$61,$A89,$D$3:$D$61,$B89)*SUMIF('COM balance'!$D$5:$D$25,'COM Assumptions'!$A89,'COM balance'!V$5:V$25)*IFERROR(VLOOKUP($C89,$C$64:$AH$78,V$63,FALSE),1)</f>
        <v>0</v>
      </c>
      <c r="W89" s="10">
        <f ca="1">SUMIFS(W$3:W$61,$A$3:$A$61,$A89,$D$3:$D$61,$B89)*SUMIF('COM balance'!$D$5:$D$25,'COM Assumptions'!$A89,'COM balance'!W$5:W$25)*IFERROR(VLOOKUP($C89,$C$64:$AH$78,W$63,FALSE),1)</f>
        <v>0</v>
      </c>
      <c r="X89" s="10">
        <f ca="1">SUMIFS(X$3:X$61,$A$3:$A$61,$A89,$D$3:$D$61,$B89)*SUMIF('COM balance'!$D$5:$D$25,'COM Assumptions'!$A89,'COM balance'!X$5:X$25)*IFERROR(VLOOKUP($C89,$C$64:$AH$78,X$63,FALSE),1)</f>
        <v>100.64524800060001</v>
      </c>
      <c r="Y89" s="10">
        <f ca="1">SUMIFS(Y$3:Y$61,$A$3:$A$61,$A89,$D$3:$D$61,$B89)*SUMIF('COM balance'!$D$5:$D$25,'COM Assumptions'!$A89,'COM balance'!Y$5:Y$25)*IFERROR(VLOOKUP($C89,$C$64:$AH$78,Y$63,FALSE),1)</f>
        <v>0</v>
      </c>
      <c r="Z89" s="10">
        <f ca="1">SUMIFS(Z$3:Z$61,$A$3:$A$61,$A89,$D$3:$D$61,$B89)*SUMIF('COM balance'!$D$5:$D$25,'COM Assumptions'!$A89,'COM balance'!Z$5:Z$25)*IFERROR(VLOOKUP($C89,$C$64:$AH$78,Z$63,FALSE),1)</f>
        <v>0</v>
      </c>
      <c r="AA89" s="10">
        <f ca="1">SUMIFS(AA$3:AA$61,$A$3:$A$61,$A89,$D$3:$D$61,$B89)*SUMIF('COM balance'!$D$5:$D$25,'COM Assumptions'!$A89,'COM balance'!AA$5:AA$25)*IFERROR(VLOOKUP($C89,$C$64:$AH$78,AA$63,FALSE),1)</f>
        <v>0</v>
      </c>
      <c r="AB89" s="10">
        <f ca="1">SUMIFS(AB$3:AB$61,$A$3:$A$61,$A89,$D$3:$D$61,$B89)*SUMIF('COM balance'!$D$5:$D$25,'COM Assumptions'!$A89,'COM balance'!AB$5:AB$25)*IFERROR(VLOOKUP($C89,$C$64:$AH$78,AB$63,FALSE),1)</f>
        <v>0</v>
      </c>
      <c r="AC89" s="10">
        <f ca="1">SUMIFS(AC$3:AC$61,$A$3:$A$61,$A89,$D$3:$D$61,$B89)*SUMIF('COM balance'!$D$5:$D$25,'COM Assumptions'!$A89,'COM balance'!AC$5:AC$25)*IFERROR(VLOOKUP($C89,$C$64:$AH$78,AC$63,FALSE),1)</f>
        <v>0</v>
      </c>
      <c r="AD89" s="10">
        <f ca="1">SUMIFS(AD$3:AD$61,$A$3:$A$61,$A89,$D$3:$D$61,$B89)*SUMIF('COM balance'!$D$5:$D$25,'COM Assumptions'!$A89,'COM balance'!AD$5:AD$25)*IFERROR(VLOOKUP($C89,$C$64:$AH$78,AD$63,FALSE),1)</f>
        <v>0</v>
      </c>
      <c r="AE89" s="10">
        <f ca="1">SUMIFS(AE$3:AE$61,$A$3:$A$61,$A89,$D$3:$D$61,$B89)*SUMIF('COM balance'!$D$5:$D$25,'COM Assumptions'!$A89,'COM balance'!AE$5:AE$25)*IFERROR(VLOOKUP($C89,$C$64:$AH$78,AE$63,FALSE),1)</f>
        <v>26.577115578000001</v>
      </c>
      <c r="AF89" s="10">
        <f ca="1">SUMIFS(AF$3:AF$61,$A$3:$A$61,$A89,$D$3:$D$61,$B89)*SUMIF('COM balance'!$D$5:$D$25,'COM Assumptions'!$A89,'COM balance'!AF$5:AF$25)*IFERROR(VLOOKUP($C89,$C$64:$AH$78,AF$63,FALSE),1)</f>
        <v>0</v>
      </c>
      <c r="AG89" s="10">
        <f ca="1">SUMIFS(AG$3:AG$61,$A$3:$A$61,$A89,$D$3:$D$61,$B89)*SUMIF('COM balance'!$D$5:$D$25,'COM Assumptions'!$A89,'COM balance'!AG$5:AG$25)*IFERROR(VLOOKUP($C89,$C$64:$AH$78,AG$63,FALSE),1)</f>
        <v>0</v>
      </c>
      <c r="AH89" s="10">
        <f ca="1">SUMIFS(AH$3:AH$61,$A$3:$A$61,$A89,$D$3:$D$61,$B89)*SUMIF('COM balance'!$D$5:$D$25,'COM Assumptions'!$A89,'COM balance'!AH$5:AH$25)*IFERROR(VLOOKUP($C89,$C$64:$AH$78,AH$63,FALSE),1)</f>
        <v>0</v>
      </c>
      <c r="AI89" s="10"/>
      <c r="AJ89" s="37" t="s">
        <v>183</v>
      </c>
      <c r="AK89" s="37" t="s">
        <v>18</v>
      </c>
      <c r="AN89" s="8"/>
      <c r="AO89" s="8"/>
    </row>
    <row r="90" spans="1:43" x14ac:dyDescent="0.45">
      <c r="A90" s="8" t="str">
        <f t="shared" si="40"/>
        <v>COMOIL</v>
      </c>
      <c r="B90" s="8" t="str">
        <f t="shared" si="41"/>
        <v>CCK</v>
      </c>
      <c r="C90" s="8" t="str">
        <f>SUBSTITUTE(SUBSTITUTE(SUBSTITUTE('COM Veda input'!B13,"CC1","CL"),"000",""),"CH1","CH")</f>
        <v>CCKDST</v>
      </c>
      <c r="E90" s="10">
        <f ca="1">SUMIFS(E$3:E$61,$A$3:$A$61,$A90,$D$3:$D$61,$B90)*SUMIF('COM balance'!$D$5:$D$25,'COM Assumptions'!$A90,'COM balance'!E$5:E$25)*IFERROR(VLOOKUP($C90,$C$64:$AH$78,E$63,FALSE),1)</f>
        <v>0</v>
      </c>
      <c r="F90" s="10">
        <f ca="1">SUMIFS(F$3:F$61,$A$3:$A$61,$A90,$D$3:$D$61,$B90)*SUMIF('COM balance'!$D$5:$D$25,'COM Assumptions'!$A90,'COM balance'!F$5:F$25)*IFERROR(VLOOKUP($C90,$C$64:$AH$78,F$63,FALSE),1)</f>
        <v>0</v>
      </c>
      <c r="G90" s="10">
        <f ca="1">SUMIFS(G$3:G$61,$A$3:$A$61,$A90,$D$3:$D$61,$B90)*SUMIF('COM balance'!$D$5:$D$25,'COM Assumptions'!$A90,'COM balance'!G$5:G$25)*IFERROR(VLOOKUP($C90,$C$64:$AH$78,G$63,FALSE),1)</f>
        <v>12.401942180400001</v>
      </c>
      <c r="H90" s="10">
        <f ca="1">SUMIFS(H$3:H$61,$A$3:$A$61,$A90,$D$3:$D$61,$B90)*SUMIF('COM balance'!$D$5:$D$25,'COM Assumptions'!$A90,'COM balance'!H$5:H$25)*IFERROR(VLOOKUP($C90,$C$64:$AH$78,H$63,FALSE),1)</f>
        <v>0</v>
      </c>
      <c r="I90" s="10">
        <f ca="1">SUMIFS(I$3:I$61,$A$3:$A$61,$A90,$D$3:$D$61,$B90)*SUMIF('COM balance'!$D$5:$D$25,'COM Assumptions'!$A90,'COM balance'!I$5:I$25)*IFERROR(VLOOKUP($C90,$C$64:$AH$78,I$63,FALSE),1)</f>
        <v>0</v>
      </c>
      <c r="J90" s="10">
        <f ca="1">SUMIFS(J$3:J$61,$A$3:$A$61,$A90,$D$3:$D$61,$B90)*SUMIF('COM balance'!$D$5:$D$25,'COM Assumptions'!$A90,'COM balance'!J$5:J$25)*IFERROR(VLOOKUP($C90,$C$64:$AH$78,J$63,FALSE),1)</f>
        <v>44.954136334800005</v>
      </c>
      <c r="K90" s="10">
        <f ca="1">SUMIFS(K$3:K$61,$A$3:$A$61,$A90,$D$3:$D$61,$B90)*SUMIF('COM balance'!$D$5:$D$25,'COM Assumptions'!$A90,'COM balance'!K$5:K$25)*IFERROR(VLOOKUP($C90,$C$64:$AH$78,K$63,FALSE),1)</f>
        <v>0</v>
      </c>
      <c r="L90" s="10">
        <f ca="1">SUMIFS(L$3:L$61,$A$3:$A$61,$A90,$D$3:$D$61,$B90)*SUMIF('COM balance'!$D$5:$D$25,'COM Assumptions'!$A90,'COM balance'!L$5:L$25)*IFERROR(VLOOKUP($C90,$C$64:$AH$78,L$63,FALSE),1)</f>
        <v>1.0873789488000001</v>
      </c>
      <c r="M90" s="10">
        <f ca="1">SUMIFS(M$3:M$61,$A$3:$A$61,$A90,$D$3:$D$61,$B90)*SUMIF('COM balance'!$D$5:$D$25,'COM Assumptions'!$A90,'COM balance'!M$5:M$25)*IFERROR(VLOOKUP($C90,$C$64:$AH$78,M$63,FALSE),1)</f>
        <v>0</v>
      </c>
      <c r="N90" s="10">
        <f ca="1">SUMIFS(N$3:N$61,$A$3:$A$61,$A90,$D$3:$D$61,$B90)*SUMIF('COM balance'!$D$5:$D$25,'COM Assumptions'!$A90,'COM balance'!N$5:N$25)*IFERROR(VLOOKUP($C90,$C$64:$AH$78,N$63,FALSE),1)</f>
        <v>218.25311732820001</v>
      </c>
      <c r="O90" s="10">
        <f ca="1">SUMIFS(O$3:O$61,$A$3:$A$61,$A90,$D$3:$D$61,$B90)*SUMIF('COM balance'!$D$5:$D$25,'COM Assumptions'!$A90,'COM balance'!O$5:O$25)*IFERROR(VLOOKUP($C90,$C$64:$AH$78,O$63,FALSE),1)</f>
        <v>0</v>
      </c>
      <c r="P90" s="10">
        <f ca="1">SUMIFS(P$3:P$61,$A$3:$A$61,$A90,$D$3:$D$61,$B90)*SUMIF('COM balance'!$D$5:$D$25,'COM Assumptions'!$A90,'COM balance'!P$5:P$25)*IFERROR(VLOOKUP($C90,$C$64:$AH$78,P$63,FALSE),1)</f>
        <v>0</v>
      </c>
      <c r="Q90" s="10">
        <f ca="1">SUMIFS(Q$3:Q$61,$A$3:$A$61,$A90,$D$3:$D$61,$B90)*SUMIF('COM balance'!$D$5:$D$25,'COM Assumptions'!$A90,'COM balance'!Q$5:Q$25)*IFERROR(VLOOKUP($C90,$C$64:$AH$78,Q$63,FALSE),1)</f>
        <v>0</v>
      </c>
      <c r="R90" s="10">
        <f ca="1">SUMIFS(R$3:R$61,$A$3:$A$61,$A90,$D$3:$D$61,$B90)*SUMIF('COM balance'!$D$5:$D$25,'COM Assumptions'!$A90,'COM balance'!R$5:R$25)*IFERROR(VLOOKUP($C90,$C$64:$AH$78,R$63,FALSE),1)</f>
        <v>0</v>
      </c>
      <c r="S90" s="10">
        <f ca="1">SUMIFS(S$3:S$61,$A$3:$A$61,$A90,$D$3:$D$61,$B90)*SUMIF('COM balance'!$D$5:$D$25,'COM Assumptions'!$A90,'COM balance'!S$5:S$25)*IFERROR(VLOOKUP($C90,$C$64:$AH$78,S$63,FALSE),1)</f>
        <v>0</v>
      </c>
      <c r="T90" s="10">
        <f ca="1">SUMIFS(T$3:T$61,$A$3:$A$61,$A90,$D$3:$D$61,$B90)*SUMIF('COM balance'!$D$5:$D$25,'COM Assumptions'!$A90,'COM balance'!T$5:T$25)*IFERROR(VLOOKUP($C90,$C$64:$AH$78,T$63,FALSE),1)</f>
        <v>0</v>
      </c>
      <c r="U90" s="10">
        <f ca="1">SUMIFS(U$3:U$61,$A$3:$A$61,$A90,$D$3:$D$61,$B90)*SUMIF('COM balance'!$D$5:$D$25,'COM Assumptions'!$A90,'COM balance'!U$5:U$25)*IFERROR(VLOOKUP($C90,$C$64:$AH$78,U$63,FALSE),1)</f>
        <v>31.495906382399998</v>
      </c>
      <c r="V90" s="10">
        <f ca="1">SUMIFS(V$3:V$61,$A$3:$A$61,$A90,$D$3:$D$61,$B90)*SUMIF('COM balance'!$D$5:$D$25,'COM Assumptions'!$A90,'COM balance'!V$5:V$25)*IFERROR(VLOOKUP($C90,$C$64:$AH$78,V$63,FALSE),1)</f>
        <v>0</v>
      </c>
      <c r="W90" s="10">
        <f ca="1">SUMIFS(W$3:W$61,$A$3:$A$61,$A90,$D$3:$D$61,$B90)*SUMIF('COM balance'!$D$5:$D$25,'COM Assumptions'!$A90,'COM balance'!W$5:W$25)*IFERROR(VLOOKUP($C90,$C$64:$AH$78,W$63,FALSE),1)</f>
        <v>0</v>
      </c>
      <c r="X90" s="10">
        <f ca="1">SUMIFS(X$3:X$61,$A$3:$A$61,$A90,$D$3:$D$61,$B90)*SUMIF('COM balance'!$D$5:$D$25,'COM Assumptions'!$A90,'COM balance'!X$5:X$25)*IFERROR(VLOOKUP($C90,$C$64:$AH$78,X$63,FALSE),1)</f>
        <v>0</v>
      </c>
      <c r="Y90" s="10">
        <f ca="1">SUMIFS(Y$3:Y$61,$A$3:$A$61,$A90,$D$3:$D$61,$B90)*SUMIF('COM balance'!$D$5:$D$25,'COM Assumptions'!$A90,'COM balance'!Y$5:Y$25)*IFERROR(VLOOKUP($C90,$C$64:$AH$78,Y$63,FALSE),1)</f>
        <v>14.9028057432</v>
      </c>
      <c r="Z90" s="10">
        <f ca="1">SUMIFS(Z$3:Z$61,$A$3:$A$61,$A90,$D$3:$D$61,$B90)*SUMIF('COM balance'!$D$5:$D$25,'COM Assumptions'!$A90,'COM balance'!Z$5:Z$25)*IFERROR(VLOOKUP($C90,$C$64:$AH$78,Z$63,FALSE),1)</f>
        <v>0.80099931672000002</v>
      </c>
      <c r="AA90" s="10">
        <f ca="1">SUMIFS(AA$3:AA$61,$A$3:$A$61,$A90,$D$3:$D$61,$B90)*SUMIF('COM balance'!$D$5:$D$25,'COM Assumptions'!$A90,'COM balance'!AA$5:AA$25)*IFERROR(VLOOKUP($C90,$C$64:$AH$78,AA$63,FALSE),1)</f>
        <v>25.093910695680002</v>
      </c>
      <c r="AB90" s="10">
        <f ca="1">SUMIFS(AB$3:AB$61,$A$3:$A$61,$A90,$D$3:$D$61,$B90)*SUMIF('COM balance'!$D$5:$D$25,'COM Assumptions'!$A90,'COM balance'!AB$5:AB$25)*IFERROR(VLOOKUP($C90,$C$64:$AH$78,AB$63,FALSE),1)</f>
        <v>0</v>
      </c>
      <c r="AC90" s="10">
        <f ca="1">SUMIFS(AC$3:AC$61,$A$3:$A$61,$A90,$D$3:$D$61,$B90)*SUMIF('COM balance'!$D$5:$D$25,'COM Assumptions'!$A90,'COM balance'!AC$5:AC$25)*IFERROR(VLOOKUP($C90,$C$64:$AH$78,AC$63,FALSE),1)</f>
        <v>0</v>
      </c>
      <c r="AD90" s="10">
        <f ca="1">SUMIFS(AD$3:AD$61,$A$3:$A$61,$A90,$D$3:$D$61,$B90)*SUMIF('COM balance'!$D$5:$D$25,'COM Assumptions'!$A90,'COM balance'!AD$5:AD$25)*IFERROR(VLOOKUP($C90,$C$64:$AH$78,AD$63,FALSE),1)</f>
        <v>0</v>
      </c>
      <c r="AE90" s="10">
        <f ca="1">SUMIFS(AE$3:AE$61,$A$3:$A$61,$A90,$D$3:$D$61,$B90)*SUMIF('COM balance'!$D$5:$D$25,'COM Assumptions'!$A90,'COM balance'!AE$5:AE$25)*IFERROR(VLOOKUP($C90,$C$64:$AH$78,AE$63,FALSE),1)</f>
        <v>0</v>
      </c>
      <c r="AF90" s="10">
        <f ca="1">SUMIFS(AF$3:AF$61,$A$3:$A$61,$A90,$D$3:$D$61,$B90)*SUMIF('COM balance'!$D$5:$D$25,'COM Assumptions'!$A90,'COM balance'!AF$5:AF$25)*IFERROR(VLOOKUP($C90,$C$64:$AH$78,AF$63,FALSE),1)</f>
        <v>0</v>
      </c>
      <c r="AG90" s="10">
        <f ca="1">SUMIFS(AG$3:AG$61,$A$3:$A$61,$A90,$D$3:$D$61,$B90)*SUMIF('COM balance'!$D$5:$D$25,'COM Assumptions'!$A90,'COM balance'!AG$5:AG$25)*IFERROR(VLOOKUP($C90,$C$64:$AH$78,AG$63,FALSE),1)</f>
        <v>0</v>
      </c>
      <c r="AH90" s="10">
        <f ca="1">SUMIFS(AH$3:AH$61,$A$3:$A$61,$A90,$D$3:$D$61,$B90)*SUMIF('COM balance'!$D$5:$D$25,'COM Assumptions'!$A90,'COM balance'!AH$5:AH$25)*IFERROR(VLOOKUP($C90,$C$64:$AH$78,AH$63,FALSE),1)</f>
        <v>0</v>
      </c>
      <c r="AI90" s="10"/>
      <c r="AJ90" s="37" t="s">
        <v>185</v>
      </c>
      <c r="AK90" s="37" t="s">
        <v>18</v>
      </c>
      <c r="AN90" s="8"/>
      <c r="AO90" s="8"/>
    </row>
    <row r="91" spans="1:43" x14ac:dyDescent="0.45">
      <c r="A91" s="8" t="str">
        <f t="shared" si="40"/>
        <v>COMELC</v>
      </c>
      <c r="B91" s="8" t="str">
        <f t="shared" si="41"/>
        <v>CCK</v>
      </c>
      <c r="C91" s="8" t="str">
        <f>SUBSTITUTE(SUBSTITUTE(SUBSTITUTE('COM Veda input'!B14,"CC1","CL"),"000",""),"CH1","CH")</f>
        <v>CCKELC</v>
      </c>
      <c r="E91" s="10">
        <f ca="1">SUMIFS(E$3:E$61,$A$3:$A$61,$A91,$D$3:$D$61,$B91)*SUMIF('COM balance'!$D$5:$D$25,'COM Assumptions'!$A91,'COM balance'!E$5:E$25)*IFERROR(VLOOKUP($C91,$C$64:$AH$78,E$63,FALSE),1)</f>
        <v>9.5704631407799994</v>
      </c>
      <c r="F91" s="10">
        <f ca="1">SUMIFS(F$3:F$61,$A$3:$A$61,$A91,$D$3:$D$61,$B91)*SUMIF('COM balance'!$D$5:$D$25,'COM Assumptions'!$A91,'COM balance'!F$5:F$25)*IFERROR(VLOOKUP($C91,$C$64:$AH$78,F$63,FALSE),1)</f>
        <v>5.8999971106800002</v>
      </c>
      <c r="G91" s="10">
        <f ca="1">SUMIFS(G$3:G$61,$A$3:$A$61,$A91,$D$3:$D$61,$B91)*SUMIF('COM balance'!$D$5:$D$25,'COM Assumptions'!$A91,'COM balance'!G$5:G$25)*IFERROR(VLOOKUP($C91,$C$64:$AH$78,G$63,FALSE),1)</f>
        <v>3.1258343163600002</v>
      </c>
      <c r="H91" s="10">
        <f ca="1">SUMIFS(H$3:H$61,$A$3:$A$61,$A91,$D$3:$D$61,$B91)*SUMIF('COM balance'!$D$5:$D$25,'COM Assumptions'!$A91,'COM balance'!H$5:H$25)*IFERROR(VLOOKUP($C91,$C$64:$AH$78,H$63,FALSE),1)</f>
        <v>2.9296320342119997</v>
      </c>
      <c r="I91" s="10">
        <f ca="1">SUMIFS(I$3:I$61,$A$3:$A$61,$A91,$D$3:$D$61,$B91)*SUMIF('COM balance'!$D$5:$D$25,'COM Assumptions'!$A91,'COM balance'!I$5:I$25)*IFERROR(VLOOKUP($C91,$C$64:$AH$78,I$63,FALSE),1)</f>
        <v>0</v>
      </c>
      <c r="J91" s="10">
        <f ca="1">SUMIFS(J$3:J$61,$A$3:$A$61,$A91,$D$3:$D$61,$B91)*SUMIF('COM balance'!$D$5:$D$25,'COM Assumptions'!$A91,'COM balance'!J$5:J$25)*IFERROR(VLOOKUP($C91,$C$64:$AH$78,J$63,FALSE),1)</f>
        <v>11.661091018632002</v>
      </c>
      <c r="K91" s="10">
        <f ca="1">SUMIFS(K$3:K$61,$A$3:$A$61,$A91,$D$3:$D$61,$B91)*SUMIF('COM balance'!$D$5:$D$25,'COM Assumptions'!$A91,'COM balance'!K$5:K$25)*IFERROR(VLOOKUP($C91,$C$64:$AH$78,K$63,FALSE),1)</f>
        <v>14.545947822660001</v>
      </c>
      <c r="L91" s="10">
        <f ca="1">SUMIFS(L$3:L$61,$A$3:$A$61,$A91,$D$3:$D$61,$B91)*SUMIF('COM balance'!$D$5:$D$25,'COM Assumptions'!$A91,'COM balance'!L$5:L$25)*IFERROR(VLOOKUP($C91,$C$64:$AH$78,L$63,FALSE),1)</f>
        <v>10.15503818256</v>
      </c>
      <c r="M91" s="10">
        <f ca="1">SUMIFS(M$3:M$61,$A$3:$A$61,$A91,$D$3:$D$61,$B91)*SUMIF('COM balance'!$D$5:$D$25,'COM Assumptions'!$A91,'COM balance'!M$5:M$25)*IFERROR(VLOOKUP($C91,$C$64:$AH$78,M$63,FALSE),1)</f>
        <v>21.793824024191998</v>
      </c>
      <c r="N91" s="10">
        <f ca="1">SUMIFS(N$3:N$61,$A$3:$A$61,$A91,$D$3:$D$61,$B91)*SUMIF('COM balance'!$D$5:$D$25,'COM Assumptions'!$A91,'COM balance'!N$5:N$25)*IFERROR(VLOOKUP($C91,$C$64:$AH$78,N$63,FALSE),1)</f>
        <v>87.718443966720002</v>
      </c>
      <c r="O91" s="10">
        <f ca="1">SUMIFS(O$3:O$61,$A$3:$A$61,$A91,$D$3:$D$61,$B91)*SUMIF('COM balance'!$D$5:$D$25,'COM Assumptions'!$A91,'COM balance'!O$5:O$25)*IFERROR(VLOOKUP($C91,$C$64:$AH$78,O$63,FALSE),1)</f>
        <v>7.9670856684959999</v>
      </c>
      <c r="P91" s="10">
        <f ca="1">SUMIFS(P$3:P$61,$A$3:$A$61,$A91,$D$3:$D$61,$B91)*SUMIF('COM balance'!$D$5:$D$25,'COM Assumptions'!$A91,'COM balance'!P$5:P$25)*IFERROR(VLOOKUP($C91,$C$64:$AH$78,P$63,FALSE),1)</f>
        <v>10.128335023368001</v>
      </c>
      <c r="Q91" s="10">
        <f ca="1">SUMIFS(Q$3:Q$61,$A$3:$A$61,$A91,$D$3:$D$61,$B91)*SUMIF('COM balance'!$D$5:$D$25,'COM Assumptions'!$A91,'COM balance'!Q$5:Q$25)*IFERROR(VLOOKUP($C91,$C$64:$AH$78,Q$63,FALSE),1)</f>
        <v>10.538147297231999</v>
      </c>
      <c r="R91" s="10">
        <f ca="1">SUMIFS(R$3:R$61,$A$3:$A$61,$A91,$D$3:$D$61,$B91)*SUMIF('COM balance'!$D$5:$D$25,'COM Assumptions'!$A91,'COM balance'!R$5:R$25)*IFERROR(VLOOKUP($C91,$C$64:$AH$78,R$63,FALSE),1)</f>
        <v>15.896263212432</v>
      </c>
      <c r="S91" s="10">
        <f ca="1">SUMIFS(S$3:S$61,$A$3:$A$61,$A91,$D$3:$D$61,$B91)*SUMIF('COM balance'!$D$5:$D$25,'COM Assumptions'!$A91,'COM balance'!S$5:S$25)*IFERROR(VLOOKUP($C91,$C$64:$AH$78,S$63,FALSE),1)</f>
        <v>3.8419992679679997</v>
      </c>
      <c r="T91" s="10">
        <f ca="1">SUMIFS(T$3:T$61,$A$3:$A$61,$A91,$D$3:$D$61,$B91)*SUMIF('COM balance'!$D$5:$D$25,'COM Assumptions'!$A91,'COM balance'!T$5:T$25)*IFERROR(VLOOKUP($C91,$C$64:$AH$78,T$63,FALSE),1)</f>
        <v>13.114040995584</v>
      </c>
      <c r="U91" s="10">
        <f ca="1">SUMIFS(U$3:U$61,$A$3:$A$61,$A91,$D$3:$D$61,$B91)*SUMIF('COM balance'!$D$5:$D$25,'COM Assumptions'!$A91,'COM balance'!U$5:U$25)*IFERROR(VLOOKUP($C91,$C$64:$AH$78,U$63,FALSE),1)</f>
        <v>14.716067722451999</v>
      </c>
      <c r="V91" s="10">
        <f ca="1">SUMIFS(V$3:V$61,$A$3:$A$61,$A91,$D$3:$D$61,$B91)*SUMIF('COM balance'!$D$5:$D$25,'COM Assumptions'!$A91,'COM balance'!V$5:V$25)*IFERROR(VLOOKUP($C91,$C$64:$AH$78,V$63,FALSE),1)</f>
        <v>19.671706762992002</v>
      </c>
      <c r="W91" s="10">
        <f ca="1">SUMIFS(W$3:W$61,$A$3:$A$61,$A91,$D$3:$D$61,$B91)*SUMIF('COM balance'!$D$5:$D$25,'COM Assumptions'!$A91,'COM balance'!W$5:W$25)*IFERROR(VLOOKUP($C91,$C$64:$AH$78,W$63,FALSE),1)</f>
        <v>18.716256059328</v>
      </c>
      <c r="X91" s="10">
        <f ca="1">SUMIFS(X$3:X$61,$A$3:$A$61,$A91,$D$3:$D$61,$B91)*SUMIF('COM balance'!$D$5:$D$25,'COM Assumptions'!$A91,'COM balance'!X$5:X$25)*IFERROR(VLOOKUP($C91,$C$64:$AH$78,X$63,FALSE),1)</f>
        <v>12.275225035884</v>
      </c>
      <c r="Y91" s="10">
        <f ca="1">SUMIFS(Y$3:Y$61,$A$3:$A$61,$A91,$D$3:$D$61,$B91)*SUMIF('COM balance'!$D$5:$D$25,'COM Assumptions'!$A91,'COM balance'!Y$5:Y$25)*IFERROR(VLOOKUP($C91,$C$64:$AH$78,Y$63,FALSE),1)</f>
        <v>6.4335272311439997</v>
      </c>
      <c r="Z91" s="10">
        <f ca="1">SUMIFS(Z$3:Z$61,$A$3:$A$61,$A91,$D$3:$D$61,$B91)*SUMIF('COM balance'!$D$5:$D$25,'COM Assumptions'!$A91,'COM balance'!Z$5:Z$25)*IFERROR(VLOOKUP($C91,$C$64:$AH$78,Z$63,FALSE),1)</f>
        <v>2.0675879593199999</v>
      </c>
      <c r="AA91" s="10">
        <f ca="1">SUMIFS(AA$3:AA$61,$A$3:$A$61,$A91,$D$3:$D$61,$B91)*SUMIF('COM balance'!$D$5:$D$25,'COM Assumptions'!$A91,'COM balance'!AA$5:AA$25)*IFERROR(VLOOKUP($C91,$C$64:$AH$78,AA$63,FALSE),1)</f>
        <v>16.727547453875999</v>
      </c>
      <c r="AB91" s="10">
        <f ca="1">SUMIFS(AB$3:AB$61,$A$3:$A$61,$A91,$D$3:$D$61,$B91)*SUMIF('COM balance'!$D$5:$D$25,'COM Assumptions'!$A91,'COM balance'!AB$5:AB$25)*IFERROR(VLOOKUP($C91,$C$64:$AH$78,AB$63,FALSE),1)</f>
        <v>3.9680710172640001</v>
      </c>
      <c r="AC91" s="10">
        <f ca="1">SUMIFS(AC$3:AC$61,$A$3:$A$61,$A91,$D$3:$D$61,$B91)*SUMIF('COM balance'!$D$5:$D$25,'COM Assumptions'!$A91,'COM balance'!AC$5:AC$25)*IFERROR(VLOOKUP($C91,$C$64:$AH$78,AC$63,FALSE),1)</f>
        <v>16.509841180776</v>
      </c>
      <c r="AD91" s="10">
        <f ca="1">SUMIFS(AD$3:AD$61,$A$3:$A$61,$A91,$D$3:$D$61,$B91)*SUMIF('COM balance'!$D$5:$D$25,'COM Assumptions'!$A91,'COM balance'!AD$5:AD$25)*IFERROR(VLOOKUP($C91,$C$64:$AH$78,AD$63,FALSE),1)</f>
        <v>13.218611559084</v>
      </c>
      <c r="AE91" s="10">
        <f ca="1">SUMIFS(AE$3:AE$61,$A$3:$A$61,$A91,$D$3:$D$61,$B91)*SUMIF('COM balance'!$D$5:$D$25,'COM Assumptions'!$A91,'COM balance'!AE$5:AE$25)*IFERROR(VLOOKUP($C91,$C$64:$AH$78,AE$63,FALSE),1)</f>
        <v>6.6793686746400001</v>
      </c>
      <c r="AF91" s="10">
        <f ca="1">SUMIFS(AF$3:AF$61,$A$3:$A$61,$A91,$D$3:$D$61,$B91)*SUMIF('COM balance'!$D$5:$D$25,'COM Assumptions'!$A91,'COM balance'!AF$5:AF$25)*IFERROR(VLOOKUP($C91,$C$64:$AH$78,AF$63,FALSE),1)</f>
        <v>12.977371283184</v>
      </c>
      <c r="AG91" s="10">
        <f ca="1">SUMIFS(AG$3:AG$61,$A$3:$A$61,$A91,$D$3:$D$61,$B91)*SUMIF('COM balance'!$D$5:$D$25,'COM Assumptions'!$A91,'COM balance'!AG$5:AG$25)*IFERROR(VLOOKUP($C91,$C$64:$AH$78,AG$63,FALSE),1)</f>
        <v>50.646255789053399</v>
      </c>
      <c r="AH91" s="10">
        <f ca="1">SUMIFS(AH$3:AH$61,$A$3:$A$61,$A91,$D$3:$D$61,$B91)*SUMIF('COM balance'!$D$5:$D$25,'COM Assumptions'!$A91,'COM balance'!AH$5:AH$25)*IFERROR(VLOOKUP($C91,$C$64:$AH$78,AH$63,FALSE),1)</f>
        <v>0</v>
      </c>
      <c r="AI91" s="10"/>
      <c r="AJ91" s="37" t="s">
        <v>188</v>
      </c>
      <c r="AK91" s="37" t="s">
        <v>18</v>
      </c>
      <c r="AN91" s="8"/>
      <c r="AO91" s="8"/>
    </row>
    <row r="92" spans="1:43" x14ac:dyDescent="0.45">
      <c r="A92" s="8" t="str">
        <f t="shared" si="40"/>
        <v>COMKER</v>
      </c>
      <c r="B92" s="8" t="str">
        <f t="shared" si="41"/>
        <v>CCK</v>
      </c>
      <c r="C92" s="8" t="str">
        <f>SUBSTITUTE(SUBSTITUTE(SUBSTITUTE('COM Veda input'!B15,"CC1","CL"),"000",""),"CH1","CH")</f>
        <v>CCKKER</v>
      </c>
      <c r="E92" s="10">
        <f ca="1">SUMIFS(E$3:E$61,$A$3:$A$61,$A92,$D$3:$D$61,$B92)*SUMIF('COM balance'!$D$5:$D$25,'COM Assumptions'!$A92,'COM balance'!E$5:E$25)*IFERROR(VLOOKUP($C92,$C$64:$AH$78,E$63,FALSE),1)</f>
        <v>0</v>
      </c>
      <c r="F92" s="10">
        <f ca="1">SUMIFS(F$3:F$61,$A$3:$A$61,$A92,$D$3:$D$61,$B92)*SUMIF('COM balance'!$D$5:$D$25,'COM Assumptions'!$A92,'COM balance'!F$5:F$25)*IFERROR(VLOOKUP($C92,$C$64:$AH$78,F$63,FALSE),1)</f>
        <v>5.7674216700000003E-2</v>
      </c>
      <c r="G92" s="10">
        <f ca="1">SUMIFS(G$3:G$61,$A$3:$A$61,$A92,$D$3:$D$61,$B92)*SUMIF('COM balance'!$D$5:$D$25,'COM Assumptions'!$A92,'COM balance'!G$5:G$25)*IFERROR(VLOOKUP($C92,$C$64:$AH$78,G$63,FALSE),1)</f>
        <v>2.2497769800000002E-3</v>
      </c>
      <c r="H92" s="10">
        <f ca="1">SUMIFS(H$3:H$61,$A$3:$A$61,$A92,$D$3:$D$61,$B92)*SUMIF('COM balance'!$D$5:$D$25,'COM Assumptions'!$A92,'COM balance'!H$5:H$25)*IFERROR(VLOOKUP($C92,$C$64:$AH$78,H$63,FALSE),1)</f>
        <v>2.1834162000000001E-2</v>
      </c>
      <c r="I92" s="10">
        <f ca="1">SUMIFS(I$3:I$61,$A$3:$A$61,$A92,$D$3:$D$61,$B92)*SUMIF('COM balance'!$D$5:$D$25,'COM Assumptions'!$A92,'COM balance'!I$5:I$25)*IFERROR(VLOOKUP($C92,$C$64:$AH$78,I$63,FALSE),1)</f>
        <v>0</v>
      </c>
      <c r="J92" s="10">
        <f ca="1">SUMIFS(J$3:J$61,$A$3:$A$61,$A92,$D$3:$D$61,$B92)*SUMIF('COM balance'!$D$5:$D$25,'COM Assumptions'!$A92,'COM balance'!J$5:J$25)*IFERROR(VLOOKUP($C92,$C$64:$AH$78,J$63,FALSE),1)</f>
        <v>4.9249391202000004</v>
      </c>
      <c r="K92" s="10">
        <f ca="1">SUMIFS(K$3:K$61,$A$3:$A$61,$A92,$D$3:$D$61,$B92)*SUMIF('COM balance'!$D$5:$D$25,'COM Assumptions'!$A92,'COM balance'!K$5:K$25)*IFERROR(VLOOKUP($C92,$C$64:$AH$78,K$63,FALSE),1)</f>
        <v>6.1797168000000003E-4</v>
      </c>
      <c r="L92" s="10">
        <f ca="1">SUMIFS(L$3:L$61,$A$3:$A$61,$A92,$D$3:$D$61,$B92)*SUMIF('COM balance'!$D$5:$D$25,'COM Assumptions'!$A92,'COM balance'!L$5:L$25)*IFERROR(VLOOKUP($C92,$C$64:$AH$78,L$63,FALSE),1)</f>
        <v>0</v>
      </c>
      <c r="M92" s="10">
        <f ca="1">SUMIFS(M$3:M$61,$A$3:$A$61,$A92,$D$3:$D$61,$B92)*SUMIF('COM balance'!$D$5:$D$25,'COM Assumptions'!$A92,'COM balance'!M$5:M$25)*IFERROR(VLOOKUP($C92,$C$64:$AH$78,M$63,FALSE),1)</f>
        <v>13.1049582354</v>
      </c>
      <c r="N92" s="10">
        <f ca="1">SUMIFS(N$3:N$61,$A$3:$A$61,$A92,$D$3:$D$61,$B92)*SUMIF('COM balance'!$D$5:$D$25,'COM Assumptions'!$A92,'COM balance'!N$5:N$25)*IFERROR(VLOOKUP($C92,$C$64:$AH$78,N$63,FALSE),1)</f>
        <v>25.482756396240003</v>
      </c>
      <c r="O92" s="10">
        <f ca="1">SUMIFS(O$3:O$61,$A$3:$A$61,$A92,$D$3:$D$61,$B92)*SUMIF('COM balance'!$D$5:$D$25,'COM Assumptions'!$A92,'COM balance'!O$5:O$25)*IFERROR(VLOOKUP($C92,$C$64:$AH$78,O$63,FALSE),1)</f>
        <v>1.7071677E-2</v>
      </c>
      <c r="P92" s="10">
        <f ca="1">SUMIFS(P$3:P$61,$A$3:$A$61,$A92,$D$3:$D$61,$B92)*SUMIF('COM balance'!$D$5:$D$25,'COM Assumptions'!$A92,'COM balance'!P$5:P$25)*IFERROR(VLOOKUP($C92,$C$64:$AH$78,P$63,FALSE),1)</f>
        <v>7.096626E-4</v>
      </c>
      <c r="Q92" s="10">
        <f ca="1">SUMIFS(Q$3:Q$61,$A$3:$A$61,$A92,$D$3:$D$61,$B92)*SUMIF('COM balance'!$D$5:$D$25,'COM Assumptions'!$A92,'COM balance'!Q$5:Q$25)*IFERROR(VLOOKUP($C92,$C$64:$AH$78,Q$63,FALSE),1)</f>
        <v>1.7797709987999999</v>
      </c>
      <c r="R92" s="10">
        <f ca="1">SUMIFS(R$3:R$61,$A$3:$A$61,$A92,$D$3:$D$61,$B92)*SUMIF('COM balance'!$D$5:$D$25,'COM Assumptions'!$A92,'COM balance'!R$5:R$25)*IFERROR(VLOOKUP($C92,$C$64:$AH$78,R$63,FALSE),1)</f>
        <v>5.0419538999999999E-2</v>
      </c>
      <c r="S92" s="10">
        <f ca="1">SUMIFS(S$3:S$61,$A$3:$A$61,$A92,$D$3:$D$61,$B92)*SUMIF('COM balance'!$D$5:$D$25,'COM Assumptions'!$A92,'COM balance'!S$5:S$25)*IFERROR(VLOOKUP($C92,$C$64:$AH$78,S$63,FALSE),1)</f>
        <v>6.3911502E-3</v>
      </c>
      <c r="T92" s="10">
        <f ca="1">SUMIFS(T$3:T$61,$A$3:$A$61,$A92,$D$3:$D$61,$B92)*SUMIF('COM balance'!$D$5:$D$25,'COM Assumptions'!$A92,'COM balance'!T$5:T$25)*IFERROR(VLOOKUP($C92,$C$64:$AH$78,T$63,FALSE),1)</f>
        <v>4.3961400000000002E-5</v>
      </c>
      <c r="U92" s="10">
        <f ca="1">SUMIFS(U$3:U$61,$A$3:$A$61,$A92,$D$3:$D$61,$B92)*SUMIF('COM balance'!$D$5:$D$25,'COM Assumptions'!$A92,'COM balance'!U$5:U$25)*IFERROR(VLOOKUP($C92,$C$64:$AH$78,U$63,FALSE),1)</f>
        <v>0</v>
      </c>
      <c r="V92" s="10">
        <f ca="1">SUMIFS(V$3:V$61,$A$3:$A$61,$A92,$D$3:$D$61,$B92)*SUMIF('COM balance'!$D$5:$D$25,'COM Assumptions'!$A92,'COM balance'!V$5:V$25)*IFERROR(VLOOKUP($C92,$C$64:$AH$78,V$63,FALSE),1)</f>
        <v>0</v>
      </c>
      <c r="W92" s="10">
        <f ca="1">SUMIFS(W$3:W$61,$A$3:$A$61,$A92,$D$3:$D$61,$B92)*SUMIF('COM balance'!$D$5:$D$25,'COM Assumptions'!$A92,'COM balance'!W$5:W$25)*IFERROR(VLOOKUP($C92,$C$64:$AH$78,W$63,FALSE),1)</f>
        <v>0</v>
      </c>
      <c r="X92" s="10">
        <f ca="1">SUMIFS(X$3:X$61,$A$3:$A$61,$A92,$D$3:$D$61,$B92)*SUMIF('COM balance'!$D$5:$D$25,'COM Assumptions'!$A92,'COM balance'!X$5:X$25)*IFERROR(VLOOKUP($C92,$C$64:$AH$78,X$63,FALSE),1)</f>
        <v>0</v>
      </c>
      <c r="Y92" s="10">
        <f ca="1">SUMIFS(Y$3:Y$61,$A$3:$A$61,$A92,$D$3:$D$61,$B92)*SUMIF('COM balance'!$D$5:$D$25,'COM Assumptions'!$A92,'COM balance'!Y$5:Y$25)*IFERROR(VLOOKUP($C92,$C$64:$AH$78,Y$63,FALSE),1)</f>
        <v>1.5237439920000002E-2</v>
      </c>
      <c r="Z92" s="10">
        <f ca="1">SUMIFS(Z$3:Z$61,$A$3:$A$61,$A92,$D$3:$D$61,$B92)*SUMIF('COM balance'!$D$5:$D$25,'COM Assumptions'!$A92,'COM balance'!Z$5:Z$25)*IFERROR(VLOOKUP($C92,$C$64:$AH$78,Z$63,FALSE),1)</f>
        <v>0</v>
      </c>
      <c r="AA92" s="10">
        <f ca="1">SUMIFS(AA$3:AA$61,$A$3:$A$61,$A92,$D$3:$D$61,$B92)*SUMIF('COM balance'!$D$5:$D$25,'COM Assumptions'!$A92,'COM balance'!AA$5:AA$25)*IFERROR(VLOOKUP($C92,$C$64:$AH$78,AA$63,FALSE),1)</f>
        <v>0.30312222659999999</v>
      </c>
      <c r="AB92" s="10">
        <f ca="1">SUMIFS(AB$3:AB$61,$A$3:$A$61,$A92,$D$3:$D$61,$B92)*SUMIF('COM balance'!$D$5:$D$25,'COM Assumptions'!$A92,'COM balance'!AB$5:AB$25)*IFERROR(VLOOKUP($C92,$C$64:$AH$78,AB$63,FALSE),1)</f>
        <v>3.4331759999999998E-4</v>
      </c>
      <c r="AC92" s="10">
        <f ca="1">SUMIFS(AC$3:AC$61,$A$3:$A$61,$A92,$D$3:$D$61,$B92)*SUMIF('COM balance'!$D$5:$D$25,'COM Assumptions'!$A92,'COM balance'!AC$5:AC$25)*IFERROR(VLOOKUP($C92,$C$64:$AH$78,AC$63,FALSE),1)</f>
        <v>0</v>
      </c>
      <c r="AD92" s="10">
        <f ca="1">SUMIFS(AD$3:AD$61,$A$3:$A$61,$A92,$D$3:$D$61,$B92)*SUMIF('COM balance'!$D$5:$D$25,'COM Assumptions'!$A92,'COM balance'!AD$5:AD$25)*IFERROR(VLOOKUP($C92,$C$64:$AH$78,AD$63,FALSE),1)</f>
        <v>0</v>
      </c>
      <c r="AE92" s="10">
        <f ca="1">SUMIFS(AE$3:AE$61,$A$3:$A$61,$A92,$D$3:$D$61,$B92)*SUMIF('COM balance'!$D$5:$D$25,'COM Assumptions'!$A92,'COM balance'!AE$5:AE$25)*IFERROR(VLOOKUP($C92,$C$64:$AH$78,AE$63,FALSE),1)</f>
        <v>0.15167771567999999</v>
      </c>
      <c r="AF92" s="10">
        <f ca="1">SUMIFS(AF$3:AF$61,$A$3:$A$61,$A92,$D$3:$D$61,$B92)*SUMIF('COM balance'!$D$5:$D$25,'COM Assumptions'!$A92,'COM balance'!AF$5:AF$25)*IFERROR(VLOOKUP($C92,$C$64:$AH$78,AF$63,FALSE),1)</f>
        <v>17.071000831799999</v>
      </c>
      <c r="AG92" s="10">
        <f ca="1">SUMIFS(AG$3:AG$61,$A$3:$A$61,$A92,$D$3:$D$61,$B92)*SUMIF('COM balance'!$D$5:$D$25,'COM Assumptions'!$A92,'COM balance'!AG$5:AG$25)*IFERROR(VLOOKUP($C92,$C$64:$AH$78,AG$63,FALSE),1)</f>
        <v>0</v>
      </c>
      <c r="AH92" s="10">
        <f ca="1">SUMIFS(AH$3:AH$61,$A$3:$A$61,$A92,$D$3:$D$61,$B92)*SUMIF('COM balance'!$D$5:$D$25,'COM Assumptions'!$A92,'COM balance'!AH$5:AH$25)*IFERROR(VLOOKUP($C92,$C$64:$AH$78,AH$63,FALSE),1)</f>
        <v>0</v>
      </c>
      <c r="AI92" s="10"/>
      <c r="AJ92" s="37" t="s">
        <v>24</v>
      </c>
      <c r="AK92" s="37" t="str">
        <f>AJ92</f>
        <v>GEO</v>
      </c>
      <c r="AN92" s="8"/>
      <c r="AO92" s="8"/>
    </row>
    <row r="93" spans="1:43" x14ac:dyDescent="0.45">
      <c r="A93" s="8" t="str">
        <f t="shared" si="40"/>
        <v>COMLPG</v>
      </c>
      <c r="B93" s="8" t="str">
        <f t="shared" si="41"/>
        <v>CCK</v>
      </c>
      <c r="C93" s="8" t="str">
        <f>SUBSTITUTE(SUBSTITUTE(SUBSTITUTE('COM Veda input'!B16,"CC1","CL"),"000",""),"CH1","CH")</f>
        <v>CCKLPG</v>
      </c>
      <c r="E93" s="10">
        <f ca="1">SUMIFS(E$3:E$61,$A$3:$A$61,$A93,$D$3:$D$61,$B93)*SUMIF('COM balance'!$D$5:$D$25,'COM Assumptions'!$A93,'COM balance'!E$5:E$25)*IFERROR(VLOOKUP($C93,$C$64:$AH$78,E$63,FALSE),1)</f>
        <v>5.7304250117999995</v>
      </c>
      <c r="F93" s="10">
        <f ca="1">SUMIFS(F$3:F$61,$A$3:$A$61,$A93,$D$3:$D$61,$B93)*SUMIF('COM balance'!$D$5:$D$25,'COM Assumptions'!$A93,'COM balance'!F$5:F$25)*IFERROR(VLOOKUP($C93,$C$64:$AH$78,F$63,FALSE),1)</f>
        <v>13.960206338400001</v>
      </c>
      <c r="G93" s="10">
        <f ca="1">SUMIFS(G$3:G$61,$A$3:$A$61,$A93,$D$3:$D$61,$B93)*SUMIF('COM balance'!$D$5:$D$25,'COM Assumptions'!$A93,'COM balance'!G$5:G$25)*IFERROR(VLOOKUP($C93,$C$64:$AH$78,G$63,FALSE),1)</f>
        <v>15.759754943040001</v>
      </c>
      <c r="H93" s="10">
        <f ca="1">SUMIFS(H$3:H$61,$A$3:$A$61,$A93,$D$3:$D$61,$B93)*SUMIF('COM balance'!$D$5:$D$25,'COM Assumptions'!$A93,'COM balance'!H$5:H$25)*IFERROR(VLOOKUP($C93,$C$64:$AH$78,H$63,FALSE),1)</f>
        <v>0.13286353085089792</v>
      </c>
      <c r="I93" s="10">
        <f ca="1">SUMIFS(I$3:I$61,$A$3:$A$61,$A93,$D$3:$D$61,$B93)*SUMIF('COM balance'!$D$5:$D$25,'COM Assumptions'!$A93,'COM balance'!I$5:I$25)*IFERROR(VLOOKUP($C93,$C$64:$AH$78,I$63,FALSE),1)</f>
        <v>0</v>
      </c>
      <c r="J93" s="10">
        <f ca="1">SUMIFS(J$3:J$61,$A$3:$A$61,$A93,$D$3:$D$61,$B93)*SUMIF('COM balance'!$D$5:$D$25,'COM Assumptions'!$A93,'COM balance'!J$5:J$25)*IFERROR(VLOOKUP($C93,$C$64:$AH$78,J$63,FALSE),1)</f>
        <v>96.636224971440001</v>
      </c>
      <c r="K93" s="10">
        <f ca="1">SUMIFS(K$3:K$61,$A$3:$A$61,$A93,$D$3:$D$61,$B93)*SUMIF('COM balance'!$D$5:$D$25,'COM Assumptions'!$A93,'COM balance'!K$5:K$25)*IFERROR(VLOOKUP($C93,$C$64:$AH$78,K$63,FALSE),1)</f>
        <v>0.90859086575999992</v>
      </c>
      <c r="L93" s="10">
        <f ca="1">SUMIFS(L$3:L$61,$A$3:$A$61,$A93,$D$3:$D$61,$B93)*SUMIF('COM balance'!$D$5:$D$25,'COM Assumptions'!$A93,'COM balance'!L$5:L$25)*IFERROR(VLOOKUP($C93,$C$64:$AH$78,L$63,FALSE),1)</f>
        <v>24.582928502879998</v>
      </c>
      <c r="M93" s="10">
        <f ca="1">SUMIFS(M$3:M$61,$A$3:$A$61,$A93,$D$3:$D$61,$B93)*SUMIF('COM balance'!$D$5:$D$25,'COM Assumptions'!$A93,'COM balance'!M$5:M$25)*IFERROR(VLOOKUP($C93,$C$64:$AH$78,M$63,FALSE),1)</f>
        <v>25.196710870799997</v>
      </c>
      <c r="N93" s="10">
        <f ca="1">SUMIFS(N$3:N$61,$A$3:$A$61,$A93,$D$3:$D$61,$B93)*SUMIF('COM balance'!$D$5:$D$25,'COM Assumptions'!$A93,'COM balance'!N$5:N$25)*IFERROR(VLOOKUP($C93,$C$64:$AH$78,N$63,FALSE),1)</f>
        <v>42.506229511800001</v>
      </c>
      <c r="O93" s="10">
        <f ca="1">SUMIFS(O$3:O$61,$A$3:$A$61,$A93,$D$3:$D$61,$B93)*SUMIF('COM balance'!$D$5:$D$25,'COM Assumptions'!$A93,'COM balance'!O$5:O$25)*IFERROR(VLOOKUP($C93,$C$64:$AH$78,O$63,FALSE),1)</f>
        <v>0.45224976239999998</v>
      </c>
      <c r="P93" s="10">
        <f ca="1">SUMIFS(P$3:P$61,$A$3:$A$61,$A93,$D$3:$D$61,$B93)*SUMIF('COM balance'!$D$5:$D$25,'COM Assumptions'!$A93,'COM balance'!P$5:P$25)*IFERROR(VLOOKUP($C93,$C$64:$AH$78,P$63,FALSE),1)</f>
        <v>0.33197496829340373</v>
      </c>
      <c r="Q93" s="10">
        <f ca="1">SUMIFS(Q$3:Q$61,$A$3:$A$61,$A93,$D$3:$D$61,$B93)*SUMIF('COM balance'!$D$5:$D$25,'COM Assumptions'!$A93,'COM balance'!Q$5:Q$25)*IFERROR(VLOOKUP($C93,$C$64:$AH$78,Q$63,FALSE),1)</f>
        <v>4.2408097199999997</v>
      </c>
      <c r="R93" s="10">
        <f ca="1">SUMIFS(R$3:R$61,$A$3:$A$61,$A93,$D$3:$D$61,$B93)*SUMIF('COM balance'!$D$5:$D$25,'COM Assumptions'!$A93,'COM balance'!R$5:R$25)*IFERROR(VLOOKUP($C93,$C$64:$AH$78,R$63,FALSE),1)</f>
        <v>11.1621071898</v>
      </c>
      <c r="S93" s="10">
        <f ca="1">SUMIFS(S$3:S$61,$A$3:$A$61,$A93,$D$3:$D$61,$B93)*SUMIF('COM balance'!$D$5:$D$25,'COM Assumptions'!$A93,'COM balance'!S$5:S$25)*IFERROR(VLOOKUP($C93,$C$64:$AH$78,S$63,FALSE),1)</f>
        <v>0.19878979741868572</v>
      </c>
      <c r="T93" s="10">
        <f ca="1">SUMIFS(T$3:T$61,$A$3:$A$61,$A93,$D$3:$D$61,$B93)*SUMIF('COM balance'!$D$5:$D$25,'COM Assumptions'!$A93,'COM balance'!T$5:T$25)*IFERROR(VLOOKUP($C93,$C$64:$AH$78,T$63,FALSE),1)</f>
        <v>5.7267699354000001</v>
      </c>
      <c r="U93" s="10">
        <f ca="1">SUMIFS(U$3:U$61,$A$3:$A$61,$A93,$D$3:$D$61,$B93)*SUMIF('COM balance'!$D$5:$D$25,'COM Assumptions'!$A93,'COM balance'!U$5:U$25)*IFERROR(VLOOKUP($C93,$C$64:$AH$78,U$63,FALSE),1)</f>
        <v>24.757062329699998</v>
      </c>
      <c r="V93" s="10">
        <f ca="1">SUMIFS(V$3:V$61,$A$3:$A$61,$A93,$D$3:$D$61,$B93)*SUMIF('COM balance'!$D$5:$D$25,'COM Assumptions'!$A93,'COM balance'!V$5:V$25)*IFERROR(VLOOKUP($C93,$C$64:$AH$78,V$63,FALSE),1)</f>
        <v>6.8868212652</v>
      </c>
      <c r="W93" s="10">
        <f ca="1">SUMIFS(W$3:W$61,$A$3:$A$61,$A93,$D$3:$D$61,$B93)*SUMIF('COM balance'!$D$5:$D$25,'COM Assumptions'!$A93,'COM balance'!W$5:W$25)*IFERROR(VLOOKUP($C93,$C$64:$AH$78,W$63,FALSE),1)</f>
        <v>4.1630001353999999</v>
      </c>
      <c r="X93" s="10">
        <f ca="1">SUMIFS(X$3:X$61,$A$3:$A$61,$A93,$D$3:$D$61,$B93)*SUMIF('COM balance'!$D$5:$D$25,'COM Assumptions'!$A93,'COM balance'!X$5:X$25)*IFERROR(VLOOKUP($C93,$C$64:$AH$78,X$63,FALSE),1)</f>
        <v>111.29500768212</v>
      </c>
      <c r="Y93" s="10">
        <f ca="1">SUMIFS(Y$3:Y$61,$A$3:$A$61,$A93,$D$3:$D$61,$B93)*SUMIF('COM balance'!$D$5:$D$25,'COM Assumptions'!$A93,'COM balance'!Y$5:Y$25)*IFERROR(VLOOKUP($C93,$C$64:$AH$78,Y$63,FALSE),1)</f>
        <v>24.402672946439999</v>
      </c>
      <c r="Z93" s="10">
        <f ca="1">SUMIFS(Z$3:Z$61,$A$3:$A$61,$A93,$D$3:$D$61,$B93)*SUMIF('COM balance'!$D$5:$D$25,'COM Assumptions'!$A93,'COM balance'!Z$5:Z$25)*IFERROR(VLOOKUP($C93,$C$64:$AH$78,Z$63,FALSE),1)</f>
        <v>54.463973146199997</v>
      </c>
      <c r="AA93" s="10">
        <f ca="1">SUMIFS(AA$3:AA$61,$A$3:$A$61,$A93,$D$3:$D$61,$B93)*SUMIF('COM balance'!$D$5:$D$25,'COM Assumptions'!$A93,'COM balance'!AA$5:AA$25)*IFERROR(VLOOKUP($C93,$C$64:$AH$78,AA$63,FALSE),1)</f>
        <v>9.4645932038999998</v>
      </c>
      <c r="AB93" s="10">
        <f ca="1">SUMIFS(AB$3:AB$61,$A$3:$A$61,$A93,$D$3:$D$61,$B93)*SUMIF('COM balance'!$D$5:$D$25,'COM Assumptions'!$A93,'COM balance'!AB$5:AB$25)*IFERROR(VLOOKUP($C93,$C$64:$AH$78,AB$63,FALSE),1)</f>
        <v>0.61626137219999999</v>
      </c>
      <c r="AC93" s="10">
        <f ca="1">SUMIFS(AC$3:AC$61,$A$3:$A$61,$A93,$D$3:$D$61,$B93)*SUMIF('COM balance'!$D$5:$D$25,'COM Assumptions'!$A93,'COM balance'!AC$5:AC$25)*IFERROR(VLOOKUP($C93,$C$64:$AH$78,AC$63,FALSE),1)</f>
        <v>7.0875246447409987E-2</v>
      </c>
      <c r="AD93" s="10">
        <f ca="1">SUMIFS(AD$3:AD$61,$A$3:$A$61,$A93,$D$3:$D$61,$B93)*SUMIF('COM balance'!$D$5:$D$25,'COM Assumptions'!$A93,'COM balance'!AD$5:AD$25)*IFERROR(VLOOKUP($C93,$C$64:$AH$78,AD$63,FALSE),1)</f>
        <v>0</v>
      </c>
      <c r="AE93" s="10">
        <f ca="1">SUMIFS(AE$3:AE$61,$A$3:$A$61,$A93,$D$3:$D$61,$B93)*SUMIF('COM balance'!$D$5:$D$25,'COM Assumptions'!$A93,'COM balance'!AE$5:AE$25)*IFERROR(VLOOKUP($C93,$C$64:$AH$78,AE$63,FALSE),1)</f>
        <v>1.3561087068</v>
      </c>
      <c r="AF93" s="10">
        <f ca="1">SUMIFS(AF$3:AF$61,$A$3:$A$61,$A93,$D$3:$D$61,$B93)*SUMIF('COM balance'!$D$5:$D$25,'COM Assumptions'!$A93,'COM balance'!AF$5:AF$25)*IFERROR(VLOOKUP($C93,$C$64:$AH$78,AF$63,FALSE),1)</f>
        <v>8.1590202198000004</v>
      </c>
      <c r="AG93" s="10">
        <f ca="1">SUMIFS(AG$3:AG$61,$A$3:$A$61,$A93,$D$3:$D$61,$B93)*SUMIF('COM balance'!$D$5:$D$25,'COM Assumptions'!$A93,'COM balance'!AG$5:AG$25)*IFERROR(VLOOKUP($C93,$C$64:$AH$78,AG$63,FALSE),1)</f>
        <v>4.9844286458055311</v>
      </c>
      <c r="AH93" s="10">
        <f ca="1">SUMIFS(AH$3:AH$61,$A$3:$A$61,$A93,$D$3:$D$61,$B93)*SUMIF('COM balance'!$D$5:$D$25,'COM Assumptions'!$A93,'COM balance'!AH$5:AH$25)*IFERROR(VLOOKUP($C93,$C$64:$AH$78,AH$63,FALSE),1)</f>
        <v>0</v>
      </c>
      <c r="AI93" s="10"/>
      <c r="AJ93" s="37" t="s">
        <v>186</v>
      </c>
      <c r="AK93" s="37" t="s">
        <v>18</v>
      </c>
      <c r="AN93" s="8"/>
      <c r="AO93" s="8"/>
      <c r="AP93" s="8"/>
      <c r="AQ93" s="8"/>
    </row>
    <row r="94" spans="1:43" x14ac:dyDescent="0.45">
      <c r="A94" s="8" t="str">
        <f t="shared" si="40"/>
        <v>COMNGA</v>
      </c>
      <c r="B94" s="8" t="str">
        <f t="shared" si="41"/>
        <v>CCK</v>
      </c>
      <c r="C94" s="8" t="str">
        <f>SUBSTITUTE(SUBSTITUTE(SUBSTITUTE('COM Veda input'!B17,"CC1","CL"),"000",""),"CH1","CH")</f>
        <v>CCKNGA</v>
      </c>
      <c r="E94" s="10">
        <f ca="1">SUMIFS(E$3:E$61,$A$3:$A$61,$A94,$D$3:$D$61,$B94)*SUMIF('COM balance'!$D$5:$D$25,'COM Assumptions'!$A94,'COM balance'!E$5:E$25)*IFERROR(VLOOKUP($C94,$C$64:$AH$78,E$63,FALSE),1)</f>
        <v>14.932975405319999</v>
      </c>
      <c r="F94" s="10">
        <f ca="1">SUMIFS(F$3:F$61,$A$3:$A$61,$A94,$D$3:$D$61,$B94)*SUMIF('COM balance'!$D$5:$D$25,'COM Assumptions'!$A94,'COM balance'!F$5:F$25)*IFERROR(VLOOKUP($C94,$C$64:$AH$78,F$63,FALSE),1)</f>
        <v>4.695663672E-2</v>
      </c>
      <c r="G94" s="10">
        <f ca="1">SUMIFS(G$3:G$61,$A$3:$A$61,$A94,$D$3:$D$61,$B94)*SUMIF('COM balance'!$D$5:$D$25,'COM Assumptions'!$A94,'COM balance'!G$5:G$25)*IFERROR(VLOOKUP($C94,$C$64:$AH$78,G$63,FALSE),1)</f>
        <v>40.056455375999995</v>
      </c>
      <c r="H94" s="10">
        <f ca="1">SUMIFS(H$3:H$61,$A$3:$A$61,$A94,$D$3:$D$61,$B94)*SUMIF('COM balance'!$D$5:$D$25,'COM Assumptions'!$A94,'COM balance'!H$5:H$25)*IFERROR(VLOOKUP($C94,$C$64:$AH$78,H$63,FALSE),1)</f>
        <v>74.743006775796005</v>
      </c>
      <c r="I94" s="10">
        <f ca="1">SUMIFS(I$3:I$61,$A$3:$A$61,$A94,$D$3:$D$61,$B94)*SUMIF('COM balance'!$D$5:$D$25,'COM Assumptions'!$A94,'COM balance'!I$5:I$25)*IFERROR(VLOOKUP($C94,$C$64:$AH$78,I$63,FALSE),1)</f>
        <v>237.58923356553601</v>
      </c>
      <c r="J94" s="10">
        <f ca="1">SUMIFS(J$3:J$61,$A$3:$A$61,$A94,$D$3:$D$61,$B94)*SUMIF('COM balance'!$D$5:$D$25,'COM Assumptions'!$A94,'COM balance'!J$5:J$25)*IFERROR(VLOOKUP($C94,$C$64:$AH$78,J$63,FALSE),1)</f>
        <v>30.222445107599999</v>
      </c>
      <c r="K94" s="10">
        <f ca="1">SUMIFS(K$3:K$61,$A$3:$A$61,$A94,$D$3:$D$61,$B94)*SUMIF('COM balance'!$D$5:$D$25,'COM Assumptions'!$A94,'COM balance'!K$5:K$25)*IFERROR(VLOOKUP($C94,$C$64:$AH$78,K$63,FALSE),1)</f>
        <v>6.1790527735200005</v>
      </c>
      <c r="L94" s="10">
        <f ca="1">SUMIFS(L$3:L$61,$A$3:$A$61,$A94,$D$3:$D$61,$B94)*SUMIF('COM balance'!$D$5:$D$25,'COM Assumptions'!$A94,'COM balance'!L$5:L$25)*IFERROR(VLOOKUP($C94,$C$64:$AH$78,L$63,FALSE),1)</f>
        <v>4.3091814200399998</v>
      </c>
      <c r="M94" s="10">
        <f ca="1">SUMIFS(M$3:M$61,$A$3:$A$61,$A94,$D$3:$D$61,$B94)*SUMIF('COM balance'!$D$5:$D$25,'COM Assumptions'!$A94,'COM balance'!M$5:M$25)*IFERROR(VLOOKUP($C94,$C$64:$AH$78,M$63,FALSE),1)</f>
        <v>59.259770001720007</v>
      </c>
      <c r="N94" s="10">
        <f ca="1">SUMIFS(N$3:N$61,$A$3:$A$61,$A94,$D$3:$D$61,$B94)*SUMIF('COM balance'!$D$5:$D$25,'COM Assumptions'!$A94,'COM balance'!N$5:N$25)*IFERROR(VLOOKUP($C94,$C$64:$AH$78,N$63,FALSE),1)</f>
        <v>292.90816646982</v>
      </c>
      <c r="O94" s="10">
        <f ca="1">SUMIFS(O$3:O$61,$A$3:$A$61,$A94,$D$3:$D$61,$B94)*SUMIF('COM balance'!$D$5:$D$25,'COM Assumptions'!$A94,'COM balance'!O$5:O$25)*IFERROR(VLOOKUP($C94,$C$64:$AH$78,O$63,FALSE),1)</f>
        <v>2.9348144971200001</v>
      </c>
      <c r="P94" s="10">
        <f ca="1">SUMIFS(P$3:P$61,$A$3:$A$61,$A94,$D$3:$D$61,$B94)*SUMIF('COM balance'!$D$5:$D$25,'COM Assumptions'!$A94,'COM balance'!P$5:P$25)*IFERROR(VLOOKUP($C94,$C$64:$AH$78,P$63,FALSE),1)</f>
        <v>28.977809490252</v>
      </c>
      <c r="Q94" s="10">
        <f ca="1">SUMIFS(Q$3:Q$61,$A$3:$A$61,$A94,$D$3:$D$61,$B94)*SUMIF('COM balance'!$D$5:$D$25,'COM Assumptions'!$A94,'COM balance'!Q$5:Q$25)*IFERROR(VLOOKUP($C94,$C$64:$AH$78,Q$63,FALSE),1)</f>
        <v>44.112565251360003</v>
      </c>
      <c r="R94" s="10">
        <f ca="1">SUMIFS(R$3:R$61,$A$3:$A$61,$A94,$D$3:$D$61,$B94)*SUMIF('COM balance'!$D$5:$D$25,'COM Assumptions'!$A94,'COM balance'!R$5:R$25)*IFERROR(VLOOKUP($C94,$C$64:$AH$78,R$63,FALSE),1)</f>
        <v>60.966662628960002</v>
      </c>
      <c r="S94" s="10">
        <f ca="1">SUMIFS(S$3:S$61,$A$3:$A$61,$A94,$D$3:$D$61,$B94)*SUMIF('COM balance'!$D$5:$D$25,'COM Assumptions'!$A94,'COM balance'!S$5:S$25)*IFERROR(VLOOKUP($C94,$C$64:$AH$78,S$63,FALSE),1)</f>
        <v>17.564636777255998</v>
      </c>
      <c r="T94" s="10">
        <f ca="1">SUMIFS(T$3:T$61,$A$3:$A$61,$A94,$D$3:$D$61,$B94)*SUMIF('COM balance'!$D$5:$D$25,'COM Assumptions'!$A94,'COM balance'!T$5:T$25)*IFERROR(VLOOKUP($C94,$C$64:$AH$78,T$63,FALSE),1)</f>
        <v>18.802142567280001</v>
      </c>
      <c r="U94" s="10">
        <f ca="1">SUMIFS(U$3:U$61,$A$3:$A$61,$A94,$D$3:$D$61,$B94)*SUMIF('COM balance'!$D$5:$D$25,'COM Assumptions'!$A94,'COM balance'!U$5:U$25)*IFERROR(VLOOKUP($C94,$C$64:$AH$78,U$63,FALSE),1)</f>
        <v>185.42460647365201</v>
      </c>
      <c r="V94" s="10">
        <f ca="1">SUMIFS(V$3:V$61,$A$3:$A$61,$A94,$D$3:$D$61,$B94)*SUMIF('COM balance'!$D$5:$D$25,'COM Assumptions'!$A94,'COM balance'!V$5:V$25)*IFERROR(VLOOKUP($C94,$C$64:$AH$78,V$63,FALSE),1)</f>
        <v>51.141695011199999</v>
      </c>
      <c r="W94" s="10">
        <f ca="1">SUMIFS(W$3:W$61,$A$3:$A$61,$A94,$D$3:$D$61,$B94)*SUMIF('COM balance'!$D$5:$D$25,'COM Assumptions'!$A94,'COM balance'!W$5:W$25)*IFERROR(VLOOKUP($C94,$C$64:$AH$78,W$63,FALSE),1)</f>
        <v>82.651692487680009</v>
      </c>
      <c r="X94" s="10">
        <f ca="1">SUMIFS(X$3:X$61,$A$3:$A$61,$A94,$D$3:$D$61,$B94)*SUMIF('COM balance'!$D$5:$D$25,'COM Assumptions'!$A94,'COM balance'!X$5:X$25)*IFERROR(VLOOKUP($C94,$C$64:$AH$78,X$63,FALSE),1)</f>
        <v>68.106955696919997</v>
      </c>
      <c r="Y94" s="10">
        <f ca="1">SUMIFS(Y$3:Y$61,$A$3:$A$61,$A94,$D$3:$D$61,$B94)*SUMIF('COM balance'!$D$5:$D$25,'COM Assumptions'!$A94,'COM balance'!Y$5:Y$25)*IFERROR(VLOOKUP($C94,$C$64:$AH$78,Y$63,FALSE),1)</f>
        <v>25.410937703759995</v>
      </c>
      <c r="Z94" s="10">
        <f ca="1">SUMIFS(Z$3:Z$61,$A$3:$A$61,$A94,$D$3:$D$61,$B94)*SUMIF('COM balance'!$D$5:$D$25,'COM Assumptions'!$A94,'COM balance'!Z$5:Z$25)*IFERROR(VLOOKUP($C94,$C$64:$AH$78,Z$63,FALSE),1)</f>
        <v>6.9060604485599999</v>
      </c>
      <c r="AA94" s="10">
        <f ca="1">SUMIFS(AA$3:AA$61,$A$3:$A$61,$A94,$D$3:$D$61,$B94)*SUMIF('COM balance'!$D$5:$D$25,'COM Assumptions'!$A94,'COM balance'!AA$5:AA$25)*IFERROR(VLOOKUP($C94,$C$64:$AH$78,AA$63,FALSE),1)</f>
        <v>427.232751162336</v>
      </c>
      <c r="AB94" s="10">
        <f ca="1">SUMIFS(AB$3:AB$61,$A$3:$A$61,$A94,$D$3:$D$61,$B94)*SUMIF('COM balance'!$D$5:$D$25,'COM Assumptions'!$A94,'COM balance'!AB$5:AB$25)*IFERROR(VLOOKUP($C94,$C$64:$AH$78,AB$63,FALSE),1)</f>
        <v>0.58002838631999998</v>
      </c>
      <c r="AC94" s="10">
        <f ca="1">SUMIFS(AC$3:AC$61,$A$3:$A$61,$A94,$D$3:$D$61,$B94)*SUMIF('COM balance'!$D$5:$D$25,'COM Assumptions'!$A94,'COM balance'!AC$5:AC$25)*IFERROR(VLOOKUP($C94,$C$64:$AH$78,AC$63,FALSE),1)</f>
        <v>44.854190301240003</v>
      </c>
      <c r="AD94" s="10">
        <f ca="1">SUMIFS(AD$3:AD$61,$A$3:$A$61,$A94,$D$3:$D$61,$B94)*SUMIF('COM balance'!$D$5:$D$25,'COM Assumptions'!$A94,'COM balance'!AD$5:AD$25)*IFERROR(VLOOKUP($C94,$C$64:$AH$78,AD$63,FALSE),1)</f>
        <v>0</v>
      </c>
      <c r="AE94" s="10">
        <f ca="1">SUMIFS(AE$3:AE$61,$A$3:$A$61,$A94,$D$3:$D$61,$B94)*SUMIF('COM balance'!$D$5:$D$25,'COM Assumptions'!$A94,'COM balance'!AE$5:AE$25)*IFERROR(VLOOKUP($C94,$C$64:$AH$78,AE$63,FALSE),1)</f>
        <v>0.77741925911999987</v>
      </c>
      <c r="AF94" s="10">
        <f ca="1">SUMIFS(AF$3:AF$61,$A$3:$A$61,$A94,$D$3:$D$61,$B94)*SUMIF('COM balance'!$D$5:$D$25,'COM Assumptions'!$A94,'COM balance'!AF$5:AF$25)*IFERROR(VLOOKUP($C94,$C$64:$AH$78,AF$63,FALSE),1)</f>
        <v>53.4088597716</v>
      </c>
      <c r="AG94" s="10">
        <f ca="1">SUMIFS(AG$3:AG$61,$A$3:$A$61,$A94,$D$3:$D$61,$B94)*SUMIF('COM balance'!$D$5:$D$25,'COM Assumptions'!$A94,'COM balance'!AG$5:AG$25)*IFERROR(VLOOKUP($C94,$C$64:$AH$78,AG$63,FALSE),1)</f>
        <v>346.57147922076001</v>
      </c>
      <c r="AH94" s="10">
        <f ca="1">SUMIFS(AH$3:AH$61,$A$3:$A$61,$A94,$D$3:$D$61,$B94)*SUMIF('COM balance'!$D$5:$D$25,'COM Assumptions'!$A94,'COM balance'!AH$5:AH$25)*IFERROR(VLOOKUP($C94,$C$64:$AH$78,AH$63,FALSE),1)</f>
        <v>0</v>
      </c>
      <c r="AI94" s="10"/>
      <c r="AJ94" s="37" t="s">
        <v>25</v>
      </c>
      <c r="AK94" s="37" t="str">
        <f>AJ94</f>
        <v>HET</v>
      </c>
      <c r="AN94" s="8"/>
      <c r="AO94" s="8"/>
      <c r="AP94" s="8"/>
      <c r="AQ94" s="8"/>
    </row>
    <row r="95" spans="1:43" x14ac:dyDescent="0.45">
      <c r="A95" s="8" t="str">
        <f t="shared" si="40"/>
        <v>COMSTH</v>
      </c>
      <c r="B95" s="8" t="str">
        <f t="shared" si="41"/>
        <v>CCK</v>
      </c>
      <c r="C95" s="8" t="str">
        <f>SUBSTITUTE(SUBSTITUTE(SUBSTITUTE('COM Veda input'!B18,"CC1","CL"),"000",""),"CH1","CH")</f>
        <v>CCKSTH</v>
      </c>
      <c r="E95" s="10">
        <f ca="1">SUMIFS(E$3:E$61,$A$3:$A$61,$A95,$D$3:$D$61,$B95)*SUMIF('COM balance'!$D$5:$D$25,'COM Assumptions'!$A95,'COM balance'!E$5:E$25)*IFERROR(VLOOKUP($C95,$C$64:$AH$78,E$63,FALSE),1)</f>
        <v>0</v>
      </c>
      <c r="F95" s="10">
        <f ca="1">SUMIFS(F$3:F$61,$A$3:$A$61,$A95,$D$3:$D$61,$B95)*SUMIF('COM balance'!$D$5:$D$25,'COM Assumptions'!$A95,'COM balance'!F$5:F$25)*IFERROR(VLOOKUP($C95,$C$64:$AH$78,F$63,FALSE),1)</f>
        <v>0</v>
      </c>
      <c r="G95" s="10">
        <f ca="1">SUMIFS(G$3:G$61,$A$3:$A$61,$A95,$D$3:$D$61,$B95)*SUMIF('COM balance'!$D$5:$D$25,'COM Assumptions'!$A95,'COM balance'!G$5:G$25)*IFERROR(VLOOKUP($C95,$C$64:$AH$78,G$63,FALSE),1)</f>
        <v>0</v>
      </c>
      <c r="H95" s="10">
        <f ca="1">SUMIFS(H$3:H$61,$A$3:$A$61,$A95,$D$3:$D$61,$B95)*SUMIF('COM balance'!$D$5:$D$25,'COM Assumptions'!$A95,'COM balance'!H$5:H$25)*IFERROR(VLOOKUP($C95,$C$64:$AH$78,H$63,FALSE),1)</f>
        <v>0</v>
      </c>
      <c r="I95" s="10">
        <f ca="1">SUMIFS(I$3:I$61,$A$3:$A$61,$A95,$D$3:$D$61,$B95)*SUMIF('COM balance'!$D$5:$D$25,'COM Assumptions'!$A95,'COM balance'!I$5:I$25)*IFERROR(VLOOKUP($C95,$C$64:$AH$78,I$63,FALSE),1)</f>
        <v>0</v>
      </c>
      <c r="J95" s="10">
        <f ca="1">SUMIFS(J$3:J$61,$A$3:$A$61,$A95,$D$3:$D$61,$B95)*SUMIF('COM balance'!$D$5:$D$25,'COM Assumptions'!$A95,'COM balance'!J$5:J$25)*IFERROR(VLOOKUP($C95,$C$64:$AH$78,J$63,FALSE),1)</f>
        <v>0</v>
      </c>
      <c r="K95" s="10">
        <f ca="1">SUMIFS(K$3:K$61,$A$3:$A$61,$A95,$D$3:$D$61,$B95)*SUMIF('COM balance'!$D$5:$D$25,'COM Assumptions'!$A95,'COM balance'!K$5:K$25)*IFERROR(VLOOKUP($C95,$C$64:$AH$78,K$63,FALSE),1)</f>
        <v>0</v>
      </c>
      <c r="L95" s="10">
        <f ca="1">SUMIFS(L$3:L$61,$A$3:$A$61,$A95,$D$3:$D$61,$B95)*SUMIF('COM balance'!$D$5:$D$25,'COM Assumptions'!$A95,'COM balance'!L$5:L$25)*IFERROR(VLOOKUP($C95,$C$64:$AH$78,L$63,FALSE),1)</f>
        <v>0</v>
      </c>
      <c r="M95" s="10">
        <f ca="1">SUMIFS(M$3:M$61,$A$3:$A$61,$A95,$D$3:$D$61,$B95)*SUMIF('COM balance'!$D$5:$D$25,'COM Assumptions'!$A95,'COM balance'!M$5:M$25)*IFERROR(VLOOKUP($C95,$C$64:$AH$78,M$63,FALSE),1)</f>
        <v>0</v>
      </c>
      <c r="N95" s="10">
        <f ca="1">SUMIFS(N$3:N$61,$A$3:$A$61,$A95,$D$3:$D$61,$B95)*SUMIF('COM balance'!$D$5:$D$25,'COM Assumptions'!$A95,'COM balance'!N$5:N$25)*IFERROR(VLOOKUP($C95,$C$64:$AH$78,N$63,FALSE),1)</f>
        <v>0</v>
      </c>
      <c r="O95" s="10">
        <f ca="1">SUMIFS(O$3:O$61,$A$3:$A$61,$A95,$D$3:$D$61,$B95)*SUMIF('COM balance'!$D$5:$D$25,'COM Assumptions'!$A95,'COM balance'!O$5:O$25)*IFERROR(VLOOKUP($C95,$C$64:$AH$78,O$63,FALSE),1)</f>
        <v>0</v>
      </c>
      <c r="P95" s="10">
        <f ca="1">SUMIFS(P$3:P$61,$A$3:$A$61,$A95,$D$3:$D$61,$B95)*SUMIF('COM balance'!$D$5:$D$25,'COM Assumptions'!$A95,'COM balance'!P$5:P$25)*IFERROR(VLOOKUP($C95,$C$64:$AH$78,P$63,FALSE),1)</f>
        <v>0</v>
      </c>
      <c r="Q95" s="10">
        <f ca="1">SUMIFS(Q$3:Q$61,$A$3:$A$61,$A95,$D$3:$D$61,$B95)*SUMIF('COM balance'!$D$5:$D$25,'COM Assumptions'!$A95,'COM balance'!Q$5:Q$25)*IFERROR(VLOOKUP($C95,$C$64:$AH$78,Q$63,FALSE),1)</f>
        <v>0</v>
      </c>
      <c r="R95" s="10">
        <f ca="1">SUMIFS(R$3:R$61,$A$3:$A$61,$A95,$D$3:$D$61,$B95)*SUMIF('COM balance'!$D$5:$D$25,'COM Assumptions'!$A95,'COM balance'!R$5:R$25)*IFERROR(VLOOKUP($C95,$C$64:$AH$78,R$63,FALSE),1)</f>
        <v>0</v>
      </c>
      <c r="S95" s="10">
        <f ca="1">SUMIFS(S$3:S$61,$A$3:$A$61,$A95,$D$3:$D$61,$B95)*SUMIF('COM balance'!$D$5:$D$25,'COM Assumptions'!$A95,'COM balance'!S$5:S$25)*IFERROR(VLOOKUP($C95,$C$64:$AH$78,S$63,FALSE),1)</f>
        <v>0</v>
      </c>
      <c r="T95" s="10">
        <f ca="1">SUMIFS(T$3:T$61,$A$3:$A$61,$A95,$D$3:$D$61,$B95)*SUMIF('COM balance'!$D$5:$D$25,'COM Assumptions'!$A95,'COM balance'!T$5:T$25)*IFERROR(VLOOKUP($C95,$C$64:$AH$78,T$63,FALSE),1)</f>
        <v>0</v>
      </c>
      <c r="U95" s="10">
        <f ca="1">SUMIFS(U$3:U$61,$A$3:$A$61,$A95,$D$3:$D$61,$B95)*SUMIF('COM balance'!$D$5:$D$25,'COM Assumptions'!$A95,'COM balance'!U$5:U$25)*IFERROR(VLOOKUP($C95,$C$64:$AH$78,U$63,FALSE),1)</f>
        <v>0</v>
      </c>
      <c r="V95" s="10">
        <f ca="1">SUMIFS(V$3:V$61,$A$3:$A$61,$A95,$D$3:$D$61,$B95)*SUMIF('COM balance'!$D$5:$D$25,'COM Assumptions'!$A95,'COM balance'!V$5:V$25)*IFERROR(VLOOKUP($C95,$C$64:$AH$78,V$63,FALSE),1)</f>
        <v>0</v>
      </c>
      <c r="W95" s="10">
        <f ca="1">SUMIFS(W$3:W$61,$A$3:$A$61,$A95,$D$3:$D$61,$B95)*SUMIF('COM balance'!$D$5:$D$25,'COM Assumptions'!$A95,'COM balance'!W$5:W$25)*IFERROR(VLOOKUP($C95,$C$64:$AH$78,W$63,FALSE),1)</f>
        <v>0</v>
      </c>
      <c r="X95" s="10">
        <f ca="1">SUMIFS(X$3:X$61,$A$3:$A$61,$A95,$D$3:$D$61,$B95)*SUMIF('COM balance'!$D$5:$D$25,'COM Assumptions'!$A95,'COM balance'!X$5:X$25)*IFERROR(VLOOKUP($C95,$C$64:$AH$78,X$63,FALSE),1)</f>
        <v>0.20821291344000004</v>
      </c>
      <c r="Y95" s="10">
        <f ca="1">SUMIFS(Y$3:Y$61,$A$3:$A$61,$A95,$D$3:$D$61,$B95)*SUMIF('COM balance'!$D$5:$D$25,'COM Assumptions'!$A95,'COM balance'!Y$5:Y$25)*IFERROR(VLOOKUP($C95,$C$64:$AH$78,Y$63,FALSE),1)</f>
        <v>0</v>
      </c>
      <c r="Z95" s="10">
        <f ca="1">SUMIFS(Z$3:Z$61,$A$3:$A$61,$A95,$D$3:$D$61,$B95)*SUMIF('COM balance'!$D$5:$D$25,'COM Assumptions'!$A95,'COM balance'!Z$5:Z$25)*IFERROR(VLOOKUP($C95,$C$64:$AH$78,Z$63,FALSE),1)</f>
        <v>0</v>
      </c>
      <c r="AA95" s="10">
        <f ca="1">SUMIFS(AA$3:AA$61,$A$3:$A$61,$A95,$D$3:$D$61,$B95)*SUMIF('COM balance'!$D$5:$D$25,'COM Assumptions'!$A95,'COM balance'!AA$5:AA$25)*IFERROR(VLOOKUP($C95,$C$64:$AH$78,AA$63,FALSE),1)</f>
        <v>0</v>
      </c>
      <c r="AB95" s="10">
        <f ca="1">SUMIFS(AB$3:AB$61,$A$3:$A$61,$A95,$D$3:$D$61,$B95)*SUMIF('COM balance'!$D$5:$D$25,'COM Assumptions'!$A95,'COM balance'!AB$5:AB$25)*IFERROR(VLOOKUP($C95,$C$64:$AH$78,AB$63,FALSE),1)</f>
        <v>0</v>
      </c>
      <c r="AC95" s="10">
        <f ca="1">SUMIFS(AC$3:AC$61,$A$3:$A$61,$A95,$D$3:$D$61,$B95)*SUMIF('COM balance'!$D$5:$D$25,'COM Assumptions'!$A95,'COM balance'!AC$5:AC$25)*IFERROR(VLOOKUP($C95,$C$64:$AH$78,AC$63,FALSE),1)</f>
        <v>0</v>
      </c>
      <c r="AD95" s="10">
        <f ca="1">SUMIFS(AD$3:AD$61,$A$3:$A$61,$A95,$D$3:$D$61,$B95)*SUMIF('COM balance'!$D$5:$D$25,'COM Assumptions'!$A95,'COM balance'!AD$5:AD$25)*IFERROR(VLOOKUP($C95,$C$64:$AH$78,AD$63,FALSE),1)</f>
        <v>0</v>
      </c>
      <c r="AE95" s="10">
        <f ca="1">SUMIFS(AE$3:AE$61,$A$3:$A$61,$A95,$D$3:$D$61,$B95)*SUMIF('COM balance'!$D$5:$D$25,'COM Assumptions'!$A95,'COM balance'!AE$5:AE$25)*IFERROR(VLOOKUP($C95,$C$64:$AH$78,AE$63,FALSE),1)</f>
        <v>0</v>
      </c>
      <c r="AF95" s="10">
        <f ca="1">SUMIFS(AF$3:AF$61,$A$3:$A$61,$A95,$D$3:$D$61,$B95)*SUMIF('COM balance'!$D$5:$D$25,'COM Assumptions'!$A95,'COM balance'!AF$5:AF$25)*IFERROR(VLOOKUP($C95,$C$64:$AH$78,AF$63,FALSE),1)</f>
        <v>0</v>
      </c>
      <c r="AG95" s="10">
        <f ca="1">SUMIFS(AG$3:AG$61,$A$3:$A$61,$A95,$D$3:$D$61,$B95)*SUMIF('COM balance'!$D$5:$D$25,'COM Assumptions'!$A95,'COM balance'!AG$5:AG$25)*IFERROR(VLOOKUP($C95,$C$64:$AH$78,AG$63,FALSE),1)</f>
        <v>0</v>
      </c>
      <c r="AH95" s="10">
        <f ca="1">SUMIFS(AH$3:AH$61,$A$3:$A$61,$A95,$D$3:$D$61,$B95)*SUMIF('COM balance'!$D$5:$D$25,'COM Assumptions'!$A95,'COM balance'!AH$5:AH$25)*IFERROR(VLOOKUP($C95,$C$64:$AH$78,AH$63,FALSE),1)</f>
        <v>0</v>
      </c>
      <c r="AI95" s="10"/>
      <c r="AJ95" s="37" t="s">
        <v>23</v>
      </c>
      <c r="AK95" s="37" t="s">
        <v>22</v>
      </c>
      <c r="AN95" s="8"/>
      <c r="AO95" s="8"/>
      <c r="AP95" s="8"/>
      <c r="AQ95" s="8"/>
    </row>
    <row r="96" spans="1:43" x14ac:dyDescent="0.45">
      <c r="A96" s="8" t="str">
        <f t="shared" si="40"/>
        <v>COMBIO</v>
      </c>
      <c r="B96" s="8" t="str">
        <f t="shared" si="41"/>
        <v>CH</v>
      </c>
      <c r="C96" s="8" t="str">
        <f>SUBSTITUTE(SUBSTITUTE(SUBSTITUTE('COM Veda input'!B19,"CC1","CL"),"000",""),"CH1","CH")</f>
        <v>CHBIO</v>
      </c>
      <c r="E96" s="10">
        <f ca="1">SUMIFS(E$3:E$61,$A$3:$A$61,$A96,$D$3:$D$61,$B96)*SUMIF('COM balance'!$D$5:$D$25,'COM Assumptions'!$A96,'COM balance'!E$5:E$25)*IFERROR(VLOOKUP($C96,$C$64:$AH$78,E$63,FALSE),1)</f>
        <v>0</v>
      </c>
      <c r="F96" s="10">
        <f ca="1">SUMIFS(F$3:F$61,$A$3:$A$61,$A96,$D$3:$D$61,$B96)*SUMIF('COM balance'!$D$5:$D$25,'COM Assumptions'!$A96,'COM balance'!F$5:F$25)*IFERROR(VLOOKUP($C96,$C$64:$AH$78,F$63,FALSE),1)</f>
        <v>0</v>
      </c>
      <c r="G96" s="10">
        <f ca="1">SUMIFS(G$3:G$61,$A$3:$A$61,$A96,$D$3:$D$61,$B96)*SUMIF('COM balance'!$D$5:$D$25,'COM Assumptions'!$A96,'COM balance'!G$5:G$25)*IFERROR(VLOOKUP($C96,$C$64:$AH$78,G$63,FALSE),1)</f>
        <v>0.69543082944000001</v>
      </c>
      <c r="H96" s="10">
        <f ca="1">SUMIFS(H$3:H$61,$A$3:$A$61,$A96,$D$3:$D$61,$B96)*SUMIF('COM balance'!$D$5:$D$25,'COM Assumptions'!$A96,'COM balance'!H$5:H$25)*IFERROR(VLOOKUP($C96,$C$64:$AH$78,H$63,FALSE),1)</f>
        <v>1.1963404188</v>
      </c>
      <c r="I96" s="10">
        <f ca="1">SUMIFS(I$3:I$61,$A$3:$A$61,$A96,$D$3:$D$61,$B96)*SUMIF('COM balance'!$D$5:$D$25,'COM Assumptions'!$A96,'COM balance'!I$5:I$25)*IFERROR(VLOOKUP($C96,$C$64:$AH$78,I$63,FALSE),1)</f>
        <v>100.12365855</v>
      </c>
      <c r="J96" s="10">
        <f ca="1">SUMIFS(J$3:J$61,$A$3:$A$61,$A96,$D$3:$D$61,$B96)*SUMIF('COM balance'!$D$5:$D$25,'COM Assumptions'!$A96,'COM balance'!J$5:J$25)*IFERROR(VLOOKUP($C96,$C$64:$AH$78,J$63,FALSE),1)</f>
        <v>13.78595842128</v>
      </c>
      <c r="K96" s="10">
        <f ca="1">SUMIFS(K$3:K$61,$A$3:$A$61,$A96,$D$3:$D$61,$B96)*SUMIF('COM balance'!$D$5:$D$25,'COM Assumptions'!$A96,'COM balance'!K$5:K$25)*IFERROR(VLOOKUP($C96,$C$64:$AH$78,K$63,FALSE),1)</f>
        <v>0.13174959438</v>
      </c>
      <c r="L96" s="10">
        <f ca="1">SUMIFS(L$3:L$61,$A$3:$A$61,$A96,$D$3:$D$61,$B96)*SUMIF('COM balance'!$D$5:$D$25,'COM Assumptions'!$A96,'COM balance'!L$5:L$25)*IFERROR(VLOOKUP($C96,$C$64:$AH$78,L$63,FALSE),1)</f>
        <v>0.69024045347999996</v>
      </c>
      <c r="M96" s="10">
        <f ca="1">SUMIFS(M$3:M$61,$A$3:$A$61,$A96,$D$3:$D$61,$B96)*SUMIF('COM balance'!$D$5:$D$25,'COM Assumptions'!$A96,'COM balance'!M$5:M$25)*IFERROR(VLOOKUP($C96,$C$64:$AH$78,M$63,FALSE),1)</f>
        <v>0</v>
      </c>
      <c r="N96" s="10">
        <f ca="1">SUMIFS(N$3:N$61,$A$3:$A$61,$A96,$D$3:$D$61,$B96)*SUMIF('COM balance'!$D$5:$D$25,'COM Assumptions'!$A96,'COM balance'!N$5:N$25)*IFERROR(VLOOKUP($C96,$C$64:$AH$78,N$63,FALSE),1)</f>
        <v>3.0011819759999999E-2</v>
      </c>
      <c r="O96" s="10">
        <f ca="1">SUMIFS(O$3:O$61,$A$3:$A$61,$A96,$D$3:$D$61,$B96)*SUMIF('COM balance'!$D$5:$D$25,'COM Assumptions'!$A96,'COM balance'!O$5:O$25)*IFERROR(VLOOKUP($C96,$C$64:$AH$78,O$63,FALSE),1)</f>
        <v>7.3767698121600009</v>
      </c>
      <c r="P96" s="10">
        <f ca="1">SUMIFS(P$3:P$61,$A$3:$A$61,$A96,$D$3:$D$61,$B96)*SUMIF('COM balance'!$D$5:$D$25,'COM Assumptions'!$A96,'COM balance'!P$5:P$25)*IFERROR(VLOOKUP($C96,$C$64:$AH$78,P$63,FALSE),1)</f>
        <v>19.2996784332</v>
      </c>
      <c r="Q96" s="10">
        <f ca="1">SUMIFS(Q$3:Q$61,$A$3:$A$61,$A96,$D$3:$D$61,$B96)*SUMIF('COM balance'!$D$5:$D$25,'COM Assumptions'!$A96,'COM balance'!Q$5:Q$25)*IFERROR(VLOOKUP($C96,$C$64:$AH$78,Q$63,FALSE),1)</f>
        <v>8.0567429760000007</v>
      </c>
      <c r="R96" s="10">
        <f ca="1">SUMIFS(R$3:R$61,$A$3:$A$61,$A96,$D$3:$D$61,$B96)*SUMIF('COM balance'!$D$5:$D$25,'COM Assumptions'!$A96,'COM balance'!R$5:R$25)*IFERROR(VLOOKUP($C96,$C$64:$AH$78,R$63,FALSE),1)</f>
        <v>2.7704524521600002</v>
      </c>
      <c r="S96" s="10">
        <f ca="1">SUMIFS(S$3:S$61,$A$3:$A$61,$A96,$D$3:$D$61,$B96)*SUMIF('COM balance'!$D$5:$D$25,'COM Assumptions'!$A96,'COM balance'!S$5:S$25)*IFERROR(VLOOKUP($C96,$C$64:$AH$78,S$63,FALSE),1)</f>
        <v>10.852047435599999</v>
      </c>
      <c r="T96" s="10">
        <f ca="1">SUMIFS(T$3:T$61,$A$3:$A$61,$A96,$D$3:$D$61,$B96)*SUMIF('COM balance'!$D$5:$D$25,'COM Assumptions'!$A96,'COM balance'!T$5:T$25)*IFERROR(VLOOKUP($C96,$C$64:$AH$78,T$63,FALSE),1)</f>
        <v>5.12659257408</v>
      </c>
      <c r="U96" s="10">
        <f ca="1">SUMIFS(U$3:U$61,$A$3:$A$61,$A96,$D$3:$D$61,$B96)*SUMIF('COM balance'!$D$5:$D$25,'COM Assumptions'!$A96,'COM balance'!U$5:U$25)*IFERROR(VLOOKUP($C96,$C$64:$AH$78,U$63,FALSE),1)</f>
        <v>22.028107136399999</v>
      </c>
      <c r="V96" s="10">
        <f ca="1">SUMIFS(V$3:V$61,$A$3:$A$61,$A96,$D$3:$D$61,$B96)*SUMIF('COM balance'!$D$5:$D$25,'COM Assumptions'!$A96,'COM balance'!V$5:V$25)*IFERROR(VLOOKUP($C96,$C$64:$AH$78,V$63,FALSE),1)</f>
        <v>13.835776317120001</v>
      </c>
      <c r="W96" s="10">
        <f ca="1">SUMIFS(W$3:W$61,$A$3:$A$61,$A96,$D$3:$D$61,$B96)*SUMIF('COM balance'!$D$5:$D$25,'COM Assumptions'!$A96,'COM balance'!W$5:W$25)*IFERROR(VLOOKUP($C96,$C$64:$AH$78,W$63,FALSE),1)</f>
        <v>52.437335440319998</v>
      </c>
      <c r="X96" s="10">
        <f ca="1">SUMIFS(X$3:X$61,$A$3:$A$61,$A96,$D$3:$D$61,$B96)*SUMIF('COM balance'!$D$5:$D$25,'COM Assumptions'!$A96,'COM balance'!X$5:X$25)*IFERROR(VLOOKUP($C96,$C$64:$AH$78,X$63,FALSE),1)</f>
        <v>10.97439996672</v>
      </c>
      <c r="Y96" s="10">
        <f ca="1">SUMIFS(Y$3:Y$61,$A$3:$A$61,$A96,$D$3:$D$61,$B96)*SUMIF('COM balance'!$D$5:$D$25,'COM Assumptions'!$A96,'COM balance'!Y$5:Y$25)*IFERROR(VLOOKUP($C96,$C$64:$AH$78,Y$63,FALSE),1)</f>
        <v>2.5112367784800003</v>
      </c>
      <c r="Z96" s="10">
        <f ca="1">SUMIFS(Z$3:Z$61,$A$3:$A$61,$A96,$D$3:$D$61,$B96)*SUMIF('COM balance'!$D$5:$D$25,'COM Assumptions'!$A96,'COM balance'!Z$5:Z$25)*IFERROR(VLOOKUP($C96,$C$64:$AH$78,Z$63,FALSE),1)</f>
        <v>0</v>
      </c>
      <c r="AA96" s="10">
        <f ca="1">SUMIFS(AA$3:AA$61,$A$3:$A$61,$A96,$D$3:$D$61,$B96)*SUMIF('COM balance'!$D$5:$D$25,'COM Assumptions'!$A96,'COM balance'!AA$5:AA$25)*IFERROR(VLOOKUP($C96,$C$64:$AH$78,AA$63,FALSE),1)</f>
        <v>10.996697188800001</v>
      </c>
      <c r="AB96" s="10">
        <f ca="1">SUMIFS(AB$3:AB$61,$A$3:$A$61,$A96,$D$3:$D$61,$B96)*SUMIF('COM balance'!$D$5:$D$25,'COM Assumptions'!$A96,'COM balance'!AB$5:AB$25)*IFERROR(VLOOKUP($C96,$C$64:$AH$78,AB$63,FALSE),1)</f>
        <v>1.5825936528</v>
      </c>
      <c r="AC96" s="10">
        <f ca="1">SUMIFS(AC$3:AC$61,$A$3:$A$61,$A96,$D$3:$D$61,$B96)*SUMIF('COM balance'!$D$5:$D$25,'COM Assumptions'!$A96,'COM balance'!AC$5:AC$25)*IFERROR(VLOOKUP($C96,$C$64:$AH$78,AC$63,FALSE),1)</f>
        <v>47.9797901568</v>
      </c>
      <c r="AD96" s="10">
        <f ca="1">SUMIFS(AD$3:AD$61,$A$3:$A$61,$A96,$D$3:$D$61,$B96)*SUMIF('COM balance'!$D$5:$D$25,'COM Assumptions'!$A96,'COM balance'!AD$5:AD$25)*IFERROR(VLOOKUP($C96,$C$64:$AH$78,AD$63,FALSE),1)</f>
        <v>0</v>
      </c>
      <c r="AE96" s="10">
        <f ca="1">SUMIFS(AE$3:AE$61,$A$3:$A$61,$A96,$D$3:$D$61,$B96)*SUMIF('COM balance'!$D$5:$D$25,'COM Assumptions'!$A96,'COM balance'!AE$5:AE$25)*IFERROR(VLOOKUP($C96,$C$64:$AH$78,AE$63,FALSE),1)</f>
        <v>0</v>
      </c>
      <c r="AF96" s="10">
        <f ca="1">SUMIFS(AF$3:AF$61,$A$3:$A$61,$A96,$D$3:$D$61,$B96)*SUMIF('COM balance'!$D$5:$D$25,'COM Assumptions'!$A96,'COM balance'!AF$5:AF$25)*IFERROR(VLOOKUP($C96,$C$64:$AH$78,AF$63,FALSE),1)</f>
        <v>7.3679976288000013</v>
      </c>
      <c r="AG96" s="10">
        <f ca="1">SUMIFS(AG$3:AG$61,$A$3:$A$61,$A96,$D$3:$D$61,$B96)*SUMIF('COM balance'!$D$5:$D$25,'COM Assumptions'!$A96,'COM balance'!AG$5:AG$25)*IFERROR(VLOOKUP($C96,$C$64:$AH$78,AG$63,FALSE),1)</f>
        <v>87.447744737999997</v>
      </c>
      <c r="AH96" s="10">
        <f ca="1">SUMIFS(AH$3:AH$61,$A$3:$A$61,$A96,$D$3:$D$61,$B96)*SUMIF('COM balance'!$D$5:$D$25,'COM Assumptions'!$A96,'COM balance'!AH$5:AH$25)*IFERROR(VLOOKUP($C96,$C$64:$AH$78,AH$63,FALSE),1)</f>
        <v>0</v>
      </c>
      <c r="AI96" s="10"/>
      <c r="AJ96" s="37" t="s">
        <v>187</v>
      </c>
      <c r="AK96" s="37" t="s">
        <v>18</v>
      </c>
      <c r="AN96" s="8"/>
      <c r="AO96" s="8"/>
      <c r="AP96" s="8"/>
      <c r="AQ96" s="8"/>
    </row>
    <row r="97" spans="1:43" x14ac:dyDescent="0.45">
      <c r="A97" s="8" t="str">
        <f t="shared" si="40"/>
        <v>COMCOA</v>
      </c>
      <c r="B97" s="8" t="str">
        <f t="shared" si="41"/>
        <v>CH</v>
      </c>
      <c r="C97" s="8" t="str">
        <f>SUBSTITUTE(SUBSTITUTE(SUBSTITUTE('COM Veda input'!B20,"CC1","CL"),"000",""),"CH1","CH")</f>
        <v>CHCOA</v>
      </c>
      <c r="E97" s="10">
        <f ca="1">SUMIFS(E$3:E$61,$A$3:$A$61,$A97,$D$3:$D$61,$B97)*SUMIF('COM balance'!$D$5:$D$25,'COM Assumptions'!$A97,'COM balance'!E$5:E$25)*IFERROR(VLOOKUP($C97,$C$64:$AH$78,E$63,FALSE),1)</f>
        <v>0</v>
      </c>
      <c r="F97" s="10">
        <f ca="1">SUMIFS(F$3:F$61,$A$3:$A$61,$A97,$D$3:$D$61,$B97)*SUMIF('COM balance'!$D$5:$D$25,'COM Assumptions'!$A97,'COM balance'!F$5:F$25)*IFERROR(VLOOKUP($C97,$C$64:$AH$78,F$63,FALSE),1)</f>
        <v>0</v>
      </c>
      <c r="G97" s="10">
        <f ca="1">SUMIFS(G$3:G$61,$A$3:$A$61,$A97,$D$3:$D$61,$B97)*SUMIF('COM balance'!$D$5:$D$25,'COM Assumptions'!$A97,'COM balance'!G$5:G$25)*IFERROR(VLOOKUP($C97,$C$64:$AH$78,G$63,FALSE),1)</f>
        <v>0</v>
      </c>
      <c r="H97" s="10">
        <f ca="1">SUMIFS(H$3:H$61,$A$3:$A$61,$A97,$D$3:$D$61,$B97)*SUMIF('COM balance'!$D$5:$D$25,'COM Assumptions'!$A97,'COM balance'!H$5:H$25)*IFERROR(VLOOKUP($C97,$C$64:$AH$78,H$63,FALSE),1)</f>
        <v>32.991858395999998</v>
      </c>
      <c r="I97" s="10">
        <f ca="1">SUMIFS(I$3:I$61,$A$3:$A$61,$A97,$D$3:$D$61,$B97)*SUMIF('COM balance'!$D$5:$D$25,'COM Assumptions'!$A97,'COM balance'!I$5:I$25)*IFERROR(VLOOKUP($C97,$C$64:$AH$78,I$63,FALSE),1)</f>
        <v>0.77792209379999999</v>
      </c>
      <c r="J97" s="10">
        <f ca="1">SUMIFS(J$3:J$61,$A$3:$A$61,$A97,$D$3:$D$61,$B97)*SUMIF('COM balance'!$D$5:$D$25,'COM Assumptions'!$A97,'COM balance'!J$5:J$25)*IFERROR(VLOOKUP($C97,$C$64:$AH$78,J$63,FALSE),1)</f>
        <v>3.5483021143200002</v>
      </c>
      <c r="K97" s="10">
        <f ca="1">SUMIFS(K$3:K$61,$A$3:$A$61,$A97,$D$3:$D$61,$B97)*SUMIF('COM balance'!$D$5:$D$25,'COM Assumptions'!$A97,'COM balance'!K$5:K$25)*IFERROR(VLOOKUP($C97,$C$64:$AH$78,K$63,FALSE),1)</f>
        <v>0.82631857104000006</v>
      </c>
      <c r="L97" s="10">
        <f ca="1">SUMIFS(L$3:L$61,$A$3:$A$61,$A97,$D$3:$D$61,$B97)*SUMIF('COM balance'!$D$5:$D$25,'COM Assumptions'!$A97,'COM balance'!L$5:L$25)*IFERROR(VLOOKUP($C97,$C$64:$AH$78,L$63,FALSE),1)</f>
        <v>0</v>
      </c>
      <c r="M97" s="10">
        <f ca="1">SUMIFS(M$3:M$61,$A$3:$A$61,$A97,$D$3:$D$61,$B97)*SUMIF('COM balance'!$D$5:$D$25,'COM Assumptions'!$A97,'COM balance'!M$5:M$25)*IFERROR(VLOOKUP($C97,$C$64:$AH$78,M$63,FALSE),1)</f>
        <v>0</v>
      </c>
      <c r="N97" s="10">
        <f ca="1">SUMIFS(N$3:N$61,$A$3:$A$61,$A97,$D$3:$D$61,$B97)*SUMIF('COM balance'!$D$5:$D$25,'COM Assumptions'!$A97,'COM balance'!N$5:N$25)*IFERROR(VLOOKUP($C97,$C$64:$AH$78,N$63,FALSE),1)</f>
        <v>205.12651166208002</v>
      </c>
      <c r="O97" s="10">
        <f ca="1">SUMIFS(O$3:O$61,$A$3:$A$61,$A97,$D$3:$D$61,$B97)*SUMIF('COM balance'!$D$5:$D$25,'COM Assumptions'!$A97,'COM balance'!O$5:O$25)*IFERROR(VLOOKUP($C97,$C$64:$AH$78,O$63,FALSE),1)</f>
        <v>0.1044020448</v>
      </c>
      <c r="P97" s="10">
        <f ca="1">SUMIFS(P$3:P$61,$A$3:$A$61,$A97,$D$3:$D$61,$B97)*SUMIF('COM balance'!$D$5:$D$25,'COM Assumptions'!$A97,'COM balance'!P$5:P$25)*IFERROR(VLOOKUP($C97,$C$64:$AH$78,P$63,FALSE),1)</f>
        <v>28.4207143428</v>
      </c>
      <c r="Q97" s="10">
        <f ca="1">SUMIFS(Q$3:Q$61,$A$3:$A$61,$A97,$D$3:$D$61,$B97)*SUMIF('COM balance'!$D$5:$D$25,'COM Assumptions'!$A97,'COM balance'!Q$5:Q$25)*IFERROR(VLOOKUP($C97,$C$64:$AH$78,Q$63,FALSE),1)</f>
        <v>0.14732511840000001</v>
      </c>
      <c r="R97" s="10">
        <f ca="1">SUMIFS(R$3:R$61,$A$3:$A$61,$A97,$D$3:$D$61,$B97)*SUMIF('COM balance'!$D$5:$D$25,'COM Assumptions'!$A97,'COM balance'!R$5:R$25)*IFERROR(VLOOKUP($C97,$C$64:$AH$78,R$63,FALSE),1)</f>
        <v>0</v>
      </c>
      <c r="S97" s="10">
        <f ca="1">SUMIFS(S$3:S$61,$A$3:$A$61,$A97,$D$3:$D$61,$B97)*SUMIF('COM balance'!$D$5:$D$25,'COM Assumptions'!$A97,'COM balance'!S$5:S$25)*IFERROR(VLOOKUP($C97,$C$64:$AH$78,S$63,FALSE),1)</f>
        <v>0.2398157172</v>
      </c>
      <c r="T97" s="10">
        <f ca="1">SUMIFS(T$3:T$61,$A$3:$A$61,$A97,$D$3:$D$61,$B97)*SUMIF('COM balance'!$D$5:$D$25,'COM Assumptions'!$A97,'COM balance'!T$5:T$25)*IFERROR(VLOOKUP($C97,$C$64:$AH$78,T$63,FALSE),1)</f>
        <v>0</v>
      </c>
      <c r="U97" s="10">
        <f ca="1">SUMIFS(U$3:U$61,$A$3:$A$61,$A97,$D$3:$D$61,$B97)*SUMIF('COM balance'!$D$5:$D$25,'COM Assumptions'!$A97,'COM balance'!U$5:U$25)*IFERROR(VLOOKUP($C97,$C$64:$AH$78,U$63,FALSE),1)</f>
        <v>146.05077789719999</v>
      </c>
      <c r="V97" s="10">
        <f ca="1">SUMIFS(V$3:V$61,$A$3:$A$61,$A97,$D$3:$D$61,$B97)*SUMIF('COM balance'!$D$5:$D$25,'COM Assumptions'!$A97,'COM balance'!V$5:V$25)*IFERROR(VLOOKUP($C97,$C$64:$AH$78,V$63,FALSE),1)</f>
        <v>1.4600208960000001</v>
      </c>
      <c r="W97" s="10">
        <f ca="1">SUMIFS(W$3:W$61,$A$3:$A$61,$A97,$D$3:$D$61,$B97)*SUMIF('COM balance'!$D$5:$D$25,'COM Assumptions'!$A97,'COM balance'!W$5:W$25)*IFERROR(VLOOKUP($C97,$C$64:$AH$78,W$63,FALSE),1)</f>
        <v>7.69910652E-2</v>
      </c>
      <c r="X97" s="10">
        <f ca="1">SUMIFS(X$3:X$61,$A$3:$A$61,$A97,$D$3:$D$61,$B97)*SUMIF('COM balance'!$D$5:$D$25,'COM Assumptions'!$A97,'COM balance'!X$5:X$25)*IFERROR(VLOOKUP($C97,$C$64:$AH$78,X$63,FALSE),1)</f>
        <v>40.258099200240004</v>
      </c>
      <c r="Y97" s="10">
        <f ca="1">SUMIFS(Y$3:Y$61,$A$3:$A$61,$A97,$D$3:$D$61,$B97)*SUMIF('COM balance'!$D$5:$D$25,'COM Assumptions'!$A97,'COM balance'!Y$5:Y$25)*IFERROR(VLOOKUP($C97,$C$64:$AH$78,Y$63,FALSE),1)</f>
        <v>4.1030640000000001E-4</v>
      </c>
      <c r="Z97" s="10">
        <f ca="1">SUMIFS(Z$3:Z$61,$A$3:$A$61,$A97,$D$3:$D$61,$B97)*SUMIF('COM balance'!$D$5:$D$25,'COM Assumptions'!$A97,'COM balance'!Z$5:Z$25)*IFERROR(VLOOKUP($C97,$C$64:$AH$78,Z$63,FALSE),1)</f>
        <v>0</v>
      </c>
      <c r="AA97" s="10">
        <f ca="1">SUMIFS(AA$3:AA$61,$A$3:$A$61,$A97,$D$3:$D$61,$B97)*SUMIF('COM balance'!$D$5:$D$25,'COM Assumptions'!$A97,'COM balance'!AA$5:AA$25)*IFERROR(VLOOKUP($C97,$C$64:$AH$78,AA$63,FALSE),1)</f>
        <v>0</v>
      </c>
      <c r="AB97" s="10">
        <f ca="1">SUMIFS(AB$3:AB$61,$A$3:$A$61,$A97,$D$3:$D$61,$B97)*SUMIF('COM balance'!$D$5:$D$25,'COM Assumptions'!$A97,'COM balance'!AB$5:AB$25)*IFERROR(VLOOKUP($C97,$C$64:$AH$78,AB$63,FALSE),1)</f>
        <v>3.9355919999999999E-3</v>
      </c>
      <c r="AC97" s="10">
        <f ca="1">SUMIFS(AC$3:AC$61,$A$3:$A$61,$A97,$D$3:$D$61,$B97)*SUMIF('COM balance'!$D$5:$D$25,'COM Assumptions'!$A97,'COM balance'!AC$5:AC$25)*IFERROR(VLOOKUP($C97,$C$64:$AH$78,AC$63,FALSE),1)</f>
        <v>30.837603258000001</v>
      </c>
      <c r="AD97" s="10">
        <f ca="1">SUMIFS(AD$3:AD$61,$A$3:$A$61,$A97,$D$3:$D$61,$B97)*SUMIF('COM balance'!$D$5:$D$25,'COM Assumptions'!$A97,'COM balance'!AD$5:AD$25)*IFERROR(VLOOKUP($C97,$C$64:$AH$78,AD$63,FALSE),1)</f>
        <v>0</v>
      </c>
      <c r="AE97" s="10">
        <f ca="1">SUMIFS(AE$3:AE$61,$A$3:$A$61,$A97,$D$3:$D$61,$B97)*SUMIF('COM balance'!$D$5:$D$25,'COM Assumptions'!$A97,'COM balance'!AE$5:AE$25)*IFERROR(VLOOKUP($C97,$C$64:$AH$78,AE$63,FALSE),1)</f>
        <v>0</v>
      </c>
      <c r="AF97" s="10">
        <f ca="1">SUMIFS(AF$3:AF$61,$A$3:$A$61,$A97,$D$3:$D$61,$B97)*SUMIF('COM balance'!$D$5:$D$25,'COM Assumptions'!$A97,'COM balance'!AF$5:AF$25)*IFERROR(VLOOKUP($C97,$C$64:$AH$78,AF$63,FALSE),1)</f>
        <v>0.65709732600000004</v>
      </c>
      <c r="AG97" s="10">
        <f ca="1">SUMIFS(AG$3:AG$61,$A$3:$A$61,$A97,$D$3:$D$61,$B97)*SUMIF('COM balance'!$D$5:$D$25,'COM Assumptions'!$A97,'COM balance'!AG$5:AG$25)*IFERROR(VLOOKUP($C97,$C$64:$AH$78,AG$63,FALSE),1)</f>
        <v>15.822402868799999</v>
      </c>
      <c r="AH97" s="10">
        <f ca="1">SUMIFS(AH$3:AH$61,$A$3:$A$61,$A97,$D$3:$D$61,$B97)*SUMIF('COM balance'!$D$5:$D$25,'COM Assumptions'!$A97,'COM balance'!AH$5:AH$25)*IFERROR(VLOOKUP($C97,$C$64:$AH$78,AH$63,FALSE),1)</f>
        <v>0</v>
      </c>
      <c r="AI97" s="10"/>
      <c r="AJ97" s="37" t="s">
        <v>26</v>
      </c>
      <c r="AK97" s="37" t="str">
        <f>AJ97</f>
        <v>KER</v>
      </c>
      <c r="AN97" s="8"/>
      <c r="AO97" s="8"/>
      <c r="AP97" s="8"/>
      <c r="AQ97" s="8"/>
    </row>
    <row r="98" spans="1:43" x14ac:dyDescent="0.45">
      <c r="A98" s="8" t="str">
        <f t="shared" si="40"/>
        <v>COMOIL</v>
      </c>
      <c r="B98" s="8" t="str">
        <f t="shared" si="41"/>
        <v>CH</v>
      </c>
      <c r="C98" s="8" t="str">
        <f>SUBSTITUTE(SUBSTITUTE(SUBSTITUTE('COM Veda input'!B21,"CC1","CL"),"000",""),"CH1","CH")</f>
        <v>CHDST</v>
      </c>
      <c r="E98" s="10">
        <f ca="1">SUMIFS(E$3:E$61,$A$3:$A$61,$A98,$D$3:$D$61,$B98)*SUMIF('COM balance'!$D$5:$D$25,'COM Assumptions'!$A98,'COM balance'!E$5:E$25)*IFERROR(VLOOKUP($C98,$C$64:$AH$78,E$63,FALSE),1)</f>
        <v>1.40335841952</v>
      </c>
      <c r="F98" s="10">
        <f ca="1">SUMIFS(F$3:F$61,$A$3:$A$61,$A98,$D$3:$D$61,$B98)*SUMIF('COM balance'!$D$5:$D$25,'COM Assumptions'!$A98,'COM balance'!F$5:F$25)*IFERROR(VLOOKUP($C98,$C$64:$AH$78,F$63,FALSE),1)</f>
        <v>12.448544613840001</v>
      </c>
      <c r="G98" s="10">
        <f ca="1">SUMIFS(G$3:G$61,$A$3:$A$61,$A98,$D$3:$D$61,$B98)*SUMIF('COM balance'!$D$5:$D$25,'COM Assumptions'!$A98,'COM balance'!G$5:G$25)*IFERROR(VLOOKUP($C98,$C$64:$AH$78,G$63,FALSE),1)</f>
        <v>2.4803884360800001</v>
      </c>
      <c r="H98" s="10">
        <f ca="1">SUMIFS(H$3:H$61,$A$3:$A$61,$A98,$D$3:$D$61,$B98)*SUMIF('COM balance'!$D$5:$D$25,'COM Assumptions'!$A98,'COM balance'!H$5:H$25)*IFERROR(VLOOKUP($C98,$C$64:$AH$78,H$63,FALSE),1)</f>
        <v>19.466384248800001</v>
      </c>
      <c r="I98" s="10">
        <f ca="1">SUMIFS(I$3:I$61,$A$3:$A$61,$A98,$D$3:$D$61,$B98)*SUMIF('COM balance'!$D$5:$D$25,'COM Assumptions'!$A98,'COM balance'!I$5:I$25)*IFERROR(VLOOKUP($C98,$C$64:$AH$78,I$63,FALSE),1)</f>
        <v>157.61885438087998</v>
      </c>
      <c r="J98" s="10">
        <f ca="1">SUMIFS(J$3:J$61,$A$3:$A$61,$A98,$D$3:$D$61,$B98)*SUMIF('COM balance'!$D$5:$D$25,'COM Assumptions'!$A98,'COM balance'!J$5:J$25)*IFERROR(VLOOKUP($C98,$C$64:$AH$78,J$63,FALSE),1)</f>
        <v>29.969424223200004</v>
      </c>
      <c r="K98" s="10">
        <f ca="1">SUMIFS(K$3:K$61,$A$3:$A$61,$A98,$D$3:$D$61,$B98)*SUMIF('COM balance'!$D$5:$D$25,'COM Assumptions'!$A98,'COM balance'!K$5:K$25)*IFERROR(VLOOKUP($C98,$C$64:$AH$78,K$63,FALSE),1)</f>
        <v>25.365523484160001</v>
      </c>
      <c r="L98" s="10">
        <f ca="1">SUMIFS(L$3:L$61,$A$3:$A$61,$A98,$D$3:$D$61,$B98)*SUMIF('COM balance'!$D$5:$D$25,'COM Assumptions'!$A98,'COM balance'!L$5:L$25)*IFERROR(VLOOKUP($C98,$C$64:$AH$78,L$63,FALSE),1)</f>
        <v>0.21747578976000004</v>
      </c>
      <c r="M98" s="10">
        <f ca="1">SUMIFS(M$3:M$61,$A$3:$A$61,$A98,$D$3:$D$61,$B98)*SUMIF('COM balance'!$D$5:$D$25,'COM Assumptions'!$A98,'COM balance'!M$5:M$25)*IFERROR(VLOOKUP($C98,$C$64:$AH$78,M$63,FALSE),1)</f>
        <v>6.5865598790400002</v>
      </c>
      <c r="N98" s="10">
        <f ca="1">SUMIFS(N$3:N$61,$A$3:$A$61,$A98,$D$3:$D$61,$B98)*SUMIF('COM balance'!$D$5:$D$25,'COM Assumptions'!$A98,'COM balance'!N$5:N$25)*IFERROR(VLOOKUP($C98,$C$64:$AH$78,N$63,FALSE),1)</f>
        <v>65.475935198459993</v>
      </c>
      <c r="O98" s="10">
        <f ca="1">SUMIFS(O$3:O$61,$A$3:$A$61,$A98,$D$3:$D$61,$B98)*SUMIF('COM balance'!$D$5:$D$25,'COM Assumptions'!$A98,'COM balance'!O$5:O$25)*IFERROR(VLOOKUP($C98,$C$64:$AH$78,O$63,FALSE),1)</f>
        <v>14.457283749719998</v>
      </c>
      <c r="P98" s="10">
        <f ca="1">SUMIFS(P$3:P$61,$A$3:$A$61,$A98,$D$3:$D$61,$B98)*SUMIF('COM balance'!$D$5:$D$25,'COM Assumptions'!$A98,'COM balance'!P$5:P$25)*IFERROR(VLOOKUP($C98,$C$64:$AH$78,P$63,FALSE),1)</f>
        <v>17.507304119699999</v>
      </c>
      <c r="Q98" s="10">
        <f ca="1">SUMIFS(Q$3:Q$61,$A$3:$A$61,$A98,$D$3:$D$61,$B98)*SUMIF('COM balance'!$D$5:$D$25,'COM Assumptions'!$A98,'COM balance'!Q$5:Q$25)*IFERROR(VLOOKUP($C98,$C$64:$AH$78,Q$63,FALSE),1)</f>
        <v>31.09211924868</v>
      </c>
      <c r="R98" s="10">
        <f ca="1">SUMIFS(R$3:R$61,$A$3:$A$61,$A98,$D$3:$D$61,$B98)*SUMIF('COM balance'!$D$5:$D$25,'COM Assumptions'!$A98,'COM balance'!R$5:R$25)*IFERROR(VLOOKUP($C98,$C$64:$AH$78,R$63,FALSE),1)</f>
        <v>5.2321510130399993</v>
      </c>
      <c r="S98" s="10">
        <f ca="1">SUMIFS(S$3:S$61,$A$3:$A$61,$A98,$D$3:$D$61,$B98)*SUMIF('COM balance'!$D$5:$D$25,'COM Assumptions'!$A98,'COM balance'!S$5:S$25)*IFERROR(VLOOKUP($C98,$C$64:$AH$78,S$63,FALSE),1)</f>
        <v>6.4353994425000005</v>
      </c>
      <c r="T98" s="10">
        <f ca="1">SUMIFS(T$3:T$61,$A$3:$A$61,$A98,$D$3:$D$61,$B98)*SUMIF('COM balance'!$D$5:$D$25,'COM Assumptions'!$A98,'COM balance'!T$5:T$25)*IFERROR(VLOOKUP($C98,$C$64:$AH$78,T$63,FALSE),1)</f>
        <v>32.983019223839996</v>
      </c>
      <c r="U98" s="10">
        <f ca="1">SUMIFS(U$3:U$61,$A$3:$A$61,$A98,$D$3:$D$61,$B98)*SUMIF('COM balance'!$D$5:$D$25,'COM Assumptions'!$A98,'COM balance'!U$5:U$25)*IFERROR(VLOOKUP($C98,$C$64:$AH$78,U$63,FALSE),1)</f>
        <v>5.2493177304000005</v>
      </c>
      <c r="V98" s="10">
        <f ca="1">SUMIFS(V$3:V$61,$A$3:$A$61,$A98,$D$3:$D$61,$B98)*SUMIF('COM balance'!$D$5:$D$25,'COM Assumptions'!$A98,'COM balance'!V$5:V$25)*IFERROR(VLOOKUP($C98,$C$64:$AH$78,V$63,FALSE),1)</f>
        <v>59.924751490799991</v>
      </c>
      <c r="W98" s="10">
        <f ca="1">SUMIFS(W$3:W$61,$A$3:$A$61,$A98,$D$3:$D$61,$B98)*SUMIF('COM balance'!$D$5:$D$25,'COM Assumptions'!$A98,'COM balance'!W$5:W$25)*IFERROR(VLOOKUP($C98,$C$64:$AH$78,W$63,FALSE),1)</f>
        <v>92.017939224960003</v>
      </c>
      <c r="X98" s="10">
        <f ca="1">SUMIFS(X$3:X$61,$A$3:$A$61,$A98,$D$3:$D$61,$B98)*SUMIF('COM balance'!$D$5:$D$25,'COM Assumptions'!$A98,'COM balance'!X$5:X$25)*IFERROR(VLOOKUP($C98,$C$64:$AH$78,X$63,FALSE),1)</f>
        <v>0</v>
      </c>
      <c r="Y98" s="10">
        <f ca="1">SUMIFS(Y$3:Y$61,$A$3:$A$61,$A98,$D$3:$D$61,$B98)*SUMIF('COM balance'!$D$5:$D$25,'COM Assumptions'!$A98,'COM balance'!Y$5:Y$25)*IFERROR(VLOOKUP($C98,$C$64:$AH$78,Y$63,FALSE),1)</f>
        <v>2.9805611486400001</v>
      </c>
      <c r="Z98" s="10">
        <f ca="1">SUMIFS(Z$3:Z$61,$A$3:$A$61,$A98,$D$3:$D$61,$B98)*SUMIF('COM balance'!$D$5:$D$25,'COM Assumptions'!$A98,'COM balance'!Z$5:Z$25)*IFERROR(VLOOKUP($C98,$C$64:$AH$78,Z$63,FALSE),1)</f>
        <v>0.13349988612000002</v>
      </c>
      <c r="AA98" s="10">
        <f ca="1">SUMIFS(AA$3:AA$61,$A$3:$A$61,$A98,$D$3:$D$61,$B98)*SUMIF('COM balance'!$D$5:$D$25,'COM Assumptions'!$A98,'COM balance'!AA$5:AA$25)*IFERROR(VLOOKUP($C98,$C$64:$AH$78,AA$63,FALSE),1)</f>
        <v>4.1823184492800003</v>
      </c>
      <c r="AB98" s="10">
        <f ca="1">SUMIFS(AB$3:AB$61,$A$3:$A$61,$A98,$D$3:$D$61,$B98)*SUMIF('COM balance'!$D$5:$D$25,'COM Assumptions'!$A98,'COM balance'!AB$5:AB$25)*IFERROR(VLOOKUP($C98,$C$64:$AH$78,AB$63,FALSE),1)</f>
        <v>8.3197740805200002</v>
      </c>
      <c r="AC98" s="10">
        <f ca="1">SUMIFS(AC$3:AC$61,$A$3:$A$61,$A98,$D$3:$D$61,$B98)*SUMIF('COM balance'!$D$5:$D$25,'COM Assumptions'!$A98,'COM balance'!AC$5:AC$25)*IFERROR(VLOOKUP($C98,$C$64:$AH$78,AC$63,FALSE),1)</f>
        <v>45.634492381500003</v>
      </c>
      <c r="AD98" s="10">
        <f ca="1">SUMIFS(AD$3:AD$61,$A$3:$A$61,$A98,$D$3:$D$61,$B98)*SUMIF('COM balance'!$D$5:$D$25,'COM Assumptions'!$A98,'COM balance'!AD$5:AD$25)*IFERROR(VLOOKUP($C98,$C$64:$AH$78,AD$63,FALSE),1)</f>
        <v>0</v>
      </c>
      <c r="AE98" s="10">
        <f ca="1">SUMIFS(AE$3:AE$61,$A$3:$A$61,$A98,$D$3:$D$61,$B98)*SUMIF('COM balance'!$D$5:$D$25,'COM Assumptions'!$A98,'COM balance'!AE$5:AE$25)*IFERROR(VLOOKUP($C98,$C$64:$AH$78,AE$63,FALSE),1)</f>
        <v>0.74876061311999997</v>
      </c>
      <c r="AF98" s="10">
        <f ca="1">SUMIFS(AF$3:AF$61,$A$3:$A$61,$A98,$D$3:$D$61,$B98)*SUMIF('COM balance'!$D$5:$D$25,'COM Assumptions'!$A98,'COM balance'!AF$5:AF$25)*IFERROR(VLOOKUP($C98,$C$64:$AH$78,AF$63,FALSE),1)</f>
        <v>27.082397023919999</v>
      </c>
      <c r="AG98" s="10">
        <f ca="1">SUMIFS(AG$3:AG$61,$A$3:$A$61,$A98,$D$3:$D$61,$B98)*SUMIF('COM balance'!$D$5:$D$25,'COM Assumptions'!$A98,'COM balance'!AG$5:AG$25)*IFERROR(VLOOKUP($C98,$C$64:$AH$78,AG$63,FALSE),1)</f>
        <v>258.70013708616</v>
      </c>
      <c r="AH98" s="10">
        <f ca="1">SUMIFS(AH$3:AH$61,$A$3:$A$61,$A98,$D$3:$D$61,$B98)*SUMIF('COM balance'!$D$5:$D$25,'COM Assumptions'!$A98,'COM balance'!AH$5:AH$25)*IFERROR(VLOOKUP($C98,$C$64:$AH$78,AH$63,FALSE),1)</f>
        <v>0</v>
      </c>
      <c r="AI98" s="10"/>
      <c r="AJ98" s="37" t="s">
        <v>10</v>
      </c>
      <c r="AK98" s="37" t="str">
        <f>AJ98</f>
        <v>LPG</v>
      </c>
      <c r="AN98" s="8"/>
      <c r="AO98" s="8"/>
      <c r="AP98" s="8"/>
      <c r="AQ98" s="8"/>
    </row>
    <row r="99" spans="1:43" x14ac:dyDescent="0.45">
      <c r="A99" s="8" t="str">
        <f t="shared" si="40"/>
        <v>COMELC</v>
      </c>
      <c r="B99" s="8" t="str">
        <f t="shared" si="41"/>
        <v>CH</v>
      </c>
      <c r="C99" s="8" t="str">
        <f>SUBSTITUTE(SUBSTITUTE(SUBSTITUTE('COM Veda input'!B22,"CC1","CL"),"000",""),"CH1","CH")</f>
        <v>CHEHP</v>
      </c>
      <c r="E99" s="10">
        <f ca="1">SUMIFS(E$3:E$61,$A$3:$A$61,$A99,$D$3:$D$61,$B99)*SUMIF('COM balance'!$D$5:$D$25,'COM Assumptions'!$A99,'COM balance'!E$5:E$25)*IFERROR(VLOOKUP($C99,$C$64:$AH$78,E$63,FALSE),1)</f>
        <v>0</v>
      </c>
      <c r="F99" s="10">
        <f ca="1">SUMIFS(F$3:F$61,$A$3:$A$61,$A99,$D$3:$D$61,$B99)*SUMIF('COM balance'!$D$5:$D$25,'COM Assumptions'!$A99,'COM balance'!F$5:F$25)*IFERROR(VLOOKUP($C99,$C$64:$AH$78,F$63,FALSE),1)</f>
        <v>0</v>
      </c>
      <c r="G99" s="10">
        <f ca="1">SUMIFS(G$3:G$61,$A$3:$A$61,$A99,$D$3:$D$61,$B99)*SUMIF('COM balance'!$D$5:$D$25,'COM Assumptions'!$A99,'COM balance'!G$5:G$25)*IFERROR(VLOOKUP($C99,$C$64:$AH$78,G$63,FALSE),1)</f>
        <v>3.125834316360003E-2</v>
      </c>
      <c r="H99" s="10">
        <f ca="1">SUMIFS(H$3:H$61,$A$3:$A$61,$A99,$D$3:$D$61,$B99)*SUMIF('COM balance'!$D$5:$D$25,'COM Assumptions'!$A99,'COM balance'!H$5:H$25)*IFERROR(VLOOKUP($C99,$C$64:$AH$78,H$63,FALSE),1)</f>
        <v>1.4648160171060001</v>
      </c>
      <c r="I99" s="10">
        <f ca="1">SUMIFS(I$3:I$61,$A$3:$A$61,$A99,$D$3:$D$61,$B99)*SUMIF('COM balance'!$D$5:$D$25,'COM Assumptions'!$A99,'COM balance'!I$5:I$25)*IFERROR(VLOOKUP($C99,$C$64:$AH$78,I$63,FALSE),1)</f>
        <v>47.538869299515007</v>
      </c>
      <c r="J99" s="10">
        <f ca="1">SUMIFS(J$3:J$61,$A$3:$A$61,$A99,$D$3:$D$61,$B99)*SUMIF('COM balance'!$D$5:$D$25,'COM Assumptions'!$A99,'COM balance'!J$5:J$25)*IFERROR(VLOOKUP($C99,$C$64:$AH$78,J$63,FALSE),1)</f>
        <v>3.4983273055896</v>
      </c>
      <c r="K99" s="10">
        <f ca="1">SUMIFS(K$3:K$61,$A$3:$A$61,$A99,$D$3:$D$61,$B99)*SUMIF('COM balance'!$D$5:$D$25,'COM Assumptions'!$A99,'COM balance'!K$5:K$25)*IFERROR(VLOOKUP($C99,$C$64:$AH$78,K$63,FALSE),1)</f>
        <v>0.58183791290639997</v>
      </c>
      <c r="L99" s="10">
        <f ca="1">SUMIFS(L$3:L$61,$A$3:$A$61,$A99,$D$3:$D$61,$B99)*SUMIF('COM balance'!$D$5:$D$25,'COM Assumptions'!$A99,'COM balance'!L$5:L$25)*IFERROR(VLOOKUP($C99,$C$64:$AH$78,L$63,FALSE),1)</f>
        <v>0.1015503818256001</v>
      </c>
      <c r="M99" s="10">
        <f ca="1">SUMIFS(M$3:M$61,$A$3:$A$61,$A99,$D$3:$D$61,$B99)*SUMIF('COM balance'!$D$5:$D$25,'COM Assumptions'!$A99,'COM balance'!M$5:M$25)*IFERROR(VLOOKUP($C99,$C$64:$AH$78,M$63,FALSE),1)</f>
        <v>4.6311876051408003</v>
      </c>
      <c r="N99" s="10">
        <f ca="1">SUMIFS(N$3:N$61,$A$3:$A$61,$A99,$D$3:$D$61,$B99)*SUMIF('COM balance'!$D$5:$D$25,'COM Assumptions'!$A99,'COM balance'!N$5:N$25)*IFERROR(VLOOKUP($C99,$C$64:$AH$78,N$63,FALSE),1)</f>
        <v>8.3683395544250878</v>
      </c>
      <c r="O99" s="10">
        <f ca="1">SUMIFS(O$3:O$61,$A$3:$A$61,$A99,$D$3:$D$61,$B99)*SUMIF('COM balance'!$D$5:$D$25,'COM Assumptions'!$A99,'COM balance'!O$5:O$25)*IFERROR(VLOOKUP($C99,$C$64:$AH$78,O$63,FALSE),1)</f>
        <v>7.4691428142149991</v>
      </c>
      <c r="P99" s="10">
        <f ca="1">SUMIFS(P$3:P$61,$A$3:$A$61,$A99,$D$3:$D$61,$B99)*SUMIF('COM balance'!$D$5:$D$25,'COM Assumptions'!$A99,'COM balance'!P$5:P$25)*IFERROR(VLOOKUP($C99,$C$64:$AH$78,P$63,FALSE),1)</f>
        <v>3.3761116744560007</v>
      </c>
      <c r="Q99" s="10">
        <f ca="1">SUMIFS(Q$3:Q$61,$A$3:$A$61,$A99,$D$3:$D$61,$B99)*SUMIF('COM balance'!$D$5:$D$25,'COM Assumptions'!$A99,'COM balance'!Q$5:Q$25)*IFERROR(VLOOKUP($C99,$C$64:$AH$78,Q$63,FALSE),1)</f>
        <v>9.8795130911549993</v>
      </c>
      <c r="R99" s="10">
        <f ca="1">SUMIFS(R$3:R$61,$A$3:$A$61,$A99,$D$3:$D$61,$B99)*SUMIF('COM balance'!$D$5:$D$25,'COM Assumptions'!$A99,'COM balance'!R$5:R$25)*IFERROR(VLOOKUP($C99,$C$64:$AH$78,R$63,FALSE),1)</f>
        <v>14.902746761654999</v>
      </c>
      <c r="S99" s="10">
        <f ca="1">SUMIFS(S$3:S$61,$A$3:$A$61,$A99,$D$3:$D$61,$B99)*SUMIF('COM balance'!$D$5:$D$25,'COM Assumptions'!$A99,'COM balance'!S$5:S$25)*IFERROR(VLOOKUP($C99,$C$64:$AH$78,S$63,FALSE),1)</f>
        <v>1.2806664226560001</v>
      </c>
      <c r="T99" s="10">
        <f ca="1">SUMIFS(T$3:T$61,$A$3:$A$61,$A99,$D$3:$D$61,$B99)*SUMIF('COM balance'!$D$5:$D$25,'COM Assumptions'!$A99,'COM balance'!T$5:T$25)*IFERROR(VLOOKUP($C99,$C$64:$AH$78,T$63,FALSE),1)</f>
        <v>12.294413433360001</v>
      </c>
      <c r="U99" s="10">
        <f ca="1">SUMIFS(U$3:U$61,$A$3:$A$61,$A99,$D$3:$D$61,$B99)*SUMIF('COM balance'!$D$5:$D$25,'COM Assumptions'!$A99,'COM balance'!U$5:U$25)*IFERROR(VLOOKUP($C99,$C$64:$AH$78,U$63,FALSE),1)</f>
        <v>4.905355907484001</v>
      </c>
      <c r="V99" s="10">
        <f ca="1">SUMIFS(V$3:V$61,$A$3:$A$61,$A99,$D$3:$D$61,$B99)*SUMIF('COM balance'!$D$5:$D$25,'COM Assumptions'!$A99,'COM balance'!V$5:V$25)*IFERROR(VLOOKUP($C99,$C$64:$AH$78,V$63,FALSE),1)</f>
        <v>18.442225090305001</v>
      </c>
      <c r="W99" s="10">
        <f ca="1">SUMIFS(W$3:W$61,$A$3:$A$61,$A99,$D$3:$D$61,$B99)*SUMIF('COM balance'!$D$5:$D$25,'COM Assumptions'!$A99,'COM balance'!W$5:W$25)*IFERROR(VLOOKUP($C99,$C$64:$AH$78,W$63,FALSE),1)</f>
        <v>17.546490055619998</v>
      </c>
      <c r="X99" s="10">
        <f ca="1">SUMIFS(X$3:X$61,$A$3:$A$61,$A99,$D$3:$D$61,$B99)*SUMIF('COM balance'!$D$5:$D$25,'COM Assumptions'!$A99,'COM balance'!X$5:X$25)*IFERROR(VLOOKUP($C99,$C$64:$AH$78,X$63,FALSE),1)</f>
        <v>1.5957792546649197</v>
      </c>
      <c r="Y99" s="10">
        <f ca="1">SUMIFS(Y$3:Y$61,$A$3:$A$61,$A99,$D$3:$D$61,$B99)*SUMIF('COM balance'!$D$5:$D$25,'COM Assumptions'!$A99,'COM balance'!Y$5:Y$25)*IFERROR(VLOOKUP($C99,$C$64:$AH$78,Y$63,FALSE),1)</f>
        <v>6.4335272311440053E-2</v>
      </c>
      <c r="Z99" s="10">
        <f ca="1">SUMIFS(Z$3:Z$61,$A$3:$A$61,$A99,$D$3:$D$61,$B99)*SUMIF('COM balance'!$D$5:$D$25,'COM Assumptions'!$A99,'COM balance'!Z$5:Z$25)*IFERROR(VLOOKUP($C99,$C$64:$AH$78,Z$63,FALSE),1)</f>
        <v>0.77534548474499998</v>
      </c>
      <c r="AA99" s="10">
        <f ca="1">SUMIFS(AA$3:AA$61,$A$3:$A$61,$A99,$D$3:$D$61,$B99)*SUMIF('COM balance'!$D$5:$D$25,'COM Assumptions'!$A99,'COM balance'!AA$5:AA$25)*IFERROR(VLOOKUP($C99,$C$64:$AH$78,AA$63,FALSE),1)</f>
        <v>5.575849151292001</v>
      </c>
      <c r="AB99" s="10">
        <f ca="1">SUMIFS(AB$3:AB$61,$A$3:$A$61,$A99,$D$3:$D$61,$B99)*SUMIF('COM balance'!$D$5:$D$25,'COM Assumptions'!$A99,'COM balance'!AB$5:AB$25)*IFERROR(VLOOKUP($C99,$C$64:$AH$78,AB$63,FALSE),1)</f>
        <v>3.7200665786849996</v>
      </c>
      <c r="AC99" s="10">
        <f ca="1">SUMIFS(AC$3:AC$61,$A$3:$A$61,$A99,$D$3:$D$61,$B99)*SUMIF('COM balance'!$D$5:$D$25,'COM Assumptions'!$A99,'COM balance'!AC$5:AC$25)*IFERROR(VLOOKUP($C99,$C$64:$AH$78,AC$63,FALSE),1)</f>
        <v>8.2549205903880001</v>
      </c>
      <c r="AD99" s="10">
        <f ca="1">SUMIFS(AD$3:AD$61,$A$3:$A$61,$A99,$D$3:$D$61,$B99)*SUMIF('COM balance'!$D$5:$D$25,'COM Assumptions'!$A99,'COM balance'!AD$5:AD$25)*IFERROR(VLOOKUP($C99,$C$64:$AH$78,AD$63,FALSE),1)</f>
        <v>4.4062038530280008</v>
      </c>
      <c r="AE99" s="10">
        <f ca="1">SUMIFS(AE$3:AE$61,$A$3:$A$61,$A99,$D$3:$D$61,$B99)*SUMIF('COM balance'!$D$5:$D$25,'COM Assumptions'!$A99,'COM balance'!AE$5:AE$25)*IFERROR(VLOOKUP($C99,$C$64:$AH$78,AE$63,FALSE),1)</f>
        <v>0</v>
      </c>
      <c r="AF99" s="10">
        <f ca="1">SUMIFS(AF$3:AF$61,$A$3:$A$61,$A99,$D$3:$D$61,$B99)*SUMIF('COM balance'!$D$5:$D$25,'COM Assumptions'!$A99,'COM balance'!AF$5:AF$25)*IFERROR(VLOOKUP($C99,$C$64:$AH$78,AF$63,FALSE),1)</f>
        <v>12.166285577984999</v>
      </c>
      <c r="AG99" s="10">
        <f ca="1">SUMIFS(AG$3:AG$61,$A$3:$A$61,$A99,$D$3:$D$61,$B99)*SUMIF('COM balance'!$D$5:$D$25,'COM Assumptions'!$A99,'COM balance'!AG$5:AG$25)*IFERROR(VLOOKUP($C99,$C$64:$AH$78,AG$63,FALSE),1)</f>
        <v>94.680104448857406</v>
      </c>
      <c r="AH99" s="10">
        <f ca="1">SUMIFS(AH$3:AH$61,$A$3:$A$61,$A99,$D$3:$D$61,$B99)*SUMIF('COM balance'!$D$5:$D$25,'COM Assumptions'!$A99,'COM balance'!AH$5:AH$25)*IFERROR(VLOOKUP($C99,$C$64:$AH$78,AH$63,FALSE),1)</f>
        <v>0</v>
      </c>
      <c r="AI99" s="10"/>
      <c r="AJ99" s="37" t="s">
        <v>266</v>
      </c>
      <c r="AK99" s="37" t="s">
        <v>21</v>
      </c>
      <c r="AN99" s="8"/>
      <c r="AO99" s="8"/>
      <c r="AP99" s="8"/>
      <c r="AQ99" s="8"/>
    </row>
    <row r="100" spans="1:43" x14ac:dyDescent="0.45">
      <c r="A100" s="8" t="str">
        <f t="shared" si="40"/>
        <v>COMELC</v>
      </c>
      <c r="B100" s="8" t="str">
        <f t="shared" si="41"/>
        <v>CH</v>
      </c>
      <c r="C100" s="8" t="str">
        <f>SUBSTITUTE(SUBSTITUTE(SUBSTITUTE('COM Veda input'!B23,"CC1","CL"),"000",""),"CH1","CH")</f>
        <v>CHERS</v>
      </c>
      <c r="E100" s="10">
        <f ca="1">SUMIFS(E$3:E$61,$A$3:$A$61,$A100,$D$3:$D$61,$B100)*SUMIF('COM balance'!$D$5:$D$25,'COM Assumptions'!$A100,'COM balance'!E$5:E$25)*IFERROR(VLOOKUP($C100,$C$64:$AH$78,E$63,FALSE),1)</f>
        <v>0</v>
      </c>
      <c r="F100" s="10">
        <f ca="1">SUMIFS(F$3:F$61,$A$3:$A$61,$A100,$D$3:$D$61,$B100)*SUMIF('COM balance'!$D$5:$D$25,'COM Assumptions'!$A100,'COM balance'!F$5:F$25)*IFERROR(VLOOKUP($C100,$C$64:$AH$78,F$63,FALSE),1)</f>
        <v>0</v>
      </c>
      <c r="G100" s="10">
        <f ca="1">SUMIFS(G$3:G$61,$A$3:$A$61,$A100,$D$3:$D$61,$B100)*SUMIF('COM balance'!$D$5:$D$25,'COM Assumptions'!$A100,'COM balance'!G$5:G$25)*IFERROR(VLOOKUP($C100,$C$64:$AH$78,G$63,FALSE),1)</f>
        <v>3.0945759731964002</v>
      </c>
      <c r="H100" s="10">
        <f ca="1">SUMIFS(H$3:H$61,$A$3:$A$61,$A100,$D$3:$D$61,$B100)*SUMIF('COM balance'!$D$5:$D$25,'COM Assumptions'!$A100,'COM balance'!H$5:H$25)*IFERROR(VLOOKUP($C100,$C$64:$AH$78,H$63,FALSE),1)</f>
        <v>8.3006240969339995</v>
      </c>
      <c r="I100" s="10">
        <f ca="1">SUMIFS(I$3:I$61,$A$3:$A$61,$A100,$D$3:$D$61,$B100)*SUMIF('COM balance'!$D$5:$D$25,'COM Assumptions'!$A100,'COM balance'!I$5:I$25)*IFERROR(VLOOKUP($C100,$C$64:$AH$78,I$63,FALSE),1)</f>
        <v>38.895438517785003</v>
      </c>
      <c r="J100" s="10">
        <f ca="1">SUMIFS(J$3:J$61,$A$3:$A$61,$A100,$D$3:$D$61,$B100)*SUMIF('COM balance'!$D$5:$D$25,'COM Assumptions'!$A100,'COM balance'!J$5:J$25)*IFERROR(VLOOKUP($C100,$C$64:$AH$78,J$63,FALSE),1)</f>
        <v>31.484945750306402</v>
      </c>
      <c r="K100" s="10">
        <f ca="1">SUMIFS(K$3:K$61,$A$3:$A$61,$A100,$D$3:$D$61,$B100)*SUMIF('COM balance'!$D$5:$D$25,'COM Assumptions'!$A100,'COM balance'!K$5:K$25)*IFERROR(VLOOKUP($C100,$C$64:$AH$78,K$63,FALSE),1)</f>
        <v>11.054920345221598</v>
      </c>
      <c r="L100" s="10">
        <f ca="1">SUMIFS(L$3:L$61,$A$3:$A$61,$A100,$D$3:$D$61,$B100)*SUMIF('COM balance'!$D$5:$D$25,'COM Assumptions'!$A100,'COM balance'!L$5:L$25)*IFERROR(VLOOKUP($C100,$C$64:$AH$78,L$63,FALSE),1)</f>
        <v>10.0534878007344</v>
      </c>
      <c r="M100" s="10">
        <f ca="1">SUMIFS(M$3:M$61,$A$3:$A$61,$A100,$D$3:$D$61,$B100)*SUMIF('COM balance'!$D$5:$D$25,'COM Assumptions'!$A100,'COM balance'!M$5:M$25)*IFERROR(VLOOKUP($C100,$C$64:$AH$78,M$63,FALSE),1)</f>
        <v>87.99256449767519</v>
      </c>
      <c r="N100" s="10">
        <f ca="1">SUMIFS(N$3:N$61,$A$3:$A$61,$A100,$D$3:$D$61,$B100)*SUMIF('COM balance'!$D$5:$D$25,'COM Assumptions'!$A100,'COM balance'!N$5:N$25)*IFERROR(VLOOKUP($C100,$C$64:$AH$78,N$63,FALSE),1)</f>
        <v>26.719038032262912</v>
      </c>
      <c r="O100" s="10">
        <f ca="1">SUMIFS(O$3:O$61,$A$3:$A$61,$A100,$D$3:$D$61,$B100)*SUMIF('COM balance'!$D$5:$D$25,'COM Assumptions'!$A100,'COM balance'!O$5:O$25)*IFERROR(VLOOKUP($C100,$C$64:$AH$78,O$63,FALSE),1)</f>
        <v>22.407428442644999</v>
      </c>
      <c r="P100" s="10">
        <f ca="1">SUMIFS(P$3:P$61,$A$3:$A$61,$A100,$D$3:$D$61,$B100)*SUMIF('COM balance'!$D$5:$D$25,'COM Assumptions'!$A100,'COM balance'!P$5:P$25)*IFERROR(VLOOKUP($C100,$C$64:$AH$78,P$63,FALSE),1)</f>
        <v>30.385005070104008</v>
      </c>
      <c r="Q100" s="10">
        <f ca="1">SUMIFS(Q$3:Q$61,$A$3:$A$61,$A100,$D$3:$D$61,$B100)*SUMIF('COM balance'!$D$5:$D$25,'COM Assumptions'!$A100,'COM balance'!Q$5:Q$25)*IFERROR(VLOOKUP($C100,$C$64:$AH$78,Q$63,FALSE),1)</f>
        <v>29.638539273465</v>
      </c>
      <c r="R100" s="10">
        <f ca="1">SUMIFS(R$3:R$61,$A$3:$A$61,$A100,$D$3:$D$61,$B100)*SUMIF('COM balance'!$D$5:$D$25,'COM Assumptions'!$A100,'COM balance'!R$5:R$25)*IFERROR(VLOOKUP($C100,$C$64:$AH$78,R$63,FALSE),1)</f>
        <v>44.708240284965001</v>
      </c>
      <c r="S100" s="10">
        <f ca="1">SUMIFS(S$3:S$61,$A$3:$A$61,$A100,$D$3:$D$61,$B100)*SUMIF('COM balance'!$D$5:$D$25,'COM Assumptions'!$A100,'COM balance'!S$5:S$25)*IFERROR(VLOOKUP($C100,$C$64:$AH$78,S$63,FALSE),1)</f>
        <v>11.525997803904001</v>
      </c>
      <c r="T100" s="10">
        <f ca="1">SUMIFS(T$3:T$61,$A$3:$A$61,$A100,$D$3:$D$61,$B100)*SUMIF('COM balance'!$D$5:$D$25,'COM Assumptions'!$A100,'COM balance'!T$5:T$25)*IFERROR(VLOOKUP($C100,$C$64:$AH$78,T$63,FALSE),1)</f>
        <v>36.883240300080004</v>
      </c>
      <c r="U100" s="10">
        <f ca="1">SUMIFS(U$3:U$61,$A$3:$A$61,$A100,$D$3:$D$61,$B100)*SUMIF('COM balance'!$D$5:$D$25,'COM Assumptions'!$A100,'COM balance'!U$5:U$25)*IFERROR(VLOOKUP($C100,$C$64:$AH$78,U$63,FALSE),1)</f>
        <v>19.621423629936004</v>
      </c>
      <c r="V100" s="10">
        <f ca="1">SUMIFS(V$3:V$61,$A$3:$A$61,$A100,$D$3:$D$61,$B100)*SUMIF('COM balance'!$D$5:$D$25,'COM Assumptions'!$A100,'COM balance'!V$5:V$25)*IFERROR(VLOOKUP($C100,$C$64:$AH$78,V$63,FALSE),1)</f>
        <v>55.326675270915004</v>
      </c>
      <c r="W100" s="10">
        <f ca="1">SUMIFS(W$3:W$61,$A$3:$A$61,$A100,$D$3:$D$61,$B100)*SUMIF('COM balance'!$D$5:$D$25,'COM Assumptions'!$A100,'COM balance'!W$5:W$25)*IFERROR(VLOOKUP($C100,$C$64:$AH$78,W$63,FALSE),1)</f>
        <v>52.639470166859994</v>
      </c>
      <c r="X100" s="10">
        <f ca="1">SUMIFS(X$3:X$61,$A$3:$A$61,$A100,$D$3:$D$61,$B100)*SUMIF('COM balance'!$D$5:$D$25,'COM Assumptions'!$A100,'COM balance'!X$5:X$25)*IFERROR(VLOOKUP($C100,$C$64:$AH$78,X$63,FALSE),1)</f>
        <v>6.5877041025910801</v>
      </c>
      <c r="Y100" s="10">
        <f ca="1">SUMIFS(Y$3:Y$61,$A$3:$A$61,$A100,$D$3:$D$61,$B100)*SUMIF('COM balance'!$D$5:$D$25,'COM Assumptions'!$A100,'COM balance'!Y$5:Y$25)*IFERROR(VLOOKUP($C100,$C$64:$AH$78,Y$63,FALSE),1)</f>
        <v>6.3691919588325598</v>
      </c>
      <c r="Z100" s="10">
        <f ca="1">SUMIFS(Z$3:Z$61,$A$3:$A$61,$A100,$D$3:$D$61,$B100)*SUMIF('COM balance'!$D$5:$D$25,'COM Assumptions'!$A100,'COM balance'!Z$5:Z$25)*IFERROR(VLOOKUP($C100,$C$64:$AH$78,Z$63,FALSE),1)</f>
        <v>4.393624413555</v>
      </c>
      <c r="AA100" s="10">
        <f ca="1">SUMIFS(AA$3:AA$61,$A$3:$A$61,$A100,$D$3:$D$61,$B100)*SUMIF('COM balance'!$D$5:$D$25,'COM Assumptions'!$A100,'COM balance'!AA$5:AA$25)*IFERROR(VLOOKUP($C100,$C$64:$AH$78,AA$63,FALSE),1)</f>
        <v>22.303396605168004</v>
      </c>
      <c r="AB100" s="10">
        <f ca="1">SUMIFS(AB$3:AB$61,$A$3:$A$61,$A100,$D$3:$D$61,$B100)*SUMIF('COM balance'!$D$5:$D$25,'COM Assumptions'!$A100,'COM balance'!AB$5:AB$25)*IFERROR(VLOOKUP($C100,$C$64:$AH$78,AB$63,FALSE),1)</f>
        <v>11.160199736054999</v>
      </c>
      <c r="AC100" s="10">
        <f ca="1">SUMIFS(AC$3:AC$61,$A$3:$A$61,$A100,$D$3:$D$61,$B100)*SUMIF('COM balance'!$D$5:$D$25,'COM Assumptions'!$A100,'COM balance'!AC$5:AC$25)*IFERROR(VLOOKUP($C100,$C$64:$AH$78,AC$63,FALSE),1)</f>
        <v>46.777883345532004</v>
      </c>
      <c r="AD100" s="10">
        <f ca="1">SUMIFS(AD$3:AD$61,$A$3:$A$61,$A100,$D$3:$D$61,$B100)*SUMIF('COM balance'!$D$5:$D$25,'COM Assumptions'!$A100,'COM balance'!AD$5:AD$25)*IFERROR(VLOOKUP($C100,$C$64:$AH$78,AD$63,FALSE),1)</f>
        <v>17.624815412112003</v>
      </c>
      <c r="AE100" s="10">
        <f ca="1">SUMIFS(AE$3:AE$61,$A$3:$A$61,$A100,$D$3:$D$61,$B100)*SUMIF('COM balance'!$D$5:$D$25,'COM Assumptions'!$A100,'COM balance'!AE$5:AE$25)*IFERROR(VLOOKUP($C100,$C$64:$AH$78,AE$63,FALSE),1)</f>
        <v>0</v>
      </c>
      <c r="AF100" s="10">
        <f ca="1">SUMIFS(AF$3:AF$61,$A$3:$A$61,$A100,$D$3:$D$61,$B100)*SUMIF('COM balance'!$D$5:$D$25,'COM Assumptions'!$A100,'COM balance'!AF$5:AF$25)*IFERROR(VLOOKUP($C100,$C$64:$AH$78,AF$63,FALSE),1)</f>
        <v>36.498856733954995</v>
      </c>
      <c r="AG100" s="10">
        <f ca="1">SUMIFS(AG$3:AG$61,$A$3:$A$61,$A100,$D$3:$D$61,$B100)*SUMIF('COM balance'!$D$5:$D$25,'COM Assumptions'!$A100,'COM balance'!AG$5:AG$25)*IFERROR(VLOOKUP($C100,$C$64:$AH$78,AG$63,FALSE),1)</f>
        <v>129.49672840760931</v>
      </c>
      <c r="AH100" s="10">
        <f ca="1">SUMIFS(AH$3:AH$61,$A$3:$A$61,$A100,$D$3:$D$61,$B100)*SUMIF('COM balance'!$D$5:$D$25,'COM Assumptions'!$A100,'COM balance'!AH$5:AH$25)*IFERROR(VLOOKUP($C100,$C$64:$AH$78,AH$63,FALSE),1)</f>
        <v>0</v>
      </c>
      <c r="AI100" s="10"/>
      <c r="AJ100" s="37" t="s">
        <v>21</v>
      </c>
      <c r="AK100" s="37" t="str">
        <f>AJ100</f>
        <v>NGA</v>
      </c>
      <c r="AN100" s="8"/>
      <c r="AO100" s="8"/>
      <c r="AP100" s="8"/>
      <c r="AQ100" s="8"/>
    </row>
    <row r="101" spans="1:43" x14ac:dyDescent="0.45">
      <c r="A101" s="8" t="str">
        <f t="shared" si="40"/>
        <v>COMGEO</v>
      </c>
      <c r="B101" s="8" t="str">
        <f t="shared" si="41"/>
        <v>CH</v>
      </c>
      <c r="C101" s="8" t="str">
        <f>SUBSTITUTE(SUBSTITUTE(SUBSTITUTE('COM Veda input'!B24,"CC1","CL"),"000",""),"CH1","CH")</f>
        <v>CHGEO</v>
      </c>
      <c r="E101" s="10">
        <f ca="1">SUMIFS(E$3:E$61,$A$3:$A$61,$A101,$D$3:$D$61,$B101)*SUMIF('COM balance'!$D$5:$D$25,'COM Assumptions'!$A101,'COM balance'!E$5:E$25)*IFERROR(VLOOKUP($C101,$C$64:$AH$78,E$63,FALSE),1)</f>
        <v>0</v>
      </c>
      <c r="F101" s="10">
        <f ca="1">SUMIFS(F$3:F$61,$A$3:$A$61,$A101,$D$3:$D$61,$B101)*SUMIF('COM balance'!$D$5:$D$25,'COM Assumptions'!$A101,'COM balance'!F$5:F$25)*IFERROR(VLOOKUP($C101,$C$64:$AH$78,F$63,FALSE),1)</f>
        <v>0</v>
      </c>
      <c r="G101" s="10">
        <f ca="1">SUMIFS(G$3:G$61,$A$3:$A$61,$A101,$D$3:$D$61,$B101)*SUMIF('COM balance'!$D$5:$D$25,'COM Assumptions'!$A101,'COM balance'!G$5:G$25)*IFERROR(VLOOKUP($C101,$C$64:$AH$78,G$63,FALSE),1)</f>
        <v>0</v>
      </c>
      <c r="H101" s="10">
        <f ca="1">SUMIFS(H$3:H$61,$A$3:$A$61,$A101,$D$3:$D$61,$B101)*SUMIF('COM balance'!$D$5:$D$25,'COM Assumptions'!$A101,'COM balance'!H$5:H$25)*IFERROR(VLOOKUP($C101,$C$64:$AH$78,H$63,FALSE),1)</f>
        <v>0.37200136680000001</v>
      </c>
      <c r="I101" s="10">
        <f ca="1">SUMIFS(I$3:I$61,$A$3:$A$61,$A101,$D$3:$D$61,$B101)*SUMIF('COM balance'!$D$5:$D$25,'COM Assumptions'!$A101,'COM balance'!I$5:I$25)*IFERROR(VLOOKUP($C101,$C$64:$AH$78,I$63,FALSE),1)</f>
        <v>7.7222796206399993</v>
      </c>
      <c r="J101" s="10">
        <f ca="1">SUMIFS(J$3:J$61,$A$3:$A$61,$A101,$D$3:$D$61,$B101)*SUMIF('COM balance'!$D$5:$D$25,'COM Assumptions'!$A101,'COM balance'!J$5:J$25)*IFERROR(VLOOKUP($C101,$C$64:$AH$78,J$63,FALSE),1)</f>
        <v>0</v>
      </c>
      <c r="K101" s="10">
        <f ca="1">SUMIFS(K$3:K$61,$A$3:$A$61,$A101,$D$3:$D$61,$B101)*SUMIF('COM balance'!$D$5:$D$25,'COM Assumptions'!$A101,'COM balance'!K$5:K$25)*IFERROR(VLOOKUP($C101,$C$64:$AH$78,K$63,FALSE),1)</f>
        <v>2.3777800164</v>
      </c>
      <c r="L101" s="10">
        <f ca="1">SUMIFS(L$3:L$61,$A$3:$A$61,$A101,$D$3:$D$61,$B101)*SUMIF('COM balance'!$D$5:$D$25,'COM Assumptions'!$A101,'COM balance'!L$5:L$25)*IFERROR(VLOOKUP($C101,$C$64:$AH$78,L$63,FALSE),1)</f>
        <v>0</v>
      </c>
      <c r="M101" s="10">
        <f ca="1">SUMIFS(M$3:M$61,$A$3:$A$61,$A101,$D$3:$D$61,$B101)*SUMIF('COM balance'!$D$5:$D$25,'COM Assumptions'!$A101,'COM balance'!M$5:M$25)*IFERROR(VLOOKUP($C101,$C$64:$AH$78,M$63,FALSE),1)</f>
        <v>0</v>
      </c>
      <c r="N101" s="10">
        <f ca="1">SUMIFS(N$3:N$61,$A$3:$A$61,$A101,$D$3:$D$61,$B101)*SUMIF('COM balance'!$D$5:$D$25,'COM Assumptions'!$A101,'COM balance'!N$5:N$25)*IFERROR(VLOOKUP($C101,$C$64:$AH$78,N$63,FALSE),1)</f>
        <v>149.181378048</v>
      </c>
      <c r="O101" s="10">
        <f ca="1">SUMIFS(O$3:O$61,$A$3:$A$61,$A101,$D$3:$D$61,$B101)*SUMIF('COM balance'!$D$5:$D$25,'COM Assumptions'!$A101,'COM balance'!O$5:O$25)*IFERROR(VLOOKUP($C101,$C$64:$AH$78,O$63,FALSE),1)</f>
        <v>0</v>
      </c>
      <c r="P101" s="10">
        <f ca="1">SUMIFS(P$3:P$61,$A$3:$A$61,$A101,$D$3:$D$61,$B101)*SUMIF('COM balance'!$D$5:$D$25,'COM Assumptions'!$A101,'COM balance'!P$5:P$25)*IFERROR(VLOOKUP($C101,$C$64:$AH$78,P$63,FALSE),1)</f>
        <v>0.61317528192000004</v>
      </c>
      <c r="Q101" s="10">
        <f ca="1">SUMIFS(Q$3:Q$61,$A$3:$A$61,$A101,$D$3:$D$61,$B101)*SUMIF('COM balance'!$D$5:$D$25,'COM Assumptions'!$A101,'COM balance'!Q$5:Q$25)*IFERROR(VLOOKUP($C101,$C$64:$AH$78,Q$63,FALSE),1)</f>
        <v>0</v>
      </c>
      <c r="R101" s="10">
        <f ca="1">SUMIFS(R$3:R$61,$A$3:$A$61,$A101,$D$3:$D$61,$B101)*SUMIF('COM balance'!$D$5:$D$25,'COM Assumptions'!$A101,'COM balance'!R$5:R$25)*IFERROR(VLOOKUP($C101,$C$64:$AH$78,R$63,FALSE),1)</f>
        <v>3.1064730166265551</v>
      </c>
      <c r="S101" s="10">
        <f ca="1">SUMIFS(S$3:S$61,$A$3:$A$61,$A101,$D$3:$D$61,$B101)*SUMIF('COM balance'!$D$5:$D$25,'COM Assumptions'!$A101,'COM balance'!S$5:S$25)*IFERROR(VLOOKUP($C101,$C$64:$AH$78,S$63,FALSE),1)</f>
        <v>3.2156533180799998</v>
      </c>
      <c r="T101" s="10">
        <f ca="1">SUMIFS(T$3:T$61,$A$3:$A$61,$A101,$D$3:$D$61,$B101)*SUMIF('COM balance'!$D$5:$D$25,'COM Assumptions'!$A101,'COM balance'!T$5:T$25)*IFERROR(VLOOKUP($C101,$C$64:$AH$78,T$63,FALSE),1)</f>
        <v>6.5461296450900736E-2</v>
      </c>
      <c r="U101" s="10">
        <f ca="1">SUMIFS(U$3:U$61,$A$3:$A$61,$A101,$D$3:$D$61,$B101)*SUMIF('COM balance'!$D$5:$D$25,'COM Assumptions'!$A101,'COM balance'!U$5:U$25)*IFERROR(VLOOKUP($C101,$C$64:$AH$78,U$63,FALSE),1)</f>
        <v>0.10343405664000001</v>
      </c>
      <c r="V101" s="10">
        <f ca="1">SUMIFS(V$3:V$61,$A$3:$A$61,$A101,$D$3:$D$61,$B101)*SUMIF('COM balance'!$D$5:$D$25,'COM Assumptions'!$A101,'COM balance'!V$5:V$25)*IFERROR(VLOOKUP($C101,$C$64:$AH$78,V$63,FALSE),1)</f>
        <v>0.60148141114786968</v>
      </c>
      <c r="W101" s="10">
        <f ca="1">SUMIFS(W$3:W$61,$A$3:$A$61,$A101,$D$3:$D$61,$B101)*SUMIF('COM balance'!$D$5:$D$25,'COM Assumptions'!$A101,'COM balance'!W$5:W$25)*IFERROR(VLOOKUP($C101,$C$64:$AH$78,W$63,FALSE),1)</f>
        <v>2.0016445906146823</v>
      </c>
      <c r="X101" s="10">
        <f ca="1">SUMIFS(X$3:X$61,$A$3:$A$61,$A101,$D$3:$D$61,$B101)*SUMIF('COM balance'!$D$5:$D$25,'COM Assumptions'!$A101,'COM balance'!X$5:X$25)*IFERROR(VLOOKUP($C101,$C$64:$AH$78,X$63,FALSE),1)</f>
        <v>0</v>
      </c>
      <c r="Y101" s="10">
        <f ca="1">SUMIFS(Y$3:Y$61,$A$3:$A$61,$A101,$D$3:$D$61,$B101)*SUMIF('COM balance'!$D$5:$D$25,'COM Assumptions'!$A101,'COM balance'!Y$5:Y$25)*IFERROR(VLOOKUP($C101,$C$64:$AH$78,Y$63,FALSE),1)</f>
        <v>0.1024007544</v>
      </c>
      <c r="Z101" s="10">
        <f ca="1">SUMIFS(Z$3:Z$61,$A$3:$A$61,$A101,$D$3:$D$61,$B101)*SUMIF('COM balance'!$D$5:$D$25,'COM Assumptions'!$A101,'COM balance'!Z$5:Z$25)*IFERROR(VLOOKUP($C101,$C$64:$AH$78,Z$63,FALSE),1)</f>
        <v>0</v>
      </c>
      <c r="AA101" s="10">
        <f ca="1">SUMIFS(AA$3:AA$61,$A$3:$A$61,$A101,$D$3:$D$61,$B101)*SUMIF('COM balance'!$D$5:$D$25,'COM Assumptions'!$A101,'COM balance'!AA$5:AA$25)*IFERROR(VLOOKUP($C101,$C$64:$AH$78,AA$63,FALSE),1)</f>
        <v>0</v>
      </c>
      <c r="AB101" s="10">
        <f ca="1">SUMIFS(AB$3:AB$61,$A$3:$A$61,$A101,$D$3:$D$61,$B101)*SUMIF('COM balance'!$D$5:$D$25,'COM Assumptions'!$A101,'COM balance'!AB$5:AB$25)*IFERROR(VLOOKUP($C101,$C$64:$AH$78,AB$63,FALSE),1)</f>
        <v>0.22078081099151869</v>
      </c>
      <c r="AC101" s="10">
        <f ca="1">SUMIFS(AC$3:AC$61,$A$3:$A$61,$A101,$D$3:$D$61,$B101)*SUMIF('COM balance'!$D$5:$D$25,'COM Assumptions'!$A101,'COM balance'!AC$5:AC$25)*IFERROR(VLOOKUP($C101,$C$64:$AH$78,AC$63,FALSE),1)</f>
        <v>0</v>
      </c>
      <c r="AD101" s="10">
        <f ca="1">SUMIFS(AD$3:AD$61,$A$3:$A$61,$A101,$D$3:$D$61,$B101)*SUMIF('COM balance'!$D$5:$D$25,'COM Assumptions'!$A101,'COM balance'!AD$5:AD$25)*IFERROR(VLOOKUP($C101,$C$64:$AH$78,AD$63,FALSE),1)</f>
        <v>0</v>
      </c>
      <c r="AE101" s="10">
        <f ca="1">SUMIFS(AE$3:AE$61,$A$3:$A$61,$A101,$D$3:$D$61,$B101)*SUMIF('COM balance'!$D$5:$D$25,'COM Assumptions'!$A101,'COM balance'!AE$5:AE$25)*IFERROR(VLOOKUP($C101,$C$64:$AH$78,AE$63,FALSE),1)</f>
        <v>0</v>
      </c>
      <c r="AF101" s="10">
        <f ca="1">SUMIFS(AF$3:AF$61,$A$3:$A$61,$A101,$D$3:$D$61,$B101)*SUMIF('COM balance'!$D$5:$D$25,'COM Assumptions'!$A101,'COM balance'!AF$5:AF$25)*IFERROR(VLOOKUP($C101,$C$64:$AH$78,AF$63,FALSE),1)</f>
        <v>1.4602904592893241E-2</v>
      </c>
      <c r="AG101" s="10">
        <f ca="1">SUMIFS(AG$3:AG$61,$A$3:$A$61,$A101,$D$3:$D$61,$B101)*SUMIF('COM balance'!$D$5:$D$25,'COM Assumptions'!$A101,'COM balance'!AG$5:AG$25)*IFERROR(VLOOKUP($C101,$C$64:$AH$78,AG$63,FALSE),1)</f>
        <v>0</v>
      </c>
      <c r="AH101" s="10">
        <f ca="1">SUMIFS(AH$3:AH$61,$A$3:$A$61,$A101,$D$3:$D$61,$B101)*SUMIF('COM balance'!$D$5:$D$25,'COM Assumptions'!$A101,'COM balance'!AH$5:AH$25)*IFERROR(VLOOKUP($C101,$C$64:$AH$78,AH$63,FALSE),1)</f>
        <v>0</v>
      </c>
      <c r="AI101" s="10"/>
      <c r="AJ101" s="37" t="s">
        <v>180</v>
      </c>
      <c r="AK101" s="37" t="s">
        <v>21</v>
      </c>
      <c r="AN101" s="8"/>
      <c r="AO101" s="8"/>
      <c r="AP101" s="8"/>
      <c r="AQ101" s="8"/>
    </row>
    <row r="102" spans="1:43" x14ac:dyDescent="0.45">
      <c r="A102" s="8" t="str">
        <f t="shared" si="40"/>
        <v>COMHET</v>
      </c>
      <c r="B102" s="8" t="str">
        <f t="shared" si="41"/>
        <v>CH</v>
      </c>
      <c r="C102" s="8" t="str">
        <f>SUBSTITUTE(SUBSTITUTE(SUBSTITUTE('COM Veda input'!B25,"CC1","CL"),"000",""),"CH1","CH")</f>
        <v>CHHET</v>
      </c>
      <c r="E102" s="10">
        <f ca="1">SUMIFS(E$3:E$61,$A$3:$A$61,$A102,$D$3:$D$61,$B102)*SUMIF('COM balance'!$D$5:$D$25,'COM Assumptions'!$A102,'COM balance'!E$5:E$25)*IFERROR(VLOOKUP($C102,$C$64:$AH$78,E$63,FALSE),1)</f>
        <v>0</v>
      </c>
      <c r="F102" s="10">
        <f ca="1">SUMIFS(F$3:F$61,$A$3:$A$61,$A102,$D$3:$D$61,$B102)*SUMIF('COM balance'!$D$5:$D$25,'COM Assumptions'!$A102,'COM balance'!F$5:F$25)*IFERROR(VLOOKUP($C102,$C$64:$AH$78,F$63,FALSE),1)</f>
        <v>0</v>
      </c>
      <c r="G102" s="10">
        <f ca="1">SUMIFS(G$3:G$61,$A$3:$A$61,$A102,$D$3:$D$61,$B102)*SUMIF('COM balance'!$D$5:$D$25,'COM Assumptions'!$A102,'COM balance'!G$5:G$25)*IFERROR(VLOOKUP($C102,$C$64:$AH$78,G$63,FALSE),1)</f>
        <v>0</v>
      </c>
      <c r="H102" s="10">
        <f ca="1">SUMIFS(H$3:H$61,$A$3:$A$61,$A102,$D$3:$D$61,$B102)*SUMIF('COM balance'!$D$5:$D$25,'COM Assumptions'!$A102,'COM balance'!H$5:H$25)*IFERROR(VLOOKUP($C102,$C$64:$AH$78,H$63,FALSE),1)</f>
        <v>144.25462813679999</v>
      </c>
      <c r="I102" s="10">
        <f ca="1">SUMIFS(I$3:I$61,$A$3:$A$61,$A102,$D$3:$D$61,$B102)*SUMIF('COM balance'!$D$5:$D$25,'COM Assumptions'!$A102,'COM balance'!I$5:I$25)*IFERROR(VLOOKUP($C102,$C$64:$AH$78,I$63,FALSE),1)</f>
        <v>34.9030446732</v>
      </c>
      <c r="J102" s="10">
        <f ca="1">SUMIFS(J$3:J$61,$A$3:$A$61,$A102,$D$3:$D$61,$B102)*SUMIF('COM balance'!$D$5:$D$25,'COM Assumptions'!$A102,'COM balance'!J$5:J$25)*IFERROR(VLOOKUP($C102,$C$64:$AH$78,J$63,FALSE),1)</f>
        <v>12.551088556800002</v>
      </c>
      <c r="K102" s="10">
        <f ca="1">SUMIFS(K$3:K$61,$A$3:$A$61,$A102,$D$3:$D$61,$B102)*SUMIF('COM balance'!$D$5:$D$25,'COM Assumptions'!$A102,'COM balance'!K$5:K$25)*IFERROR(VLOOKUP($C102,$C$64:$AH$78,K$63,FALSE),1)</f>
        <v>0</v>
      </c>
      <c r="L102" s="10">
        <f ca="1">SUMIFS(L$3:L$61,$A$3:$A$61,$A102,$D$3:$D$61,$B102)*SUMIF('COM balance'!$D$5:$D$25,'COM Assumptions'!$A102,'COM balance'!L$5:L$25)*IFERROR(VLOOKUP($C102,$C$64:$AH$78,L$63,FALSE),1)</f>
        <v>0</v>
      </c>
      <c r="M102" s="10">
        <f ca="1">SUMIFS(M$3:M$61,$A$3:$A$61,$A102,$D$3:$D$61,$B102)*SUMIF('COM balance'!$D$5:$D$25,'COM Assumptions'!$A102,'COM balance'!M$5:M$25)*IFERROR(VLOOKUP($C102,$C$64:$AH$78,M$63,FALSE),1)</f>
        <v>0.29199999240000002</v>
      </c>
      <c r="N102" s="10">
        <f ca="1">SUMIFS(N$3:N$61,$A$3:$A$61,$A102,$D$3:$D$61,$B102)*SUMIF('COM balance'!$D$5:$D$25,'COM Assumptions'!$A102,'COM balance'!N$5:N$25)*IFERROR(VLOOKUP($C102,$C$64:$AH$78,N$63,FALSE),1)</f>
        <v>138.47320162080001</v>
      </c>
      <c r="O102" s="10">
        <f ca="1">SUMIFS(O$3:O$61,$A$3:$A$61,$A102,$D$3:$D$61,$B102)*SUMIF('COM balance'!$D$5:$D$25,'COM Assumptions'!$A102,'COM balance'!O$5:O$25)*IFERROR(VLOOKUP($C102,$C$64:$AH$78,O$63,FALSE),1)</f>
        <v>128.08354437720001</v>
      </c>
      <c r="P102" s="10">
        <f ca="1">SUMIFS(P$3:P$61,$A$3:$A$61,$A102,$D$3:$D$61,$B102)*SUMIF('COM balance'!$D$5:$D$25,'COM Assumptions'!$A102,'COM balance'!P$5:P$25)*IFERROR(VLOOKUP($C102,$C$64:$AH$78,P$63,FALSE),1)</f>
        <v>112.67438704200001</v>
      </c>
      <c r="Q102" s="10">
        <f ca="1">SUMIFS(Q$3:Q$61,$A$3:$A$61,$A102,$D$3:$D$61,$B102)*SUMIF('COM balance'!$D$5:$D$25,'COM Assumptions'!$A102,'COM balance'!Q$5:Q$25)*IFERROR(VLOOKUP($C102,$C$64:$AH$78,Q$63,FALSE),1)</f>
        <v>15.421098088800001</v>
      </c>
      <c r="R102" s="10">
        <f ca="1">SUMIFS(R$3:R$61,$A$3:$A$61,$A102,$D$3:$D$61,$B102)*SUMIF('COM balance'!$D$5:$D$25,'COM Assumptions'!$A102,'COM balance'!R$5:R$25)*IFERROR(VLOOKUP($C102,$C$64:$AH$78,R$63,FALSE),1)</f>
        <v>12.413472627599999</v>
      </c>
      <c r="S102" s="10">
        <f ca="1">SUMIFS(S$3:S$61,$A$3:$A$61,$A102,$D$3:$D$61,$B102)*SUMIF('COM balance'!$D$5:$D$25,'COM Assumptions'!$A102,'COM balance'!S$5:S$25)*IFERROR(VLOOKUP($C102,$C$64:$AH$78,S$63,FALSE),1)</f>
        <v>22.328476542000001</v>
      </c>
      <c r="T102" s="10">
        <f ca="1">SUMIFS(T$3:T$61,$A$3:$A$61,$A102,$D$3:$D$61,$B102)*SUMIF('COM balance'!$D$5:$D$25,'COM Assumptions'!$A102,'COM balance'!T$5:T$25)*IFERROR(VLOOKUP($C102,$C$64:$AH$78,T$63,FALSE),1)</f>
        <v>0.9996236208</v>
      </c>
      <c r="U102" s="10">
        <f ca="1">SUMIFS(U$3:U$61,$A$3:$A$61,$A102,$D$3:$D$61,$B102)*SUMIF('COM balance'!$D$5:$D$25,'COM Assumptions'!$A102,'COM balance'!U$5:U$25)*IFERROR(VLOOKUP($C102,$C$64:$AH$78,U$63,FALSE),1)</f>
        <v>122.94034946639999</v>
      </c>
      <c r="V102" s="10">
        <f ca="1">SUMIFS(V$3:V$61,$A$3:$A$61,$A102,$D$3:$D$61,$B102)*SUMIF('COM balance'!$D$5:$D$25,'COM Assumptions'!$A102,'COM balance'!V$5:V$25)*IFERROR(VLOOKUP($C102,$C$64:$AH$78,V$63,FALSE),1)</f>
        <v>33.509020305600004</v>
      </c>
      <c r="W102" s="10">
        <f ca="1">SUMIFS(W$3:W$61,$A$3:$A$61,$A102,$D$3:$D$61,$B102)*SUMIF('COM balance'!$D$5:$D$25,'COM Assumptions'!$A102,'COM balance'!W$5:W$25)*IFERROR(VLOOKUP($C102,$C$64:$AH$78,W$63,FALSE),1)</f>
        <v>58.193999546400001</v>
      </c>
      <c r="X102" s="10">
        <f ca="1">SUMIFS(X$3:X$61,$A$3:$A$61,$A102,$D$3:$D$61,$B102)*SUMIF('COM balance'!$D$5:$D$25,'COM Assumptions'!$A102,'COM balance'!X$5:X$25)*IFERROR(VLOOKUP($C102,$C$64:$AH$78,X$63,FALSE),1)</f>
        <v>0</v>
      </c>
      <c r="Y102" s="10">
        <f ca="1">SUMIFS(Y$3:Y$61,$A$3:$A$61,$A102,$D$3:$D$61,$B102)*SUMIF('COM balance'!$D$5:$D$25,'COM Assumptions'!$A102,'COM balance'!Y$5:Y$25)*IFERROR(VLOOKUP($C102,$C$64:$AH$78,Y$63,FALSE),1)</f>
        <v>0</v>
      </c>
      <c r="Z102" s="10">
        <f ca="1">SUMIFS(Z$3:Z$61,$A$3:$A$61,$A102,$D$3:$D$61,$B102)*SUMIF('COM balance'!$D$5:$D$25,'COM Assumptions'!$A102,'COM balance'!Z$5:Z$25)*IFERROR(VLOOKUP($C102,$C$64:$AH$78,Z$63,FALSE),1)</f>
        <v>0</v>
      </c>
      <c r="AA102" s="10">
        <f ca="1">SUMIFS(AA$3:AA$61,$A$3:$A$61,$A102,$D$3:$D$61,$B102)*SUMIF('COM balance'!$D$5:$D$25,'COM Assumptions'!$A102,'COM balance'!AA$5:AA$25)*IFERROR(VLOOKUP($C102,$C$64:$AH$78,AA$63,FALSE),1)</f>
        <v>0</v>
      </c>
      <c r="AB102" s="10">
        <f ca="1">SUMIFS(AB$3:AB$61,$A$3:$A$61,$A102,$D$3:$D$61,$B102)*SUMIF('COM balance'!$D$5:$D$25,'COM Assumptions'!$A102,'COM balance'!AB$5:AB$25)*IFERROR(VLOOKUP($C102,$C$64:$AH$78,AB$63,FALSE),1)</f>
        <v>27.786133627200002</v>
      </c>
      <c r="AC102" s="10">
        <f ca="1">SUMIFS(AC$3:AC$61,$A$3:$A$61,$A102,$D$3:$D$61,$B102)*SUMIF('COM balance'!$D$5:$D$25,'COM Assumptions'!$A102,'COM balance'!AC$5:AC$25)*IFERROR(VLOOKUP($C102,$C$64:$AH$78,AC$63,FALSE),1)</f>
        <v>791.34960101399997</v>
      </c>
      <c r="AD102" s="10">
        <f ca="1">SUMIFS(AD$3:AD$61,$A$3:$A$61,$A102,$D$3:$D$61,$B102)*SUMIF('COM balance'!$D$5:$D$25,'COM Assumptions'!$A102,'COM balance'!AD$5:AD$25)*IFERROR(VLOOKUP($C102,$C$64:$AH$78,AD$63,FALSE),1)</f>
        <v>0</v>
      </c>
      <c r="AE102" s="10">
        <f ca="1">SUMIFS(AE$3:AE$61,$A$3:$A$61,$A102,$D$3:$D$61,$B102)*SUMIF('COM balance'!$D$5:$D$25,'COM Assumptions'!$A102,'COM balance'!AE$5:AE$25)*IFERROR(VLOOKUP($C102,$C$64:$AH$78,AE$63,FALSE),1)</f>
        <v>0</v>
      </c>
      <c r="AF102" s="10">
        <f ca="1">SUMIFS(AF$3:AF$61,$A$3:$A$61,$A102,$D$3:$D$61,$B102)*SUMIF('COM balance'!$D$5:$D$25,'COM Assumptions'!$A102,'COM balance'!AF$5:AF$25)*IFERROR(VLOOKUP($C102,$C$64:$AH$78,AF$63,FALSE),1)</f>
        <v>12.561651853200001</v>
      </c>
      <c r="AG102" s="10">
        <f ca="1">SUMIFS(AG$3:AG$61,$A$3:$A$61,$A102,$D$3:$D$61,$B102)*SUMIF('COM balance'!$D$5:$D$25,'COM Assumptions'!$A102,'COM balance'!AG$5:AG$25)*IFERROR(VLOOKUP($C102,$C$64:$AH$78,AG$63,FALSE),1)</f>
        <v>53.0122400208</v>
      </c>
      <c r="AH102" s="10">
        <f ca="1">SUMIFS(AH$3:AH$61,$A$3:$A$61,$A102,$D$3:$D$61,$B102)*SUMIF('COM balance'!$D$5:$D$25,'COM Assumptions'!$A102,'COM balance'!AH$5:AH$25)*IFERROR(VLOOKUP($C102,$C$64:$AH$78,AH$63,FALSE),1)</f>
        <v>0</v>
      </c>
      <c r="AI102" s="10"/>
      <c r="AJ102" s="37" t="s">
        <v>181</v>
      </c>
      <c r="AK102" s="37" t="s">
        <v>18</v>
      </c>
      <c r="AN102" s="8"/>
      <c r="AO102" s="8"/>
      <c r="AP102" s="8"/>
      <c r="AQ102" s="8"/>
    </row>
    <row r="103" spans="1:43" x14ac:dyDescent="0.45">
      <c r="A103" s="8" t="str">
        <f t="shared" si="40"/>
        <v>COMKER</v>
      </c>
      <c r="B103" s="8" t="str">
        <f t="shared" si="41"/>
        <v>CH</v>
      </c>
      <c r="C103" s="8" t="str">
        <f>SUBSTITUTE(SUBSTITUTE(SUBSTITUTE('COM Veda input'!B26,"CC1","CL"),"000",""),"CH1","CH")</f>
        <v>CHKER</v>
      </c>
      <c r="E103" s="10">
        <f ca="1">SUMIFS(E$3:E$61,$A$3:$A$61,$A103,$D$3:$D$61,$B103)*SUMIF('COM balance'!$D$5:$D$25,'COM Assumptions'!$A103,'COM balance'!E$5:E$25)*IFERROR(VLOOKUP($C103,$C$64:$AH$78,E$63,FALSE),1)</f>
        <v>0</v>
      </c>
      <c r="F103" s="10">
        <f ca="1">SUMIFS(F$3:F$61,$A$3:$A$61,$A103,$D$3:$D$61,$B103)*SUMIF('COM balance'!$D$5:$D$25,'COM Assumptions'!$A103,'COM balance'!F$5:F$25)*IFERROR(VLOOKUP($C103,$C$64:$AH$78,F$63,FALSE),1)</f>
        <v>0</v>
      </c>
      <c r="G103" s="10">
        <f ca="1">SUMIFS(G$3:G$61,$A$3:$A$61,$A103,$D$3:$D$61,$B103)*SUMIF('COM balance'!$D$5:$D$25,'COM Assumptions'!$A103,'COM balance'!G$5:G$25)*IFERROR(VLOOKUP($C103,$C$64:$AH$78,G$63,FALSE),1)</f>
        <v>0</v>
      </c>
      <c r="H103" s="10">
        <f ca="1">SUMIFS(H$3:H$61,$A$3:$A$61,$A103,$D$3:$D$61,$B103)*SUMIF('COM balance'!$D$5:$D$25,'COM Assumptions'!$A103,'COM balance'!H$5:H$25)*IFERROR(VLOOKUP($C103,$C$64:$AH$78,H$63,FALSE),1)</f>
        <v>1.31004972E-2</v>
      </c>
      <c r="I103" s="10">
        <f ca="1">SUMIFS(I$3:I$61,$A$3:$A$61,$A103,$D$3:$D$61,$B103)*SUMIF('COM balance'!$D$5:$D$25,'COM Assumptions'!$A103,'COM balance'!I$5:I$25)*IFERROR(VLOOKUP($C103,$C$64:$AH$78,I$63,FALSE),1)</f>
        <v>90.979968702959994</v>
      </c>
      <c r="J103" s="10">
        <f ca="1">SUMIFS(J$3:J$61,$A$3:$A$61,$A103,$D$3:$D$61,$B103)*SUMIF('COM balance'!$D$5:$D$25,'COM Assumptions'!$A103,'COM balance'!J$5:J$25)*IFERROR(VLOOKUP($C103,$C$64:$AH$78,J$63,FALSE),1)</f>
        <v>0.98498782404000007</v>
      </c>
      <c r="K103" s="10">
        <f ca="1">SUMIFS(K$3:K$61,$A$3:$A$61,$A103,$D$3:$D$61,$B103)*SUMIF('COM balance'!$D$5:$D$25,'COM Assumptions'!$A103,'COM balance'!K$5:K$25)*IFERROR(VLOOKUP($C103,$C$64:$AH$78,K$63,FALSE),1)</f>
        <v>6.8663519999999999E-5</v>
      </c>
      <c r="L103" s="10">
        <f ca="1">SUMIFS(L$3:L$61,$A$3:$A$61,$A103,$D$3:$D$61,$B103)*SUMIF('COM balance'!$D$5:$D$25,'COM Assumptions'!$A103,'COM balance'!L$5:L$25)*IFERROR(VLOOKUP($C103,$C$64:$AH$78,L$63,FALSE),1)</f>
        <v>0</v>
      </c>
      <c r="M103" s="10">
        <f ca="1">SUMIFS(M$3:M$61,$A$3:$A$61,$A103,$D$3:$D$61,$B103)*SUMIF('COM balance'!$D$5:$D$25,'COM Assumptions'!$A103,'COM balance'!M$5:M$25)*IFERROR(VLOOKUP($C103,$C$64:$AH$78,M$63,FALSE),1)</f>
        <v>0.77087989620000008</v>
      </c>
      <c r="N103" s="10">
        <f ca="1">SUMIFS(N$3:N$61,$A$3:$A$61,$A103,$D$3:$D$61,$B103)*SUMIF('COM balance'!$D$5:$D$25,'COM Assumptions'!$A103,'COM balance'!N$5:N$25)*IFERROR(VLOOKUP($C103,$C$64:$AH$78,N$63,FALSE),1)</f>
        <v>6.3706890990600007</v>
      </c>
      <c r="O103" s="10">
        <f ca="1">SUMIFS(O$3:O$61,$A$3:$A$61,$A103,$D$3:$D$61,$B103)*SUMIF('COM balance'!$D$5:$D$25,'COM Assumptions'!$A103,'COM balance'!O$5:O$25)*IFERROR(VLOOKUP($C103,$C$64:$AH$78,O$63,FALSE),1)</f>
        <v>6.8286708000000005E-3</v>
      </c>
      <c r="P103" s="10">
        <f ca="1">SUMIFS(P$3:P$61,$A$3:$A$61,$A103,$D$3:$D$61,$B103)*SUMIF('COM balance'!$D$5:$D$25,'COM Assumptions'!$A103,'COM balance'!P$5:P$25)*IFERROR(VLOOKUP($C103,$C$64:$AH$78,P$63,FALSE),1)</f>
        <v>4.2579755999999999E-4</v>
      </c>
      <c r="Q103" s="10">
        <f ca="1">SUMIFS(Q$3:Q$61,$A$3:$A$61,$A103,$D$3:$D$61,$B103)*SUMIF('COM balance'!$D$5:$D$25,'COM Assumptions'!$A103,'COM balance'!Q$5:Q$25)*IFERROR(VLOOKUP($C103,$C$64:$AH$78,Q$63,FALSE),1)</f>
        <v>0.71190839951999996</v>
      </c>
      <c r="R103" s="10">
        <f ca="1">SUMIFS(R$3:R$61,$A$3:$A$61,$A103,$D$3:$D$61,$B103)*SUMIF('COM balance'!$D$5:$D$25,'COM Assumptions'!$A103,'COM balance'!R$5:R$25)*IFERROR(VLOOKUP($C103,$C$64:$AH$78,R$63,FALSE),1)</f>
        <v>2.01678156E-2</v>
      </c>
      <c r="S103" s="10">
        <f ca="1">SUMIFS(S$3:S$61,$A$3:$A$61,$A103,$D$3:$D$61,$B103)*SUMIF('COM balance'!$D$5:$D$25,'COM Assumptions'!$A103,'COM balance'!S$5:S$25)*IFERROR(VLOOKUP($C103,$C$64:$AH$78,S$63,FALSE),1)</f>
        <v>3.8346901199999999E-3</v>
      </c>
      <c r="T103" s="10">
        <f ca="1">SUMIFS(T$3:T$61,$A$3:$A$61,$A103,$D$3:$D$61,$B103)*SUMIF('COM balance'!$D$5:$D$25,'COM Assumptions'!$A103,'COM balance'!T$5:T$25)*IFERROR(VLOOKUP($C103,$C$64:$AH$78,T$63,FALSE),1)</f>
        <v>1.7584560000000002E-5</v>
      </c>
      <c r="U103" s="10">
        <f ca="1">SUMIFS(U$3:U$61,$A$3:$A$61,$A103,$D$3:$D$61,$B103)*SUMIF('COM balance'!$D$5:$D$25,'COM Assumptions'!$A103,'COM balance'!U$5:U$25)*IFERROR(VLOOKUP($C103,$C$64:$AH$78,U$63,FALSE),1)</f>
        <v>0</v>
      </c>
      <c r="V103" s="10">
        <f ca="1">SUMIFS(V$3:V$61,$A$3:$A$61,$A103,$D$3:$D$61,$B103)*SUMIF('COM balance'!$D$5:$D$25,'COM Assumptions'!$A103,'COM balance'!V$5:V$25)*IFERROR(VLOOKUP($C103,$C$64:$AH$78,V$63,FALSE),1)</f>
        <v>0</v>
      </c>
      <c r="W103" s="10">
        <f ca="1">SUMIFS(W$3:W$61,$A$3:$A$61,$A103,$D$3:$D$61,$B103)*SUMIF('COM balance'!$D$5:$D$25,'COM Assumptions'!$A103,'COM balance'!W$5:W$25)*IFERROR(VLOOKUP($C103,$C$64:$AH$78,W$63,FALSE),1)</f>
        <v>0</v>
      </c>
      <c r="X103" s="10">
        <f ca="1">SUMIFS(X$3:X$61,$A$3:$A$61,$A103,$D$3:$D$61,$B103)*SUMIF('COM balance'!$D$5:$D$25,'COM Assumptions'!$A103,'COM balance'!X$5:X$25)*IFERROR(VLOOKUP($C103,$C$64:$AH$78,X$63,FALSE),1)</f>
        <v>0</v>
      </c>
      <c r="Y103" s="10">
        <f ca="1">SUMIFS(Y$3:Y$61,$A$3:$A$61,$A103,$D$3:$D$61,$B103)*SUMIF('COM balance'!$D$5:$D$25,'COM Assumptions'!$A103,'COM balance'!Y$5:Y$25)*IFERROR(VLOOKUP($C103,$C$64:$AH$78,Y$63,FALSE),1)</f>
        <v>0</v>
      </c>
      <c r="Z103" s="10">
        <f ca="1">SUMIFS(Z$3:Z$61,$A$3:$A$61,$A103,$D$3:$D$61,$B103)*SUMIF('COM balance'!$D$5:$D$25,'COM Assumptions'!$A103,'COM balance'!Z$5:Z$25)*IFERROR(VLOOKUP($C103,$C$64:$AH$78,Z$63,FALSE),1)</f>
        <v>0</v>
      </c>
      <c r="AA103" s="10">
        <f ca="1">SUMIFS(AA$3:AA$61,$A$3:$A$61,$A103,$D$3:$D$61,$B103)*SUMIF('COM balance'!$D$5:$D$25,'COM Assumptions'!$A103,'COM balance'!AA$5:AA$25)*IFERROR(VLOOKUP($C103,$C$64:$AH$78,AA$63,FALSE),1)</f>
        <v>0</v>
      </c>
      <c r="AB103" s="10">
        <f ca="1">SUMIFS(AB$3:AB$61,$A$3:$A$61,$A103,$D$3:$D$61,$B103)*SUMIF('COM balance'!$D$5:$D$25,'COM Assumptions'!$A103,'COM balance'!AB$5:AB$25)*IFERROR(VLOOKUP($C103,$C$64:$AH$78,AB$63,FALSE),1)</f>
        <v>1.3732704E-4</v>
      </c>
      <c r="AC103" s="10">
        <f ca="1">SUMIFS(AC$3:AC$61,$A$3:$A$61,$A103,$D$3:$D$61,$B103)*SUMIF('COM balance'!$D$5:$D$25,'COM Assumptions'!$A103,'COM balance'!AC$5:AC$25)*IFERROR(VLOOKUP($C103,$C$64:$AH$78,AC$63,FALSE),1)</f>
        <v>0</v>
      </c>
      <c r="AD103" s="10">
        <f ca="1">SUMIFS(AD$3:AD$61,$A$3:$A$61,$A103,$D$3:$D$61,$B103)*SUMIF('COM balance'!$D$5:$D$25,'COM Assumptions'!$A103,'COM balance'!AD$5:AD$25)*IFERROR(VLOOKUP($C103,$C$64:$AH$78,AD$63,FALSE),1)</f>
        <v>0</v>
      </c>
      <c r="AE103" s="10">
        <f ca="1">SUMIFS(AE$3:AE$61,$A$3:$A$61,$A103,$D$3:$D$61,$B103)*SUMIF('COM balance'!$D$5:$D$25,'COM Assumptions'!$A103,'COM balance'!AE$5:AE$25)*IFERROR(VLOOKUP($C103,$C$64:$AH$78,AE$63,FALSE),1)</f>
        <v>0</v>
      </c>
      <c r="AF103" s="10">
        <f ca="1">SUMIFS(AF$3:AF$61,$A$3:$A$61,$A103,$D$3:$D$61,$B103)*SUMIF('COM balance'!$D$5:$D$25,'COM Assumptions'!$A103,'COM balance'!AF$5:AF$25)*IFERROR(VLOOKUP($C103,$C$64:$AH$78,AF$63,FALSE),1)</f>
        <v>6.8284003327200002</v>
      </c>
      <c r="AG103" s="10">
        <f ca="1">SUMIFS(AG$3:AG$61,$A$3:$A$61,$A103,$D$3:$D$61,$B103)*SUMIF('COM balance'!$D$5:$D$25,'COM Assumptions'!$A103,'COM balance'!AG$5:AG$25)*IFERROR(VLOOKUP($C103,$C$64:$AH$78,AG$63,FALSE),1)</f>
        <v>0.8759999772</v>
      </c>
      <c r="AH103" s="10">
        <f ca="1">SUMIFS(AH$3:AH$61,$A$3:$A$61,$A103,$D$3:$D$61,$B103)*SUMIF('COM balance'!$D$5:$D$25,'COM Assumptions'!$A103,'COM balance'!AH$5:AH$25)*IFERROR(VLOOKUP($C103,$C$64:$AH$78,AH$63,FALSE),1)</f>
        <v>0</v>
      </c>
      <c r="AI103" s="10"/>
      <c r="AJ103" s="37" t="s">
        <v>184</v>
      </c>
      <c r="AK103" s="37" t="s">
        <v>18</v>
      </c>
    </row>
    <row r="104" spans="1:43" x14ac:dyDescent="0.45">
      <c r="A104" s="8" t="str">
        <f t="shared" si="40"/>
        <v>COMLPG</v>
      </c>
      <c r="B104" s="8" t="str">
        <f t="shared" si="41"/>
        <v>CH</v>
      </c>
      <c r="C104" s="8" t="str">
        <f>SUBSTITUTE(SUBSTITUTE(SUBSTITUTE('COM Veda input'!B27,"CC1","CL"),"000",""),"CH1","CH")</f>
        <v>CHLPG</v>
      </c>
      <c r="E104" s="10">
        <f ca="1">SUMIFS(E$3:E$61,$A$3:$A$61,$A104,$D$3:$D$61,$B104)*SUMIF('COM balance'!$D$5:$D$25,'COM Assumptions'!$A104,'COM balance'!E$5:E$25)*IFERROR(VLOOKUP($C104,$C$64:$AH$78,E$63,FALSE),1)</f>
        <v>0</v>
      </c>
      <c r="F104" s="10">
        <f ca="1">SUMIFS(F$3:F$61,$A$3:$A$61,$A104,$D$3:$D$61,$B104)*SUMIF('COM balance'!$D$5:$D$25,'COM Assumptions'!$A104,'COM balance'!F$5:F$25)*IFERROR(VLOOKUP($C104,$C$64:$AH$78,F$63,FALSE),1)</f>
        <v>0</v>
      </c>
      <c r="G104" s="10">
        <f ca="1">SUMIFS(G$3:G$61,$A$3:$A$61,$A104,$D$3:$D$61,$B104)*SUMIF('COM balance'!$D$5:$D$25,'COM Assumptions'!$A104,'COM balance'!G$5:G$25)*IFERROR(VLOOKUP($C104,$C$64:$AH$78,G$63,FALSE),1)</f>
        <v>0</v>
      </c>
      <c r="H104" s="10">
        <f ca="1">SUMIFS(H$3:H$61,$A$3:$A$61,$A104,$D$3:$D$61,$B104)*SUMIF('COM balance'!$D$5:$D$25,'COM Assumptions'!$A104,'COM balance'!H$5:H$25)*IFERROR(VLOOKUP($C104,$C$64:$AH$78,H$63,FALSE),1)</f>
        <v>1.3096325655998837</v>
      </c>
      <c r="I104" s="10">
        <f ca="1">SUMIFS(I$3:I$61,$A$3:$A$61,$A104,$D$3:$D$61,$B104)*SUMIF('COM balance'!$D$5:$D$25,'COM Assumptions'!$A104,'COM balance'!I$5:I$25)*IFERROR(VLOOKUP($C104,$C$64:$AH$78,I$63,FALSE),1)</f>
        <v>56.118638792879999</v>
      </c>
      <c r="J104" s="10">
        <f ca="1">SUMIFS(J$3:J$61,$A$3:$A$61,$A104,$D$3:$D$61,$B104)*SUMIF('COM balance'!$D$5:$D$25,'COM Assumptions'!$A104,'COM balance'!J$5:J$25)*IFERROR(VLOOKUP($C104,$C$64:$AH$78,J$63,FALSE),1)</f>
        <v>13.805174995920002</v>
      </c>
      <c r="K104" s="10">
        <f ca="1">SUMIFS(K$3:K$61,$A$3:$A$61,$A104,$D$3:$D$61,$B104)*SUMIF('COM balance'!$D$5:$D$25,'COM Assumptions'!$A104,'COM balance'!K$5:K$25)*IFERROR(VLOOKUP($C104,$C$64:$AH$78,K$63,FALSE),1)</f>
        <v>0.68144314931999994</v>
      </c>
      <c r="L104" s="10">
        <f ca="1">SUMIFS(L$3:L$61,$A$3:$A$61,$A104,$D$3:$D$61,$B104)*SUMIF('COM balance'!$D$5:$D$25,'COM Assumptions'!$A104,'COM balance'!L$5:L$25)*IFERROR(VLOOKUP($C104,$C$64:$AH$78,L$63,FALSE),1)</f>
        <v>0</v>
      </c>
      <c r="M104" s="10">
        <f ca="1">SUMIFS(M$3:M$61,$A$3:$A$61,$A104,$D$3:$D$61,$B104)*SUMIF('COM balance'!$D$5:$D$25,'COM Assumptions'!$A104,'COM balance'!M$5:M$25)*IFERROR(VLOOKUP($C104,$C$64:$AH$78,M$63,FALSE),1)</f>
        <v>7.1990602487999995</v>
      </c>
      <c r="N104" s="10">
        <f ca="1">SUMIFS(N$3:N$61,$A$3:$A$61,$A104,$D$3:$D$61,$B104)*SUMIF('COM balance'!$D$5:$D$25,'COM Assumptions'!$A104,'COM balance'!N$5:N$25)*IFERROR(VLOOKUP($C104,$C$64:$AH$78,N$63,FALSE),1)</f>
        <v>21.2531147559</v>
      </c>
      <c r="O104" s="10">
        <f ca="1">SUMIFS(O$3:O$61,$A$3:$A$61,$A104,$D$3:$D$61,$B104)*SUMIF('COM balance'!$D$5:$D$25,'COM Assumptions'!$A104,'COM balance'!O$5:O$25)*IFERROR(VLOOKUP($C104,$C$64:$AH$78,O$63,FALSE),1)</f>
        <v>0.18089990496</v>
      </c>
      <c r="P104" s="10">
        <f ca="1">SUMIFS(P$3:P$61,$A$3:$A$61,$A104,$D$3:$D$61,$B104)*SUMIF('COM balance'!$D$5:$D$25,'COM Assumptions'!$A104,'COM balance'!P$5:P$25)*IFERROR(VLOOKUP($C104,$C$64:$AH$78,P$63,FALSE),1)</f>
        <v>3.2722691219830109</v>
      </c>
      <c r="Q104" s="10">
        <f ca="1">SUMIFS(Q$3:Q$61,$A$3:$A$61,$A104,$D$3:$D$61,$B104)*SUMIF('COM balance'!$D$5:$D$25,'COM Assumptions'!$A104,'COM balance'!Q$5:Q$25)*IFERROR(VLOOKUP($C104,$C$64:$AH$78,Q$63,FALSE),1)</f>
        <v>1.696323888</v>
      </c>
      <c r="R104" s="10">
        <f ca="1">SUMIFS(R$3:R$61,$A$3:$A$61,$A104,$D$3:$D$61,$B104)*SUMIF('COM balance'!$D$5:$D$25,'COM Assumptions'!$A104,'COM balance'!R$5:R$25)*IFERROR(VLOOKUP($C104,$C$64:$AH$78,R$63,FALSE),1)</f>
        <v>4.4648428759200005</v>
      </c>
      <c r="S104" s="10">
        <f ca="1">SUMIFS(S$3:S$61,$A$3:$A$61,$A104,$D$3:$D$61,$B104)*SUMIF('COM balance'!$D$5:$D$25,'COM Assumptions'!$A104,'COM balance'!S$5:S$25)*IFERROR(VLOOKUP($C104,$C$64:$AH$78,S$63,FALSE),1)</f>
        <v>1.9594661585553903</v>
      </c>
      <c r="T104" s="10">
        <f ca="1">SUMIFS(T$3:T$61,$A$3:$A$61,$A104,$D$3:$D$61,$B104)*SUMIF('COM balance'!$D$5:$D$25,'COM Assumptions'!$A104,'COM balance'!T$5:T$25)*IFERROR(VLOOKUP($C104,$C$64:$AH$78,T$63,FALSE),1)</f>
        <v>2.29070797416</v>
      </c>
      <c r="U104" s="10">
        <f ca="1">SUMIFS(U$3:U$61,$A$3:$A$61,$A104,$D$3:$D$61,$B104)*SUMIF('COM balance'!$D$5:$D$25,'COM Assumptions'!$A104,'COM balance'!U$5:U$25)*IFERROR(VLOOKUP($C104,$C$64:$AH$78,U$63,FALSE),1)</f>
        <v>1.4562977841000002</v>
      </c>
      <c r="V104" s="10">
        <f ca="1">SUMIFS(V$3:V$61,$A$3:$A$61,$A104,$D$3:$D$61,$B104)*SUMIF('COM balance'!$D$5:$D$25,'COM Assumptions'!$A104,'COM balance'!V$5:V$25)*IFERROR(VLOOKUP($C104,$C$64:$AH$78,V$63,FALSE),1)</f>
        <v>2.7547285060800002</v>
      </c>
      <c r="W104" s="10">
        <f ca="1">SUMIFS(W$3:W$61,$A$3:$A$61,$A104,$D$3:$D$61,$B104)*SUMIF('COM balance'!$D$5:$D$25,'COM Assumptions'!$A104,'COM balance'!W$5:W$25)*IFERROR(VLOOKUP($C104,$C$64:$AH$78,W$63,FALSE),1)</f>
        <v>1.6652000541600001</v>
      </c>
      <c r="X104" s="10">
        <f ca="1">SUMIFS(X$3:X$61,$A$3:$A$61,$A104,$D$3:$D$61,$B104)*SUMIF('COM balance'!$D$5:$D$25,'COM Assumptions'!$A104,'COM balance'!X$5:X$25)*IFERROR(VLOOKUP($C104,$C$64:$AH$78,X$63,FALSE),1)</f>
        <v>0</v>
      </c>
      <c r="Y104" s="10">
        <f ca="1">SUMIFS(Y$3:Y$61,$A$3:$A$61,$A104,$D$3:$D$61,$B104)*SUMIF('COM balance'!$D$5:$D$25,'COM Assumptions'!$A104,'COM balance'!Y$5:Y$25)*IFERROR(VLOOKUP($C104,$C$64:$AH$78,Y$63,FALSE),1)</f>
        <v>0</v>
      </c>
      <c r="Z104" s="10">
        <f ca="1">SUMIFS(Z$3:Z$61,$A$3:$A$61,$A104,$D$3:$D$61,$B104)*SUMIF('COM balance'!$D$5:$D$25,'COM Assumptions'!$A104,'COM balance'!Z$5:Z$25)*IFERROR(VLOOKUP($C104,$C$64:$AH$78,Z$63,FALSE),1)</f>
        <v>0</v>
      </c>
      <c r="AA104" s="10">
        <f ca="1">SUMIFS(AA$3:AA$61,$A$3:$A$61,$A104,$D$3:$D$61,$B104)*SUMIF('COM balance'!$D$5:$D$25,'COM Assumptions'!$A104,'COM balance'!AA$5:AA$25)*IFERROR(VLOOKUP($C104,$C$64:$AH$78,AA$63,FALSE),1)</f>
        <v>0.5567407767</v>
      </c>
      <c r="AB104" s="10">
        <f ca="1">SUMIFS(AB$3:AB$61,$A$3:$A$61,$A104,$D$3:$D$61,$B104)*SUMIF('COM balance'!$D$5:$D$25,'COM Assumptions'!$A104,'COM balance'!AB$5:AB$25)*IFERROR(VLOOKUP($C104,$C$64:$AH$78,AB$63,FALSE),1)</f>
        <v>0.24650454888000001</v>
      </c>
      <c r="AC104" s="10">
        <f ca="1">SUMIFS(AC$3:AC$61,$A$3:$A$61,$A104,$D$3:$D$61,$B104)*SUMIF('COM balance'!$D$5:$D$25,'COM Assumptions'!$A104,'COM balance'!AC$5:AC$25)*IFERROR(VLOOKUP($C104,$C$64:$AH$78,AC$63,FALSE),1)</f>
        <v>0.6986155662731155</v>
      </c>
      <c r="AD104" s="10">
        <f ca="1">SUMIFS(AD$3:AD$61,$A$3:$A$61,$A104,$D$3:$D$61,$B104)*SUMIF('COM balance'!$D$5:$D$25,'COM Assumptions'!$A104,'COM balance'!AD$5:AD$25)*IFERROR(VLOOKUP($C104,$C$64:$AH$78,AD$63,FALSE),1)</f>
        <v>0</v>
      </c>
      <c r="AE104" s="10">
        <f ca="1">SUMIFS(AE$3:AE$61,$A$3:$A$61,$A104,$D$3:$D$61,$B104)*SUMIF('COM balance'!$D$5:$D$25,'COM Assumptions'!$A104,'COM balance'!AE$5:AE$25)*IFERROR(VLOOKUP($C104,$C$64:$AH$78,AE$63,FALSE),1)</f>
        <v>0</v>
      </c>
      <c r="AF104" s="10">
        <f ca="1">SUMIFS(AF$3:AF$61,$A$3:$A$61,$A104,$D$3:$D$61,$B104)*SUMIF('COM balance'!$D$5:$D$25,'COM Assumptions'!$A104,'COM balance'!AF$5:AF$25)*IFERROR(VLOOKUP($C104,$C$64:$AH$78,AF$63,FALSE),1)</f>
        <v>3.2636080879200002</v>
      </c>
      <c r="AG104" s="10">
        <f ca="1">SUMIFS(AG$3:AG$61,$A$3:$A$61,$A104,$D$3:$D$61,$B104)*SUMIF('COM balance'!$D$5:$D$25,'COM Assumptions'!$A104,'COM balance'!AG$5:AG$25)*IFERROR(VLOOKUP($C104,$C$64:$AH$78,AG$63,FALSE),1)</f>
        <v>49.13139093662538</v>
      </c>
      <c r="AH104" s="10">
        <f ca="1">SUMIFS(AH$3:AH$61,$A$3:$A$61,$A104,$D$3:$D$61,$B104)*SUMIF('COM balance'!$D$5:$D$25,'COM Assumptions'!$A104,'COM balance'!AH$5:AH$25)*IFERROR(VLOOKUP($C104,$C$64:$AH$78,AH$63,FALSE),1)</f>
        <v>0</v>
      </c>
      <c r="AI104" s="10"/>
      <c r="AJ104" s="37" t="s">
        <v>267</v>
      </c>
      <c r="AK104" s="37" t="s">
        <v>18</v>
      </c>
    </row>
    <row r="105" spans="1:43" x14ac:dyDescent="0.45">
      <c r="A105" s="8" t="str">
        <f t="shared" si="40"/>
        <v>COMNGA</v>
      </c>
      <c r="B105" s="8" t="str">
        <f t="shared" si="41"/>
        <v>CH</v>
      </c>
      <c r="C105" s="8" t="str">
        <f>SUBSTITUTE(SUBSTITUTE(SUBSTITUTE('COM Veda input'!B28,"CC1","CL"),"000",""),"CH1","CH")</f>
        <v>CHNFN</v>
      </c>
      <c r="E105" s="10">
        <f ca="1">SUMIFS(E$3:E$61,$A$3:$A$61,$A105,$D$3:$D$61,$B105)*SUMIF('COM balance'!$D$5:$D$25,'COM Assumptions'!$A105,'COM balance'!E$5:E$25)*IFERROR(VLOOKUP($C105,$C$64:$AH$78,E$63,FALSE),1)</f>
        <v>0</v>
      </c>
      <c r="F105" s="10">
        <f ca="1">SUMIFS(F$3:F$61,$A$3:$A$61,$A105,$D$3:$D$61,$B105)*SUMIF('COM balance'!$D$5:$D$25,'COM Assumptions'!$A105,'COM balance'!F$5:F$25)*IFERROR(VLOOKUP($C105,$C$64:$AH$78,F$63,FALSE),1)</f>
        <v>0</v>
      </c>
      <c r="G105" s="10">
        <f ca="1">SUMIFS(G$3:G$61,$A$3:$A$61,$A105,$D$3:$D$61,$B105)*SUMIF('COM balance'!$D$5:$D$25,'COM Assumptions'!$A105,'COM balance'!G$5:G$25)*IFERROR(VLOOKUP($C105,$C$64:$AH$78,G$63,FALSE),1)</f>
        <v>5.7223507680000001</v>
      </c>
      <c r="H105" s="10">
        <f ca="1">SUMIFS(H$3:H$61,$A$3:$A$61,$A105,$D$3:$D$61,$B105)*SUMIF('COM balance'!$D$5:$D$25,'COM Assumptions'!$A105,'COM balance'!H$5:H$25)*IFERROR(VLOOKUP($C105,$C$64:$AH$78,H$63,FALSE),1)</f>
        <v>275.09360335954813</v>
      </c>
      <c r="I105" s="10">
        <f ca="1">SUMIFS(I$3:I$61,$A$3:$A$61,$A105,$D$3:$D$61,$B105)*SUMIF('COM balance'!$D$5:$D$25,'COM Assumptions'!$A105,'COM balance'!I$5:I$25)*IFERROR(VLOOKUP($C105,$C$64:$AH$78,I$63,FALSE),1)</f>
        <v>66.297341760608219</v>
      </c>
      <c r="J105" s="10">
        <f ca="1">SUMIFS(J$3:J$61,$A$3:$A$61,$A105,$D$3:$D$61,$B105)*SUMIF('COM balance'!$D$5:$D$25,'COM Assumptions'!$A105,'COM balance'!J$5:J$25)*IFERROR(VLOOKUP($C105,$C$64:$AH$78,J$63,FALSE),1)</f>
        <v>4.8351076580942784</v>
      </c>
      <c r="K105" s="10">
        <f ca="1">SUMIFS(K$3:K$61,$A$3:$A$61,$A105,$D$3:$D$61,$B105)*SUMIF('COM balance'!$D$5:$D$25,'COM Assumptions'!$A105,'COM balance'!K$5:K$25)*IFERROR(VLOOKUP($C105,$C$64:$AH$78,K$63,FALSE),1)</f>
        <v>33.950805464105642</v>
      </c>
      <c r="L105" s="10">
        <f ca="1">SUMIFS(L$3:L$61,$A$3:$A$61,$A105,$D$3:$D$61,$B105)*SUMIF('COM balance'!$D$5:$D$25,'COM Assumptions'!$A105,'COM balance'!L$5:L$25)*IFERROR(VLOOKUP($C105,$C$64:$AH$78,L$63,FALSE),1)</f>
        <v>0.61559734572000002</v>
      </c>
      <c r="M105" s="10">
        <f ca="1">SUMIFS(M$3:M$61,$A$3:$A$61,$A105,$D$3:$D$61,$B105)*SUMIF('COM balance'!$D$5:$D$25,'COM Assumptions'!$A105,'COM balance'!M$5:M$25)*IFERROR(VLOOKUP($C105,$C$64:$AH$78,M$63,FALSE),1)</f>
        <v>431.11482676251302</v>
      </c>
      <c r="N105" s="10">
        <f ca="1">SUMIFS(N$3:N$61,$A$3:$A$61,$A105,$D$3:$D$61,$B105)*SUMIF('COM balance'!$D$5:$D$25,'COM Assumptions'!$A105,'COM balance'!N$5:N$25)*IFERROR(VLOOKUP($C105,$C$64:$AH$78,N$63,FALSE),1)</f>
        <v>79.876056996319903</v>
      </c>
      <c r="O105" s="10">
        <f ca="1">SUMIFS(O$3:O$61,$A$3:$A$61,$A105,$D$3:$D$61,$B105)*SUMIF('COM balance'!$D$5:$D$25,'COM Assumptions'!$A105,'COM balance'!O$5:O$25)*IFERROR(VLOOKUP($C105,$C$64:$AH$78,O$63,FALSE),1)</f>
        <v>7.7031176661345064</v>
      </c>
      <c r="P105" s="10">
        <f ca="1">SUMIFS(P$3:P$61,$A$3:$A$61,$A105,$D$3:$D$61,$B105)*SUMIF('COM balance'!$D$5:$D$25,'COM Assumptions'!$A105,'COM balance'!P$5:P$25)*IFERROR(VLOOKUP($C105,$C$64:$AH$78,P$63,FALSE),1)</f>
        <v>106.74967471848464</v>
      </c>
      <c r="Q105" s="10">
        <f ca="1">SUMIFS(Q$3:Q$61,$A$3:$A$61,$A105,$D$3:$D$61,$B105)*SUMIF('COM balance'!$D$5:$D$25,'COM Assumptions'!$A105,'COM balance'!Q$5:Q$25)*IFERROR(VLOOKUP($C105,$C$64:$AH$78,Q$63,FALSE),1)</f>
        <v>115.78390423644153</v>
      </c>
      <c r="R105" s="10">
        <f ca="1">SUMIFS(R$3:R$61,$A$3:$A$61,$A105,$D$3:$D$61,$B105)*SUMIF('COM balance'!$D$5:$D$25,'COM Assumptions'!$A105,'COM balance'!R$5:R$25)*IFERROR(VLOOKUP($C105,$C$64:$AH$78,R$63,FALSE),1)</f>
        <v>160.02148565207989</v>
      </c>
      <c r="S105" s="10">
        <f ca="1">SUMIFS(S$3:S$61,$A$3:$A$61,$A105,$D$3:$D$61,$B105)*SUMIF('COM balance'!$D$5:$D$25,'COM Assumptions'!$A105,'COM balance'!S$5:S$25)*IFERROR(VLOOKUP($C105,$C$64:$AH$78,S$63,FALSE),1)</f>
        <v>64.705348523709432</v>
      </c>
      <c r="T105" s="10">
        <f ca="1">SUMIFS(T$3:T$61,$A$3:$A$61,$A105,$D$3:$D$61,$B105)*SUMIF('COM balance'!$D$5:$D$25,'COM Assumptions'!$A105,'COM balance'!T$5:T$25)*IFERROR(VLOOKUP($C105,$C$64:$AH$78,T$63,FALSE),1)</f>
        <v>49.350688676686097</v>
      </c>
      <c r="U105" s="10">
        <f ca="1">SUMIFS(U$3:U$61,$A$3:$A$61,$A105,$D$3:$D$61,$B105)*SUMIF('COM balance'!$D$5:$D$25,'COM Assumptions'!$A105,'COM balance'!U$5:U$25)*IFERROR(VLOOKUP($C105,$C$64:$AH$78,U$63,FALSE),1)</f>
        <v>11.734561013481308</v>
      </c>
      <c r="V105" s="10">
        <f ca="1">SUMIFS(V$3:V$61,$A$3:$A$61,$A105,$D$3:$D$61,$B105)*SUMIF('COM balance'!$D$5:$D$25,'COM Assumptions'!$A105,'COM balance'!V$5:V$25)*IFERROR(VLOOKUP($C105,$C$64:$AH$78,V$63,FALSE),1)</f>
        <v>134.23352470945957</v>
      </c>
      <c r="W105" s="10">
        <f ca="1">SUMIFS(W$3:W$61,$A$3:$A$61,$A105,$D$3:$D$61,$B105)*SUMIF('COM balance'!$D$5:$D$25,'COM Assumptions'!$A105,'COM balance'!W$5:W$25)*IFERROR(VLOOKUP($C105,$C$64:$AH$78,W$63,FALSE),1)</f>
        <v>216.93899671088198</v>
      </c>
      <c r="X105" s="10">
        <f ca="1">SUMIFS(X$3:X$61,$A$3:$A$61,$A105,$D$3:$D$61,$B105)*SUMIF('COM balance'!$D$5:$D$25,'COM Assumptions'!$A105,'COM balance'!X$5:X$25)*IFERROR(VLOOKUP($C105,$C$64:$AH$78,X$63,FALSE),1)</f>
        <v>4.8599177672302201</v>
      </c>
      <c r="Y105" s="10">
        <f ca="1">SUMIFS(Y$3:Y$61,$A$3:$A$61,$A105,$D$3:$D$61,$B105)*SUMIF('COM balance'!$D$5:$D$25,'COM Assumptions'!$A105,'COM balance'!Y$5:Y$25)*IFERROR(VLOOKUP($C105,$C$64:$AH$78,Y$63,FALSE),1)</f>
        <v>3.63013395768</v>
      </c>
      <c r="Z105" s="10">
        <f ca="1">SUMIFS(Z$3:Z$61,$A$3:$A$61,$A105,$D$3:$D$61,$B105)*SUMIF('COM balance'!$D$5:$D$25,'COM Assumptions'!$A105,'COM balance'!Z$5:Z$25)*IFERROR(VLOOKUP($C105,$C$64:$AH$78,Z$63,FALSE),1)</f>
        <v>0.98648140607359203</v>
      </c>
      <c r="AA105" s="10">
        <f ca="1">SUMIFS(AA$3:AA$61,$A$3:$A$61,$A105,$D$3:$D$61,$B105)*SUMIF('COM balance'!$D$5:$D$25,'COM Assumptions'!$A105,'COM balance'!AA$5:AA$25)*IFERROR(VLOOKUP($C105,$C$64:$AH$78,AA$63,FALSE),1)</f>
        <v>27.03734353716581</v>
      </c>
      <c r="AB105" s="10">
        <f ca="1">SUMIFS(AB$3:AB$61,$A$3:$A$61,$A105,$D$3:$D$61,$B105)*SUMIF('COM balance'!$D$5:$D$25,'COM Assumptions'!$A105,'COM balance'!AB$5:AB$25)*IFERROR(VLOOKUP($C105,$C$64:$AH$78,AB$63,FALSE),1)</f>
        <v>1.522422256638591</v>
      </c>
      <c r="AC105" s="10">
        <f ca="1">SUMIFS(AC$3:AC$61,$A$3:$A$61,$A105,$D$3:$D$61,$B105)*SUMIF('COM balance'!$D$5:$D$25,'COM Assumptions'!$A105,'COM balance'!AC$5:AC$25)*IFERROR(VLOOKUP($C105,$C$64:$AH$78,AC$63,FALSE),1)</f>
        <v>165.08702777714282</v>
      </c>
      <c r="AD105" s="10">
        <f ca="1">SUMIFS(AD$3:AD$61,$A$3:$A$61,$A105,$D$3:$D$61,$B105)*SUMIF('COM balance'!$D$5:$D$25,'COM Assumptions'!$A105,'COM balance'!AD$5:AD$25)*IFERROR(VLOOKUP($C105,$C$64:$AH$78,AD$63,FALSE),1)</f>
        <v>0</v>
      </c>
      <c r="AE105" s="10">
        <f ca="1">SUMIFS(AE$3:AE$61,$A$3:$A$61,$A105,$D$3:$D$61,$B105)*SUMIF('COM balance'!$D$5:$D$25,'COM Assumptions'!$A105,'COM balance'!AE$5:AE$25)*IFERROR(VLOOKUP($C105,$C$64:$AH$78,AE$63,FALSE),1)</f>
        <v>0</v>
      </c>
      <c r="AF105" s="10">
        <f ca="1">SUMIFS(AF$3:AF$61,$A$3:$A$61,$A105,$D$3:$D$61,$B105)*SUMIF('COM balance'!$D$5:$D$25,'COM Assumptions'!$A105,'COM balance'!AF$5:AF$25)*IFERROR(VLOOKUP($C105,$C$64:$AH$78,AF$63,FALSE),1)</f>
        <v>140.18423707475995</v>
      </c>
      <c r="AG105" s="10">
        <f ca="1">SUMIFS(AG$3:AG$61,$A$3:$A$61,$A105,$D$3:$D$61,$B105)*SUMIF('COM balance'!$D$5:$D$25,'COM Assumptions'!$A105,'COM balance'!AG$5:AG$25)*IFERROR(VLOOKUP($C105,$C$64:$AH$78,AG$63,FALSE),1)</f>
        <v>2177.49751963277</v>
      </c>
      <c r="AH105" s="10">
        <f ca="1">SUMIFS(AH$3:AH$61,$A$3:$A$61,$A105,$D$3:$D$61,$B105)*SUMIF('COM balance'!$D$5:$D$25,'COM Assumptions'!$A105,'COM balance'!AH$5:AH$25)*IFERROR(VLOOKUP($C105,$C$64:$AH$78,AH$63,FALSE),1)</f>
        <v>0</v>
      </c>
      <c r="AI105" s="10"/>
      <c r="AJ105" s="37" t="s">
        <v>372</v>
      </c>
      <c r="AK105" s="37" t="s">
        <v>372</v>
      </c>
    </row>
    <row r="106" spans="1:43" x14ac:dyDescent="0.45">
      <c r="A106" s="8" t="str">
        <f t="shared" si="40"/>
        <v>COMNGA</v>
      </c>
      <c r="B106" s="8" t="str">
        <f t="shared" si="41"/>
        <v>CH</v>
      </c>
      <c r="C106" s="8" t="str">
        <f>SUBSTITUTE(SUBSTITUTE(SUBSTITUTE('COM Veda input'!B29,"CC1","CL"),"000",""),"CH1","CH")</f>
        <v>CHNHP</v>
      </c>
      <c r="E106" s="10">
        <f ca="1">SUMIFS(E$3:E$61,$A$3:$A$61,$A106,$D$3:$D$61,$B106)*SUMIF('COM balance'!$D$5:$D$25,'COM Assumptions'!$A106,'COM balance'!E$5:E$25)*IFERROR(VLOOKUP($C106,$C$64:$AH$78,E$63,FALSE),1)</f>
        <v>0</v>
      </c>
      <c r="F106" s="10">
        <f ca="1">SUMIFS(F$3:F$61,$A$3:$A$61,$A106,$D$3:$D$61,$B106)*SUMIF('COM balance'!$D$5:$D$25,'COM Assumptions'!$A106,'COM balance'!F$5:F$25)*IFERROR(VLOOKUP($C106,$C$64:$AH$78,F$63,FALSE),1)</f>
        <v>0</v>
      </c>
      <c r="G106" s="10">
        <f ca="1">SUMIFS(G$3:G$61,$A$3:$A$61,$A106,$D$3:$D$61,$B106)*SUMIF('COM balance'!$D$5:$D$25,'COM Assumptions'!$A106,'COM balance'!G$5:G$25)*IFERROR(VLOOKUP($C106,$C$64:$AH$78,G$63,FALSE),1)</f>
        <v>0</v>
      </c>
      <c r="H106" s="10">
        <f ca="1">SUMIFS(H$3:H$61,$A$3:$A$61,$A106,$D$3:$D$61,$B106)*SUMIF('COM balance'!$D$5:$D$25,'COM Assumptions'!$A106,'COM balance'!H$5:H$25)*IFERROR(VLOOKUP($C106,$C$64:$AH$78,H$63,FALSE),1)</f>
        <v>0.27536897233188024</v>
      </c>
      <c r="I106" s="10">
        <f ca="1">SUMIFS(I$3:I$61,$A$3:$A$61,$A106,$D$3:$D$61,$B106)*SUMIF('COM balance'!$D$5:$D$25,'COM Assumptions'!$A106,'COM balance'!I$5:I$25)*IFERROR(VLOOKUP($C106,$C$64:$AH$78,I$63,FALSE),1)</f>
        <v>6.63039721578167E-3</v>
      </c>
      <c r="J106" s="10">
        <f ca="1">SUMIFS(J$3:J$61,$A$3:$A$61,$A106,$D$3:$D$61,$B106)*SUMIF('COM balance'!$D$5:$D$25,'COM Assumptions'!$A106,'COM balance'!J$5:J$25)*IFERROR(VLOOKUP($C106,$C$64:$AH$78,J$63,FALSE),1)</f>
        <v>4.8355912172154674E-4</v>
      </c>
      <c r="K106" s="10">
        <f ca="1">SUMIFS(K$3:K$61,$A$3:$A$61,$A106,$D$3:$D$61,$B106)*SUMIF('COM balance'!$D$5:$D$25,'COM Assumptions'!$A106,'COM balance'!K$5:K$25)*IFERROR(VLOOKUP($C106,$C$64:$AH$78,K$63,FALSE),1)</f>
        <v>3.3984790254360027E-2</v>
      </c>
      <c r="L106" s="10">
        <f ca="1">SUMIFS(L$3:L$61,$A$3:$A$61,$A106,$D$3:$D$61,$B106)*SUMIF('COM balance'!$D$5:$D$25,'COM Assumptions'!$A106,'COM balance'!L$5:L$25)*IFERROR(VLOOKUP($C106,$C$64:$AH$78,L$63,FALSE),1)</f>
        <v>0</v>
      </c>
      <c r="M106" s="10">
        <f ca="1">SUMIFS(M$3:M$61,$A$3:$A$61,$A106,$D$3:$D$61,$B106)*SUMIF('COM balance'!$D$5:$D$25,'COM Assumptions'!$A106,'COM balance'!M$5:M$25)*IFERROR(VLOOKUP($C106,$C$64:$AH$78,M$63,FALSE),1)</f>
        <v>13.333448250387013</v>
      </c>
      <c r="N106" s="10">
        <f ca="1">SUMIFS(N$3:N$61,$A$3:$A$61,$A106,$D$3:$D$61,$B106)*SUMIF('COM balance'!$D$5:$D$25,'COM Assumptions'!$A106,'COM balance'!N$5:N$25)*IFERROR(VLOOKUP($C106,$C$64:$AH$78,N$63,FALSE),1)</f>
        <v>7.9884045400851183E-3</v>
      </c>
      <c r="O106" s="10">
        <f ca="1">SUMIFS(O$3:O$61,$A$3:$A$61,$A106,$D$3:$D$61,$B106)*SUMIF('COM balance'!$D$5:$D$25,'COM Assumptions'!$A106,'COM balance'!O$5:O$25)*IFERROR(VLOOKUP($C106,$C$64:$AH$78,O$63,FALSE),1)</f>
        <v>7.7038880549391516E-4</v>
      </c>
      <c r="P106" s="10">
        <f ca="1">SUMIFS(P$3:P$61,$A$3:$A$61,$A106,$D$3:$D$61,$B106)*SUMIF('COM balance'!$D$5:$D$25,'COM Assumptions'!$A106,'COM balance'!P$5:P$25)*IFERROR(VLOOKUP($C106,$C$64:$AH$78,P$63,FALSE),1)</f>
        <v>1.0676035075354823E-2</v>
      </c>
      <c r="Q106" s="10">
        <f ca="1">SUMIFS(Q$3:Q$61,$A$3:$A$61,$A106,$D$3:$D$61,$B106)*SUMIF('COM balance'!$D$5:$D$25,'COM Assumptions'!$A106,'COM balance'!Q$5:Q$25)*IFERROR(VLOOKUP($C106,$C$64:$AH$78,Q$63,FALSE),1)</f>
        <v>1.1579548378480726E-2</v>
      </c>
      <c r="R106" s="10">
        <f ca="1">SUMIFS(R$3:R$61,$A$3:$A$61,$A106,$D$3:$D$61,$B106)*SUMIF('COM balance'!$D$5:$D$25,'COM Assumptions'!$A106,'COM balance'!R$5:R$25)*IFERROR(VLOOKUP($C106,$C$64:$AH$78,R$63,FALSE),1)</f>
        <v>1.6003748940100235E-2</v>
      </c>
      <c r="S106" s="10">
        <f ca="1">SUMIFS(S$3:S$61,$A$3:$A$61,$A106,$D$3:$D$61,$B106)*SUMIF('COM balance'!$D$5:$D$25,'COM Assumptions'!$A106,'COM balance'!S$5:S$25)*IFERROR(VLOOKUP($C106,$C$64:$AH$78,S$63,FALSE),1)</f>
        <v>6.4711819705672875E-3</v>
      </c>
      <c r="T106" s="10">
        <f ca="1">SUMIFS(T$3:T$61,$A$3:$A$61,$A106,$D$3:$D$61,$B106)*SUMIF('COM balance'!$D$5:$D$25,'COM Assumptions'!$A106,'COM balance'!T$5:T$25)*IFERROR(VLOOKUP($C106,$C$64:$AH$78,T$63,FALSE),1)</f>
        <v>4.9355624239104572E-3</v>
      </c>
      <c r="U106" s="10">
        <f ca="1">SUMIFS(U$3:U$61,$A$3:$A$61,$A106,$D$3:$D$61,$B106)*SUMIF('COM balance'!$D$5:$D$25,'COM Assumptions'!$A106,'COM balance'!U$5:U$25)*IFERROR(VLOOKUP($C106,$C$64:$AH$78,U$63,FALSE),1)</f>
        <v>1.1735734586938709E-3</v>
      </c>
      <c r="V106" s="10">
        <f ca="1">SUMIFS(V$3:V$61,$A$3:$A$61,$A106,$D$3:$D$61,$B106)*SUMIF('COM balance'!$D$5:$D$25,'COM Assumptions'!$A106,'COM balance'!V$5:V$25)*IFERROR(VLOOKUP($C106,$C$64:$AH$78,V$63,FALSE),1)</f>
        <v>1.3424694940438521E-2</v>
      </c>
      <c r="W106" s="10">
        <f ca="1">SUMIFS(W$3:W$61,$A$3:$A$61,$A106,$D$3:$D$61,$B106)*SUMIF('COM balance'!$D$5:$D$25,'COM Assumptions'!$A106,'COM balance'!W$5:W$25)*IFERROR(VLOOKUP($C106,$C$64:$AH$78,W$63,FALSE),1)</f>
        <v>2.1696069278013611E-2</v>
      </c>
      <c r="X106" s="10">
        <f ca="1">SUMIFS(X$3:X$61,$A$3:$A$61,$A106,$D$3:$D$61,$B106)*SUMIF('COM balance'!$D$5:$D$25,'COM Assumptions'!$A106,'COM balance'!X$5:X$25)*IFERROR(VLOOKUP($C106,$C$64:$AH$78,X$63,FALSE),1)</f>
        <v>4.8647825497800043E-3</v>
      </c>
      <c r="Y106" s="10">
        <f ca="1">SUMIFS(Y$3:Y$61,$A$3:$A$61,$A106,$D$3:$D$61,$B106)*SUMIF('COM balance'!$D$5:$D$25,'COM Assumptions'!$A106,'COM balance'!Y$5:Y$25)*IFERROR(VLOOKUP($C106,$C$64:$AH$78,Y$63,FALSE),1)</f>
        <v>0</v>
      </c>
      <c r="Z106" s="10">
        <f ca="1">SUMIFS(Z$3:Z$61,$A$3:$A$61,$A106,$D$3:$D$61,$B106)*SUMIF('COM balance'!$D$5:$D$25,'COM Assumptions'!$A106,'COM balance'!Z$5:Z$25)*IFERROR(VLOOKUP($C106,$C$64:$AH$78,Z$63,FALSE),1)</f>
        <v>9.8658006407989133E-5</v>
      </c>
      <c r="AA106" s="10">
        <f ca="1">SUMIFS(AA$3:AA$61,$A$3:$A$61,$A106,$D$3:$D$61,$B106)*SUMIF('COM balance'!$D$5:$D$25,'COM Assumptions'!$A106,'COM balance'!AA$5:AA$25)*IFERROR(VLOOKUP($C106,$C$64:$AH$78,AA$63,FALSE),1)</f>
        <v>2.7040047541917024E-3</v>
      </c>
      <c r="AB106" s="10">
        <f ca="1">SUMIFS(AB$3:AB$61,$A$3:$A$61,$A106,$D$3:$D$61,$B106)*SUMIF('COM balance'!$D$5:$D$25,'COM Assumptions'!$A106,'COM balance'!AB$5:AB$25)*IFERROR(VLOOKUP($C106,$C$64:$AH$78,AB$63,FALSE),1)</f>
        <v>1.5225745140898323E-4</v>
      </c>
      <c r="AC106" s="10">
        <f ca="1">SUMIFS(AC$3:AC$61,$A$3:$A$61,$A106,$D$3:$D$61,$B106)*SUMIF('COM balance'!$D$5:$D$25,'COM Assumptions'!$A106,'COM balance'!AC$5:AC$25)*IFERROR(VLOOKUP($C106,$C$64:$AH$78,AC$63,FALSE),1)</f>
        <v>0.16525228005720016</v>
      </c>
      <c r="AD106" s="10">
        <f ca="1">SUMIFS(AD$3:AD$61,$A$3:$A$61,$A106,$D$3:$D$61,$B106)*SUMIF('COM balance'!$D$5:$D$25,'COM Assumptions'!$A106,'COM balance'!AD$5:AD$25)*IFERROR(VLOOKUP($C106,$C$64:$AH$78,AD$63,FALSE),1)</f>
        <v>0</v>
      </c>
      <c r="AE106" s="10">
        <f ca="1">SUMIFS(AE$3:AE$61,$A$3:$A$61,$A106,$D$3:$D$61,$B106)*SUMIF('COM balance'!$D$5:$D$25,'COM Assumptions'!$A106,'COM balance'!AE$5:AE$25)*IFERROR(VLOOKUP($C106,$C$64:$AH$78,AE$63,FALSE),1)</f>
        <v>0</v>
      </c>
      <c r="AF106" s="10">
        <f ca="1">SUMIFS(AF$3:AF$61,$A$3:$A$61,$A106,$D$3:$D$61,$B106)*SUMIF('COM balance'!$D$5:$D$25,'COM Assumptions'!$A106,'COM balance'!AF$5:AF$25)*IFERROR(VLOOKUP($C106,$C$64:$AH$78,AF$63,FALSE),1)</f>
        <v>1.4019825690043454E-2</v>
      </c>
      <c r="AG106" s="10">
        <f ca="1">SUMIFS(AG$3:AG$61,$A$3:$A$61,$A106,$D$3:$D$61,$B106)*SUMIF('COM balance'!$D$5:$D$25,'COM Assumptions'!$A106,'COM balance'!AG$5:AG$25)*IFERROR(VLOOKUP($C106,$C$64:$AH$78,AG$63,FALSE),1)</f>
        <v>2.8986467442512716</v>
      </c>
      <c r="AH106" s="10">
        <f ca="1">SUMIFS(AH$3:AH$61,$A$3:$A$61,$A106,$D$3:$D$61,$B106)*SUMIF('COM balance'!$D$5:$D$25,'COM Assumptions'!$A106,'COM balance'!AH$5:AH$25)*IFERROR(VLOOKUP($C106,$C$64:$AH$78,AH$63,FALSE),1)</f>
        <v>0</v>
      </c>
      <c r="AI106" s="10"/>
    </row>
    <row r="107" spans="1:43" x14ac:dyDescent="0.45">
      <c r="A107" s="8" t="str">
        <f t="shared" si="40"/>
        <v>COMBIO</v>
      </c>
      <c r="B107" s="8" t="str">
        <f t="shared" si="41"/>
        <v>CHW</v>
      </c>
      <c r="C107" s="8" t="str">
        <f>SUBSTITUTE(SUBSTITUTE(SUBSTITUTE('COM Veda input'!B30,"CC1","CL"),"000",""),"CH1","CH")</f>
        <v>CHWBIO</v>
      </c>
      <c r="E107" s="10">
        <f ca="1">SUMIFS(E$3:E$61,$A$3:$A$61,$A107,$D$3:$D$61,$B107)*SUMIF('COM balance'!$D$5:$D$25,'COM Assumptions'!$A107,'COM balance'!E$5:E$25)*IFERROR(VLOOKUP($C107,$C$64:$AH$78,E$63,FALSE),1)</f>
        <v>5.6353323168000005</v>
      </c>
      <c r="F107" s="10">
        <f ca="1">SUMIFS(F$3:F$61,$A$3:$A$61,$A107,$D$3:$D$61,$B107)*SUMIF('COM balance'!$D$5:$D$25,'COM Assumptions'!$A107,'COM balance'!F$5:F$25)*IFERROR(VLOOKUP($C107,$C$64:$AH$78,F$63,FALSE),1)</f>
        <v>64.241914207679997</v>
      </c>
      <c r="G107" s="10">
        <f ca="1">SUMIFS(G$3:G$61,$A$3:$A$61,$A107,$D$3:$D$61,$B107)*SUMIF('COM balance'!$D$5:$D$25,'COM Assumptions'!$A107,'COM balance'!G$5:G$25)*IFERROR(VLOOKUP($C107,$C$64:$AH$78,G$63,FALSE),1)</f>
        <v>1.39086165888</v>
      </c>
      <c r="H107" s="10">
        <f ca="1">SUMIFS(H$3:H$61,$A$3:$A$61,$A107,$D$3:$D$61,$B107)*SUMIF('COM balance'!$D$5:$D$25,'COM Assumptions'!$A107,'COM balance'!H$5:H$25)*IFERROR(VLOOKUP($C107,$C$64:$AH$78,H$63,FALSE),1)</f>
        <v>0</v>
      </c>
      <c r="I107" s="10">
        <f ca="1">SUMIFS(I$3:I$61,$A$3:$A$61,$A107,$D$3:$D$61,$B107)*SUMIF('COM balance'!$D$5:$D$25,'COM Assumptions'!$A107,'COM balance'!I$5:I$25)*IFERROR(VLOOKUP($C107,$C$64:$AH$78,I$63,FALSE),1)</f>
        <v>0</v>
      </c>
      <c r="J107" s="10">
        <f ca="1">SUMIFS(J$3:J$61,$A$3:$A$61,$A107,$D$3:$D$61,$B107)*SUMIF('COM balance'!$D$5:$D$25,'COM Assumptions'!$A107,'COM balance'!J$5:J$25)*IFERROR(VLOOKUP($C107,$C$64:$AH$78,J$63,FALSE),1)</f>
        <v>20.67893763192</v>
      </c>
      <c r="K107" s="10">
        <f ca="1">SUMIFS(K$3:K$61,$A$3:$A$61,$A107,$D$3:$D$61,$B107)*SUMIF('COM balance'!$D$5:$D$25,'COM Assumptions'!$A107,'COM balance'!K$5:K$25)*IFERROR(VLOOKUP($C107,$C$64:$AH$78,K$63,FALSE),1)</f>
        <v>2.324992842E-2</v>
      </c>
      <c r="L107" s="10">
        <f ca="1">SUMIFS(L$3:L$61,$A$3:$A$61,$A107,$D$3:$D$61,$B107)*SUMIF('COM balance'!$D$5:$D$25,'COM Assumptions'!$A107,'COM balance'!L$5:L$25)*IFERROR(VLOOKUP($C107,$C$64:$AH$78,L$63,FALSE),1)</f>
        <v>1.3804809069599999</v>
      </c>
      <c r="M107" s="10">
        <f ca="1">SUMIFS(M$3:M$61,$A$3:$A$61,$A107,$D$3:$D$61,$B107)*SUMIF('COM balance'!$D$5:$D$25,'COM Assumptions'!$A107,'COM balance'!M$5:M$25)*IFERROR(VLOOKUP($C107,$C$64:$AH$78,M$63,FALSE),1)</f>
        <v>0</v>
      </c>
      <c r="N107" s="10">
        <f ca="1">SUMIFS(N$3:N$61,$A$3:$A$61,$A107,$D$3:$D$61,$B107)*SUMIF('COM balance'!$D$5:$D$25,'COM Assumptions'!$A107,'COM balance'!N$5:N$25)*IFERROR(VLOOKUP($C107,$C$64:$AH$78,N$63,FALSE),1)</f>
        <v>3.5013789720000001E-2</v>
      </c>
      <c r="O107" s="10">
        <f ca="1">SUMIFS(O$3:O$61,$A$3:$A$61,$A107,$D$3:$D$61,$B107)*SUMIF('COM balance'!$D$5:$D$25,'COM Assumptions'!$A107,'COM balance'!O$5:O$25)*IFERROR(VLOOKUP($C107,$C$64:$AH$78,O$63,FALSE),1)</f>
        <v>0</v>
      </c>
      <c r="P107" s="10">
        <f ca="1">SUMIFS(P$3:P$61,$A$3:$A$61,$A107,$D$3:$D$61,$B107)*SUMIF('COM balance'!$D$5:$D$25,'COM Assumptions'!$A107,'COM balance'!P$5:P$25)*IFERROR(VLOOKUP($C107,$C$64:$AH$78,P$63,FALSE),1)</f>
        <v>0</v>
      </c>
      <c r="Q107" s="10">
        <f ca="1">SUMIFS(Q$3:Q$61,$A$3:$A$61,$A107,$D$3:$D$61,$B107)*SUMIF('COM balance'!$D$5:$D$25,'COM Assumptions'!$A107,'COM balance'!Q$5:Q$25)*IFERROR(VLOOKUP($C107,$C$64:$AH$78,Q$63,FALSE),1)</f>
        <v>0</v>
      </c>
      <c r="R107" s="10">
        <f ca="1">SUMIFS(R$3:R$61,$A$3:$A$61,$A107,$D$3:$D$61,$B107)*SUMIF('COM balance'!$D$5:$D$25,'COM Assumptions'!$A107,'COM balance'!R$5:R$25)*IFERROR(VLOOKUP($C107,$C$64:$AH$78,R$63,FALSE),1)</f>
        <v>0</v>
      </c>
      <c r="S107" s="10">
        <f ca="1">SUMIFS(S$3:S$61,$A$3:$A$61,$A107,$D$3:$D$61,$B107)*SUMIF('COM balance'!$D$5:$D$25,'COM Assumptions'!$A107,'COM balance'!S$5:S$25)*IFERROR(VLOOKUP($C107,$C$64:$AH$78,S$63,FALSE),1)</f>
        <v>0</v>
      </c>
      <c r="T107" s="10">
        <f ca="1">SUMIFS(T$3:T$61,$A$3:$A$61,$A107,$D$3:$D$61,$B107)*SUMIF('COM balance'!$D$5:$D$25,'COM Assumptions'!$A107,'COM balance'!T$5:T$25)*IFERROR(VLOOKUP($C107,$C$64:$AH$78,T$63,FALSE),1)</f>
        <v>0</v>
      </c>
      <c r="U107" s="10">
        <f ca="1">SUMIFS(U$3:U$61,$A$3:$A$61,$A107,$D$3:$D$61,$B107)*SUMIF('COM balance'!$D$5:$D$25,'COM Assumptions'!$A107,'COM balance'!U$5:U$25)*IFERROR(VLOOKUP($C107,$C$64:$AH$78,U$63,FALSE),1)</f>
        <v>0</v>
      </c>
      <c r="V107" s="10">
        <f ca="1">SUMIFS(V$3:V$61,$A$3:$A$61,$A107,$D$3:$D$61,$B107)*SUMIF('COM balance'!$D$5:$D$25,'COM Assumptions'!$A107,'COM balance'!V$5:V$25)*IFERROR(VLOOKUP($C107,$C$64:$AH$78,V$63,FALSE),1)</f>
        <v>0</v>
      </c>
      <c r="W107" s="10">
        <f ca="1">SUMIFS(W$3:W$61,$A$3:$A$61,$A107,$D$3:$D$61,$B107)*SUMIF('COM balance'!$D$5:$D$25,'COM Assumptions'!$A107,'COM balance'!W$5:W$25)*IFERROR(VLOOKUP($C107,$C$64:$AH$78,W$63,FALSE),1)</f>
        <v>0</v>
      </c>
      <c r="X107" s="10">
        <f ca="1">SUMIFS(X$3:X$61,$A$3:$A$61,$A107,$D$3:$D$61,$B107)*SUMIF('COM balance'!$D$5:$D$25,'COM Assumptions'!$A107,'COM balance'!X$5:X$25)*IFERROR(VLOOKUP($C107,$C$64:$AH$78,X$63,FALSE),1)</f>
        <v>21.94879993344</v>
      </c>
      <c r="Y107" s="10">
        <f ca="1">SUMIFS(Y$3:Y$61,$A$3:$A$61,$A107,$D$3:$D$61,$B107)*SUMIF('COM balance'!$D$5:$D$25,'COM Assumptions'!$A107,'COM balance'!Y$5:Y$25)*IFERROR(VLOOKUP($C107,$C$64:$AH$78,Y$63,FALSE),1)</f>
        <v>5.0224735569600005</v>
      </c>
      <c r="Z107" s="10">
        <f ca="1">SUMIFS(Z$3:Z$61,$A$3:$A$61,$A107,$D$3:$D$61,$B107)*SUMIF('COM balance'!$D$5:$D$25,'COM Assumptions'!$A107,'COM balance'!Z$5:Z$25)*IFERROR(VLOOKUP($C107,$C$64:$AH$78,Z$63,FALSE),1)</f>
        <v>0</v>
      </c>
      <c r="AA107" s="10">
        <f ca="1">SUMIFS(AA$3:AA$61,$A$3:$A$61,$A107,$D$3:$D$61,$B107)*SUMIF('COM balance'!$D$5:$D$25,'COM Assumptions'!$A107,'COM balance'!AA$5:AA$25)*IFERROR(VLOOKUP($C107,$C$64:$AH$78,AA$63,FALSE),1)</f>
        <v>0</v>
      </c>
      <c r="AB107" s="10">
        <f ca="1">SUMIFS(AB$3:AB$61,$A$3:$A$61,$A107,$D$3:$D$61,$B107)*SUMIF('COM balance'!$D$5:$D$25,'COM Assumptions'!$A107,'COM balance'!AB$5:AB$25)*IFERROR(VLOOKUP($C107,$C$64:$AH$78,AB$63,FALSE),1)</f>
        <v>0</v>
      </c>
      <c r="AC107" s="10">
        <f ca="1">SUMIFS(AC$3:AC$61,$A$3:$A$61,$A107,$D$3:$D$61,$B107)*SUMIF('COM balance'!$D$5:$D$25,'COM Assumptions'!$A107,'COM balance'!AC$5:AC$25)*IFERROR(VLOOKUP($C107,$C$64:$AH$78,AC$63,FALSE),1)</f>
        <v>0</v>
      </c>
      <c r="AD107" s="10">
        <f ca="1">SUMIFS(AD$3:AD$61,$A$3:$A$61,$A107,$D$3:$D$61,$B107)*SUMIF('COM balance'!$D$5:$D$25,'COM Assumptions'!$A107,'COM balance'!AD$5:AD$25)*IFERROR(VLOOKUP($C107,$C$64:$AH$78,AD$63,FALSE),1)</f>
        <v>0</v>
      </c>
      <c r="AE107" s="10">
        <f ca="1">SUMIFS(AE$3:AE$61,$A$3:$A$61,$A107,$D$3:$D$61,$B107)*SUMIF('COM balance'!$D$5:$D$25,'COM Assumptions'!$A107,'COM balance'!AE$5:AE$25)*IFERROR(VLOOKUP($C107,$C$64:$AH$78,AE$63,FALSE),1)</f>
        <v>0</v>
      </c>
      <c r="AF107" s="10">
        <f ca="1">SUMIFS(AF$3:AF$61,$A$3:$A$61,$A107,$D$3:$D$61,$B107)*SUMIF('COM balance'!$D$5:$D$25,'COM Assumptions'!$A107,'COM balance'!AF$5:AF$25)*IFERROR(VLOOKUP($C107,$C$64:$AH$78,AF$63,FALSE),1)</f>
        <v>0</v>
      </c>
      <c r="AG107" s="10">
        <f ca="1">SUMIFS(AG$3:AG$61,$A$3:$A$61,$A107,$D$3:$D$61,$B107)*SUMIF('COM balance'!$D$5:$D$25,'COM Assumptions'!$A107,'COM balance'!AG$5:AG$25)*IFERROR(VLOOKUP($C107,$C$64:$AH$78,AG$63,FALSE),1)</f>
        <v>0</v>
      </c>
      <c r="AH107" s="10">
        <f ca="1">SUMIFS(AH$3:AH$61,$A$3:$A$61,$A107,$D$3:$D$61,$B107)*SUMIF('COM balance'!$D$5:$D$25,'COM Assumptions'!$A107,'COM balance'!AH$5:AH$25)*IFERROR(VLOOKUP($C107,$C$64:$AH$78,AH$63,FALSE),1)</f>
        <v>0</v>
      </c>
      <c r="AI107" s="10"/>
    </row>
    <row r="108" spans="1:43" x14ac:dyDescent="0.45">
      <c r="A108" s="8" t="str">
        <f t="shared" si="40"/>
        <v>COMCOA</v>
      </c>
      <c r="B108" s="8" t="str">
        <f t="shared" si="41"/>
        <v>CHW</v>
      </c>
      <c r="C108" s="8" t="str">
        <f>SUBSTITUTE(SUBSTITUTE(SUBSTITUTE('COM Veda input'!B31,"CC1","CL"),"000",""),"CH1","CH")</f>
        <v>CHWCOA</v>
      </c>
      <c r="E108" s="10">
        <f ca="1">SUMIFS(E$3:E$61,$A$3:$A$61,$A108,$D$3:$D$61,$B108)*SUMIF('COM balance'!$D$5:$D$25,'COM Assumptions'!$A108,'COM balance'!E$5:E$25)*IFERROR(VLOOKUP($C108,$C$64:$AH$78,E$63,FALSE),1)</f>
        <v>0</v>
      </c>
      <c r="F108" s="10">
        <f ca="1">SUMIFS(F$3:F$61,$A$3:$A$61,$A108,$D$3:$D$61,$B108)*SUMIF('COM balance'!$D$5:$D$25,'COM Assumptions'!$A108,'COM balance'!F$5:F$25)*IFERROR(VLOOKUP($C108,$C$64:$AH$78,F$63,FALSE),1)</f>
        <v>6.0367375799999998E-2</v>
      </c>
      <c r="G108" s="10">
        <f ca="1">SUMIFS(G$3:G$61,$A$3:$A$61,$A108,$D$3:$D$61,$B108)*SUMIF('COM balance'!$D$5:$D$25,'COM Assumptions'!$A108,'COM balance'!G$5:G$25)*IFERROR(VLOOKUP($C108,$C$64:$AH$78,G$63,FALSE),1)</f>
        <v>0</v>
      </c>
      <c r="H108" s="10">
        <f ca="1">SUMIFS(H$3:H$61,$A$3:$A$61,$A108,$D$3:$D$61,$B108)*SUMIF('COM balance'!$D$5:$D$25,'COM Assumptions'!$A108,'COM balance'!H$5:H$25)*IFERROR(VLOOKUP($C108,$C$64:$AH$78,H$63,FALSE),1)</f>
        <v>0</v>
      </c>
      <c r="I108" s="10">
        <f ca="1">SUMIFS(I$3:I$61,$A$3:$A$61,$A108,$D$3:$D$61,$B108)*SUMIF('COM balance'!$D$5:$D$25,'COM Assumptions'!$A108,'COM balance'!I$5:I$25)*IFERROR(VLOOKUP($C108,$C$64:$AH$78,I$63,FALSE),1)</f>
        <v>3.2154113210399999</v>
      </c>
      <c r="J108" s="10">
        <f ca="1">SUMIFS(J$3:J$61,$A$3:$A$61,$A108,$D$3:$D$61,$B108)*SUMIF('COM balance'!$D$5:$D$25,'COM Assumptions'!$A108,'COM balance'!J$5:J$25)*IFERROR(VLOOKUP($C108,$C$64:$AH$78,J$63,FALSE),1)</f>
        <v>5.3224531714799994</v>
      </c>
      <c r="K108" s="10">
        <f ca="1">SUMIFS(K$3:K$61,$A$3:$A$61,$A108,$D$3:$D$61,$B108)*SUMIF('COM balance'!$D$5:$D$25,'COM Assumptions'!$A108,'COM balance'!K$5:K$25)*IFERROR(VLOOKUP($C108,$C$64:$AH$78,K$63,FALSE),1)</f>
        <v>0.55087904736000004</v>
      </c>
      <c r="L108" s="10">
        <f ca="1">SUMIFS(L$3:L$61,$A$3:$A$61,$A108,$D$3:$D$61,$B108)*SUMIF('COM balance'!$D$5:$D$25,'COM Assumptions'!$A108,'COM balance'!L$5:L$25)*IFERROR(VLOOKUP($C108,$C$64:$AH$78,L$63,FALSE),1)</f>
        <v>0</v>
      </c>
      <c r="M108" s="10">
        <f ca="1">SUMIFS(M$3:M$61,$A$3:$A$61,$A108,$D$3:$D$61,$B108)*SUMIF('COM balance'!$D$5:$D$25,'COM Assumptions'!$A108,'COM balance'!M$5:M$25)*IFERROR(VLOOKUP($C108,$C$64:$AH$78,M$63,FALSE),1)</f>
        <v>0</v>
      </c>
      <c r="N108" s="10">
        <f ca="1">SUMIFS(N$3:N$61,$A$3:$A$61,$A108,$D$3:$D$61,$B108)*SUMIF('COM balance'!$D$5:$D$25,'COM Assumptions'!$A108,'COM balance'!N$5:N$25)*IFERROR(VLOOKUP($C108,$C$64:$AH$78,N$63,FALSE),1)</f>
        <v>153.84488374656001</v>
      </c>
      <c r="O108" s="10">
        <f ca="1">SUMIFS(O$3:O$61,$A$3:$A$61,$A108,$D$3:$D$61,$B108)*SUMIF('COM balance'!$D$5:$D$25,'COM Assumptions'!$A108,'COM balance'!O$5:O$25)*IFERROR(VLOOKUP($C108,$C$64:$AH$78,O$63,FALSE),1)</f>
        <v>0</v>
      </c>
      <c r="P108" s="10">
        <f ca="1">SUMIFS(P$3:P$61,$A$3:$A$61,$A108,$D$3:$D$61,$B108)*SUMIF('COM balance'!$D$5:$D$25,'COM Assumptions'!$A108,'COM balance'!P$5:P$25)*IFERROR(VLOOKUP($C108,$C$64:$AH$78,P$63,FALSE),1)</f>
        <v>0</v>
      </c>
      <c r="Q108" s="10">
        <f ca="1">SUMIFS(Q$3:Q$61,$A$3:$A$61,$A108,$D$3:$D$61,$B108)*SUMIF('COM balance'!$D$5:$D$25,'COM Assumptions'!$A108,'COM balance'!Q$5:Q$25)*IFERROR(VLOOKUP($C108,$C$64:$AH$78,Q$63,FALSE),1)</f>
        <v>0</v>
      </c>
      <c r="R108" s="10">
        <f ca="1">SUMIFS(R$3:R$61,$A$3:$A$61,$A108,$D$3:$D$61,$B108)*SUMIF('COM balance'!$D$5:$D$25,'COM Assumptions'!$A108,'COM balance'!R$5:R$25)*IFERROR(VLOOKUP($C108,$C$64:$AH$78,R$63,FALSE),1)</f>
        <v>0</v>
      </c>
      <c r="S108" s="10">
        <f ca="1">SUMIFS(S$3:S$61,$A$3:$A$61,$A108,$D$3:$D$61,$B108)*SUMIF('COM balance'!$D$5:$D$25,'COM Assumptions'!$A108,'COM balance'!S$5:S$25)*IFERROR(VLOOKUP($C108,$C$64:$AH$78,S$63,FALSE),1)</f>
        <v>0</v>
      </c>
      <c r="T108" s="10">
        <f ca="1">SUMIFS(T$3:T$61,$A$3:$A$61,$A108,$D$3:$D$61,$B108)*SUMIF('COM balance'!$D$5:$D$25,'COM Assumptions'!$A108,'COM balance'!T$5:T$25)*IFERROR(VLOOKUP($C108,$C$64:$AH$78,T$63,FALSE),1)</f>
        <v>0</v>
      </c>
      <c r="U108" s="10">
        <f ca="1">SUMIFS(U$3:U$61,$A$3:$A$61,$A108,$D$3:$D$61,$B108)*SUMIF('COM balance'!$D$5:$D$25,'COM Assumptions'!$A108,'COM balance'!U$5:U$25)*IFERROR(VLOOKUP($C108,$C$64:$AH$78,U$63,FALSE),1)</f>
        <v>0</v>
      </c>
      <c r="V108" s="10">
        <f ca="1">SUMIFS(V$3:V$61,$A$3:$A$61,$A108,$D$3:$D$61,$B108)*SUMIF('COM balance'!$D$5:$D$25,'COM Assumptions'!$A108,'COM balance'!V$5:V$25)*IFERROR(VLOOKUP($C108,$C$64:$AH$78,V$63,FALSE),1)</f>
        <v>0</v>
      </c>
      <c r="W108" s="10">
        <f ca="1">SUMIFS(W$3:W$61,$A$3:$A$61,$A108,$D$3:$D$61,$B108)*SUMIF('COM balance'!$D$5:$D$25,'COM Assumptions'!$A108,'COM balance'!W$5:W$25)*IFERROR(VLOOKUP($C108,$C$64:$AH$78,W$63,FALSE),1)</f>
        <v>0</v>
      </c>
      <c r="X108" s="10">
        <f ca="1">SUMIFS(X$3:X$61,$A$3:$A$61,$A108,$D$3:$D$61,$B108)*SUMIF('COM balance'!$D$5:$D$25,'COM Assumptions'!$A108,'COM balance'!X$5:X$25)*IFERROR(VLOOKUP($C108,$C$64:$AH$78,X$63,FALSE),1)</f>
        <v>60.387148800360002</v>
      </c>
      <c r="Y108" s="10">
        <f ca="1">SUMIFS(Y$3:Y$61,$A$3:$A$61,$A108,$D$3:$D$61,$B108)*SUMIF('COM balance'!$D$5:$D$25,'COM Assumptions'!$A108,'COM balance'!Y$5:Y$25)*IFERROR(VLOOKUP($C108,$C$64:$AH$78,Y$63,FALSE),1)</f>
        <v>0</v>
      </c>
      <c r="Z108" s="10">
        <f ca="1">SUMIFS(Z$3:Z$61,$A$3:$A$61,$A108,$D$3:$D$61,$B108)*SUMIF('COM balance'!$D$5:$D$25,'COM Assumptions'!$A108,'COM balance'!Z$5:Z$25)*IFERROR(VLOOKUP($C108,$C$64:$AH$78,Z$63,FALSE),1)</f>
        <v>0</v>
      </c>
      <c r="AA108" s="10">
        <f ca="1">SUMIFS(AA$3:AA$61,$A$3:$A$61,$A108,$D$3:$D$61,$B108)*SUMIF('COM balance'!$D$5:$D$25,'COM Assumptions'!$A108,'COM balance'!AA$5:AA$25)*IFERROR(VLOOKUP($C108,$C$64:$AH$78,AA$63,FALSE),1)</f>
        <v>0</v>
      </c>
      <c r="AB108" s="10">
        <f ca="1">SUMIFS(AB$3:AB$61,$A$3:$A$61,$A108,$D$3:$D$61,$B108)*SUMIF('COM balance'!$D$5:$D$25,'COM Assumptions'!$A108,'COM balance'!AB$5:AB$25)*IFERROR(VLOOKUP($C108,$C$64:$AH$78,AB$63,FALSE),1)</f>
        <v>0</v>
      </c>
      <c r="AC108" s="10">
        <f ca="1">SUMIFS(AC$3:AC$61,$A$3:$A$61,$A108,$D$3:$D$61,$B108)*SUMIF('COM balance'!$D$5:$D$25,'COM Assumptions'!$A108,'COM balance'!AC$5:AC$25)*IFERROR(VLOOKUP($C108,$C$64:$AH$78,AC$63,FALSE),1)</f>
        <v>0</v>
      </c>
      <c r="AD108" s="10">
        <f ca="1">SUMIFS(AD$3:AD$61,$A$3:$A$61,$A108,$D$3:$D$61,$B108)*SUMIF('COM balance'!$D$5:$D$25,'COM Assumptions'!$A108,'COM balance'!AD$5:AD$25)*IFERROR(VLOOKUP($C108,$C$64:$AH$78,AD$63,FALSE),1)</f>
        <v>0</v>
      </c>
      <c r="AE108" s="10">
        <f ca="1">SUMIFS(AE$3:AE$61,$A$3:$A$61,$A108,$D$3:$D$61,$B108)*SUMIF('COM balance'!$D$5:$D$25,'COM Assumptions'!$A108,'COM balance'!AE$5:AE$25)*IFERROR(VLOOKUP($C108,$C$64:$AH$78,AE$63,FALSE),1)</f>
        <v>26.577115578000001</v>
      </c>
      <c r="AF108" s="10">
        <f ca="1">SUMIFS(AF$3:AF$61,$A$3:$A$61,$A108,$D$3:$D$61,$B108)*SUMIF('COM balance'!$D$5:$D$25,'COM Assumptions'!$A108,'COM balance'!AF$5:AF$25)*IFERROR(VLOOKUP($C108,$C$64:$AH$78,AF$63,FALSE),1)</f>
        <v>0</v>
      </c>
      <c r="AG108" s="10">
        <f ca="1">SUMIFS(AG$3:AG$61,$A$3:$A$61,$A108,$D$3:$D$61,$B108)*SUMIF('COM balance'!$D$5:$D$25,'COM Assumptions'!$A108,'COM balance'!AG$5:AG$25)*IFERROR(VLOOKUP($C108,$C$64:$AH$78,AG$63,FALSE),1)</f>
        <v>0</v>
      </c>
      <c r="AH108" s="10">
        <f ca="1">SUMIFS(AH$3:AH$61,$A$3:$A$61,$A108,$D$3:$D$61,$B108)*SUMIF('COM balance'!$D$5:$D$25,'COM Assumptions'!$A108,'COM balance'!AH$5:AH$25)*IFERROR(VLOOKUP($C108,$C$64:$AH$78,AH$63,FALSE),1)</f>
        <v>0</v>
      </c>
      <c r="AI108" s="10"/>
    </row>
    <row r="109" spans="1:43" x14ac:dyDescent="0.45">
      <c r="A109" s="8" t="str">
        <f t="shared" si="40"/>
        <v>COMOIL</v>
      </c>
      <c r="B109" s="8" t="str">
        <f t="shared" si="41"/>
        <v>CHW</v>
      </c>
      <c r="C109" s="8" t="str">
        <f>SUBSTITUTE(SUBSTITUTE(SUBSTITUTE('COM Veda input'!B32,"CC1","CL"),"000",""),"CH1","CH")</f>
        <v>CHWDST</v>
      </c>
      <c r="E109" s="10">
        <f ca="1">SUMIFS(E$3:E$61,$A$3:$A$61,$A109,$D$3:$D$61,$B109)*SUMIF('COM balance'!$D$5:$D$25,'COM Assumptions'!$A109,'COM balance'!E$5:E$25)*IFERROR(VLOOKUP($C109,$C$64:$AH$78,E$63,FALSE),1)</f>
        <v>3.2745029788799997</v>
      </c>
      <c r="F109" s="10">
        <f ca="1">SUMIFS(F$3:F$61,$A$3:$A$61,$A109,$D$3:$D$61,$B109)*SUMIF('COM balance'!$D$5:$D$25,'COM Assumptions'!$A109,'COM balance'!F$5:F$25)*IFERROR(VLOOKUP($C109,$C$64:$AH$78,F$63,FALSE),1)</f>
        <v>29.04660409896</v>
      </c>
      <c r="G109" s="10">
        <f ca="1">SUMIFS(G$3:G$61,$A$3:$A$61,$A109,$D$3:$D$61,$B109)*SUMIF('COM balance'!$D$5:$D$25,'COM Assumptions'!$A109,'COM balance'!G$5:G$25)*IFERROR(VLOOKUP($C109,$C$64:$AH$78,G$63,FALSE),1)</f>
        <v>9.9215537443200006</v>
      </c>
      <c r="H109" s="10">
        <f ca="1">SUMIFS(H$3:H$61,$A$3:$A$61,$A109,$D$3:$D$61,$B109)*SUMIF('COM balance'!$D$5:$D$25,'COM Assumptions'!$A109,'COM balance'!H$5:H$25)*IFERROR(VLOOKUP($C109,$C$64:$AH$78,H$63,FALSE),1)</f>
        <v>6.4887947496000002</v>
      </c>
      <c r="I109" s="10">
        <f ca="1">SUMIFS(I$3:I$61,$A$3:$A$61,$A109,$D$3:$D$61,$B109)*SUMIF('COM balance'!$D$5:$D$25,'COM Assumptions'!$A109,'COM balance'!I$5:I$25)*IFERROR(VLOOKUP($C109,$C$64:$AH$78,I$63,FALSE),1)</f>
        <v>97.198293534876001</v>
      </c>
      <c r="J109" s="10">
        <f ca="1">SUMIFS(J$3:J$61,$A$3:$A$61,$A109,$D$3:$D$61,$B109)*SUMIF('COM balance'!$D$5:$D$25,'COM Assumptions'!$A109,'COM balance'!J$5:J$25)*IFERROR(VLOOKUP($C109,$C$64:$AH$78,J$63,FALSE),1)</f>
        <v>74.923560558000005</v>
      </c>
      <c r="K109" s="10">
        <f ca="1">SUMIFS(K$3:K$61,$A$3:$A$61,$A109,$D$3:$D$61,$B109)*SUMIF('COM balance'!$D$5:$D$25,'COM Assumptions'!$A109,'COM balance'!K$5:K$25)*IFERROR(VLOOKUP($C109,$C$64:$AH$78,K$63,FALSE),1)</f>
        <v>6.3413808710400001</v>
      </c>
      <c r="L109" s="10">
        <f ca="1">SUMIFS(L$3:L$61,$A$3:$A$61,$A109,$D$3:$D$61,$B109)*SUMIF('COM balance'!$D$5:$D$25,'COM Assumptions'!$A109,'COM balance'!L$5:L$25)*IFERROR(VLOOKUP($C109,$C$64:$AH$78,L$63,FALSE),1)</f>
        <v>0.86990315904000015</v>
      </c>
      <c r="M109" s="10">
        <f ca="1">SUMIFS(M$3:M$61,$A$3:$A$61,$A109,$D$3:$D$61,$B109)*SUMIF('COM balance'!$D$5:$D$25,'COM Assumptions'!$A109,'COM balance'!M$5:M$25)*IFERROR(VLOOKUP($C109,$C$64:$AH$78,M$63,FALSE),1)</f>
        <v>1.64663996976</v>
      </c>
      <c r="N109" s="10">
        <f ca="1">SUMIFS(N$3:N$61,$A$3:$A$61,$A109,$D$3:$D$61,$B109)*SUMIF('COM balance'!$D$5:$D$25,'COM Assumptions'!$A109,'COM balance'!N$5:N$25)*IFERROR(VLOOKUP($C109,$C$64:$AH$78,N$63,FALSE),1)</f>
        <v>152.77718212974</v>
      </c>
      <c r="O109" s="10">
        <f ca="1">SUMIFS(O$3:O$61,$A$3:$A$61,$A109,$D$3:$D$61,$B109)*SUMIF('COM balance'!$D$5:$D$25,'COM Assumptions'!$A109,'COM balance'!O$5:O$25)*IFERROR(VLOOKUP($C109,$C$64:$AH$78,O$63,FALSE),1)</f>
        <v>6.0927124373819996</v>
      </c>
      <c r="P109" s="10">
        <f ca="1">SUMIFS(P$3:P$61,$A$3:$A$61,$A109,$D$3:$D$61,$B109)*SUMIF('COM balance'!$D$5:$D$25,'COM Assumptions'!$A109,'COM balance'!P$5:P$25)*IFERROR(VLOOKUP($C109,$C$64:$AH$78,P$63,FALSE),1)</f>
        <v>5.8357680398999996</v>
      </c>
      <c r="Q109" s="10">
        <f ca="1">SUMIFS(Q$3:Q$61,$A$3:$A$61,$A109,$D$3:$D$61,$B109)*SUMIF('COM balance'!$D$5:$D$25,'COM Assumptions'!$A109,'COM balance'!Q$5:Q$25)*IFERROR(VLOOKUP($C109,$C$64:$AH$78,Q$63,FALSE),1)</f>
        <v>13.103107397658</v>
      </c>
      <c r="R109" s="10">
        <f ca="1">SUMIFS(R$3:R$61,$A$3:$A$61,$A109,$D$3:$D$61,$B109)*SUMIF('COM balance'!$D$5:$D$25,'COM Assumptions'!$A109,'COM balance'!R$5:R$25)*IFERROR(VLOOKUP($C109,$C$64:$AH$78,R$63,FALSE),1)</f>
        <v>2.2049779269239997</v>
      </c>
      <c r="S109" s="10">
        <f ca="1">SUMIFS(S$3:S$61,$A$3:$A$61,$A109,$D$3:$D$61,$B109)*SUMIF('COM balance'!$D$5:$D$25,'COM Assumptions'!$A109,'COM balance'!S$5:S$25)*IFERROR(VLOOKUP($C109,$C$64:$AH$78,S$63,FALSE),1)</f>
        <v>2.1451331475000002</v>
      </c>
      <c r="T109" s="10">
        <f ca="1">SUMIFS(T$3:T$61,$A$3:$A$61,$A109,$D$3:$D$61,$B109)*SUMIF('COM balance'!$D$5:$D$25,'COM Assumptions'!$A109,'COM balance'!T$5:T$25)*IFERROR(VLOOKUP($C109,$C$64:$AH$78,T$63,FALSE),1)</f>
        <v>13.899986672903999</v>
      </c>
      <c r="U109" s="10">
        <f ca="1">SUMIFS(U$3:U$61,$A$3:$A$61,$A109,$D$3:$D$61,$B109)*SUMIF('COM balance'!$D$5:$D$25,'COM Assumptions'!$A109,'COM balance'!U$5:U$25)*IFERROR(VLOOKUP($C109,$C$64:$AH$78,U$63,FALSE),1)</f>
        <v>15.747953191199999</v>
      </c>
      <c r="V109" s="10">
        <f ca="1">SUMIFS(V$3:V$61,$A$3:$A$61,$A109,$D$3:$D$61,$B109)*SUMIF('COM balance'!$D$5:$D$25,'COM Assumptions'!$A109,'COM balance'!V$5:V$25)*IFERROR(VLOOKUP($C109,$C$64:$AH$78,V$63,FALSE),1)</f>
        <v>25.254002413979997</v>
      </c>
      <c r="W109" s="10">
        <f ca="1">SUMIFS(W$3:W$61,$A$3:$A$61,$A109,$D$3:$D$61,$B109)*SUMIF('COM balance'!$D$5:$D$25,'COM Assumptions'!$A109,'COM balance'!W$5:W$25)*IFERROR(VLOOKUP($C109,$C$64:$AH$78,W$63,FALSE),1)</f>
        <v>38.778988673375999</v>
      </c>
      <c r="X109" s="10">
        <f ca="1">SUMIFS(X$3:X$61,$A$3:$A$61,$A109,$D$3:$D$61,$B109)*SUMIF('COM balance'!$D$5:$D$25,'COM Assumptions'!$A109,'COM balance'!X$5:X$25)*IFERROR(VLOOKUP($C109,$C$64:$AH$78,X$63,FALSE),1)</f>
        <v>0</v>
      </c>
      <c r="Y109" s="10">
        <f ca="1">SUMIFS(Y$3:Y$61,$A$3:$A$61,$A109,$D$3:$D$61,$B109)*SUMIF('COM balance'!$D$5:$D$25,'COM Assumptions'!$A109,'COM balance'!Y$5:Y$25)*IFERROR(VLOOKUP($C109,$C$64:$AH$78,Y$63,FALSE),1)</f>
        <v>11.92224459456</v>
      </c>
      <c r="Z109" s="10">
        <f ca="1">SUMIFS(Z$3:Z$61,$A$3:$A$61,$A109,$D$3:$D$61,$B109)*SUMIF('COM balance'!$D$5:$D$25,'COM Assumptions'!$A109,'COM balance'!Z$5:Z$25)*IFERROR(VLOOKUP($C109,$C$64:$AH$78,Z$63,FALSE),1)</f>
        <v>0.40049965836000001</v>
      </c>
      <c r="AA109" s="10">
        <f ca="1">SUMIFS(AA$3:AA$61,$A$3:$A$61,$A109,$D$3:$D$61,$B109)*SUMIF('COM balance'!$D$5:$D$25,'COM Assumptions'!$A109,'COM balance'!AA$5:AA$25)*IFERROR(VLOOKUP($C109,$C$64:$AH$78,AA$63,FALSE),1)</f>
        <v>12.546955347840001</v>
      </c>
      <c r="AB109" s="10">
        <f ca="1">SUMIFS(AB$3:AB$61,$A$3:$A$61,$A109,$D$3:$D$61,$B109)*SUMIF('COM balance'!$D$5:$D$25,'COM Assumptions'!$A109,'COM balance'!AB$5:AB$25)*IFERROR(VLOOKUP($C109,$C$64:$AH$78,AB$63,FALSE),1)</f>
        <v>3.5061905053619999</v>
      </c>
      <c r="AC109" s="10">
        <f ca="1">SUMIFS(AC$3:AC$61,$A$3:$A$61,$A109,$D$3:$D$61,$B109)*SUMIF('COM balance'!$D$5:$D$25,'COM Assumptions'!$A109,'COM balance'!AC$5:AC$25)*IFERROR(VLOOKUP($C109,$C$64:$AH$78,AC$63,FALSE),1)</f>
        <v>15.2114974605</v>
      </c>
      <c r="AD109" s="10">
        <f ca="1">SUMIFS(AD$3:AD$61,$A$3:$A$61,$A109,$D$3:$D$61,$B109)*SUMIF('COM balance'!$D$5:$D$25,'COM Assumptions'!$A109,'COM balance'!AD$5:AD$25)*IFERROR(VLOOKUP($C109,$C$64:$AH$78,AD$63,FALSE),1)</f>
        <v>0</v>
      </c>
      <c r="AE109" s="10">
        <f ca="1">SUMIFS(AE$3:AE$61,$A$3:$A$61,$A109,$D$3:$D$61,$B109)*SUMIF('COM balance'!$D$5:$D$25,'COM Assumptions'!$A109,'COM balance'!AE$5:AE$25)*IFERROR(VLOOKUP($C109,$C$64:$AH$78,AE$63,FALSE),1)</f>
        <v>1.7471080972799999</v>
      </c>
      <c r="AF109" s="10">
        <f ca="1">SUMIFS(AF$3:AF$61,$A$3:$A$61,$A109,$D$3:$D$61,$B109)*SUMIF('COM balance'!$D$5:$D$25,'COM Assumptions'!$A109,'COM balance'!AF$5:AF$25)*IFERROR(VLOOKUP($C109,$C$64:$AH$78,AF$63,FALSE),1)</f>
        <v>11.413295888652</v>
      </c>
      <c r="AG109" s="10">
        <f ca="1">SUMIFS(AG$3:AG$61,$A$3:$A$61,$A109,$D$3:$D$61,$B109)*SUMIF('COM balance'!$D$5:$D$25,'COM Assumptions'!$A109,'COM balance'!AG$5:AG$25)*IFERROR(VLOOKUP($C109,$C$64:$AH$78,AG$63,FALSE),1)</f>
        <v>103.78174109702825</v>
      </c>
      <c r="AH109" s="10">
        <f ca="1">SUMIFS(AH$3:AH$61,$A$3:$A$61,$A109,$D$3:$D$61,$B109)*SUMIF('COM balance'!$D$5:$D$25,'COM Assumptions'!$A109,'COM balance'!AH$5:AH$25)*IFERROR(VLOOKUP($C109,$C$64:$AH$78,AH$63,FALSE),1)</f>
        <v>0</v>
      </c>
      <c r="AI109" s="10"/>
    </row>
    <row r="110" spans="1:43" x14ac:dyDescent="0.45">
      <c r="A110" s="8" t="str">
        <f t="shared" si="40"/>
        <v>COMELC</v>
      </c>
      <c r="B110" s="8" t="str">
        <f t="shared" si="41"/>
        <v>CHW</v>
      </c>
      <c r="C110" s="8" t="str">
        <f>SUBSTITUTE(SUBSTITUTE(SUBSTITUTE('COM Veda input'!B33,"CC1","CL"),"000",""),"CH1","CH")</f>
        <v>CHWELC</v>
      </c>
      <c r="E110" s="10">
        <f ca="1">SUMIFS(E$3:E$61,$A$3:$A$61,$A110,$D$3:$D$61,$B110)*SUMIF('COM balance'!$D$5:$D$25,'COM Assumptions'!$A110,'COM balance'!E$5:E$25)*IFERROR(VLOOKUP($C110,$C$64:$AH$78,E$63,FALSE),1)</f>
        <v>9.5704631407799994</v>
      </c>
      <c r="F110" s="10">
        <f ca="1">SUMIFS(F$3:F$61,$A$3:$A$61,$A110,$D$3:$D$61,$B110)*SUMIF('COM balance'!$D$5:$D$25,'COM Assumptions'!$A110,'COM balance'!F$5:F$25)*IFERROR(VLOOKUP($C110,$C$64:$AH$78,F$63,FALSE),1)</f>
        <v>5.8999971106800002</v>
      </c>
      <c r="G110" s="10">
        <f ca="1">SUMIFS(G$3:G$61,$A$3:$A$61,$A110,$D$3:$D$61,$B110)*SUMIF('COM balance'!$D$5:$D$25,'COM Assumptions'!$A110,'COM balance'!G$5:G$25)*IFERROR(VLOOKUP($C110,$C$64:$AH$78,G$63,FALSE),1)</f>
        <v>3.1258343163600002</v>
      </c>
      <c r="H110" s="10">
        <f ca="1">SUMIFS(H$3:H$61,$A$3:$A$61,$A110,$D$3:$D$61,$B110)*SUMIF('COM balance'!$D$5:$D$25,'COM Assumptions'!$A110,'COM balance'!H$5:H$25)*IFERROR(VLOOKUP($C110,$C$64:$AH$78,H$63,FALSE),1)</f>
        <v>9.7654401140400005</v>
      </c>
      <c r="I110" s="10">
        <f ca="1">SUMIFS(I$3:I$61,$A$3:$A$61,$A110,$D$3:$D$61,$B110)*SUMIF('COM balance'!$D$5:$D$25,'COM Assumptions'!$A110,'COM balance'!I$5:I$25)*IFERROR(VLOOKUP($C110,$C$64:$AH$78,I$63,FALSE),1)</f>
        <v>0</v>
      </c>
      <c r="J110" s="10">
        <f ca="1">SUMIFS(J$3:J$61,$A$3:$A$61,$A110,$D$3:$D$61,$B110)*SUMIF('COM balance'!$D$5:$D$25,'COM Assumptions'!$A110,'COM balance'!J$5:J$25)*IFERROR(VLOOKUP($C110,$C$64:$AH$78,J$63,FALSE),1)</f>
        <v>69.966546111791999</v>
      </c>
      <c r="K110" s="10">
        <f ca="1">SUMIFS(K$3:K$61,$A$3:$A$61,$A110,$D$3:$D$61,$B110)*SUMIF('COM balance'!$D$5:$D$25,'COM Assumptions'!$A110,'COM balance'!K$5:K$25)*IFERROR(VLOOKUP($C110,$C$64:$AH$78,K$63,FALSE),1)</f>
        <v>29.091895645320001</v>
      </c>
      <c r="L110" s="10">
        <f ca="1">SUMIFS(L$3:L$61,$A$3:$A$61,$A110,$D$3:$D$61,$B110)*SUMIF('COM balance'!$D$5:$D$25,'COM Assumptions'!$A110,'COM balance'!L$5:L$25)*IFERROR(VLOOKUP($C110,$C$64:$AH$78,L$63,FALSE),1)</f>
        <v>10.15503818256</v>
      </c>
      <c r="M110" s="10">
        <f ca="1">SUMIFS(M$3:M$61,$A$3:$A$61,$A110,$D$3:$D$61,$B110)*SUMIF('COM balance'!$D$5:$D$25,'COM Assumptions'!$A110,'COM balance'!M$5:M$25)*IFERROR(VLOOKUP($C110,$C$64:$AH$78,M$63,FALSE),1)</f>
        <v>16.345368018144001</v>
      </c>
      <c r="N110" s="10">
        <f ca="1">SUMIFS(N$3:N$61,$A$3:$A$61,$A110,$D$3:$D$61,$B110)*SUMIF('COM balance'!$D$5:$D$25,'COM Assumptions'!$A110,'COM balance'!N$5:N$25)*IFERROR(VLOOKUP($C110,$C$64:$AH$78,N$63,FALSE),1)</f>
        <v>35.087377586688</v>
      </c>
      <c r="O110" s="10">
        <f ca="1">SUMIFS(O$3:O$61,$A$3:$A$61,$A110,$D$3:$D$61,$B110)*SUMIF('COM balance'!$D$5:$D$25,'COM Assumptions'!$A110,'COM balance'!O$5:O$25)*IFERROR(VLOOKUP($C110,$C$64:$AH$78,O$63,FALSE),1)</f>
        <v>11.950628502743999</v>
      </c>
      <c r="P110" s="10">
        <f ca="1">SUMIFS(P$3:P$61,$A$3:$A$61,$A110,$D$3:$D$61,$B110)*SUMIF('COM balance'!$D$5:$D$25,'COM Assumptions'!$A110,'COM balance'!P$5:P$25)*IFERROR(VLOOKUP($C110,$C$64:$AH$78,P$63,FALSE),1)</f>
        <v>33.761116744560006</v>
      </c>
      <c r="Q110" s="10">
        <f ca="1">SUMIFS(Q$3:Q$61,$A$3:$A$61,$A110,$D$3:$D$61,$B110)*SUMIF('COM balance'!$D$5:$D$25,'COM Assumptions'!$A110,'COM balance'!Q$5:Q$25)*IFERROR(VLOOKUP($C110,$C$64:$AH$78,Q$63,FALSE),1)</f>
        <v>15.807220945847998</v>
      </c>
      <c r="R110" s="10">
        <f ca="1">SUMIFS(R$3:R$61,$A$3:$A$61,$A110,$D$3:$D$61,$B110)*SUMIF('COM balance'!$D$5:$D$25,'COM Assumptions'!$A110,'COM balance'!R$5:R$25)*IFERROR(VLOOKUP($C110,$C$64:$AH$78,R$63,FALSE),1)</f>
        <v>23.844394818647999</v>
      </c>
      <c r="S110" s="10">
        <f ca="1">SUMIFS(S$3:S$61,$A$3:$A$61,$A110,$D$3:$D$61,$B110)*SUMIF('COM balance'!$D$5:$D$25,'COM Assumptions'!$A110,'COM balance'!S$5:S$25)*IFERROR(VLOOKUP($C110,$C$64:$AH$78,S$63,FALSE),1)</f>
        <v>12.806664226560001</v>
      </c>
      <c r="T110" s="10">
        <f ca="1">SUMIFS(T$3:T$61,$A$3:$A$61,$A110,$D$3:$D$61,$B110)*SUMIF('COM balance'!$D$5:$D$25,'COM Assumptions'!$A110,'COM balance'!T$5:T$25)*IFERROR(VLOOKUP($C110,$C$64:$AH$78,T$63,FALSE),1)</f>
        <v>19.671061493376001</v>
      </c>
      <c r="U110" s="10">
        <f ca="1">SUMIFS(U$3:U$61,$A$3:$A$61,$A110,$D$3:$D$61,$B110)*SUMIF('COM balance'!$D$5:$D$25,'COM Assumptions'!$A110,'COM balance'!U$5:U$25)*IFERROR(VLOOKUP($C110,$C$64:$AH$78,U$63,FALSE),1)</f>
        <v>24.526779537420001</v>
      </c>
      <c r="V110" s="10">
        <f ca="1">SUMIFS(V$3:V$61,$A$3:$A$61,$A110,$D$3:$D$61,$B110)*SUMIF('COM balance'!$D$5:$D$25,'COM Assumptions'!$A110,'COM balance'!V$5:V$25)*IFERROR(VLOOKUP($C110,$C$64:$AH$78,V$63,FALSE),1)</f>
        <v>29.507560144488</v>
      </c>
      <c r="W110" s="10">
        <f ca="1">SUMIFS(W$3:W$61,$A$3:$A$61,$A110,$D$3:$D$61,$B110)*SUMIF('COM balance'!$D$5:$D$25,'COM Assumptions'!$A110,'COM balance'!W$5:W$25)*IFERROR(VLOOKUP($C110,$C$64:$AH$78,W$63,FALSE),1)</f>
        <v>28.074384088991998</v>
      </c>
      <c r="X110" s="10">
        <f ca="1">SUMIFS(X$3:X$61,$A$3:$A$61,$A110,$D$3:$D$61,$B110)*SUMIF('COM balance'!$D$5:$D$25,'COM Assumptions'!$A110,'COM balance'!X$5:X$25)*IFERROR(VLOOKUP($C110,$C$64:$AH$78,X$63,FALSE),1)</f>
        <v>4.0917416786279999</v>
      </c>
      <c r="Y110" s="10">
        <f ca="1">SUMIFS(Y$3:Y$61,$A$3:$A$61,$A110,$D$3:$D$61,$B110)*SUMIF('COM balance'!$D$5:$D$25,'COM Assumptions'!$A110,'COM balance'!Y$5:Y$25)*IFERROR(VLOOKUP($C110,$C$64:$AH$78,Y$63,FALSE),1)</f>
        <v>6.4335272311439997</v>
      </c>
      <c r="Z110" s="10">
        <f ca="1">SUMIFS(Z$3:Z$61,$A$3:$A$61,$A110,$D$3:$D$61,$B110)*SUMIF('COM balance'!$D$5:$D$25,'COM Assumptions'!$A110,'COM balance'!Z$5:Z$25)*IFERROR(VLOOKUP($C110,$C$64:$AH$78,Z$63,FALSE),1)</f>
        <v>5.1689698983000003</v>
      </c>
      <c r="AA110" s="10">
        <f ca="1">SUMIFS(AA$3:AA$61,$A$3:$A$61,$A110,$D$3:$D$61,$B110)*SUMIF('COM balance'!$D$5:$D$25,'COM Assumptions'!$A110,'COM balance'!AA$5:AA$25)*IFERROR(VLOOKUP($C110,$C$64:$AH$78,AA$63,FALSE),1)</f>
        <v>27.879245756460001</v>
      </c>
      <c r="AB110" s="10">
        <f ca="1">SUMIFS(AB$3:AB$61,$A$3:$A$61,$A110,$D$3:$D$61,$B110)*SUMIF('COM balance'!$D$5:$D$25,'COM Assumptions'!$A110,'COM balance'!AB$5:AB$25)*IFERROR(VLOOKUP($C110,$C$64:$AH$78,AB$63,FALSE),1)</f>
        <v>5.9521065258959993</v>
      </c>
      <c r="AC110" s="10">
        <f ca="1">SUMIFS(AC$3:AC$61,$A$3:$A$61,$A110,$D$3:$D$61,$B110)*SUMIF('COM balance'!$D$5:$D$25,'COM Assumptions'!$A110,'COM balance'!AC$5:AC$25)*IFERROR(VLOOKUP($C110,$C$64:$AH$78,AC$63,FALSE),1)</f>
        <v>55.032803935920008</v>
      </c>
      <c r="AD110" s="10">
        <f ca="1">SUMIFS(AD$3:AD$61,$A$3:$A$61,$A110,$D$3:$D$61,$B110)*SUMIF('COM balance'!$D$5:$D$25,'COM Assumptions'!$A110,'COM balance'!AD$5:AD$25)*IFERROR(VLOOKUP($C110,$C$64:$AH$78,AD$63,FALSE),1)</f>
        <v>22.031019265140003</v>
      </c>
      <c r="AE110" s="10">
        <f ca="1">SUMIFS(AE$3:AE$61,$A$3:$A$61,$A110,$D$3:$D$61,$B110)*SUMIF('COM balance'!$D$5:$D$25,'COM Assumptions'!$A110,'COM balance'!AE$5:AE$25)*IFERROR(VLOOKUP($C110,$C$64:$AH$78,AE$63,FALSE),1)</f>
        <v>6.6793686746400001</v>
      </c>
      <c r="AF110" s="10">
        <f ca="1">SUMIFS(AF$3:AF$61,$A$3:$A$61,$A110,$D$3:$D$61,$B110)*SUMIF('COM balance'!$D$5:$D$25,'COM Assumptions'!$A110,'COM balance'!AF$5:AF$25)*IFERROR(VLOOKUP($C110,$C$64:$AH$78,AF$63,FALSE),1)</f>
        <v>19.466056924775998</v>
      </c>
      <c r="AG110" s="10">
        <f ca="1">SUMIFS(AG$3:AG$61,$A$3:$A$61,$A110,$D$3:$D$61,$B110)*SUMIF('COM balance'!$D$5:$D$25,'COM Assumptions'!$A110,'COM balance'!AG$5:AG$25)*IFERROR(VLOOKUP($C110,$C$64:$AH$78,AG$63,FALSE),1)</f>
        <v>232.02318918733081</v>
      </c>
      <c r="AH110" s="10">
        <f ca="1">SUMIFS(AH$3:AH$61,$A$3:$A$61,$A110,$D$3:$D$61,$B110)*SUMIF('COM balance'!$D$5:$D$25,'COM Assumptions'!$A110,'COM balance'!AH$5:AH$25)*IFERROR(VLOOKUP($C110,$C$64:$AH$78,AH$63,FALSE),1)</f>
        <v>0</v>
      </c>
      <c r="AI110" s="10"/>
    </row>
    <row r="111" spans="1:43" x14ac:dyDescent="0.45">
      <c r="A111" s="8" t="str">
        <f t="shared" si="40"/>
        <v>COMGEO</v>
      </c>
      <c r="B111" s="8" t="str">
        <f t="shared" si="41"/>
        <v>CHW</v>
      </c>
      <c r="C111" s="8" t="str">
        <f>SUBSTITUTE(SUBSTITUTE(SUBSTITUTE('COM Veda input'!B34,"CC1","CL"),"000",""),"CH1","CH")</f>
        <v>CHWGEO</v>
      </c>
      <c r="E111" s="10">
        <f ca="1">SUMIFS(E$3:E$61,$A$3:$A$61,$A111,$D$3:$D$61,$B111)*SUMIF('COM balance'!$D$5:$D$25,'COM Assumptions'!$A111,'COM balance'!E$5:E$25)*IFERROR(VLOOKUP($C111,$C$64:$AH$78,E$63,FALSE),1)</f>
        <v>0</v>
      </c>
      <c r="F111" s="10">
        <f ca="1">SUMIFS(F$3:F$61,$A$3:$A$61,$A111,$D$3:$D$61,$B111)*SUMIF('COM balance'!$D$5:$D$25,'COM Assumptions'!$A111,'COM balance'!F$5:F$25)*IFERROR(VLOOKUP($C111,$C$64:$AH$78,F$63,FALSE),1)</f>
        <v>0</v>
      </c>
      <c r="G111" s="10">
        <f ca="1">SUMIFS(G$3:G$61,$A$3:$A$61,$A111,$D$3:$D$61,$B111)*SUMIF('COM balance'!$D$5:$D$25,'COM Assumptions'!$A111,'COM balance'!G$5:G$25)*IFERROR(VLOOKUP($C111,$C$64:$AH$78,G$63,FALSE),1)</f>
        <v>0</v>
      </c>
      <c r="H111" s="10">
        <f ca="1">SUMIFS(H$3:H$61,$A$3:$A$61,$A111,$D$3:$D$61,$B111)*SUMIF('COM balance'!$D$5:$D$25,'COM Assumptions'!$A111,'COM balance'!H$5:H$25)*IFERROR(VLOOKUP($C111,$C$64:$AH$78,H$63,FALSE),1)</f>
        <v>0</v>
      </c>
      <c r="I111" s="10">
        <f ca="1">SUMIFS(I$3:I$61,$A$3:$A$61,$A111,$D$3:$D$61,$B111)*SUMIF('COM balance'!$D$5:$D$25,'COM Assumptions'!$A111,'COM balance'!I$5:I$25)*IFERROR(VLOOKUP($C111,$C$64:$AH$78,I$63,FALSE),1)</f>
        <v>0</v>
      </c>
      <c r="J111" s="10">
        <f ca="1">SUMIFS(J$3:J$61,$A$3:$A$61,$A111,$D$3:$D$61,$B111)*SUMIF('COM balance'!$D$5:$D$25,'COM Assumptions'!$A111,'COM balance'!J$5:J$25)*IFERROR(VLOOKUP($C111,$C$64:$AH$78,J$63,FALSE),1)</f>
        <v>0</v>
      </c>
      <c r="K111" s="10">
        <f ca="1">SUMIFS(K$3:K$61,$A$3:$A$61,$A111,$D$3:$D$61,$B111)*SUMIF('COM balance'!$D$5:$D$25,'COM Assumptions'!$A111,'COM balance'!K$5:K$25)*IFERROR(VLOOKUP($C111,$C$64:$AH$78,K$63,FALSE),1)</f>
        <v>0</v>
      </c>
      <c r="L111" s="10">
        <f ca="1">SUMIFS(L$3:L$61,$A$3:$A$61,$A111,$D$3:$D$61,$B111)*SUMIF('COM balance'!$D$5:$D$25,'COM Assumptions'!$A111,'COM balance'!L$5:L$25)*IFERROR(VLOOKUP($C111,$C$64:$AH$78,L$63,FALSE),1)</f>
        <v>0</v>
      </c>
      <c r="M111" s="10">
        <f ca="1">SUMIFS(M$3:M$61,$A$3:$A$61,$A111,$D$3:$D$61,$B111)*SUMIF('COM balance'!$D$5:$D$25,'COM Assumptions'!$A111,'COM balance'!M$5:M$25)*IFERROR(VLOOKUP($C111,$C$64:$AH$78,M$63,FALSE),1)</f>
        <v>0</v>
      </c>
      <c r="N111" s="10">
        <f ca="1">SUMIFS(N$3:N$61,$A$3:$A$61,$A111,$D$3:$D$61,$B111)*SUMIF('COM balance'!$D$5:$D$25,'COM Assumptions'!$A111,'COM balance'!N$5:N$25)*IFERROR(VLOOKUP($C111,$C$64:$AH$78,N$63,FALSE),1)</f>
        <v>0</v>
      </c>
      <c r="O111" s="10">
        <f ca="1">SUMIFS(O$3:O$61,$A$3:$A$61,$A111,$D$3:$D$61,$B111)*SUMIF('COM balance'!$D$5:$D$25,'COM Assumptions'!$A111,'COM balance'!O$5:O$25)*IFERROR(VLOOKUP($C111,$C$64:$AH$78,O$63,FALSE),1)</f>
        <v>0</v>
      </c>
      <c r="P111" s="10">
        <f ca="1">SUMIFS(P$3:P$61,$A$3:$A$61,$A111,$D$3:$D$61,$B111)*SUMIF('COM balance'!$D$5:$D$25,'COM Assumptions'!$A111,'COM balance'!P$5:P$25)*IFERROR(VLOOKUP($C111,$C$64:$AH$78,P$63,FALSE),1)</f>
        <v>0.15329382048000001</v>
      </c>
      <c r="Q111" s="10">
        <f ca="1">SUMIFS(Q$3:Q$61,$A$3:$A$61,$A111,$D$3:$D$61,$B111)*SUMIF('COM balance'!$D$5:$D$25,'COM Assumptions'!$A111,'COM balance'!Q$5:Q$25)*IFERROR(VLOOKUP($C111,$C$64:$AH$78,Q$63,FALSE),1)</f>
        <v>0</v>
      </c>
      <c r="R111" s="10">
        <f ca="1">SUMIFS(R$3:R$61,$A$3:$A$61,$A111,$D$3:$D$61,$B111)*SUMIF('COM balance'!$D$5:$D$25,'COM Assumptions'!$A111,'COM balance'!R$5:R$25)*IFERROR(VLOOKUP($C111,$C$64:$AH$78,R$63,FALSE),1)</f>
        <v>0</v>
      </c>
      <c r="S111" s="10">
        <f ca="1">SUMIFS(S$3:S$61,$A$3:$A$61,$A111,$D$3:$D$61,$B111)*SUMIF('COM balance'!$D$5:$D$25,'COM Assumptions'!$A111,'COM balance'!S$5:S$25)*IFERROR(VLOOKUP($C111,$C$64:$AH$78,S$63,FALSE),1)</f>
        <v>0.80391332951999994</v>
      </c>
      <c r="T111" s="10">
        <f ca="1">SUMIFS(T$3:T$61,$A$3:$A$61,$A111,$D$3:$D$61,$B111)*SUMIF('COM balance'!$D$5:$D$25,'COM Assumptions'!$A111,'COM balance'!T$5:T$25)*IFERROR(VLOOKUP($C111,$C$64:$AH$78,T$63,FALSE),1)</f>
        <v>0</v>
      </c>
      <c r="U111" s="10">
        <f ca="1">SUMIFS(U$3:U$61,$A$3:$A$61,$A111,$D$3:$D$61,$B111)*SUMIF('COM balance'!$D$5:$D$25,'COM Assumptions'!$A111,'COM balance'!U$5:U$25)*IFERROR(VLOOKUP($C111,$C$64:$AH$78,U$63,FALSE),1)</f>
        <v>2.5858514160000002E-2</v>
      </c>
      <c r="V111" s="10">
        <f ca="1">SUMIFS(V$3:V$61,$A$3:$A$61,$A111,$D$3:$D$61,$B111)*SUMIF('COM balance'!$D$5:$D$25,'COM Assumptions'!$A111,'COM balance'!V$5:V$25)*IFERROR(VLOOKUP($C111,$C$64:$AH$78,V$63,FALSE),1)</f>
        <v>0</v>
      </c>
      <c r="W111" s="10">
        <f ca="1">SUMIFS(W$3:W$61,$A$3:$A$61,$A111,$D$3:$D$61,$B111)*SUMIF('COM balance'!$D$5:$D$25,'COM Assumptions'!$A111,'COM balance'!W$5:W$25)*IFERROR(VLOOKUP($C111,$C$64:$AH$78,W$63,FALSE),1)</f>
        <v>0</v>
      </c>
      <c r="X111" s="10">
        <f ca="1">SUMIFS(X$3:X$61,$A$3:$A$61,$A111,$D$3:$D$61,$B111)*SUMIF('COM balance'!$D$5:$D$25,'COM Assumptions'!$A111,'COM balance'!X$5:X$25)*IFERROR(VLOOKUP($C111,$C$64:$AH$78,X$63,FALSE),1)</f>
        <v>0</v>
      </c>
      <c r="Y111" s="10">
        <f ca="1">SUMIFS(Y$3:Y$61,$A$3:$A$61,$A111,$D$3:$D$61,$B111)*SUMIF('COM balance'!$D$5:$D$25,'COM Assumptions'!$A111,'COM balance'!Y$5:Y$25)*IFERROR(VLOOKUP($C111,$C$64:$AH$78,Y$63,FALSE),1)</f>
        <v>0</v>
      </c>
      <c r="Z111" s="10">
        <f ca="1">SUMIFS(Z$3:Z$61,$A$3:$A$61,$A111,$D$3:$D$61,$B111)*SUMIF('COM balance'!$D$5:$D$25,'COM Assumptions'!$A111,'COM balance'!Z$5:Z$25)*IFERROR(VLOOKUP($C111,$C$64:$AH$78,Z$63,FALSE),1)</f>
        <v>0</v>
      </c>
      <c r="AA111" s="10">
        <f ca="1">SUMIFS(AA$3:AA$61,$A$3:$A$61,$A111,$D$3:$D$61,$B111)*SUMIF('COM balance'!$D$5:$D$25,'COM Assumptions'!$A111,'COM balance'!AA$5:AA$25)*IFERROR(VLOOKUP($C111,$C$64:$AH$78,AA$63,FALSE),1)</f>
        <v>0</v>
      </c>
      <c r="AB111" s="10">
        <f ca="1">SUMIFS(AB$3:AB$61,$A$3:$A$61,$A111,$D$3:$D$61,$B111)*SUMIF('COM balance'!$D$5:$D$25,'COM Assumptions'!$A111,'COM balance'!AB$5:AB$25)*IFERROR(VLOOKUP($C111,$C$64:$AH$78,AB$63,FALSE),1)</f>
        <v>0</v>
      </c>
      <c r="AC111" s="10">
        <f ca="1">SUMIFS(AC$3:AC$61,$A$3:$A$61,$A111,$D$3:$D$61,$B111)*SUMIF('COM balance'!$D$5:$D$25,'COM Assumptions'!$A111,'COM balance'!AC$5:AC$25)*IFERROR(VLOOKUP($C111,$C$64:$AH$78,AC$63,FALSE),1)</f>
        <v>0</v>
      </c>
      <c r="AD111" s="10">
        <f ca="1">SUMIFS(AD$3:AD$61,$A$3:$A$61,$A111,$D$3:$D$61,$B111)*SUMIF('COM balance'!$D$5:$D$25,'COM Assumptions'!$A111,'COM balance'!AD$5:AD$25)*IFERROR(VLOOKUP($C111,$C$64:$AH$78,AD$63,FALSE),1)</f>
        <v>0</v>
      </c>
      <c r="AE111" s="10">
        <f ca="1">SUMIFS(AE$3:AE$61,$A$3:$A$61,$A111,$D$3:$D$61,$B111)*SUMIF('COM balance'!$D$5:$D$25,'COM Assumptions'!$A111,'COM balance'!AE$5:AE$25)*IFERROR(VLOOKUP($C111,$C$64:$AH$78,AE$63,FALSE),1)</f>
        <v>0</v>
      </c>
      <c r="AF111" s="10">
        <f ca="1">SUMIFS(AF$3:AF$61,$A$3:$A$61,$A111,$D$3:$D$61,$B111)*SUMIF('COM balance'!$D$5:$D$25,'COM Assumptions'!$A111,'COM balance'!AF$5:AF$25)*IFERROR(VLOOKUP($C111,$C$64:$AH$78,AF$63,FALSE),1)</f>
        <v>0</v>
      </c>
      <c r="AG111" s="10">
        <f ca="1">SUMIFS(AG$3:AG$61,$A$3:$A$61,$A111,$D$3:$D$61,$B111)*SUMIF('COM balance'!$D$5:$D$25,'COM Assumptions'!$A111,'COM balance'!AG$5:AG$25)*IFERROR(VLOOKUP($C111,$C$64:$AH$78,AG$63,FALSE),1)</f>
        <v>0</v>
      </c>
      <c r="AH111" s="10">
        <f ca="1">SUMIFS(AH$3:AH$61,$A$3:$A$61,$A111,$D$3:$D$61,$B111)*SUMIF('COM balance'!$D$5:$D$25,'COM Assumptions'!$A111,'COM balance'!AH$5:AH$25)*IFERROR(VLOOKUP($C111,$C$64:$AH$78,AH$63,FALSE),1)</f>
        <v>0</v>
      </c>
      <c r="AI111" s="10"/>
    </row>
    <row r="112" spans="1:43" x14ac:dyDescent="0.45">
      <c r="A112" s="8" t="str">
        <f t="shared" ref="A112:A127" si="43">"COM"&amp;VLOOKUP(RIGHT(C112,3),$AJ$81:$AM$105,2,FALSE)</f>
        <v>COMHET</v>
      </c>
      <c r="B112" s="8" t="str">
        <f t="shared" si="41"/>
        <v>CHW</v>
      </c>
      <c r="C112" s="8" t="str">
        <f>SUBSTITUTE(SUBSTITUTE(SUBSTITUTE('COM Veda input'!B35,"CC1","CL"),"000",""),"CH1","CH")</f>
        <v>CHWHET</v>
      </c>
      <c r="E112" s="10">
        <f ca="1">SUMIFS(E$3:E$61,$A$3:$A$61,$A112,$D$3:$D$61,$B112)*SUMIF('COM balance'!$D$5:$D$25,'COM Assumptions'!$A112,'COM balance'!E$5:E$25)*IFERROR(VLOOKUP($C112,$C$64:$AH$78,E$63,FALSE),1)</f>
        <v>0</v>
      </c>
      <c r="F112" s="10">
        <f ca="1">SUMIFS(F$3:F$61,$A$3:$A$61,$A112,$D$3:$D$61,$B112)*SUMIF('COM balance'!$D$5:$D$25,'COM Assumptions'!$A112,'COM balance'!F$5:F$25)*IFERROR(VLOOKUP($C112,$C$64:$AH$78,F$63,FALSE),1)</f>
        <v>0</v>
      </c>
      <c r="G112" s="10">
        <f ca="1">SUMIFS(G$3:G$61,$A$3:$A$61,$A112,$D$3:$D$61,$B112)*SUMIF('COM balance'!$D$5:$D$25,'COM Assumptions'!$A112,'COM balance'!G$5:G$25)*IFERROR(VLOOKUP($C112,$C$64:$AH$78,G$63,FALSE),1)</f>
        <v>0</v>
      </c>
      <c r="H112" s="10">
        <f ca="1">SUMIFS(H$3:H$61,$A$3:$A$61,$A112,$D$3:$D$61,$B112)*SUMIF('COM balance'!$D$5:$D$25,'COM Assumptions'!$A112,'COM balance'!H$5:H$25)*IFERROR(VLOOKUP($C112,$C$64:$AH$78,H$63,FALSE),1)</f>
        <v>0</v>
      </c>
      <c r="I112" s="10">
        <f ca="1">SUMIFS(I$3:I$61,$A$3:$A$61,$A112,$D$3:$D$61,$B112)*SUMIF('COM balance'!$D$5:$D$25,'COM Assumptions'!$A112,'COM balance'!I$5:I$25)*IFERROR(VLOOKUP($C112,$C$64:$AH$78,I$63,FALSE),1)</f>
        <v>0</v>
      </c>
      <c r="J112" s="10">
        <f ca="1">SUMIFS(J$3:J$61,$A$3:$A$61,$A112,$D$3:$D$61,$B112)*SUMIF('COM balance'!$D$5:$D$25,'COM Assumptions'!$A112,'COM balance'!J$5:J$25)*IFERROR(VLOOKUP($C112,$C$64:$AH$78,J$63,FALSE),1)</f>
        <v>3.1377721392000004</v>
      </c>
      <c r="K112" s="10">
        <f ca="1">SUMIFS(K$3:K$61,$A$3:$A$61,$A112,$D$3:$D$61,$B112)*SUMIF('COM balance'!$D$5:$D$25,'COM Assumptions'!$A112,'COM balance'!K$5:K$25)*IFERROR(VLOOKUP($C112,$C$64:$AH$78,K$63,FALSE),1)</f>
        <v>0</v>
      </c>
      <c r="L112" s="10">
        <f ca="1">SUMIFS(L$3:L$61,$A$3:$A$61,$A112,$D$3:$D$61,$B112)*SUMIF('COM balance'!$D$5:$D$25,'COM Assumptions'!$A112,'COM balance'!L$5:L$25)*IFERROR(VLOOKUP($C112,$C$64:$AH$78,L$63,FALSE),1)</f>
        <v>0</v>
      </c>
      <c r="M112" s="10">
        <f ca="1">SUMIFS(M$3:M$61,$A$3:$A$61,$A112,$D$3:$D$61,$B112)*SUMIF('COM balance'!$D$5:$D$25,'COM Assumptions'!$A112,'COM balance'!M$5:M$25)*IFERROR(VLOOKUP($C112,$C$64:$AH$78,M$63,FALSE),1)</f>
        <v>0</v>
      </c>
      <c r="N112" s="10">
        <f ca="1">SUMIFS(N$3:N$61,$A$3:$A$61,$A112,$D$3:$D$61,$B112)*SUMIF('COM balance'!$D$5:$D$25,'COM Assumptions'!$A112,'COM balance'!N$5:N$25)*IFERROR(VLOOKUP($C112,$C$64:$AH$78,N$63,FALSE),1)</f>
        <v>0</v>
      </c>
      <c r="O112" s="10">
        <f ca="1">SUMIFS(O$3:O$61,$A$3:$A$61,$A112,$D$3:$D$61,$B112)*SUMIF('COM balance'!$D$5:$D$25,'COM Assumptions'!$A112,'COM balance'!O$5:O$25)*IFERROR(VLOOKUP($C112,$C$64:$AH$78,O$63,FALSE),1)</f>
        <v>0</v>
      </c>
      <c r="P112" s="10">
        <f ca="1">SUMIFS(P$3:P$61,$A$3:$A$61,$A112,$D$3:$D$61,$B112)*SUMIF('COM balance'!$D$5:$D$25,'COM Assumptions'!$A112,'COM balance'!P$5:P$25)*IFERROR(VLOOKUP($C112,$C$64:$AH$78,P$63,FALSE),1)</f>
        <v>0</v>
      </c>
      <c r="Q112" s="10">
        <f ca="1">SUMIFS(Q$3:Q$61,$A$3:$A$61,$A112,$D$3:$D$61,$B112)*SUMIF('COM balance'!$D$5:$D$25,'COM Assumptions'!$A112,'COM balance'!Q$5:Q$25)*IFERROR(VLOOKUP($C112,$C$64:$AH$78,Q$63,FALSE),1)</f>
        <v>0</v>
      </c>
      <c r="R112" s="10">
        <f ca="1">SUMIFS(R$3:R$61,$A$3:$A$61,$A112,$D$3:$D$61,$B112)*SUMIF('COM balance'!$D$5:$D$25,'COM Assumptions'!$A112,'COM balance'!R$5:R$25)*IFERROR(VLOOKUP($C112,$C$64:$AH$78,R$63,FALSE),1)</f>
        <v>0</v>
      </c>
      <c r="S112" s="10">
        <f ca="1">SUMIFS(S$3:S$61,$A$3:$A$61,$A112,$D$3:$D$61,$B112)*SUMIF('COM balance'!$D$5:$D$25,'COM Assumptions'!$A112,'COM balance'!S$5:S$25)*IFERROR(VLOOKUP($C112,$C$64:$AH$78,S$63,FALSE),1)</f>
        <v>0</v>
      </c>
      <c r="T112" s="10">
        <f ca="1">SUMIFS(T$3:T$61,$A$3:$A$61,$A112,$D$3:$D$61,$B112)*SUMIF('COM balance'!$D$5:$D$25,'COM Assumptions'!$A112,'COM balance'!T$5:T$25)*IFERROR(VLOOKUP($C112,$C$64:$AH$78,T$63,FALSE),1)</f>
        <v>0</v>
      </c>
      <c r="U112" s="10">
        <f ca="1">SUMIFS(U$3:U$61,$A$3:$A$61,$A112,$D$3:$D$61,$B112)*SUMIF('COM balance'!$D$5:$D$25,'COM Assumptions'!$A112,'COM balance'!U$5:U$25)*IFERROR(VLOOKUP($C112,$C$64:$AH$78,U$63,FALSE),1)</f>
        <v>0</v>
      </c>
      <c r="V112" s="10">
        <f ca="1">SUMIFS(V$3:V$61,$A$3:$A$61,$A112,$D$3:$D$61,$B112)*SUMIF('COM balance'!$D$5:$D$25,'COM Assumptions'!$A112,'COM balance'!V$5:V$25)*IFERROR(VLOOKUP($C112,$C$64:$AH$78,V$63,FALSE),1)</f>
        <v>0</v>
      </c>
      <c r="W112" s="10">
        <f ca="1">SUMIFS(W$3:W$61,$A$3:$A$61,$A112,$D$3:$D$61,$B112)*SUMIF('COM balance'!$D$5:$D$25,'COM Assumptions'!$A112,'COM balance'!W$5:W$25)*IFERROR(VLOOKUP($C112,$C$64:$AH$78,W$63,FALSE),1)</f>
        <v>0</v>
      </c>
      <c r="X112" s="10">
        <f ca="1">SUMIFS(X$3:X$61,$A$3:$A$61,$A112,$D$3:$D$61,$B112)*SUMIF('COM balance'!$D$5:$D$25,'COM Assumptions'!$A112,'COM balance'!X$5:X$25)*IFERROR(VLOOKUP($C112,$C$64:$AH$78,X$63,FALSE),1)</f>
        <v>0</v>
      </c>
      <c r="Y112" s="10">
        <f ca="1">SUMIFS(Y$3:Y$61,$A$3:$A$61,$A112,$D$3:$D$61,$B112)*SUMIF('COM balance'!$D$5:$D$25,'COM Assumptions'!$A112,'COM balance'!Y$5:Y$25)*IFERROR(VLOOKUP($C112,$C$64:$AH$78,Y$63,FALSE),1)</f>
        <v>0</v>
      </c>
      <c r="Z112" s="10">
        <f ca="1">SUMIFS(Z$3:Z$61,$A$3:$A$61,$A112,$D$3:$D$61,$B112)*SUMIF('COM balance'!$D$5:$D$25,'COM Assumptions'!$A112,'COM balance'!Z$5:Z$25)*IFERROR(VLOOKUP($C112,$C$64:$AH$78,Z$63,FALSE),1)</f>
        <v>0</v>
      </c>
      <c r="AA112" s="10">
        <f ca="1">SUMIFS(AA$3:AA$61,$A$3:$A$61,$A112,$D$3:$D$61,$B112)*SUMIF('COM balance'!$D$5:$D$25,'COM Assumptions'!$A112,'COM balance'!AA$5:AA$25)*IFERROR(VLOOKUP($C112,$C$64:$AH$78,AA$63,FALSE),1)</f>
        <v>0</v>
      </c>
      <c r="AB112" s="10">
        <f ca="1">SUMIFS(AB$3:AB$61,$A$3:$A$61,$A112,$D$3:$D$61,$B112)*SUMIF('COM balance'!$D$5:$D$25,'COM Assumptions'!$A112,'COM balance'!AB$5:AB$25)*IFERROR(VLOOKUP($C112,$C$64:$AH$78,AB$63,FALSE),1)</f>
        <v>0</v>
      </c>
      <c r="AC112" s="10">
        <f ca="1">SUMIFS(AC$3:AC$61,$A$3:$A$61,$A112,$D$3:$D$61,$B112)*SUMIF('COM balance'!$D$5:$D$25,'COM Assumptions'!$A112,'COM balance'!AC$5:AC$25)*IFERROR(VLOOKUP($C112,$C$64:$AH$78,AC$63,FALSE),1)</f>
        <v>0</v>
      </c>
      <c r="AD112" s="10">
        <f ca="1">SUMIFS(AD$3:AD$61,$A$3:$A$61,$A112,$D$3:$D$61,$B112)*SUMIF('COM balance'!$D$5:$D$25,'COM Assumptions'!$A112,'COM balance'!AD$5:AD$25)*IFERROR(VLOOKUP($C112,$C$64:$AH$78,AD$63,FALSE),1)</f>
        <v>0</v>
      </c>
      <c r="AE112" s="10">
        <f ca="1">SUMIFS(AE$3:AE$61,$A$3:$A$61,$A112,$D$3:$D$61,$B112)*SUMIF('COM balance'!$D$5:$D$25,'COM Assumptions'!$A112,'COM balance'!AE$5:AE$25)*IFERROR(VLOOKUP($C112,$C$64:$AH$78,AE$63,FALSE),1)</f>
        <v>0</v>
      </c>
      <c r="AF112" s="10">
        <f ca="1">SUMIFS(AF$3:AF$61,$A$3:$A$61,$A112,$D$3:$D$61,$B112)*SUMIF('COM balance'!$D$5:$D$25,'COM Assumptions'!$A112,'COM balance'!AF$5:AF$25)*IFERROR(VLOOKUP($C112,$C$64:$AH$78,AF$63,FALSE),1)</f>
        <v>0</v>
      </c>
      <c r="AG112" s="10">
        <f ca="1">SUMIFS(AG$3:AG$61,$A$3:$A$61,$A112,$D$3:$D$61,$B112)*SUMIF('COM balance'!$D$5:$D$25,'COM Assumptions'!$A112,'COM balance'!AG$5:AG$25)*IFERROR(VLOOKUP($C112,$C$64:$AH$78,AG$63,FALSE),1)</f>
        <v>0</v>
      </c>
      <c r="AH112" s="10">
        <f ca="1">SUMIFS(AH$3:AH$61,$A$3:$A$61,$A112,$D$3:$D$61,$B112)*SUMIF('COM balance'!$D$5:$D$25,'COM Assumptions'!$A112,'COM balance'!AH$5:AH$25)*IFERROR(VLOOKUP($C112,$C$64:$AH$78,AH$63,FALSE),1)</f>
        <v>0</v>
      </c>
      <c r="AI112" s="10"/>
    </row>
    <row r="113" spans="1:35" x14ac:dyDescent="0.45">
      <c r="A113" s="8" t="str">
        <f t="shared" si="43"/>
        <v>COMKER</v>
      </c>
      <c r="B113" s="8" t="str">
        <f t="shared" si="41"/>
        <v>CHW</v>
      </c>
      <c r="C113" s="8" t="str">
        <f>SUBSTITUTE(SUBSTITUTE(SUBSTITUTE('COM Veda input'!B36,"CC1","CL"),"000",""),"CH1","CH")</f>
        <v>CHWKER</v>
      </c>
      <c r="E113" s="10">
        <f ca="1">SUMIFS(E$3:E$61,$A$3:$A$61,$A113,$D$3:$D$61,$B113)*SUMIF('COM balance'!$D$5:$D$25,'COM Assumptions'!$A113,'COM balance'!E$5:E$25)*IFERROR(VLOOKUP($C113,$C$64:$AH$78,E$63,FALSE),1)</f>
        <v>0</v>
      </c>
      <c r="F113" s="10">
        <f ca="1">SUMIFS(F$3:F$61,$A$3:$A$61,$A113,$D$3:$D$61,$B113)*SUMIF('COM balance'!$D$5:$D$25,'COM Assumptions'!$A113,'COM balance'!F$5:F$25)*IFERROR(VLOOKUP($C113,$C$64:$AH$78,F$63,FALSE),1)</f>
        <v>0</v>
      </c>
      <c r="G113" s="10">
        <f ca="1">SUMIFS(G$3:G$61,$A$3:$A$61,$A113,$D$3:$D$61,$B113)*SUMIF('COM balance'!$D$5:$D$25,'COM Assumptions'!$A113,'COM balance'!G$5:G$25)*IFERROR(VLOOKUP($C113,$C$64:$AH$78,G$63,FALSE),1)</f>
        <v>0</v>
      </c>
      <c r="H113" s="10">
        <f ca="1">SUMIFS(H$3:H$61,$A$3:$A$61,$A113,$D$3:$D$61,$B113)*SUMIF('COM balance'!$D$5:$D$25,'COM Assumptions'!$A113,'COM balance'!H$5:H$25)*IFERROR(VLOOKUP($C113,$C$64:$AH$78,H$63,FALSE),1)</f>
        <v>4.3668324000000003E-3</v>
      </c>
      <c r="I113" s="10">
        <f ca="1">SUMIFS(I$3:I$61,$A$3:$A$61,$A113,$D$3:$D$61,$B113)*SUMIF('COM balance'!$D$5:$D$25,'COM Assumptions'!$A113,'COM balance'!I$5:I$25)*IFERROR(VLOOKUP($C113,$C$64:$AH$78,I$63,FALSE),1)</f>
        <v>60.653312468640003</v>
      </c>
      <c r="J113" s="10">
        <f ca="1">SUMIFS(J$3:J$61,$A$3:$A$61,$A113,$D$3:$D$61,$B113)*SUMIF('COM balance'!$D$5:$D$25,'COM Assumptions'!$A113,'COM balance'!J$5:J$25)*IFERROR(VLOOKUP($C113,$C$64:$AH$78,J$63,FALSE),1)</f>
        <v>0</v>
      </c>
      <c r="K113" s="10">
        <f ca="1">SUMIFS(K$3:K$61,$A$3:$A$61,$A113,$D$3:$D$61,$B113)*SUMIF('COM balance'!$D$5:$D$25,'COM Assumptions'!$A113,'COM balance'!K$5:K$25)*IFERROR(VLOOKUP($C113,$C$64:$AH$78,K$63,FALSE),1)</f>
        <v>0</v>
      </c>
      <c r="L113" s="10">
        <f ca="1">SUMIFS(L$3:L$61,$A$3:$A$61,$A113,$D$3:$D$61,$B113)*SUMIF('COM balance'!$D$5:$D$25,'COM Assumptions'!$A113,'COM balance'!L$5:L$25)*IFERROR(VLOOKUP($C113,$C$64:$AH$78,L$63,FALSE),1)</f>
        <v>0</v>
      </c>
      <c r="M113" s="10">
        <f ca="1">SUMIFS(M$3:M$61,$A$3:$A$61,$A113,$D$3:$D$61,$B113)*SUMIF('COM balance'!$D$5:$D$25,'COM Assumptions'!$A113,'COM balance'!M$5:M$25)*IFERROR(VLOOKUP($C113,$C$64:$AH$78,M$63,FALSE),1)</f>
        <v>1.2334078339200001</v>
      </c>
      <c r="N113" s="10">
        <f ca="1">SUMIFS(N$3:N$61,$A$3:$A$61,$A113,$D$3:$D$61,$B113)*SUMIF('COM balance'!$D$5:$D$25,'COM Assumptions'!$A113,'COM balance'!N$5:N$25)*IFERROR(VLOOKUP($C113,$C$64:$AH$78,N$63,FALSE),1)</f>
        <v>12.741378198120001</v>
      </c>
      <c r="O113" s="10">
        <f ca="1">SUMIFS(O$3:O$61,$A$3:$A$61,$A113,$D$3:$D$61,$B113)*SUMIF('COM balance'!$D$5:$D$25,'COM Assumptions'!$A113,'COM balance'!O$5:O$25)*IFERROR(VLOOKUP($C113,$C$64:$AH$78,O$63,FALSE),1)</f>
        <v>1.02430062E-2</v>
      </c>
      <c r="P113" s="10">
        <f ca="1">SUMIFS(P$3:P$61,$A$3:$A$61,$A113,$D$3:$D$61,$B113)*SUMIF('COM balance'!$D$5:$D$25,'COM Assumptions'!$A113,'COM balance'!P$5:P$25)*IFERROR(VLOOKUP($C113,$C$64:$AH$78,P$63,FALSE),1)</f>
        <v>1.4193252E-4</v>
      </c>
      <c r="Q113" s="10">
        <f ca="1">SUMIFS(Q$3:Q$61,$A$3:$A$61,$A113,$D$3:$D$61,$B113)*SUMIF('COM balance'!$D$5:$D$25,'COM Assumptions'!$A113,'COM balance'!Q$5:Q$25)*IFERROR(VLOOKUP($C113,$C$64:$AH$78,Q$63,FALSE),1)</f>
        <v>1.0678625992799999</v>
      </c>
      <c r="R113" s="10">
        <f ca="1">SUMIFS(R$3:R$61,$A$3:$A$61,$A113,$D$3:$D$61,$B113)*SUMIF('COM balance'!$D$5:$D$25,'COM Assumptions'!$A113,'COM balance'!R$5:R$25)*IFERROR(VLOOKUP($C113,$C$64:$AH$78,R$63,FALSE),1)</f>
        <v>3.02517234E-2</v>
      </c>
      <c r="S113" s="10">
        <f ca="1">SUMIFS(S$3:S$61,$A$3:$A$61,$A113,$D$3:$D$61,$B113)*SUMIF('COM balance'!$D$5:$D$25,'COM Assumptions'!$A113,'COM balance'!S$5:S$25)*IFERROR(VLOOKUP($C113,$C$64:$AH$78,S$63,FALSE),1)</f>
        <v>1.27823004E-3</v>
      </c>
      <c r="T113" s="10">
        <f ca="1">SUMIFS(T$3:T$61,$A$3:$A$61,$A113,$D$3:$D$61,$B113)*SUMIF('COM balance'!$D$5:$D$25,'COM Assumptions'!$A113,'COM balance'!T$5:T$25)*IFERROR(VLOOKUP($C113,$C$64:$AH$78,T$63,FALSE),1)</f>
        <v>2.6376840000000001E-5</v>
      </c>
      <c r="U113" s="10">
        <f ca="1">SUMIFS(U$3:U$61,$A$3:$A$61,$A113,$D$3:$D$61,$B113)*SUMIF('COM balance'!$D$5:$D$25,'COM Assumptions'!$A113,'COM balance'!U$5:U$25)*IFERROR(VLOOKUP($C113,$C$64:$AH$78,U$63,FALSE),1)</f>
        <v>0</v>
      </c>
      <c r="V113" s="10">
        <f ca="1">SUMIFS(V$3:V$61,$A$3:$A$61,$A113,$D$3:$D$61,$B113)*SUMIF('COM balance'!$D$5:$D$25,'COM Assumptions'!$A113,'COM balance'!V$5:V$25)*IFERROR(VLOOKUP($C113,$C$64:$AH$78,V$63,FALSE),1)</f>
        <v>0</v>
      </c>
      <c r="W113" s="10">
        <f ca="1">SUMIFS(W$3:W$61,$A$3:$A$61,$A113,$D$3:$D$61,$B113)*SUMIF('COM balance'!$D$5:$D$25,'COM Assumptions'!$A113,'COM balance'!W$5:W$25)*IFERROR(VLOOKUP($C113,$C$64:$AH$78,W$63,FALSE),1)</f>
        <v>0</v>
      </c>
      <c r="X113" s="10">
        <f ca="1">SUMIFS(X$3:X$61,$A$3:$A$61,$A113,$D$3:$D$61,$B113)*SUMIF('COM balance'!$D$5:$D$25,'COM Assumptions'!$A113,'COM balance'!X$5:X$25)*IFERROR(VLOOKUP($C113,$C$64:$AH$78,X$63,FALSE),1)</f>
        <v>0</v>
      </c>
      <c r="Y113" s="10">
        <f ca="1">SUMIFS(Y$3:Y$61,$A$3:$A$61,$A113,$D$3:$D$61,$B113)*SUMIF('COM balance'!$D$5:$D$25,'COM Assumptions'!$A113,'COM balance'!Y$5:Y$25)*IFERROR(VLOOKUP($C113,$C$64:$AH$78,Y$63,FALSE),1)</f>
        <v>0</v>
      </c>
      <c r="Z113" s="10">
        <f ca="1">SUMIFS(Z$3:Z$61,$A$3:$A$61,$A113,$D$3:$D$61,$B113)*SUMIF('COM balance'!$D$5:$D$25,'COM Assumptions'!$A113,'COM balance'!Z$5:Z$25)*IFERROR(VLOOKUP($C113,$C$64:$AH$78,Z$63,FALSE),1)</f>
        <v>0</v>
      </c>
      <c r="AA113" s="10">
        <f ca="1">SUMIFS(AA$3:AA$61,$A$3:$A$61,$A113,$D$3:$D$61,$B113)*SUMIF('COM balance'!$D$5:$D$25,'COM Assumptions'!$A113,'COM balance'!AA$5:AA$25)*IFERROR(VLOOKUP($C113,$C$64:$AH$78,AA$63,FALSE),1)</f>
        <v>0</v>
      </c>
      <c r="AB113" s="10">
        <f ca="1">SUMIFS(AB$3:AB$61,$A$3:$A$61,$A113,$D$3:$D$61,$B113)*SUMIF('COM balance'!$D$5:$D$25,'COM Assumptions'!$A113,'COM balance'!AB$5:AB$25)*IFERROR(VLOOKUP($C113,$C$64:$AH$78,AB$63,FALSE),1)</f>
        <v>2.0599055999999998E-4</v>
      </c>
      <c r="AC113" s="10">
        <f ca="1">SUMIFS(AC$3:AC$61,$A$3:$A$61,$A113,$D$3:$D$61,$B113)*SUMIF('COM balance'!$D$5:$D$25,'COM Assumptions'!$A113,'COM balance'!AC$5:AC$25)*IFERROR(VLOOKUP($C113,$C$64:$AH$78,AC$63,FALSE),1)</f>
        <v>0</v>
      </c>
      <c r="AD113" s="10">
        <f ca="1">SUMIFS(AD$3:AD$61,$A$3:$A$61,$A113,$D$3:$D$61,$B113)*SUMIF('COM balance'!$D$5:$D$25,'COM Assumptions'!$A113,'COM balance'!AD$5:AD$25)*IFERROR(VLOOKUP($C113,$C$64:$AH$78,AD$63,FALSE),1)</f>
        <v>0</v>
      </c>
      <c r="AE113" s="10">
        <f ca="1">SUMIFS(AE$3:AE$61,$A$3:$A$61,$A113,$D$3:$D$61,$B113)*SUMIF('COM balance'!$D$5:$D$25,'COM Assumptions'!$A113,'COM balance'!AE$5:AE$25)*IFERROR(VLOOKUP($C113,$C$64:$AH$78,AE$63,FALSE),1)</f>
        <v>0</v>
      </c>
      <c r="AF113" s="10">
        <f ca="1">SUMIFS(AF$3:AF$61,$A$3:$A$61,$A113,$D$3:$D$61,$B113)*SUMIF('COM balance'!$D$5:$D$25,'COM Assumptions'!$A113,'COM balance'!AF$5:AF$25)*IFERROR(VLOOKUP($C113,$C$64:$AH$78,AF$63,FALSE),1)</f>
        <v>10.24260049908</v>
      </c>
      <c r="AG113" s="10">
        <f ca="1">SUMIFS(AG$3:AG$61,$A$3:$A$61,$A113,$D$3:$D$61,$B113)*SUMIF('COM balance'!$D$5:$D$25,'COM Assumptions'!$A113,'COM balance'!AG$5:AG$25)*IFERROR(VLOOKUP($C113,$C$64:$AH$78,AG$63,FALSE),1)</f>
        <v>0</v>
      </c>
      <c r="AH113" s="10">
        <f ca="1">SUMIFS(AH$3:AH$61,$A$3:$A$61,$A113,$D$3:$D$61,$B113)*SUMIF('COM balance'!$D$5:$D$25,'COM Assumptions'!$A113,'COM balance'!AH$5:AH$25)*IFERROR(VLOOKUP($C113,$C$64:$AH$78,AH$63,FALSE),1)</f>
        <v>0</v>
      </c>
      <c r="AI113" s="10"/>
    </row>
    <row r="114" spans="1:35" x14ac:dyDescent="0.45">
      <c r="A114" s="8" t="str">
        <f t="shared" si="43"/>
        <v>COMLPG</v>
      </c>
      <c r="B114" s="8" t="str">
        <f t="shared" si="41"/>
        <v>CHW</v>
      </c>
      <c r="C114" s="8" t="str">
        <f>SUBSTITUTE(SUBSTITUTE(SUBSTITUTE('COM Veda input'!B37,"CC1","CL"),"000",""),"CH1","CH")</f>
        <v>CHWLPG</v>
      </c>
      <c r="E114" s="10">
        <f ca="1">SUMIFS(E$3:E$61,$A$3:$A$61,$A114,$D$3:$D$61,$B114)*SUMIF('COM balance'!$D$5:$D$25,'COM Assumptions'!$A114,'COM balance'!E$5:E$25)*IFERROR(VLOOKUP($C114,$C$64:$AH$78,E$63,FALSE),1)</f>
        <v>0.63671389020000002</v>
      </c>
      <c r="F114" s="10">
        <f ca="1">SUMIFS(F$3:F$61,$A$3:$A$61,$A114,$D$3:$D$61,$B114)*SUMIF('COM balance'!$D$5:$D$25,'COM Assumptions'!$A114,'COM balance'!F$5:F$25)*IFERROR(VLOOKUP($C114,$C$64:$AH$78,F$63,FALSE),1)</f>
        <v>1.5511340376</v>
      </c>
      <c r="G114" s="10">
        <f ca="1">SUMIFS(G$3:G$61,$A$3:$A$61,$A114,$D$3:$D$61,$B114)*SUMIF('COM balance'!$D$5:$D$25,'COM Assumptions'!$A114,'COM balance'!G$5:G$25)*IFERROR(VLOOKUP($C114,$C$64:$AH$78,G$63,FALSE),1)</f>
        <v>1.7510838825600001</v>
      </c>
      <c r="H114" s="10">
        <f ca="1">SUMIFS(H$3:H$61,$A$3:$A$61,$A114,$D$3:$D$61,$B114)*SUMIF('COM balance'!$D$5:$D$25,'COM Assumptions'!$A114,'COM balance'!H$5:H$25)*IFERROR(VLOOKUP($C114,$C$64:$AH$78,H$63,FALSE),1)</f>
        <v>0.40459864634921827</v>
      </c>
      <c r="I114" s="10">
        <f ca="1">SUMIFS(I$3:I$61,$A$3:$A$61,$A114,$D$3:$D$61,$B114)*SUMIF('COM balance'!$D$5:$D$25,'COM Assumptions'!$A114,'COM balance'!I$5:I$25)*IFERROR(VLOOKUP($C114,$C$64:$AH$78,I$63,FALSE),1)</f>
        <v>37.412425861920006</v>
      </c>
      <c r="J114" s="10">
        <f ca="1">SUMIFS(J$3:J$61,$A$3:$A$61,$A114,$D$3:$D$61,$B114)*SUMIF('COM balance'!$D$5:$D$25,'COM Assumptions'!$A114,'COM balance'!J$5:J$25)*IFERROR(VLOOKUP($C114,$C$64:$AH$78,J$63,FALSE),1)</f>
        <v>27.610349991840003</v>
      </c>
      <c r="K114" s="10">
        <f ca="1">SUMIFS(K$3:K$61,$A$3:$A$61,$A114,$D$3:$D$61,$B114)*SUMIF('COM balance'!$D$5:$D$25,'COM Assumptions'!$A114,'COM balance'!K$5:K$25)*IFERROR(VLOOKUP($C114,$C$64:$AH$78,K$63,FALSE),1)</f>
        <v>0.68144314931999994</v>
      </c>
      <c r="L114" s="10">
        <f ca="1">SUMIFS(L$3:L$61,$A$3:$A$61,$A114,$D$3:$D$61,$B114)*SUMIF('COM balance'!$D$5:$D$25,'COM Assumptions'!$A114,'COM balance'!L$5:L$25)*IFERROR(VLOOKUP($C114,$C$64:$AH$78,L$63,FALSE),1)</f>
        <v>2.7314365003200001</v>
      </c>
      <c r="M114" s="10">
        <f ca="1">SUMIFS(M$3:M$61,$A$3:$A$61,$A114,$D$3:$D$61,$B114)*SUMIF('COM balance'!$D$5:$D$25,'COM Assumptions'!$A114,'COM balance'!M$5:M$25)*IFERROR(VLOOKUP($C114,$C$64:$AH$78,M$63,FALSE),1)</f>
        <v>3.5995301243999998</v>
      </c>
      <c r="N114" s="10">
        <f ca="1">SUMIFS(N$3:N$61,$A$3:$A$61,$A114,$D$3:$D$61,$B114)*SUMIF('COM balance'!$D$5:$D$25,'COM Assumptions'!$A114,'COM balance'!N$5:N$25)*IFERROR(VLOOKUP($C114,$C$64:$AH$78,N$63,FALSE),1)</f>
        <v>21.2531147559</v>
      </c>
      <c r="O114" s="10">
        <f ca="1">SUMIFS(O$3:O$61,$A$3:$A$61,$A114,$D$3:$D$61,$B114)*SUMIF('COM balance'!$D$5:$D$25,'COM Assumptions'!$A114,'COM balance'!O$5:O$25)*IFERROR(VLOOKUP($C114,$C$64:$AH$78,O$63,FALSE),1)</f>
        <v>0.27134985743999995</v>
      </c>
      <c r="P114" s="10">
        <f ca="1">SUMIFS(P$3:P$61,$A$3:$A$61,$A114,$D$3:$D$61,$B114)*SUMIF('COM balance'!$D$5:$D$25,'COM Assumptions'!$A114,'COM balance'!P$5:P$25)*IFERROR(VLOOKUP($C114,$C$64:$AH$78,P$63,FALSE),1)</f>
        <v>1.0109367253235848</v>
      </c>
      <c r="Q114" s="10">
        <f ca="1">SUMIFS(Q$3:Q$61,$A$3:$A$61,$A114,$D$3:$D$61,$B114)*SUMIF('COM balance'!$D$5:$D$25,'COM Assumptions'!$A114,'COM balance'!Q$5:Q$25)*IFERROR(VLOOKUP($C114,$C$64:$AH$78,Q$63,FALSE),1)</f>
        <v>2.5444858319999999</v>
      </c>
      <c r="R114" s="10">
        <f ca="1">SUMIFS(R$3:R$61,$A$3:$A$61,$A114,$D$3:$D$61,$B114)*SUMIF('COM balance'!$D$5:$D$25,'COM Assumptions'!$A114,'COM balance'!R$5:R$25)*IFERROR(VLOOKUP($C114,$C$64:$AH$78,R$63,FALSE),1)</f>
        <v>6.6972643138799999</v>
      </c>
      <c r="S114" s="10">
        <f ca="1">SUMIFS(S$3:S$61,$A$3:$A$61,$A114,$D$3:$D$61,$B114)*SUMIF('COM balance'!$D$5:$D$25,'COM Assumptions'!$A114,'COM balance'!S$5:S$25)*IFERROR(VLOOKUP($C114,$C$64:$AH$78,S$63,FALSE),1)</f>
        <v>0.60535861442592398</v>
      </c>
      <c r="T114" s="10">
        <f ca="1">SUMIFS(T$3:T$61,$A$3:$A$61,$A114,$D$3:$D$61,$B114)*SUMIF('COM balance'!$D$5:$D$25,'COM Assumptions'!$A114,'COM balance'!T$5:T$25)*IFERROR(VLOOKUP($C114,$C$64:$AH$78,T$63,FALSE),1)</f>
        <v>3.4360619612400001</v>
      </c>
      <c r="U114" s="10">
        <f ca="1">SUMIFS(U$3:U$61,$A$3:$A$61,$A114,$D$3:$D$61,$B114)*SUMIF('COM balance'!$D$5:$D$25,'COM Assumptions'!$A114,'COM balance'!U$5:U$25)*IFERROR(VLOOKUP($C114,$C$64:$AH$78,U$63,FALSE),1)</f>
        <v>2.9125955682000004</v>
      </c>
      <c r="V114" s="10">
        <f ca="1">SUMIFS(V$3:V$61,$A$3:$A$61,$A114,$D$3:$D$61,$B114)*SUMIF('COM balance'!$D$5:$D$25,'COM Assumptions'!$A114,'COM balance'!V$5:V$25)*IFERROR(VLOOKUP($C114,$C$64:$AH$78,V$63,FALSE),1)</f>
        <v>4.1320927591199998</v>
      </c>
      <c r="W114" s="10">
        <f ca="1">SUMIFS(W$3:W$61,$A$3:$A$61,$A114,$D$3:$D$61,$B114)*SUMIF('COM balance'!$D$5:$D$25,'COM Assumptions'!$A114,'COM balance'!W$5:W$25)*IFERROR(VLOOKUP($C114,$C$64:$AH$78,W$63,FALSE),1)</f>
        <v>2.4978000812399999</v>
      </c>
      <c r="X114" s="10">
        <f ca="1">SUMIFS(X$3:X$61,$A$3:$A$61,$A114,$D$3:$D$61,$B114)*SUMIF('COM balance'!$D$5:$D$25,'COM Assumptions'!$A114,'COM balance'!X$5:X$25)*IFERROR(VLOOKUP($C114,$C$64:$AH$78,X$63,FALSE),1)</f>
        <v>12.366111964680002</v>
      </c>
      <c r="Y114" s="10">
        <f ca="1">SUMIFS(Y$3:Y$61,$A$3:$A$61,$A114,$D$3:$D$61,$B114)*SUMIF('COM balance'!$D$5:$D$25,'COM Assumptions'!$A114,'COM balance'!Y$5:Y$25)*IFERROR(VLOOKUP($C114,$C$64:$AH$78,Y$63,FALSE),1)</f>
        <v>2.7114081051600003</v>
      </c>
      <c r="Z114" s="10">
        <f ca="1">SUMIFS(Z$3:Z$61,$A$3:$A$61,$A114,$D$3:$D$61,$B114)*SUMIF('COM balance'!$D$5:$D$25,'COM Assumptions'!$A114,'COM balance'!Z$5:Z$25)*IFERROR(VLOOKUP($C114,$C$64:$AH$78,Z$63,FALSE),1)</f>
        <v>6.0515525718000003</v>
      </c>
      <c r="AA114" s="10">
        <f ca="1">SUMIFS(AA$3:AA$61,$A$3:$A$61,$A114,$D$3:$D$61,$B114)*SUMIF('COM balance'!$D$5:$D$25,'COM Assumptions'!$A114,'COM balance'!AA$5:AA$25)*IFERROR(VLOOKUP($C114,$C$64:$AH$78,AA$63,FALSE),1)</f>
        <v>1.1134815534</v>
      </c>
      <c r="AB114" s="10">
        <f ca="1">SUMIFS(AB$3:AB$61,$A$3:$A$61,$A114,$D$3:$D$61,$B114)*SUMIF('COM balance'!$D$5:$D$25,'COM Assumptions'!$A114,'COM balance'!AB$5:AB$25)*IFERROR(VLOOKUP($C114,$C$64:$AH$78,AB$63,FALSE),1)</f>
        <v>0.36975682331999998</v>
      </c>
      <c r="AC114" s="10">
        <f ca="1">SUMIFS(AC$3:AC$61,$A$3:$A$61,$A114,$D$3:$D$61,$B114)*SUMIF('COM balance'!$D$5:$D$25,'COM Assumptions'!$A114,'COM balance'!AC$5:AC$25)*IFERROR(VLOOKUP($C114,$C$64:$AH$78,AC$63,FALSE),1)</f>
        <v>0.21583069927947446</v>
      </c>
      <c r="AD114" s="10">
        <f ca="1">SUMIFS(AD$3:AD$61,$A$3:$A$61,$A114,$D$3:$D$61,$B114)*SUMIF('COM balance'!$D$5:$D$25,'COM Assumptions'!$A114,'COM balance'!AD$5:AD$25)*IFERROR(VLOOKUP($C114,$C$64:$AH$78,AD$63,FALSE),1)</f>
        <v>0</v>
      </c>
      <c r="AE114" s="10">
        <f ca="1">SUMIFS(AE$3:AE$61,$A$3:$A$61,$A114,$D$3:$D$61,$B114)*SUMIF('COM balance'!$D$5:$D$25,'COM Assumptions'!$A114,'COM balance'!AE$5:AE$25)*IFERROR(VLOOKUP($C114,$C$64:$AH$78,AE$63,FALSE),1)</f>
        <v>0.15067874520000002</v>
      </c>
      <c r="AF114" s="10">
        <f ca="1">SUMIFS(AF$3:AF$61,$A$3:$A$61,$A114,$D$3:$D$61,$B114)*SUMIF('COM balance'!$D$5:$D$25,'COM Assumptions'!$A114,'COM balance'!AF$5:AF$25)*IFERROR(VLOOKUP($C114,$C$64:$AH$78,AF$63,FALSE),1)</f>
        <v>4.8954121318799997</v>
      </c>
      <c r="AG114" s="10">
        <f ca="1">SUMIFS(AG$3:AG$61,$A$3:$A$61,$A114,$D$3:$D$61,$B114)*SUMIF('COM balance'!$D$5:$D$25,'COM Assumptions'!$A114,'COM balance'!AG$5:AG$25)*IFERROR(VLOOKUP($C114,$C$64:$AH$78,AG$63,FALSE),1)</f>
        <v>15.178680485169087</v>
      </c>
      <c r="AH114" s="10">
        <f ca="1">SUMIFS(AH$3:AH$61,$A$3:$A$61,$A114,$D$3:$D$61,$B114)*SUMIF('COM balance'!$D$5:$D$25,'COM Assumptions'!$A114,'COM balance'!AH$5:AH$25)*IFERROR(VLOOKUP($C114,$C$64:$AH$78,AH$63,FALSE),1)</f>
        <v>0</v>
      </c>
      <c r="AI114" s="10"/>
    </row>
    <row r="115" spans="1:35" x14ac:dyDescent="0.45">
      <c r="A115" s="8" t="str">
        <f t="shared" si="43"/>
        <v>COMNGA</v>
      </c>
      <c r="B115" s="8" t="str">
        <f t="shared" si="41"/>
        <v>CHW</v>
      </c>
      <c r="C115" s="8" t="str">
        <f>SUBSTITUTE(SUBSTITUTE(SUBSTITUTE('COM Veda input'!B38,"CC1","CL"),"000",""),"CH1","CH")</f>
        <v>CHWNGA</v>
      </c>
      <c r="E115" s="10">
        <f ca="1">SUMIFS(E$3:E$61,$A$3:$A$61,$A115,$D$3:$D$61,$B115)*SUMIF('COM balance'!$D$5:$D$25,'COM Assumptions'!$A115,'COM balance'!E$5:E$25)*IFERROR(VLOOKUP($C115,$C$64:$AH$78,E$63,FALSE),1)</f>
        <v>6.3998466022800002</v>
      </c>
      <c r="F115" s="10">
        <f ca="1">SUMIFS(F$3:F$61,$A$3:$A$61,$A115,$D$3:$D$61,$B115)*SUMIF('COM balance'!$D$5:$D$25,'COM Assumptions'!$A115,'COM balance'!F$5:F$25)*IFERROR(VLOOKUP($C115,$C$64:$AH$78,F$63,FALSE),1)</f>
        <v>2.0124272879999999E-2</v>
      </c>
      <c r="G115" s="10">
        <f ca="1">SUMIFS(G$3:G$61,$A$3:$A$61,$A115,$D$3:$D$61,$B115)*SUMIF('COM balance'!$D$5:$D$25,'COM Assumptions'!$A115,'COM balance'!G$5:G$25)*IFERROR(VLOOKUP($C115,$C$64:$AH$78,G$63,FALSE),1)</f>
        <v>11.444701536</v>
      </c>
      <c r="H115" s="10">
        <f ca="1">SUMIFS(H$3:H$61,$A$3:$A$61,$A115,$D$3:$D$61,$B115)*SUMIF('COM balance'!$D$5:$D$25,'COM Assumptions'!$A115,'COM balance'!H$5:H$25)*IFERROR(VLOOKUP($C115,$C$64:$AH$78,H$63,FALSE),1)</f>
        <v>39.338424618840008</v>
      </c>
      <c r="I115" s="10">
        <f ca="1">SUMIFS(I$3:I$61,$A$3:$A$61,$A115,$D$3:$D$61,$B115)*SUMIF('COM balance'!$D$5:$D$25,'COM Assumptions'!$A115,'COM balance'!I$5:I$25)*IFERROR(VLOOKUP($C115,$C$64:$AH$78,I$63,FALSE),1)</f>
        <v>215.48790951292801</v>
      </c>
      <c r="J115" s="10">
        <f ca="1">SUMIFS(J$3:J$61,$A$3:$A$61,$A115,$D$3:$D$61,$B115)*SUMIF('COM balance'!$D$5:$D$25,'COM Assumptions'!$A115,'COM balance'!J$5:J$25)*IFERROR(VLOOKUP($C115,$C$64:$AH$78,J$63,FALSE),1)</f>
        <v>24.177956086080002</v>
      </c>
      <c r="K115" s="10">
        <f ca="1">SUMIFS(K$3:K$61,$A$3:$A$61,$A115,$D$3:$D$61,$B115)*SUMIF('COM balance'!$D$5:$D$25,'COM Assumptions'!$A115,'COM balance'!K$5:K$25)*IFERROR(VLOOKUP($C115,$C$64:$AH$78,K$63,FALSE),1)</f>
        <v>21.626684707319999</v>
      </c>
      <c r="L115" s="10">
        <f ca="1">SUMIFS(L$3:L$61,$A$3:$A$61,$A115,$D$3:$D$61,$B115)*SUMIF('COM balance'!$D$5:$D$25,'COM Assumptions'!$A115,'COM balance'!L$5:L$25)*IFERROR(VLOOKUP($C115,$C$64:$AH$78,L$63,FALSE),1)</f>
        <v>1.23119469144</v>
      </c>
      <c r="M115" s="10">
        <f ca="1">SUMIFS(M$3:M$61,$A$3:$A$61,$A115,$D$3:$D$61,$B115)*SUMIF('COM balance'!$D$5:$D$25,'COM Assumptions'!$A115,'COM balance'!M$5:M$25)*IFERROR(VLOOKUP($C115,$C$64:$AH$78,M$63,FALSE),1)</f>
        <v>88.88965500258</v>
      </c>
      <c r="N115" s="10">
        <f ca="1">SUMIFS(N$3:N$61,$A$3:$A$61,$A115,$D$3:$D$61,$B115)*SUMIF('COM balance'!$D$5:$D$25,'COM Assumptions'!$A115,'COM balance'!N$5:N$25)*IFERROR(VLOOKUP($C115,$C$64:$AH$78,N$63,FALSE),1)</f>
        <v>133.1400756681</v>
      </c>
      <c r="O115" s="10">
        <f ca="1">SUMIFS(O$3:O$61,$A$3:$A$61,$A115,$D$3:$D$61,$B115)*SUMIF('COM balance'!$D$5:$D$25,'COM Assumptions'!$A115,'COM balance'!O$5:O$25)*IFERROR(VLOOKUP($C115,$C$64:$AH$78,O$63,FALSE),1)</f>
        <v>3.9619995711120004</v>
      </c>
      <c r="P115" s="10">
        <f ca="1">SUMIFS(P$3:P$61,$A$3:$A$61,$A115,$D$3:$D$61,$B115)*SUMIF('COM balance'!$D$5:$D$25,'COM Assumptions'!$A115,'COM balance'!P$5:P$25)*IFERROR(VLOOKUP($C115,$C$64:$AH$78,P$63,FALSE),1)</f>
        <v>15.251478679080002</v>
      </c>
      <c r="Q115" s="10">
        <f ca="1">SUMIFS(Q$3:Q$61,$A$3:$A$61,$A115,$D$3:$D$61,$B115)*SUMIF('COM balance'!$D$5:$D$25,'COM Assumptions'!$A115,'COM balance'!Q$5:Q$25)*IFERROR(VLOOKUP($C115,$C$64:$AH$78,Q$63,FALSE),1)</f>
        <v>59.551963089336006</v>
      </c>
      <c r="R115" s="10">
        <f ca="1">SUMIFS(R$3:R$61,$A$3:$A$61,$A115,$D$3:$D$61,$B115)*SUMIF('COM balance'!$D$5:$D$25,'COM Assumptions'!$A115,'COM balance'!R$5:R$25)*IFERROR(VLOOKUP($C115,$C$64:$AH$78,R$63,FALSE),1)</f>
        <v>82.304994549096008</v>
      </c>
      <c r="S115" s="10">
        <f ca="1">SUMIFS(S$3:S$61,$A$3:$A$61,$A115,$D$3:$D$61,$B115)*SUMIF('COM balance'!$D$5:$D$25,'COM Assumptions'!$A115,'COM balance'!S$5:S$25)*IFERROR(VLOOKUP($C115,$C$64:$AH$78,S$63,FALSE),1)</f>
        <v>9.2445456722399992</v>
      </c>
      <c r="T115" s="10">
        <f ca="1">SUMIFS(T$3:T$61,$A$3:$A$61,$A115,$D$3:$D$61,$B115)*SUMIF('COM balance'!$D$5:$D$25,'COM Assumptions'!$A115,'COM balance'!T$5:T$25)*IFERROR(VLOOKUP($C115,$C$64:$AH$78,T$63,FALSE),1)</f>
        <v>25.382892465828004</v>
      </c>
      <c r="U115" s="10">
        <f ca="1">SUMIFS(U$3:U$61,$A$3:$A$61,$A115,$D$3:$D$61,$B115)*SUMIF('COM balance'!$D$5:$D$25,'COM Assumptions'!$A115,'COM balance'!U$5:U$25)*IFERROR(VLOOKUP($C115,$C$64:$AH$78,U$63,FALSE),1)</f>
        <v>35.207203760820001</v>
      </c>
      <c r="V115" s="10">
        <f ca="1">SUMIFS(V$3:V$61,$A$3:$A$61,$A115,$D$3:$D$61,$B115)*SUMIF('COM balance'!$D$5:$D$25,'COM Assumptions'!$A115,'COM balance'!V$5:V$25)*IFERROR(VLOOKUP($C115,$C$64:$AH$78,V$63,FALSE),1)</f>
        <v>69.041288265120002</v>
      </c>
      <c r="W115" s="10">
        <f ca="1">SUMIFS(W$3:W$61,$A$3:$A$61,$A115,$D$3:$D$61,$B115)*SUMIF('COM balance'!$D$5:$D$25,'COM Assumptions'!$A115,'COM balance'!W$5:W$25)*IFERROR(VLOOKUP($C115,$C$64:$AH$78,W$63,FALSE),1)</f>
        <v>111.579784858368</v>
      </c>
      <c r="X115" s="10">
        <f ca="1">SUMIFS(X$3:X$61,$A$3:$A$61,$A115,$D$3:$D$61,$B115)*SUMIF('COM balance'!$D$5:$D$25,'COM Assumptions'!$A115,'COM balance'!X$5:X$25)*IFERROR(VLOOKUP($C115,$C$64:$AH$78,X$63,FALSE),1)</f>
        <v>24.3239127489</v>
      </c>
      <c r="Y115" s="10">
        <f ca="1">SUMIFS(Y$3:Y$61,$A$3:$A$61,$A115,$D$3:$D$61,$B115)*SUMIF('COM balance'!$D$5:$D$25,'COM Assumptions'!$A115,'COM balance'!Y$5:Y$25)*IFERROR(VLOOKUP($C115,$C$64:$AH$78,Y$63,FALSE),1)</f>
        <v>7.26026791536</v>
      </c>
      <c r="Z115" s="10">
        <f ca="1">SUMIFS(Z$3:Z$61,$A$3:$A$61,$A115,$D$3:$D$61,$B115)*SUMIF('COM balance'!$D$5:$D$25,'COM Assumptions'!$A115,'COM balance'!Z$5:Z$25)*IFERROR(VLOOKUP($C115,$C$64:$AH$78,Z$63,FALSE),1)</f>
        <v>1.97316012816</v>
      </c>
      <c r="AA115" s="10">
        <f ca="1">SUMIFS(AA$3:AA$61,$A$3:$A$61,$A115,$D$3:$D$61,$B115)*SUMIF('COM balance'!$D$5:$D$25,'COM Assumptions'!$A115,'COM balance'!AA$5:AA$25)*IFERROR(VLOOKUP($C115,$C$64:$AH$78,AA$63,FALSE),1)</f>
        <v>81.120142625759996</v>
      </c>
      <c r="AB115" s="10">
        <f ca="1">SUMIFS(AB$3:AB$61,$A$3:$A$61,$A115,$D$3:$D$61,$B115)*SUMIF('COM balance'!$D$5:$D$25,'COM Assumptions'!$A115,'COM balance'!AB$5:AB$25)*IFERROR(VLOOKUP($C115,$C$64:$AH$78,AB$63,FALSE),1)</f>
        <v>0.78303832153200004</v>
      </c>
      <c r="AC115" s="10">
        <f ca="1">SUMIFS(AC$3:AC$61,$A$3:$A$61,$A115,$D$3:$D$61,$B115)*SUMIF('COM balance'!$D$5:$D$25,'COM Assumptions'!$A115,'COM balance'!AC$5:AC$25)*IFERROR(VLOOKUP($C115,$C$64:$AH$78,AC$63,FALSE),1)</f>
        <v>23.607468579600003</v>
      </c>
      <c r="AD115" s="10">
        <f ca="1">SUMIFS(AD$3:AD$61,$A$3:$A$61,$A115,$D$3:$D$61,$B115)*SUMIF('COM balance'!$D$5:$D$25,'COM Assumptions'!$A115,'COM balance'!AD$5:AD$25)*IFERROR(VLOOKUP($C115,$C$64:$AH$78,AD$63,FALSE),1)</f>
        <v>0</v>
      </c>
      <c r="AE115" s="10">
        <f ca="1">SUMIFS(AE$3:AE$61,$A$3:$A$61,$A115,$D$3:$D$61,$B115)*SUMIF('COM balance'!$D$5:$D$25,'COM Assumptions'!$A115,'COM balance'!AE$5:AE$25)*IFERROR(VLOOKUP($C115,$C$64:$AH$78,AE$63,FALSE),1)</f>
        <v>0.33317968247999996</v>
      </c>
      <c r="AF115" s="10">
        <f ca="1">SUMIFS(AF$3:AF$61,$A$3:$A$61,$A115,$D$3:$D$61,$B115)*SUMIF('COM balance'!$D$5:$D$25,'COM Assumptions'!$A115,'COM balance'!AF$5:AF$25)*IFERROR(VLOOKUP($C115,$C$64:$AH$78,AF$63,FALSE),1)</f>
        <v>72.101960691659997</v>
      </c>
      <c r="AG115" s="10">
        <f ca="1">SUMIFS(AG$3:AG$61,$A$3:$A$61,$A115,$D$3:$D$61,$B115)*SUMIF('COM balance'!$D$5:$D$25,'COM Assumptions'!$A115,'COM balance'!AG$5:AG$25)*IFERROR(VLOOKUP($C115,$C$64:$AH$78,AG$63,FALSE),1)</f>
        <v>917.3276567985489</v>
      </c>
      <c r="AH115" s="10">
        <f ca="1">SUMIFS(AH$3:AH$61,$A$3:$A$61,$A115,$D$3:$D$61,$B115)*SUMIF('COM balance'!$D$5:$D$25,'COM Assumptions'!$A115,'COM balance'!AH$5:AH$25)*IFERROR(VLOOKUP($C115,$C$64:$AH$78,AH$63,FALSE),1)</f>
        <v>0</v>
      </c>
      <c r="AI115" s="10"/>
    </row>
    <row r="116" spans="1:35" x14ac:dyDescent="0.45">
      <c r="A116" s="8" t="str">
        <f t="shared" si="43"/>
        <v>COMSTH</v>
      </c>
      <c r="B116" s="8" t="str">
        <f t="shared" si="41"/>
        <v>CHW</v>
      </c>
      <c r="C116" s="8" t="str">
        <f>SUBSTITUTE(SUBSTITUTE(SUBSTITUTE('COM Veda input'!B39,"CC1","CL"),"000",""),"CH1","CH")</f>
        <v>CHWSTH</v>
      </c>
      <c r="E116" s="10">
        <f ca="1">SUMIFS(E$3:E$61,$A$3:$A$61,$A116,$D$3:$D$61,$B116)*SUMIF('COM balance'!$D$5:$D$25,'COM Assumptions'!$A116,'COM balance'!E$5:E$25)*IFERROR(VLOOKUP($C116,$C$64:$AH$78,E$63,FALSE),1)</f>
        <v>0.110698992</v>
      </c>
      <c r="F116" s="10">
        <f ca="1">SUMIFS(F$3:F$61,$A$3:$A$61,$A116,$D$3:$D$61,$B116)*SUMIF('COM balance'!$D$5:$D$25,'COM Assumptions'!$A116,'COM balance'!F$5:F$25)*IFERROR(VLOOKUP($C116,$C$64:$AH$78,F$63,FALSE),1)</f>
        <v>0</v>
      </c>
      <c r="G116" s="10">
        <f ca="1">SUMIFS(G$3:G$61,$A$3:$A$61,$A116,$D$3:$D$61,$B116)*SUMIF('COM balance'!$D$5:$D$25,'COM Assumptions'!$A116,'COM balance'!G$5:G$25)*IFERROR(VLOOKUP($C116,$C$64:$AH$78,G$63,FALSE),1)</f>
        <v>0</v>
      </c>
      <c r="H116" s="10">
        <f ca="1">SUMIFS(H$3:H$61,$A$3:$A$61,$A116,$D$3:$D$61,$B116)*SUMIF('COM balance'!$D$5:$D$25,'COM Assumptions'!$A116,'COM balance'!H$5:H$25)*IFERROR(VLOOKUP($C116,$C$64:$AH$78,H$63,FALSE),1)</f>
        <v>0.30489114960000002</v>
      </c>
      <c r="I116" s="10">
        <f ca="1">SUMIFS(I$3:I$61,$A$3:$A$61,$A116,$D$3:$D$61,$B116)*SUMIF('COM balance'!$D$5:$D$25,'COM Assumptions'!$A116,'COM balance'!I$5:I$25)*IFERROR(VLOOKUP($C116,$C$64:$AH$78,I$63,FALSE),1)</f>
        <v>1.6861708980000001</v>
      </c>
      <c r="J116" s="10">
        <f ca="1">SUMIFS(J$3:J$61,$A$3:$A$61,$A116,$D$3:$D$61,$B116)*SUMIF('COM balance'!$D$5:$D$25,'COM Assumptions'!$A116,'COM balance'!J$5:J$25)*IFERROR(VLOOKUP($C116,$C$64:$AH$78,J$63,FALSE),1)</f>
        <v>0.53710782479999997</v>
      </c>
      <c r="K116" s="10">
        <f ca="1">SUMIFS(K$3:K$61,$A$3:$A$61,$A116,$D$3:$D$61,$B116)*SUMIF('COM balance'!$D$5:$D$25,'COM Assumptions'!$A116,'COM balance'!K$5:K$25)*IFERROR(VLOOKUP($C116,$C$64:$AH$78,K$63,FALSE),1)</f>
        <v>0.47100662640000002</v>
      </c>
      <c r="L116" s="10">
        <f ca="1">SUMIFS(L$3:L$61,$A$3:$A$61,$A116,$D$3:$D$61,$B116)*SUMIF('COM balance'!$D$5:$D$25,'COM Assumptions'!$A116,'COM balance'!L$5:L$25)*IFERROR(VLOOKUP($C116,$C$64:$AH$78,L$63,FALSE),1)</f>
        <v>0</v>
      </c>
      <c r="M116" s="10">
        <f ca="1">SUMIFS(M$3:M$61,$A$3:$A$61,$A116,$D$3:$D$61,$B116)*SUMIF('COM balance'!$D$5:$D$25,'COM Assumptions'!$A116,'COM balance'!M$5:M$25)*IFERROR(VLOOKUP($C116,$C$64:$AH$78,M$63,FALSE),1)</f>
        <v>0</v>
      </c>
      <c r="N116" s="10">
        <f ca="1">SUMIFS(N$3:N$61,$A$3:$A$61,$A116,$D$3:$D$61,$B116)*SUMIF('COM balance'!$D$5:$D$25,'COM Assumptions'!$A116,'COM balance'!N$5:N$25)*IFERROR(VLOOKUP($C116,$C$64:$AH$78,N$63,FALSE),1)</f>
        <v>97.632001760400001</v>
      </c>
      <c r="O116" s="10">
        <f ca="1">SUMIFS(O$3:O$61,$A$3:$A$61,$A116,$D$3:$D$61,$B116)*SUMIF('COM balance'!$D$5:$D$25,'COM Assumptions'!$A116,'COM balance'!O$5:O$25)*IFERROR(VLOOKUP($C116,$C$64:$AH$78,O$63,FALSE),1)</f>
        <v>9.1649051999999995E-2</v>
      </c>
      <c r="P116" s="10">
        <f ca="1">SUMIFS(P$3:P$61,$A$3:$A$61,$A116,$D$3:$D$61,$B116)*SUMIF('COM balance'!$D$5:$D$25,'COM Assumptions'!$A116,'COM balance'!P$5:P$25)*IFERROR(VLOOKUP($C116,$C$64:$AH$78,P$63,FALSE),1)</f>
        <v>3.0579089291999999</v>
      </c>
      <c r="Q116" s="10">
        <f ca="1">SUMIFS(Q$3:Q$61,$A$3:$A$61,$A116,$D$3:$D$61,$B116)*SUMIF('COM balance'!$D$5:$D$25,'COM Assumptions'!$A116,'COM balance'!Q$5:Q$25)*IFERROR(VLOOKUP($C116,$C$64:$AH$78,Q$63,FALSE),1)</f>
        <v>0.30587086079999998</v>
      </c>
      <c r="R116" s="10">
        <f ca="1">SUMIFS(R$3:R$61,$A$3:$A$61,$A116,$D$3:$D$61,$B116)*SUMIF('COM balance'!$D$5:$D$25,'COM Assumptions'!$A116,'COM balance'!R$5:R$25)*IFERROR(VLOOKUP($C116,$C$64:$AH$78,R$63,FALSE),1)</f>
        <v>2.8025559971999998</v>
      </c>
      <c r="S116" s="10">
        <f ca="1">SUMIFS(S$3:S$61,$A$3:$A$61,$A116,$D$3:$D$61,$B116)*SUMIF('COM balance'!$D$5:$D$25,'COM Assumptions'!$A116,'COM balance'!S$5:S$25)*IFERROR(VLOOKUP($C116,$C$64:$AH$78,S$63,FALSE),1)</f>
        <v>0.84109462560000003</v>
      </c>
      <c r="T116" s="10">
        <f ca="1">SUMIFS(T$3:T$61,$A$3:$A$61,$A116,$D$3:$D$61,$B116)*SUMIF('COM balance'!$D$5:$D$25,'COM Assumptions'!$A116,'COM balance'!T$5:T$25)*IFERROR(VLOOKUP($C116,$C$64:$AH$78,T$63,FALSE),1)</f>
        <v>3.69139689</v>
      </c>
      <c r="U116" s="10">
        <f ca="1">SUMIFS(U$3:U$61,$A$3:$A$61,$A116,$D$3:$D$61,$B116)*SUMIF('COM balance'!$D$5:$D$25,'COM Assumptions'!$A116,'COM balance'!U$5:U$25)*IFERROR(VLOOKUP($C116,$C$64:$AH$78,U$63,FALSE),1)</f>
        <v>0.63914432759999995</v>
      </c>
      <c r="V116" s="10">
        <f ca="1">SUMIFS(V$3:V$61,$A$3:$A$61,$A116,$D$3:$D$61,$B116)*SUMIF('COM balance'!$D$5:$D$25,'COM Assumptions'!$A116,'COM balance'!V$5:V$25)*IFERROR(VLOOKUP($C116,$C$64:$AH$78,V$63,FALSE),1)</f>
        <v>0.56816969399999995</v>
      </c>
      <c r="W116" s="10">
        <f ca="1">SUMIFS(W$3:W$61,$A$3:$A$61,$A116,$D$3:$D$61,$B116)*SUMIF('COM balance'!$D$5:$D$25,'COM Assumptions'!$A116,'COM balance'!W$5:W$25)*IFERROR(VLOOKUP($C116,$C$64:$AH$78,W$63,FALSE),1)</f>
        <v>1.2639991068</v>
      </c>
      <c r="X116" s="10">
        <f ca="1">SUMIFS(X$3:X$61,$A$3:$A$61,$A116,$D$3:$D$61,$B116)*SUMIF('COM balance'!$D$5:$D$25,'COM Assumptions'!$A116,'COM balance'!X$5:X$25)*IFERROR(VLOOKUP($C116,$C$64:$AH$78,X$63,FALSE),1)</f>
        <v>3.9560453553600001</v>
      </c>
      <c r="Y116" s="10">
        <f ca="1">SUMIFS(Y$3:Y$61,$A$3:$A$61,$A116,$D$3:$D$61,$B116)*SUMIF('COM balance'!$D$5:$D$25,'COM Assumptions'!$A116,'COM balance'!Y$5:Y$25)*IFERROR(VLOOKUP($C116,$C$64:$AH$78,Y$63,FALSE),1)</f>
        <v>0.59198839920000002</v>
      </c>
      <c r="Z116" s="10">
        <f ca="1">SUMIFS(Z$3:Z$61,$A$3:$A$61,$A116,$D$3:$D$61,$B116)*SUMIF('COM balance'!$D$5:$D$25,'COM Assumptions'!$A116,'COM balance'!Z$5:Z$25)*IFERROR(VLOOKUP($C116,$C$64:$AH$78,Z$63,FALSE),1)</f>
        <v>5.1750020304</v>
      </c>
      <c r="AA116" s="10">
        <f ca="1">SUMIFS(AA$3:AA$61,$A$3:$A$61,$A116,$D$3:$D$61,$B116)*SUMIF('COM balance'!$D$5:$D$25,'COM Assumptions'!$A116,'COM balance'!AA$5:AA$25)*IFERROR(VLOOKUP($C116,$C$64:$AH$78,AA$63,FALSE),1)</f>
        <v>2.9220472692000001</v>
      </c>
      <c r="AB116" s="10">
        <f ca="1">SUMIFS(AB$3:AB$61,$A$3:$A$61,$A116,$D$3:$D$61,$B116)*SUMIF('COM balance'!$D$5:$D$25,'COM Assumptions'!$A116,'COM balance'!AB$5:AB$25)*IFERROR(VLOOKUP($C116,$C$64:$AH$78,AB$63,FALSE),1)</f>
        <v>0</v>
      </c>
      <c r="AC116" s="10">
        <f ca="1">SUMIFS(AC$3:AC$61,$A$3:$A$61,$A116,$D$3:$D$61,$B116)*SUMIF('COM balance'!$D$5:$D$25,'COM Assumptions'!$A116,'COM balance'!AC$5:AC$25)*IFERROR(VLOOKUP($C116,$C$64:$AH$78,AC$63,FALSE),1)</f>
        <v>0</v>
      </c>
      <c r="AD116" s="10">
        <f ca="1">SUMIFS(AD$3:AD$61,$A$3:$A$61,$A116,$D$3:$D$61,$B116)*SUMIF('COM balance'!$D$5:$D$25,'COM Assumptions'!$A116,'COM balance'!AD$5:AD$25)*IFERROR(VLOOKUP($C116,$C$64:$AH$78,AD$63,FALSE),1)</f>
        <v>0</v>
      </c>
      <c r="AE116" s="10">
        <f ca="1">SUMIFS(AE$3:AE$61,$A$3:$A$61,$A116,$D$3:$D$61,$B116)*SUMIF('COM balance'!$D$5:$D$25,'COM Assumptions'!$A116,'COM balance'!AE$5:AE$25)*IFERROR(VLOOKUP($C116,$C$64:$AH$78,AE$63,FALSE),1)</f>
        <v>0</v>
      </c>
      <c r="AF116" s="10">
        <f ca="1">SUMIFS(AF$3:AF$61,$A$3:$A$61,$A116,$D$3:$D$61,$B116)*SUMIF('COM balance'!$D$5:$D$25,'COM Assumptions'!$A116,'COM balance'!AF$5:AF$25)*IFERROR(VLOOKUP($C116,$C$64:$AH$78,AF$63,FALSE),1)</f>
        <v>0.71899916399999997</v>
      </c>
      <c r="AG116" s="10">
        <f ca="1">SUMIFS(AG$3:AG$61,$A$3:$A$61,$A116,$D$3:$D$61,$B116)*SUMIF('COM balance'!$D$5:$D$25,'COM Assumptions'!$A116,'COM balance'!AG$5:AG$25)*IFERROR(VLOOKUP($C116,$C$64:$AH$78,AG$63,FALSE),1)</f>
        <v>75.532555738799999</v>
      </c>
      <c r="AH116" s="10">
        <f ca="1">SUMIFS(AH$3:AH$61,$A$3:$A$61,$A116,$D$3:$D$61,$B116)*SUMIF('COM balance'!$D$5:$D$25,'COM Assumptions'!$A116,'COM balance'!AH$5:AH$25)*IFERROR(VLOOKUP($C116,$C$64:$AH$78,AH$63,FALSE),1)</f>
        <v>0</v>
      </c>
      <c r="AI116" s="10"/>
    </row>
    <row r="117" spans="1:35" x14ac:dyDescent="0.45">
      <c r="A117" s="8" t="str">
        <f t="shared" si="43"/>
        <v>COMELC</v>
      </c>
      <c r="B117" s="8" t="str">
        <f t="shared" si="41"/>
        <v>CLA</v>
      </c>
      <c r="C117" s="8" t="str">
        <f>SUBSTITUTE(SUBSTITUTE(SUBSTITUTE('COM Veda input'!B40,"CC1","CL"),"000",""),"CH1","CH")</f>
        <v>CLACFL</v>
      </c>
      <c r="E117" s="10">
        <f ca="1">SUMIFS(E$3:E$61,$A$3:$A$61,$A117,$D$3:$D$61,$B117)*SUMIF('COM balance'!$D$5:$D$25,'COM Assumptions'!$A117,'COM balance'!E$5:E$25)*IFERROR(VLOOKUP($C117,$C$64:$AH$78,E$63,FALSE),1)</f>
        <v>2.2969111537871996</v>
      </c>
      <c r="F117" s="10">
        <f ca="1">SUMIFS(F$3:F$61,$A$3:$A$61,$A117,$D$3:$D$61,$B117)*SUMIF('COM balance'!$D$5:$D$25,'COM Assumptions'!$A117,'COM balance'!F$5:F$25)*IFERROR(VLOOKUP($C117,$C$64:$AH$78,F$63,FALSE),1)</f>
        <v>1.4159993065631999</v>
      </c>
      <c r="G117" s="10">
        <f ca="1">SUMIFS(G$3:G$61,$A$3:$A$61,$A117,$D$3:$D$61,$B117)*SUMIF('COM balance'!$D$5:$D$25,'COM Assumptions'!$A117,'COM balance'!G$5:G$25)*IFERROR(VLOOKUP($C117,$C$64:$AH$78,G$63,FALSE),1)</f>
        <v>3.2821260321780006</v>
      </c>
      <c r="H117" s="10">
        <f ca="1">SUMIFS(H$3:H$61,$A$3:$A$61,$A117,$D$3:$D$61,$B117)*SUMIF('COM balance'!$D$5:$D$25,'COM Assumptions'!$A117,'COM balance'!H$5:H$25)*IFERROR(VLOOKUP($C117,$C$64:$AH$78,H$63,FALSE),1)</f>
        <v>1.1718528136848001</v>
      </c>
      <c r="I117" s="10">
        <f ca="1">SUMIFS(I$3:I$61,$A$3:$A$61,$A117,$D$3:$D$61,$B117)*SUMIF('COM balance'!$D$5:$D$25,'COM Assumptions'!$A117,'COM balance'!I$5:I$25)*IFERROR(VLOOKUP($C117,$C$64:$AH$78,I$63,FALSE),1)</f>
        <v>0</v>
      </c>
      <c r="J117" s="10">
        <f ca="1">SUMIFS(J$3:J$61,$A$3:$A$61,$A117,$D$3:$D$61,$B117)*SUMIF('COM balance'!$D$5:$D$25,'COM Assumptions'!$A117,'COM balance'!J$5:J$25)*IFERROR(VLOOKUP($C117,$C$64:$AH$78,J$63,FALSE),1)</f>
        <v>20.406909282606001</v>
      </c>
      <c r="K117" s="10">
        <f ca="1">SUMIFS(K$3:K$61,$A$3:$A$61,$A117,$D$3:$D$61,$B117)*SUMIF('COM balance'!$D$5:$D$25,'COM Assumptions'!$A117,'COM balance'!K$5:K$25)*IFERROR(VLOOKUP($C117,$C$64:$AH$78,K$63,FALSE),1)</f>
        <v>8.727568693596</v>
      </c>
      <c r="L117" s="10">
        <f ca="1">SUMIFS(L$3:L$61,$A$3:$A$61,$A117,$D$3:$D$61,$B117)*SUMIF('COM balance'!$D$5:$D$25,'COM Assumptions'!$A117,'COM balance'!L$5:L$25)*IFERROR(VLOOKUP($C117,$C$64:$AH$78,L$63,FALSE),1)</f>
        <v>10.662790091688001</v>
      </c>
      <c r="M117" s="10">
        <f ca="1">SUMIFS(M$3:M$61,$A$3:$A$61,$A117,$D$3:$D$61,$B117)*SUMIF('COM balance'!$D$5:$D$25,'COM Assumptions'!$A117,'COM balance'!M$5:M$25)*IFERROR(VLOOKUP($C117,$C$64:$AH$78,M$63,FALSE),1)</f>
        <v>20.704132822982402</v>
      </c>
      <c r="N117" s="10">
        <f ca="1">SUMIFS(N$3:N$61,$A$3:$A$61,$A117,$D$3:$D$61,$B117)*SUMIF('COM balance'!$D$5:$D$25,'COM Assumptions'!$A117,'COM balance'!N$5:N$25)*IFERROR(VLOOKUP($C117,$C$64:$AH$78,N$63,FALSE),1)</f>
        <v>5.2631066380032001</v>
      </c>
      <c r="O117" s="10">
        <f ca="1">SUMIFS(O$3:O$61,$A$3:$A$61,$A117,$D$3:$D$61,$B117)*SUMIF('COM balance'!$D$5:$D$25,'COM Assumptions'!$A117,'COM balance'!O$5:O$25)*IFERROR(VLOOKUP($C117,$C$64:$AH$78,O$63,FALSE),1)</f>
        <v>5.437535968748521</v>
      </c>
      <c r="P117" s="10">
        <f ca="1">SUMIFS(P$3:P$61,$A$3:$A$61,$A117,$D$3:$D$61,$B117)*SUMIF('COM balance'!$D$5:$D$25,'COM Assumptions'!$A117,'COM balance'!P$5:P$25)*IFERROR(VLOOKUP($C117,$C$64:$AH$78,P$63,FALSE),1)</f>
        <v>4.051334009347201</v>
      </c>
      <c r="Q117" s="10">
        <f ca="1">SUMIFS(Q$3:Q$61,$A$3:$A$61,$A117,$D$3:$D$61,$B117)*SUMIF('COM balance'!$D$5:$D$25,'COM Assumptions'!$A117,'COM balance'!Q$5:Q$25)*IFERROR(VLOOKUP($C117,$C$64:$AH$78,Q$63,FALSE),1)</f>
        <v>7.1922855303608406</v>
      </c>
      <c r="R117" s="10">
        <f ca="1">SUMIFS(R$3:R$61,$A$3:$A$61,$A117,$D$3:$D$61,$B117)*SUMIF('COM balance'!$D$5:$D$25,'COM Assumptions'!$A117,'COM balance'!R$5:R$25)*IFERROR(VLOOKUP($C117,$C$64:$AH$78,R$63,FALSE),1)</f>
        <v>10.849199642484841</v>
      </c>
      <c r="S117" s="10">
        <f ca="1">SUMIFS(S$3:S$61,$A$3:$A$61,$A117,$D$3:$D$61,$B117)*SUMIF('COM balance'!$D$5:$D$25,'COM Assumptions'!$A117,'COM balance'!S$5:S$25)*IFERROR(VLOOKUP($C117,$C$64:$AH$78,S$63,FALSE),1)</f>
        <v>1.5367997071871999</v>
      </c>
      <c r="T117" s="10">
        <f ca="1">SUMIFS(T$3:T$61,$A$3:$A$61,$A117,$D$3:$D$61,$B117)*SUMIF('COM balance'!$D$5:$D$25,'COM Assumptions'!$A117,'COM balance'!T$5:T$25)*IFERROR(VLOOKUP($C117,$C$64:$AH$78,T$63,FALSE),1)</f>
        <v>8.9503329794860811</v>
      </c>
      <c r="U117" s="10">
        <f ca="1">SUMIFS(U$3:U$61,$A$3:$A$61,$A117,$D$3:$D$61,$B117)*SUMIF('COM balance'!$D$5:$D$25,'COM Assumptions'!$A117,'COM balance'!U$5:U$25)*IFERROR(VLOOKUP($C117,$C$64:$AH$78,U$63,FALSE),1)</f>
        <v>5.29778438008272</v>
      </c>
      <c r="V117" s="10">
        <f ca="1">SUMIFS(V$3:V$61,$A$3:$A$61,$A117,$D$3:$D$61,$B117)*SUMIF('COM balance'!$D$5:$D$25,'COM Assumptions'!$A117,'COM balance'!V$5:V$25)*IFERROR(VLOOKUP($C117,$C$64:$AH$78,V$63,FALSE),1)</f>
        <v>13.425939865742043</v>
      </c>
      <c r="W117" s="10">
        <f ca="1">SUMIFS(W$3:W$61,$A$3:$A$61,$A117,$D$3:$D$61,$B117)*SUMIF('COM balance'!$D$5:$D$25,'COM Assumptions'!$A117,'COM balance'!W$5:W$25)*IFERROR(VLOOKUP($C117,$C$64:$AH$78,W$63,FALSE),1)</f>
        <v>12.773844760491363</v>
      </c>
      <c r="X117" s="10">
        <f ca="1">SUMIFS(X$3:X$61,$A$3:$A$61,$A117,$D$3:$D$61,$B117)*SUMIF('COM balance'!$D$5:$D$25,'COM Assumptions'!$A117,'COM balance'!X$5:X$25)*IFERROR(VLOOKUP($C117,$C$64:$AH$78,X$63,FALSE),1)</f>
        <v>8.1834833572559997</v>
      </c>
      <c r="Y117" s="10">
        <f ca="1">SUMIFS(Y$3:Y$61,$A$3:$A$61,$A117,$D$3:$D$61,$B117)*SUMIF('COM balance'!$D$5:$D$25,'COM Assumptions'!$A117,'COM balance'!Y$5:Y$25)*IFERROR(VLOOKUP($C117,$C$64:$AH$78,Y$63,FALSE),1)</f>
        <v>6.7552035927012</v>
      </c>
      <c r="Z117" s="10">
        <f ca="1">SUMIFS(Z$3:Z$61,$A$3:$A$61,$A117,$D$3:$D$61,$B117)*SUMIF('COM balance'!$D$5:$D$25,'COM Assumptions'!$A117,'COM balance'!Z$5:Z$25)*IFERROR(VLOOKUP($C117,$C$64:$AH$78,Z$63,FALSE),1)</f>
        <v>1.9642085613540001</v>
      </c>
      <c r="AA117" s="10">
        <f ca="1">SUMIFS(AA$3:AA$61,$A$3:$A$61,$A117,$D$3:$D$61,$B117)*SUMIF('COM balance'!$D$5:$D$25,'COM Assumptions'!$A117,'COM balance'!AA$5:AA$25)*IFERROR(VLOOKUP($C117,$C$64:$AH$78,AA$63,FALSE),1)</f>
        <v>6.0219170833953592</v>
      </c>
      <c r="AB117" s="10">
        <f ca="1">SUMIFS(AB$3:AB$61,$A$3:$A$61,$A117,$D$3:$D$61,$B117)*SUMIF('COM balance'!$D$5:$D$25,'COM Assumptions'!$A117,'COM balance'!AB$5:AB$25)*IFERROR(VLOOKUP($C117,$C$64:$AH$78,AB$63,FALSE),1)</f>
        <v>2.7082084692826807</v>
      </c>
      <c r="AC117" s="10">
        <f ca="1">SUMIFS(AC$3:AC$61,$A$3:$A$61,$A117,$D$3:$D$61,$B117)*SUMIF('COM balance'!$D$5:$D$25,'COM Assumptions'!$A117,'COM balance'!AC$5:AC$25)*IFERROR(VLOOKUP($C117,$C$64:$AH$78,AC$63,FALSE),1)</f>
        <v>6.6039364723104006</v>
      </c>
      <c r="AD117" s="10">
        <f ca="1">SUMIFS(AD$3:AD$61,$A$3:$A$61,$A117,$D$3:$D$61,$B117)*SUMIF('COM balance'!$D$5:$D$25,'COM Assumptions'!$A117,'COM balance'!AD$5:AD$25)*IFERROR(VLOOKUP($C117,$C$64:$AH$78,AD$63,FALSE),1)</f>
        <v>4.7587001612702391</v>
      </c>
      <c r="AE117" s="10">
        <f ca="1">SUMIFS(AE$3:AE$61,$A$3:$A$61,$A117,$D$3:$D$61,$B117)*SUMIF('COM balance'!$D$5:$D$25,'COM Assumptions'!$A117,'COM balance'!AE$5:AE$25)*IFERROR(VLOOKUP($C117,$C$64:$AH$78,AE$63,FALSE),1)</f>
        <v>1.6030484819135999</v>
      </c>
      <c r="AF117" s="10">
        <f ca="1">SUMIFS(AF$3:AF$61,$A$3:$A$61,$A117,$D$3:$D$61,$B117)*SUMIF('COM balance'!$D$5:$D$25,'COM Assumptions'!$A117,'COM balance'!AF$5:AF$25)*IFERROR(VLOOKUP($C117,$C$64:$AH$78,AF$63,FALSE),1)</f>
        <v>8.8570559007730818</v>
      </c>
      <c r="AG117" s="10">
        <f ca="1">SUMIFS(AG$3:AG$61,$A$3:$A$61,$A117,$D$3:$D$61,$B117)*SUMIF('COM balance'!$D$5:$D$25,'COM Assumptions'!$A117,'COM balance'!AG$5:AG$25)*IFERROR(VLOOKUP($C117,$C$64:$AH$78,AG$63,FALSE),1)</f>
        <v>136.10262942574775</v>
      </c>
      <c r="AH117" s="10">
        <f ca="1">SUMIFS(AH$3:AH$61,$A$3:$A$61,$A117,$D$3:$D$61,$B117)*SUMIF('COM balance'!$D$5:$D$25,'COM Assumptions'!$A117,'COM balance'!AH$5:AH$25)*IFERROR(VLOOKUP($C117,$C$64:$AH$78,AH$63,FALSE),1)</f>
        <v>0</v>
      </c>
      <c r="AI117" s="10"/>
    </row>
    <row r="118" spans="1:35" x14ac:dyDescent="0.45">
      <c r="A118" s="8" t="str">
        <f t="shared" si="43"/>
        <v>COMELC</v>
      </c>
      <c r="B118" s="8" t="str">
        <f t="shared" si="41"/>
        <v>CLA</v>
      </c>
      <c r="C118" s="8" t="str">
        <f>SUBSTITUTE(SUBSTITUTE(SUBSTITUTE('COM Veda input'!B41,"CC1","CL"),"000",""),"CH1","CH")</f>
        <v>CLAFLE</v>
      </c>
      <c r="E118" s="10">
        <f ca="1">SUMIFS(E$3:E$61,$A$3:$A$61,$A118,$D$3:$D$61,$B118)*SUMIF('COM balance'!$D$5:$D$25,'COM Assumptions'!$A118,'COM balance'!E$5:E$25)*IFERROR(VLOOKUP($C118,$C$64:$AH$78,E$63,FALSE),1)</f>
        <v>45.938223075743998</v>
      </c>
      <c r="F118" s="10">
        <f ca="1">SUMIFS(F$3:F$61,$A$3:$A$61,$A118,$D$3:$D$61,$B118)*SUMIF('COM balance'!$D$5:$D$25,'COM Assumptions'!$A118,'COM balance'!F$5:F$25)*IFERROR(VLOOKUP($C118,$C$64:$AH$78,F$63,FALSE),1)</f>
        <v>28.319986131263999</v>
      </c>
      <c r="G118" s="10">
        <f ca="1">SUMIFS(G$3:G$61,$A$3:$A$61,$A118,$D$3:$D$61,$B118)*SUMIF('COM balance'!$D$5:$D$25,'COM Assumptions'!$A118,'COM balance'!G$5:G$25)*IFERROR(VLOOKUP($C118,$C$64:$AH$78,G$63,FALSE),1)</f>
        <v>59.078268579204007</v>
      </c>
      <c r="H118" s="10">
        <f ca="1">SUMIFS(H$3:H$61,$A$3:$A$61,$A118,$D$3:$D$61,$B118)*SUMIF('COM balance'!$D$5:$D$25,'COM Assumptions'!$A118,'COM balance'!H$5:H$25)*IFERROR(VLOOKUP($C118,$C$64:$AH$78,H$63,FALSE),1)</f>
        <v>23.437056273696001</v>
      </c>
      <c r="I118" s="10">
        <f ca="1">SUMIFS(I$3:I$61,$A$3:$A$61,$A118,$D$3:$D$61,$B118)*SUMIF('COM balance'!$D$5:$D$25,'COM Assumptions'!$A118,'COM balance'!I$5:I$25)*IFERROR(VLOOKUP($C118,$C$64:$AH$78,I$63,FALSE),1)</f>
        <v>505.46783211557045</v>
      </c>
      <c r="J118" s="10">
        <f ca="1">SUMIFS(J$3:J$61,$A$3:$A$61,$A118,$D$3:$D$61,$B118)*SUMIF('COM balance'!$D$5:$D$25,'COM Assumptions'!$A118,'COM balance'!J$5:J$25)*IFERROR(VLOOKUP($C118,$C$64:$AH$78,J$63,FALSE),1)</f>
        <v>122.44145569563599</v>
      </c>
      <c r="K118" s="10">
        <f ca="1">SUMIFS(K$3:K$61,$A$3:$A$61,$A118,$D$3:$D$61,$B118)*SUMIF('COM balance'!$D$5:$D$25,'COM Assumptions'!$A118,'COM balance'!K$5:K$25)*IFERROR(VLOOKUP($C118,$C$64:$AH$78,K$63,FALSE),1)</f>
        <v>43.637843467979998</v>
      </c>
      <c r="L118" s="10">
        <f ca="1">SUMIFS(L$3:L$61,$A$3:$A$61,$A118,$D$3:$D$61,$B118)*SUMIF('COM balance'!$D$5:$D$25,'COM Assumptions'!$A118,'COM balance'!L$5:L$25)*IFERROR(VLOOKUP($C118,$C$64:$AH$78,L$63,FALSE),1)</f>
        <v>191.930221650384</v>
      </c>
      <c r="M118" s="10">
        <f ca="1">SUMIFS(M$3:M$61,$A$3:$A$61,$A118,$D$3:$D$61,$B118)*SUMIF('COM balance'!$D$5:$D$25,'COM Assumptions'!$A118,'COM balance'!M$5:M$25)*IFERROR(VLOOKUP($C118,$C$64:$AH$78,M$63,FALSE),1)</f>
        <v>41.408265645964804</v>
      </c>
      <c r="N118" s="10">
        <f ca="1">SUMIFS(N$3:N$61,$A$3:$A$61,$A118,$D$3:$D$61,$B118)*SUMIF('COM balance'!$D$5:$D$25,'COM Assumptions'!$A118,'COM balance'!N$5:N$25)*IFERROR(VLOOKUP($C118,$C$64:$AH$78,N$63,FALSE),1)</f>
        <v>242.1029053481472</v>
      </c>
      <c r="O118" s="10">
        <f ca="1">SUMIFS(O$3:O$61,$A$3:$A$61,$A118,$D$3:$D$61,$B118)*SUMIF('COM balance'!$D$5:$D$25,'COM Assumptions'!$A118,'COM balance'!O$5:O$25)*IFERROR(VLOOKUP($C118,$C$64:$AH$78,O$63,FALSE),1)</f>
        <v>61.366477361590441</v>
      </c>
      <c r="P118" s="10">
        <f ca="1">SUMIFS(P$3:P$61,$A$3:$A$61,$A118,$D$3:$D$61,$B118)*SUMIF('COM balance'!$D$5:$D$25,'COM Assumptions'!$A118,'COM balance'!P$5:P$25)*IFERROR(VLOOKUP($C118,$C$64:$AH$78,P$63,FALSE),1)</f>
        <v>81.026680186944006</v>
      </c>
      <c r="Q118" s="10">
        <f ca="1">SUMIFS(Q$3:Q$61,$A$3:$A$61,$A118,$D$3:$D$61,$B118)*SUMIF('COM balance'!$D$5:$D$25,'COM Assumptions'!$A118,'COM balance'!Q$5:Q$25)*IFERROR(VLOOKUP($C118,$C$64:$AH$78,Q$63,FALSE),1)</f>
        <v>81.17007955692948</v>
      </c>
      <c r="R118" s="10">
        <f ca="1">SUMIFS(R$3:R$61,$A$3:$A$61,$A118,$D$3:$D$61,$B118)*SUMIF('COM balance'!$D$5:$D$25,'COM Assumptions'!$A118,'COM balance'!R$5:R$25)*IFERROR(VLOOKUP($C118,$C$64:$AH$78,R$63,FALSE),1)</f>
        <v>122.44096739375749</v>
      </c>
      <c r="S118" s="10">
        <f ca="1">SUMIFS(S$3:S$61,$A$3:$A$61,$A118,$D$3:$D$61,$B118)*SUMIF('COM balance'!$D$5:$D$25,'COM Assumptions'!$A118,'COM balance'!S$5:S$25)*IFERROR(VLOOKUP($C118,$C$64:$AH$78,S$63,FALSE),1)</f>
        <v>30.735994143744001</v>
      </c>
      <c r="T118" s="10">
        <f ca="1">SUMIFS(T$3:T$61,$A$3:$A$61,$A118,$D$3:$D$61,$B118)*SUMIF('COM balance'!$D$5:$D$25,'COM Assumptions'!$A118,'COM balance'!T$5:T$25)*IFERROR(VLOOKUP($C118,$C$64:$AH$78,T$63,FALSE),1)</f>
        <v>101.01090076848578</v>
      </c>
      <c r="U118" s="10">
        <f ca="1">SUMIFS(U$3:U$61,$A$3:$A$61,$A118,$D$3:$D$61,$B118)*SUMIF('COM balance'!$D$5:$D$25,'COM Assumptions'!$A118,'COM balance'!U$5:U$25)*IFERROR(VLOOKUP($C118,$C$64:$AH$78,U$63,FALSE),1)</f>
        <v>105.9556876016544</v>
      </c>
      <c r="V118" s="10">
        <f ca="1">SUMIFS(V$3:V$61,$A$3:$A$61,$A118,$D$3:$D$61,$B118)*SUMIF('COM balance'!$D$5:$D$25,'COM Assumptions'!$A118,'COM balance'!V$5:V$25)*IFERROR(VLOOKUP($C118,$C$64:$AH$78,V$63,FALSE),1)</f>
        <v>151.52132134194591</v>
      </c>
      <c r="W118" s="10">
        <f ca="1">SUMIFS(W$3:W$61,$A$3:$A$61,$A118,$D$3:$D$61,$B118)*SUMIF('COM balance'!$D$5:$D$25,'COM Assumptions'!$A118,'COM balance'!W$5:W$25)*IFERROR(VLOOKUP($C118,$C$64:$AH$78,W$63,FALSE),1)</f>
        <v>144.16196229697394</v>
      </c>
      <c r="X118" s="10">
        <f ca="1">SUMIFS(X$3:X$61,$A$3:$A$61,$A118,$D$3:$D$61,$B118)*SUMIF('COM balance'!$D$5:$D$25,'COM Assumptions'!$A118,'COM balance'!X$5:X$25)*IFERROR(VLOOKUP($C118,$C$64:$AH$78,X$63,FALSE),1)</f>
        <v>81.834833572560001</v>
      </c>
      <c r="Y118" s="10">
        <f ca="1">SUMIFS(Y$3:Y$61,$A$3:$A$61,$A118,$D$3:$D$61,$B118)*SUMIF('COM balance'!$D$5:$D$25,'COM Assumptions'!$A118,'COM balance'!Y$5:Y$25)*IFERROR(VLOOKUP($C118,$C$64:$AH$78,Y$63,FALSE),1)</f>
        <v>121.5936646686216</v>
      </c>
      <c r="Z118" s="10">
        <f ca="1">SUMIFS(Z$3:Z$61,$A$3:$A$61,$A118,$D$3:$D$61,$B118)*SUMIF('COM balance'!$D$5:$D$25,'COM Assumptions'!$A118,'COM balance'!Z$5:Z$25)*IFERROR(VLOOKUP($C118,$C$64:$AH$78,Z$63,FALSE),1)</f>
        <v>26.320394722143604</v>
      </c>
      <c r="AA118" s="10">
        <f ca="1">SUMIFS(AA$3:AA$61,$A$3:$A$61,$A118,$D$3:$D$61,$B118)*SUMIF('COM balance'!$D$5:$D$25,'COM Assumptions'!$A118,'COM balance'!AA$5:AA$25)*IFERROR(VLOOKUP($C118,$C$64:$AH$78,AA$63,FALSE),1)</f>
        <v>120.4383416679072</v>
      </c>
      <c r="AB118" s="10">
        <f ca="1">SUMIFS(AB$3:AB$61,$A$3:$A$61,$A118,$D$3:$D$61,$B118)*SUMIF('COM balance'!$D$5:$D$25,'COM Assumptions'!$A118,'COM balance'!AB$5:AB$25)*IFERROR(VLOOKUP($C118,$C$64:$AH$78,AB$63,FALSE),1)</f>
        <v>30.564067010475963</v>
      </c>
      <c r="AC118" s="10">
        <f ca="1">SUMIFS(AC$3:AC$61,$A$3:$A$61,$A118,$D$3:$D$61,$B118)*SUMIF('COM balance'!$D$5:$D$25,'COM Assumptions'!$A118,'COM balance'!AC$5:AC$25)*IFERROR(VLOOKUP($C118,$C$64:$AH$78,AC$63,FALSE),1)</f>
        <v>132.078729446208</v>
      </c>
      <c r="AD118" s="10">
        <f ca="1">SUMIFS(AD$3:AD$61,$A$3:$A$61,$A118,$D$3:$D$61,$B118)*SUMIF('COM balance'!$D$5:$D$25,'COM Assumptions'!$A118,'COM balance'!AD$5:AD$25)*IFERROR(VLOOKUP($C118,$C$64:$AH$78,AD$63,FALSE),1)</f>
        <v>95.174003225404789</v>
      </c>
      <c r="AE118" s="10">
        <f ca="1">SUMIFS(AE$3:AE$61,$A$3:$A$61,$A118,$D$3:$D$61,$B118)*SUMIF('COM balance'!$D$5:$D$25,'COM Assumptions'!$A118,'COM balance'!AE$5:AE$25)*IFERROR(VLOOKUP($C118,$C$64:$AH$78,AE$63,FALSE),1)</f>
        <v>32.060969638271999</v>
      </c>
      <c r="AF118" s="10">
        <f ca="1">SUMIFS(AF$3:AF$61,$A$3:$A$61,$A118,$D$3:$D$61,$B118)*SUMIF('COM balance'!$D$5:$D$25,'COM Assumptions'!$A118,'COM balance'!AF$5:AF$25)*IFERROR(VLOOKUP($C118,$C$64:$AH$78,AF$63,FALSE),1)</f>
        <v>99.958202308724765</v>
      </c>
      <c r="AG118" s="10">
        <f ca="1">SUMIFS(AG$3:AG$61,$A$3:$A$61,$A118,$D$3:$D$61,$B118)*SUMIF('COM balance'!$D$5:$D$25,'COM Assumptions'!$A118,'COM balance'!AG$5:AG$25)*IFERROR(VLOOKUP($C118,$C$64:$AH$78,AG$63,FALSE),1)</f>
        <v>1536.0153892334388</v>
      </c>
      <c r="AH118" s="10">
        <f ca="1">SUMIFS(AH$3:AH$61,$A$3:$A$61,$A118,$D$3:$D$61,$B118)*SUMIF('COM balance'!$D$5:$D$25,'COM Assumptions'!$A118,'COM balance'!AH$5:AH$25)*IFERROR(VLOOKUP($C118,$C$64:$AH$78,AH$63,FALSE),1)</f>
        <v>0</v>
      </c>
      <c r="AI118" s="10"/>
    </row>
    <row r="119" spans="1:35" x14ac:dyDescent="0.45">
      <c r="A119" s="8" t="str">
        <f t="shared" si="43"/>
        <v>COMELC</v>
      </c>
      <c r="B119" s="8" t="str">
        <f t="shared" si="41"/>
        <v>CLA</v>
      </c>
      <c r="C119" s="8" t="str">
        <f>SUBSTITUTE(SUBSTITUTE(SUBSTITUTE('COM Veda input'!B42,"CC1","CL"),"000",""),"CH1","CH")</f>
        <v>CLAHAE</v>
      </c>
      <c r="E119" s="10">
        <f ca="1">SUMIFS(E$3:E$61,$A$3:$A$61,$A119,$D$3:$D$61,$B119)*SUMIF('COM balance'!$D$5:$D$25,'COM Assumptions'!$A119,'COM balance'!E$5:E$25)*IFERROR(VLOOKUP($C119,$C$64:$AH$78,E$63,FALSE),1)</f>
        <v>1.5312741025248</v>
      </c>
      <c r="F119" s="10">
        <f ca="1">SUMIFS(F$3:F$61,$A$3:$A$61,$A119,$D$3:$D$61,$B119)*SUMIF('COM balance'!$D$5:$D$25,'COM Assumptions'!$A119,'COM balance'!F$5:F$25)*IFERROR(VLOOKUP($C119,$C$64:$AH$78,F$63,FALSE),1)</f>
        <v>0.94399953770880007</v>
      </c>
      <c r="G119" s="10">
        <f ca="1">SUMIFS(G$3:G$61,$A$3:$A$61,$A119,$D$3:$D$61,$B119)*SUMIF('COM balance'!$D$5:$D$25,'COM Assumptions'!$A119,'COM balance'!G$5:G$25)*IFERROR(VLOOKUP($C119,$C$64:$AH$78,G$63,FALSE),1)</f>
        <v>0</v>
      </c>
      <c r="H119" s="10">
        <f ca="1">SUMIFS(H$3:H$61,$A$3:$A$61,$A119,$D$3:$D$61,$B119)*SUMIF('COM balance'!$D$5:$D$25,'COM Assumptions'!$A119,'COM balance'!H$5:H$25)*IFERROR(VLOOKUP($C119,$C$64:$AH$78,H$63,FALSE),1)</f>
        <v>0.7812352091232001</v>
      </c>
      <c r="I119" s="10">
        <f ca="1">SUMIFS(I$3:I$61,$A$3:$A$61,$A119,$D$3:$D$61,$B119)*SUMIF('COM balance'!$D$5:$D$25,'COM Assumptions'!$A119,'COM balance'!I$5:I$25)*IFERROR(VLOOKUP($C119,$C$64:$AH$78,I$63,FALSE),1)</f>
        <v>0</v>
      </c>
      <c r="J119" s="10">
        <f ca="1">SUMIFS(J$3:J$61,$A$3:$A$61,$A119,$D$3:$D$61,$B119)*SUMIF('COM balance'!$D$5:$D$25,'COM Assumptions'!$A119,'COM balance'!J$5:J$25)*IFERROR(VLOOKUP($C119,$C$64:$AH$78,J$63,FALSE),1)</f>
        <v>4.0813818565212001</v>
      </c>
      <c r="K119" s="10">
        <f ca="1">SUMIFS(K$3:K$61,$A$3:$A$61,$A119,$D$3:$D$61,$B119)*SUMIF('COM balance'!$D$5:$D$25,'COM Assumptions'!$A119,'COM balance'!K$5:K$25)*IFERROR(VLOOKUP($C119,$C$64:$AH$78,K$63,FALSE),1)</f>
        <v>13.091353040393999</v>
      </c>
      <c r="L119" s="10">
        <f ca="1">SUMIFS(L$3:L$61,$A$3:$A$61,$A119,$D$3:$D$61,$B119)*SUMIF('COM balance'!$D$5:$D$25,'COM Assumptions'!$A119,'COM balance'!L$5:L$25)*IFERROR(VLOOKUP($C119,$C$64:$AH$78,L$63,FALSE),1)</f>
        <v>0</v>
      </c>
      <c r="M119" s="10">
        <f ca="1">SUMIFS(M$3:M$61,$A$3:$A$61,$A119,$D$3:$D$61,$B119)*SUMIF('COM balance'!$D$5:$D$25,'COM Assumptions'!$A119,'COM balance'!M$5:M$25)*IFERROR(VLOOKUP($C119,$C$64:$AH$78,M$63,FALSE),1)</f>
        <v>51.760332057455997</v>
      </c>
      <c r="N119" s="10">
        <f ca="1">SUMIFS(N$3:N$61,$A$3:$A$61,$A119,$D$3:$D$61,$B119)*SUMIF('COM balance'!$D$5:$D$25,'COM Assumptions'!$A119,'COM balance'!N$5:N$25)*IFERROR(VLOOKUP($C119,$C$64:$AH$78,N$63,FALSE),1)</f>
        <v>7.3683492932044796</v>
      </c>
      <c r="O119" s="10">
        <f ca="1">SUMIFS(O$3:O$61,$A$3:$A$61,$A119,$D$3:$D$61,$B119)*SUMIF('COM balance'!$D$5:$D$25,'COM Assumptions'!$A119,'COM balance'!O$5:O$25)*IFERROR(VLOOKUP($C119,$C$64:$AH$78,O$63,FALSE),1)</f>
        <v>0.77679085267836001</v>
      </c>
      <c r="P119" s="10">
        <f ca="1">SUMIFS(P$3:P$61,$A$3:$A$61,$A119,$D$3:$D$61,$B119)*SUMIF('COM balance'!$D$5:$D$25,'COM Assumptions'!$A119,'COM balance'!P$5:P$25)*IFERROR(VLOOKUP($C119,$C$64:$AH$78,P$63,FALSE),1)</f>
        <v>2.7008893395648004</v>
      </c>
      <c r="Q119" s="10">
        <f ca="1">SUMIFS(Q$3:Q$61,$A$3:$A$61,$A119,$D$3:$D$61,$B119)*SUMIF('COM balance'!$D$5:$D$25,'COM Assumptions'!$A119,'COM balance'!Q$5:Q$25)*IFERROR(VLOOKUP($C119,$C$64:$AH$78,Q$63,FALSE),1)</f>
        <v>1.02746936148012</v>
      </c>
      <c r="R119" s="10">
        <f ca="1">SUMIFS(R$3:R$61,$A$3:$A$61,$A119,$D$3:$D$61,$B119)*SUMIF('COM balance'!$D$5:$D$25,'COM Assumptions'!$A119,'COM balance'!R$5:R$25)*IFERROR(VLOOKUP($C119,$C$64:$AH$78,R$63,FALSE),1)</f>
        <v>1.5498856632121201</v>
      </c>
      <c r="S119" s="10">
        <f ca="1">SUMIFS(S$3:S$61,$A$3:$A$61,$A119,$D$3:$D$61,$B119)*SUMIF('COM balance'!$D$5:$D$25,'COM Assumptions'!$A119,'COM balance'!S$5:S$25)*IFERROR(VLOOKUP($C119,$C$64:$AH$78,S$63,FALSE),1)</f>
        <v>1.0245331381248</v>
      </c>
      <c r="T119" s="10">
        <f ca="1">SUMIFS(T$3:T$61,$A$3:$A$61,$A119,$D$3:$D$61,$B119)*SUMIF('COM balance'!$D$5:$D$25,'COM Assumptions'!$A119,'COM balance'!T$5:T$25)*IFERROR(VLOOKUP($C119,$C$64:$AH$78,T$63,FALSE),1)</f>
        <v>1.2786189970694402</v>
      </c>
      <c r="U119" s="10">
        <f ca="1">SUMIFS(U$3:U$61,$A$3:$A$61,$A119,$D$3:$D$61,$B119)*SUMIF('COM balance'!$D$5:$D$25,'COM Assumptions'!$A119,'COM balance'!U$5:U$25)*IFERROR(VLOOKUP($C119,$C$64:$AH$78,U$63,FALSE),1)</f>
        <v>3.5318562533884803</v>
      </c>
      <c r="V119" s="10">
        <f ca="1">SUMIFS(V$3:V$61,$A$3:$A$61,$A119,$D$3:$D$61,$B119)*SUMIF('COM balance'!$D$5:$D$25,'COM Assumptions'!$A119,'COM balance'!V$5:V$25)*IFERROR(VLOOKUP($C119,$C$64:$AH$78,V$63,FALSE),1)</f>
        <v>1.9179914093917203</v>
      </c>
      <c r="W119" s="10">
        <f ca="1">SUMIFS(W$3:W$61,$A$3:$A$61,$A119,$D$3:$D$61,$B119)*SUMIF('COM balance'!$D$5:$D$25,'COM Assumptions'!$A119,'COM balance'!W$5:W$25)*IFERROR(VLOOKUP($C119,$C$64:$AH$78,W$63,FALSE),1)</f>
        <v>1.8248349657844802</v>
      </c>
      <c r="X119" s="10">
        <f ca="1">SUMIFS(X$3:X$61,$A$3:$A$61,$A119,$D$3:$D$61,$B119)*SUMIF('COM balance'!$D$5:$D$25,'COM Assumptions'!$A119,'COM balance'!X$5:X$25)*IFERROR(VLOOKUP($C119,$C$64:$AH$78,X$63,FALSE),1)</f>
        <v>0</v>
      </c>
      <c r="Y119" s="10">
        <f ca="1">SUMIFS(Y$3:Y$61,$A$3:$A$61,$A119,$D$3:$D$61,$B119)*SUMIF('COM balance'!$D$5:$D$25,'COM Assumptions'!$A119,'COM balance'!Y$5:Y$25)*IFERROR(VLOOKUP($C119,$C$64:$AH$78,Y$63,FALSE),1)</f>
        <v>0</v>
      </c>
      <c r="Z119" s="10">
        <f ca="1">SUMIFS(Z$3:Z$61,$A$3:$A$61,$A119,$D$3:$D$61,$B119)*SUMIF('COM balance'!$D$5:$D$25,'COM Assumptions'!$A119,'COM balance'!Z$5:Z$25)*IFERROR(VLOOKUP($C119,$C$64:$AH$78,Z$63,FALSE),1)</f>
        <v>0.78568342454160001</v>
      </c>
      <c r="AA119" s="10">
        <f ca="1">SUMIFS(AA$3:AA$61,$A$3:$A$61,$A119,$D$3:$D$61,$B119)*SUMIF('COM balance'!$D$5:$D$25,'COM Assumptions'!$A119,'COM balance'!AA$5:AA$25)*IFERROR(VLOOKUP($C119,$C$64:$AH$78,AA$63,FALSE),1)</f>
        <v>4.0146113889302395</v>
      </c>
      <c r="AB119" s="10">
        <f ca="1">SUMIFS(AB$3:AB$61,$A$3:$A$61,$A119,$D$3:$D$61,$B119)*SUMIF('COM balance'!$D$5:$D$25,'COM Assumptions'!$A119,'COM balance'!AB$5:AB$25)*IFERROR(VLOOKUP($C119,$C$64:$AH$78,AB$63,FALSE),1)</f>
        <v>0.38688692418324006</v>
      </c>
      <c r="AC119" s="10">
        <f ca="1">SUMIFS(AC$3:AC$61,$A$3:$A$61,$A119,$D$3:$D$61,$B119)*SUMIF('COM balance'!$D$5:$D$25,'COM Assumptions'!$A119,'COM balance'!AC$5:AC$25)*IFERROR(VLOOKUP($C119,$C$64:$AH$78,AC$63,FALSE),1)</f>
        <v>4.4026243148736004</v>
      </c>
      <c r="AD119" s="10">
        <f ca="1">SUMIFS(AD$3:AD$61,$A$3:$A$61,$A119,$D$3:$D$61,$B119)*SUMIF('COM balance'!$D$5:$D$25,'COM Assumptions'!$A119,'COM balance'!AD$5:AD$25)*IFERROR(VLOOKUP($C119,$C$64:$AH$78,AD$63,FALSE),1)</f>
        <v>3.1724667741801595</v>
      </c>
      <c r="AE119" s="10">
        <f ca="1">SUMIFS(AE$3:AE$61,$A$3:$A$61,$A119,$D$3:$D$61,$B119)*SUMIF('COM balance'!$D$5:$D$25,'COM Assumptions'!$A119,'COM balance'!AE$5:AE$25)*IFERROR(VLOOKUP($C119,$C$64:$AH$78,AE$63,FALSE),1)</f>
        <v>1.0686989879424</v>
      </c>
      <c r="AF119" s="10">
        <f ca="1">SUMIFS(AF$3:AF$61,$A$3:$A$61,$A119,$D$3:$D$61,$B119)*SUMIF('COM balance'!$D$5:$D$25,'COM Assumptions'!$A119,'COM balance'!AF$5:AF$25)*IFERROR(VLOOKUP($C119,$C$64:$AH$78,AF$63,FALSE),1)</f>
        <v>1.2652937001104401</v>
      </c>
      <c r="AG119" s="10">
        <f ca="1">SUMIFS(AG$3:AG$61,$A$3:$A$61,$A119,$D$3:$D$61,$B119)*SUMIF('COM balance'!$D$5:$D$25,'COM Assumptions'!$A119,'COM balance'!AG$5:AG$25)*IFERROR(VLOOKUP($C119,$C$64:$AH$78,AG$63,FALSE),1)</f>
        <v>19.443232775106818</v>
      </c>
      <c r="AH119" s="10">
        <f ca="1">SUMIFS(AH$3:AH$61,$A$3:$A$61,$A119,$D$3:$D$61,$B119)*SUMIF('COM balance'!$D$5:$D$25,'COM Assumptions'!$A119,'COM balance'!AH$5:AH$25)*IFERROR(VLOOKUP($C119,$C$64:$AH$78,AH$63,FALSE),1)</f>
        <v>0</v>
      </c>
      <c r="AI119" s="10"/>
    </row>
    <row r="120" spans="1:35" x14ac:dyDescent="0.45">
      <c r="A120" s="8" t="str">
        <f t="shared" si="43"/>
        <v>COMELC</v>
      </c>
      <c r="B120" s="8" t="str">
        <f t="shared" si="41"/>
        <v>CLA</v>
      </c>
      <c r="C120" s="8" t="str">
        <f>SUBSTITUTE(SUBSTITUTE(SUBSTITUTE('COM Veda input'!B43,"CC1","CL"),"000",""),"CH1","CH")</f>
        <v>CLAHID</v>
      </c>
      <c r="E120" s="10">
        <f ca="1">SUMIFS(E$3:E$61,$A$3:$A$61,$A120,$D$3:$D$61,$B120)*SUMIF('COM balance'!$D$5:$D$25,'COM Assumptions'!$A120,'COM balance'!E$5:E$25)*IFERROR(VLOOKUP($C120,$C$64:$AH$78,E$63,FALSE),1)</f>
        <v>3.828185256312</v>
      </c>
      <c r="F120" s="10">
        <f ca="1">SUMIFS(F$3:F$61,$A$3:$A$61,$A120,$D$3:$D$61,$B120)*SUMIF('COM balance'!$D$5:$D$25,'COM Assumptions'!$A120,'COM balance'!F$5:F$25)*IFERROR(VLOOKUP($C120,$C$64:$AH$78,F$63,FALSE),1)</f>
        <v>2.3599988442720004</v>
      </c>
      <c r="G120" s="10">
        <f ca="1">SUMIFS(G$3:G$61,$A$3:$A$61,$A120,$D$3:$D$61,$B120)*SUMIF('COM balance'!$D$5:$D$25,'COM Assumptions'!$A120,'COM balance'!G$5:G$25)*IFERROR(VLOOKUP($C120,$C$64:$AH$78,G$63,FALSE),1)</f>
        <v>0</v>
      </c>
      <c r="H120" s="10">
        <f ca="1">SUMIFS(H$3:H$61,$A$3:$A$61,$A120,$D$3:$D$61,$B120)*SUMIF('COM balance'!$D$5:$D$25,'COM Assumptions'!$A120,'COM balance'!H$5:H$25)*IFERROR(VLOOKUP($C120,$C$64:$AH$78,H$63,FALSE),1)</f>
        <v>1.9530880228080001</v>
      </c>
      <c r="I120" s="10">
        <f ca="1">SUMIFS(I$3:I$61,$A$3:$A$61,$A120,$D$3:$D$61,$B120)*SUMIF('COM balance'!$D$5:$D$25,'COM Assumptions'!$A120,'COM balance'!I$5:I$25)*IFERROR(VLOOKUP($C120,$C$64:$AH$78,I$63,FALSE),1)</f>
        <v>0</v>
      </c>
      <c r="J120" s="10">
        <f ca="1">SUMIFS(J$3:J$61,$A$3:$A$61,$A120,$D$3:$D$61,$B120)*SUMIF('COM balance'!$D$5:$D$25,'COM Assumptions'!$A120,'COM balance'!J$5:J$25)*IFERROR(VLOOKUP($C120,$C$64:$AH$78,J$63,FALSE),1)</f>
        <v>16.3255274260848</v>
      </c>
      <c r="K120" s="10">
        <f ca="1">SUMIFS(K$3:K$61,$A$3:$A$61,$A120,$D$3:$D$61,$B120)*SUMIF('COM balance'!$D$5:$D$25,'COM Assumptions'!$A120,'COM balance'!K$5:K$25)*IFERROR(VLOOKUP($C120,$C$64:$AH$78,K$63,FALSE),1)</f>
        <v>4.363784346798</v>
      </c>
      <c r="L120" s="10">
        <f ca="1">SUMIFS(L$3:L$61,$A$3:$A$61,$A120,$D$3:$D$61,$B120)*SUMIF('COM balance'!$D$5:$D$25,'COM Assumptions'!$A120,'COM balance'!L$5:L$25)*IFERROR(VLOOKUP($C120,$C$64:$AH$78,L$63,FALSE),1)</f>
        <v>0</v>
      </c>
      <c r="M120" s="10">
        <f ca="1">SUMIFS(M$3:M$61,$A$3:$A$61,$A120,$D$3:$D$61,$B120)*SUMIF('COM balance'!$D$5:$D$25,'COM Assumptions'!$A120,'COM balance'!M$5:M$25)*IFERROR(VLOOKUP($C120,$C$64:$AH$78,M$63,FALSE),1)</f>
        <v>51.760332057455997</v>
      </c>
      <c r="N120" s="10">
        <f ca="1">SUMIFS(N$3:N$61,$A$3:$A$61,$A120,$D$3:$D$61,$B120)*SUMIF('COM balance'!$D$5:$D$25,'COM Assumptions'!$A120,'COM balance'!N$5:N$25)*IFERROR(VLOOKUP($C120,$C$64:$AH$78,N$63,FALSE),1)</f>
        <v>263.15533190015998</v>
      </c>
      <c r="O120" s="10">
        <f ca="1">SUMIFS(O$3:O$61,$A$3:$A$61,$A120,$D$3:$D$61,$B120)*SUMIF('COM balance'!$D$5:$D$25,'COM Assumptions'!$A120,'COM balance'!O$5:O$25)*IFERROR(VLOOKUP($C120,$C$64:$AH$78,O$63,FALSE),1)</f>
        <v>6.2143268214268801</v>
      </c>
      <c r="P120" s="10">
        <f ca="1">SUMIFS(P$3:P$61,$A$3:$A$61,$A120,$D$3:$D$61,$B120)*SUMIF('COM balance'!$D$5:$D$25,'COM Assumptions'!$A120,'COM balance'!P$5:P$25)*IFERROR(VLOOKUP($C120,$C$64:$AH$78,P$63,FALSE),1)</f>
        <v>6.7522233489120014</v>
      </c>
      <c r="Q120" s="10">
        <f ca="1">SUMIFS(Q$3:Q$61,$A$3:$A$61,$A120,$D$3:$D$61,$B120)*SUMIF('COM balance'!$D$5:$D$25,'COM Assumptions'!$A120,'COM balance'!Q$5:Q$25)*IFERROR(VLOOKUP($C120,$C$64:$AH$78,Q$63,FALSE),1)</f>
        <v>8.2197548918409602</v>
      </c>
      <c r="R120" s="10">
        <f ca="1">SUMIFS(R$3:R$61,$A$3:$A$61,$A120,$D$3:$D$61,$B120)*SUMIF('COM balance'!$D$5:$D$25,'COM Assumptions'!$A120,'COM balance'!R$5:R$25)*IFERROR(VLOOKUP($C120,$C$64:$AH$78,R$63,FALSE),1)</f>
        <v>12.399085305696961</v>
      </c>
      <c r="S120" s="10">
        <f ca="1">SUMIFS(S$3:S$61,$A$3:$A$61,$A120,$D$3:$D$61,$B120)*SUMIF('COM balance'!$D$5:$D$25,'COM Assumptions'!$A120,'COM balance'!S$5:S$25)*IFERROR(VLOOKUP($C120,$C$64:$AH$78,S$63,FALSE),1)</f>
        <v>2.5613328453120001</v>
      </c>
      <c r="T120" s="10">
        <f ca="1">SUMIFS(T$3:T$61,$A$3:$A$61,$A120,$D$3:$D$61,$B120)*SUMIF('COM balance'!$D$5:$D$25,'COM Assumptions'!$A120,'COM balance'!T$5:T$25)*IFERROR(VLOOKUP($C120,$C$64:$AH$78,T$63,FALSE),1)</f>
        <v>10.228951976555521</v>
      </c>
      <c r="U120" s="10">
        <f ca="1">SUMIFS(U$3:U$61,$A$3:$A$61,$A120,$D$3:$D$61,$B120)*SUMIF('COM balance'!$D$5:$D$25,'COM Assumptions'!$A120,'COM balance'!U$5:U$25)*IFERROR(VLOOKUP($C120,$C$64:$AH$78,U$63,FALSE),1)</f>
        <v>8.8296406334712003</v>
      </c>
      <c r="V120" s="10">
        <f ca="1">SUMIFS(V$3:V$61,$A$3:$A$61,$A120,$D$3:$D$61,$B120)*SUMIF('COM balance'!$D$5:$D$25,'COM Assumptions'!$A120,'COM balance'!V$5:V$25)*IFERROR(VLOOKUP($C120,$C$64:$AH$78,V$63,FALSE),1)</f>
        <v>15.343931275133762</v>
      </c>
      <c r="W120" s="10">
        <f ca="1">SUMIFS(W$3:W$61,$A$3:$A$61,$A120,$D$3:$D$61,$B120)*SUMIF('COM balance'!$D$5:$D$25,'COM Assumptions'!$A120,'COM balance'!W$5:W$25)*IFERROR(VLOOKUP($C120,$C$64:$AH$78,W$63,FALSE),1)</f>
        <v>14.598679726275842</v>
      </c>
      <c r="X120" s="10">
        <f ca="1">SUMIFS(X$3:X$61,$A$3:$A$61,$A120,$D$3:$D$61,$B120)*SUMIF('COM balance'!$D$5:$D$25,'COM Assumptions'!$A120,'COM balance'!X$5:X$25)*IFERROR(VLOOKUP($C120,$C$64:$AH$78,X$63,FALSE),1)</f>
        <v>32.733933429023999</v>
      </c>
      <c r="Y120" s="10">
        <f ca="1">SUMIFS(Y$3:Y$61,$A$3:$A$61,$A120,$D$3:$D$61,$B120)*SUMIF('COM balance'!$D$5:$D$25,'COM Assumptions'!$A120,'COM balance'!Y$5:Y$25)*IFERROR(VLOOKUP($C120,$C$64:$AH$78,Y$63,FALSE),1)</f>
        <v>0</v>
      </c>
      <c r="Z120" s="10">
        <f ca="1">SUMIFS(Z$3:Z$61,$A$3:$A$61,$A120,$D$3:$D$61,$B120)*SUMIF('COM balance'!$D$5:$D$25,'COM Assumptions'!$A120,'COM balance'!Z$5:Z$25)*IFERROR(VLOOKUP($C120,$C$64:$AH$78,Z$63,FALSE),1)</f>
        <v>0.3928417122708</v>
      </c>
      <c r="AA120" s="10">
        <f ca="1">SUMIFS(AA$3:AA$61,$A$3:$A$61,$A120,$D$3:$D$61,$B120)*SUMIF('COM balance'!$D$5:$D$25,'COM Assumptions'!$A120,'COM balance'!AA$5:AA$25)*IFERROR(VLOOKUP($C120,$C$64:$AH$78,AA$63,FALSE),1)</f>
        <v>10.0365284723256</v>
      </c>
      <c r="AB120" s="10">
        <f ca="1">SUMIFS(AB$3:AB$61,$A$3:$A$61,$A120,$D$3:$D$61,$B120)*SUMIF('COM balance'!$D$5:$D$25,'COM Assumptions'!$A120,'COM balance'!AB$5:AB$25)*IFERROR(VLOOKUP($C120,$C$64:$AH$78,AB$63,FALSE),1)</f>
        <v>3.0950953934659204</v>
      </c>
      <c r="AC120" s="10">
        <f ca="1">SUMIFS(AC$3:AC$61,$A$3:$A$61,$A120,$D$3:$D$61,$B120)*SUMIF('COM balance'!$D$5:$D$25,'COM Assumptions'!$A120,'COM balance'!AC$5:AC$25)*IFERROR(VLOOKUP($C120,$C$64:$AH$78,AC$63,FALSE),1)</f>
        <v>11.006560787184002</v>
      </c>
      <c r="AD120" s="10">
        <f ca="1">SUMIFS(AD$3:AD$61,$A$3:$A$61,$A120,$D$3:$D$61,$B120)*SUMIF('COM balance'!$D$5:$D$25,'COM Assumptions'!$A120,'COM balance'!AD$5:AD$25)*IFERROR(VLOOKUP($C120,$C$64:$AH$78,AD$63,FALSE),1)</f>
        <v>7.9311669354503991</v>
      </c>
      <c r="AE120" s="10">
        <f ca="1">SUMIFS(AE$3:AE$61,$A$3:$A$61,$A120,$D$3:$D$61,$B120)*SUMIF('COM balance'!$D$5:$D$25,'COM Assumptions'!$A120,'COM balance'!AE$5:AE$25)*IFERROR(VLOOKUP($C120,$C$64:$AH$78,AE$63,FALSE),1)</f>
        <v>2.6717474698560002</v>
      </c>
      <c r="AF120" s="10">
        <f ca="1">SUMIFS(AF$3:AF$61,$A$3:$A$61,$A120,$D$3:$D$61,$B120)*SUMIF('COM balance'!$D$5:$D$25,'COM Assumptions'!$A120,'COM balance'!AF$5:AF$25)*IFERROR(VLOOKUP($C120,$C$64:$AH$78,AF$63,FALSE),1)</f>
        <v>10.122349600883521</v>
      </c>
      <c r="AG120" s="10">
        <f ca="1">SUMIFS(AG$3:AG$61,$A$3:$A$61,$A120,$D$3:$D$61,$B120)*SUMIF('COM balance'!$D$5:$D$25,'COM Assumptions'!$A120,'COM balance'!AG$5:AG$25)*IFERROR(VLOOKUP($C120,$C$64:$AH$78,AG$63,FALSE),1)</f>
        <v>155.54586220085454</v>
      </c>
      <c r="AH120" s="10">
        <f ca="1">SUMIFS(AH$3:AH$61,$A$3:$A$61,$A120,$D$3:$D$61,$B120)*SUMIF('COM balance'!$D$5:$D$25,'COM Assumptions'!$A120,'COM balance'!AH$5:AH$25)*IFERROR(VLOOKUP($C120,$C$64:$AH$78,AH$63,FALSE),1)</f>
        <v>0</v>
      </c>
      <c r="AI120" s="10"/>
    </row>
    <row r="121" spans="1:35" x14ac:dyDescent="0.45">
      <c r="A121" s="8" t="str">
        <f t="shared" si="43"/>
        <v>COMELC</v>
      </c>
      <c r="B121" s="8" t="str">
        <f t="shared" si="41"/>
        <v>CLA</v>
      </c>
      <c r="C121" s="8" t="str">
        <f>SUBSTITUTE(SUBSTITUTE(SUBSTITUTE('COM Veda input'!B44,"CC1","CL"),"000",""),"CH1","CH")</f>
        <v>CLAICE</v>
      </c>
      <c r="E121" s="10">
        <f ca="1">SUMIFS(E$3:E$61,$A$3:$A$61,$A121,$D$3:$D$61,$B121)*SUMIF('COM balance'!$D$5:$D$25,'COM Assumptions'!$A121,'COM balance'!E$5:E$25)*IFERROR(VLOOKUP($C121,$C$64:$AH$78,E$63,FALSE),1)</f>
        <v>22.969111537871999</v>
      </c>
      <c r="F121" s="10">
        <f ca="1">SUMIFS(F$3:F$61,$A$3:$A$61,$A121,$D$3:$D$61,$B121)*SUMIF('COM balance'!$D$5:$D$25,'COM Assumptions'!$A121,'COM balance'!F$5:F$25)*IFERROR(VLOOKUP($C121,$C$64:$AH$78,F$63,FALSE),1)</f>
        <v>14.159993065631999</v>
      </c>
      <c r="G121" s="10">
        <f ca="1">SUMIFS(G$3:G$61,$A$3:$A$61,$A121,$D$3:$D$61,$B121)*SUMIF('COM balance'!$D$5:$D$25,'COM Assumptions'!$A121,'COM balance'!G$5:G$25)*IFERROR(VLOOKUP($C121,$C$64:$AH$78,G$63,FALSE),1)</f>
        <v>3.2821260321780006</v>
      </c>
      <c r="H121" s="10">
        <f ca="1">SUMIFS(H$3:H$61,$A$3:$A$61,$A121,$D$3:$D$61,$B121)*SUMIF('COM balance'!$D$5:$D$25,'COM Assumptions'!$A121,'COM balance'!H$5:H$25)*IFERROR(VLOOKUP($C121,$C$64:$AH$78,H$63,FALSE),1)</f>
        <v>11.718528136848001</v>
      </c>
      <c r="I121" s="10">
        <f ca="1">SUMIFS(I$3:I$61,$A$3:$A$61,$A121,$D$3:$D$61,$B121)*SUMIF('COM balance'!$D$5:$D$25,'COM Assumptions'!$A121,'COM balance'!I$5:I$25)*IFERROR(VLOOKUP($C121,$C$64:$AH$78,I$63,FALSE),1)</f>
        <v>186.00663042282963</v>
      </c>
      <c r="J121" s="10">
        <f ca="1">SUMIFS(J$3:J$61,$A$3:$A$61,$A121,$D$3:$D$61,$B121)*SUMIF('COM balance'!$D$5:$D$25,'COM Assumptions'!$A121,'COM balance'!J$5:J$25)*IFERROR(VLOOKUP($C121,$C$64:$AH$78,J$63,FALSE),1)</f>
        <v>244.88291139127199</v>
      </c>
      <c r="K121" s="10">
        <f ca="1">SUMIFS(K$3:K$61,$A$3:$A$61,$A121,$D$3:$D$61,$B121)*SUMIF('COM balance'!$D$5:$D$25,'COM Assumptions'!$A121,'COM balance'!K$5:K$25)*IFERROR(VLOOKUP($C121,$C$64:$AH$78,K$63,FALSE),1)</f>
        <v>17.455137387192</v>
      </c>
      <c r="L121" s="10">
        <f ca="1">SUMIFS(L$3:L$61,$A$3:$A$61,$A121,$D$3:$D$61,$B121)*SUMIF('COM balance'!$D$5:$D$25,'COM Assumptions'!$A121,'COM balance'!L$5:L$25)*IFERROR(VLOOKUP($C121,$C$64:$AH$78,L$63,FALSE),1)</f>
        <v>10.662790091688001</v>
      </c>
      <c r="M121" s="10">
        <f ca="1">SUMIFS(M$3:M$61,$A$3:$A$61,$A121,$D$3:$D$61,$B121)*SUMIF('COM balance'!$D$5:$D$25,'COM Assumptions'!$A121,'COM balance'!M$5:M$25)*IFERROR(VLOOKUP($C121,$C$64:$AH$78,M$63,FALSE),1)</f>
        <v>41.408265645964804</v>
      </c>
      <c r="N121" s="10">
        <f ca="1">SUMIFS(N$3:N$61,$A$3:$A$61,$A121,$D$3:$D$61,$B121)*SUMIF('COM balance'!$D$5:$D$25,'COM Assumptions'!$A121,'COM balance'!N$5:N$25)*IFERROR(VLOOKUP($C121,$C$64:$AH$78,N$63,FALSE),1)</f>
        <v>534.73163442112514</v>
      </c>
      <c r="O121" s="10">
        <f ca="1">SUMIFS(O$3:O$61,$A$3:$A$61,$A121,$D$3:$D$61,$B121)*SUMIF('COM balance'!$D$5:$D$25,'COM Assumptions'!$A121,'COM balance'!O$5:O$25)*IFERROR(VLOOKUP($C121,$C$64:$AH$78,O$63,FALSE),1)</f>
        <v>3.8839542633918001</v>
      </c>
      <c r="P121" s="10">
        <f ca="1">SUMIFS(P$3:P$61,$A$3:$A$61,$A121,$D$3:$D$61,$B121)*SUMIF('COM balance'!$D$5:$D$25,'COM Assumptions'!$A121,'COM balance'!P$5:P$25)*IFERROR(VLOOKUP($C121,$C$64:$AH$78,P$63,FALSE),1)</f>
        <v>40.513340093472003</v>
      </c>
      <c r="Q121" s="10">
        <f ca="1">SUMIFS(Q$3:Q$61,$A$3:$A$61,$A121,$D$3:$D$61,$B121)*SUMIF('COM balance'!$D$5:$D$25,'COM Assumptions'!$A121,'COM balance'!Q$5:Q$25)*IFERROR(VLOOKUP($C121,$C$64:$AH$78,Q$63,FALSE),1)</f>
        <v>5.1373468074006006</v>
      </c>
      <c r="R121" s="10">
        <f ca="1">SUMIFS(R$3:R$61,$A$3:$A$61,$A121,$D$3:$D$61,$B121)*SUMIF('COM balance'!$D$5:$D$25,'COM Assumptions'!$A121,'COM balance'!R$5:R$25)*IFERROR(VLOOKUP($C121,$C$64:$AH$78,R$63,FALSE),1)</f>
        <v>7.7494283160606008</v>
      </c>
      <c r="S121" s="10">
        <f ca="1">SUMIFS(S$3:S$61,$A$3:$A$61,$A121,$D$3:$D$61,$B121)*SUMIF('COM balance'!$D$5:$D$25,'COM Assumptions'!$A121,'COM balance'!S$5:S$25)*IFERROR(VLOOKUP($C121,$C$64:$AH$78,S$63,FALSE),1)</f>
        <v>15.367997071872001</v>
      </c>
      <c r="T121" s="10">
        <f ca="1">SUMIFS(T$3:T$61,$A$3:$A$61,$A121,$D$3:$D$61,$B121)*SUMIF('COM balance'!$D$5:$D$25,'COM Assumptions'!$A121,'COM balance'!T$5:T$25)*IFERROR(VLOOKUP($C121,$C$64:$AH$78,T$63,FALSE),1)</f>
        <v>6.3930949853472008</v>
      </c>
      <c r="U121" s="10">
        <f ca="1">SUMIFS(U$3:U$61,$A$3:$A$61,$A121,$D$3:$D$61,$B121)*SUMIF('COM balance'!$D$5:$D$25,'COM Assumptions'!$A121,'COM balance'!U$5:U$25)*IFERROR(VLOOKUP($C121,$C$64:$AH$78,U$63,FALSE),1)</f>
        <v>52.977843800827202</v>
      </c>
      <c r="V121" s="10">
        <f ca="1">SUMIFS(V$3:V$61,$A$3:$A$61,$A121,$D$3:$D$61,$B121)*SUMIF('COM balance'!$D$5:$D$25,'COM Assumptions'!$A121,'COM balance'!V$5:V$25)*IFERROR(VLOOKUP($C121,$C$64:$AH$78,V$63,FALSE),1)</f>
        <v>9.5899570469586006</v>
      </c>
      <c r="W121" s="10">
        <f ca="1">SUMIFS(W$3:W$61,$A$3:$A$61,$A121,$D$3:$D$61,$B121)*SUMIF('COM balance'!$D$5:$D$25,'COM Assumptions'!$A121,'COM balance'!W$5:W$25)*IFERROR(VLOOKUP($C121,$C$64:$AH$78,W$63,FALSE),1)</f>
        <v>9.1241748289224009</v>
      </c>
      <c r="X121" s="10">
        <f ca="1">SUMIFS(X$3:X$61,$A$3:$A$61,$A121,$D$3:$D$61,$B121)*SUMIF('COM balance'!$D$5:$D$25,'COM Assumptions'!$A121,'COM balance'!X$5:X$25)*IFERROR(VLOOKUP($C121,$C$64:$AH$78,X$63,FALSE),1)</f>
        <v>40.91741678628</v>
      </c>
      <c r="Y121" s="10">
        <f ca="1">SUMIFS(Y$3:Y$61,$A$3:$A$61,$A121,$D$3:$D$61,$B121)*SUMIF('COM balance'!$D$5:$D$25,'COM Assumptions'!$A121,'COM balance'!Y$5:Y$25)*IFERROR(VLOOKUP($C121,$C$64:$AH$78,Y$63,FALSE),1)</f>
        <v>6.7552035927012</v>
      </c>
      <c r="Z121" s="10">
        <f ca="1">SUMIFS(Z$3:Z$61,$A$3:$A$61,$A121,$D$3:$D$61,$B121)*SUMIF('COM balance'!$D$5:$D$25,'COM Assumptions'!$A121,'COM balance'!Z$5:Z$25)*IFERROR(VLOOKUP($C121,$C$64:$AH$78,Z$63,FALSE),1)</f>
        <v>9.8210428067700004</v>
      </c>
      <c r="AA121" s="10">
        <f ca="1">SUMIFS(AA$3:AA$61,$A$3:$A$61,$A121,$D$3:$D$61,$B121)*SUMIF('COM balance'!$D$5:$D$25,'COM Assumptions'!$A121,'COM balance'!AA$5:AA$25)*IFERROR(VLOOKUP($C121,$C$64:$AH$78,AA$63,FALSE),1)</f>
        <v>60.219170833953598</v>
      </c>
      <c r="AB121" s="10">
        <f ca="1">SUMIFS(AB$3:AB$61,$A$3:$A$61,$A121,$D$3:$D$61,$B121)*SUMIF('COM balance'!$D$5:$D$25,'COM Assumptions'!$A121,'COM balance'!AB$5:AB$25)*IFERROR(VLOOKUP($C121,$C$64:$AH$78,AB$63,FALSE),1)</f>
        <v>1.9344346209162002</v>
      </c>
      <c r="AC121" s="10">
        <f ca="1">SUMIFS(AC$3:AC$61,$A$3:$A$61,$A121,$D$3:$D$61,$B121)*SUMIF('COM balance'!$D$5:$D$25,'COM Assumptions'!$A121,'COM balance'!AC$5:AC$25)*IFERROR(VLOOKUP($C121,$C$64:$AH$78,AC$63,FALSE),1)</f>
        <v>66.039364723104001</v>
      </c>
      <c r="AD121" s="10">
        <f ca="1">SUMIFS(AD$3:AD$61,$A$3:$A$61,$A121,$D$3:$D$61,$B121)*SUMIF('COM balance'!$D$5:$D$25,'COM Assumptions'!$A121,'COM balance'!AD$5:AD$25)*IFERROR(VLOOKUP($C121,$C$64:$AH$78,AD$63,FALSE),1)</f>
        <v>47.587001612702394</v>
      </c>
      <c r="AE121" s="10">
        <f ca="1">SUMIFS(AE$3:AE$61,$A$3:$A$61,$A121,$D$3:$D$61,$B121)*SUMIF('COM balance'!$D$5:$D$25,'COM Assumptions'!$A121,'COM balance'!AE$5:AE$25)*IFERROR(VLOOKUP($C121,$C$64:$AH$78,AE$63,FALSE),1)</f>
        <v>16.030484819135999</v>
      </c>
      <c r="AF121" s="10">
        <f ca="1">SUMIFS(AF$3:AF$61,$A$3:$A$61,$A121,$D$3:$D$61,$B121)*SUMIF('COM balance'!$D$5:$D$25,'COM Assumptions'!$A121,'COM balance'!AF$5:AF$25)*IFERROR(VLOOKUP($C121,$C$64:$AH$78,AF$63,FALSE),1)</f>
        <v>6.3264685005522008</v>
      </c>
      <c r="AG121" s="10">
        <f ca="1">SUMIFS(AG$3:AG$61,$A$3:$A$61,$A121,$D$3:$D$61,$B121)*SUMIF('COM balance'!$D$5:$D$25,'COM Assumptions'!$A121,'COM balance'!AG$5:AG$25)*IFERROR(VLOOKUP($C121,$C$64:$AH$78,AG$63,FALSE),1)</f>
        <v>97.216163875534107</v>
      </c>
      <c r="AH121" s="10">
        <f ca="1">SUMIFS(AH$3:AH$61,$A$3:$A$61,$A121,$D$3:$D$61,$B121)*SUMIF('COM balance'!$D$5:$D$25,'COM Assumptions'!$A121,'COM balance'!AH$5:AH$25)*IFERROR(VLOOKUP($C121,$C$64:$AH$78,AH$63,FALSE),1)</f>
        <v>0</v>
      </c>
      <c r="AI121" s="10"/>
    </row>
    <row r="122" spans="1:35" x14ac:dyDescent="0.45">
      <c r="A122" s="8" t="str">
        <f t="shared" si="43"/>
        <v>COMKER</v>
      </c>
      <c r="B122" s="8" t="str">
        <f t="shared" si="41"/>
        <v>CLA</v>
      </c>
      <c r="C122" s="8" t="str">
        <f>SUBSTITUTE(SUBSTITUTE(SUBSTITUTE('COM Veda input'!B45,"CC1","CL"),"000",""),"CH1","CH")</f>
        <v>CLAKER</v>
      </c>
      <c r="E122" s="10">
        <f ca="1">SUMIFS(E$3:E$61,$A$3:$A$61,$A122,$D$3:$D$61,$B122)*SUMIF('COM balance'!$D$5:$D$25,'COM Assumptions'!$A122,'COM balance'!E$5:E$25)*IFERROR(VLOOKUP($C122,$C$64:$AH$78,E$63,FALSE),1)</f>
        <v>0</v>
      </c>
      <c r="F122" s="10">
        <f ca="1">SUMIFS(F$3:F$61,$A$3:$A$61,$A122,$D$3:$D$61,$B122)*SUMIF('COM balance'!$D$5:$D$25,'COM Assumptions'!$A122,'COM balance'!F$5:F$25)*IFERROR(VLOOKUP($C122,$C$64:$AH$78,F$63,FALSE),1)</f>
        <v>1.0958101173000001</v>
      </c>
      <c r="G122" s="10">
        <f ca="1">SUMIFS(G$3:G$61,$A$3:$A$61,$A122,$D$3:$D$61,$B122)*SUMIF('COM balance'!$D$5:$D$25,'COM Assumptions'!$A122,'COM balance'!G$5:G$25)*IFERROR(VLOOKUP($C122,$C$64:$AH$78,G$63,FALSE),1)</f>
        <v>4.2745762620000002E-2</v>
      </c>
      <c r="H122" s="10">
        <f ca="1">SUMIFS(H$3:H$61,$A$3:$A$61,$A122,$D$3:$D$61,$B122)*SUMIF('COM balance'!$D$5:$D$25,'COM Assumptions'!$A122,'COM balance'!H$5:H$25)*IFERROR(VLOOKUP($C122,$C$64:$AH$78,H$63,FALSE),1)</f>
        <v>4.3668324000000003E-3</v>
      </c>
      <c r="I122" s="10">
        <f ca="1">SUMIFS(I$3:I$61,$A$3:$A$61,$A122,$D$3:$D$61,$B122)*SUMIF('COM balance'!$D$5:$D$25,'COM Assumptions'!$A122,'COM balance'!I$5:I$25)*IFERROR(VLOOKUP($C122,$C$64:$AH$78,I$63,FALSE),1)</f>
        <v>0</v>
      </c>
      <c r="J122" s="10">
        <f ca="1">SUMIFS(J$3:J$61,$A$3:$A$61,$A122,$D$3:$D$61,$B122)*SUMIF('COM balance'!$D$5:$D$25,'COM Assumptions'!$A122,'COM balance'!J$5:J$25)*IFERROR(VLOOKUP($C122,$C$64:$AH$78,J$63,FALSE),1)</f>
        <v>3.9399512961600003</v>
      </c>
      <c r="K122" s="10">
        <f ca="1">SUMIFS(K$3:K$61,$A$3:$A$61,$A122,$D$3:$D$61,$B122)*SUMIF('COM balance'!$D$5:$D$25,'COM Assumptions'!$A122,'COM balance'!K$5:K$25)*IFERROR(VLOOKUP($C122,$C$64:$AH$78,K$63,FALSE),1)</f>
        <v>0</v>
      </c>
      <c r="L122" s="10">
        <f ca="1">SUMIFS(L$3:L$61,$A$3:$A$61,$A122,$D$3:$D$61,$B122)*SUMIF('COM balance'!$D$5:$D$25,'COM Assumptions'!$A122,'COM balance'!L$5:L$25)*IFERROR(VLOOKUP($C122,$C$64:$AH$78,L$63,FALSE),1)</f>
        <v>0</v>
      </c>
      <c r="M122" s="10">
        <f ca="1">SUMIFS(M$3:M$61,$A$3:$A$61,$A122,$D$3:$D$61,$B122)*SUMIF('COM balance'!$D$5:$D$25,'COM Assumptions'!$A122,'COM balance'!M$5:M$25)*IFERROR(VLOOKUP($C122,$C$64:$AH$78,M$63,FALSE),1)</f>
        <v>0.30835195848000002</v>
      </c>
      <c r="N122" s="10">
        <f ca="1">SUMIFS(N$3:N$61,$A$3:$A$61,$A122,$D$3:$D$61,$B122)*SUMIF('COM balance'!$D$5:$D$25,'COM Assumptions'!$A122,'COM balance'!N$5:N$25)*IFERROR(VLOOKUP($C122,$C$64:$AH$78,N$63,FALSE),1)</f>
        <v>82.818958287780006</v>
      </c>
      <c r="O122" s="10">
        <f ca="1">SUMIFS(O$3:O$61,$A$3:$A$61,$A122,$D$3:$D$61,$B122)*SUMIF('COM balance'!$D$5:$D$25,'COM Assumptions'!$A122,'COM balance'!O$5:O$25)*IFERROR(VLOOKUP($C122,$C$64:$AH$78,O$63,FALSE),1)</f>
        <v>0</v>
      </c>
      <c r="P122" s="10">
        <f ca="1">SUMIFS(P$3:P$61,$A$3:$A$61,$A122,$D$3:$D$61,$B122)*SUMIF('COM balance'!$D$5:$D$25,'COM Assumptions'!$A122,'COM balance'!P$5:P$25)*IFERROR(VLOOKUP($C122,$C$64:$AH$78,P$63,FALSE),1)</f>
        <v>1.4193252E-4</v>
      </c>
      <c r="Q122" s="10">
        <f ca="1">SUMIFS(Q$3:Q$61,$A$3:$A$61,$A122,$D$3:$D$61,$B122)*SUMIF('COM balance'!$D$5:$D$25,'COM Assumptions'!$A122,'COM balance'!Q$5:Q$25)*IFERROR(VLOOKUP($C122,$C$64:$AH$78,Q$63,FALSE),1)</f>
        <v>0</v>
      </c>
      <c r="R122" s="10">
        <f ca="1">SUMIFS(R$3:R$61,$A$3:$A$61,$A122,$D$3:$D$61,$B122)*SUMIF('COM balance'!$D$5:$D$25,'COM Assumptions'!$A122,'COM balance'!R$5:R$25)*IFERROR(VLOOKUP($C122,$C$64:$AH$78,R$63,FALSE),1)</f>
        <v>0</v>
      </c>
      <c r="S122" s="10">
        <f ca="1">SUMIFS(S$3:S$61,$A$3:$A$61,$A122,$D$3:$D$61,$B122)*SUMIF('COM balance'!$D$5:$D$25,'COM Assumptions'!$A122,'COM balance'!S$5:S$25)*IFERROR(VLOOKUP($C122,$C$64:$AH$78,S$63,FALSE),1)</f>
        <v>1.27823004E-3</v>
      </c>
      <c r="T122" s="10">
        <f ca="1">SUMIFS(T$3:T$61,$A$3:$A$61,$A122,$D$3:$D$61,$B122)*SUMIF('COM balance'!$D$5:$D$25,'COM Assumptions'!$A122,'COM balance'!T$5:T$25)*IFERROR(VLOOKUP($C122,$C$64:$AH$78,T$63,FALSE),1)</f>
        <v>0</v>
      </c>
      <c r="U122" s="10">
        <f ca="1">SUMIFS(U$3:U$61,$A$3:$A$61,$A122,$D$3:$D$61,$B122)*SUMIF('COM balance'!$D$5:$D$25,'COM Assumptions'!$A122,'COM balance'!U$5:U$25)*IFERROR(VLOOKUP($C122,$C$64:$AH$78,U$63,FALSE),1)</f>
        <v>0</v>
      </c>
      <c r="V122" s="10">
        <f ca="1">SUMIFS(V$3:V$61,$A$3:$A$61,$A122,$D$3:$D$61,$B122)*SUMIF('COM balance'!$D$5:$D$25,'COM Assumptions'!$A122,'COM balance'!V$5:V$25)*IFERROR(VLOOKUP($C122,$C$64:$AH$78,V$63,FALSE),1)</f>
        <v>0</v>
      </c>
      <c r="W122" s="10">
        <f ca="1">SUMIFS(W$3:W$61,$A$3:$A$61,$A122,$D$3:$D$61,$B122)*SUMIF('COM balance'!$D$5:$D$25,'COM Assumptions'!$A122,'COM balance'!W$5:W$25)*IFERROR(VLOOKUP($C122,$C$64:$AH$78,W$63,FALSE),1)</f>
        <v>0</v>
      </c>
      <c r="X122" s="10">
        <f ca="1">SUMIFS(X$3:X$61,$A$3:$A$61,$A122,$D$3:$D$61,$B122)*SUMIF('COM balance'!$D$5:$D$25,'COM Assumptions'!$A122,'COM balance'!X$5:X$25)*IFERROR(VLOOKUP($C122,$C$64:$AH$78,X$63,FALSE),1)</f>
        <v>3.788698122</v>
      </c>
      <c r="Y122" s="10">
        <f ca="1">SUMIFS(Y$3:Y$61,$A$3:$A$61,$A122,$D$3:$D$61,$B122)*SUMIF('COM balance'!$D$5:$D$25,'COM Assumptions'!$A122,'COM balance'!Y$5:Y$25)*IFERROR(VLOOKUP($C122,$C$64:$AH$78,Y$63,FALSE),1)</f>
        <v>0.28951135847999998</v>
      </c>
      <c r="Z122" s="10">
        <f ca="1">SUMIFS(Z$3:Z$61,$A$3:$A$61,$A122,$D$3:$D$61,$B122)*SUMIF('COM balance'!$D$5:$D$25,'COM Assumptions'!$A122,'COM balance'!Z$5:Z$25)*IFERROR(VLOOKUP($C122,$C$64:$AH$78,Z$63,FALSE),1)</f>
        <v>0</v>
      </c>
      <c r="AA122" s="10">
        <f ca="1">SUMIFS(AA$3:AA$61,$A$3:$A$61,$A122,$D$3:$D$61,$B122)*SUMIF('COM balance'!$D$5:$D$25,'COM Assumptions'!$A122,'COM balance'!AA$5:AA$25)*IFERROR(VLOOKUP($C122,$C$64:$AH$78,AA$63,FALSE),1)</f>
        <v>2.7281000394000001</v>
      </c>
      <c r="AB122" s="10">
        <f ca="1">SUMIFS(AB$3:AB$61,$A$3:$A$61,$A122,$D$3:$D$61,$B122)*SUMIF('COM balance'!$D$5:$D$25,'COM Assumptions'!$A122,'COM balance'!AB$5:AB$25)*IFERROR(VLOOKUP($C122,$C$64:$AH$78,AB$63,FALSE),1)</f>
        <v>0</v>
      </c>
      <c r="AC122" s="10">
        <f ca="1">SUMIFS(AC$3:AC$61,$A$3:$A$61,$A122,$D$3:$D$61,$B122)*SUMIF('COM balance'!$D$5:$D$25,'COM Assumptions'!$A122,'COM balance'!AC$5:AC$25)*IFERROR(VLOOKUP($C122,$C$64:$AH$78,AC$63,FALSE),1)</f>
        <v>0</v>
      </c>
      <c r="AD122" s="10">
        <f ca="1">SUMIFS(AD$3:AD$61,$A$3:$A$61,$A122,$D$3:$D$61,$B122)*SUMIF('COM balance'!$D$5:$D$25,'COM Assumptions'!$A122,'COM balance'!AD$5:AD$25)*IFERROR(VLOOKUP($C122,$C$64:$AH$78,AD$63,FALSE),1)</f>
        <v>0</v>
      </c>
      <c r="AE122" s="10">
        <f ca="1">SUMIFS(AE$3:AE$61,$A$3:$A$61,$A122,$D$3:$D$61,$B122)*SUMIF('COM balance'!$D$5:$D$25,'COM Assumptions'!$A122,'COM balance'!AE$5:AE$25)*IFERROR(VLOOKUP($C122,$C$64:$AH$78,AE$63,FALSE),1)</f>
        <v>2.8818765979199998</v>
      </c>
      <c r="AF122" s="10">
        <f ca="1">SUMIFS(AF$3:AF$61,$A$3:$A$61,$A122,$D$3:$D$61,$B122)*SUMIF('COM balance'!$D$5:$D$25,'COM Assumptions'!$A122,'COM balance'!AF$5:AF$25)*IFERROR(VLOOKUP($C122,$C$64:$AH$78,AF$63,FALSE),1)</f>
        <v>0</v>
      </c>
      <c r="AG122" s="10">
        <f ca="1">SUMIFS(AG$3:AG$61,$A$3:$A$61,$A122,$D$3:$D$61,$B122)*SUMIF('COM balance'!$D$5:$D$25,'COM Assumptions'!$A122,'COM balance'!AG$5:AG$25)*IFERROR(VLOOKUP($C122,$C$64:$AH$78,AG$63,FALSE),1)</f>
        <v>0</v>
      </c>
      <c r="AH122" s="10">
        <f ca="1">SUMIFS(AH$3:AH$61,$A$3:$A$61,$A122,$D$3:$D$61,$B122)*SUMIF('COM balance'!$D$5:$D$25,'COM Assumptions'!$A122,'COM balance'!AH$5:AH$25)*IFERROR(VLOOKUP($C122,$C$64:$AH$78,AH$63,FALSE),1)</f>
        <v>0</v>
      </c>
      <c r="AI122" s="10"/>
    </row>
    <row r="123" spans="1:35" x14ac:dyDescent="0.45">
      <c r="A123" s="8" t="str">
        <f t="shared" si="43"/>
        <v>COMELC</v>
      </c>
      <c r="B123" s="8" t="str">
        <f t="shared" si="41"/>
        <v>COE</v>
      </c>
      <c r="C123" s="8" t="str">
        <f>SUBSTITUTE(SUBSTITUTE(SUBSTITUTE('COM Veda input'!B46,"CC1","CL"),"000",""),"CH1","CH")</f>
        <v>COEELC</v>
      </c>
      <c r="E123" s="10">
        <f ca="1">SUMIFS(E$3:E$61,$A$3:$A$61,$A123,$D$3:$D$61,$B123)*SUMIF('COM balance'!$D$5:$D$25,'COM Assumptions'!$A123,'COM balance'!E$5:E$25)*IFERROR(VLOOKUP($C123,$C$64:$AH$78,E$63,FALSE),1)</f>
        <v>38.281852563119969</v>
      </c>
      <c r="F123" s="10">
        <f ca="1">SUMIFS(F$3:F$61,$A$3:$A$61,$A123,$D$3:$D$61,$B123)*SUMIF('COM balance'!$D$5:$D$25,'COM Assumptions'!$A123,'COM balance'!F$5:F$25)*IFERROR(VLOOKUP($C123,$C$64:$AH$78,F$63,FALSE),1)</f>
        <v>23.59998844271998</v>
      </c>
      <c r="G123" s="10">
        <f ca="1">SUMIFS(G$3:G$61,$A$3:$A$61,$A123,$D$3:$D$61,$B123)*SUMIF('COM balance'!$D$5:$D$25,'COM Assumptions'!$A123,'COM balance'!G$5:G$25)*IFERROR(VLOOKUP($C123,$C$64:$AH$78,G$63,FALSE),1)</f>
        <v>31.258343163599992</v>
      </c>
      <c r="H123" s="10">
        <f ca="1">SUMIFS(H$3:H$61,$A$3:$A$61,$A123,$D$3:$D$61,$B123)*SUMIF('COM balance'!$D$5:$D$25,'COM Assumptions'!$A123,'COM balance'!H$5:H$25)*IFERROR(VLOOKUP($C123,$C$64:$AH$78,H$63,FALSE),1)</f>
        <v>25.390144296503991</v>
      </c>
      <c r="I123" s="10">
        <f ca="1">SUMIFS(I$3:I$61,$A$3:$A$61,$A123,$D$3:$D$61,$B123)*SUMIF('COM balance'!$D$5:$D$25,'COM Assumptions'!$A123,'COM balance'!I$5:I$25)*IFERROR(VLOOKUP($C123,$C$64:$AH$78,I$63,FALSE),1)</f>
        <v>553.1795700307199</v>
      </c>
      <c r="J123" s="10">
        <f ca="1">SUMIFS(J$3:J$61,$A$3:$A$61,$A123,$D$3:$D$61,$B123)*SUMIF('COM balance'!$D$5:$D$25,'COM Assumptions'!$A123,'COM balance'!J$5:J$25)*IFERROR(VLOOKUP($C123,$C$64:$AH$78,J$63,FALSE),1)</f>
        <v>256.54400240990401</v>
      </c>
      <c r="K123" s="10">
        <f ca="1">SUMIFS(K$3:K$61,$A$3:$A$61,$A123,$D$3:$D$61,$B123)*SUMIF('COM balance'!$D$5:$D$25,'COM Assumptions'!$A123,'COM balance'!K$5:K$25)*IFERROR(VLOOKUP($C123,$C$64:$AH$78,K$63,FALSE),1)</f>
        <v>72.729739113299999</v>
      </c>
      <c r="L123" s="10">
        <f ca="1">SUMIFS(L$3:L$61,$A$3:$A$61,$A123,$D$3:$D$61,$B123)*SUMIF('COM balance'!$D$5:$D$25,'COM Assumptions'!$A123,'COM balance'!L$5:L$25)*IFERROR(VLOOKUP($C123,$C$64:$AH$78,L$63,FALSE),1)</f>
        <v>101.55038182559998</v>
      </c>
      <c r="M123" s="10">
        <f ca="1">SUMIFS(M$3:M$61,$A$3:$A$61,$A123,$D$3:$D$61,$B123)*SUMIF('COM balance'!$D$5:$D$25,'COM Assumptions'!$A123,'COM balance'!M$5:M$25)*IFERROR(VLOOKUP($C123,$C$64:$AH$78,M$63,FALSE),1)</f>
        <v>108.96912012095991</v>
      </c>
      <c r="N123" s="10">
        <f ca="1">SUMIFS(N$3:N$61,$A$3:$A$61,$A123,$D$3:$D$61,$B123)*SUMIF('COM balance'!$D$5:$D$25,'COM Assumptions'!$A123,'COM balance'!N$5:N$25)*IFERROR(VLOOKUP($C123,$C$64:$AH$78,N$63,FALSE),1)</f>
        <v>350.87377586688012</v>
      </c>
      <c r="O123" s="10">
        <f ca="1">SUMIFS(O$3:O$61,$A$3:$A$61,$A123,$D$3:$D$61,$B123)*SUMIF('COM balance'!$D$5:$D$25,'COM Assumptions'!$A123,'COM balance'!O$5:O$25)*IFERROR(VLOOKUP($C123,$C$64:$AH$78,O$63,FALSE),1)</f>
        <v>33.860114091108002</v>
      </c>
      <c r="P123" s="10">
        <f ca="1">SUMIFS(P$3:P$61,$A$3:$A$61,$A123,$D$3:$D$61,$B123)*SUMIF('COM balance'!$D$5:$D$25,'COM Assumptions'!$A123,'COM balance'!P$5:P$25)*IFERROR(VLOOKUP($C123,$C$64:$AH$78,P$63,FALSE),1)</f>
        <v>87.778903535855974</v>
      </c>
      <c r="Q123" s="10">
        <f ca="1">SUMIFS(Q$3:Q$61,$A$3:$A$61,$A123,$D$3:$D$61,$B123)*SUMIF('COM balance'!$D$5:$D$25,'COM Assumptions'!$A123,'COM balance'!Q$5:Q$25)*IFERROR(VLOOKUP($C123,$C$64:$AH$78,Q$63,FALSE),1)</f>
        <v>44.787126013236005</v>
      </c>
      <c r="R123" s="10">
        <f ca="1">SUMIFS(R$3:R$61,$A$3:$A$61,$A123,$D$3:$D$61,$B123)*SUMIF('COM balance'!$D$5:$D$25,'COM Assumptions'!$A123,'COM balance'!R$5:R$25)*IFERROR(VLOOKUP($C123,$C$64:$AH$78,R$63,FALSE),1)</f>
        <v>67.55911865283602</v>
      </c>
      <c r="S123" s="10">
        <f ca="1">SUMIFS(S$3:S$61,$A$3:$A$61,$A123,$D$3:$D$61,$B123)*SUMIF('COM balance'!$D$5:$D$25,'COM Assumptions'!$A123,'COM balance'!S$5:S$25)*IFERROR(VLOOKUP($C123,$C$64:$AH$78,S$63,FALSE),1)</f>
        <v>33.297326989055989</v>
      </c>
      <c r="T123" s="10">
        <f ca="1">SUMIFS(T$3:T$61,$A$3:$A$61,$A123,$D$3:$D$61,$B123)*SUMIF('COM balance'!$D$5:$D$25,'COM Assumptions'!$A123,'COM balance'!T$5:T$25)*IFERROR(VLOOKUP($C123,$C$64:$AH$78,T$63,FALSE),1)</f>
        <v>55.734674231232013</v>
      </c>
      <c r="U123" s="10">
        <f ca="1">SUMIFS(U$3:U$61,$A$3:$A$61,$A123,$D$3:$D$61,$B123)*SUMIF('COM balance'!$D$5:$D$25,'COM Assumptions'!$A123,'COM balance'!U$5:U$25)*IFERROR(VLOOKUP($C123,$C$64:$AH$78,U$63,FALSE),1)</f>
        <v>98.107118149679977</v>
      </c>
      <c r="V123" s="10">
        <f ca="1">SUMIFS(V$3:V$61,$A$3:$A$61,$A123,$D$3:$D$61,$B123)*SUMIF('COM balance'!$D$5:$D$25,'COM Assumptions'!$A123,'COM balance'!V$5:V$25)*IFERROR(VLOOKUP($C123,$C$64:$AH$78,V$63,FALSE),1)</f>
        <v>83.604753742716028</v>
      </c>
      <c r="W123" s="10">
        <f ca="1">SUMIFS(W$3:W$61,$A$3:$A$61,$A123,$D$3:$D$61,$B123)*SUMIF('COM balance'!$D$5:$D$25,'COM Assumptions'!$A123,'COM balance'!W$5:W$25)*IFERROR(VLOOKUP($C123,$C$64:$AH$78,W$63,FALSE),1)</f>
        <v>79.544088252144022</v>
      </c>
      <c r="X123" s="10">
        <f ca="1">SUMIFS(X$3:X$61,$A$3:$A$61,$A123,$D$3:$D$61,$B123)*SUMIF('COM balance'!$D$5:$D$25,'COM Assumptions'!$A123,'COM balance'!X$5:X$25)*IFERROR(VLOOKUP($C123,$C$64:$AH$78,X$63,FALSE),1)</f>
        <v>130.93573371609597</v>
      </c>
      <c r="Y123" s="10">
        <f ca="1">SUMIFS(Y$3:Y$61,$A$3:$A$61,$A123,$D$3:$D$61,$B123)*SUMIF('COM balance'!$D$5:$D$25,'COM Assumptions'!$A123,'COM balance'!Y$5:Y$25)*IFERROR(VLOOKUP($C123,$C$64:$AH$78,Y$63,FALSE),1)</f>
        <v>64.335272311439979</v>
      </c>
      <c r="Z123" s="10">
        <f ca="1">SUMIFS(Z$3:Z$61,$A$3:$A$61,$A123,$D$3:$D$61,$B123)*SUMIF('COM balance'!$D$5:$D$25,'COM Assumptions'!$A123,'COM balance'!Z$5:Z$25)*IFERROR(VLOOKUP($C123,$C$64:$AH$78,Z$63,FALSE),1)</f>
        <v>20.675879593199994</v>
      </c>
      <c r="AA123" s="10">
        <f ca="1">SUMIFS(AA$3:AA$61,$A$3:$A$61,$A123,$D$3:$D$61,$B123)*SUMIF('COM balance'!$D$5:$D$25,'COM Assumptions'!$A123,'COM balance'!AA$5:AA$25)*IFERROR(VLOOKUP($C123,$C$64:$AH$78,AA$63,FALSE),1)</f>
        <v>111.51698302583998</v>
      </c>
      <c r="AB123" s="10">
        <f ca="1">SUMIFS(AB$3:AB$61,$A$3:$A$61,$A123,$D$3:$D$61,$B123)*SUMIF('COM balance'!$D$5:$D$25,'COM Assumptions'!$A123,'COM balance'!AB$5:AB$25)*IFERROR(VLOOKUP($C123,$C$64:$AH$78,AB$63,FALSE),1)</f>
        <v>16.864301823372003</v>
      </c>
      <c r="AC123" s="10">
        <f ca="1">SUMIFS(AC$3:AC$61,$A$3:$A$61,$A123,$D$3:$D$61,$B123)*SUMIF('COM balance'!$D$5:$D$25,'COM Assumptions'!$A123,'COM balance'!AC$5:AC$25)*IFERROR(VLOOKUP($C123,$C$64:$AH$78,AC$63,FALSE),1)</f>
        <v>143.08529023339196</v>
      </c>
      <c r="AD123" s="10">
        <f ca="1">SUMIFS(AD$3:AD$61,$A$3:$A$61,$A123,$D$3:$D$61,$B123)*SUMIF('COM balance'!$D$5:$D$25,'COM Assumptions'!$A123,'COM balance'!AD$5:AD$25)*IFERROR(VLOOKUP($C123,$C$64:$AH$78,AD$63,FALSE),1)</f>
        <v>88.124077060559983</v>
      </c>
      <c r="AE123" s="10">
        <f ca="1">SUMIFS(AE$3:AE$61,$A$3:$A$61,$A123,$D$3:$D$61,$B123)*SUMIF('COM balance'!$D$5:$D$25,'COM Assumptions'!$A123,'COM balance'!AE$5:AE$25)*IFERROR(VLOOKUP($C123,$C$64:$AH$78,AE$63,FALSE),1)</f>
        <v>26.717474698559979</v>
      </c>
      <c r="AF123" s="10">
        <f ca="1">SUMIFS(AF$3:AF$61,$A$3:$A$61,$A123,$D$3:$D$61,$B123)*SUMIF('COM balance'!$D$5:$D$25,'COM Assumptions'!$A123,'COM balance'!AF$5:AF$25)*IFERROR(VLOOKUP($C123,$C$64:$AH$78,AF$63,FALSE),1)</f>
        <v>55.153827953532016</v>
      </c>
      <c r="AG123" s="10">
        <f ca="1">SUMIFS(AG$3:AG$61,$A$3:$A$61,$A123,$D$3:$D$61,$B123)*SUMIF('COM balance'!$D$5:$D$25,'COM Assumptions'!$A123,'COM balance'!AG$5:AG$25)*IFERROR(VLOOKUP($C123,$C$64:$AH$78,AG$63,FALSE),1)</f>
        <v>1148.3718866232498</v>
      </c>
      <c r="AH123" s="10">
        <f ca="1">SUMIFS(AH$3:AH$61,$A$3:$A$61,$A123,$D$3:$D$61,$B123)*SUMIF('COM balance'!$D$5:$D$25,'COM Assumptions'!$A123,'COM balance'!AH$5:AH$25)*IFERROR(VLOOKUP($C123,$C$64:$AH$78,AH$63,FALSE),1)</f>
        <v>0</v>
      </c>
      <c r="AI123" s="10"/>
    </row>
    <row r="124" spans="1:35" x14ac:dyDescent="0.45">
      <c r="A124" s="8" t="str">
        <f t="shared" si="43"/>
        <v>COMOIL</v>
      </c>
      <c r="B124" s="8" t="str">
        <f t="shared" si="41"/>
        <v>COT</v>
      </c>
      <c r="C124" s="8" t="str">
        <f>SUBSTITUTE(SUBSTITUTE(SUBSTITUTE('COM Veda input'!B47,"CC1","CL"),"000",""),"CH1","CH")</f>
        <v>COTDST</v>
      </c>
      <c r="E124" s="10">
        <f ca="1">SUMIFS(E$3:E$61,$A$3:$A$61,$A124,$D$3:$D$61,$B124)*SUMIF('COM balance'!$D$5:$D$25,'COM Assumptions'!$A124,'COM balance'!E$5:E$25)*IFERROR(VLOOKUP($C124,$C$64:$AH$78,E$63,FALSE),1)</f>
        <v>0</v>
      </c>
      <c r="F124" s="10">
        <f ca="1">SUMIFS(F$3:F$61,$A$3:$A$61,$A124,$D$3:$D$61,$B124)*SUMIF('COM balance'!$D$5:$D$25,'COM Assumptions'!$A124,'COM balance'!F$5:F$25)*IFERROR(VLOOKUP($C124,$C$64:$AH$78,F$63,FALSE),1)</f>
        <v>0</v>
      </c>
      <c r="G124" s="10">
        <f ca="1">SUMIFS(G$3:G$61,$A$3:$A$61,$A124,$D$3:$D$61,$B124)*SUMIF('COM balance'!$D$5:$D$25,'COM Assumptions'!$A124,'COM balance'!G$5:G$25)*IFERROR(VLOOKUP($C124,$C$64:$AH$78,G$63,FALSE),1)</f>
        <v>0</v>
      </c>
      <c r="H124" s="10">
        <f ca="1">SUMIFS(H$3:H$61,$A$3:$A$61,$A124,$D$3:$D$61,$B124)*SUMIF('COM balance'!$D$5:$D$25,'COM Assumptions'!$A124,'COM balance'!H$5:H$25)*IFERROR(VLOOKUP($C124,$C$64:$AH$78,H$63,FALSE),1)</f>
        <v>0</v>
      </c>
      <c r="I124" s="10">
        <f ca="1">SUMIFS(I$3:I$61,$A$3:$A$61,$A124,$D$3:$D$61,$B124)*SUMIF('COM balance'!$D$5:$D$25,'COM Assumptions'!$A124,'COM balance'!I$5:I$25)*IFERROR(VLOOKUP($C124,$C$64:$AH$78,I$63,FALSE),1)</f>
        <v>0</v>
      </c>
      <c r="J124" s="10">
        <f ca="1">SUMIFS(J$3:J$61,$A$3:$A$61,$A124,$D$3:$D$61,$B124)*SUMIF('COM balance'!$D$5:$D$25,'COM Assumptions'!$A124,'COM balance'!J$5:J$25)*IFERROR(VLOOKUP($C124,$C$64:$AH$78,J$63,FALSE),1)</f>
        <v>0</v>
      </c>
      <c r="K124" s="10">
        <f ca="1">SUMIFS(K$3:K$61,$A$3:$A$61,$A124,$D$3:$D$61,$B124)*SUMIF('COM balance'!$D$5:$D$25,'COM Assumptions'!$A124,'COM balance'!K$5:K$25)*IFERROR(VLOOKUP($C124,$C$64:$AH$78,K$63,FALSE),1)</f>
        <v>0</v>
      </c>
      <c r="L124" s="10">
        <f ca="1">SUMIFS(L$3:L$61,$A$3:$A$61,$A124,$D$3:$D$61,$B124)*SUMIF('COM balance'!$D$5:$D$25,'COM Assumptions'!$A124,'COM balance'!L$5:L$25)*IFERROR(VLOOKUP($C124,$C$64:$AH$78,L$63,FALSE),1)</f>
        <v>0</v>
      </c>
      <c r="M124" s="10">
        <f ca="1">SUMIFS(M$3:M$61,$A$3:$A$61,$A124,$D$3:$D$61,$B124)*SUMIF('COM balance'!$D$5:$D$25,'COM Assumptions'!$A124,'COM balance'!M$5:M$25)*IFERROR(VLOOKUP($C124,$C$64:$AH$78,M$63,FALSE),1)</f>
        <v>0</v>
      </c>
      <c r="N124" s="10">
        <f ca="1">SUMIFS(N$3:N$61,$A$3:$A$61,$A124,$D$3:$D$61,$B124)*SUMIF('COM balance'!$D$5:$D$25,'COM Assumptions'!$A124,'COM balance'!N$5:N$25)*IFERROR(VLOOKUP($C124,$C$64:$AH$78,N$63,FALSE),1)</f>
        <v>0</v>
      </c>
      <c r="O124" s="10">
        <f ca="1">SUMIFS(O$3:O$61,$A$3:$A$61,$A124,$D$3:$D$61,$B124)*SUMIF('COM balance'!$D$5:$D$25,'COM Assumptions'!$A124,'COM balance'!O$5:O$25)*IFERROR(VLOOKUP($C124,$C$64:$AH$78,O$63,FALSE),1)</f>
        <v>0</v>
      </c>
      <c r="P124" s="10">
        <f ca="1">SUMIFS(P$3:P$61,$A$3:$A$61,$A124,$D$3:$D$61,$B124)*SUMIF('COM balance'!$D$5:$D$25,'COM Assumptions'!$A124,'COM balance'!P$5:P$25)*IFERROR(VLOOKUP($C124,$C$64:$AH$78,P$63,FALSE),1)</f>
        <v>0</v>
      </c>
      <c r="Q124" s="10">
        <f ca="1">SUMIFS(Q$3:Q$61,$A$3:$A$61,$A124,$D$3:$D$61,$B124)*SUMIF('COM balance'!$D$5:$D$25,'COM Assumptions'!$A124,'COM balance'!Q$5:Q$25)*IFERROR(VLOOKUP($C124,$C$64:$AH$78,Q$63,FALSE),1)</f>
        <v>0</v>
      </c>
      <c r="R124" s="10">
        <f ca="1">SUMIFS(R$3:R$61,$A$3:$A$61,$A124,$D$3:$D$61,$B124)*SUMIF('COM balance'!$D$5:$D$25,'COM Assumptions'!$A124,'COM balance'!R$5:R$25)*IFERROR(VLOOKUP($C124,$C$64:$AH$78,R$63,FALSE),1)</f>
        <v>0</v>
      </c>
      <c r="S124" s="10">
        <f ca="1">SUMIFS(S$3:S$61,$A$3:$A$61,$A124,$D$3:$D$61,$B124)*SUMIF('COM balance'!$D$5:$D$25,'COM Assumptions'!$A124,'COM balance'!S$5:S$25)*IFERROR(VLOOKUP($C124,$C$64:$AH$78,S$63,FALSE),1)</f>
        <v>0</v>
      </c>
      <c r="T124" s="10">
        <f ca="1">SUMIFS(T$3:T$61,$A$3:$A$61,$A124,$D$3:$D$61,$B124)*SUMIF('COM balance'!$D$5:$D$25,'COM Assumptions'!$A124,'COM balance'!T$5:T$25)*IFERROR(VLOOKUP($C124,$C$64:$AH$78,T$63,FALSE),1)</f>
        <v>0</v>
      </c>
      <c r="U124" s="10">
        <f ca="1">SUMIFS(U$3:U$61,$A$3:$A$61,$A124,$D$3:$D$61,$B124)*SUMIF('COM balance'!$D$5:$D$25,'COM Assumptions'!$A124,'COM balance'!U$5:U$25)*IFERROR(VLOOKUP($C124,$C$64:$AH$78,U$63,FALSE),1)</f>
        <v>0</v>
      </c>
      <c r="V124" s="10">
        <f ca="1">SUMIFS(V$3:V$61,$A$3:$A$61,$A124,$D$3:$D$61,$B124)*SUMIF('COM balance'!$D$5:$D$25,'COM Assumptions'!$A124,'COM balance'!V$5:V$25)*IFERROR(VLOOKUP($C124,$C$64:$AH$78,V$63,FALSE),1)</f>
        <v>0</v>
      </c>
      <c r="W124" s="10">
        <f ca="1">SUMIFS(W$3:W$61,$A$3:$A$61,$A124,$D$3:$D$61,$B124)*SUMIF('COM balance'!$D$5:$D$25,'COM Assumptions'!$A124,'COM balance'!W$5:W$25)*IFERROR(VLOOKUP($C124,$C$64:$AH$78,W$63,FALSE),1)</f>
        <v>0</v>
      </c>
      <c r="X124" s="10">
        <f ca="1">SUMIFS(X$3:X$61,$A$3:$A$61,$A124,$D$3:$D$61,$B124)*SUMIF('COM balance'!$D$5:$D$25,'COM Assumptions'!$A124,'COM balance'!X$5:X$25)*IFERROR(VLOOKUP($C124,$C$64:$AH$78,X$63,FALSE),1)</f>
        <v>0</v>
      </c>
      <c r="Y124" s="10">
        <f ca="1">SUMIFS(Y$3:Y$61,$A$3:$A$61,$A124,$D$3:$D$61,$B124)*SUMIF('COM balance'!$D$5:$D$25,'COM Assumptions'!$A124,'COM balance'!Y$5:Y$25)*IFERROR(VLOOKUP($C124,$C$64:$AH$78,Y$63,FALSE),1)</f>
        <v>0</v>
      </c>
      <c r="Z124" s="10">
        <f ca="1">SUMIFS(Z$3:Z$61,$A$3:$A$61,$A124,$D$3:$D$61,$B124)*SUMIF('COM balance'!$D$5:$D$25,'COM Assumptions'!$A124,'COM balance'!Z$5:Z$25)*IFERROR(VLOOKUP($C124,$C$64:$AH$78,Z$63,FALSE),1)</f>
        <v>0</v>
      </c>
      <c r="AA124" s="10">
        <f ca="1">SUMIFS(AA$3:AA$61,$A$3:$A$61,$A124,$D$3:$D$61,$B124)*SUMIF('COM balance'!$D$5:$D$25,'COM Assumptions'!$A124,'COM balance'!AA$5:AA$25)*IFERROR(VLOOKUP($C124,$C$64:$AH$78,AA$63,FALSE),1)</f>
        <v>0</v>
      </c>
      <c r="AB124" s="10">
        <f ca="1">SUMIFS(AB$3:AB$61,$A$3:$A$61,$A124,$D$3:$D$61,$B124)*SUMIF('COM balance'!$D$5:$D$25,'COM Assumptions'!$A124,'COM balance'!AB$5:AB$25)*IFERROR(VLOOKUP($C124,$C$64:$AH$78,AB$63,FALSE),1)</f>
        <v>0</v>
      </c>
      <c r="AC124" s="10">
        <f ca="1">SUMIFS(AC$3:AC$61,$A$3:$A$61,$A124,$D$3:$D$61,$B124)*SUMIF('COM balance'!$D$5:$D$25,'COM Assumptions'!$A124,'COM balance'!AC$5:AC$25)*IFERROR(VLOOKUP($C124,$C$64:$AH$78,AC$63,FALSE),1)</f>
        <v>0</v>
      </c>
      <c r="AD124" s="10">
        <f ca="1">SUMIFS(AD$3:AD$61,$A$3:$A$61,$A124,$D$3:$D$61,$B124)*SUMIF('COM balance'!$D$5:$D$25,'COM Assumptions'!$A124,'COM balance'!AD$5:AD$25)*IFERROR(VLOOKUP($C124,$C$64:$AH$78,AD$63,FALSE),1)</f>
        <v>0</v>
      </c>
      <c r="AE124" s="10">
        <f ca="1">SUMIFS(AE$3:AE$61,$A$3:$A$61,$A124,$D$3:$D$61,$B124)*SUMIF('COM balance'!$D$5:$D$25,'COM Assumptions'!$A124,'COM balance'!AE$5:AE$25)*IFERROR(VLOOKUP($C124,$C$64:$AH$78,AE$63,FALSE),1)</f>
        <v>0</v>
      </c>
      <c r="AF124" s="10">
        <f ca="1">SUMIFS(AF$3:AF$61,$A$3:$A$61,$A124,$D$3:$D$61,$B124)*SUMIF('COM balance'!$D$5:$D$25,'COM Assumptions'!$A124,'COM balance'!AF$5:AF$25)*IFERROR(VLOOKUP($C124,$C$64:$AH$78,AF$63,FALSE),1)</f>
        <v>0</v>
      </c>
      <c r="AG124" s="10">
        <f ca="1">SUMIFS(AG$3:AG$61,$A$3:$A$61,$A124,$D$3:$D$61,$B124)*SUMIF('COM balance'!$D$5:$D$25,'COM Assumptions'!$A124,'COM balance'!AG$5:AG$25)*IFERROR(VLOOKUP($C124,$C$64:$AH$78,AG$63,FALSE),1)</f>
        <v>26.886270195296468</v>
      </c>
      <c r="AH124" s="10">
        <f ca="1">SUMIFS(AH$3:AH$61,$A$3:$A$61,$A124,$D$3:$D$61,$B124)*SUMIF('COM balance'!$D$5:$D$25,'COM Assumptions'!$A124,'COM balance'!AH$5:AH$25)*IFERROR(VLOOKUP($C124,$C$64:$AH$78,AH$63,FALSE),1)</f>
        <v>0</v>
      </c>
      <c r="AI124" s="10"/>
    </row>
    <row r="125" spans="1:35" x14ac:dyDescent="0.45">
      <c r="A125" s="8" t="str">
        <f t="shared" si="43"/>
        <v>COMELC</v>
      </c>
      <c r="B125" s="8" t="str">
        <f t="shared" si="41"/>
        <v>COT</v>
      </c>
      <c r="C125" s="8" t="str">
        <f>SUBSTITUTE(SUBSTITUTE(SUBSTITUTE('COM Veda input'!B48,"CC1","CL"),"000",""),"CH1","CH")</f>
        <v>COTELC</v>
      </c>
      <c r="E125" s="10">
        <f ca="1">SUMIFS(E$3:E$61,$A$3:$A$61,$A125,$D$3:$D$61,$B125)*SUMIF('COM balance'!$D$5:$D$25,'COM Assumptions'!$A125,'COM balance'!E$5:E$25)*IFERROR(VLOOKUP($C125,$C$64:$AH$78,E$63,FALSE),1)</f>
        <v>0</v>
      </c>
      <c r="F125" s="10">
        <f ca="1">SUMIFS(F$3:F$61,$A$3:$A$61,$A125,$D$3:$D$61,$B125)*SUMIF('COM balance'!$D$5:$D$25,'COM Assumptions'!$A125,'COM balance'!F$5:F$25)*IFERROR(VLOOKUP($C125,$C$64:$AH$78,F$63,FALSE),1)</f>
        <v>0</v>
      </c>
      <c r="G125" s="10">
        <f ca="1">SUMIFS(G$3:G$61,$A$3:$A$61,$A125,$D$3:$D$61,$B125)*SUMIF('COM balance'!$D$5:$D$25,'COM Assumptions'!$A125,'COM balance'!G$5:G$25)*IFERROR(VLOOKUP($C125,$C$64:$AH$78,G$63,FALSE),1)</f>
        <v>0</v>
      </c>
      <c r="H125" s="10">
        <f ca="1">SUMIFS(H$3:H$61,$A$3:$A$61,$A125,$D$3:$D$61,$B125)*SUMIF('COM balance'!$D$5:$D$25,'COM Assumptions'!$A125,'COM balance'!H$5:H$25)*IFERROR(VLOOKUP($C125,$C$64:$AH$78,H$63,FALSE),1)</f>
        <v>0</v>
      </c>
      <c r="I125" s="10">
        <f ca="1">SUMIFS(I$3:I$61,$A$3:$A$61,$A125,$D$3:$D$61,$B125)*SUMIF('COM balance'!$D$5:$D$25,'COM Assumptions'!$A125,'COM balance'!I$5:I$25)*IFERROR(VLOOKUP($C125,$C$64:$AH$78,I$63,FALSE),1)</f>
        <v>0</v>
      </c>
      <c r="J125" s="10">
        <f ca="1">SUMIFS(J$3:J$61,$A$3:$A$61,$A125,$D$3:$D$61,$B125)*SUMIF('COM balance'!$D$5:$D$25,'COM Assumptions'!$A125,'COM balance'!J$5:J$25)*IFERROR(VLOOKUP($C125,$C$64:$AH$78,J$63,FALSE),1)</f>
        <v>0</v>
      </c>
      <c r="K125" s="10">
        <f ca="1">SUMIFS(K$3:K$61,$A$3:$A$61,$A125,$D$3:$D$61,$B125)*SUMIF('COM balance'!$D$5:$D$25,'COM Assumptions'!$A125,'COM balance'!K$5:K$25)*IFERROR(VLOOKUP($C125,$C$64:$AH$78,K$63,FALSE),1)</f>
        <v>0</v>
      </c>
      <c r="L125" s="10">
        <f ca="1">SUMIFS(L$3:L$61,$A$3:$A$61,$A125,$D$3:$D$61,$B125)*SUMIF('COM balance'!$D$5:$D$25,'COM Assumptions'!$A125,'COM balance'!L$5:L$25)*IFERROR(VLOOKUP($C125,$C$64:$AH$78,L$63,FALSE),1)</f>
        <v>0</v>
      </c>
      <c r="M125" s="10">
        <f ca="1">SUMIFS(M$3:M$61,$A$3:$A$61,$A125,$D$3:$D$61,$B125)*SUMIF('COM balance'!$D$5:$D$25,'COM Assumptions'!$A125,'COM balance'!M$5:M$25)*IFERROR(VLOOKUP($C125,$C$64:$AH$78,M$63,FALSE),1)</f>
        <v>0</v>
      </c>
      <c r="N125" s="10">
        <f ca="1">SUMIFS(N$3:N$61,$A$3:$A$61,$A125,$D$3:$D$61,$B125)*SUMIF('COM balance'!$D$5:$D$25,'COM Assumptions'!$A125,'COM balance'!N$5:N$25)*IFERROR(VLOOKUP($C125,$C$64:$AH$78,N$63,FALSE),1)</f>
        <v>0</v>
      </c>
      <c r="O125" s="10">
        <f ca="1">SUMIFS(O$3:O$61,$A$3:$A$61,$A125,$D$3:$D$61,$B125)*SUMIF('COM balance'!$D$5:$D$25,'COM Assumptions'!$A125,'COM balance'!O$5:O$25)*IFERROR(VLOOKUP($C125,$C$64:$AH$78,O$63,FALSE),1)</f>
        <v>0</v>
      </c>
      <c r="P125" s="10">
        <f ca="1">SUMIFS(P$3:P$61,$A$3:$A$61,$A125,$D$3:$D$61,$B125)*SUMIF('COM balance'!$D$5:$D$25,'COM Assumptions'!$A125,'COM balance'!P$5:P$25)*IFERROR(VLOOKUP($C125,$C$64:$AH$78,P$63,FALSE),1)</f>
        <v>0</v>
      </c>
      <c r="Q125" s="10">
        <f ca="1">SUMIFS(Q$3:Q$61,$A$3:$A$61,$A125,$D$3:$D$61,$B125)*SUMIF('COM balance'!$D$5:$D$25,'COM Assumptions'!$A125,'COM balance'!Q$5:Q$25)*IFERROR(VLOOKUP($C125,$C$64:$AH$78,Q$63,FALSE),1)</f>
        <v>0</v>
      </c>
      <c r="R125" s="10">
        <f ca="1">SUMIFS(R$3:R$61,$A$3:$A$61,$A125,$D$3:$D$61,$B125)*SUMIF('COM balance'!$D$5:$D$25,'COM Assumptions'!$A125,'COM balance'!R$5:R$25)*IFERROR(VLOOKUP($C125,$C$64:$AH$78,R$63,FALSE),1)</f>
        <v>0</v>
      </c>
      <c r="S125" s="10">
        <f ca="1">SUMIFS(S$3:S$61,$A$3:$A$61,$A125,$D$3:$D$61,$B125)*SUMIF('COM balance'!$D$5:$D$25,'COM Assumptions'!$A125,'COM balance'!S$5:S$25)*IFERROR(VLOOKUP($C125,$C$64:$AH$78,S$63,FALSE),1)</f>
        <v>0</v>
      </c>
      <c r="T125" s="10">
        <f ca="1">SUMIFS(T$3:T$61,$A$3:$A$61,$A125,$D$3:$D$61,$B125)*SUMIF('COM balance'!$D$5:$D$25,'COM Assumptions'!$A125,'COM balance'!T$5:T$25)*IFERROR(VLOOKUP($C125,$C$64:$AH$78,T$63,FALSE),1)</f>
        <v>0</v>
      </c>
      <c r="U125" s="10">
        <f ca="1">SUMIFS(U$3:U$61,$A$3:$A$61,$A125,$D$3:$D$61,$B125)*SUMIF('COM balance'!$D$5:$D$25,'COM Assumptions'!$A125,'COM balance'!U$5:U$25)*IFERROR(VLOOKUP($C125,$C$64:$AH$78,U$63,FALSE),1)</f>
        <v>0</v>
      </c>
      <c r="V125" s="10">
        <f ca="1">SUMIFS(V$3:V$61,$A$3:$A$61,$A125,$D$3:$D$61,$B125)*SUMIF('COM balance'!$D$5:$D$25,'COM Assumptions'!$A125,'COM balance'!V$5:V$25)*IFERROR(VLOOKUP($C125,$C$64:$AH$78,V$63,FALSE),1)</f>
        <v>0</v>
      </c>
      <c r="W125" s="10">
        <f ca="1">SUMIFS(W$3:W$61,$A$3:$A$61,$A125,$D$3:$D$61,$B125)*SUMIF('COM balance'!$D$5:$D$25,'COM Assumptions'!$A125,'COM balance'!W$5:W$25)*IFERROR(VLOOKUP($C125,$C$64:$AH$78,W$63,FALSE),1)</f>
        <v>0</v>
      </c>
      <c r="X125" s="10">
        <f ca="1">SUMIFS(X$3:X$61,$A$3:$A$61,$A125,$D$3:$D$61,$B125)*SUMIF('COM balance'!$D$5:$D$25,'COM Assumptions'!$A125,'COM balance'!X$5:X$25)*IFERROR(VLOOKUP($C125,$C$64:$AH$78,X$63,FALSE),1)</f>
        <v>0</v>
      </c>
      <c r="Y125" s="10">
        <f ca="1">SUMIFS(Y$3:Y$61,$A$3:$A$61,$A125,$D$3:$D$61,$B125)*SUMIF('COM balance'!$D$5:$D$25,'COM Assumptions'!$A125,'COM balance'!Y$5:Y$25)*IFERROR(VLOOKUP($C125,$C$64:$AH$78,Y$63,FALSE),1)</f>
        <v>0</v>
      </c>
      <c r="Z125" s="10">
        <f ca="1">SUMIFS(Z$3:Z$61,$A$3:$A$61,$A125,$D$3:$D$61,$B125)*SUMIF('COM balance'!$D$5:$D$25,'COM Assumptions'!$A125,'COM balance'!Z$5:Z$25)*IFERROR(VLOOKUP($C125,$C$64:$AH$78,Z$63,FALSE),1)</f>
        <v>0</v>
      </c>
      <c r="AA125" s="10">
        <f ca="1">SUMIFS(AA$3:AA$61,$A$3:$A$61,$A125,$D$3:$D$61,$B125)*SUMIF('COM balance'!$D$5:$D$25,'COM Assumptions'!$A125,'COM balance'!AA$5:AA$25)*IFERROR(VLOOKUP($C125,$C$64:$AH$78,AA$63,FALSE),1)</f>
        <v>0</v>
      </c>
      <c r="AB125" s="10">
        <f ca="1">SUMIFS(AB$3:AB$61,$A$3:$A$61,$A125,$D$3:$D$61,$B125)*SUMIF('COM balance'!$D$5:$D$25,'COM Assumptions'!$A125,'COM balance'!AB$5:AB$25)*IFERROR(VLOOKUP($C125,$C$64:$AH$78,AB$63,FALSE),1)</f>
        <v>0</v>
      </c>
      <c r="AC125" s="10">
        <f ca="1">SUMIFS(AC$3:AC$61,$A$3:$A$61,$A125,$D$3:$D$61,$B125)*SUMIF('COM balance'!$D$5:$D$25,'COM Assumptions'!$A125,'COM balance'!AC$5:AC$25)*IFERROR(VLOOKUP($C125,$C$64:$AH$78,AC$63,FALSE),1)</f>
        <v>0</v>
      </c>
      <c r="AD125" s="10">
        <f ca="1">SUMIFS(AD$3:AD$61,$A$3:$A$61,$A125,$D$3:$D$61,$B125)*SUMIF('COM balance'!$D$5:$D$25,'COM Assumptions'!$A125,'COM balance'!AD$5:AD$25)*IFERROR(VLOOKUP($C125,$C$64:$AH$78,AD$63,FALSE),1)</f>
        <v>0</v>
      </c>
      <c r="AE125" s="10">
        <f ca="1">SUMIFS(AE$3:AE$61,$A$3:$A$61,$A125,$D$3:$D$61,$B125)*SUMIF('COM balance'!$D$5:$D$25,'COM Assumptions'!$A125,'COM balance'!AE$5:AE$25)*IFERROR(VLOOKUP($C125,$C$64:$AH$78,AE$63,FALSE),1)</f>
        <v>0</v>
      </c>
      <c r="AF125" s="10">
        <f ca="1">SUMIFS(AF$3:AF$61,$A$3:$A$61,$A125,$D$3:$D$61,$B125)*SUMIF('COM balance'!$D$5:$D$25,'COM Assumptions'!$A125,'COM balance'!AF$5:AF$25)*IFERROR(VLOOKUP($C125,$C$64:$AH$78,AF$63,FALSE),1)</f>
        <v>0</v>
      </c>
      <c r="AG125" s="10">
        <f ca="1">SUMIFS(AG$3:AG$61,$A$3:$A$61,$A125,$D$3:$D$61,$B125)*SUMIF('COM balance'!$D$5:$D$25,'COM Assumptions'!$A125,'COM balance'!AG$5:AG$25)*IFERROR(VLOOKUP($C125,$C$64:$AH$78,AG$63,FALSE),1)</f>
        <v>0</v>
      </c>
      <c r="AH125" s="10">
        <f ca="1">SUMIFS(AH$3:AH$61,$A$3:$A$61,$A125,$D$3:$D$61,$B125)*SUMIF('COM balance'!$D$5:$D$25,'COM Assumptions'!$A125,'COM balance'!AH$5:AH$25)*IFERROR(VLOOKUP($C125,$C$64:$AH$78,AH$63,FALSE),1)</f>
        <v>0</v>
      </c>
      <c r="AI125" s="10"/>
    </row>
    <row r="126" spans="1:35" x14ac:dyDescent="0.45">
      <c r="A126" s="8" t="str">
        <f t="shared" si="43"/>
        <v>COMNGA</v>
      </c>
      <c r="B126" s="8" t="str">
        <f t="shared" si="41"/>
        <v>COT</v>
      </c>
      <c r="C126" s="8" t="str">
        <f>SUBSTITUTE(SUBSTITUTE(SUBSTITUTE('COM Veda input'!B49,"CC1","CL"),"000",""),"CH1","CH")</f>
        <v>COTNGA</v>
      </c>
      <c r="E126" s="10">
        <f>SUMIFS(E$3:E$61,$A$3:$A$61,$A126,$D$3:$D$61,$B126)*SUMIF('COM balance'!$D$5:$D$25,'COM Assumptions'!$A126,'COM balance'!E$5:E$25)*IFERROR(VLOOKUP($C126,$C$64:$AH$78,E$63,FALSE),1)</f>
        <v>0</v>
      </c>
      <c r="F126" s="10">
        <f>SUMIFS(F$3:F$61,$A$3:$A$61,$A126,$D$3:$D$61,$B126)*SUMIF('COM balance'!$D$5:$D$25,'COM Assumptions'!$A126,'COM balance'!F$5:F$25)*IFERROR(VLOOKUP($C126,$C$64:$AH$78,F$63,FALSE),1)</f>
        <v>0</v>
      </c>
      <c r="G126" s="10">
        <f>SUMIFS(G$3:G$61,$A$3:$A$61,$A126,$D$3:$D$61,$B126)*SUMIF('COM balance'!$D$5:$D$25,'COM Assumptions'!$A126,'COM balance'!G$5:G$25)*IFERROR(VLOOKUP($C126,$C$64:$AH$78,G$63,FALSE),1)</f>
        <v>0</v>
      </c>
      <c r="H126" s="10">
        <f>SUMIFS(H$3:H$61,$A$3:$A$61,$A126,$D$3:$D$61,$B126)*SUMIF('COM balance'!$D$5:$D$25,'COM Assumptions'!$A126,'COM balance'!H$5:H$25)*IFERROR(VLOOKUP($C126,$C$64:$AH$78,H$63,FALSE),1)</f>
        <v>0</v>
      </c>
      <c r="I126" s="10">
        <f>SUMIFS(I$3:I$61,$A$3:$A$61,$A126,$D$3:$D$61,$B126)*SUMIF('COM balance'!$D$5:$D$25,'COM Assumptions'!$A126,'COM balance'!I$5:I$25)*IFERROR(VLOOKUP($C126,$C$64:$AH$78,I$63,FALSE),1)</f>
        <v>0</v>
      </c>
      <c r="J126" s="10">
        <f>SUMIFS(J$3:J$61,$A$3:$A$61,$A126,$D$3:$D$61,$B126)*SUMIF('COM balance'!$D$5:$D$25,'COM Assumptions'!$A126,'COM balance'!J$5:J$25)*IFERROR(VLOOKUP($C126,$C$64:$AH$78,J$63,FALSE),1)</f>
        <v>0</v>
      </c>
      <c r="K126" s="10">
        <f>SUMIFS(K$3:K$61,$A$3:$A$61,$A126,$D$3:$D$61,$B126)*SUMIF('COM balance'!$D$5:$D$25,'COM Assumptions'!$A126,'COM balance'!K$5:K$25)*IFERROR(VLOOKUP($C126,$C$64:$AH$78,K$63,FALSE),1)</f>
        <v>0</v>
      </c>
      <c r="L126" s="10">
        <f>SUMIFS(L$3:L$61,$A$3:$A$61,$A126,$D$3:$D$61,$B126)*SUMIF('COM balance'!$D$5:$D$25,'COM Assumptions'!$A126,'COM balance'!L$5:L$25)*IFERROR(VLOOKUP($C126,$C$64:$AH$78,L$63,FALSE),1)</f>
        <v>0</v>
      </c>
      <c r="M126" s="10">
        <f>SUMIFS(M$3:M$61,$A$3:$A$61,$A126,$D$3:$D$61,$B126)*SUMIF('COM balance'!$D$5:$D$25,'COM Assumptions'!$A126,'COM balance'!M$5:M$25)*IFERROR(VLOOKUP($C126,$C$64:$AH$78,M$63,FALSE),1)</f>
        <v>0</v>
      </c>
      <c r="N126" s="10">
        <f>SUMIFS(N$3:N$61,$A$3:$A$61,$A126,$D$3:$D$61,$B126)*SUMIF('COM balance'!$D$5:$D$25,'COM Assumptions'!$A126,'COM balance'!N$5:N$25)*IFERROR(VLOOKUP($C126,$C$64:$AH$78,N$63,FALSE),1)</f>
        <v>0</v>
      </c>
      <c r="O126" s="10">
        <f>SUMIFS(O$3:O$61,$A$3:$A$61,$A126,$D$3:$D$61,$B126)*SUMIF('COM balance'!$D$5:$D$25,'COM Assumptions'!$A126,'COM balance'!O$5:O$25)*IFERROR(VLOOKUP($C126,$C$64:$AH$78,O$63,FALSE),1)</f>
        <v>0</v>
      </c>
      <c r="P126" s="10">
        <f>SUMIFS(P$3:P$61,$A$3:$A$61,$A126,$D$3:$D$61,$B126)*SUMIF('COM balance'!$D$5:$D$25,'COM Assumptions'!$A126,'COM balance'!P$5:P$25)*IFERROR(VLOOKUP($C126,$C$64:$AH$78,P$63,FALSE),1)</f>
        <v>0</v>
      </c>
      <c r="Q126" s="10">
        <f>SUMIFS(Q$3:Q$61,$A$3:$A$61,$A126,$D$3:$D$61,$B126)*SUMIF('COM balance'!$D$5:$D$25,'COM Assumptions'!$A126,'COM balance'!Q$5:Q$25)*IFERROR(VLOOKUP($C126,$C$64:$AH$78,Q$63,FALSE),1)</f>
        <v>0</v>
      </c>
      <c r="R126" s="10">
        <f>SUMIFS(R$3:R$61,$A$3:$A$61,$A126,$D$3:$D$61,$B126)*SUMIF('COM balance'!$D$5:$D$25,'COM Assumptions'!$A126,'COM balance'!R$5:R$25)*IFERROR(VLOOKUP($C126,$C$64:$AH$78,R$63,FALSE),1)</f>
        <v>0</v>
      </c>
      <c r="S126" s="10">
        <f>SUMIFS(S$3:S$61,$A$3:$A$61,$A126,$D$3:$D$61,$B126)*SUMIF('COM balance'!$D$5:$D$25,'COM Assumptions'!$A126,'COM balance'!S$5:S$25)*IFERROR(VLOOKUP($C126,$C$64:$AH$78,S$63,FALSE),1)</f>
        <v>0</v>
      </c>
      <c r="T126" s="10">
        <f>SUMIFS(T$3:T$61,$A$3:$A$61,$A126,$D$3:$D$61,$B126)*SUMIF('COM balance'!$D$5:$D$25,'COM Assumptions'!$A126,'COM balance'!T$5:T$25)*IFERROR(VLOOKUP($C126,$C$64:$AH$78,T$63,FALSE),1)</f>
        <v>0</v>
      </c>
      <c r="U126" s="10">
        <f>SUMIFS(U$3:U$61,$A$3:$A$61,$A126,$D$3:$D$61,$B126)*SUMIF('COM balance'!$D$5:$D$25,'COM Assumptions'!$A126,'COM balance'!U$5:U$25)*IFERROR(VLOOKUP($C126,$C$64:$AH$78,U$63,FALSE),1)</f>
        <v>0</v>
      </c>
      <c r="V126" s="10">
        <f>SUMIFS(V$3:V$61,$A$3:$A$61,$A126,$D$3:$D$61,$B126)*SUMIF('COM balance'!$D$5:$D$25,'COM Assumptions'!$A126,'COM balance'!V$5:V$25)*IFERROR(VLOOKUP($C126,$C$64:$AH$78,V$63,FALSE),1)</f>
        <v>0</v>
      </c>
      <c r="W126" s="10">
        <f>SUMIFS(W$3:W$61,$A$3:$A$61,$A126,$D$3:$D$61,$B126)*SUMIF('COM balance'!$D$5:$D$25,'COM Assumptions'!$A126,'COM balance'!W$5:W$25)*IFERROR(VLOOKUP($C126,$C$64:$AH$78,W$63,FALSE),1)</f>
        <v>0</v>
      </c>
      <c r="X126" s="10">
        <f>SUMIFS(X$3:X$61,$A$3:$A$61,$A126,$D$3:$D$61,$B126)*SUMIF('COM balance'!$D$5:$D$25,'COM Assumptions'!$A126,'COM balance'!X$5:X$25)*IFERROR(VLOOKUP($C126,$C$64:$AH$78,X$63,FALSE),1)</f>
        <v>0</v>
      </c>
      <c r="Y126" s="10">
        <f>SUMIFS(Y$3:Y$61,$A$3:$A$61,$A126,$D$3:$D$61,$B126)*SUMIF('COM balance'!$D$5:$D$25,'COM Assumptions'!$A126,'COM balance'!Y$5:Y$25)*IFERROR(VLOOKUP($C126,$C$64:$AH$78,Y$63,FALSE),1)</f>
        <v>0</v>
      </c>
      <c r="Z126" s="10">
        <f>SUMIFS(Z$3:Z$61,$A$3:$A$61,$A126,$D$3:$D$61,$B126)*SUMIF('COM balance'!$D$5:$D$25,'COM Assumptions'!$A126,'COM balance'!Z$5:Z$25)*IFERROR(VLOOKUP($C126,$C$64:$AH$78,Z$63,FALSE),1)</f>
        <v>0</v>
      </c>
      <c r="AA126" s="10">
        <f>SUMIFS(AA$3:AA$61,$A$3:$A$61,$A126,$D$3:$D$61,$B126)*SUMIF('COM balance'!$D$5:$D$25,'COM Assumptions'!$A126,'COM balance'!AA$5:AA$25)*IFERROR(VLOOKUP($C126,$C$64:$AH$78,AA$63,FALSE),1)</f>
        <v>0</v>
      </c>
      <c r="AB126" s="10">
        <f>SUMIFS(AB$3:AB$61,$A$3:$A$61,$A126,$D$3:$D$61,$B126)*SUMIF('COM balance'!$D$5:$D$25,'COM Assumptions'!$A126,'COM balance'!AB$5:AB$25)*IFERROR(VLOOKUP($C126,$C$64:$AH$78,AB$63,FALSE),1)</f>
        <v>0</v>
      </c>
      <c r="AC126" s="10">
        <f>SUMIFS(AC$3:AC$61,$A$3:$A$61,$A126,$D$3:$D$61,$B126)*SUMIF('COM balance'!$D$5:$D$25,'COM Assumptions'!$A126,'COM balance'!AC$5:AC$25)*IFERROR(VLOOKUP($C126,$C$64:$AH$78,AC$63,FALSE),1)</f>
        <v>0</v>
      </c>
      <c r="AD126" s="10">
        <f>SUMIFS(AD$3:AD$61,$A$3:$A$61,$A126,$D$3:$D$61,$B126)*SUMIF('COM balance'!$D$5:$D$25,'COM Assumptions'!$A126,'COM balance'!AD$5:AD$25)*IFERROR(VLOOKUP($C126,$C$64:$AH$78,AD$63,FALSE),1)</f>
        <v>0</v>
      </c>
      <c r="AE126" s="10">
        <f>SUMIFS(AE$3:AE$61,$A$3:$A$61,$A126,$D$3:$D$61,$B126)*SUMIF('COM balance'!$D$5:$D$25,'COM Assumptions'!$A126,'COM balance'!AE$5:AE$25)*IFERROR(VLOOKUP($C126,$C$64:$AH$78,AE$63,FALSE),1)</f>
        <v>0</v>
      </c>
      <c r="AF126" s="10">
        <f>SUMIFS(AF$3:AF$61,$A$3:$A$61,$A126,$D$3:$D$61,$B126)*SUMIF('COM balance'!$D$5:$D$25,'COM Assumptions'!$A126,'COM balance'!AF$5:AF$25)*IFERROR(VLOOKUP($C126,$C$64:$AH$78,AF$63,FALSE),1)</f>
        <v>0</v>
      </c>
      <c r="AG126" s="10">
        <f>SUMIFS(AG$3:AG$61,$A$3:$A$61,$A126,$D$3:$D$61,$B126)*SUMIF('COM balance'!$D$5:$D$25,'COM Assumptions'!$A126,'COM balance'!AG$5:AG$25)*IFERROR(VLOOKUP($C126,$C$64:$AH$78,AG$63,FALSE),1)</f>
        <v>0</v>
      </c>
      <c r="AH126" s="10">
        <f>SUMIFS(AH$3:AH$61,$A$3:$A$61,$A126,$D$3:$D$61,$B126)*SUMIF('COM balance'!$D$5:$D$25,'COM Assumptions'!$A126,'COM balance'!AH$5:AH$25)*IFERROR(VLOOKUP($C126,$C$64:$AH$78,AH$63,FALSE),1)</f>
        <v>0</v>
      </c>
      <c r="AI126" s="10"/>
    </row>
    <row r="127" spans="1:35" x14ac:dyDescent="0.45">
      <c r="A127" s="8" t="str">
        <f t="shared" si="43"/>
        <v>COMELC</v>
      </c>
      <c r="B127" s="8" t="str">
        <f t="shared" si="41"/>
        <v>CRF</v>
      </c>
      <c r="C127" s="8" t="str">
        <f>SUBSTITUTE(SUBSTITUTE(SUBSTITUTE('COM Veda input'!B50,"CC1","CL"),"000",""),"CH1","CH")</f>
        <v>CRFELC</v>
      </c>
      <c r="E127" s="10">
        <f ca="1">SUMIFS(E$3:E$61,$A$3:$A$61,$A127,$D$3:$D$61,$B127)*SUMIF('COM balance'!$D$5:$D$25,'COM Assumptions'!$A127,'COM balance'!E$5:E$25)*IFERROR(VLOOKUP($C127,$C$64:$AH$78,E$63,FALSE),1)</f>
        <v>28.711389422339998</v>
      </c>
      <c r="F127" s="10">
        <f ca="1">SUMIFS(F$3:F$61,$A$3:$A$61,$A127,$D$3:$D$61,$B127)*SUMIF('COM balance'!$D$5:$D$25,'COM Assumptions'!$A127,'COM balance'!F$5:F$25)*IFERROR(VLOOKUP($C127,$C$64:$AH$78,F$63,FALSE),1)</f>
        <v>17.69999133204</v>
      </c>
      <c r="G127" s="10">
        <f ca="1">SUMIFS(G$3:G$61,$A$3:$A$61,$A127,$D$3:$D$61,$B127)*SUMIF('COM balance'!$D$5:$D$25,'COM Assumptions'!$A127,'COM balance'!G$5:G$25)*IFERROR(VLOOKUP($C127,$C$64:$AH$78,G$63,FALSE),1)</f>
        <v>37.510011796320001</v>
      </c>
      <c r="H127" s="10">
        <f ca="1">SUMIFS(H$3:H$61,$A$3:$A$61,$A127,$D$3:$D$61,$B127)*SUMIF('COM balance'!$D$5:$D$25,'COM Assumptions'!$A127,'COM balance'!H$5:H$25)*IFERROR(VLOOKUP($C127,$C$64:$AH$78,H$63,FALSE),1)</f>
        <v>9.7654401140400005</v>
      </c>
      <c r="I127" s="10">
        <f ca="1">SUMIFS(I$3:I$61,$A$3:$A$61,$A127,$D$3:$D$61,$B127)*SUMIF('COM balance'!$D$5:$D$25,'COM Assumptions'!$A127,'COM balance'!I$5:I$25)*IFERROR(VLOOKUP($C127,$C$64:$AH$78,I$63,FALSE),1)</f>
        <v>155.58175407113998</v>
      </c>
      <c r="J127" s="10">
        <f ca="1">SUMIFS(J$3:J$61,$A$3:$A$61,$A127,$D$3:$D$61,$B127)*SUMIF('COM balance'!$D$5:$D$25,'COM Assumptions'!$A127,'COM balance'!J$5:J$25)*IFERROR(VLOOKUP($C127,$C$64:$AH$78,J$63,FALSE),1)</f>
        <v>233.22182037264002</v>
      </c>
      <c r="K127" s="10">
        <f ca="1">SUMIFS(K$3:K$61,$A$3:$A$61,$A127,$D$3:$D$61,$B127)*SUMIF('COM balance'!$D$5:$D$25,'COM Assumptions'!$A127,'COM balance'!K$5:K$25)*IFERROR(VLOOKUP($C127,$C$64:$AH$78,K$63,FALSE),1)</f>
        <v>58.183791290640002</v>
      </c>
      <c r="L127" s="10">
        <f ca="1">SUMIFS(L$3:L$61,$A$3:$A$61,$A127,$D$3:$D$61,$B127)*SUMIF('COM balance'!$D$5:$D$25,'COM Assumptions'!$A127,'COM balance'!L$5:L$25)*IFERROR(VLOOKUP($C127,$C$64:$AH$78,L$63,FALSE),1)</f>
        <v>121.86045819072</v>
      </c>
      <c r="M127" s="10">
        <f ca="1">SUMIFS(M$3:M$61,$A$3:$A$61,$A127,$D$3:$D$61,$B127)*SUMIF('COM balance'!$D$5:$D$25,'COM Assumptions'!$A127,'COM balance'!M$5:M$25)*IFERROR(VLOOKUP($C127,$C$64:$AH$78,M$63,FALSE),1)</f>
        <v>27.24228003024</v>
      </c>
      <c r="N127" s="10">
        <f ca="1">SUMIFS(N$3:N$61,$A$3:$A$61,$A127,$D$3:$D$61,$B127)*SUMIF('COM balance'!$D$5:$D$25,'COM Assumptions'!$A127,'COM balance'!N$5:N$25)*IFERROR(VLOOKUP($C127,$C$64:$AH$78,N$63,FALSE),1)</f>
        <v>140.349510346752</v>
      </c>
      <c r="O127" s="10">
        <f ca="1">SUMIFS(O$3:O$61,$A$3:$A$61,$A127,$D$3:$D$61,$B127)*SUMIF('COM balance'!$D$5:$D$25,'COM Assumptions'!$A127,'COM balance'!O$5:O$25)*IFERROR(VLOOKUP($C127,$C$64:$AH$78,O$63,FALSE),1)</f>
        <v>17.925942754115997</v>
      </c>
      <c r="P127" s="10">
        <f ca="1">SUMIFS(P$3:P$61,$A$3:$A$61,$A127,$D$3:$D$61,$B127)*SUMIF('COM balance'!$D$5:$D$25,'COM Assumptions'!$A127,'COM balance'!P$5:P$25)*IFERROR(VLOOKUP($C127,$C$64:$AH$78,P$63,FALSE),1)</f>
        <v>33.761116744560006</v>
      </c>
      <c r="Q127" s="10">
        <f ca="1">SUMIFS(Q$3:Q$61,$A$3:$A$61,$A127,$D$3:$D$61,$B127)*SUMIF('COM balance'!$D$5:$D$25,'COM Assumptions'!$A127,'COM balance'!Q$5:Q$25)*IFERROR(VLOOKUP($C127,$C$64:$AH$78,Q$63,FALSE),1)</f>
        <v>23.710831418771996</v>
      </c>
      <c r="R127" s="10">
        <f ca="1">SUMIFS(R$3:R$61,$A$3:$A$61,$A127,$D$3:$D$61,$B127)*SUMIF('COM balance'!$D$5:$D$25,'COM Assumptions'!$A127,'COM balance'!R$5:R$25)*IFERROR(VLOOKUP($C127,$C$64:$AH$78,R$63,FALSE),1)</f>
        <v>35.766592227971998</v>
      </c>
      <c r="S127" s="10">
        <f ca="1">SUMIFS(S$3:S$61,$A$3:$A$61,$A127,$D$3:$D$61,$B127)*SUMIF('COM balance'!$D$5:$D$25,'COM Assumptions'!$A127,'COM balance'!S$5:S$25)*IFERROR(VLOOKUP($C127,$C$64:$AH$78,S$63,FALSE),1)</f>
        <v>12.806664226560001</v>
      </c>
      <c r="T127" s="10">
        <f ca="1">SUMIFS(T$3:T$61,$A$3:$A$61,$A127,$D$3:$D$61,$B127)*SUMIF('COM balance'!$D$5:$D$25,'COM Assumptions'!$A127,'COM balance'!T$5:T$25)*IFERROR(VLOOKUP($C127,$C$64:$AH$78,T$63,FALSE),1)</f>
        <v>29.506592240063998</v>
      </c>
      <c r="U127" s="10">
        <f ca="1">SUMIFS(U$3:U$61,$A$3:$A$61,$A127,$D$3:$D$61,$B127)*SUMIF('COM balance'!$D$5:$D$25,'COM Assumptions'!$A127,'COM balance'!U$5:U$25)*IFERROR(VLOOKUP($C127,$C$64:$AH$78,U$63,FALSE),1)</f>
        <v>103.012474057164</v>
      </c>
      <c r="V127" s="10">
        <f ca="1">SUMIFS(V$3:V$61,$A$3:$A$61,$A127,$D$3:$D$61,$B127)*SUMIF('COM balance'!$D$5:$D$25,'COM Assumptions'!$A127,'COM balance'!V$5:V$25)*IFERROR(VLOOKUP($C127,$C$64:$AH$78,V$63,FALSE),1)</f>
        <v>44.261340216732002</v>
      </c>
      <c r="W127" s="10">
        <f ca="1">SUMIFS(W$3:W$61,$A$3:$A$61,$A127,$D$3:$D$61,$B127)*SUMIF('COM balance'!$D$5:$D$25,'COM Assumptions'!$A127,'COM balance'!W$5:W$25)*IFERROR(VLOOKUP($C127,$C$64:$AH$78,W$63,FALSE),1)</f>
        <v>42.111576133488001</v>
      </c>
      <c r="X127" s="10">
        <f ca="1">SUMIFS(X$3:X$61,$A$3:$A$61,$A127,$D$3:$D$61,$B127)*SUMIF('COM balance'!$D$5:$D$25,'COM Assumptions'!$A127,'COM balance'!X$5:X$25)*IFERROR(VLOOKUP($C127,$C$64:$AH$78,X$63,FALSE),1)</f>
        <v>69.559608536676009</v>
      </c>
      <c r="Y127" s="10">
        <f ca="1">SUMIFS(Y$3:Y$61,$A$3:$A$61,$A127,$D$3:$D$61,$B127)*SUMIF('COM balance'!$D$5:$D$25,'COM Assumptions'!$A127,'COM balance'!Y$5:Y$25)*IFERROR(VLOOKUP($C127,$C$64:$AH$78,Y$63,FALSE),1)</f>
        <v>77.202326773727989</v>
      </c>
      <c r="Z127" s="10">
        <f ca="1">SUMIFS(Z$3:Z$61,$A$3:$A$61,$A127,$D$3:$D$61,$B127)*SUMIF('COM balance'!$D$5:$D$25,'COM Assumptions'!$A127,'COM balance'!Z$5:Z$25)*IFERROR(VLOOKUP($C127,$C$64:$AH$78,Z$63,FALSE),1)</f>
        <v>20.675879593200001</v>
      </c>
      <c r="AA127" s="10">
        <f ca="1">SUMIFS(AA$3:AA$61,$A$3:$A$61,$A127,$D$3:$D$61,$B127)*SUMIF('COM balance'!$D$5:$D$25,'COM Assumptions'!$A127,'COM balance'!AA$5:AA$25)*IFERROR(VLOOKUP($C127,$C$64:$AH$78,AA$63,FALSE),1)</f>
        <v>117.092832177132</v>
      </c>
      <c r="AB127" s="10">
        <f ca="1">SUMIFS(AB$3:AB$61,$A$3:$A$61,$A127,$D$3:$D$61,$B127)*SUMIF('COM balance'!$D$5:$D$25,'COM Assumptions'!$A127,'COM balance'!AB$5:AB$25)*IFERROR(VLOOKUP($C127,$C$64:$AH$78,AB$63,FALSE),1)</f>
        <v>8.928159788843999</v>
      </c>
      <c r="AC127" s="10">
        <f ca="1">SUMIFS(AC$3:AC$61,$A$3:$A$61,$A127,$D$3:$D$61,$B127)*SUMIF('COM balance'!$D$5:$D$25,'COM Assumptions'!$A127,'COM balance'!AC$5:AC$25)*IFERROR(VLOOKUP($C127,$C$64:$AH$78,AC$63,FALSE),1)</f>
        <v>55.032803935920008</v>
      </c>
      <c r="AD127" s="10">
        <f ca="1">SUMIFS(AD$3:AD$61,$A$3:$A$61,$A127,$D$3:$D$61,$B127)*SUMIF('COM balance'!$D$5:$D$25,'COM Assumptions'!$A127,'COM balance'!AD$5:AD$25)*IFERROR(VLOOKUP($C127,$C$64:$AH$78,AD$63,FALSE),1)</f>
        <v>92.530280913588001</v>
      </c>
      <c r="AE127" s="10">
        <f ca="1">SUMIFS(AE$3:AE$61,$A$3:$A$61,$A127,$D$3:$D$61,$B127)*SUMIF('COM balance'!$D$5:$D$25,'COM Assumptions'!$A127,'COM balance'!AE$5:AE$25)*IFERROR(VLOOKUP($C127,$C$64:$AH$78,AE$63,FALSE),1)</f>
        <v>20.038106023919998</v>
      </c>
      <c r="AF127" s="10">
        <f ca="1">SUMIFS(AF$3:AF$61,$A$3:$A$61,$A127,$D$3:$D$61,$B127)*SUMIF('COM balance'!$D$5:$D$25,'COM Assumptions'!$A127,'COM balance'!AF$5:AF$25)*IFERROR(VLOOKUP($C127,$C$64:$AH$78,AF$63,FALSE),1)</f>
        <v>29.199085387163997</v>
      </c>
      <c r="AG127" s="10">
        <f ca="1">SUMIFS(AG$3:AG$61,$A$3:$A$61,$A127,$D$3:$D$61,$B127)*SUMIF('COM balance'!$D$5:$D$25,'COM Assumptions'!$A127,'COM balance'!AG$5:AG$25)*IFERROR(VLOOKUP($C127,$C$64:$AH$78,AG$63,FALSE),1)</f>
        <v>293.25119907032143</v>
      </c>
      <c r="AH127" s="10">
        <f ca="1">SUMIFS(AH$3:AH$61,$A$3:$A$61,$A127,$D$3:$D$61,$B127)*SUMIF('COM balance'!$D$5:$D$25,'COM Assumptions'!$A127,'COM balance'!AH$5:AH$25)*IFERROR(VLOOKUP($C127,$C$64:$AH$78,AH$63,FALSE),1)</f>
        <v>0</v>
      </c>
      <c r="AI127" s="10"/>
    </row>
    <row r="128" spans="1:35" x14ac:dyDescent="0.45">
      <c r="AI128" s="10"/>
    </row>
    <row r="129" spans="35:35" x14ac:dyDescent="0.45">
      <c r="AI129" s="10"/>
    </row>
  </sheetData>
  <sortState xmlns:xlrd2="http://schemas.microsoft.com/office/spreadsheetml/2017/richdata2" ref="AT81:AT129">
    <sortCondition ref="AT81:AT129"/>
  </sortState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3676E-C3F0-4146-A126-68AA41850933}">
  <dimension ref="A2:S79"/>
  <sheetViews>
    <sheetView topLeftCell="A11" workbookViewId="0">
      <selection activeCell="E47" sqref="E47"/>
    </sheetView>
  </sheetViews>
  <sheetFormatPr defaultRowHeight="14.25" x14ac:dyDescent="0.45"/>
  <cols>
    <col min="1" max="1" width="9.1328125" bestFit="1" customWidth="1"/>
    <col min="2" max="2" width="8.86328125" bestFit="1" customWidth="1"/>
    <col min="3" max="3" width="22.19921875" bestFit="1" customWidth="1"/>
    <col min="4" max="4" width="6.53125" bestFit="1" customWidth="1"/>
    <col min="5" max="5" width="5" bestFit="1" customWidth="1"/>
    <col min="6" max="6" width="4.796875" bestFit="1" customWidth="1"/>
    <col min="7" max="7" width="5" bestFit="1" customWidth="1"/>
    <col min="8" max="8" width="5.1328125" bestFit="1" customWidth="1"/>
    <col min="9" max="10" width="4.796875" bestFit="1" customWidth="1"/>
    <col min="11" max="12" width="5" bestFit="1" customWidth="1"/>
    <col min="13" max="13" width="4.796875" bestFit="1" customWidth="1"/>
    <col min="14" max="14" width="5.1328125" bestFit="1" customWidth="1"/>
    <col min="15" max="15" width="5" bestFit="1" customWidth="1"/>
    <col min="16" max="16" width="5.1328125" bestFit="1" customWidth="1"/>
    <col min="17" max="17" width="4.796875" bestFit="1" customWidth="1"/>
    <col min="18" max="18" width="5" bestFit="1" customWidth="1"/>
    <col min="19" max="19" width="5.19921875" bestFit="1" customWidth="1"/>
    <col min="20" max="20" width="4.796875" bestFit="1" customWidth="1"/>
  </cols>
  <sheetData>
    <row r="2" spans="1:19" x14ac:dyDescent="0.45">
      <c r="A2" s="8" t="s">
        <v>30</v>
      </c>
      <c r="B2" s="5" t="s">
        <v>61</v>
      </c>
      <c r="C2" s="5" t="s">
        <v>30</v>
      </c>
      <c r="D2" s="5" t="s">
        <v>31</v>
      </c>
      <c r="E2" s="5" t="s">
        <v>9</v>
      </c>
      <c r="F2" s="5" t="s">
        <v>15</v>
      </c>
      <c r="G2" s="5" t="s">
        <v>8</v>
      </c>
      <c r="H2" s="5" t="s">
        <v>14</v>
      </c>
      <c r="I2" s="5" t="s">
        <v>6</v>
      </c>
      <c r="J2" s="5" t="s">
        <v>4</v>
      </c>
      <c r="K2" s="5" t="s">
        <v>13</v>
      </c>
      <c r="L2" s="5" t="s">
        <v>7</v>
      </c>
      <c r="M2" s="5" t="s">
        <v>2</v>
      </c>
      <c r="N2" s="5" t="s">
        <v>11</v>
      </c>
      <c r="O2" s="5" t="s">
        <v>0</v>
      </c>
      <c r="P2" s="5" t="s">
        <v>12</v>
      </c>
      <c r="Q2" s="5" t="s">
        <v>3</v>
      </c>
      <c r="R2" s="5" t="s">
        <v>5</v>
      </c>
      <c r="S2" s="5" t="s">
        <v>1</v>
      </c>
    </row>
    <row r="3" spans="1:19" x14ac:dyDescent="0.45">
      <c r="A3" s="8" t="str">
        <f>VLOOKUP(C3,'COM balance'!$AM$5:$AN$25,2,FALSE)</f>
        <v>COMNGA</v>
      </c>
      <c r="B3" s="36"/>
      <c r="C3" s="20" t="s">
        <v>33</v>
      </c>
      <c r="D3" s="41" t="s">
        <v>82</v>
      </c>
      <c r="E3" s="25">
        <v>0</v>
      </c>
      <c r="F3" s="25">
        <v>0.55000000000000004</v>
      </c>
      <c r="G3" s="25">
        <v>0.75</v>
      </c>
      <c r="H3" s="25">
        <v>0.15</v>
      </c>
      <c r="I3" s="25">
        <v>0.1</v>
      </c>
      <c r="J3" s="25">
        <v>0.7</v>
      </c>
      <c r="K3" s="25">
        <v>0.7</v>
      </c>
      <c r="L3" s="25">
        <v>0.05</v>
      </c>
      <c r="M3" s="25">
        <v>0.12</v>
      </c>
      <c r="N3" s="25">
        <v>0.05</v>
      </c>
      <c r="O3" s="25">
        <v>0.1</v>
      </c>
      <c r="P3" s="25">
        <v>0.08</v>
      </c>
      <c r="Q3" s="25">
        <v>0.3</v>
      </c>
      <c r="R3" s="25">
        <f>1-SUM(R4:R6)</f>
        <v>0.62913317947555258</v>
      </c>
      <c r="S3" s="25">
        <v>0.52500000000000002</v>
      </c>
    </row>
    <row r="4" spans="1:19" x14ac:dyDescent="0.45">
      <c r="A4" s="8" t="str">
        <f>VLOOKUP(C4,'COM balance'!$AM$5:$AN$25,2,FALSE)</f>
        <v>COMNGA</v>
      </c>
      <c r="B4" s="36"/>
      <c r="C4" s="20" t="s">
        <v>33</v>
      </c>
      <c r="D4" s="41" t="s">
        <v>83</v>
      </c>
      <c r="E4" s="25">
        <v>0</v>
      </c>
      <c r="F4" s="25"/>
      <c r="G4" s="25">
        <v>0</v>
      </c>
      <c r="H4" s="25">
        <v>0.05</v>
      </c>
      <c r="I4" s="25">
        <v>0</v>
      </c>
      <c r="J4" s="25">
        <v>0.01</v>
      </c>
      <c r="K4" s="25">
        <v>0.01</v>
      </c>
      <c r="L4" s="25">
        <v>0</v>
      </c>
      <c r="M4" s="25">
        <v>0.06</v>
      </c>
      <c r="N4" s="25">
        <v>0.01</v>
      </c>
      <c r="O4" s="25">
        <v>0</v>
      </c>
      <c r="P4" s="25">
        <v>0.02</v>
      </c>
      <c r="Q4" s="25">
        <v>0.05</v>
      </c>
      <c r="R4" s="25">
        <v>6.1803959920273691E-3</v>
      </c>
      <c r="S4" s="25">
        <v>5.0000000000000001E-3</v>
      </c>
    </row>
    <row r="5" spans="1:19" x14ac:dyDescent="0.45">
      <c r="A5" s="8" t="str">
        <f>VLOOKUP(C5,'COM balance'!$AM$5:$AN$25,2,FALSE)</f>
        <v>COMNGA</v>
      </c>
      <c r="B5" s="36"/>
      <c r="C5" s="20" t="s">
        <v>33</v>
      </c>
      <c r="D5" s="41" t="s">
        <v>84</v>
      </c>
      <c r="E5" s="25">
        <v>0.3</v>
      </c>
      <c r="F5" s="25">
        <v>0.35</v>
      </c>
      <c r="G5" s="25">
        <v>0.15</v>
      </c>
      <c r="H5" s="25">
        <v>0.25</v>
      </c>
      <c r="I5" s="25">
        <v>0.2</v>
      </c>
      <c r="J5" s="25">
        <v>0.1</v>
      </c>
      <c r="K5" s="25">
        <v>0.1</v>
      </c>
      <c r="L5" s="25">
        <v>0.25</v>
      </c>
      <c r="M5" s="25">
        <v>0.39</v>
      </c>
      <c r="N5" s="25">
        <v>0.15</v>
      </c>
      <c r="O5" s="25">
        <v>0.2</v>
      </c>
      <c r="P5" s="25">
        <v>0.4</v>
      </c>
      <c r="Q5" s="25">
        <v>0.4</v>
      </c>
      <c r="R5" s="25">
        <v>0.26468642453242008</v>
      </c>
      <c r="S5" s="25">
        <v>0.27</v>
      </c>
    </row>
    <row r="6" spans="1:19" x14ac:dyDescent="0.45">
      <c r="A6" s="8" t="str">
        <f>VLOOKUP(C6,'COM balance'!$AM$5:$AN$25,2,FALSE)</f>
        <v>COMNGA</v>
      </c>
      <c r="B6" s="36"/>
      <c r="C6" s="20" t="s">
        <v>33</v>
      </c>
      <c r="D6" s="41" t="s">
        <v>86</v>
      </c>
      <c r="E6" s="25">
        <v>0.7</v>
      </c>
      <c r="F6" s="25">
        <v>0.1</v>
      </c>
      <c r="G6" s="25">
        <v>0.1</v>
      </c>
      <c r="H6" s="25">
        <v>0.55000000000000004</v>
      </c>
      <c r="I6" s="25">
        <v>0.7</v>
      </c>
      <c r="J6" s="25">
        <v>0.19</v>
      </c>
      <c r="K6" s="25">
        <v>0.19</v>
      </c>
      <c r="L6" s="25">
        <v>0.7</v>
      </c>
      <c r="M6" s="25">
        <v>0.43</v>
      </c>
      <c r="N6" s="25">
        <v>0.79</v>
      </c>
      <c r="O6" s="25">
        <v>0.7</v>
      </c>
      <c r="P6" s="25">
        <v>0.5</v>
      </c>
      <c r="Q6" s="25">
        <v>0.25</v>
      </c>
      <c r="R6" s="25">
        <v>0.1</v>
      </c>
      <c r="S6" s="25">
        <v>0.2</v>
      </c>
    </row>
    <row r="7" spans="1:19" x14ac:dyDescent="0.45">
      <c r="A7" s="8" t="str">
        <f>VLOOKUP(C7,'COM balance'!$AM$5:$AN$25,2,FALSE)</f>
        <v>COMOIL</v>
      </c>
      <c r="B7" s="36"/>
      <c r="C7" s="20" t="s">
        <v>72</v>
      </c>
      <c r="D7" s="41" t="s">
        <v>82</v>
      </c>
      <c r="E7" s="25">
        <v>0.3</v>
      </c>
      <c r="F7" s="25">
        <v>0.8</v>
      </c>
      <c r="G7" s="25">
        <v>0.8</v>
      </c>
      <c r="H7" s="25">
        <v>0.15</v>
      </c>
      <c r="I7" s="25">
        <v>0.1</v>
      </c>
      <c r="J7" s="25">
        <v>0.75</v>
      </c>
      <c r="K7" s="25">
        <v>0.75</v>
      </c>
      <c r="L7" s="25">
        <v>0.1</v>
      </c>
      <c r="M7" s="25">
        <v>0.6</v>
      </c>
      <c r="N7" s="25">
        <v>0.1</v>
      </c>
      <c r="O7" s="25">
        <v>0.1</v>
      </c>
      <c r="P7" s="25">
        <v>0.2</v>
      </c>
      <c r="Q7" s="25">
        <v>0.59</v>
      </c>
      <c r="R7" s="25">
        <v>0.66331084587441613</v>
      </c>
      <c r="S7" s="25">
        <v>0.7</v>
      </c>
    </row>
    <row r="8" spans="1:19" x14ac:dyDescent="0.45">
      <c r="A8" s="8" t="str">
        <f>VLOOKUP(C8,'COM balance'!$AM$5:$AN$25,2,FALSE)</f>
        <v>COMOIL</v>
      </c>
      <c r="B8" s="36"/>
      <c r="C8" s="20" t="s">
        <v>72</v>
      </c>
      <c r="D8" s="41" t="s">
        <v>83</v>
      </c>
      <c r="E8" s="25"/>
      <c r="F8" s="25"/>
      <c r="G8" s="25">
        <v>0</v>
      </c>
      <c r="H8" s="25"/>
      <c r="I8" s="25"/>
      <c r="J8" s="25"/>
      <c r="K8" s="25"/>
      <c r="L8" s="25">
        <v>0</v>
      </c>
      <c r="M8" s="25">
        <v>0.03</v>
      </c>
      <c r="N8" s="25"/>
      <c r="O8" s="25"/>
      <c r="P8" s="25">
        <v>0</v>
      </c>
      <c r="Q8" s="25">
        <v>0.01</v>
      </c>
      <c r="R8" s="25">
        <v>1.6545071583381665E-3</v>
      </c>
      <c r="S8" s="25">
        <v>5.0000000000000001E-3</v>
      </c>
    </row>
    <row r="9" spans="1:19" x14ac:dyDescent="0.45">
      <c r="A9" s="8" t="str">
        <f>VLOOKUP(C9,'COM balance'!$AM$5:$AN$25,2,FALSE)</f>
        <v>COMOIL</v>
      </c>
      <c r="B9" s="36"/>
      <c r="C9" s="20" t="s">
        <v>72</v>
      </c>
      <c r="D9" s="41" t="s">
        <v>84</v>
      </c>
      <c r="E9" s="25">
        <v>0.7</v>
      </c>
      <c r="F9" s="25">
        <v>0.2</v>
      </c>
      <c r="G9" s="25">
        <v>0.2</v>
      </c>
      <c r="H9" s="25">
        <v>0.35</v>
      </c>
      <c r="I9" s="25">
        <v>0.4</v>
      </c>
      <c r="J9" s="25">
        <v>0.25</v>
      </c>
      <c r="K9" s="25">
        <v>0.25</v>
      </c>
      <c r="L9" s="25">
        <v>0.4</v>
      </c>
      <c r="M9" s="25">
        <v>0.37</v>
      </c>
      <c r="N9" s="25">
        <v>0.3</v>
      </c>
      <c r="O9" s="25">
        <v>0.3</v>
      </c>
      <c r="P9" s="25">
        <v>0.5</v>
      </c>
      <c r="Q9" s="25">
        <v>0.4</v>
      </c>
      <c r="R9" s="25">
        <v>0.26609786623523307</v>
      </c>
      <c r="S9" s="25">
        <v>0.29499999999999998</v>
      </c>
    </row>
    <row r="10" spans="1:19" x14ac:dyDescent="0.45">
      <c r="A10" s="8" t="str">
        <f>VLOOKUP(C10,'COM balance'!$AM$5:$AN$25,2,FALSE)</f>
        <v>COMOIL</v>
      </c>
      <c r="B10" s="36"/>
      <c r="C10" s="20" t="s">
        <v>72</v>
      </c>
      <c r="D10" s="41" t="s">
        <v>86</v>
      </c>
      <c r="E10" s="25"/>
      <c r="F10" s="25"/>
      <c r="G10" s="25">
        <v>0</v>
      </c>
      <c r="H10" s="25">
        <v>0.5</v>
      </c>
      <c r="I10" s="25">
        <v>0.5</v>
      </c>
      <c r="J10" s="25">
        <v>0</v>
      </c>
      <c r="K10" s="25">
        <v>0</v>
      </c>
      <c r="L10" s="25">
        <v>0.5</v>
      </c>
      <c r="M10" s="25"/>
      <c r="N10" s="25">
        <v>0.6</v>
      </c>
      <c r="O10" s="25">
        <v>0.6</v>
      </c>
      <c r="P10" s="25">
        <v>0.3</v>
      </c>
      <c r="Q10" s="25">
        <v>0</v>
      </c>
      <c r="R10" s="25">
        <v>0</v>
      </c>
      <c r="S10" s="25">
        <v>0</v>
      </c>
    </row>
    <row r="11" spans="1:19" x14ac:dyDescent="0.45">
      <c r="A11" s="8" t="str">
        <f>VLOOKUP(C11,'COM balance'!$AM$5:$AN$25,2,FALSE)</f>
        <v>COMOIL</v>
      </c>
      <c r="B11" s="36"/>
      <c r="C11" s="22" t="s">
        <v>72</v>
      </c>
      <c r="D11" s="42" t="s">
        <v>89</v>
      </c>
      <c r="E11" s="26">
        <v>0</v>
      </c>
      <c r="F11" s="26">
        <v>0</v>
      </c>
      <c r="G11" s="26">
        <v>0</v>
      </c>
      <c r="H11" s="26">
        <v>0</v>
      </c>
      <c r="I11" s="26"/>
      <c r="J11" s="26">
        <v>0</v>
      </c>
      <c r="K11" s="26">
        <v>0</v>
      </c>
      <c r="L11" s="26"/>
      <c r="M11" s="26">
        <v>0</v>
      </c>
      <c r="N11" s="26">
        <v>0</v>
      </c>
      <c r="O11" s="26"/>
      <c r="P11" s="26">
        <v>0</v>
      </c>
      <c r="Q11" s="26">
        <v>0</v>
      </c>
      <c r="R11" s="26">
        <v>6.8936780732012565E-2</v>
      </c>
      <c r="S11" s="26">
        <v>0</v>
      </c>
    </row>
    <row r="12" spans="1:19" x14ac:dyDescent="0.45">
      <c r="A12" s="8">
        <f>VLOOKUP(C12,'COM balance'!$AM$5:$AN$25,2,FALSE)</f>
        <v>0</v>
      </c>
      <c r="B12" s="36"/>
      <c r="C12" s="20" t="s">
        <v>73</v>
      </c>
      <c r="D12" s="41" t="s">
        <v>82</v>
      </c>
      <c r="E12" s="25">
        <v>1</v>
      </c>
      <c r="F12" s="25">
        <v>0.9</v>
      </c>
      <c r="G12" s="25">
        <v>0.9</v>
      </c>
      <c r="H12" s="25">
        <v>1</v>
      </c>
      <c r="I12" s="25">
        <v>1</v>
      </c>
      <c r="J12" s="25">
        <v>0.9</v>
      </c>
      <c r="K12" s="25">
        <v>0.9</v>
      </c>
      <c r="L12" s="25">
        <v>1</v>
      </c>
      <c r="M12" s="25">
        <v>0.6</v>
      </c>
      <c r="N12" s="25">
        <v>0.3</v>
      </c>
      <c r="O12" s="25">
        <v>0.3</v>
      </c>
      <c r="P12" s="25">
        <v>0.7</v>
      </c>
      <c r="Q12" s="25">
        <v>0.8</v>
      </c>
      <c r="R12" s="25">
        <v>1</v>
      </c>
      <c r="S12" s="25">
        <v>1</v>
      </c>
    </row>
    <row r="13" spans="1:19" x14ac:dyDescent="0.45">
      <c r="A13" s="8">
        <f>VLOOKUP(C13,'COM balance'!$AM$5:$AN$25,2,FALSE)</f>
        <v>0</v>
      </c>
      <c r="B13" s="36"/>
      <c r="C13" s="20" t="s">
        <v>73</v>
      </c>
      <c r="D13" s="41" t="s">
        <v>84</v>
      </c>
      <c r="E13" s="25"/>
      <c r="F13" s="25">
        <v>0.1</v>
      </c>
      <c r="G13" s="25">
        <v>0.1</v>
      </c>
      <c r="H13" s="25"/>
      <c r="I13" s="25">
        <v>0</v>
      </c>
      <c r="J13" s="25">
        <v>0.1</v>
      </c>
      <c r="K13" s="25">
        <v>0.1</v>
      </c>
      <c r="L13" s="25">
        <v>0</v>
      </c>
      <c r="M13" s="25">
        <v>0.4</v>
      </c>
      <c r="N13" s="25">
        <v>0.7</v>
      </c>
      <c r="O13" s="25">
        <v>0.7</v>
      </c>
      <c r="P13" s="25">
        <v>0.3</v>
      </c>
      <c r="Q13" s="25">
        <v>0.2</v>
      </c>
      <c r="R13" s="25"/>
      <c r="S13" s="25"/>
    </row>
    <row r="14" spans="1:19" x14ac:dyDescent="0.45">
      <c r="A14" s="8">
        <f>VLOOKUP(C14,'COM balance'!$AM$5:$AN$25,2,FALSE)</f>
        <v>0</v>
      </c>
      <c r="B14" s="36"/>
      <c r="C14" s="22" t="s">
        <v>73</v>
      </c>
      <c r="D14" s="42" t="s">
        <v>89</v>
      </c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</row>
    <row r="15" spans="1:19" x14ac:dyDescent="0.45">
      <c r="A15" s="8" t="str">
        <f>VLOOKUP(C15,'COM balance'!$AM$5:$AN$25,2,FALSE)</f>
        <v>COMKER</v>
      </c>
      <c r="B15" s="36"/>
      <c r="C15" s="20" t="s">
        <v>74</v>
      </c>
      <c r="D15" s="41" t="s">
        <v>82</v>
      </c>
      <c r="E15" s="25">
        <v>0</v>
      </c>
      <c r="F15" s="25">
        <v>0.1</v>
      </c>
      <c r="G15" s="25">
        <v>0.05</v>
      </c>
      <c r="H15" s="25">
        <v>0.05</v>
      </c>
      <c r="I15" s="25">
        <v>0</v>
      </c>
      <c r="J15" s="25">
        <v>0.3</v>
      </c>
      <c r="K15" s="25">
        <v>0.3</v>
      </c>
      <c r="L15" s="25">
        <v>0</v>
      </c>
      <c r="M15" s="25">
        <v>0.6</v>
      </c>
      <c r="N15" s="25">
        <v>0</v>
      </c>
      <c r="O15" s="25">
        <v>0</v>
      </c>
      <c r="P15" s="25">
        <v>0.1</v>
      </c>
      <c r="Q15" s="25">
        <v>0.6</v>
      </c>
      <c r="R15" s="25">
        <v>1</v>
      </c>
      <c r="S15" s="25">
        <v>0.2</v>
      </c>
    </row>
    <row r="16" spans="1:19" x14ac:dyDescent="0.45">
      <c r="A16" s="8" t="str">
        <f>VLOOKUP(C16,'COM balance'!$AM$5:$AN$25,2,FALSE)</f>
        <v>COMKER</v>
      </c>
      <c r="B16" s="36"/>
      <c r="C16" s="20" t="s">
        <v>74</v>
      </c>
      <c r="D16" s="41" t="s">
        <v>84</v>
      </c>
      <c r="E16" s="25">
        <v>0</v>
      </c>
      <c r="F16" s="27"/>
      <c r="G16" s="25">
        <v>0.08</v>
      </c>
      <c r="H16" s="25">
        <v>0.1</v>
      </c>
      <c r="I16" s="25">
        <v>0</v>
      </c>
      <c r="J16" s="25">
        <v>0.1</v>
      </c>
      <c r="K16" s="25">
        <v>0.1</v>
      </c>
      <c r="L16" s="25">
        <v>0</v>
      </c>
      <c r="M16" s="25">
        <v>0.4</v>
      </c>
      <c r="N16" s="25">
        <v>0</v>
      </c>
      <c r="O16" s="25">
        <v>0</v>
      </c>
      <c r="P16" s="25">
        <v>0</v>
      </c>
      <c r="Q16" s="25">
        <v>0.37</v>
      </c>
      <c r="R16" s="25"/>
      <c r="S16" s="25">
        <v>0.3</v>
      </c>
    </row>
    <row r="17" spans="1:19" x14ac:dyDescent="0.45">
      <c r="A17" s="8" t="str">
        <f>VLOOKUP(C17,'COM balance'!$AM$5:$AN$25,2,FALSE)</f>
        <v>COMKER</v>
      </c>
      <c r="B17" s="36"/>
      <c r="C17" s="20" t="s">
        <v>74</v>
      </c>
      <c r="D17" s="41" t="s">
        <v>85</v>
      </c>
      <c r="E17" s="25">
        <v>0.95</v>
      </c>
      <c r="F17" s="25"/>
      <c r="G17" s="25">
        <v>0.02</v>
      </c>
      <c r="H17" s="25">
        <v>0.65</v>
      </c>
      <c r="I17" s="25">
        <v>0.95</v>
      </c>
      <c r="J17" s="25">
        <v>0.1</v>
      </c>
      <c r="K17" s="25">
        <v>0.1</v>
      </c>
      <c r="L17" s="25">
        <v>1</v>
      </c>
      <c r="M17" s="25"/>
      <c r="N17" s="25">
        <v>0.9</v>
      </c>
      <c r="O17" s="25">
        <v>0.9</v>
      </c>
      <c r="P17" s="25">
        <v>0.4</v>
      </c>
      <c r="Q17" s="25">
        <v>0</v>
      </c>
      <c r="R17" s="25"/>
      <c r="S17" s="25"/>
    </row>
    <row r="18" spans="1:19" x14ac:dyDescent="0.45">
      <c r="A18" s="8" t="str">
        <f>VLOOKUP(C18,'COM balance'!$AM$5:$AN$25,2,FALSE)</f>
        <v>COMKER</v>
      </c>
      <c r="B18" s="36"/>
      <c r="C18" s="20" t="s">
        <v>74</v>
      </c>
      <c r="D18" s="41" t="s">
        <v>86</v>
      </c>
      <c r="E18" s="25">
        <v>0.05</v>
      </c>
      <c r="F18" s="25">
        <v>0.9</v>
      </c>
      <c r="G18" s="25">
        <v>0.85</v>
      </c>
      <c r="H18" s="25">
        <v>0.2</v>
      </c>
      <c r="I18" s="25">
        <v>0.05</v>
      </c>
      <c r="J18" s="25">
        <v>0.5</v>
      </c>
      <c r="K18" s="25">
        <v>0.5</v>
      </c>
      <c r="L18" s="25">
        <v>0</v>
      </c>
      <c r="M18" s="25"/>
      <c r="N18" s="25">
        <v>0.1</v>
      </c>
      <c r="O18" s="25">
        <v>0.1</v>
      </c>
      <c r="P18" s="25">
        <v>0.5</v>
      </c>
      <c r="Q18" s="25">
        <v>0.03</v>
      </c>
      <c r="R18" s="25"/>
      <c r="S18" s="25">
        <v>0.5</v>
      </c>
    </row>
    <row r="19" spans="1:19" x14ac:dyDescent="0.45">
      <c r="A19" s="8" t="str">
        <f>VLOOKUP(C19,'COM balance'!$AM$5:$AN$25,2,FALSE)</f>
        <v>COMKER</v>
      </c>
      <c r="B19" s="36"/>
      <c r="C19" s="22" t="s">
        <v>74</v>
      </c>
      <c r="D19" s="42" t="s">
        <v>89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</row>
    <row r="20" spans="1:19" x14ac:dyDescent="0.45">
      <c r="A20" s="8" t="str">
        <f>VLOOKUP(C20,'COM balance'!$AM$5:$AN$25,2,FALSE)</f>
        <v>COMCOA</v>
      </c>
      <c r="B20" s="36"/>
      <c r="C20" s="20" t="s">
        <v>32</v>
      </c>
      <c r="D20" s="41" t="s">
        <v>82</v>
      </c>
      <c r="E20" s="25">
        <v>0</v>
      </c>
      <c r="F20" s="25">
        <v>0.6</v>
      </c>
      <c r="G20" s="25">
        <v>1</v>
      </c>
      <c r="H20" s="25">
        <v>0.4</v>
      </c>
      <c r="I20" s="25">
        <v>1</v>
      </c>
      <c r="J20" s="25">
        <v>1</v>
      </c>
      <c r="K20" s="25">
        <v>1</v>
      </c>
      <c r="L20" s="25">
        <v>0.2</v>
      </c>
      <c r="M20" s="25">
        <v>0.15</v>
      </c>
      <c r="N20" s="25">
        <v>1</v>
      </c>
      <c r="O20" s="25">
        <v>1</v>
      </c>
      <c r="P20" s="25">
        <v>0.2</v>
      </c>
      <c r="Q20" s="25">
        <v>0.6</v>
      </c>
      <c r="R20" s="25">
        <v>1</v>
      </c>
      <c r="S20" s="25">
        <v>1</v>
      </c>
    </row>
    <row r="21" spans="1:19" x14ac:dyDescent="0.45">
      <c r="A21" s="8" t="str">
        <f>VLOOKUP(C21,'COM balance'!$AM$5:$AN$25,2,FALSE)</f>
        <v>COMCOA</v>
      </c>
      <c r="B21" s="36"/>
      <c r="C21" s="20" t="s">
        <v>32</v>
      </c>
      <c r="D21" s="41" t="s">
        <v>84</v>
      </c>
      <c r="E21" s="25">
        <v>0.5</v>
      </c>
      <c r="F21" s="25">
        <v>0.4</v>
      </c>
      <c r="G21" s="25">
        <v>0</v>
      </c>
      <c r="H21" s="25">
        <v>0.3</v>
      </c>
      <c r="I21" s="25"/>
      <c r="J21" s="25"/>
      <c r="K21" s="25"/>
      <c r="L21" s="25">
        <v>0.3</v>
      </c>
      <c r="M21" s="25">
        <v>0.62</v>
      </c>
      <c r="N21" s="25"/>
      <c r="O21" s="25"/>
      <c r="P21" s="25">
        <v>0.3</v>
      </c>
      <c r="Q21" s="25">
        <v>0.2</v>
      </c>
      <c r="R21" s="25"/>
      <c r="S21" s="25"/>
    </row>
    <row r="22" spans="1:19" x14ac:dyDescent="0.45">
      <c r="A22" s="8" t="str">
        <f>VLOOKUP(C22,'COM balance'!$AM$5:$AN$25,2,FALSE)</f>
        <v>COMCOA</v>
      </c>
      <c r="B22" s="36"/>
      <c r="C22" s="20" t="s">
        <v>32</v>
      </c>
      <c r="D22" s="41" t="s">
        <v>86</v>
      </c>
      <c r="E22" s="25">
        <v>0.5</v>
      </c>
      <c r="F22" s="25"/>
      <c r="G22" s="25">
        <v>0</v>
      </c>
      <c r="H22" s="25">
        <v>0.3</v>
      </c>
      <c r="I22" s="25"/>
      <c r="J22" s="25"/>
      <c r="K22" s="25"/>
      <c r="L22" s="25">
        <v>0.5</v>
      </c>
      <c r="M22" s="25">
        <v>0.23</v>
      </c>
      <c r="N22" s="25"/>
      <c r="O22" s="25"/>
      <c r="P22" s="25">
        <v>0.5</v>
      </c>
      <c r="Q22" s="25">
        <v>0.2</v>
      </c>
      <c r="R22" s="25"/>
      <c r="S22" s="25"/>
    </row>
    <row r="23" spans="1:19" x14ac:dyDescent="0.45">
      <c r="A23" s="8" t="str">
        <f>VLOOKUP(C23,'COM balance'!$AM$5:$AN$25,2,FALSE)</f>
        <v>COMCOA</v>
      </c>
      <c r="B23" s="36"/>
      <c r="C23" s="22" t="s">
        <v>32</v>
      </c>
      <c r="D23" s="42" t="s">
        <v>89</v>
      </c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</row>
    <row r="24" spans="1:19" x14ac:dyDescent="0.45">
      <c r="A24" s="8" t="str">
        <f>VLOOKUP(C24,'COM balance'!$AM$5:$AN$25,2,FALSE)</f>
        <v>COMLPG</v>
      </c>
      <c r="B24" s="36"/>
      <c r="C24" s="20" t="s">
        <v>75</v>
      </c>
      <c r="D24" s="41" t="s">
        <v>82</v>
      </c>
      <c r="E24" s="25">
        <v>0</v>
      </c>
      <c r="F24" s="25">
        <v>0.3</v>
      </c>
      <c r="G24" s="25">
        <v>0.2</v>
      </c>
      <c r="H24" s="25">
        <v>0.25</v>
      </c>
      <c r="I24" s="25">
        <v>0</v>
      </c>
      <c r="J24" s="25">
        <v>0.70902295115334446</v>
      </c>
      <c r="K24" s="25">
        <v>0.70902295115334446</v>
      </c>
      <c r="L24" s="25">
        <v>0</v>
      </c>
      <c r="M24" s="25">
        <v>0.6</v>
      </c>
      <c r="N24" s="25">
        <v>0.05</v>
      </c>
      <c r="O24" s="25">
        <v>0</v>
      </c>
      <c r="P24" s="25">
        <v>0.1</v>
      </c>
      <c r="Q24" s="25">
        <v>0.6</v>
      </c>
      <c r="R24" s="25">
        <v>0.70902295115334446</v>
      </c>
      <c r="S24" s="25">
        <v>0.2</v>
      </c>
    </row>
    <row r="25" spans="1:19" x14ac:dyDescent="0.45">
      <c r="A25" s="8" t="str">
        <f>VLOOKUP(C25,'COM balance'!$AM$5:$AN$25,2,FALSE)</f>
        <v>COMLPG</v>
      </c>
      <c r="B25" s="36"/>
      <c r="C25" s="20" t="s">
        <v>75</v>
      </c>
      <c r="D25" s="41" t="s">
        <v>84</v>
      </c>
      <c r="E25" s="25">
        <v>0.1</v>
      </c>
      <c r="F25" s="25">
        <v>0.3</v>
      </c>
      <c r="G25" s="25">
        <v>0.1</v>
      </c>
      <c r="H25" s="25">
        <v>0.25</v>
      </c>
      <c r="I25" s="25">
        <v>0.1</v>
      </c>
      <c r="J25" s="25">
        <v>0.21904596281611932</v>
      </c>
      <c r="K25" s="25">
        <v>0.21904596281611932</v>
      </c>
      <c r="L25" s="25">
        <v>0.1</v>
      </c>
      <c r="M25" s="25">
        <v>0.4</v>
      </c>
      <c r="N25" s="25">
        <v>0.1</v>
      </c>
      <c r="O25" s="25">
        <v>0.1</v>
      </c>
      <c r="P25" s="25">
        <v>0.2</v>
      </c>
      <c r="Q25" s="25">
        <v>0.35</v>
      </c>
      <c r="R25" s="25">
        <v>0.21904596281611932</v>
      </c>
      <c r="S25" s="25">
        <v>0.3</v>
      </c>
    </row>
    <row r="26" spans="1:19" x14ac:dyDescent="0.45">
      <c r="A26" s="8" t="str">
        <f>VLOOKUP(C26,'COM balance'!$AM$5:$AN$25,2,FALSE)</f>
        <v>COMLPG</v>
      </c>
      <c r="B26" s="36"/>
      <c r="C26" s="20" t="s">
        <v>75</v>
      </c>
      <c r="D26" s="41" t="s">
        <v>86</v>
      </c>
      <c r="E26" s="25">
        <v>0.9</v>
      </c>
      <c r="F26" s="25">
        <v>0.4</v>
      </c>
      <c r="G26" s="25">
        <v>0.7</v>
      </c>
      <c r="H26" s="25">
        <v>0.5</v>
      </c>
      <c r="I26" s="25">
        <v>0.9</v>
      </c>
      <c r="J26" s="25">
        <v>7.193108603053619E-2</v>
      </c>
      <c r="K26" s="25">
        <v>7.193108603053619E-2</v>
      </c>
      <c r="L26" s="25">
        <v>0.9</v>
      </c>
      <c r="M26" s="25">
        <v>0</v>
      </c>
      <c r="N26" s="25">
        <v>0.85</v>
      </c>
      <c r="O26" s="25">
        <v>0.9</v>
      </c>
      <c r="P26" s="25">
        <v>0.7</v>
      </c>
      <c r="Q26" s="25">
        <v>0.05</v>
      </c>
      <c r="R26" s="25">
        <v>7.193108603053619E-2</v>
      </c>
      <c r="S26" s="25">
        <v>0.5</v>
      </c>
    </row>
    <row r="27" spans="1:19" x14ac:dyDescent="0.45">
      <c r="A27" s="8" t="str">
        <f>VLOOKUP(C27,'COM balance'!$AM$5:$AN$25,2,FALSE)</f>
        <v>COMLPG</v>
      </c>
      <c r="B27" s="36"/>
      <c r="C27" s="22" t="s">
        <v>75</v>
      </c>
      <c r="D27" s="42" t="s">
        <v>89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</row>
    <row r="28" spans="1:19" x14ac:dyDescent="0.45">
      <c r="A28" s="8">
        <f>VLOOKUP(C28,'COM balance'!$AM$5:$AN$25,2,FALSE)</f>
        <v>0</v>
      </c>
      <c r="B28" s="36"/>
      <c r="C28" s="20" t="s">
        <v>76</v>
      </c>
      <c r="D28" s="41" t="s">
        <v>82</v>
      </c>
      <c r="E28" s="14">
        <v>0.1</v>
      </c>
      <c r="F28" s="14">
        <v>0.85</v>
      </c>
      <c r="G28" s="14">
        <v>1</v>
      </c>
      <c r="H28" s="14">
        <v>0.3</v>
      </c>
      <c r="I28" s="14">
        <v>0.1</v>
      </c>
      <c r="J28" s="14">
        <v>1</v>
      </c>
      <c r="K28" s="14">
        <v>1</v>
      </c>
      <c r="L28" s="14">
        <v>0.1</v>
      </c>
      <c r="M28" s="14">
        <v>1</v>
      </c>
      <c r="N28" s="14">
        <v>1</v>
      </c>
      <c r="O28" s="14">
        <v>0.1</v>
      </c>
      <c r="P28" s="14">
        <v>0.2</v>
      </c>
      <c r="Q28" s="14">
        <v>0.1</v>
      </c>
      <c r="R28" s="14">
        <v>1</v>
      </c>
      <c r="S28" s="14">
        <v>0.8</v>
      </c>
    </row>
    <row r="29" spans="1:19" x14ac:dyDescent="0.45">
      <c r="A29" s="8">
        <f>VLOOKUP(C29,'COM balance'!$AM$5:$AN$25,2,FALSE)</f>
        <v>0</v>
      </c>
      <c r="B29" s="36"/>
      <c r="C29" s="20" t="s">
        <v>76</v>
      </c>
      <c r="D29" s="41" t="s">
        <v>84</v>
      </c>
      <c r="E29" s="14">
        <v>0.2</v>
      </c>
      <c r="F29" s="14">
        <v>0.15</v>
      </c>
      <c r="G29" s="14">
        <v>0</v>
      </c>
      <c r="H29" s="14">
        <v>0.35</v>
      </c>
      <c r="I29" s="14">
        <v>0.2</v>
      </c>
      <c r="J29" s="14">
        <v>0</v>
      </c>
      <c r="K29" s="14">
        <v>0</v>
      </c>
      <c r="L29" s="14">
        <v>0.2</v>
      </c>
      <c r="M29" s="14">
        <v>0</v>
      </c>
      <c r="N29" s="14">
        <v>0</v>
      </c>
      <c r="O29" s="14">
        <v>0.2</v>
      </c>
      <c r="P29" s="14">
        <v>0.3</v>
      </c>
      <c r="Q29" s="14">
        <v>0.2</v>
      </c>
      <c r="R29" s="14">
        <v>0</v>
      </c>
      <c r="S29" s="14">
        <v>0</v>
      </c>
    </row>
    <row r="30" spans="1:19" x14ac:dyDescent="0.45">
      <c r="A30" s="8">
        <f>VLOOKUP(C30,'COM balance'!$AM$5:$AN$25,2,FALSE)</f>
        <v>0</v>
      </c>
      <c r="B30" s="36"/>
      <c r="C30" s="20" t="s">
        <v>76</v>
      </c>
      <c r="D30" s="41" t="s">
        <v>86</v>
      </c>
      <c r="E30" s="14">
        <v>0.7</v>
      </c>
      <c r="F30" s="14">
        <v>0</v>
      </c>
      <c r="G30" s="14">
        <v>0</v>
      </c>
      <c r="H30" s="14">
        <v>0.35</v>
      </c>
      <c r="I30" s="14">
        <v>0.7</v>
      </c>
      <c r="J30" s="14">
        <v>0</v>
      </c>
      <c r="K30" s="14">
        <v>0</v>
      </c>
      <c r="L30" s="14">
        <v>0.7</v>
      </c>
      <c r="M30" s="14">
        <v>0</v>
      </c>
      <c r="N30" s="14">
        <v>0</v>
      </c>
      <c r="O30" s="14">
        <v>0.7</v>
      </c>
      <c r="P30" s="14">
        <v>0.5</v>
      </c>
      <c r="Q30" s="14">
        <v>0.7</v>
      </c>
      <c r="R30" s="14">
        <v>0</v>
      </c>
      <c r="S30" s="14">
        <v>0.2</v>
      </c>
    </row>
    <row r="31" spans="1:19" x14ac:dyDescent="0.45">
      <c r="A31" s="8">
        <f>VLOOKUP(C31,'COM balance'!$AM$5:$AN$25,2,FALSE)</f>
        <v>0</v>
      </c>
      <c r="B31" s="36"/>
      <c r="C31" s="22" t="s">
        <v>76</v>
      </c>
      <c r="D31" s="42" t="s">
        <v>89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</row>
    <row r="32" spans="1:19" x14ac:dyDescent="0.45">
      <c r="A32" s="8" t="str">
        <f>VLOOKUP(C32,'COM balance'!$AM$5:$AN$25,2,FALSE)</f>
        <v>COMBIO</v>
      </c>
      <c r="B32" s="36"/>
      <c r="C32" s="20" t="s">
        <v>77</v>
      </c>
      <c r="D32" s="41" t="s">
        <v>82</v>
      </c>
      <c r="E32" s="14">
        <v>0</v>
      </c>
      <c r="F32" s="14">
        <v>0.85</v>
      </c>
      <c r="G32" s="25">
        <v>1</v>
      </c>
      <c r="H32" s="14">
        <v>0.3</v>
      </c>
      <c r="I32" s="14">
        <v>0.1</v>
      </c>
      <c r="J32" s="14">
        <v>1</v>
      </c>
      <c r="K32" s="14">
        <v>1</v>
      </c>
      <c r="L32" s="14">
        <v>0.1</v>
      </c>
      <c r="M32" s="14">
        <v>1</v>
      </c>
      <c r="N32" s="25">
        <v>1</v>
      </c>
      <c r="O32" s="14">
        <v>0.1</v>
      </c>
      <c r="P32" s="14">
        <v>0.2</v>
      </c>
      <c r="Q32" s="14">
        <v>0.1</v>
      </c>
      <c r="R32" s="14">
        <v>1</v>
      </c>
      <c r="S32" s="14">
        <v>0.8</v>
      </c>
    </row>
    <row r="33" spans="1:19" x14ac:dyDescent="0.45">
      <c r="A33" s="8" t="str">
        <f>VLOOKUP(C33,'COM balance'!$AM$5:$AN$25,2,FALSE)</f>
        <v>COMBIO</v>
      </c>
      <c r="B33" s="36"/>
      <c r="C33" s="20" t="s">
        <v>77</v>
      </c>
      <c r="D33" s="41" t="s">
        <v>84</v>
      </c>
      <c r="E33" s="14">
        <v>0.2</v>
      </c>
      <c r="F33" s="14">
        <v>0.15</v>
      </c>
      <c r="G33" s="14">
        <v>0</v>
      </c>
      <c r="H33" s="14">
        <v>0.35</v>
      </c>
      <c r="I33" s="14">
        <v>0.2</v>
      </c>
      <c r="J33" s="14"/>
      <c r="K33" s="14"/>
      <c r="L33" s="14">
        <v>0.2</v>
      </c>
      <c r="M33" s="14"/>
      <c r="N33" s="14"/>
      <c r="O33" s="14">
        <v>0.2</v>
      </c>
      <c r="P33" s="14">
        <v>0.3</v>
      </c>
      <c r="Q33" s="14">
        <v>0.2</v>
      </c>
      <c r="R33" s="14"/>
      <c r="S33" s="14"/>
    </row>
    <row r="34" spans="1:19" x14ac:dyDescent="0.45">
      <c r="A34" s="8" t="str">
        <f>VLOOKUP(C34,'COM balance'!$AM$5:$AN$25,2,FALSE)</f>
        <v>COMBIO</v>
      </c>
      <c r="B34" s="36"/>
      <c r="C34" s="20" t="s">
        <v>77</v>
      </c>
      <c r="D34" s="41" t="s">
        <v>86</v>
      </c>
      <c r="E34" s="14">
        <v>0.8</v>
      </c>
      <c r="F34" s="14"/>
      <c r="G34" s="14">
        <v>0</v>
      </c>
      <c r="H34" s="14">
        <v>0.35</v>
      </c>
      <c r="I34" s="14">
        <v>0.7</v>
      </c>
      <c r="J34" s="14"/>
      <c r="K34" s="14"/>
      <c r="L34" s="14">
        <v>0.7</v>
      </c>
      <c r="M34" s="14"/>
      <c r="N34" s="14"/>
      <c r="O34" s="14">
        <v>0.7</v>
      </c>
      <c r="P34" s="14">
        <v>0.5</v>
      </c>
      <c r="Q34" s="14">
        <v>0.7</v>
      </c>
      <c r="R34" s="14"/>
      <c r="S34" s="14">
        <v>0.2</v>
      </c>
    </row>
    <row r="35" spans="1:19" x14ac:dyDescent="0.45">
      <c r="A35" s="8" t="str">
        <f>VLOOKUP(C35,'COM balance'!$AM$5:$AN$25,2,FALSE)</f>
        <v>COMBIO</v>
      </c>
      <c r="B35" s="36"/>
      <c r="C35" s="20" t="s">
        <v>77</v>
      </c>
      <c r="D35" s="42" t="s">
        <v>89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</row>
    <row r="36" spans="1:19" x14ac:dyDescent="0.45">
      <c r="A36" s="8">
        <f>VLOOKUP(C36,'COM balance'!$AM$5:$AN$25,2,FALSE)</f>
        <v>0</v>
      </c>
      <c r="B36" s="36"/>
      <c r="C36" s="20" t="s">
        <v>35</v>
      </c>
      <c r="D36" s="41" t="s">
        <v>82</v>
      </c>
      <c r="E36" s="14">
        <v>0.1</v>
      </c>
      <c r="F36" s="14">
        <v>0.85</v>
      </c>
      <c r="G36" s="14">
        <v>1</v>
      </c>
      <c r="H36" s="14">
        <v>0.3</v>
      </c>
      <c r="I36" s="14">
        <v>0.1</v>
      </c>
      <c r="J36" s="14">
        <v>1</v>
      </c>
      <c r="K36" s="14">
        <v>1</v>
      </c>
      <c r="L36" s="14">
        <v>0.1</v>
      </c>
      <c r="M36" s="14">
        <v>1</v>
      </c>
      <c r="N36" s="14">
        <v>1</v>
      </c>
      <c r="O36" s="14">
        <v>0.1</v>
      </c>
      <c r="P36" s="14">
        <v>0.2</v>
      </c>
      <c r="Q36" s="14">
        <v>0.1</v>
      </c>
      <c r="R36" s="14">
        <v>1</v>
      </c>
      <c r="S36" s="14">
        <v>0.8</v>
      </c>
    </row>
    <row r="37" spans="1:19" x14ac:dyDescent="0.45">
      <c r="A37" s="8">
        <f>VLOOKUP(C37,'COM balance'!$AM$5:$AN$25,2,FALSE)</f>
        <v>0</v>
      </c>
      <c r="B37" s="36"/>
      <c r="C37" s="20" t="s">
        <v>35</v>
      </c>
      <c r="D37" s="41" t="s">
        <v>84</v>
      </c>
      <c r="E37" s="14">
        <v>0.2</v>
      </c>
      <c r="F37" s="14">
        <v>0.15</v>
      </c>
      <c r="G37" s="14">
        <v>0</v>
      </c>
      <c r="H37" s="14">
        <v>0.35</v>
      </c>
      <c r="I37" s="14">
        <v>0.2</v>
      </c>
      <c r="J37" s="14">
        <v>0</v>
      </c>
      <c r="K37" s="14">
        <v>0</v>
      </c>
      <c r="L37" s="14">
        <v>0.2</v>
      </c>
      <c r="M37" s="14">
        <v>0</v>
      </c>
      <c r="N37" s="14">
        <v>0</v>
      </c>
      <c r="O37" s="14">
        <v>0.2</v>
      </c>
      <c r="P37" s="14">
        <v>0.3</v>
      </c>
      <c r="Q37" s="14">
        <v>0.2</v>
      </c>
      <c r="R37" s="14">
        <v>0</v>
      </c>
      <c r="S37" s="14">
        <v>0</v>
      </c>
    </row>
    <row r="38" spans="1:19" x14ac:dyDescent="0.45">
      <c r="A38" s="8">
        <f>VLOOKUP(C38,'COM balance'!$AM$5:$AN$25,2,FALSE)</f>
        <v>0</v>
      </c>
      <c r="B38" s="36"/>
      <c r="C38" s="20" t="s">
        <v>35</v>
      </c>
      <c r="D38" s="41" t="s">
        <v>86</v>
      </c>
      <c r="E38" s="14">
        <v>0.7</v>
      </c>
      <c r="F38" s="14">
        <v>0</v>
      </c>
      <c r="G38" s="14">
        <v>0</v>
      </c>
      <c r="H38" s="14">
        <v>0.35</v>
      </c>
      <c r="I38" s="14">
        <v>0.7</v>
      </c>
      <c r="J38" s="14">
        <v>0</v>
      </c>
      <c r="K38" s="14">
        <v>0</v>
      </c>
      <c r="L38" s="14">
        <v>0.7</v>
      </c>
      <c r="M38" s="14">
        <v>0</v>
      </c>
      <c r="N38" s="14">
        <v>0</v>
      </c>
      <c r="O38" s="14">
        <v>0.7</v>
      </c>
      <c r="P38" s="14">
        <v>0.5</v>
      </c>
      <c r="Q38" s="14">
        <v>0.7</v>
      </c>
      <c r="R38" s="14">
        <v>0</v>
      </c>
      <c r="S38" s="14">
        <v>0.2</v>
      </c>
    </row>
    <row r="39" spans="1:19" x14ac:dyDescent="0.45">
      <c r="A39" s="8">
        <f>VLOOKUP(C39,'COM balance'!$AM$5:$AN$25,2,FALSE)</f>
        <v>0</v>
      </c>
      <c r="B39" s="36"/>
      <c r="C39" s="22" t="s">
        <v>35</v>
      </c>
      <c r="D39" s="42" t="s">
        <v>89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</row>
    <row r="40" spans="1:19" x14ac:dyDescent="0.45">
      <c r="A40" s="8">
        <f>VLOOKUP(C40,'COM balance'!$AM$5:$AN$25,2,FALSE)</f>
        <v>0</v>
      </c>
      <c r="B40" s="36"/>
      <c r="C40" s="20" t="s">
        <v>78</v>
      </c>
      <c r="D40" s="41" t="s">
        <v>82</v>
      </c>
      <c r="E40" s="14">
        <v>0.1</v>
      </c>
      <c r="F40" s="14">
        <v>0.85</v>
      </c>
      <c r="G40" s="14">
        <v>1</v>
      </c>
      <c r="H40" s="14">
        <v>0.3</v>
      </c>
      <c r="I40" s="14">
        <v>0.1</v>
      </c>
      <c r="J40" s="14">
        <v>1</v>
      </c>
      <c r="K40" s="14">
        <v>1</v>
      </c>
      <c r="L40" s="14">
        <v>0.1</v>
      </c>
      <c r="M40" s="14">
        <v>1</v>
      </c>
      <c r="N40" s="14">
        <v>1</v>
      </c>
      <c r="O40" s="14">
        <v>0.1</v>
      </c>
      <c r="P40" s="14">
        <v>0.2</v>
      </c>
      <c r="Q40" s="14">
        <v>0.1</v>
      </c>
      <c r="R40" s="14">
        <v>1</v>
      </c>
      <c r="S40" s="14">
        <v>0.8</v>
      </c>
    </row>
    <row r="41" spans="1:19" x14ac:dyDescent="0.45">
      <c r="A41" s="8">
        <f>VLOOKUP(C41,'COM balance'!$AM$5:$AN$25,2,FALSE)</f>
        <v>0</v>
      </c>
      <c r="B41" s="36"/>
      <c r="C41" s="20" t="s">
        <v>78</v>
      </c>
      <c r="D41" s="41" t="s">
        <v>84</v>
      </c>
      <c r="E41" s="14">
        <v>0.89999999999999991</v>
      </c>
      <c r="F41" s="14">
        <v>0.15</v>
      </c>
      <c r="G41" s="14">
        <v>0</v>
      </c>
      <c r="H41" s="14">
        <v>0.7</v>
      </c>
      <c r="I41" s="14">
        <v>0.89999999999999991</v>
      </c>
      <c r="J41" s="14">
        <v>0</v>
      </c>
      <c r="K41" s="14">
        <v>0</v>
      </c>
      <c r="L41" s="14">
        <v>0.89999999999999991</v>
      </c>
      <c r="M41" s="14">
        <v>0</v>
      </c>
      <c r="N41" s="14">
        <v>0</v>
      </c>
      <c r="O41" s="14">
        <v>0.89999999999999991</v>
      </c>
      <c r="P41" s="14">
        <v>0.8</v>
      </c>
      <c r="Q41" s="14">
        <v>0.89999999999999991</v>
      </c>
      <c r="R41" s="14">
        <v>0</v>
      </c>
      <c r="S41" s="14">
        <v>0.2</v>
      </c>
    </row>
    <row r="42" spans="1:19" x14ac:dyDescent="0.45">
      <c r="A42" s="8">
        <f>VLOOKUP(C42,'COM balance'!$AM$5:$AN$25,2,FALSE)</f>
        <v>0</v>
      </c>
      <c r="B42" s="36"/>
      <c r="C42" s="22" t="s">
        <v>78</v>
      </c>
      <c r="D42" s="42" t="s">
        <v>89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</row>
    <row r="43" spans="1:19" x14ac:dyDescent="0.45">
      <c r="A43" s="8" t="str">
        <f>VLOOKUP(C43,'COM balance'!$AM$5:$AN$25,2,FALSE)</f>
        <v>COMELC</v>
      </c>
      <c r="B43" s="36"/>
      <c r="C43" s="20" t="s">
        <v>34</v>
      </c>
      <c r="D43" s="41" t="s">
        <v>82</v>
      </c>
      <c r="E43" s="28">
        <v>0</v>
      </c>
      <c r="F43" s="28">
        <v>0.04</v>
      </c>
      <c r="G43" s="28">
        <v>0.17</v>
      </c>
      <c r="H43" s="28">
        <v>0.02</v>
      </c>
      <c r="I43" s="28">
        <v>0.02</v>
      </c>
      <c r="J43" s="28">
        <v>0.1</v>
      </c>
      <c r="K43" s="28">
        <v>0.1</v>
      </c>
      <c r="L43" s="28">
        <v>0.02</v>
      </c>
      <c r="M43" s="28">
        <v>0.05</v>
      </c>
      <c r="N43" s="28">
        <v>0.05</v>
      </c>
      <c r="O43" s="28">
        <v>0.05</v>
      </c>
      <c r="P43" s="28">
        <v>0.03</v>
      </c>
      <c r="Q43" s="28">
        <v>0.03</v>
      </c>
      <c r="R43" s="28">
        <v>4.5652792094116795E-2</v>
      </c>
      <c r="S43" s="28">
        <v>0.15</v>
      </c>
    </row>
    <row r="44" spans="1:19" x14ac:dyDescent="0.45">
      <c r="A44" s="8" t="str">
        <f>VLOOKUP(C44,'COM balance'!$AM$5:$AN$25,2,FALSE)</f>
        <v>COMELC</v>
      </c>
      <c r="B44" s="36"/>
      <c r="C44" s="20" t="s">
        <v>34</v>
      </c>
      <c r="D44" s="41" t="s">
        <v>83</v>
      </c>
      <c r="E44" s="25">
        <v>0.15</v>
      </c>
      <c r="F44" s="25">
        <v>0.06</v>
      </c>
      <c r="G44" s="25">
        <v>0.13</v>
      </c>
      <c r="H44" s="25">
        <v>0.03</v>
      </c>
      <c r="I44" s="25">
        <v>0.08</v>
      </c>
      <c r="J44" s="25">
        <v>0.01</v>
      </c>
      <c r="K44" s="25">
        <v>0.01</v>
      </c>
      <c r="L44" s="25">
        <v>0.05</v>
      </c>
      <c r="M44" s="25">
        <v>0.14000000000000001</v>
      </c>
      <c r="N44" s="25">
        <v>0.1</v>
      </c>
      <c r="O44" s="25">
        <v>0.1</v>
      </c>
      <c r="P44" s="25">
        <v>0.13</v>
      </c>
      <c r="Q44" s="25">
        <v>0.15</v>
      </c>
      <c r="R44" s="25">
        <v>0.20724701637407295</v>
      </c>
      <c r="S44" s="25">
        <v>0.1</v>
      </c>
    </row>
    <row r="45" spans="1:19" x14ac:dyDescent="0.45">
      <c r="A45" s="8" t="str">
        <f>VLOOKUP(C45,'COM balance'!$AM$5:$AN$25,2,FALSE)</f>
        <v>COMELC</v>
      </c>
      <c r="B45" s="36"/>
      <c r="C45" s="20" t="s">
        <v>34</v>
      </c>
      <c r="D45" s="41" t="s">
        <v>84</v>
      </c>
      <c r="E45" s="25">
        <v>0.05</v>
      </c>
      <c r="F45" s="25">
        <v>0.1</v>
      </c>
      <c r="G45" s="25">
        <v>0.03</v>
      </c>
      <c r="H45" s="25">
        <v>0.02</v>
      </c>
      <c r="I45" s="25">
        <v>0.02</v>
      </c>
      <c r="J45" s="25">
        <v>0.1</v>
      </c>
      <c r="K45" s="25">
        <v>0.1</v>
      </c>
      <c r="L45" s="25">
        <v>0.01</v>
      </c>
      <c r="M45" s="25">
        <v>0</v>
      </c>
      <c r="N45" s="25">
        <v>0.05</v>
      </c>
      <c r="O45" s="25">
        <v>0.05</v>
      </c>
      <c r="P45" s="25">
        <v>0.06</v>
      </c>
      <c r="Q45" s="25">
        <v>0.03</v>
      </c>
      <c r="R45" s="25">
        <v>4.7250673863187216E-2</v>
      </c>
      <c r="S45" s="25">
        <v>0.06</v>
      </c>
    </row>
    <row r="46" spans="1:19" x14ac:dyDescent="0.45">
      <c r="A46" s="8" t="str">
        <f>VLOOKUP(C46,'COM balance'!$AM$5:$AN$25,2,FALSE)</f>
        <v>COMELC</v>
      </c>
      <c r="B46" s="36"/>
      <c r="C46" s="20" t="s">
        <v>34</v>
      </c>
      <c r="D46" s="41" t="s">
        <v>85</v>
      </c>
      <c r="E46" s="25">
        <v>0.4</v>
      </c>
      <c r="F46" s="25">
        <v>0.3</v>
      </c>
      <c r="G46" s="25">
        <v>0.38</v>
      </c>
      <c r="H46" s="25">
        <v>0.6</v>
      </c>
      <c r="I46" s="25">
        <v>0.42</v>
      </c>
      <c r="J46" s="25">
        <v>0.4</v>
      </c>
      <c r="K46" s="25">
        <v>0.4</v>
      </c>
      <c r="L46" s="25">
        <v>0.4</v>
      </c>
      <c r="M46" s="25">
        <v>0.4</v>
      </c>
      <c r="N46" s="25">
        <v>0.36</v>
      </c>
      <c r="O46" s="25">
        <v>0.38</v>
      </c>
      <c r="P46" s="25">
        <v>0.35</v>
      </c>
      <c r="Q46" s="25">
        <v>0.46</v>
      </c>
      <c r="R46" s="25">
        <v>0.39595432418647619</v>
      </c>
      <c r="S46" s="25">
        <v>0.39</v>
      </c>
    </row>
    <row r="47" spans="1:19" x14ac:dyDescent="0.45">
      <c r="A47" s="8" t="str">
        <f>VLOOKUP(C47,'COM balance'!$AM$5:$AN$25,2,FALSE)</f>
        <v>COMELC</v>
      </c>
      <c r="B47" s="36"/>
      <c r="C47" s="20" t="s">
        <v>34</v>
      </c>
      <c r="D47" s="41" t="s">
        <v>86</v>
      </c>
      <c r="E47" s="25">
        <v>0.05</v>
      </c>
      <c r="F47" s="25">
        <v>0.05</v>
      </c>
      <c r="G47" s="25">
        <v>0.04</v>
      </c>
      <c r="H47" s="25">
        <v>0.05</v>
      </c>
      <c r="I47" s="25">
        <v>0.02</v>
      </c>
      <c r="J47" s="25">
        <v>0.03</v>
      </c>
      <c r="K47" s="25">
        <v>0.03</v>
      </c>
      <c r="L47" s="25">
        <v>0.03</v>
      </c>
      <c r="M47" s="25">
        <v>0</v>
      </c>
      <c r="N47" s="25">
        <v>0.03</v>
      </c>
      <c r="O47" s="25">
        <v>0.02</v>
      </c>
      <c r="P47" s="25">
        <v>0.01</v>
      </c>
      <c r="Q47" s="25">
        <v>0.01</v>
      </c>
      <c r="R47" s="25">
        <v>1.0313924754943369E-2</v>
      </c>
      <c r="S47" s="25">
        <v>0.04</v>
      </c>
    </row>
    <row r="48" spans="1:19" x14ac:dyDescent="0.45">
      <c r="A48" s="8" t="str">
        <f>VLOOKUP(C48,'COM balance'!$AM$5:$AN$25,2,FALSE)</f>
        <v>COMELC</v>
      </c>
      <c r="B48" s="36"/>
      <c r="C48" s="20" t="s">
        <v>34</v>
      </c>
      <c r="D48" s="41" t="s">
        <v>87</v>
      </c>
      <c r="E48" s="25">
        <v>0.15</v>
      </c>
      <c r="F48" s="25">
        <v>0.2</v>
      </c>
      <c r="G48" s="25">
        <v>0.05</v>
      </c>
      <c r="H48" s="25">
        <v>0.08</v>
      </c>
      <c r="I48" s="25">
        <v>0.24</v>
      </c>
      <c r="J48" s="25">
        <v>0.1</v>
      </c>
      <c r="K48" s="25">
        <v>0.1</v>
      </c>
      <c r="L48" s="25">
        <v>0.17</v>
      </c>
      <c r="M48" s="25">
        <v>0.09</v>
      </c>
      <c r="N48" s="25">
        <v>0.21</v>
      </c>
      <c r="O48" s="25">
        <v>0.2</v>
      </c>
      <c r="P48" s="25">
        <v>0.2</v>
      </c>
      <c r="Q48" s="25">
        <v>0.1</v>
      </c>
      <c r="R48" s="25">
        <v>5.9719534137051444E-2</v>
      </c>
      <c r="S48" s="25">
        <v>0.09</v>
      </c>
    </row>
    <row r="49" spans="1:19" x14ac:dyDescent="0.45">
      <c r="A49" s="8" t="str">
        <f>VLOOKUP(C49,'COM balance'!$AM$5:$AN$25,2,FALSE)</f>
        <v>COMELC</v>
      </c>
      <c r="B49" s="36"/>
      <c r="C49" s="20" t="s">
        <v>34</v>
      </c>
      <c r="D49" s="41" t="s">
        <v>88</v>
      </c>
      <c r="E49" s="25">
        <f>1-SUM(E43:E48)</f>
        <v>0.19999999999999984</v>
      </c>
      <c r="F49" s="25">
        <f t="shared" ref="F49:S49" si="0">1-SUM(F43:F48)</f>
        <v>0.25</v>
      </c>
      <c r="G49" s="25">
        <f t="shared" si="0"/>
        <v>0.19999999999999984</v>
      </c>
      <c r="H49" s="25">
        <f t="shared" si="0"/>
        <v>0.20000000000000007</v>
      </c>
      <c r="I49" s="25">
        <f t="shared" si="0"/>
        <v>0.19999999999999996</v>
      </c>
      <c r="J49" s="25">
        <f t="shared" si="0"/>
        <v>0.2599999999999999</v>
      </c>
      <c r="K49" s="25">
        <f t="shared" si="0"/>
        <v>0.2599999999999999</v>
      </c>
      <c r="L49" s="25">
        <f t="shared" si="0"/>
        <v>0.31999999999999995</v>
      </c>
      <c r="M49" s="25">
        <f t="shared" si="0"/>
        <v>0.31999999999999995</v>
      </c>
      <c r="N49" s="25">
        <f t="shared" si="0"/>
        <v>0.19999999999999996</v>
      </c>
      <c r="O49" s="25">
        <f t="shared" si="0"/>
        <v>0.19999999999999996</v>
      </c>
      <c r="P49" s="25">
        <f t="shared" si="0"/>
        <v>0.21999999999999997</v>
      </c>
      <c r="Q49" s="25">
        <f t="shared" si="0"/>
        <v>0.21999999999999997</v>
      </c>
      <c r="R49" s="25">
        <f t="shared" si="0"/>
        <v>0.23386173459015203</v>
      </c>
      <c r="S49" s="25">
        <f t="shared" si="0"/>
        <v>0.17000000000000004</v>
      </c>
    </row>
    <row r="50" spans="1:19" x14ac:dyDescent="0.45">
      <c r="A50" s="8" t="str">
        <f>VLOOKUP(C50,'COM balance'!$AM$5:$AN$25,2,FALSE)</f>
        <v>COMELC</v>
      </c>
      <c r="B50" s="36"/>
      <c r="C50" s="22" t="s">
        <v>34</v>
      </c>
      <c r="D50" s="42" t="s">
        <v>89</v>
      </c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</row>
    <row r="51" spans="1:19" x14ac:dyDescent="0.45">
      <c r="A51" s="8" t="str">
        <f>VLOOKUP(C51,'COM balance'!$AM$5:$AN$25,2,FALSE)</f>
        <v>COMHET</v>
      </c>
      <c r="B51" s="36"/>
      <c r="C51" s="20" t="s">
        <v>79</v>
      </c>
      <c r="D51" s="41" t="s">
        <v>82</v>
      </c>
      <c r="E51" s="25">
        <v>1</v>
      </c>
      <c r="F51" s="25">
        <v>1</v>
      </c>
      <c r="G51" s="25">
        <v>1</v>
      </c>
      <c r="H51" s="25">
        <v>1</v>
      </c>
      <c r="I51" s="25">
        <v>1</v>
      </c>
      <c r="J51" s="25">
        <v>1</v>
      </c>
      <c r="K51" s="25">
        <v>1</v>
      </c>
      <c r="L51" s="25">
        <v>1</v>
      </c>
      <c r="M51" s="25">
        <v>1</v>
      </c>
      <c r="N51" s="25">
        <v>1</v>
      </c>
      <c r="O51" s="25">
        <v>1</v>
      </c>
      <c r="P51" s="25">
        <v>0.8</v>
      </c>
      <c r="Q51" s="25">
        <v>1</v>
      </c>
      <c r="R51" s="25">
        <v>1</v>
      </c>
      <c r="S51" s="25">
        <v>1</v>
      </c>
    </row>
    <row r="52" spans="1:19" x14ac:dyDescent="0.45">
      <c r="A52" s="8" t="str">
        <f>VLOOKUP(C52,'COM balance'!$AM$5:$AN$25,2,FALSE)</f>
        <v>COMHET</v>
      </c>
      <c r="B52" s="36"/>
      <c r="C52" s="20" t="s">
        <v>79</v>
      </c>
      <c r="D52" s="41" t="s">
        <v>84</v>
      </c>
      <c r="E52" s="25"/>
      <c r="F52" s="25"/>
      <c r="G52" s="25">
        <v>0</v>
      </c>
      <c r="H52" s="25"/>
      <c r="I52" s="25"/>
      <c r="J52" s="25"/>
      <c r="K52" s="25"/>
      <c r="L52" s="25">
        <v>0</v>
      </c>
      <c r="M52" s="25"/>
      <c r="N52" s="25"/>
      <c r="O52" s="25"/>
      <c r="P52" s="25">
        <v>0.2</v>
      </c>
      <c r="Q52" s="25"/>
      <c r="R52" s="25"/>
      <c r="S52" s="25"/>
    </row>
    <row r="53" spans="1:19" x14ac:dyDescent="0.45">
      <c r="A53" s="8" t="str">
        <f>VLOOKUP(C53,'COM balance'!$AM$5:$AN$25,2,FALSE)</f>
        <v>COMHET</v>
      </c>
      <c r="B53" s="36"/>
      <c r="C53" s="22" t="s">
        <v>79</v>
      </c>
      <c r="D53" s="42" t="s">
        <v>89</v>
      </c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</row>
    <row r="54" spans="1:19" x14ac:dyDescent="0.45">
      <c r="A54" s="8" t="str">
        <f>VLOOKUP(C54,'COM balance'!$AM$5:$AN$25,2,FALSE)</f>
        <v>COMGEO</v>
      </c>
      <c r="B54" s="36"/>
      <c r="C54" s="20" t="s">
        <v>80</v>
      </c>
      <c r="D54" s="41" t="s">
        <v>82</v>
      </c>
      <c r="E54" s="25">
        <v>1</v>
      </c>
      <c r="F54" s="25">
        <v>1</v>
      </c>
      <c r="G54" s="25">
        <v>0.85</v>
      </c>
      <c r="H54" s="25">
        <v>1</v>
      </c>
      <c r="I54" s="25">
        <v>1</v>
      </c>
      <c r="J54" s="25">
        <v>0.8</v>
      </c>
      <c r="K54" s="25">
        <v>1</v>
      </c>
      <c r="L54" s="25">
        <v>0</v>
      </c>
      <c r="M54" s="25">
        <v>0.9</v>
      </c>
      <c r="N54" s="25">
        <v>0.8</v>
      </c>
      <c r="O54" s="25">
        <v>0.8</v>
      </c>
      <c r="P54" s="25">
        <v>1</v>
      </c>
      <c r="Q54" s="25">
        <v>1</v>
      </c>
      <c r="R54" s="25">
        <v>0.85907483764910464</v>
      </c>
      <c r="S54" s="25">
        <v>0.85907483764910464</v>
      </c>
    </row>
    <row r="55" spans="1:19" x14ac:dyDescent="0.45">
      <c r="A55" s="8" t="str">
        <f>VLOOKUP(C55,'COM balance'!$AM$5:$AN$25,2,FALSE)</f>
        <v>COMGEO</v>
      </c>
      <c r="B55" s="36"/>
      <c r="C55" s="20" t="s">
        <v>80</v>
      </c>
      <c r="D55" s="41" t="s">
        <v>83</v>
      </c>
      <c r="E55" s="25"/>
      <c r="F55" s="25"/>
      <c r="G55" s="25">
        <v>0.15</v>
      </c>
      <c r="H55" s="25">
        <v>0</v>
      </c>
      <c r="I55" s="25"/>
      <c r="J55" s="25"/>
      <c r="K55" s="25"/>
      <c r="L55" s="25">
        <v>0</v>
      </c>
      <c r="M55" s="25">
        <v>0.1</v>
      </c>
      <c r="N55" s="25"/>
      <c r="O55" s="25"/>
      <c r="P55" s="25">
        <v>0</v>
      </c>
      <c r="Q55" s="25">
        <v>0</v>
      </c>
      <c r="R55" s="25">
        <v>0.14092516235089531</v>
      </c>
      <c r="S55" s="25">
        <v>0.14092516235089531</v>
      </c>
    </row>
    <row r="56" spans="1:19" x14ac:dyDescent="0.45">
      <c r="A56" s="8" t="str">
        <f>VLOOKUP(C56,'COM balance'!$AM$5:$AN$25,2,FALSE)</f>
        <v>COMGEO</v>
      </c>
      <c r="B56" s="36"/>
      <c r="C56" s="20" t="s">
        <v>80</v>
      </c>
      <c r="D56" s="41" t="s">
        <v>84</v>
      </c>
      <c r="E56" s="25"/>
      <c r="F56" s="25"/>
      <c r="G56" s="25">
        <v>0</v>
      </c>
      <c r="H56" s="25"/>
      <c r="I56" s="25"/>
      <c r="J56" s="25">
        <v>0.2</v>
      </c>
      <c r="K56" s="25"/>
      <c r="L56" s="25">
        <v>1</v>
      </c>
      <c r="M56" s="25"/>
      <c r="N56" s="25">
        <v>0.2</v>
      </c>
      <c r="O56" s="25">
        <v>0.2</v>
      </c>
      <c r="P56" s="25">
        <v>0</v>
      </c>
      <c r="Q56" s="25"/>
      <c r="R56" s="25"/>
      <c r="S56" s="25"/>
    </row>
    <row r="57" spans="1:19" x14ac:dyDescent="0.45">
      <c r="A57" s="8" t="str">
        <f>VLOOKUP(C57,'COM balance'!$AM$5:$AN$25,2,FALSE)</f>
        <v>COMGEO</v>
      </c>
      <c r="B57" s="36"/>
      <c r="C57" s="22" t="s">
        <v>80</v>
      </c>
      <c r="D57" s="42" t="s">
        <v>89</v>
      </c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</row>
    <row r="58" spans="1:19" x14ac:dyDescent="0.45">
      <c r="A58" s="8" t="str">
        <f>VLOOKUP(C58,'COM balance'!$AM$5:$AN$25,2,FALSE)</f>
        <v>COMSTH</v>
      </c>
      <c r="B58" s="36"/>
      <c r="C58" s="20" t="s">
        <v>81</v>
      </c>
      <c r="D58" s="41" t="s">
        <v>82</v>
      </c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>
        <v>0</v>
      </c>
      <c r="Q58" s="25"/>
      <c r="R58" s="25"/>
      <c r="S58" s="25"/>
    </row>
    <row r="59" spans="1:19" x14ac:dyDescent="0.45">
      <c r="A59" s="8" t="str">
        <f>VLOOKUP(C59,'COM balance'!$AM$5:$AN$25,2,FALSE)</f>
        <v>COMSTH</v>
      </c>
      <c r="B59" s="36"/>
      <c r="C59" s="20" t="s">
        <v>81</v>
      </c>
      <c r="D59" s="41" t="s">
        <v>84</v>
      </c>
      <c r="E59" s="25">
        <v>1</v>
      </c>
      <c r="F59" s="25">
        <v>1</v>
      </c>
      <c r="G59" s="25">
        <v>1</v>
      </c>
      <c r="H59" s="25">
        <v>1</v>
      </c>
      <c r="I59" s="25">
        <v>1</v>
      </c>
      <c r="J59" s="25">
        <v>1</v>
      </c>
      <c r="K59" s="25">
        <v>1</v>
      </c>
      <c r="L59" s="25">
        <v>0.95</v>
      </c>
      <c r="M59" s="25">
        <v>1</v>
      </c>
      <c r="N59" s="25">
        <v>1</v>
      </c>
      <c r="O59" s="25">
        <v>1</v>
      </c>
      <c r="P59" s="25">
        <v>1</v>
      </c>
      <c r="Q59" s="25">
        <v>1</v>
      </c>
      <c r="R59" s="25">
        <v>1</v>
      </c>
      <c r="S59" s="25">
        <v>1</v>
      </c>
    </row>
    <row r="60" spans="1:19" x14ac:dyDescent="0.45">
      <c r="A60" s="8" t="str">
        <f>VLOOKUP(C60,'COM balance'!$AM$5:$AN$25,2,FALSE)</f>
        <v>COMSTH</v>
      </c>
      <c r="B60" s="36"/>
      <c r="C60" s="20" t="s">
        <v>81</v>
      </c>
      <c r="D60" s="41" t="s">
        <v>86</v>
      </c>
      <c r="E60" s="25"/>
      <c r="F60" s="25"/>
      <c r="G60" s="25">
        <v>0</v>
      </c>
      <c r="H60" s="25"/>
      <c r="I60" s="25"/>
      <c r="J60" s="25"/>
      <c r="K60" s="25"/>
      <c r="L60" s="25">
        <v>0.05</v>
      </c>
      <c r="M60" s="25"/>
      <c r="N60" s="25"/>
      <c r="O60" s="25"/>
      <c r="P60" s="25">
        <v>0</v>
      </c>
      <c r="Q60" s="25">
        <v>0</v>
      </c>
      <c r="R60" s="25"/>
      <c r="S60" s="25"/>
    </row>
    <row r="61" spans="1:19" x14ac:dyDescent="0.45">
      <c r="A61" s="8" t="str">
        <f>VLOOKUP(C61,'COM balance'!$AM$5:$AN$25,2,FALSE)</f>
        <v>COMSTH</v>
      </c>
      <c r="B61" s="36"/>
      <c r="C61" s="22" t="s">
        <v>81</v>
      </c>
      <c r="D61" s="42" t="s">
        <v>89</v>
      </c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</row>
    <row r="62" spans="1:19" x14ac:dyDescent="0.45">
      <c r="A62" s="8"/>
      <c r="B62" s="8"/>
      <c r="C62" s="9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9" x14ac:dyDescent="0.45">
      <c r="A63" s="8"/>
      <c r="B63" s="8"/>
      <c r="C63" s="5" t="s">
        <v>90</v>
      </c>
      <c r="D63" s="6"/>
      <c r="E63" s="36">
        <v>3</v>
      </c>
      <c r="F63" s="36">
        <f>E63+1</f>
        <v>4</v>
      </c>
      <c r="G63" s="36">
        <f t="shared" ref="G63:S63" si="1">F63+1</f>
        <v>5</v>
      </c>
      <c r="H63" s="36">
        <f t="shared" si="1"/>
        <v>6</v>
      </c>
      <c r="I63" s="36">
        <f t="shared" si="1"/>
        <v>7</v>
      </c>
      <c r="J63" s="36">
        <f t="shared" si="1"/>
        <v>8</v>
      </c>
      <c r="K63" s="36">
        <f t="shared" si="1"/>
        <v>9</v>
      </c>
      <c r="L63" s="36">
        <f t="shared" si="1"/>
        <v>10</v>
      </c>
      <c r="M63" s="36">
        <f t="shared" si="1"/>
        <v>11</v>
      </c>
      <c r="N63" s="36">
        <f t="shared" si="1"/>
        <v>12</v>
      </c>
      <c r="O63" s="36">
        <f t="shared" si="1"/>
        <v>13</v>
      </c>
      <c r="P63" s="36">
        <f t="shared" si="1"/>
        <v>14</v>
      </c>
      <c r="Q63" s="36">
        <f t="shared" si="1"/>
        <v>15</v>
      </c>
      <c r="R63" s="36">
        <f t="shared" si="1"/>
        <v>16</v>
      </c>
      <c r="S63" s="36">
        <f t="shared" si="1"/>
        <v>17</v>
      </c>
    </row>
    <row r="64" spans="1:19" x14ac:dyDescent="0.45">
      <c r="A64" s="37" t="str">
        <f>B64&amp;D64</f>
        <v>CHCOMNGA</v>
      </c>
      <c r="B64" s="6" t="s">
        <v>82</v>
      </c>
      <c r="C64" s="6" t="s">
        <v>257</v>
      </c>
      <c r="D64" s="6" t="s">
        <v>47</v>
      </c>
      <c r="E64" s="30">
        <v>0.999</v>
      </c>
      <c r="F64" s="30">
        <v>0.999</v>
      </c>
      <c r="G64" s="30">
        <v>0.97</v>
      </c>
      <c r="H64" s="30">
        <v>0.99990000000000001</v>
      </c>
      <c r="I64" s="30">
        <v>1</v>
      </c>
      <c r="J64" s="30">
        <v>0.99990000000000001</v>
      </c>
      <c r="K64" s="30">
        <v>0.999</v>
      </c>
      <c r="L64" s="30">
        <v>0.999</v>
      </c>
      <c r="M64" s="30">
        <v>0.99990000000000001</v>
      </c>
      <c r="N64" s="30">
        <v>0.99990000000000001</v>
      </c>
      <c r="O64" s="30">
        <v>0.99990000000000001</v>
      </c>
      <c r="P64" s="30">
        <v>0.99990000000000001</v>
      </c>
      <c r="Q64" s="30">
        <v>0.999</v>
      </c>
      <c r="R64" s="30">
        <v>0.9986705871212993</v>
      </c>
      <c r="S64" s="30">
        <v>0.99990000000000001</v>
      </c>
    </row>
    <row r="65" spans="1:19" x14ac:dyDescent="0.45">
      <c r="A65" s="37" t="str">
        <f t="shared" ref="A65:A78" si="2">B65&amp;D65</f>
        <v>CHCOMNGA</v>
      </c>
      <c r="B65" s="6" t="s">
        <v>82</v>
      </c>
      <c r="C65" s="6" t="s">
        <v>258</v>
      </c>
      <c r="D65" s="6" t="s">
        <v>47</v>
      </c>
      <c r="E65" s="30">
        <v>1.0000000000000009E-3</v>
      </c>
      <c r="F65" s="30">
        <v>1.0000000000000009E-3</v>
      </c>
      <c r="G65" s="30">
        <v>3.0000000000000027E-2</v>
      </c>
      <c r="H65" s="30">
        <v>9.9999999999988987E-5</v>
      </c>
      <c r="I65" s="30">
        <v>0</v>
      </c>
      <c r="J65" s="30">
        <v>9.9999999999988987E-5</v>
      </c>
      <c r="K65" s="30">
        <v>1.0000000000000009E-3</v>
      </c>
      <c r="L65" s="30">
        <v>1.0000000000000009E-3</v>
      </c>
      <c r="M65" s="30">
        <v>9.9999999999988987E-5</v>
      </c>
      <c r="N65" s="30">
        <v>9.9999999999988987E-5</v>
      </c>
      <c r="O65" s="30">
        <v>9.9999999999988987E-5</v>
      </c>
      <c r="P65" s="30">
        <v>9.9999999999988987E-5</v>
      </c>
      <c r="Q65" s="30">
        <v>1.0000000000000009E-3</v>
      </c>
      <c r="R65" s="30">
        <v>1.3294128787007115E-3</v>
      </c>
      <c r="S65" s="30">
        <v>9.9999999999988987E-5</v>
      </c>
    </row>
    <row r="66" spans="1:19" x14ac:dyDescent="0.45">
      <c r="A66" s="37" t="str">
        <f t="shared" si="2"/>
        <v>CHCOMELC</v>
      </c>
      <c r="B66" s="6" t="s">
        <v>82</v>
      </c>
      <c r="C66" s="6" t="s">
        <v>259</v>
      </c>
      <c r="D66" s="6" t="s">
        <v>51</v>
      </c>
      <c r="E66" s="30">
        <v>0.98</v>
      </c>
      <c r="F66" s="30">
        <v>0.95</v>
      </c>
      <c r="G66" s="30">
        <v>0.95</v>
      </c>
      <c r="H66" s="30">
        <v>0.76149999999999995</v>
      </c>
      <c r="I66" s="30">
        <v>0.99</v>
      </c>
      <c r="J66" s="30">
        <v>0.9</v>
      </c>
      <c r="K66" s="30">
        <v>0.85</v>
      </c>
      <c r="L66" s="30">
        <v>0.80500000000000005</v>
      </c>
      <c r="M66" s="30">
        <v>0.45</v>
      </c>
      <c r="N66" s="30">
        <v>0.8</v>
      </c>
      <c r="O66" s="30">
        <v>0.85</v>
      </c>
      <c r="P66" s="30">
        <v>0.9</v>
      </c>
      <c r="Q66" s="30">
        <v>0.2</v>
      </c>
      <c r="R66" s="30">
        <v>0.57765437559964972</v>
      </c>
      <c r="S66" s="30">
        <v>0.75</v>
      </c>
    </row>
    <row r="67" spans="1:19" x14ac:dyDescent="0.45">
      <c r="A67" s="37" t="str">
        <f t="shared" si="2"/>
        <v>CHCOMELC</v>
      </c>
      <c r="B67" s="6" t="s">
        <v>82</v>
      </c>
      <c r="C67" s="6" t="s">
        <v>260</v>
      </c>
      <c r="D67" s="6" t="s">
        <v>51</v>
      </c>
      <c r="E67" s="30">
        <v>0.02</v>
      </c>
      <c r="F67" s="30">
        <v>0.05</v>
      </c>
      <c r="G67" s="30">
        <v>0.05</v>
      </c>
      <c r="H67" s="30">
        <v>0.23849999999999999</v>
      </c>
      <c r="I67" s="30">
        <v>1.0000000000000009E-2</v>
      </c>
      <c r="J67" s="30">
        <v>0.1</v>
      </c>
      <c r="K67" s="30">
        <v>0.15</v>
      </c>
      <c r="L67" s="30">
        <v>0.19499999999999995</v>
      </c>
      <c r="M67" s="30">
        <v>0.55000000000000004</v>
      </c>
      <c r="N67" s="30">
        <v>0.2</v>
      </c>
      <c r="O67" s="30">
        <v>0.15</v>
      </c>
      <c r="P67" s="30">
        <v>0.1</v>
      </c>
      <c r="Q67" s="30">
        <v>0.8</v>
      </c>
      <c r="R67" s="30">
        <v>0.42234562440035034</v>
      </c>
      <c r="S67" s="30">
        <v>0.25</v>
      </c>
    </row>
    <row r="68" spans="1:19" x14ac:dyDescent="0.45">
      <c r="A68" s="37" t="str">
        <f t="shared" si="2"/>
        <v/>
      </c>
      <c r="B68" s="8"/>
      <c r="C68" s="5" t="s">
        <v>99</v>
      </c>
      <c r="D68" s="6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</row>
    <row r="69" spans="1:19" x14ac:dyDescent="0.45">
      <c r="A69" s="37" t="str">
        <f t="shared" si="2"/>
        <v>CLCOMELC</v>
      </c>
      <c r="B69" s="6" t="s">
        <v>83</v>
      </c>
      <c r="C69" s="6" t="s">
        <v>261</v>
      </c>
      <c r="D69" s="6" t="s">
        <v>51</v>
      </c>
      <c r="E69" s="30">
        <v>0.54406775401472696</v>
      </c>
      <c r="F69" s="30">
        <v>0.54406775401472696</v>
      </c>
      <c r="G69" s="30">
        <v>0.55437697429720711</v>
      </c>
      <c r="H69" s="30">
        <v>0.54492829100232343</v>
      </c>
      <c r="I69" s="30">
        <v>0.7</v>
      </c>
      <c r="J69" s="30">
        <v>0.54406775401472696</v>
      </c>
      <c r="K69" s="30">
        <v>0.54406775401472696</v>
      </c>
      <c r="L69" s="30">
        <v>0.5</v>
      </c>
      <c r="M69" s="30">
        <v>0.05</v>
      </c>
      <c r="N69" s="30">
        <v>0.54406775401472696</v>
      </c>
      <c r="O69" s="30">
        <v>0.5</v>
      </c>
      <c r="P69" s="30">
        <v>0.2</v>
      </c>
      <c r="Q69" s="30">
        <v>0.45</v>
      </c>
      <c r="R69" s="30">
        <v>0.43634385209802534</v>
      </c>
      <c r="S69" s="30">
        <v>0.54406775401472696</v>
      </c>
    </row>
    <row r="70" spans="1:19" x14ac:dyDescent="0.45">
      <c r="A70" s="37" t="str">
        <f t="shared" si="2"/>
        <v>CLCOMELC</v>
      </c>
      <c r="B70" s="6" t="s">
        <v>83</v>
      </c>
      <c r="C70" s="6" t="s">
        <v>262</v>
      </c>
      <c r="D70" s="6" t="s">
        <v>51</v>
      </c>
      <c r="E70" s="30">
        <v>3.2859189263903903E-3</v>
      </c>
      <c r="F70" s="30">
        <v>3.2859189263903903E-3</v>
      </c>
      <c r="G70" s="30">
        <v>4.0622230302479381E-3</v>
      </c>
      <c r="H70" s="30">
        <v>3.3851454210399811E-3</v>
      </c>
      <c r="I70" s="30">
        <v>0.01</v>
      </c>
      <c r="J70" s="30">
        <v>3.2859189263903903E-3</v>
      </c>
      <c r="K70" s="30">
        <v>3.2859189263903903E-3</v>
      </c>
      <c r="L70" s="30">
        <v>5.0000000000000017E-2</v>
      </c>
      <c r="M70" s="30">
        <v>0.67</v>
      </c>
      <c r="N70" s="30">
        <v>3.2859189263903903E-3</v>
      </c>
      <c r="O70" s="30">
        <v>0.05</v>
      </c>
      <c r="P70" s="30">
        <v>0.1</v>
      </c>
      <c r="Q70" s="30">
        <v>0.1</v>
      </c>
      <c r="R70" s="30">
        <v>8.8788954170164417E-3</v>
      </c>
      <c r="S70" s="30">
        <v>3.2859189263903903E-3</v>
      </c>
    </row>
    <row r="71" spans="1:19" x14ac:dyDescent="0.45">
      <c r="A71" s="37" t="str">
        <f t="shared" si="2"/>
        <v>CLCOMELC</v>
      </c>
      <c r="B71" s="6" t="s">
        <v>83</v>
      </c>
      <c r="C71" s="6" t="s">
        <v>263</v>
      </c>
      <c r="D71" s="6" t="s">
        <v>51</v>
      </c>
      <c r="E71" s="30">
        <v>0.11269508180241762</v>
      </c>
      <c r="F71" s="30">
        <v>0.11269508180241762</v>
      </c>
      <c r="G71" s="30">
        <v>0.10678817353362272</v>
      </c>
      <c r="H71" s="30">
        <v>0.14982773816200626</v>
      </c>
      <c r="I71" s="30">
        <v>0.28000000000000003</v>
      </c>
      <c r="J71" s="30">
        <v>0.11269508180241762</v>
      </c>
      <c r="K71" s="30">
        <v>0.11269508180241762</v>
      </c>
      <c r="L71" s="30">
        <v>0.25</v>
      </c>
      <c r="M71" s="30">
        <v>0.28000000000000003</v>
      </c>
      <c r="N71" s="30">
        <v>0.11269508180241762</v>
      </c>
      <c r="O71" s="30">
        <v>0.25</v>
      </c>
      <c r="P71" s="30">
        <v>0.5</v>
      </c>
      <c r="Q71" s="30">
        <v>0.15</v>
      </c>
      <c r="R71" s="30">
        <v>0.13873466971029175</v>
      </c>
      <c r="S71" s="30">
        <v>0.11269508180241762</v>
      </c>
    </row>
    <row r="72" spans="1:19" x14ac:dyDescent="0.45">
      <c r="A72" s="37" t="str">
        <f t="shared" si="2"/>
        <v>CLCOMELC</v>
      </c>
      <c r="B72" s="6" t="s">
        <v>83</v>
      </c>
      <c r="C72" s="6" t="s">
        <v>264</v>
      </c>
      <c r="D72" s="6" t="s">
        <v>51</v>
      </c>
      <c r="E72" s="30">
        <v>0.33995124525646508</v>
      </c>
      <c r="F72" s="30">
        <v>0.33995124525646508</v>
      </c>
      <c r="G72" s="30">
        <v>0.33477262913892236</v>
      </c>
      <c r="H72" s="30">
        <v>0.30185882541463027</v>
      </c>
      <c r="I72" s="30">
        <v>0.01</v>
      </c>
      <c r="J72" s="30">
        <v>0.33995124525646508</v>
      </c>
      <c r="K72" s="30">
        <v>0.33995124525646508</v>
      </c>
      <c r="L72" s="30">
        <v>0.20000000000000007</v>
      </c>
      <c r="M72" s="30">
        <v>0</v>
      </c>
      <c r="N72" s="30">
        <v>0.33995124525646508</v>
      </c>
      <c r="O72" s="30">
        <v>0.2</v>
      </c>
      <c r="P72" s="30">
        <v>0.2</v>
      </c>
      <c r="Q72" s="30">
        <v>0.3</v>
      </c>
      <c r="R72" s="30">
        <v>0.41604258277466649</v>
      </c>
      <c r="S72" s="30">
        <v>0.33995124525646508</v>
      </c>
    </row>
    <row r="73" spans="1:19" x14ac:dyDescent="0.45">
      <c r="A73" s="37" t="str">
        <f t="shared" si="2"/>
        <v/>
      </c>
      <c r="B73" s="6"/>
      <c r="C73" s="5" t="s">
        <v>111</v>
      </c>
      <c r="D73" s="6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</row>
    <row r="74" spans="1:19" x14ac:dyDescent="0.45">
      <c r="A74" s="37" t="str">
        <f t="shared" si="2"/>
        <v>CLACOMELC</v>
      </c>
      <c r="B74" s="6" t="s">
        <v>85</v>
      </c>
      <c r="C74" s="6" t="s">
        <v>252</v>
      </c>
      <c r="D74" s="6" t="s">
        <v>51</v>
      </c>
      <c r="E74" s="30">
        <v>0.3</v>
      </c>
      <c r="F74" s="30">
        <v>0.2</v>
      </c>
      <c r="G74" s="30">
        <v>0.2</v>
      </c>
      <c r="H74" s="30">
        <v>0.50800000000000001</v>
      </c>
      <c r="I74" s="30">
        <v>0.05</v>
      </c>
      <c r="J74" s="30">
        <v>0.3</v>
      </c>
      <c r="K74" s="30">
        <v>0.3</v>
      </c>
      <c r="L74" s="30">
        <v>0.25</v>
      </c>
      <c r="M74" s="30">
        <v>0.26900000000000002</v>
      </c>
      <c r="N74" s="30">
        <v>0.3</v>
      </c>
      <c r="O74" s="30">
        <v>0.25</v>
      </c>
      <c r="P74" s="30">
        <v>0.6</v>
      </c>
      <c r="Q74" s="30">
        <v>0.3</v>
      </c>
      <c r="R74" s="30">
        <v>0.05</v>
      </c>
      <c r="S74" s="30">
        <v>0.05</v>
      </c>
    </row>
    <row r="75" spans="1:19" x14ac:dyDescent="0.45">
      <c r="A75" s="37" t="str">
        <f t="shared" si="2"/>
        <v>CLACOMELC</v>
      </c>
      <c r="B75" s="6" t="s">
        <v>85</v>
      </c>
      <c r="C75" s="6" t="s">
        <v>253</v>
      </c>
      <c r="D75" s="6" t="s">
        <v>51</v>
      </c>
      <c r="E75" s="30">
        <v>0.02</v>
      </c>
      <c r="F75" s="30">
        <v>0.15</v>
      </c>
      <c r="G75" s="30">
        <v>0.25</v>
      </c>
      <c r="H75" s="30">
        <v>7.0000000000000001E-3</v>
      </c>
      <c r="I75" s="30"/>
      <c r="J75" s="30">
        <v>0.02</v>
      </c>
      <c r="K75" s="30">
        <v>0.02</v>
      </c>
      <c r="L75" s="30">
        <v>0</v>
      </c>
      <c r="M75" s="30">
        <v>0</v>
      </c>
      <c r="N75" s="30">
        <v>0.02</v>
      </c>
      <c r="O75" s="30">
        <v>0.02</v>
      </c>
      <c r="P75" s="30">
        <v>0.01</v>
      </c>
      <c r="Q75" s="30">
        <v>0.1</v>
      </c>
      <c r="R75" s="30">
        <v>0.01</v>
      </c>
      <c r="S75" s="30">
        <v>0.01</v>
      </c>
    </row>
    <row r="76" spans="1:19" x14ac:dyDescent="0.45">
      <c r="A76" s="37" t="str">
        <f t="shared" si="2"/>
        <v>CLACOMELC</v>
      </c>
      <c r="B76" s="6" t="s">
        <v>85</v>
      </c>
      <c r="C76" s="6" t="s">
        <v>254</v>
      </c>
      <c r="D76" s="6" t="s">
        <v>51</v>
      </c>
      <c r="E76" s="30">
        <v>0.05</v>
      </c>
      <c r="F76" s="30">
        <v>0.05</v>
      </c>
      <c r="G76" s="30">
        <v>0.25</v>
      </c>
      <c r="H76" s="30">
        <v>0.25</v>
      </c>
      <c r="I76" s="30"/>
      <c r="J76" s="30">
        <v>0.05</v>
      </c>
      <c r="K76" s="30">
        <v>0.05</v>
      </c>
      <c r="L76" s="30">
        <v>0.2</v>
      </c>
      <c r="M76" s="30">
        <v>0</v>
      </c>
      <c r="N76" s="30">
        <v>0.05</v>
      </c>
      <c r="O76" s="30">
        <v>0.01</v>
      </c>
      <c r="P76" s="30">
        <v>0.04</v>
      </c>
      <c r="Q76" s="30">
        <v>0</v>
      </c>
      <c r="R76" s="30">
        <v>0.08</v>
      </c>
      <c r="S76" s="30">
        <v>0.08</v>
      </c>
    </row>
    <row r="77" spans="1:19" x14ac:dyDescent="0.45">
      <c r="A77" s="37" t="str">
        <f t="shared" si="2"/>
        <v>CLACOMELC</v>
      </c>
      <c r="B77" s="6" t="s">
        <v>85</v>
      </c>
      <c r="C77" s="6" t="s">
        <v>255</v>
      </c>
      <c r="D77" s="6" t="s">
        <v>51</v>
      </c>
      <c r="E77" s="30">
        <v>0.6</v>
      </c>
      <c r="F77" s="30">
        <v>0.5</v>
      </c>
      <c r="G77" s="30">
        <v>0.2</v>
      </c>
      <c r="H77" s="30">
        <v>0.23</v>
      </c>
      <c r="I77" s="30">
        <v>0.9</v>
      </c>
      <c r="J77" s="30">
        <v>0.6</v>
      </c>
      <c r="K77" s="30">
        <v>0.6</v>
      </c>
      <c r="L77" s="30">
        <v>0.5</v>
      </c>
      <c r="M77" s="30">
        <v>0.73099999999999998</v>
      </c>
      <c r="N77" s="30">
        <v>0.6</v>
      </c>
      <c r="O77" s="30">
        <v>0.67</v>
      </c>
      <c r="P77" s="30">
        <v>0.3</v>
      </c>
      <c r="Q77" s="30">
        <v>0.5</v>
      </c>
      <c r="R77" s="30">
        <v>0.79</v>
      </c>
      <c r="S77" s="30">
        <v>0.79</v>
      </c>
    </row>
    <row r="78" spans="1:19" x14ac:dyDescent="0.45">
      <c r="A78" s="37" t="str">
        <f t="shared" si="2"/>
        <v>CLACOMELC</v>
      </c>
      <c r="B78" s="6" t="s">
        <v>85</v>
      </c>
      <c r="C78" s="6" t="s">
        <v>256</v>
      </c>
      <c r="D78" s="6" t="s">
        <v>51</v>
      </c>
      <c r="E78" s="30">
        <v>0.03</v>
      </c>
      <c r="F78" s="30">
        <v>0.1</v>
      </c>
      <c r="G78" s="30">
        <v>0.1</v>
      </c>
      <c r="H78" s="30">
        <v>5.0000000000000001E-3</v>
      </c>
      <c r="I78" s="30">
        <v>0.05</v>
      </c>
      <c r="J78" s="30">
        <v>0.03</v>
      </c>
      <c r="K78" s="30">
        <v>0.03</v>
      </c>
      <c r="L78" s="30">
        <v>0.05</v>
      </c>
      <c r="M78" s="30">
        <v>0</v>
      </c>
      <c r="N78" s="30">
        <v>0.03</v>
      </c>
      <c r="O78" s="30">
        <v>0.05</v>
      </c>
      <c r="P78" s="30">
        <v>0.05</v>
      </c>
      <c r="Q78" s="30">
        <v>0.1</v>
      </c>
      <c r="R78" s="30">
        <v>7.0000000000000007E-2</v>
      </c>
      <c r="S78" s="30">
        <v>7.0000000000000007E-2</v>
      </c>
    </row>
    <row r="79" spans="1:19" x14ac:dyDescent="0.45">
      <c r="A79" s="8"/>
      <c r="B79" s="8"/>
      <c r="C79" s="8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BD4FE-6C06-42D8-8074-909216D02A2B}">
  <dimension ref="A2:EO78"/>
  <sheetViews>
    <sheetView workbookViewId="0">
      <selection activeCell="G3" sqref="G3"/>
    </sheetView>
  </sheetViews>
  <sheetFormatPr defaultRowHeight="14.25" x14ac:dyDescent="0.45"/>
  <cols>
    <col min="1" max="1" width="4.86328125" bestFit="1" customWidth="1"/>
    <col min="2" max="2" width="11.1328125" bestFit="1" customWidth="1"/>
    <col min="4" max="4" width="11.1328125" bestFit="1" customWidth="1"/>
    <col min="5" max="5" width="8.46484375" bestFit="1" customWidth="1"/>
    <col min="6" max="6" width="9.796875" bestFit="1" customWidth="1"/>
    <col min="7" max="36" width="6.53125" customWidth="1"/>
    <col min="37" max="37" width="5.53125" bestFit="1" customWidth="1"/>
    <col min="38" max="38" width="13.86328125" bestFit="1" customWidth="1"/>
    <col min="39" max="39" width="4" bestFit="1" customWidth="1"/>
    <col min="40" max="40" width="4.1328125" bestFit="1" customWidth="1"/>
    <col min="41" max="41" width="4.46484375" bestFit="1" customWidth="1"/>
    <col min="42" max="42" width="3.53125" bestFit="1" customWidth="1"/>
    <col min="43" max="43" width="4" bestFit="1" customWidth="1"/>
    <col min="44" max="47" width="3.86328125" bestFit="1" customWidth="1"/>
    <col min="48" max="48" width="4.53125" bestFit="1" customWidth="1"/>
    <col min="49" max="49" width="4.46484375" bestFit="1" customWidth="1"/>
    <col min="50" max="50" width="4.53125" bestFit="1" customWidth="1"/>
    <col min="51" max="52" width="4.1328125" bestFit="1" customWidth="1"/>
    <col min="53" max="53" width="4.796875" bestFit="1" customWidth="1"/>
    <col min="54" max="68" width="4.796875" customWidth="1"/>
    <col min="69" max="69" width="2" bestFit="1" customWidth="1"/>
    <col min="71" max="71" width="11.1328125" bestFit="1" customWidth="1"/>
    <col min="72" max="72" width="5" bestFit="1" customWidth="1"/>
    <col min="73" max="74" width="4" bestFit="1" customWidth="1"/>
    <col min="75" max="75" width="5" bestFit="1" customWidth="1"/>
    <col min="76" max="84" width="4" bestFit="1" customWidth="1"/>
    <col min="85" max="85" width="5" bestFit="1" customWidth="1"/>
    <col min="86" max="87" width="4" bestFit="1" customWidth="1"/>
    <col min="88" max="88" width="4.796875" bestFit="1" customWidth="1"/>
    <col min="89" max="102" width="4" customWidth="1"/>
    <col min="104" max="104" width="12.19921875" bestFit="1" customWidth="1"/>
    <col min="105" max="105" width="4" bestFit="1" customWidth="1"/>
    <col min="106" max="106" width="4.1328125" bestFit="1" customWidth="1"/>
    <col min="107" max="108" width="5" bestFit="1" customWidth="1"/>
    <col min="109" max="110" width="4" bestFit="1" customWidth="1"/>
    <col min="111" max="114" width="5" bestFit="1" customWidth="1"/>
    <col min="115" max="115" width="4.46484375" bestFit="1" customWidth="1"/>
    <col min="116" max="116" width="4.53125" bestFit="1" customWidth="1"/>
    <col min="117" max="117" width="5.19921875" bestFit="1" customWidth="1"/>
    <col min="118" max="118" width="6" bestFit="1" customWidth="1"/>
    <col min="119" max="119" width="5" bestFit="1" customWidth="1"/>
    <col min="120" max="120" width="5" customWidth="1"/>
    <col min="121" max="121" width="6" bestFit="1" customWidth="1"/>
    <col min="122" max="134" width="6" customWidth="1"/>
    <col min="135" max="135" width="4" bestFit="1" customWidth="1"/>
    <col min="139" max="139" width="10.796875" bestFit="1" customWidth="1"/>
  </cols>
  <sheetData>
    <row r="2" spans="1:145" x14ac:dyDescent="0.45">
      <c r="F2" s="8" t="s">
        <v>39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 t="s">
        <v>333</v>
      </c>
      <c r="BS2" s="8" t="s">
        <v>191</v>
      </c>
      <c r="CZ2" s="8" t="s">
        <v>40</v>
      </c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G2" t="s">
        <v>272</v>
      </c>
    </row>
    <row r="3" spans="1:145" x14ac:dyDescent="0.45">
      <c r="D3" s="8" t="s">
        <v>36</v>
      </c>
      <c r="E3" s="8" t="s">
        <v>37</v>
      </c>
      <c r="F3" s="8" t="s">
        <v>38</v>
      </c>
      <c r="G3" s="38" t="str">
        <f>'COM Assumptions'!E2</f>
        <v>Africa_north</v>
      </c>
      <c r="H3" s="38" t="str">
        <f>'COM Assumptions'!F2</f>
        <v>Africa_other</v>
      </c>
      <c r="I3" s="38" t="str">
        <f>'COM Assumptions'!G2</f>
        <v>Arg-Chi</v>
      </c>
      <c r="J3" s="38" t="str">
        <f>'COM Assumptions'!H2</f>
        <v>Asia_central</v>
      </c>
      <c r="K3" s="38" t="str">
        <f>'COM Assumptions'!I2</f>
        <v>Asia_east</v>
      </c>
      <c r="L3" s="38" t="str">
        <f>'COM Assumptions'!J2</f>
        <v>Asia_other</v>
      </c>
      <c r="M3" s="38" t="str">
        <f>'COM Assumptions'!K2</f>
        <v>Australia_NZ</v>
      </c>
      <c r="N3" s="38" t="str">
        <f>'COM Assumptions'!L2</f>
        <v>Brazil</v>
      </c>
      <c r="O3" s="38" t="str">
        <f>'COM Assumptions'!M2</f>
        <v>Canada</v>
      </c>
      <c r="P3" s="38" t="str">
        <f>'COM Assumptions'!N2</f>
        <v>China</v>
      </c>
      <c r="Q3" s="38" t="str">
        <f>'COM Assumptions'!O2</f>
        <v>EU_north</v>
      </c>
      <c r="R3" s="38" t="str">
        <f>'COM Assumptions'!P2</f>
        <v>EU_northeast</v>
      </c>
      <c r="S3" s="38" t="str">
        <f>'COM Assumptions'!Q2</f>
        <v>EU_northwest</v>
      </c>
      <c r="T3" s="38" t="str">
        <f>'COM Assumptions'!R2</f>
        <v>EU_south</v>
      </c>
      <c r="U3" s="38" t="str">
        <f>'COM Assumptions'!S2</f>
        <v>EU_southeast</v>
      </c>
      <c r="V3" s="38" t="str">
        <f>'COM Assumptions'!T2</f>
        <v>EU_southwest</v>
      </c>
      <c r="W3" s="38" t="str">
        <f>'COM Assumptions'!U2</f>
        <v>Europe_other</v>
      </c>
      <c r="X3" s="38" t="str">
        <f>'COM Assumptions'!V2</f>
        <v>France</v>
      </c>
      <c r="Y3" s="38" t="str">
        <f>'COM Assumptions'!W2</f>
        <v>Germany</v>
      </c>
      <c r="Z3" s="38" t="str">
        <f>'COM Assumptions'!X2</f>
        <v>India</v>
      </c>
      <c r="AA3" s="38" t="str">
        <f>'COM Assumptions'!Y2</f>
        <v>LatAm_other</v>
      </c>
      <c r="AB3" s="38" t="str">
        <f>'COM Assumptions'!Z2</f>
        <v>Mexico</v>
      </c>
      <c r="AC3" s="38" t="str">
        <f>'COM Assumptions'!AA2</f>
        <v>MidEast_other</v>
      </c>
      <c r="AD3" s="38" t="str">
        <f>'COM Assumptions'!AB2</f>
        <v>Nor-Ice</v>
      </c>
      <c r="AE3" s="38" t="str">
        <f>'COM Assumptions'!AC2</f>
        <v>Russia</v>
      </c>
      <c r="AF3" s="38" t="str">
        <f>'COM Assumptions'!AD2</f>
        <v>SaudiArabia</v>
      </c>
      <c r="AG3" s="38" t="str">
        <f>'COM Assumptions'!AE2</f>
        <v>SouthAfrica</v>
      </c>
      <c r="AH3" s="38" t="str">
        <f>'COM Assumptions'!AF2</f>
        <v>UK</v>
      </c>
      <c r="AI3" s="38" t="str">
        <f>'COM Assumptions'!AG2</f>
        <v>USA</v>
      </c>
      <c r="AJ3" s="38" t="str">
        <f>'COM Assumptions'!AH2</f>
        <v>\I:</v>
      </c>
      <c r="AL3" t="s">
        <v>36</v>
      </c>
      <c r="AM3" s="38" t="str">
        <f t="shared" ref="AM3:BC3" si="0">G3</f>
        <v>Africa_north</v>
      </c>
      <c r="AN3" s="38" t="str">
        <f t="shared" si="0"/>
        <v>Africa_other</v>
      </c>
      <c r="AO3" s="38" t="str">
        <f t="shared" si="0"/>
        <v>Arg-Chi</v>
      </c>
      <c r="AP3" s="38" t="str">
        <f t="shared" si="0"/>
        <v>Asia_central</v>
      </c>
      <c r="AQ3" s="38" t="str">
        <f t="shared" si="0"/>
        <v>Asia_east</v>
      </c>
      <c r="AR3" s="38" t="str">
        <f t="shared" si="0"/>
        <v>Asia_other</v>
      </c>
      <c r="AS3" s="38" t="str">
        <f t="shared" si="0"/>
        <v>Australia_NZ</v>
      </c>
      <c r="AT3" s="38" t="str">
        <f t="shared" si="0"/>
        <v>Brazil</v>
      </c>
      <c r="AU3" s="38" t="str">
        <f t="shared" si="0"/>
        <v>Canada</v>
      </c>
      <c r="AV3" s="38" t="str">
        <f t="shared" si="0"/>
        <v>China</v>
      </c>
      <c r="AW3" s="38" t="str">
        <f t="shared" si="0"/>
        <v>EU_north</v>
      </c>
      <c r="AX3" s="38" t="str">
        <f t="shared" si="0"/>
        <v>EU_northeast</v>
      </c>
      <c r="AY3" s="38" t="str">
        <f t="shared" si="0"/>
        <v>EU_northwest</v>
      </c>
      <c r="AZ3" s="38" t="str">
        <f t="shared" si="0"/>
        <v>EU_south</v>
      </c>
      <c r="BA3" s="38" t="str">
        <f t="shared" si="0"/>
        <v>EU_southeast</v>
      </c>
      <c r="BB3" s="38" t="str">
        <f t="shared" si="0"/>
        <v>EU_southwest</v>
      </c>
      <c r="BC3" s="38" t="str">
        <f t="shared" si="0"/>
        <v>Europe_other</v>
      </c>
      <c r="BD3" s="38" t="str">
        <f t="shared" ref="BD3:BP3" si="1">X3</f>
        <v>France</v>
      </c>
      <c r="BE3" s="38" t="str">
        <f t="shared" si="1"/>
        <v>Germany</v>
      </c>
      <c r="BF3" s="38" t="str">
        <f t="shared" si="1"/>
        <v>India</v>
      </c>
      <c r="BG3" s="38" t="str">
        <f t="shared" si="1"/>
        <v>LatAm_other</v>
      </c>
      <c r="BH3" s="38" t="str">
        <f t="shared" si="1"/>
        <v>Mexico</v>
      </c>
      <c r="BI3" s="38" t="str">
        <f t="shared" si="1"/>
        <v>MidEast_other</v>
      </c>
      <c r="BJ3" s="38" t="str">
        <f t="shared" si="1"/>
        <v>Nor-Ice</v>
      </c>
      <c r="BK3" s="38" t="str">
        <f t="shared" si="1"/>
        <v>Russia</v>
      </c>
      <c r="BL3" s="38" t="str">
        <f t="shared" si="1"/>
        <v>SaudiArabia</v>
      </c>
      <c r="BM3" s="38" t="str">
        <f t="shared" si="1"/>
        <v>SouthAfrica</v>
      </c>
      <c r="BN3" s="38" t="str">
        <f t="shared" si="1"/>
        <v>UK</v>
      </c>
      <c r="BO3" s="38" t="str">
        <f t="shared" si="1"/>
        <v>USA</v>
      </c>
      <c r="BP3" s="38" t="str">
        <f t="shared" si="1"/>
        <v>\I:</v>
      </c>
      <c r="BQ3">
        <v>0</v>
      </c>
      <c r="BS3" t="s">
        <v>36</v>
      </c>
      <c r="BT3">
        <v>2018</v>
      </c>
      <c r="BU3" s="38" t="str">
        <f t="shared" ref="BU3:CX3" si="2">AM3</f>
        <v>Africa_north</v>
      </c>
      <c r="BV3" s="38" t="str">
        <f t="shared" si="2"/>
        <v>Africa_other</v>
      </c>
      <c r="BW3" s="38" t="str">
        <f t="shared" si="2"/>
        <v>Arg-Chi</v>
      </c>
      <c r="BX3" s="38" t="str">
        <f t="shared" si="2"/>
        <v>Asia_central</v>
      </c>
      <c r="BY3" s="38" t="str">
        <f t="shared" si="2"/>
        <v>Asia_east</v>
      </c>
      <c r="BZ3" s="38" t="str">
        <f t="shared" si="2"/>
        <v>Asia_other</v>
      </c>
      <c r="CA3" s="38" t="str">
        <f t="shared" si="2"/>
        <v>Australia_NZ</v>
      </c>
      <c r="CB3" s="38" t="str">
        <f t="shared" si="2"/>
        <v>Brazil</v>
      </c>
      <c r="CC3" s="38" t="str">
        <f t="shared" si="2"/>
        <v>Canada</v>
      </c>
      <c r="CD3" s="38" t="str">
        <f t="shared" si="2"/>
        <v>China</v>
      </c>
      <c r="CE3" s="38" t="str">
        <f t="shared" si="2"/>
        <v>EU_north</v>
      </c>
      <c r="CF3" s="38" t="str">
        <f t="shared" si="2"/>
        <v>EU_northeast</v>
      </c>
      <c r="CG3" s="38" t="str">
        <f t="shared" si="2"/>
        <v>EU_northwest</v>
      </c>
      <c r="CH3" s="38" t="str">
        <f t="shared" si="2"/>
        <v>EU_south</v>
      </c>
      <c r="CI3" s="38" t="str">
        <f t="shared" si="2"/>
        <v>EU_southeast</v>
      </c>
      <c r="CJ3" s="38" t="str">
        <f t="shared" si="2"/>
        <v>EU_southwest</v>
      </c>
      <c r="CK3" s="38" t="str">
        <f t="shared" si="2"/>
        <v>Europe_other</v>
      </c>
      <c r="CL3" s="38" t="str">
        <f t="shared" si="2"/>
        <v>France</v>
      </c>
      <c r="CM3" s="38" t="str">
        <f t="shared" si="2"/>
        <v>Germany</v>
      </c>
      <c r="CN3" s="38" t="str">
        <f t="shared" si="2"/>
        <v>India</v>
      </c>
      <c r="CO3" s="38" t="str">
        <f t="shared" si="2"/>
        <v>LatAm_other</v>
      </c>
      <c r="CP3" s="38" t="str">
        <f t="shared" si="2"/>
        <v>Mexico</v>
      </c>
      <c r="CQ3" s="38" t="str">
        <f t="shared" si="2"/>
        <v>MidEast_other</v>
      </c>
      <c r="CR3" s="38" t="str">
        <f t="shared" si="2"/>
        <v>Nor-Ice</v>
      </c>
      <c r="CS3" s="38" t="str">
        <f t="shared" si="2"/>
        <v>Russia</v>
      </c>
      <c r="CT3" s="38" t="str">
        <f t="shared" si="2"/>
        <v>SaudiArabia</v>
      </c>
      <c r="CU3" s="38" t="str">
        <f t="shared" si="2"/>
        <v>SouthAfrica</v>
      </c>
      <c r="CV3" s="38" t="str">
        <f t="shared" si="2"/>
        <v>UK</v>
      </c>
      <c r="CW3" s="38" t="str">
        <f t="shared" si="2"/>
        <v>USA</v>
      </c>
      <c r="CX3" s="38" t="str">
        <f t="shared" si="2"/>
        <v>\I:</v>
      </c>
      <c r="CZ3" s="8" t="s">
        <v>36</v>
      </c>
      <c r="DA3" s="38" t="str">
        <f>BU3</f>
        <v>Africa_north</v>
      </c>
      <c r="DB3" s="38" t="str">
        <f t="shared" ref="DB3:DO3" si="3">BV3</f>
        <v>Africa_other</v>
      </c>
      <c r="DC3" s="38" t="str">
        <f t="shared" si="3"/>
        <v>Arg-Chi</v>
      </c>
      <c r="DD3" s="38" t="str">
        <f t="shared" si="3"/>
        <v>Asia_central</v>
      </c>
      <c r="DE3" s="38" t="str">
        <f t="shared" si="3"/>
        <v>Asia_east</v>
      </c>
      <c r="DF3" s="38" t="str">
        <f t="shared" si="3"/>
        <v>Asia_other</v>
      </c>
      <c r="DG3" s="38" t="str">
        <f t="shared" si="3"/>
        <v>Australia_NZ</v>
      </c>
      <c r="DH3" s="38" t="str">
        <f t="shared" si="3"/>
        <v>Brazil</v>
      </c>
      <c r="DI3" s="38" t="str">
        <f t="shared" si="3"/>
        <v>Canada</v>
      </c>
      <c r="DJ3" s="38" t="str">
        <f t="shared" si="3"/>
        <v>China</v>
      </c>
      <c r="DK3" s="38" t="str">
        <f t="shared" si="3"/>
        <v>EU_north</v>
      </c>
      <c r="DL3" s="38" t="str">
        <f t="shared" si="3"/>
        <v>EU_northeast</v>
      </c>
      <c r="DM3" s="38" t="str">
        <f t="shared" si="3"/>
        <v>EU_northwest</v>
      </c>
      <c r="DN3" s="38" t="str">
        <f t="shared" si="3"/>
        <v>EU_south</v>
      </c>
      <c r="DO3" s="38" t="str">
        <f t="shared" si="3"/>
        <v>EU_southeast</v>
      </c>
      <c r="DP3" s="38" t="str">
        <f t="shared" ref="DP3" si="4">CJ3</f>
        <v>EU_southwest</v>
      </c>
      <c r="DQ3" s="38" t="str">
        <f t="shared" ref="DQ3" si="5">CK3</f>
        <v>Europe_other</v>
      </c>
      <c r="DR3" s="38" t="str">
        <f t="shared" ref="DR3" si="6">CL3</f>
        <v>France</v>
      </c>
      <c r="DS3" s="38" t="str">
        <f t="shared" ref="DS3" si="7">CM3</f>
        <v>Germany</v>
      </c>
      <c r="DT3" s="38" t="str">
        <f t="shared" ref="DT3" si="8">CN3</f>
        <v>India</v>
      </c>
      <c r="DU3" s="38" t="str">
        <f t="shared" ref="DU3" si="9">CO3</f>
        <v>LatAm_other</v>
      </c>
      <c r="DV3" s="38" t="str">
        <f t="shared" ref="DV3" si="10">CP3</f>
        <v>Mexico</v>
      </c>
      <c r="DW3" s="38" t="str">
        <f t="shared" ref="DW3" si="11">CQ3</f>
        <v>MidEast_other</v>
      </c>
      <c r="DX3" s="38" t="str">
        <f t="shared" ref="DX3" si="12">CR3</f>
        <v>Nor-Ice</v>
      </c>
      <c r="DY3" s="38" t="str">
        <f t="shared" ref="DY3" si="13">CS3</f>
        <v>Russia</v>
      </c>
      <c r="DZ3" s="38" t="str">
        <f t="shared" ref="DZ3" si="14">CT3</f>
        <v>SaudiArabia</v>
      </c>
      <c r="EA3" s="38" t="str">
        <f t="shared" ref="EA3" si="15">CU3</f>
        <v>SouthAfrica</v>
      </c>
      <c r="EB3" s="38" t="str">
        <f t="shared" ref="EB3" si="16">CV3</f>
        <v>UK</v>
      </c>
      <c r="EC3" s="38" t="str">
        <f t="shared" ref="EC3" si="17">CW3</f>
        <v>USA</v>
      </c>
      <c r="ED3" s="38" t="str">
        <f t="shared" ref="ED3" si="18">CX3</f>
        <v>\I:</v>
      </c>
      <c r="EE3" s="43" t="s">
        <v>43</v>
      </c>
      <c r="EG3" t="s">
        <v>273</v>
      </c>
      <c r="EH3" t="s">
        <v>274</v>
      </c>
      <c r="EI3" t="s">
        <v>36</v>
      </c>
      <c r="EJ3" t="s">
        <v>275</v>
      </c>
      <c r="EK3" t="s">
        <v>276</v>
      </c>
      <c r="EL3" t="s">
        <v>277</v>
      </c>
      <c r="EM3" t="s">
        <v>278</v>
      </c>
      <c r="EN3" t="s">
        <v>279</v>
      </c>
      <c r="EO3" t="s">
        <v>280</v>
      </c>
    </row>
    <row r="4" spans="1:145" x14ac:dyDescent="0.45">
      <c r="A4" s="37" t="str">
        <f>'COM Assumptions'!B81</f>
        <v>CL</v>
      </c>
      <c r="B4" s="37" t="s">
        <v>200</v>
      </c>
      <c r="D4" t="s">
        <v>314</v>
      </c>
      <c r="E4" s="8" t="str">
        <f>'COM Assumptions'!A81</f>
        <v>COMELC</v>
      </c>
      <c r="F4" t="str">
        <f>VLOOKUP('COM Assumptions'!B81,'COM Assumptions'!$AP$81:$AQ$88,2,FALSE)</f>
        <v>CSC</v>
      </c>
      <c r="G4" s="11">
        <f ca="1">OFFSET('COM Techs T15'!$F4,0,MATCH(VLOOKUP('COM Veda input'!G$3,'RES Assumptions T15'!$V$3:$W$35,2,FALSE),'COM Techs T15'!$G$3:$U$3,0))</f>
        <v>3</v>
      </c>
      <c r="H4" s="11">
        <f ca="1">OFFSET('COM Techs T15'!$F4,0,MATCH(VLOOKUP('COM Veda input'!H$3,'RES Assumptions T15'!$V$3:$W$35,2,FALSE),'COM Techs T15'!$G$3:$U$3,0))</f>
        <v>3</v>
      </c>
      <c r="I4" s="11">
        <f ca="1">OFFSET('COM Techs T15'!$F4,0,MATCH(VLOOKUP('COM Veda input'!I$3,'RES Assumptions T15'!$V$3:$W$35,2,FALSE),'COM Techs T15'!$G$3:$U$3,0))</f>
        <v>3</v>
      </c>
      <c r="J4" s="11">
        <f ca="1">OFFSET('COM Techs T15'!$F4,0,MATCH(VLOOKUP('COM Veda input'!J$3,'RES Assumptions T15'!$V$3:$W$35,2,FALSE),'COM Techs T15'!$G$3:$U$3,0))</f>
        <v>3</v>
      </c>
      <c r="K4" s="11">
        <f ca="1">OFFSET('COM Techs T15'!$F4,0,MATCH(VLOOKUP('COM Veda input'!K$3,'RES Assumptions T15'!$V$3:$W$35,2,FALSE),'COM Techs T15'!$G$3:$U$3,0))</f>
        <v>3</v>
      </c>
      <c r="L4" s="11">
        <f ca="1">OFFSET('COM Techs T15'!$F4,0,MATCH(VLOOKUP('COM Veda input'!L$3,'RES Assumptions T15'!$V$3:$W$35,2,FALSE),'COM Techs T15'!$G$3:$U$3,0))</f>
        <v>3</v>
      </c>
      <c r="M4" s="11">
        <f ca="1">OFFSET('COM Techs T15'!$F4,0,MATCH(VLOOKUP('COM Veda input'!M$3,'RES Assumptions T15'!$V$3:$W$35,2,FALSE),'COM Techs T15'!$G$3:$U$3,0))</f>
        <v>3</v>
      </c>
      <c r="N4" s="11">
        <f ca="1">OFFSET('COM Techs T15'!$F4,0,MATCH(VLOOKUP('COM Veda input'!N$3,'RES Assumptions T15'!$V$3:$W$35,2,FALSE),'COM Techs T15'!$G$3:$U$3,0))</f>
        <v>3</v>
      </c>
      <c r="O4" s="11">
        <f ca="1">OFFSET('COM Techs T15'!$F4,0,MATCH(VLOOKUP('COM Veda input'!O$3,'RES Assumptions T15'!$V$3:$W$35,2,FALSE),'COM Techs T15'!$G$3:$U$3,0))</f>
        <v>3</v>
      </c>
      <c r="P4" s="11">
        <f ca="1">OFFSET('COM Techs T15'!$F4,0,MATCH(VLOOKUP('COM Veda input'!P$3,'RES Assumptions T15'!$V$3:$W$35,2,FALSE),'COM Techs T15'!$G$3:$U$3,0))</f>
        <v>3</v>
      </c>
      <c r="Q4" s="11">
        <f ca="1">OFFSET('COM Techs T15'!$F4,0,MATCH(VLOOKUP('COM Veda input'!Q$3,'RES Assumptions T15'!$V$3:$W$35,2,FALSE),'COM Techs T15'!$G$3:$U$3,0))</f>
        <v>3</v>
      </c>
      <c r="R4" s="11">
        <f ca="1">OFFSET('COM Techs T15'!$F4,0,MATCH(VLOOKUP('COM Veda input'!R$3,'RES Assumptions T15'!$V$3:$W$35,2,FALSE),'COM Techs T15'!$G$3:$U$3,0))</f>
        <v>3</v>
      </c>
      <c r="S4" s="11">
        <f ca="1">OFFSET('COM Techs T15'!$F4,0,MATCH(VLOOKUP('COM Veda input'!S$3,'RES Assumptions T15'!$V$3:$W$35,2,FALSE),'COM Techs T15'!$G$3:$U$3,0))</f>
        <v>3</v>
      </c>
      <c r="T4" s="11">
        <f ca="1">OFFSET('COM Techs T15'!$F4,0,MATCH(VLOOKUP('COM Veda input'!T$3,'RES Assumptions T15'!$V$3:$W$35,2,FALSE),'COM Techs T15'!$G$3:$U$3,0))</f>
        <v>3</v>
      </c>
      <c r="U4" s="11">
        <f ca="1">OFFSET('COM Techs T15'!$F4,0,MATCH(VLOOKUP('COM Veda input'!U$3,'RES Assumptions T15'!$V$3:$W$35,2,FALSE),'COM Techs T15'!$G$3:$U$3,0))</f>
        <v>3</v>
      </c>
      <c r="V4" s="11">
        <f ca="1">OFFSET('COM Techs T15'!$F4,0,MATCH(VLOOKUP('COM Veda input'!V$3,'RES Assumptions T15'!$V$3:$W$35,2,FALSE),'COM Techs T15'!$G$3:$U$3,0))</f>
        <v>3</v>
      </c>
      <c r="W4" s="11">
        <f ca="1">OFFSET('COM Techs T15'!$F4,0,MATCH(VLOOKUP('COM Veda input'!W$3,'RES Assumptions T15'!$V$3:$W$35,2,FALSE),'COM Techs T15'!$G$3:$U$3,0))</f>
        <v>3</v>
      </c>
      <c r="X4" s="11">
        <f ca="1">OFFSET('COM Techs T15'!$F4,0,MATCH(VLOOKUP('COM Veda input'!X$3,'RES Assumptions T15'!$V$3:$W$35,2,FALSE),'COM Techs T15'!$G$3:$U$3,0))</f>
        <v>3</v>
      </c>
      <c r="Y4" s="11">
        <f ca="1">OFFSET('COM Techs T15'!$F4,0,MATCH(VLOOKUP('COM Veda input'!Y$3,'RES Assumptions T15'!$V$3:$W$35,2,FALSE),'COM Techs T15'!$G$3:$U$3,0))</f>
        <v>3</v>
      </c>
      <c r="Z4" s="11">
        <f ca="1">OFFSET('COM Techs T15'!$F4,0,MATCH(VLOOKUP('COM Veda input'!Z$3,'RES Assumptions T15'!$V$3:$W$35,2,FALSE),'COM Techs T15'!$G$3:$U$3,0))</f>
        <v>3</v>
      </c>
      <c r="AA4" s="11">
        <f ca="1">OFFSET('COM Techs T15'!$F4,0,MATCH(VLOOKUP('COM Veda input'!AA$3,'RES Assumptions T15'!$V$3:$W$35,2,FALSE),'COM Techs T15'!$G$3:$U$3,0))</f>
        <v>3</v>
      </c>
      <c r="AB4" s="11">
        <f ca="1">OFFSET('COM Techs T15'!$F4,0,MATCH(VLOOKUP('COM Veda input'!AB$3,'RES Assumptions T15'!$V$3:$W$35,2,FALSE),'COM Techs T15'!$G$3:$U$3,0))</f>
        <v>3</v>
      </c>
      <c r="AC4" s="11">
        <f ca="1">OFFSET('COM Techs T15'!$F4,0,MATCH(VLOOKUP('COM Veda input'!AC$3,'RES Assumptions T15'!$V$3:$W$35,2,FALSE),'COM Techs T15'!$G$3:$U$3,0))</f>
        <v>3</v>
      </c>
      <c r="AD4" s="11">
        <f ca="1">OFFSET('COM Techs T15'!$F4,0,MATCH(VLOOKUP('COM Veda input'!AD$3,'RES Assumptions T15'!$V$3:$W$35,2,FALSE),'COM Techs T15'!$G$3:$U$3,0))</f>
        <v>3</v>
      </c>
      <c r="AE4" s="11">
        <f ca="1">OFFSET('COM Techs T15'!$F4,0,MATCH(VLOOKUP('COM Veda input'!AE$3,'RES Assumptions T15'!$V$3:$W$35,2,FALSE),'COM Techs T15'!$G$3:$U$3,0))</f>
        <v>3</v>
      </c>
      <c r="AF4" s="11">
        <f ca="1">OFFSET('COM Techs T15'!$F4,0,MATCH(VLOOKUP('COM Veda input'!AF$3,'RES Assumptions T15'!$V$3:$W$35,2,FALSE),'COM Techs T15'!$G$3:$U$3,0))</f>
        <v>3</v>
      </c>
      <c r="AG4" s="11">
        <f ca="1">OFFSET('COM Techs T15'!$F4,0,MATCH(VLOOKUP('COM Veda input'!AG$3,'RES Assumptions T15'!$V$3:$W$35,2,FALSE),'COM Techs T15'!$G$3:$U$3,0))</f>
        <v>3</v>
      </c>
      <c r="AH4" s="11">
        <f ca="1">OFFSET('COM Techs T15'!$F4,0,MATCH(VLOOKUP('COM Veda input'!AH$3,'RES Assumptions T15'!$V$3:$W$35,2,FALSE),'COM Techs T15'!$G$3:$U$3,0))</f>
        <v>3</v>
      </c>
      <c r="AI4" s="11">
        <f ca="1">OFFSET('COM Techs T15'!$F4,0,MATCH(VLOOKUP('COM Veda input'!AI$3,'RES Assumptions T15'!$V$3:$W$35,2,FALSE),'COM Techs T15'!$G$3:$U$3,0))</f>
        <v>3</v>
      </c>
      <c r="AJ4" s="11">
        <f ca="1">OFFSET('COM Techs T15'!$F4,0,MATCH(VLOOKUP('COM Veda input'!AJ$3,'RES Assumptions T15'!$V$3:$W$35,2,FALSE),'COM Techs T15'!$G$3:$U$3,0))</f>
        <v>3</v>
      </c>
      <c r="AL4" s="8" t="str">
        <f>$D4</f>
        <v>CSCCAE000</v>
      </c>
      <c r="AM4" s="11">
        <f ca="1">OFFSET('COM Techs T15'!$W4,0,MATCH(VLOOKUP('COM Veda input'!AM$3,'RES Assumptions T15'!$V$3:$W$35,2,FALSE),'COM Techs T15'!$G$3:$U$3,0))</f>
        <v>0.25</v>
      </c>
      <c r="AN4" s="11">
        <f ca="1">OFFSET('COM Techs T15'!$W4,0,MATCH(VLOOKUP('COM Veda input'!AN$3,'RES Assumptions T15'!$V$3:$W$35,2,FALSE),'COM Techs T15'!$G$3:$U$3,0))</f>
        <v>0.25</v>
      </c>
      <c r="AO4" s="11">
        <f ca="1">OFFSET('COM Techs T15'!$W4,0,MATCH(VLOOKUP('COM Veda input'!AO$3,'RES Assumptions T15'!$V$3:$W$35,2,FALSE),'COM Techs T15'!$G$3:$U$3,0))</f>
        <v>0.25</v>
      </c>
      <c r="AP4" s="11">
        <f ca="1">OFFSET('COM Techs T15'!$W4,0,MATCH(VLOOKUP('COM Veda input'!AP$3,'RES Assumptions T15'!$V$3:$W$35,2,FALSE),'COM Techs T15'!$G$3:$U$3,0))</f>
        <v>0.13</v>
      </c>
      <c r="AQ4" s="11">
        <f ca="1">OFFSET('COM Techs T15'!$W4,0,MATCH(VLOOKUP('COM Veda input'!AQ$3,'RES Assumptions T15'!$V$3:$W$35,2,FALSE),'COM Techs T15'!$G$3:$U$3,0))</f>
        <v>0.13</v>
      </c>
      <c r="AR4" s="11">
        <f ca="1">OFFSET('COM Techs T15'!$W4,0,MATCH(VLOOKUP('COM Veda input'!AR$3,'RES Assumptions T15'!$V$3:$W$35,2,FALSE),'COM Techs T15'!$G$3:$U$3,0))</f>
        <v>2</v>
      </c>
      <c r="AS4" s="11">
        <f ca="1">OFFSET('COM Techs T15'!$W4,0,MATCH(VLOOKUP('COM Veda input'!AS$3,'RES Assumptions T15'!$V$3:$W$35,2,FALSE),'COM Techs T15'!$G$3:$U$3,0))</f>
        <v>0.14000000000000001</v>
      </c>
      <c r="AT4" s="11">
        <f ca="1">OFFSET('COM Techs T15'!$W4,0,MATCH(VLOOKUP('COM Veda input'!AT$3,'RES Assumptions T15'!$V$3:$W$35,2,FALSE),'COM Techs T15'!$G$3:$U$3,0))</f>
        <v>0.25</v>
      </c>
      <c r="AU4" s="11">
        <f ca="1">OFFSET('COM Techs T15'!$W4,0,MATCH(VLOOKUP('COM Veda input'!AU$3,'RES Assumptions T15'!$V$3:$W$35,2,FALSE),'COM Techs T15'!$G$3:$U$3,0))</f>
        <v>0.14000000000000001</v>
      </c>
      <c r="AV4" s="11">
        <f ca="1">OFFSET('COM Techs T15'!$W4,0,MATCH(VLOOKUP('COM Veda input'!AV$3,'RES Assumptions T15'!$V$3:$W$35,2,FALSE),'COM Techs T15'!$G$3:$U$3,0))</f>
        <v>0.13</v>
      </c>
      <c r="AW4" s="11">
        <f ca="1">OFFSET('COM Techs T15'!$W4,0,MATCH(VLOOKUP('COM Veda input'!AW$3,'RES Assumptions T15'!$V$3:$W$35,2,FALSE),'COM Techs T15'!$G$3:$U$3,0))</f>
        <v>0.13</v>
      </c>
      <c r="AX4" s="11">
        <f ca="1">OFFSET('COM Techs T15'!$W4,0,MATCH(VLOOKUP('COM Veda input'!AX$3,'RES Assumptions T15'!$V$3:$W$35,2,FALSE),'COM Techs T15'!$G$3:$U$3,0))</f>
        <v>0.13</v>
      </c>
      <c r="AY4" s="11">
        <f ca="1">OFFSET('COM Techs T15'!$W4,0,MATCH(VLOOKUP('COM Veda input'!AY$3,'RES Assumptions T15'!$V$3:$W$35,2,FALSE),'COM Techs T15'!$G$3:$U$3,0))</f>
        <v>0.13</v>
      </c>
      <c r="AZ4" s="11">
        <f ca="1">OFFSET('COM Techs T15'!$W4,0,MATCH(VLOOKUP('COM Veda input'!AZ$3,'RES Assumptions T15'!$V$3:$W$35,2,FALSE),'COM Techs T15'!$G$3:$U$3,0))</f>
        <v>0.13</v>
      </c>
      <c r="BA4" s="11">
        <f ca="1">OFFSET('COM Techs T15'!$W4,0,MATCH(VLOOKUP('COM Veda input'!BA$3,'RES Assumptions T15'!$V$3:$W$35,2,FALSE),'COM Techs T15'!$G$3:$U$3,0))</f>
        <v>0.13</v>
      </c>
      <c r="BB4" s="11">
        <f ca="1">OFFSET('COM Techs T15'!$W4,0,MATCH(VLOOKUP('COM Veda input'!BB$3,'RES Assumptions T15'!$V$3:$W$35,2,FALSE),'COM Techs T15'!$G$3:$U$3,0))</f>
        <v>0.13</v>
      </c>
      <c r="BC4" s="11">
        <f ca="1">OFFSET('COM Techs T15'!$W4,0,MATCH(VLOOKUP('COM Veda input'!BC$3,'RES Assumptions T15'!$V$3:$W$35,2,FALSE),'COM Techs T15'!$G$3:$U$3,0))</f>
        <v>0.25</v>
      </c>
      <c r="BD4" s="11">
        <f ca="1">OFFSET('COM Techs T15'!$W4,0,MATCH(VLOOKUP('COM Veda input'!BD$3,'RES Assumptions T15'!$V$3:$W$35,2,FALSE),'COM Techs T15'!$G$3:$U$3,0))</f>
        <v>0.13</v>
      </c>
      <c r="BE4" s="11">
        <f ca="1">OFFSET('COM Techs T15'!$W4,0,MATCH(VLOOKUP('COM Veda input'!BE$3,'RES Assumptions T15'!$V$3:$W$35,2,FALSE),'COM Techs T15'!$G$3:$U$3,0))</f>
        <v>0.13</v>
      </c>
      <c r="BF4" s="11">
        <f ca="1">OFFSET('COM Techs T15'!$W4,0,MATCH(VLOOKUP('COM Veda input'!BF$3,'RES Assumptions T15'!$V$3:$W$35,2,FALSE),'COM Techs T15'!$G$3:$U$3,0))</f>
        <v>0.13</v>
      </c>
      <c r="BG4" s="11">
        <f ca="1">OFFSET('COM Techs T15'!$W4,0,MATCH(VLOOKUP('COM Veda input'!BG$3,'RES Assumptions T15'!$V$3:$W$35,2,FALSE),'COM Techs T15'!$G$3:$U$3,0))</f>
        <v>0.25</v>
      </c>
      <c r="BH4" s="11">
        <f ca="1">OFFSET('COM Techs T15'!$W4,0,MATCH(VLOOKUP('COM Veda input'!BH$3,'RES Assumptions T15'!$V$3:$W$35,2,FALSE),'COM Techs T15'!$G$3:$U$3,0))</f>
        <v>0.25</v>
      </c>
      <c r="BI4" s="11">
        <f ca="1">OFFSET('COM Techs T15'!$W4,0,MATCH(VLOOKUP('COM Veda input'!BI$3,'RES Assumptions T15'!$V$3:$W$35,2,FALSE),'COM Techs T15'!$G$3:$U$3,0))</f>
        <v>0.25</v>
      </c>
      <c r="BJ4" s="11">
        <f ca="1">OFFSET('COM Techs T15'!$W4,0,MATCH(VLOOKUP('COM Veda input'!BJ$3,'RES Assumptions T15'!$V$3:$W$35,2,FALSE),'COM Techs T15'!$G$3:$U$3,0))</f>
        <v>0.13</v>
      </c>
      <c r="BK4" s="11">
        <f ca="1">OFFSET('COM Techs T15'!$W4,0,MATCH(VLOOKUP('COM Veda input'!BK$3,'RES Assumptions T15'!$V$3:$W$35,2,FALSE),'COM Techs T15'!$G$3:$U$3,0))</f>
        <v>0.13</v>
      </c>
      <c r="BL4" s="11">
        <f ca="1">OFFSET('COM Techs T15'!$W4,0,MATCH(VLOOKUP('COM Veda input'!BL$3,'RES Assumptions T15'!$V$3:$W$35,2,FALSE),'COM Techs T15'!$G$3:$U$3,0))</f>
        <v>0.25</v>
      </c>
      <c r="BM4" s="11">
        <f ca="1">OFFSET('COM Techs T15'!$W4,0,MATCH(VLOOKUP('COM Veda input'!BM$3,'RES Assumptions T15'!$V$3:$W$35,2,FALSE),'COM Techs T15'!$G$3:$U$3,0))</f>
        <v>0.25</v>
      </c>
      <c r="BN4" s="11">
        <f ca="1">OFFSET('COM Techs T15'!$W4,0,MATCH(VLOOKUP('COM Veda input'!BN$3,'RES Assumptions T15'!$V$3:$W$35,2,FALSE),'COM Techs T15'!$G$3:$U$3,0))</f>
        <v>0.13</v>
      </c>
      <c r="BO4" s="11">
        <f ca="1">OFFSET('COM Techs T15'!$W4,0,MATCH(VLOOKUP('COM Veda input'!BO$3,'RES Assumptions T15'!$V$3:$W$35,2,FALSE),'COM Techs T15'!$G$3:$U$3,0))</f>
        <v>0.13</v>
      </c>
      <c r="BP4" s="11">
        <f ca="1">OFFSET('COM Techs T15'!$W4,0,MATCH(VLOOKUP('COM Veda input'!BP$3,'RES Assumptions T15'!$V$3:$W$35,2,FALSE),'COM Techs T15'!$G$3:$U$3,0))</f>
        <v>0.13</v>
      </c>
      <c r="BQ4">
        <v>3</v>
      </c>
      <c r="BS4" s="8" t="str">
        <f>$D4</f>
        <v>CSCCAE000</v>
      </c>
      <c r="BT4" s="11">
        <f ca="1">MIN(BU4:CK4)</f>
        <v>0.3</v>
      </c>
      <c r="BU4" s="11" t="str">
        <f ca="1">OFFSET('COM Techs T15'!$AO4,0,MATCH(VLOOKUP('COM Veda input'!BU$3,'RES Assumptions T15'!$V$3:$W$35,2,FALSE),'COM Techs T15'!$G$3:$U$3,0))</f>
        <v/>
      </c>
      <c r="BV4" s="11" t="str">
        <f ca="1">OFFSET('COM Techs T15'!$AO4,0,MATCH(VLOOKUP('COM Veda input'!BV$3,'RES Assumptions T15'!$V$3:$W$35,2,FALSE),'COM Techs T15'!$G$3:$U$3,0))</f>
        <v/>
      </c>
      <c r="BW4" s="11" t="str">
        <f ca="1">OFFSET('COM Techs T15'!$AO4,0,MATCH(VLOOKUP('COM Veda input'!BW$3,'RES Assumptions T15'!$V$3:$W$35,2,FALSE),'COM Techs T15'!$G$3:$U$3,0))</f>
        <v/>
      </c>
      <c r="BX4" s="11">
        <f ca="1">OFFSET('COM Techs T15'!$AO4,0,MATCH(VLOOKUP('COM Veda input'!BX$3,'RES Assumptions T15'!$V$3:$W$35,2,FALSE),'COM Techs T15'!$G$3:$U$3,0))</f>
        <v>3.6</v>
      </c>
      <c r="BY4" s="11">
        <f ca="1">OFFSET('COM Techs T15'!$AO4,0,MATCH(VLOOKUP('COM Veda input'!BY$3,'RES Assumptions T15'!$V$3:$W$35,2,FALSE),'COM Techs T15'!$G$3:$U$3,0))</f>
        <v>4.2</v>
      </c>
      <c r="BZ4" s="11">
        <f ca="1">OFFSET('COM Techs T15'!$AO4,0,MATCH(VLOOKUP('COM Veda input'!BZ$3,'RES Assumptions T15'!$V$3:$W$35,2,FALSE),'COM Techs T15'!$G$3:$U$3,0))</f>
        <v>4.8</v>
      </c>
      <c r="CA4" s="11">
        <f ca="1">OFFSET('COM Techs T15'!$AO4,0,MATCH(VLOOKUP('COM Veda input'!CA$3,'RES Assumptions T15'!$V$3:$W$35,2,FALSE),'COM Techs T15'!$G$3:$U$3,0))</f>
        <v>0.3</v>
      </c>
      <c r="CB4" s="11" t="str">
        <f ca="1">OFFSET('COM Techs T15'!$AO4,0,MATCH(VLOOKUP('COM Veda input'!CB$3,'RES Assumptions T15'!$V$3:$W$35,2,FALSE),'COM Techs T15'!$G$3:$U$3,0))</f>
        <v/>
      </c>
      <c r="CC4" s="11">
        <f ca="1">OFFSET('COM Techs T15'!$AO4,0,MATCH(VLOOKUP('COM Veda input'!CC$3,'RES Assumptions T15'!$V$3:$W$35,2,FALSE),'COM Techs T15'!$G$3:$U$3,0))</f>
        <v>3.6</v>
      </c>
      <c r="CD4" s="11">
        <f ca="1">OFFSET('COM Techs T15'!$AO4,0,MATCH(VLOOKUP('COM Veda input'!CD$3,'RES Assumptions T15'!$V$3:$W$35,2,FALSE),'COM Techs T15'!$G$3:$U$3,0))</f>
        <v>4.2</v>
      </c>
      <c r="CE4" s="11" t="str">
        <f ca="1">OFFSET('COM Techs T15'!$AO4,0,MATCH(VLOOKUP('COM Veda input'!CE$3,'RES Assumptions T15'!$V$3:$W$35,2,FALSE),'COM Techs T15'!$G$3:$U$3,0))</f>
        <v/>
      </c>
      <c r="CF4" s="11" t="str">
        <f ca="1">OFFSET('COM Techs T15'!$AO4,0,MATCH(VLOOKUP('COM Veda input'!CF$3,'RES Assumptions T15'!$V$3:$W$35,2,FALSE),'COM Techs T15'!$G$3:$U$3,0))</f>
        <v/>
      </c>
      <c r="CG4" s="11" t="str">
        <f ca="1">OFFSET('COM Techs T15'!$AO4,0,MATCH(VLOOKUP('COM Veda input'!CG$3,'RES Assumptions T15'!$V$3:$W$35,2,FALSE),'COM Techs T15'!$G$3:$U$3,0))</f>
        <v/>
      </c>
      <c r="CH4" s="11" t="str">
        <f ca="1">OFFSET('COM Techs T15'!$AO4,0,MATCH(VLOOKUP('COM Veda input'!CH$3,'RES Assumptions T15'!$V$3:$W$35,2,FALSE),'COM Techs T15'!$G$3:$U$3,0))</f>
        <v/>
      </c>
      <c r="CI4" s="11" t="str">
        <f ca="1">OFFSET('COM Techs T15'!$AO4,0,MATCH(VLOOKUP('COM Veda input'!CI$3,'RES Assumptions T15'!$V$3:$W$35,2,FALSE),'COM Techs T15'!$G$3:$U$3,0))</f>
        <v/>
      </c>
      <c r="CJ4" s="11" t="str">
        <f ca="1">OFFSET('COM Techs T15'!$AO4,0,MATCH(VLOOKUP('COM Veda input'!CJ$3,'RES Assumptions T15'!$V$3:$W$35,2,FALSE),'COM Techs T15'!$G$3:$U$3,0))</f>
        <v/>
      </c>
      <c r="CK4" s="11">
        <f ca="1">OFFSET('COM Techs T15'!$AO4,0,MATCH(VLOOKUP('COM Veda input'!CK$3,'RES Assumptions T15'!$V$3:$W$35,2,FALSE),'COM Techs T15'!$G$3:$U$3,0))</f>
        <v>4.8</v>
      </c>
      <c r="CL4" s="11" t="str">
        <f ca="1">OFFSET('COM Techs T15'!$AO4,0,MATCH(VLOOKUP('COM Veda input'!CL$3,'RES Assumptions T15'!$V$3:$W$35,2,FALSE),'COM Techs T15'!$G$3:$U$3,0))</f>
        <v/>
      </c>
      <c r="CM4" s="11" t="str">
        <f ca="1">OFFSET('COM Techs T15'!$AO4,0,MATCH(VLOOKUP('COM Veda input'!CM$3,'RES Assumptions T15'!$V$3:$W$35,2,FALSE),'COM Techs T15'!$G$3:$U$3,0))</f>
        <v/>
      </c>
      <c r="CN4" s="11">
        <f ca="1">OFFSET('COM Techs T15'!$AO4,0,MATCH(VLOOKUP('COM Veda input'!CN$3,'RES Assumptions T15'!$V$3:$W$35,2,FALSE),'COM Techs T15'!$G$3:$U$3,0))</f>
        <v>6</v>
      </c>
      <c r="CO4" s="11" t="str">
        <f ca="1">OFFSET('COM Techs T15'!$AO4,0,MATCH(VLOOKUP('COM Veda input'!CO$3,'RES Assumptions T15'!$V$3:$W$35,2,FALSE),'COM Techs T15'!$G$3:$U$3,0))</f>
        <v/>
      </c>
      <c r="CP4" s="11">
        <f ca="1">OFFSET('COM Techs T15'!$AO4,0,MATCH(VLOOKUP('COM Veda input'!CP$3,'RES Assumptions T15'!$V$3:$W$35,2,FALSE),'COM Techs T15'!$G$3:$U$3,0))</f>
        <v>3.6</v>
      </c>
      <c r="CQ4" s="11">
        <f ca="1">OFFSET('COM Techs T15'!$AO4,0,MATCH(VLOOKUP('COM Veda input'!CQ$3,'RES Assumptions T15'!$V$3:$W$35,2,FALSE),'COM Techs T15'!$G$3:$U$3,0))</f>
        <v>4.8</v>
      </c>
      <c r="CR4" s="11" t="str">
        <f ca="1">OFFSET('COM Techs T15'!$AO4,0,MATCH(VLOOKUP('COM Veda input'!CR$3,'RES Assumptions T15'!$V$3:$W$35,2,FALSE),'COM Techs T15'!$G$3:$U$3,0))</f>
        <v/>
      </c>
      <c r="CS4" s="11">
        <f ca="1">OFFSET('COM Techs T15'!$AO4,0,MATCH(VLOOKUP('COM Veda input'!CS$3,'RES Assumptions T15'!$V$3:$W$35,2,FALSE),'COM Techs T15'!$G$3:$U$3,0))</f>
        <v>3.6</v>
      </c>
      <c r="CT4" s="11">
        <f ca="1">OFFSET('COM Techs T15'!$AO4,0,MATCH(VLOOKUP('COM Veda input'!CT$3,'RES Assumptions T15'!$V$3:$W$35,2,FALSE),'COM Techs T15'!$G$3:$U$3,0))</f>
        <v>4.8</v>
      </c>
      <c r="CU4" s="11" t="str">
        <f ca="1">OFFSET('COM Techs T15'!$AO4,0,MATCH(VLOOKUP('COM Veda input'!CU$3,'RES Assumptions T15'!$V$3:$W$35,2,FALSE),'COM Techs T15'!$G$3:$U$3,0))</f>
        <v/>
      </c>
      <c r="CV4" s="11" t="str">
        <f ca="1">OFFSET('COM Techs T15'!$AO4,0,MATCH(VLOOKUP('COM Veda input'!CV$3,'RES Assumptions T15'!$V$3:$W$35,2,FALSE),'COM Techs T15'!$G$3:$U$3,0))</f>
        <v/>
      </c>
      <c r="CW4" s="11" t="str">
        <f ca="1">OFFSET('COM Techs T15'!$AO4,0,MATCH(VLOOKUP('COM Veda input'!CW$3,'RES Assumptions T15'!$V$3:$W$35,2,FALSE),'COM Techs T15'!$G$3:$U$3,0))</f>
        <v/>
      </c>
      <c r="CX4" s="11" t="str">
        <f ca="1">OFFSET('COM Techs T15'!$AO4,0,MATCH(VLOOKUP('COM Veda input'!CX$3,'RES Assumptions T15'!$V$3:$W$35,2,FALSE),'COM Techs T15'!$G$3:$U$3,0))</f>
        <v/>
      </c>
      <c r="CZ4" s="8" t="str">
        <f>$D4</f>
        <v>CSCCAE000</v>
      </c>
      <c r="DA4" s="10">
        <f ca="1">'COM Assumptions'!E81*G4/'COM Veda input'!AM4</f>
        <v>187.45129389185652</v>
      </c>
      <c r="DB4" s="10">
        <f ca="1">'COM Assumptions'!F81*H4/'COM Veda input'!AN4</f>
        <v>115.55993436123765</v>
      </c>
      <c r="DC4" s="10">
        <f ca="1">'COM Assumptions'!G81*I4/'COM Veda input'!AO4</f>
        <v>105.028033029696</v>
      </c>
      <c r="DD4" s="10">
        <f ca="1">'COM Assumptions'!H81*J4/'COM Veda input'!AP4</f>
        <v>12.260910161102451</v>
      </c>
      <c r="DE4" s="10">
        <f ca="1">'COM Assumptions'!I81*K4/'COM Veda input'!AQ4</f>
        <v>279.24930217896923</v>
      </c>
      <c r="DF4" s="10">
        <f ca="1">'COM Assumptions'!J81*L4/'COM Veda input'!AR4</f>
        <v>45.478254972664807</v>
      </c>
      <c r="DG4" s="10">
        <f ca="1">'COM Assumptions'!K81*M4/'COM Veda input'!AS4</f>
        <v>203.50237273431512</v>
      </c>
      <c r="DH4" s="10">
        <f ca="1">'COM Assumptions'!L81*N4/'COM Veda input'!AT4</f>
        <v>341.20928293401596</v>
      </c>
      <c r="DI4" s="10">
        <f ca="1">'COM Assumptions'!M81*O4/'COM Veda input'!AU4</f>
        <v>841.42459752677917</v>
      </c>
      <c r="DJ4" s="10">
        <f ca="1">'COM Assumptions'!N81*P4/'COM Veda input'!AV4</f>
        <v>661.84977821770781</v>
      </c>
      <c r="DK4" s="10">
        <f ca="1">'COM Assumptions'!O81*Q4/'COM Veda input'!AW4</f>
        <v>250.07506186739639</v>
      </c>
      <c r="DL4" s="10">
        <f ca="1">'COM Assumptions'!P81*R4/'COM Veda input'!AX4</f>
        <v>42.388465292865575</v>
      </c>
      <c r="DM4" s="10">
        <f ca="1">'COM Assumptions'!Q81*S4/'COM Veda input'!AY4</f>
        <v>330.77689220084881</v>
      </c>
      <c r="DN4" s="10">
        <f ca="1">'COM Assumptions'!R81*T4/'COM Veda input'!AZ4</f>
        <v>498.96024364700816</v>
      </c>
      <c r="DO4" s="10">
        <f ca="1">'COM Assumptions'!S81*U4/'COM Veda input'!BA4</f>
        <v>16.079291635765959</v>
      </c>
      <c r="DP4" s="10">
        <f ca="1">'COM Assumptions'!T81*V4/'COM Veda input'!BB4</f>
        <v>411.63039406871775</v>
      </c>
      <c r="DQ4" s="10">
        <f ca="1">'COM Assumptions'!U81*W4/'COM Veda input'!BC4</f>
        <v>320.26151654732314</v>
      </c>
      <c r="DR4" s="10">
        <f ca="1">'COM Assumptions'!V81*X4/'COM Veda input'!BD4</f>
        <v>617.46584516407927</v>
      </c>
      <c r="DS4" s="10">
        <f ca="1">'COM Assumptions'!W81*Y4/'COM Veda input'!BE4</f>
        <v>587.47565756325628</v>
      </c>
      <c r="DT4" s="10">
        <f ca="1">'COM Assumptions'!X81*Z4/'COM Veda input'!BF4</f>
        <v>236.06201992084615</v>
      </c>
      <c r="DU4" s="10">
        <f ca="1">'COM Assumptions'!Y81*AA4/'COM Veda input'!BG4</f>
        <v>216.16651496643834</v>
      </c>
      <c r="DV4" s="10">
        <f ca="1">'COM Assumptions'!Z81*AB4/'COM Veda input'!BH4</f>
        <v>62.027638779600004</v>
      </c>
      <c r="DW4" s="10">
        <f ca="1">'COM Assumptions'!AA81*AC4/'COM Veda input'!BI4</f>
        <v>364.03676693620321</v>
      </c>
      <c r="DX4" s="10">
        <f ca="1">'COM Assumptions'!AB81*AD4/'COM Veda input'!BJ4</f>
        <v>124.55189343079371</v>
      </c>
      <c r="DY4" s="10">
        <f ca="1">'COM Assumptions'!AC81*AE4/'COM Veda input'!BK4</f>
        <v>69.095940079728038</v>
      </c>
      <c r="DZ4" s="10">
        <f ca="1">'COM Assumptions'!AD81*AF4/'COM Veda input'!BL4</f>
        <v>287.67281208575764</v>
      </c>
      <c r="EA4" s="10">
        <f ca="1">'COM Assumptions'!AE81*AG4/'COM Veda input'!BM4</f>
        <v>130.8250480697175</v>
      </c>
      <c r="EB4" s="10">
        <f ca="1">'COM Assumptions'!AF81*AH4/'COM Veda input'!BN4</f>
        <v>407.34053348406553</v>
      </c>
      <c r="EC4" s="10">
        <f ca="1">'COM Assumptions'!AG81*AI4/'COM Veda input'!BO4</f>
        <v>10247.512011928637</v>
      </c>
      <c r="ED4" s="10">
        <f ca="1">'COM Assumptions'!AH81*AJ4/'COM Veda input'!BP4</f>
        <v>0</v>
      </c>
      <c r="EE4" s="8">
        <v>15</v>
      </c>
      <c r="EH4" t="s">
        <v>281</v>
      </c>
      <c r="EI4" s="8" t="str">
        <f>$D4</f>
        <v>CSCCAE000</v>
      </c>
      <c r="EK4" t="s">
        <v>282</v>
      </c>
      <c r="EL4" t="s">
        <v>283</v>
      </c>
    </row>
    <row r="5" spans="1:145" x14ac:dyDescent="0.45">
      <c r="A5" s="37" t="str">
        <f>'COM Assumptions'!B82</f>
        <v>CL</v>
      </c>
      <c r="B5" s="37" t="s">
        <v>206</v>
      </c>
      <c r="D5" t="s">
        <v>315</v>
      </c>
      <c r="E5" s="8" t="str">
        <f>'COM Assumptions'!A82</f>
        <v>COMELC</v>
      </c>
      <c r="F5" t="str">
        <f>VLOOKUP('COM Assumptions'!B82,'COM Assumptions'!$AP$81:$AQ$88,2,FALSE)</f>
        <v>CSC</v>
      </c>
      <c r="G5" s="11">
        <f ca="1">OFFSET('COM Techs T15'!$F5,0,MATCH(VLOOKUP('COM Veda input'!G$3,'RES Assumptions T15'!$V$3:$W$35,2,FALSE),'COM Techs T15'!$G$3:$U$3,0))</f>
        <v>3.1</v>
      </c>
      <c r="H5" s="11">
        <f ca="1">OFFSET('COM Techs T15'!$F5,0,MATCH(VLOOKUP('COM Veda input'!H$3,'RES Assumptions T15'!$V$3:$W$35,2,FALSE),'COM Techs T15'!$G$3:$U$3,0))</f>
        <v>3.1</v>
      </c>
      <c r="I5" s="11">
        <f ca="1">OFFSET('COM Techs T15'!$F5,0,MATCH(VLOOKUP('COM Veda input'!I$3,'RES Assumptions T15'!$V$3:$W$35,2,FALSE),'COM Techs T15'!$G$3:$U$3,0))</f>
        <v>3.1</v>
      </c>
      <c r="J5" s="11">
        <f ca="1">OFFSET('COM Techs T15'!$F5,0,MATCH(VLOOKUP('COM Veda input'!J$3,'RES Assumptions T15'!$V$3:$W$35,2,FALSE),'COM Techs T15'!$G$3:$U$3,0))</f>
        <v>3.1</v>
      </c>
      <c r="K5" s="11">
        <f ca="1">OFFSET('COM Techs T15'!$F5,0,MATCH(VLOOKUP('COM Veda input'!K$3,'RES Assumptions T15'!$V$3:$W$35,2,FALSE),'COM Techs T15'!$G$3:$U$3,0))</f>
        <v>3.1</v>
      </c>
      <c r="L5" s="11">
        <f ca="1">OFFSET('COM Techs T15'!$F5,0,MATCH(VLOOKUP('COM Veda input'!L$3,'RES Assumptions T15'!$V$3:$W$35,2,FALSE),'COM Techs T15'!$G$3:$U$3,0))</f>
        <v>3.1</v>
      </c>
      <c r="M5" s="11">
        <f ca="1">OFFSET('COM Techs T15'!$F5,0,MATCH(VLOOKUP('COM Veda input'!M$3,'RES Assumptions T15'!$V$3:$W$35,2,FALSE),'COM Techs T15'!$G$3:$U$3,0))</f>
        <v>3.1</v>
      </c>
      <c r="N5" s="11">
        <f ca="1">OFFSET('COM Techs T15'!$F5,0,MATCH(VLOOKUP('COM Veda input'!N$3,'RES Assumptions T15'!$V$3:$W$35,2,FALSE),'COM Techs T15'!$G$3:$U$3,0))</f>
        <v>3.1</v>
      </c>
      <c r="O5" s="11">
        <f ca="1">OFFSET('COM Techs T15'!$F5,0,MATCH(VLOOKUP('COM Veda input'!O$3,'RES Assumptions T15'!$V$3:$W$35,2,FALSE),'COM Techs T15'!$G$3:$U$3,0))</f>
        <v>3.1</v>
      </c>
      <c r="P5" s="11">
        <f ca="1">OFFSET('COM Techs T15'!$F5,0,MATCH(VLOOKUP('COM Veda input'!P$3,'RES Assumptions T15'!$V$3:$W$35,2,FALSE),'COM Techs T15'!$G$3:$U$3,0))</f>
        <v>3.1</v>
      </c>
      <c r="Q5" s="11">
        <f ca="1">OFFSET('COM Techs T15'!$F5,0,MATCH(VLOOKUP('COM Veda input'!Q$3,'RES Assumptions T15'!$V$3:$W$35,2,FALSE),'COM Techs T15'!$G$3:$U$3,0))</f>
        <v>3.1</v>
      </c>
      <c r="R5" s="11">
        <f ca="1">OFFSET('COM Techs T15'!$F5,0,MATCH(VLOOKUP('COM Veda input'!R$3,'RES Assumptions T15'!$V$3:$W$35,2,FALSE),'COM Techs T15'!$G$3:$U$3,0))</f>
        <v>3.1</v>
      </c>
      <c r="S5" s="11">
        <f ca="1">OFFSET('COM Techs T15'!$F5,0,MATCH(VLOOKUP('COM Veda input'!S$3,'RES Assumptions T15'!$V$3:$W$35,2,FALSE),'COM Techs T15'!$G$3:$U$3,0))</f>
        <v>3.1</v>
      </c>
      <c r="T5" s="11">
        <f ca="1">OFFSET('COM Techs T15'!$F5,0,MATCH(VLOOKUP('COM Veda input'!T$3,'RES Assumptions T15'!$V$3:$W$35,2,FALSE),'COM Techs T15'!$G$3:$U$3,0))</f>
        <v>3.1</v>
      </c>
      <c r="U5" s="11">
        <f ca="1">OFFSET('COM Techs T15'!$F5,0,MATCH(VLOOKUP('COM Veda input'!U$3,'RES Assumptions T15'!$V$3:$W$35,2,FALSE),'COM Techs T15'!$G$3:$U$3,0))</f>
        <v>3.1</v>
      </c>
      <c r="V5" s="11">
        <f ca="1">OFFSET('COM Techs T15'!$F5,0,MATCH(VLOOKUP('COM Veda input'!V$3,'RES Assumptions T15'!$V$3:$W$35,2,FALSE),'COM Techs T15'!$G$3:$U$3,0))</f>
        <v>3.1</v>
      </c>
      <c r="W5" s="11">
        <f ca="1">OFFSET('COM Techs T15'!$F5,0,MATCH(VLOOKUP('COM Veda input'!W$3,'RES Assumptions T15'!$V$3:$W$35,2,FALSE),'COM Techs T15'!$G$3:$U$3,0))</f>
        <v>3.1</v>
      </c>
      <c r="X5" s="11">
        <f ca="1">OFFSET('COM Techs T15'!$F5,0,MATCH(VLOOKUP('COM Veda input'!X$3,'RES Assumptions T15'!$V$3:$W$35,2,FALSE),'COM Techs T15'!$G$3:$U$3,0))</f>
        <v>3.1</v>
      </c>
      <c r="Y5" s="11">
        <f ca="1">OFFSET('COM Techs T15'!$F5,0,MATCH(VLOOKUP('COM Veda input'!Y$3,'RES Assumptions T15'!$V$3:$W$35,2,FALSE),'COM Techs T15'!$G$3:$U$3,0))</f>
        <v>3.1</v>
      </c>
      <c r="Z5" s="11">
        <f ca="1">OFFSET('COM Techs T15'!$F5,0,MATCH(VLOOKUP('COM Veda input'!Z$3,'RES Assumptions T15'!$V$3:$W$35,2,FALSE),'COM Techs T15'!$G$3:$U$3,0))</f>
        <v>3.1</v>
      </c>
      <c r="AA5" s="11">
        <f ca="1">OFFSET('COM Techs T15'!$F5,0,MATCH(VLOOKUP('COM Veda input'!AA$3,'RES Assumptions T15'!$V$3:$W$35,2,FALSE),'COM Techs T15'!$G$3:$U$3,0))</f>
        <v>3.1</v>
      </c>
      <c r="AB5" s="11">
        <f ca="1">OFFSET('COM Techs T15'!$F5,0,MATCH(VLOOKUP('COM Veda input'!AB$3,'RES Assumptions T15'!$V$3:$W$35,2,FALSE),'COM Techs T15'!$G$3:$U$3,0))</f>
        <v>3.1</v>
      </c>
      <c r="AC5" s="11">
        <f ca="1">OFFSET('COM Techs T15'!$F5,0,MATCH(VLOOKUP('COM Veda input'!AC$3,'RES Assumptions T15'!$V$3:$W$35,2,FALSE),'COM Techs T15'!$G$3:$U$3,0))</f>
        <v>3.1</v>
      </c>
      <c r="AD5" s="11">
        <f ca="1">OFFSET('COM Techs T15'!$F5,0,MATCH(VLOOKUP('COM Veda input'!AD$3,'RES Assumptions T15'!$V$3:$W$35,2,FALSE),'COM Techs T15'!$G$3:$U$3,0))</f>
        <v>3.1</v>
      </c>
      <c r="AE5" s="11">
        <f ca="1">OFFSET('COM Techs T15'!$F5,0,MATCH(VLOOKUP('COM Veda input'!AE$3,'RES Assumptions T15'!$V$3:$W$35,2,FALSE),'COM Techs T15'!$G$3:$U$3,0))</f>
        <v>3.1</v>
      </c>
      <c r="AF5" s="11">
        <f ca="1">OFFSET('COM Techs T15'!$F5,0,MATCH(VLOOKUP('COM Veda input'!AF$3,'RES Assumptions T15'!$V$3:$W$35,2,FALSE),'COM Techs T15'!$G$3:$U$3,0))</f>
        <v>3.1</v>
      </c>
      <c r="AG5" s="11">
        <f ca="1">OFFSET('COM Techs T15'!$F5,0,MATCH(VLOOKUP('COM Veda input'!AG$3,'RES Assumptions T15'!$V$3:$W$35,2,FALSE),'COM Techs T15'!$G$3:$U$3,0))</f>
        <v>3.1</v>
      </c>
      <c r="AH5" s="11">
        <f ca="1">OFFSET('COM Techs T15'!$F5,0,MATCH(VLOOKUP('COM Veda input'!AH$3,'RES Assumptions T15'!$V$3:$W$35,2,FALSE),'COM Techs T15'!$G$3:$U$3,0))</f>
        <v>3.1</v>
      </c>
      <c r="AI5" s="11">
        <f ca="1">OFFSET('COM Techs T15'!$F5,0,MATCH(VLOOKUP('COM Veda input'!AI$3,'RES Assumptions T15'!$V$3:$W$35,2,FALSE),'COM Techs T15'!$G$3:$U$3,0))</f>
        <v>3.1</v>
      </c>
      <c r="AJ5" s="11">
        <f ca="1">OFFSET('COM Techs T15'!$F5,0,MATCH(VLOOKUP('COM Veda input'!AJ$3,'RES Assumptions T15'!$V$3:$W$35,2,FALSE),'COM Techs T15'!$G$3:$U$3,0))</f>
        <v>3.1</v>
      </c>
      <c r="AL5" s="8" t="str">
        <f t="shared" ref="AL5:AL50" si="19">$D5</f>
        <v>CSCECE000</v>
      </c>
      <c r="AM5" s="11">
        <f ca="1">OFFSET('COM Techs T15'!$W5,0,MATCH(VLOOKUP('COM Veda input'!AM$3,'RES Assumptions T15'!$V$3:$W$35,2,FALSE),'COM Techs T15'!$G$3:$U$3,0))</f>
        <v>0.25</v>
      </c>
      <c r="AN5" s="11">
        <f ca="1">OFFSET('COM Techs T15'!$W5,0,MATCH(VLOOKUP('COM Veda input'!AN$3,'RES Assumptions T15'!$V$3:$W$35,2,FALSE),'COM Techs T15'!$G$3:$U$3,0))</f>
        <v>0.25</v>
      </c>
      <c r="AO5" s="11">
        <f ca="1">OFFSET('COM Techs T15'!$W5,0,MATCH(VLOOKUP('COM Veda input'!AO$3,'RES Assumptions T15'!$V$3:$W$35,2,FALSE),'COM Techs T15'!$G$3:$U$3,0))</f>
        <v>0.25</v>
      </c>
      <c r="AP5" s="11">
        <f ca="1">OFFSET('COM Techs T15'!$W5,0,MATCH(VLOOKUP('COM Veda input'!AP$3,'RES Assumptions T15'!$V$3:$W$35,2,FALSE),'COM Techs T15'!$G$3:$U$3,0))</f>
        <v>0.13</v>
      </c>
      <c r="AQ5" s="11">
        <f ca="1">OFFSET('COM Techs T15'!$W5,0,MATCH(VLOOKUP('COM Veda input'!AQ$3,'RES Assumptions T15'!$V$3:$W$35,2,FALSE),'COM Techs T15'!$G$3:$U$3,0))</f>
        <v>0.13</v>
      </c>
      <c r="AR5" s="11">
        <f ca="1">OFFSET('COM Techs T15'!$W5,0,MATCH(VLOOKUP('COM Veda input'!AR$3,'RES Assumptions T15'!$V$3:$W$35,2,FALSE),'COM Techs T15'!$G$3:$U$3,0))</f>
        <v>2</v>
      </c>
      <c r="AS5" s="11">
        <f ca="1">OFFSET('COM Techs T15'!$W5,0,MATCH(VLOOKUP('COM Veda input'!AS$3,'RES Assumptions T15'!$V$3:$W$35,2,FALSE),'COM Techs T15'!$G$3:$U$3,0))</f>
        <v>0.14000000000000001</v>
      </c>
      <c r="AT5" s="11">
        <f ca="1">OFFSET('COM Techs T15'!$W5,0,MATCH(VLOOKUP('COM Veda input'!AT$3,'RES Assumptions T15'!$V$3:$W$35,2,FALSE),'COM Techs T15'!$G$3:$U$3,0))</f>
        <v>0.25</v>
      </c>
      <c r="AU5" s="11">
        <f ca="1">OFFSET('COM Techs T15'!$W5,0,MATCH(VLOOKUP('COM Veda input'!AU$3,'RES Assumptions T15'!$V$3:$W$35,2,FALSE),'COM Techs T15'!$G$3:$U$3,0))</f>
        <v>0.14000000000000001</v>
      </c>
      <c r="AV5" s="11">
        <f ca="1">OFFSET('COM Techs T15'!$W5,0,MATCH(VLOOKUP('COM Veda input'!AV$3,'RES Assumptions T15'!$V$3:$W$35,2,FALSE),'COM Techs T15'!$G$3:$U$3,0))</f>
        <v>0.13</v>
      </c>
      <c r="AW5" s="11">
        <f ca="1">OFFSET('COM Techs T15'!$W5,0,MATCH(VLOOKUP('COM Veda input'!AW$3,'RES Assumptions T15'!$V$3:$W$35,2,FALSE),'COM Techs T15'!$G$3:$U$3,0))</f>
        <v>0.13</v>
      </c>
      <c r="AX5" s="11">
        <f ca="1">OFFSET('COM Techs T15'!$W5,0,MATCH(VLOOKUP('COM Veda input'!AX$3,'RES Assumptions T15'!$V$3:$W$35,2,FALSE),'COM Techs T15'!$G$3:$U$3,0))</f>
        <v>0.13</v>
      </c>
      <c r="AY5" s="11">
        <f ca="1">OFFSET('COM Techs T15'!$W5,0,MATCH(VLOOKUP('COM Veda input'!AY$3,'RES Assumptions T15'!$V$3:$W$35,2,FALSE),'COM Techs T15'!$G$3:$U$3,0))</f>
        <v>0.13</v>
      </c>
      <c r="AZ5" s="11">
        <f ca="1">OFFSET('COM Techs T15'!$W5,0,MATCH(VLOOKUP('COM Veda input'!AZ$3,'RES Assumptions T15'!$V$3:$W$35,2,FALSE),'COM Techs T15'!$G$3:$U$3,0))</f>
        <v>0.13</v>
      </c>
      <c r="BA5" s="11">
        <f ca="1">OFFSET('COM Techs T15'!$W5,0,MATCH(VLOOKUP('COM Veda input'!BA$3,'RES Assumptions T15'!$V$3:$W$35,2,FALSE),'COM Techs T15'!$G$3:$U$3,0))</f>
        <v>0.13</v>
      </c>
      <c r="BB5" s="11">
        <f ca="1">OFFSET('COM Techs T15'!$W5,0,MATCH(VLOOKUP('COM Veda input'!BB$3,'RES Assumptions T15'!$V$3:$W$35,2,FALSE),'COM Techs T15'!$G$3:$U$3,0))</f>
        <v>0.13</v>
      </c>
      <c r="BC5" s="11">
        <f ca="1">OFFSET('COM Techs T15'!$W5,0,MATCH(VLOOKUP('COM Veda input'!BC$3,'RES Assumptions T15'!$V$3:$W$35,2,FALSE),'COM Techs T15'!$G$3:$U$3,0))</f>
        <v>0.25</v>
      </c>
      <c r="BD5" s="11">
        <f ca="1">OFFSET('COM Techs T15'!$W5,0,MATCH(VLOOKUP('COM Veda input'!BD$3,'RES Assumptions T15'!$V$3:$W$35,2,FALSE),'COM Techs T15'!$G$3:$U$3,0))</f>
        <v>0.13</v>
      </c>
      <c r="BE5" s="11">
        <f ca="1">OFFSET('COM Techs T15'!$W5,0,MATCH(VLOOKUP('COM Veda input'!BE$3,'RES Assumptions T15'!$V$3:$W$35,2,FALSE),'COM Techs T15'!$G$3:$U$3,0))</f>
        <v>0.13</v>
      </c>
      <c r="BF5" s="11">
        <f ca="1">OFFSET('COM Techs T15'!$W5,0,MATCH(VLOOKUP('COM Veda input'!BF$3,'RES Assumptions T15'!$V$3:$W$35,2,FALSE),'COM Techs T15'!$G$3:$U$3,0))</f>
        <v>0.13</v>
      </c>
      <c r="BG5" s="11">
        <f ca="1">OFFSET('COM Techs T15'!$W5,0,MATCH(VLOOKUP('COM Veda input'!BG$3,'RES Assumptions T15'!$V$3:$W$35,2,FALSE),'COM Techs T15'!$G$3:$U$3,0))</f>
        <v>0.25</v>
      </c>
      <c r="BH5" s="11">
        <f ca="1">OFFSET('COM Techs T15'!$W5,0,MATCH(VLOOKUP('COM Veda input'!BH$3,'RES Assumptions T15'!$V$3:$W$35,2,FALSE),'COM Techs T15'!$G$3:$U$3,0))</f>
        <v>0.25</v>
      </c>
      <c r="BI5" s="11">
        <f ca="1">OFFSET('COM Techs T15'!$W5,0,MATCH(VLOOKUP('COM Veda input'!BI$3,'RES Assumptions T15'!$V$3:$W$35,2,FALSE),'COM Techs T15'!$G$3:$U$3,0))</f>
        <v>0.25</v>
      </c>
      <c r="BJ5" s="11">
        <f ca="1">OFFSET('COM Techs T15'!$W5,0,MATCH(VLOOKUP('COM Veda input'!BJ$3,'RES Assumptions T15'!$V$3:$W$35,2,FALSE),'COM Techs T15'!$G$3:$U$3,0))</f>
        <v>0.13</v>
      </c>
      <c r="BK5" s="11">
        <f ca="1">OFFSET('COM Techs T15'!$W5,0,MATCH(VLOOKUP('COM Veda input'!BK$3,'RES Assumptions T15'!$V$3:$W$35,2,FALSE),'COM Techs T15'!$G$3:$U$3,0))</f>
        <v>0.13</v>
      </c>
      <c r="BL5" s="11">
        <f ca="1">OFFSET('COM Techs T15'!$W5,0,MATCH(VLOOKUP('COM Veda input'!BL$3,'RES Assumptions T15'!$V$3:$W$35,2,FALSE),'COM Techs T15'!$G$3:$U$3,0))</f>
        <v>0.25</v>
      </c>
      <c r="BM5" s="11">
        <f ca="1">OFFSET('COM Techs T15'!$W5,0,MATCH(VLOOKUP('COM Veda input'!BM$3,'RES Assumptions T15'!$V$3:$W$35,2,FALSE),'COM Techs T15'!$G$3:$U$3,0))</f>
        <v>0.25</v>
      </c>
      <c r="BN5" s="11">
        <f ca="1">OFFSET('COM Techs T15'!$W5,0,MATCH(VLOOKUP('COM Veda input'!BN$3,'RES Assumptions T15'!$V$3:$W$35,2,FALSE),'COM Techs T15'!$G$3:$U$3,0))</f>
        <v>0.13</v>
      </c>
      <c r="BO5" s="11">
        <f ca="1">OFFSET('COM Techs T15'!$W5,0,MATCH(VLOOKUP('COM Veda input'!BO$3,'RES Assumptions T15'!$V$3:$W$35,2,FALSE),'COM Techs T15'!$G$3:$U$3,0))</f>
        <v>0.13</v>
      </c>
      <c r="BP5" s="11">
        <f ca="1">OFFSET('COM Techs T15'!$W5,0,MATCH(VLOOKUP('COM Veda input'!BP$3,'RES Assumptions T15'!$V$3:$W$35,2,FALSE),'COM Techs T15'!$G$3:$U$3,0))</f>
        <v>0.13</v>
      </c>
      <c r="BQ5">
        <v>3</v>
      </c>
      <c r="BS5" s="8" t="str">
        <f t="shared" ref="BS5:BS50" si="20">$D5</f>
        <v>CSCECE000</v>
      </c>
      <c r="BT5" s="11">
        <f t="shared" ref="BT5:BT46" ca="1" si="21">MIN(BU5:CK5)</f>
        <v>4.2</v>
      </c>
      <c r="BU5" s="11" t="str">
        <f ca="1">OFFSET('COM Techs T15'!$AO5,0,MATCH(VLOOKUP('COM Veda input'!BU$3,'RES Assumptions T15'!$V$3:$W$35,2,FALSE),'COM Techs T15'!$G$3:$U$3,0))</f>
        <v/>
      </c>
      <c r="BV5" s="11" t="str">
        <f ca="1">OFFSET('COM Techs T15'!$AO5,0,MATCH(VLOOKUP('COM Veda input'!BV$3,'RES Assumptions T15'!$V$3:$W$35,2,FALSE),'COM Techs T15'!$G$3:$U$3,0))</f>
        <v/>
      </c>
      <c r="BW5" s="11" t="str">
        <f ca="1">OFFSET('COM Techs T15'!$AO5,0,MATCH(VLOOKUP('COM Veda input'!BW$3,'RES Assumptions T15'!$V$3:$W$35,2,FALSE),'COM Techs T15'!$G$3:$U$3,0))</f>
        <v/>
      </c>
      <c r="BX5" s="11">
        <f ca="1">OFFSET('COM Techs T15'!$AO5,0,MATCH(VLOOKUP('COM Veda input'!BX$3,'RES Assumptions T15'!$V$3:$W$35,2,FALSE),'COM Techs T15'!$G$3:$U$3,0))</f>
        <v>4.2</v>
      </c>
      <c r="BY5" s="11">
        <f ca="1">OFFSET('COM Techs T15'!$AO5,0,MATCH(VLOOKUP('COM Veda input'!BY$3,'RES Assumptions T15'!$V$3:$W$35,2,FALSE),'COM Techs T15'!$G$3:$U$3,0))</f>
        <v>4.9000000000000004</v>
      </c>
      <c r="BZ5" s="11">
        <f ca="1">OFFSET('COM Techs T15'!$AO5,0,MATCH(VLOOKUP('COM Veda input'!BZ$3,'RES Assumptions T15'!$V$3:$W$35,2,FALSE),'COM Techs T15'!$G$3:$U$3,0))</f>
        <v>5.6</v>
      </c>
      <c r="CA5" s="11" t="str">
        <f ca="1">OFFSET('COM Techs T15'!$AO5,0,MATCH(VLOOKUP('COM Veda input'!CA$3,'RES Assumptions T15'!$V$3:$W$35,2,FALSE),'COM Techs T15'!$G$3:$U$3,0))</f>
        <v/>
      </c>
      <c r="CB5" s="11" t="str">
        <f ca="1">OFFSET('COM Techs T15'!$AO5,0,MATCH(VLOOKUP('COM Veda input'!CB$3,'RES Assumptions T15'!$V$3:$W$35,2,FALSE),'COM Techs T15'!$G$3:$U$3,0))</f>
        <v/>
      </c>
      <c r="CC5" s="11">
        <f ca="1">OFFSET('COM Techs T15'!$AO5,0,MATCH(VLOOKUP('COM Veda input'!CC$3,'RES Assumptions T15'!$V$3:$W$35,2,FALSE),'COM Techs T15'!$G$3:$U$3,0))</f>
        <v>4.2</v>
      </c>
      <c r="CD5" s="11">
        <f ca="1">OFFSET('COM Techs T15'!$AO5,0,MATCH(VLOOKUP('COM Veda input'!CD$3,'RES Assumptions T15'!$V$3:$W$35,2,FALSE),'COM Techs T15'!$G$3:$U$3,0))</f>
        <v>4.9000000000000004</v>
      </c>
      <c r="CE5" s="11" t="str">
        <f ca="1">OFFSET('COM Techs T15'!$AO5,0,MATCH(VLOOKUP('COM Veda input'!CE$3,'RES Assumptions T15'!$V$3:$W$35,2,FALSE),'COM Techs T15'!$G$3:$U$3,0))</f>
        <v/>
      </c>
      <c r="CF5" s="11" t="str">
        <f ca="1">OFFSET('COM Techs T15'!$AO5,0,MATCH(VLOOKUP('COM Veda input'!CF$3,'RES Assumptions T15'!$V$3:$W$35,2,FALSE),'COM Techs T15'!$G$3:$U$3,0))</f>
        <v/>
      </c>
      <c r="CG5" s="11" t="str">
        <f ca="1">OFFSET('COM Techs T15'!$AO5,0,MATCH(VLOOKUP('COM Veda input'!CG$3,'RES Assumptions T15'!$V$3:$W$35,2,FALSE),'COM Techs T15'!$G$3:$U$3,0))</f>
        <v/>
      </c>
      <c r="CH5" s="11" t="str">
        <f ca="1">OFFSET('COM Techs T15'!$AO5,0,MATCH(VLOOKUP('COM Veda input'!CH$3,'RES Assumptions T15'!$V$3:$W$35,2,FALSE),'COM Techs T15'!$G$3:$U$3,0))</f>
        <v/>
      </c>
      <c r="CI5" s="11" t="str">
        <f ca="1">OFFSET('COM Techs T15'!$AO5,0,MATCH(VLOOKUP('COM Veda input'!CI$3,'RES Assumptions T15'!$V$3:$W$35,2,FALSE),'COM Techs T15'!$G$3:$U$3,0))</f>
        <v/>
      </c>
      <c r="CJ5" s="11" t="str">
        <f ca="1">OFFSET('COM Techs T15'!$AO5,0,MATCH(VLOOKUP('COM Veda input'!CJ$3,'RES Assumptions T15'!$V$3:$W$35,2,FALSE),'COM Techs T15'!$G$3:$U$3,0))</f>
        <v/>
      </c>
      <c r="CK5" s="11">
        <f ca="1">OFFSET('COM Techs T15'!$AO5,0,MATCH(VLOOKUP('COM Veda input'!CK$3,'RES Assumptions T15'!$V$3:$W$35,2,FALSE),'COM Techs T15'!$G$3:$U$3,0))</f>
        <v>5.6</v>
      </c>
      <c r="CL5" s="11" t="str">
        <f ca="1">OFFSET('COM Techs T15'!$AO5,0,MATCH(VLOOKUP('COM Veda input'!CL$3,'RES Assumptions T15'!$V$3:$W$35,2,FALSE),'COM Techs T15'!$G$3:$U$3,0))</f>
        <v/>
      </c>
      <c r="CM5" s="11" t="str">
        <f ca="1">OFFSET('COM Techs T15'!$AO5,0,MATCH(VLOOKUP('COM Veda input'!CM$3,'RES Assumptions T15'!$V$3:$W$35,2,FALSE),'COM Techs T15'!$G$3:$U$3,0))</f>
        <v/>
      </c>
      <c r="CN5" s="11">
        <f ca="1">OFFSET('COM Techs T15'!$AO5,0,MATCH(VLOOKUP('COM Veda input'!CN$3,'RES Assumptions T15'!$V$3:$W$35,2,FALSE),'COM Techs T15'!$G$3:$U$3,0))</f>
        <v>7</v>
      </c>
      <c r="CO5" s="11" t="str">
        <f ca="1">OFFSET('COM Techs T15'!$AO5,0,MATCH(VLOOKUP('COM Veda input'!CO$3,'RES Assumptions T15'!$V$3:$W$35,2,FALSE),'COM Techs T15'!$G$3:$U$3,0))</f>
        <v/>
      </c>
      <c r="CP5" s="11">
        <f ca="1">OFFSET('COM Techs T15'!$AO5,0,MATCH(VLOOKUP('COM Veda input'!CP$3,'RES Assumptions T15'!$V$3:$W$35,2,FALSE),'COM Techs T15'!$G$3:$U$3,0))</f>
        <v>4.2</v>
      </c>
      <c r="CQ5" s="11">
        <f ca="1">OFFSET('COM Techs T15'!$AO5,0,MATCH(VLOOKUP('COM Veda input'!CQ$3,'RES Assumptions T15'!$V$3:$W$35,2,FALSE),'COM Techs T15'!$G$3:$U$3,0))</f>
        <v>5.6</v>
      </c>
      <c r="CR5" s="11" t="str">
        <f ca="1">OFFSET('COM Techs T15'!$AO5,0,MATCH(VLOOKUP('COM Veda input'!CR$3,'RES Assumptions T15'!$V$3:$W$35,2,FALSE),'COM Techs T15'!$G$3:$U$3,0))</f>
        <v/>
      </c>
      <c r="CS5" s="11">
        <f ca="1">OFFSET('COM Techs T15'!$AO5,0,MATCH(VLOOKUP('COM Veda input'!CS$3,'RES Assumptions T15'!$V$3:$W$35,2,FALSE),'COM Techs T15'!$G$3:$U$3,0))</f>
        <v>4.2</v>
      </c>
      <c r="CT5" s="11">
        <f ca="1">OFFSET('COM Techs T15'!$AO5,0,MATCH(VLOOKUP('COM Veda input'!CT$3,'RES Assumptions T15'!$V$3:$W$35,2,FALSE),'COM Techs T15'!$G$3:$U$3,0))</f>
        <v>5.6</v>
      </c>
      <c r="CU5" s="11" t="str">
        <f ca="1">OFFSET('COM Techs T15'!$AO5,0,MATCH(VLOOKUP('COM Veda input'!CU$3,'RES Assumptions T15'!$V$3:$W$35,2,FALSE),'COM Techs T15'!$G$3:$U$3,0))</f>
        <v/>
      </c>
      <c r="CV5" s="11" t="str">
        <f ca="1">OFFSET('COM Techs T15'!$AO5,0,MATCH(VLOOKUP('COM Veda input'!CV$3,'RES Assumptions T15'!$V$3:$W$35,2,FALSE),'COM Techs T15'!$G$3:$U$3,0))</f>
        <v/>
      </c>
      <c r="CW5" s="11" t="str">
        <f ca="1">OFFSET('COM Techs T15'!$AO5,0,MATCH(VLOOKUP('COM Veda input'!CW$3,'RES Assumptions T15'!$V$3:$W$35,2,FALSE),'COM Techs T15'!$G$3:$U$3,0))</f>
        <v/>
      </c>
      <c r="CX5" s="11" t="str">
        <f ca="1">OFFSET('COM Techs T15'!$AO5,0,MATCH(VLOOKUP('COM Veda input'!CX$3,'RES Assumptions T15'!$V$3:$W$35,2,FALSE),'COM Techs T15'!$G$3:$U$3,0))</f>
        <v/>
      </c>
      <c r="CZ5" s="8" t="str">
        <f t="shared" ref="CZ5:CZ50" si="22">$D5</f>
        <v>CSCECE000</v>
      </c>
      <c r="DA5" s="10">
        <f ca="1">'COM Assumptions'!E82*G5/'COM Veda input'!AM5</f>
        <v>121.02986008088051</v>
      </c>
      <c r="DB5" s="10">
        <f ca="1">'COM Assumptions'!F82*H5/'COM Veda input'!AN5</f>
        <v>74.612462770009884</v>
      </c>
      <c r="DC5" s="10">
        <f ca="1">'COM Assumptions'!G82*I5/'COM Veda input'!AO5</f>
        <v>1.5504138209145601</v>
      </c>
      <c r="DD5" s="10">
        <f ca="1">'COM Assumptions'!H82*J5/'COM Veda input'!AP5</f>
        <v>7.9163830265081048</v>
      </c>
      <c r="DE5" s="10">
        <f ca="1">'COM Assumptions'!I82*K5/'COM Veda input'!AQ5</f>
        <v>0</v>
      </c>
      <c r="DF5" s="10">
        <f ca="1">'COM Assumptions'!J82*L5/'COM Veda input'!AR5</f>
        <v>46.994196805086972</v>
      </c>
      <c r="DG5" s="10">
        <f ca="1">'COM Assumptions'!K82*M5/'COM Veda input'!AS5</f>
        <v>131.39340458418332</v>
      </c>
      <c r="DH5" s="10">
        <f ca="1">'COM Assumptions'!L82*N5/'COM Veda input'!AT5</f>
        <v>5.0368989385497605</v>
      </c>
      <c r="DI5" s="10">
        <f ca="1">'COM Assumptions'!M82*O5/'COM Veda input'!AU5</f>
        <v>525.04968470189544</v>
      </c>
      <c r="DJ5" s="10">
        <f ca="1">'COM Assumptions'!N82*P5/'COM Veda input'!AV5</f>
        <v>378.84746785513289</v>
      </c>
      <c r="DK5" s="10">
        <f ca="1">'COM Assumptions'!O82*Q5/'COM Veda input'!AW5</f>
        <v>161.46354137725905</v>
      </c>
      <c r="DL5" s="10">
        <f ca="1">'COM Assumptions'!P82*R5/'COM Veda input'!AX5</f>
        <v>27.368549541186471</v>
      </c>
      <c r="DM5" s="10">
        <f ca="1">'COM Assumptions'!Q82*S5/'COM Veda input'!AY5</f>
        <v>213.56950997710035</v>
      </c>
      <c r="DN5" s="10">
        <f ca="1">'COM Assumptions'!R82*T5/'COM Veda input'!AZ5</f>
        <v>322.15882441098967</v>
      </c>
      <c r="DO5" s="10">
        <f ca="1">'COM Assumptions'!S82*U5/'COM Veda input'!BA5</f>
        <v>10.381760384108876</v>
      </c>
      <c r="DP5" s="10">
        <f ca="1">'COM Assumptions'!T82*V5/'COM Veda input'!BB5</f>
        <v>265.77340686651257</v>
      </c>
      <c r="DQ5" s="10">
        <f ca="1">'COM Assumptions'!U82*W5/'COM Veda input'!BC5</f>
        <v>206.78014929774255</v>
      </c>
      <c r="DR5" s="10">
        <f ca="1">'COM Assumptions'!V82*X5/'COM Veda input'!BD5</f>
        <v>398.67318754302664</v>
      </c>
      <c r="DS5" s="10">
        <f ca="1">'COM Assumptions'!W82*Y5/'COM Veda input'!BE5</f>
        <v>379.30971379063431</v>
      </c>
      <c r="DT5" s="10">
        <f ca="1">'COM Assumptions'!X82*Z5/'COM Veda input'!BF5</f>
        <v>97.57230156728312</v>
      </c>
      <c r="DU5" s="10">
        <f ca="1">'COM Assumptions'!Y82*AA5/'COM Veda input'!BG5</f>
        <v>3.1910295066474239</v>
      </c>
      <c r="DV5" s="10">
        <f ca="1">'COM Assumptions'!Z82*AB5/'COM Veda input'!BH5</f>
        <v>25.638090695568007</v>
      </c>
      <c r="DW5" s="10">
        <f ca="1">'COM Assumptions'!AA82*AC5/'COM Veda input'!BI5</f>
        <v>235.04409093064604</v>
      </c>
      <c r="DX5" s="10">
        <f ca="1">'COM Assumptions'!AB82*AD5/'COM Veda input'!BJ5</f>
        <v>80.418213829104886</v>
      </c>
      <c r="DY5" s="10">
        <f ca="1">'COM Assumptions'!AC82*AE5/'COM Veda input'!BK5</f>
        <v>44.612505928238292</v>
      </c>
      <c r="DZ5" s="10">
        <f ca="1">'COM Assumptions'!AD82*AF5/'COM Veda input'!BL5</f>
        <v>185.73891634964721</v>
      </c>
      <c r="EA5" s="10">
        <f ca="1">'COM Assumptions'!AE82*AG5/'COM Veda input'!BM5</f>
        <v>84.468540783117206</v>
      </c>
      <c r="EB5" s="10">
        <f ca="1">'COM Assumptions'!AF82*AH5/'COM Veda input'!BN5</f>
        <v>263.00361416171279</v>
      </c>
      <c r="EC5" s="10">
        <f ca="1">'COM Assumptions'!AG82*AI5/'COM Veda input'!BO5</f>
        <v>10096.429048077303</v>
      </c>
      <c r="ED5" s="10">
        <f ca="1">'COM Assumptions'!AH82*AJ5/'COM Veda input'!BP5</f>
        <v>0</v>
      </c>
      <c r="EE5" s="8">
        <v>15</v>
      </c>
      <c r="EI5" s="8" t="str">
        <f t="shared" ref="EI5:EI50" si="23">$D5</f>
        <v>CSCECE000</v>
      </c>
      <c r="EK5" t="s">
        <v>282</v>
      </c>
      <c r="EL5" t="s">
        <v>283</v>
      </c>
    </row>
    <row r="6" spans="1:145" x14ac:dyDescent="0.45">
      <c r="A6" s="37" t="str">
        <f>'COM Assumptions'!B83</f>
        <v>CL</v>
      </c>
      <c r="B6" s="37" t="s">
        <v>202</v>
      </c>
      <c r="D6" t="s">
        <v>316</v>
      </c>
      <c r="E6" s="8" t="str">
        <f>'COM Assumptions'!A83</f>
        <v>COMELC</v>
      </c>
      <c r="F6" t="str">
        <f>VLOOKUP('COM Assumptions'!B83,'COM Assumptions'!$AP$81:$AQ$88,2,FALSE)</f>
        <v>CSC</v>
      </c>
      <c r="G6" s="11">
        <f ca="1">OFFSET('COM Techs T15'!$F6,0,MATCH(VLOOKUP('COM Veda input'!G$3,'RES Assumptions T15'!$V$3:$W$35,2,FALSE),'COM Techs T15'!$G$3:$U$3,0))</f>
        <v>3.1</v>
      </c>
      <c r="H6" s="11">
        <f ca="1">OFFSET('COM Techs T15'!$F6,0,MATCH(VLOOKUP('COM Veda input'!H$3,'RES Assumptions T15'!$V$3:$W$35,2,FALSE),'COM Techs T15'!$G$3:$U$3,0))</f>
        <v>3.1</v>
      </c>
      <c r="I6" s="11">
        <f ca="1">OFFSET('COM Techs T15'!$F6,0,MATCH(VLOOKUP('COM Veda input'!I$3,'RES Assumptions T15'!$V$3:$W$35,2,FALSE),'COM Techs T15'!$G$3:$U$3,0))</f>
        <v>3.1</v>
      </c>
      <c r="J6" s="11">
        <f ca="1">OFFSET('COM Techs T15'!$F6,0,MATCH(VLOOKUP('COM Veda input'!J$3,'RES Assumptions T15'!$V$3:$W$35,2,FALSE),'COM Techs T15'!$G$3:$U$3,0))</f>
        <v>3.1</v>
      </c>
      <c r="K6" s="11">
        <f ca="1">OFFSET('COM Techs T15'!$F6,0,MATCH(VLOOKUP('COM Veda input'!K$3,'RES Assumptions T15'!$V$3:$W$35,2,FALSE),'COM Techs T15'!$G$3:$U$3,0))</f>
        <v>3.1</v>
      </c>
      <c r="L6" s="11">
        <f ca="1">OFFSET('COM Techs T15'!$F6,0,MATCH(VLOOKUP('COM Veda input'!L$3,'RES Assumptions T15'!$V$3:$W$35,2,FALSE),'COM Techs T15'!$G$3:$U$3,0))</f>
        <v>3.1</v>
      </c>
      <c r="M6" s="11">
        <f ca="1">OFFSET('COM Techs T15'!$F6,0,MATCH(VLOOKUP('COM Veda input'!M$3,'RES Assumptions T15'!$V$3:$W$35,2,FALSE),'COM Techs T15'!$G$3:$U$3,0))</f>
        <v>3.1</v>
      </c>
      <c r="N6" s="11">
        <f ca="1">OFFSET('COM Techs T15'!$F6,0,MATCH(VLOOKUP('COM Veda input'!N$3,'RES Assumptions T15'!$V$3:$W$35,2,FALSE),'COM Techs T15'!$G$3:$U$3,0))</f>
        <v>3.1</v>
      </c>
      <c r="O6" s="11">
        <f ca="1">OFFSET('COM Techs T15'!$F6,0,MATCH(VLOOKUP('COM Veda input'!O$3,'RES Assumptions T15'!$V$3:$W$35,2,FALSE),'COM Techs T15'!$G$3:$U$3,0))</f>
        <v>3.1</v>
      </c>
      <c r="P6" s="11">
        <f ca="1">OFFSET('COM Techs T15'!$F6,0,MATCH(VLOOKUP('COM Veda input'!P$3,'RES Assumptions T15'!$V$3:$W$35,2,FALSE),'COM Techs T15'!$G$3:$U$3,0))</f>
        <v>3.1</v>
      </c>
      <c r="Q6" s="11">
        <f ca="1">OFFSET('COM Techs T15'!$F6,0,MATCH(VLOOKUP('COM Veda input'!Q$3,'RES Assumptions T15'!$V$3:$W$35,2,FALSE),'COM Techs T15'!$G$3:$U$3,0))</f>
        <v>3.1</v>
      </c>
      <c r="R6" s="11">
        <f ca="1">OFFSET('COM Techs T15'!$F6,0,MATCH(VLOOKUP('COM Veda input'!R$3,'RES Assumptions T15'!$V$3:$W$35,2,FALSE),'COM Techs T15'!$G$3:$U$3,0))</f>
        <v>3.1</v>
      </c>
      <c r="S6" s="11">
        <f ca="1">OFFSET('COM Techs T15'!$F6,0,MATCH(VLOOKUP('COM Veda input'!S$3,'RES Assumptions T15'!$V$3:$W$35,2,FALSE),'COM Techs T15'!$G$3:$U$3,0))</f>
        <v>3.1</v>
      </c>
      <c r="T6" s="11">
        <f ca="1">OFFSET('COM Techs T15'!$F6,0,MATCH(VLOOKUP('COM Veda input'!T$3,'RES Assumptions T15'!$V$3:$W$35,2,FALSE),'COM Techs T15'!$G$3:$U$3,0))</f>
        <v>3.1</v>
      </c>
      <c r="U6" s="11">
        <f ca="1">OFFSET('COM Techs T15'!$F6,0,MATCH(VLOOKUP('COM Veda input'!U$3,'RES Assumptions T15'!$V$3:$W$35,2,FALSE),'COM Techs T15'!$G$3:$U$3,0))</f>
        <v>3.1</v>
      </c>
      <c r="V6" s="11">
        <f ca="1">OFFSET('COM Techs T15'!$F6,0,MATCH(VLOOKUP('COM Veda input'!V$3,'RES Assumptions T15'!$V$3:$W$35,2,FALSE),'COM Techs T15'!$G$3:$U$3,0))</f>
        <v>3.1</v>
      </c>
      <c r="W6" s="11">
        <f ca="1">OFFSET('COM Techs T15'!$F6,0,MATCH(VLOOKUP('COM Veda input'!W$3,'RES Assumptions T15'!$V$3:$W$35,2,FALSE),'COM Techs T15'!$G$3:$U$3,0))</f>
        <v>3.1</v>
      </c>
      <c r="X6" s="11">
        <f ca="1">OFFSET('COM Techs T15'!$F6,0,MATCH(VLOOKUP('COM Veda input'!X$3,'RES Assumptions T15'!$V$3:$W$35,2,FALSE),'COM Techs T15'!$G$3:$U$3,0))</f>
        <v>3.1</v>
      </c>
      <c r="Y6" s="11">
        <f ca="1">OFFSET('COM Techs T15'!$F6,0,MATCH(VLOOKUP('COM Veda input'!Y$3,'RES Assumptions T15'!$V$3:$W$35,2,FALSE),'COM Techs T15'!$G$3:$U$3,0))</f>
        <v>3.1</v>
      </c>
      <c r="Z6" s="11">
        <f ca="1">OFFSET('COM Techs T15'!$F6,0,MATCH(VLOOKUP('COM Veda input'!Z$3,'RES Assumptions T15'!$V$3:$W$35,2,FALSE),'COM Techs T15'!$G$3:$U$3,0))</f>
        <v>3.1</v>
      </c>
      <c r="AA6" s="11">
        <f ca="1">OFFSET('COM Techs T15'!$F6,0,MATCH(VLOOKUP('COM Veda input'!AA$3,'RES Assumptions T15'!$V$3:$W$35,2,FALSE),'COM Techs T15'!$G$3:$U$3,0))</f>
        <v>3.1</v>
      </c>
      <c r="AB6" s="11">
        <f ca="1">OFFSET('COM Techs T15'!$F6,0,MATCH(VLOOKUP('COM Veda input'!AB$3,'RES Assumptions T15'!$V$3:$W$35,2,FALSE),'COM Techs T15'!$G$3:$U$3,0))</f>
        <v>3.1</v>
      </c>
      <c r="AC6" s="11">
        <f ca="1">OFFSET('COM Techs T15'!$F6,0,MATCH(VLOOKUP('COM Veda input'!AC$3,'RES Assumptions T15'!$V$3:$W$35,2,FALSE),'COM Techs T15'!$G$3:$U$3,0))</f>
        <v>3.1</v>
      </c>
      <c r="AD6" s="11">
        <f ca="1">OFFSET('COM Techs T15'!$F6,0,MATCH(VLOOKUP('COM Veda input'!AD$3,'RES Assumptions T15'!$V$3:$W$35,2,FALSE),'COM Techs T15'!$G$3:$U$3,0))</f>
        <v>3.1</v>
      </c>
      <c r="AE6" s="11">
        <f ca="1">OFFSET('COM Techs T15'!$F6,0,MATCH(VLOOKUP('COM Veda input'!AE$3,'RES Assumptions T15'!$V$3:$W$35,2,FALSE),'COM Techs T15'!$G$3:$U$3,0))</f>
        <v>3.1</v>
      </c>
      <c r="AF6" s="11">
        <f ca="1">OFFSET('COM Techs T15'!$F6,0,MATCH(VLOOKUP('COM Veda input'!AF$3,'RES Assumptions T15'!$V$3:$W$35,2,FALSE),'COM Techs T15'!$G$3:$U$3,0))</f>
        <v>3.1</v>
      </c>
      <c r="AG6" s="11">
        <f ca="1">OFFSET('COM Techs T15'!$F6,0,MATCH(VLOOKUP('COM Veda input'!AG$3,'RES Assumptions T15'!$V$3:$W$35,2,FALSE),'COM Techs T15'!$G$3:$U$3,0))</f>
        <v>3.1</v>
      </c>
      <c r="AH6" s="11">
        <f ca="1">OFFSET('COM Techs T15'!$F6,0,MATCH(VLOOKUP('COM Veda input'!AH$3,'RES Assumptions T15'!$V$3:$W$35,2,FALSE),'COM Techs T15'!$G$3:$U$3,0))</f>
        <v>3.1</v>
      </c>
      <c r="AI6" s="11">
        <f ca="1">OFFSET('COM Techs T15'!$F6,0,MATCH(VLOOKUP('COM Veda input'!AI$3,'RES Assumptions T15'!$V$3:$W$35,2,FALSE),'COM Techs T15'!$G$3:$U$3,0))</f>
        <v>3.1</v>
      </c>
      <c r="AJ6" s="11">
        <f ca="1">OFFSET('COM Techs T15'!$F6,0,MATCH(VLOOKUP('COM Veda input'!AJ$3,'RES Assumptions T15'!$V$3:$W$35,2,FALSE),'COM Techs T15'!$G$3:$U$3,0))</f>
        <v>3.1</v>
      </c>
      <c r="AL6" s="8" t="str">
        <f t="shared" si="19"/>
        <v>CSCEHP000</v>
      </c>
      <c r="AM6" s="11">
        <f ca="1">OFFSET('COM Techs T15'!$W6,0,MATCH(VLOOKUP('COM Veda input'!AM$3,'RES Assumptions T15'!$V$3:$W$35,2,FALSE),'COM Techs T15'!$G$3:$U$3,0))</f>
        <v>0.25</v>
      </c>
      <c r="AN6" s="11">
        <f ca="1">OFFSET('COM Techs T15'!$W6,0,MATCH(VLOOKUP('COM Veda input'!AN$3,'RES Assumptions T15'!$V$3:$W$35,2,FALSE),'COM Techs T15'!$G$3:$U$3,0))</f>
        <v>0.25</v>
      </c>
      <c r="AO6" s="11">
        <f ca="1">OFFSET('COM Techs T15'!$W6,0,MATCH(VLOOKUP('COM Veda input'!AO$3,'RES Assumptions T15'!$V$3:$W$35,2,FALSE),'COM Techs T15'!$G$3:$U$3,0))</f>
        <v>0.25</v>
      </c>
      <c r="AP6" s="11">
        <f ca="1">OFFSET('COM Techs T15'!$W6,0,MATCH(VLOOKUP('COM Veda input'!AP$3,'RES Assumptions T15'!$V$3:$W$35,2,FALSE),'COM Techs T15'!$G$3:$U$3,0))</f>
        <v>0.13</v>
      </c>
      <c r="AQ6" s="11">
        <f ca="1">OFFSET('COM Techs T15'!$W6,0,MATCH(VLOOKUP('COM Veda input'!AQ$3,'RES Assumptions T15'!$V$3:$W$35,2,FALSE),'COM Techs T15'!$G$3:$U$3,0))</f>
        <v>0.13</v>
      </c>
      <c r="AR6" s="11">
        <f ca="1">OFFSET('COM Techs T15'!$W6,0,MATCH(VLOOKUP('COM Veda input'!AR$3,'RES Assumptions T15'!$V$3:$W$35,2,FALSE),'COM Techs T15'!$G$3:$U$3,0))</f>
        <v>2</v>
      </c>
      <c r="AS6" s="11">
        <f ca="1">OFFSET('COM Techs T15'!$W6,0,MATCH(VLOOKUP('COM Veda input'!AS$3,'RES Assumptions T15'!$V$3:$W$35,2,FALSE),'COM Techs T15'!$G$3:$U$3,0))</f>
        <v>0.14000000000000001</v>
      </c>
      <c r="AT6" s="11">
        <f ca="1">OFFSET('COM Techs T15'!$W6,0,MATCH(VLOOKUP('COM Veda input'!AT$3,'RES Assumptions T15'!$V$3:$W$35,2,FALSE),'COM Techs T15'!$G$3:$U$3,0))</f>
        <v>0.25</v>
      </c>
      <c r="AU6" s="11">
        <f ca="1">OFFSET('COM Techs T15'!$W6,0,MATCH(VLOOKUP('COM Veda input'!AU$3,'RES Assumptions T15'!$V$3:$W$35,2,FALSE),'COM Techs T15'!$G$3:$U$3,0))</f>
        <v>0.14000000000000001</v>
      </c>
      <c r="AV6" s="11">
        <f ca="1">OFFSET('COM Techs T15'!$W6,0,MATCH(VLOOKUP('COM Veda input'!AV$3,'RES Assumptions T15'!$V$3:$W$35,2,FALSE),'COM Techs T15'!$G$3:$U$3,0))</f>
        <v>0.13</v>
      </c>
      <c r="AW6" s="11">
        <f ca="1">OFFSET('COM Techs T15'!$W6,0,MATCH(VLOOKUP('COM Veda input'!AW$3,'RES Assumptions T15'!$V$3:$W$35,2,FALSE),'COM Techs T15'!$G$3:$U$3,0))</f>
        <v>0.13</v>
      </c>
      <c r="AX6" s="11">
        <f ca="1">OFFSET('COM Techs T15'!$W6,0,MATCH(VLOOKUP('COM Veda input'!AX$3,'RES Assumptions T15'!$V$3:$W$35,2,FALSE),'COM Techs T15'!$G$3:$U$3,0))</f>
        <v>0.13</v>
      </c>
      <c r="AY6" s="11">
        <f ca="1">OFFSET('COM Techs T15'!$W6,0,MATCH(VLOOKUP('COM Veda input'!AY$3,'RES Assumptions T15'!$V$3:$W$35,2,FALSE),'COM Techs T15'!$G$3:$U$3,0))</f>
        <v>0.13</v>
      </c>
      <c r="AZ6" s="11">
        <f ca="1">OFFSET('COM Techs T15'!$W6,0,MATCH(VLOOKUP('COM Veda input'!AZ$3,'RES Assumptions T15'!$V$3:$W$35,2,FALSE),'COM Techs T15'!$G$3:$U$3,0))</f>
        <v>0.13</v>
      </c>
      <c r="BA6" s="11">
        <f ca="1">OFFSET('COM Techs T15'!$W6,0,MATCH(VLOOKUP('COM Veda input'!BA$3,'RES Assumptions T15'!$V$3:$W$35,2,FALSE),'COM Techs T15'!$G$3:$U$3,0))</f>
        <v>0.13</v>
      </c>
      <c r="BB6" s="11">
        <f ca="1">OFFSET('COM Techs T15'!$W6,0,MATCH(VLOOKUP('COM Veda input'!BB$3,'RES Assumptions T15'!$V$3:$W$35,2,FALSE),'COM Techs T15'!$G$3:$U$3,0))</f>
        <v>0.13</v>
      </c>
      <c r="BC6" s="11">
        <f ca="1">OFFSET('COM Techs T15'!$W6,0,MATCH(VLOOKUP('COM Veda input'!BC$3,'RES Assumptions T15'!$V$3:$W$35,2,FALSE),'COM Techs T15'!$G$3:$U$3,0))</f>
        <v>0.25</v>
      </c>
      <c r="BD6" s="11">
        <f ca="1">OFFSET('COM Techs T15'!$W6,0,MATCH(VLOOKUP('COM Veda input'!BD$3,'RES Assumptions T15'!$V$3:$W$35,2,FALSE),'COM Techs T15'!$G$3:$U$3,0))</f>
        <v>0.13</v>
      </c>
      <c r="BE6" s="11">
        <f ca="1">OFFSET('COM Techs T15'!$W6,0,MATCH(VLOOKUP('COM Veda input'!BE$3,'RES Assumptions T15'!$V$3:$W$35,2,FALSE),'COM Techs T15'!$G$3:$U$3,0))</f>
        <v>0.13</v>
      </c>
      <c r="BF6" s="11">
        <f ca="1">OFFSET('COM Techs T15'!$W6,0,MATCH(VLOOKUP('COM Veda input'!BF$3,'RES Assumptions T15'!$V$3:$W$35,2,FALSE),'COM Techs T15'!$G$3:$U$3,0))</f>
        <v>0.13</v>
      </c>
      <c r="BG6" s="11">
        <f ca="1">OFFSET('COM Techs T15'!$W6,0,MATCH(VLOOKUP('COM Veda input'!BG$3,'RES Assumptions T15'!$V$3:$W$35,2,FALSE),'COM Techs T15'!$G$3:$U$3,0))</f>
        <v>0.25</v>
      </c>
      <c r="BH6" s="11">
        <f ca="1">OFFSET('COM Techs T15'!$W6,0,MATCH(VLOOKUP('COM Veda input'!BH$3,'RES Assumptions T15'!$V$3:$W$35,2,FALSE),'COM Techs T15'!$G$3:$U$3,0))</f>
        <v>0.25</v>
      </c>
      <c r="BI6" s="11">
        <f ca="1">OFFSET('COM Techs T15'!$W6,0,MATCH(VLOOKUP('COM Veda input'!BI$3,'RES Assumptions T15'!$V$3:$W$35,2,FALSE),'COM Techs T15'!$G$3:$U$3,0))</f>
        <v>0.25</v>
      </c>
      <c r="BJ6" s="11">
        <f ca="1">OFFSET('COM Techs T15'!$W6,0,MATCH(VLOOKUP('COM Veda input'!BJ$3,'RES Assumptions T15'!$V$3:$W$35,2,FALSE),'COM Techs T15'!$G$3:$U$3,0))</f>
        <v>0.13</v>
      </c>
      <c r="BK6" s="11">
        <f ca="1">OFFSET('COM Techs T15'!$W6,0,MATCH(VLOOKUP('COM Veda input'!BK$3,'RES Assumptions T15'!$V$3:$W$35,2,FALSE),'COM Techs T15'!$G$3:$U$3,0))</f>
        <v>0.13</v>
      </c>
      <c r="BL6" s="11">
        <f ca="1">OFFSET('COM Techs T15'!$W6,0,MATCH(VLOOKUP('COM Veda input'!BL$3,'RES Assumptions T15'!$V$3:$W$35,2,FALSE),'COM Techs T15'!$G$3:$U$3,0))</f>
        <v>0.25</v>
      </c>
      <c r="BM6" s="11">
        <f ca="1">OFFSET('COM Techs T15'!$W6,0,MATCH(VLOOKUP('COM Veda input'!BM$3,'RES Assumptions T15'!$V$3:$W$35,2,FALSE),'COM Techs T15'!$G$3:$U$3,0))</f>
        <v>0.25</v>
      </c>
      <c r="BN6" s="11">
        <f ca="1">OFFSET('COM Techs T15'!$W6,0,MATCH(VLOOKUP('COM Veda input'!BN$3,'RES Assumptions T15'!$V$3:$W$35,2,FALSE),'COM Techs T15'!$G$3:$U$3,0))</f>
        <v>0.13</v>
      </c>
      <c r="BO6" s="11">
        <f ca="1">OFFSET('COM Techs T15'!$W6,0,MATCH(VLOOKUP('COM Veda input'!BO$3,'RES Assumptions T15'!$V$3:$W$35,2,FALSE),'COM Techs T15'!$G$3:$U$3,0))</f>
        <v>0.13</v>
      </c>
      <c r="BP6" s="11">
        <f ca="1">OFFSET('COM Techs T15'!$W6,0,MATCH(VLOOKUP('COM Veda input'!BP$3,'RES Assumptions T15'!$V$3:$W$35,2,FALSE),'COM Techs T15'!$G$3:$U$3,0))</f>
        <v>0.13</v>
      </c>
      <c r="BQ6">
        <v>3</v>
      </c>
      <c r="BS6" s="8" t="str">
        <f t="shared" si="20"/>
        <v>CSCEHP000</v>
      </c>
      <c r="BT6" s="11">
        <f t="shared" ca="1" si="21"/>
        <v>3.6</v>
      </c>
      <c r="BU6" s="11" t="str">
        <f ca="1">OFFSET('COM Techs T15'!$AO6,0,MATCH(VLOOKUP('COM Veda input'!BU$3,'RES Assumptions T15'!$V$3:$W$35,2,FALSE),'COM Techs T15'!$G$3:$U$3,0))</f>
        <v/>
      </c>
      <c r="BV6" s="11" t="str">
        <f ca="1">OFFSET('COM Techs T15'!$AO6,0,MATCH(VLOOKUP('COM Veda input'!BV$3,'RES Assumptions T15'!$V$3:$W$35,2,FALSE),'COM Techs T15'!$G$3:$U$3,0))</f>
        <v/>
      </c>
      <c r="BW6" s="11" t="str">
        <f ca="1">OFFSET('COM Techs T15'!$AO6,0,MATCH(VLOOKUP('COM Veda input'!BW$3,'RES Assumptions T15'!$V$3:$W$35,2,FALSE),'COM Techs T15'!$G$3:$U$3,0))</f>
        <v/>
      </c>
      <c r="BX6" s="11">
        <f ca="1">OFFSET('COM Techs T15'!$AO6,0,MATCH(VLOOKUP('COM Veda input'!BX$3,'RES Assumptions T15'!$V$3:$W$35,2,FALSE),'COM Techs T15'!$G$3:$U$3,0))</f>
        <v>3.6</v>
      </c>
      <c r="BY6" s="11">
        <f ca="1">OFFSET('COM Techs T15'!$AO6,0,MATCH(VLOOKUP('COM Veda input'!BY$3,'RES Assumptions T15'!$V$3:$W$35,2,FALSE),'COM Techs T15'!$G$3:$U$3,0))</f>
        <v>4.2</v>
      </c>
      <c r="BZ6" s="11">
        <f ca="1">OFFSET('COM Techs T15'!$AO6,0,MATCH(VLOOKUP('COM Veda input'!BZ$3,'RES Assumptions T15'!$V$3:$W$35,2,FALSE),'COM Techs T15'!$G$3:$U$3,0))</f>
        <v>4.8</v>
      </c>
      <c r="CA6" s="11" t="str">
        <f ca="1">OFFSET('COM Techs T15'!$AO6,0,MATCH(VLOOKUP('COM Veda input'!CA$3,'RES Assumptions T15'!$V$3:$W$35,2,FALSE),'COM Techs T15'!$G$3:$U$3,0))</f>
        <v/>
      </c>
      <c r="CB6" s="11" t="str">
        <f ca="1">OFFSET('COM Techs T15'!$AO6,0,MATCH(VLOOKUP('COM Veda input'!CB$3,'RES Assumptions T15'!$V$3:$W$35,2,FALSE),'COM Techs T15'!$G$3:$U$3,0))</f>
        <v/>
      </c>
      <c r="CC6" s="11">
        <f ca="1">OFFSET('COM Techs T15'!$AO6,0,MATCH(VLOOKUP('COM Veda input'!CC$3,'RES Assumptions T15'!$V$3:$W$35,2,FALSE),'COM Techs T15'!$G$3:$U$3,0))</f>
        <v>3.6</v>
      </c>
      <c r="CD6" s="11">
        <f ca="1">OFFSET('COM Techs T15'!$AO6,0,MATCH(VLOOKUP('COM Veda input'!CD$3,'RES Assumptions T15'!$V$3:$W$35,2,FALSE),'COM Techs T15'!$G$3:$U$3,0))</f>
        <v>4.2</v>
      </c>
      <c r="CE6" s="11" t="str">
        <f ca="1">OFFSET('COM Techs T15'!$AO6,0,MATCH(VLOOKUP('COM Veda input'!CE$3,'RES Assumptions T15'!$V$3:$W$35,2,FALSE),'COM Techs T15'!$G$3:$U$3,0))</f>
        <v/>
      </c>
      <c r="CF6" s="11" t="str">
        <f ca="1">OFFSET('COM Techs T15'!$AO6,0,MATCH(VLOOKUP('COM Veda input'!CF$3,'RES Assumptions T15'!$V$3:$W$35,2,FALSE),'COM Techs T15'!$G$3:$U$3,0))</f>
        <v/>
      </c>
      <c r="CG6" s="11" t="str">
        <f ca="1">OFFSET('COM Techs T15'!$AO6,0,MATCH(VLOOKUP('COM Veda input'!CG$3,'RES Assumptions T15'!$V$3:$W$35,2,FALSE),'COM Techs T15'!$G$3:$U$3,0))</f>
        <v/>
      </c>
      <c r="CH6" s="11" t="str">
        <f ca="1">OFFSET('COM Techs T15'!$AO6,0,MATCH(VLOOKUP('COM Veda input'!CH$3,'RES Assumptions T15'!$V$3:$W$35,2,FALSE),'COM Techs T15'!$G$3:$U$3,0))</f>
        <v/>
      </c>
      <c r="CI6" s="11" t="str">
        <f ca="1">OFFSET('COM Techs T15'!$AO6,0,MATCH(VLOOKUP('COM Veda input'!CI$3,'RES Assumptions T15'!$V$3:$W$35,2,FALSE),'COM Techs T15'!$G$3:$U$3,0))</f>
        <v/>
      </c>
      <c r="CJ6" s="11" t="str">
        <f ca="1">OFFSET('COM Techs T15'!$AO6,0,MATCH(VLOOKUP('COM Veda input'!CJ$3,'RES Assumptions T15'!$V$3:$W$35,2,FALSE),'COM Techs T15'!$G$3:$U$3,0))</f>
        <v/>
      </c>
      <c r="CK6" s="11">
        <f ca="1">OFFSET('COM Techs T15'!$AO6,0,MATCH(VLOOKUP('COM Veda input'!CK$3,'RES Assumptions T15'!$V$3:$W$35,2,FALSE),'COM Techs T15'!$G$3:$U$3,0))</f>
        <v>4.8</v>
      </c>
      <c r="CL6" s="11" t="str">
        <f ca="1">OFFSET('COM Techs T15'!$AO6,0,MATCH(VLOOKUP('COM Veda input'!CL$3,'RES Assumptions T15'!$V$3:$W$35,2,FALSE),'COM Techs T15'!$G$3:$U$3,0))</f>
        <v/>
      </c>
      <c r="CM6" s="11" t="str">
        <f ca="1">OFFSET('COM Techs T15'!$AO6,0,MATCH(VLOOKUP('COM Veda input'!CM$3,'RES Assumptions T15'!$V$3:$W$35,2,FALSE),'COM Techs T15'!$G$3:$U$3,0))</f>
        <v/>
      </c>
      <c r="CN6" s="11">
        <f ca="1">OFFSET('COM Techs T15'!$AO6,0,MATCH(VLOOKUP('COM Veda input'!CN$3,'RES Assumptions T15'!$V$3:$W$35,2,FALSE),'COM Techs T15'!$G$3:$U$3,0))</f>
        <v>6</v>
      </c>
      <c r="CO6" s="11" t="str">
        <f ca="1">OFFSET('COM Techs T15'!$AO6,0,MATCH(VLOOKUP('COM Veda input'!CO$3,'RES Assumptions T15'!$V$3:$W$35,2,FALSE),'COM Techs T15'!$G$3:$U$3,0))</f>
        <v/>
      </c>
      <c r="CP6" s="11">
        <f ca="1">OFFSET('COM Techs T15'!$AO6,0,MATCH(VLOOKUP('COM Veda input'!CP$3,'RES Assumptions T15'!$V$3:$W$35,2,FALSE),'COM Techs T15'!$G$3:$U$3,0))</f>
        <v>3.6</v>
      </c>
      <c r="CQ6" s="11">
        <f ca="1">OFFSET('COM Techs T15'!$AO6,0,MATCH(VLOOKUP('COM Veda input'!CQ$3,'RES Assumptions T15'!$V$3:$W$35,2,FALSE),'COM Techs T15'!$G$3:$U$3,0))</f>
        <v>4.8</v>
      </c>
      <c r="CR6" s="11" t="str">
        <f ca="1">OFFSET('COM Techs T15'!$AO6,0,MATCH(VLOOKUP('COM Veda input'!CR$3,'RES Assumptions T15'!$V$3:$W$35,2,FALSE),'COM Techs T15'!$G$3:$U$3,0))</f>
        <v/>
      </c>
      <c r="CS6" s="11">
        <f ca="1">OFFSET('COM Techs T15'!$AO6,0,MATCH(VLOOKUP('COM Veda input'!CS$3,'RES Assumptions T15'!$V$3:$W$35,2,FALSE),'COM Techs T15'!$G$3:$U$3,0))</f>
        <v>3.6</v>
      </c>
      <c r="CT6" s="11">
        <f ca="1">OFFSET('COM Techs T15'!$AO6,0,MATCH(VLOOKUP('COM Veda input'!CT$3,'RES Assumptions T15'!$V$3:$W$35,2,FALSE),'COM Techs T15'!$G$3:$U$3,0))</f>
        <v>4.8</v>
      </c>
      <c r="CU6" s="11" t="str">
        <f ca="1">OFFSET('COM Techs T15'!$AO6,0,MATCH(VLOOKUP('COM Veda input'!CU$3,'RES Assumptions T15'!$V$3:$W$35,2,FALSE),'COM Techs T15'!$G$3:$U$3,0))</f>
        <v/>
      </c>
      <c r="CV6" s="11" t="str">
        <f ca="1">OFFSET('COM Techs T15'!$AO6,0,MATCH(VLOOKUP('COM Veda input'!CV$3,'RES Assumptions T15'!$V$3:$W$35,2,FALSE),'COM Techs T15'!$G$3:$U$3,0))</f>
        <v/>
      </c>
      <c r="CW6" s="11" t="str">
        <f ca="1">OFFSET('COM Techs T15'!$AO6,0,MATCH(VLOOKUP('COM Veda input'!CW$3,'RES Assumptions T15'!$V$3:$W$35,2,FALSE),'COM Techs T15'!$G$3:$U$3,0))</f>
        <v/>
      </c>
      <c r="CX6" s="11" t="str">
        <f ca="1">OFFSET('COM Techs T15'!$AO6,0,MATCH(VLOOKUP('COM Veda input'!CX$3,'RES Assumptions T15'!$V$3:$W$35,2,FALSE),'COM Techs T15'!$G$3:$U$3,0))</f>
        <v/>
      </c>
      <c r="CZ6" s="8" t="str">
        <f t="shared" si="22"/>
        <v>CSCEHP000</v>
      </c>
      <c r="DA6" s="10">
        <f ca="1">'COM Assumptions'!E83*G6/'COM Veda input'!AM6</f>
        <v>1.1698568940323151</v>
      </c>
      <c r="DB6" s="10">
        <f ca="1">'COM Assumptions'!F83*H6/'COM Veda input'!AN6</f>
        <v>0.72119313278471153</v>
      </c>
      <c r="DC6" s="10">
        <f ca="1">'COM Assumptions'!G83*I6/'COM Veda input'!AO6</f>
        <v>1.5504138209145601</v>
      </c>
      <c r="DD6" s="10">
        <f ca="1">'COM Assumptions'!H83*J6/'COM Veda input'!AP6</f>
        <v>7.6518598411764241E-2</v>
      </c>
      <c r="DE6" s="10">
        <f ca="1">'COM Assumptions'!I83*K6/'COM Veda input'!AQ6</f>
        <v>3866.6720041714611</v>
      </c>
      <c r="DF6" s="10">
        <f ca="1">'COM Assumptions'!J83*L6/'COM Veda input'!AR6</f>
        <v>23.497098402543486</v>
      </c>
      <c r="DG6" s="10">
        <f ca="1">'COM Assumptions'!K83*M6/'COM Veda input'!AS6</f>
        <v>1.2700293967163425</v>
      </c>
      <c r="DH6" s="10">
        <f ca="1">'COM Assumptions'!L83*N6/'COM Veda input'!AT6</f>
        <v>5.0368989385497605</v>
      </c>
      <c r="DI6" s="10">
        <f ca="1">'COM Assumptions'!M83*O6/'COM Veda input'!AU6</f>
        <v>6.3710970837325247</v>
      </c>
      <c r="DJ6" s="10">
        <f ca="1">'COM Assumptions'!N83*P6/'COM Veda input'!AV6</f>
        <v>4.2485217032194731</v>
      </c>
      <c r="DK6" s="10">
        <f ca="1">'COM Assumptions'!O83*Q6/'COM Veda input'!AW6</f>
        <v>1.5606829330285075</v>
      </c>
      <c r="DL6" s="10">
        <f ca="1">'COM Assumptions'!P83*R6/'COM Veda input'!AX6</f>
        <v>0.26454038977675243</v>
      </c>
      <c r="DM6" s="10">
        <f ca="1">'COM Assumptions'!Q83*S6/'COM Veda input'!AY6</f>
        <v>2.0643315908557605</v>
      </c>
      <c r="DN6" s="10">
        <f ca="1">'COM Assumptions'!R83*T6/'COM Veda input'!AZ6</f>
        <v>3.1139399934750425</v>
      </c>
      <c r="DO6" s="10">
        <f ca="1">'COM Assumptions'!S83*U6/'COM Veda input'!BA6</f>
        <v>0.10034857471887598</v>
      </c>
      <c r="DP6" s="10">
        <f ca="1">'COM Assumptions'!T83*V6/'COM Veda input'!BB6</f>
        <v>2.5689268091813791</v>
      </c>
      <c r="DQ6" s="10">
        <f ca="1">'COM Assumptions'!U83*W6/'COM Veda input'!BC6</f>
        <v>1.9987066253182404</v>
      </c>
      <c r="DR6" s="10">
        <f ca="1">'COM Assumptions'!V83*X6/'COM Veda input'!BD6</f>
        <v>3.8535166164892982</v>
      </c>
      <c r="DS6" s="10">
        <f ca="1">'COM Assumptions'!W83*Y6/'COM Veda input'!BE6</f>
        <v>3.6663521163691457</v>
      </c>
      <c r="DT6" s="10">
        <f ca="1">'COM Assumptions'!X83*Z6/'COM Veda input'!BF6</f>
        <v>24.39307539182078</v>
      </c>
      <c r="DU6" s="10">
        <f ca="1">'COM Assumptions'!Y83*AA6/'COM Veda input'!BG6</f>
        <v>3.1910295066474239</v>
      </c>
      <c r="DV6" s="10">
        <f ca="1">'COM Assumptions'!Z83*AB6/'COM Veda input'!BH6</f>
        <v>6.4095226738920017</v>
      </c>
      <c r="DW6" s="10">
        <f ca="1">'COM Assumptions'!AA83*AC6/'COM Veda input'!BI6</f>
        <v>2.271901743859094</v>
      </c>
      <c r="DX6" s="10">
        <f ca="1">'COM Assumptions'!AB83*AD6/'COM Veda input'!BJ6</f>
        <v>0.77731067185299496</v>
      </c>
      <c r="DY6" s="10">
        <f ca="1">'COM Assumptions'!AC83*AE6/'COM Veda input'!BK6</f>
        <v>0.43121794559896182</v>
      </c>
      <c r="DZ6" s="10">
        <f ca="1">'COM Assumptions'!AD83*AF6/'COM Veda input'!BL6</f>
        <v>1.7953251506406722</v>
      </c>
      <c r="EA6" s="10">
        <f ca="1">'COM Assumptions'!AE83*AG6/'COM Veda input'!BM6</f>
        <v>0.8164605387293985</v>
      </c>
      <c r="EB6" s="10">
        <f ca="1">'COM Assumptions'!AF83*AH6/'COM Veda input'!BN6</f>
        <v>2.5421543987317174</v>
      </c>
      <c r="EC6" s="10">
        <f ca="1">'COM Assumptions'!AG83*AI6/'COM Veda input'!BO6</f>
        <v>215.47106309489985</v>
      </c>
      <c r="ED6" s="10">
        <f ca="1">'COM Assumptions'!AH83*AJ6/'COM Veda input'!BP6</f>
        <v>0</v>
      </c>
      <c r="EE6" s="8">
        <v>15</v>
      </c>
      <c r="EI6" s="8" t="str">
        <f t="shared" si="23"/>
        <v>CSCEHP000</v>
      </c>
      <c r="EK6" t="s">
        <v>282</v>
      </c>
      <c r="EL6" t="s">
        <v>283</v>
      </c>
    </row>
    <row r="7" spans="1:145" x14ac:dyDescent="0.45">
      <c r="A7" s="37" t="str">
        <f>'COM Assumptions'!B84</f>
        <v>CL</v>
      </c>
      <c r="B7" s="37" t="s">
        <v>204</v>
      </c>
      <c r="D7" t="s">
        <v>317</v>
      </c>
      <c r="E7" s="8" t="str">
        <f>'COM Assumptions'!A84</f>
        <v>COMELC</v>
      </c>
      <c r="F7" t="str">
        <f>VLOOKUP('COM Assumptions'!B84,'COM Assumptions'!$AP$81:$AQ$88,2,FALSE)</f>
        <v>CSC</v>
      </c>
      <c r="G7" s="11">
        <f ca="1">OFFSET('COM Techs T15'!$F7,0,MATCH(VLOOKUP('COM Veda input'!G$3,'RES Assumptions T15'!$V$3:$W$35,2,FALSE),'COM Techs T15'!$G$3:$U$3,0))</f>
        <v>3</v>
      </c>
      <c r="H7" s="11">
        <f ca="1">OFFSET('COM Techs T15'!$F7,0,MATCH(VLOOKUP('COM Veda input'!H$3,'RES Assumptions T15'!$V$3:$W$35,2,FALSE),'COM Techs T15'!$G$3:$U$3,0))</f>
        <v>3</v>
      </c>
      <c r="I7" s="11">
        <f ca="1">OFFSET('COM Techs T15'!$F7,0,MATCH(VLOOKUP('COM Veda input'!I$3,'RES Assumptions T15'!$V$3:$W$35,2,FALSE),'COM Techs T15'!$G$3:$U$3,0))</f>
        <v>3</v>
      </c>
      <c r="J7" s="11">
        <f ca="1">OFFSET('COM Techs T15'!$F7,0,MATCH(VLOOKUP('COM Veda input'!J$3,'RES Assumptions T15'!$V$3:$W$35,2,FALSE),'COM Techs T15'!$G$3:$U$3,0))</f>
        <v>3</v>
      </c>
      <c r="K7" s="11">
        <f ca="1">OFFSET('COM Techs T15'!$F7,0,MATCH(VLOOKUP('COM Veda input'!K$3,'RES Assumptions T15'!$V$3:$W$35,2,FALSE),'COM Techs T15'!$G$3:$U$3,0))</f>
        <v>3</v>
      </c>
      <c r="L7" s="11">
        <f ca="1">OFFSET('COM Techs T15'!$F7,0,MATCH(VLOOKUP('COM Veda input'!L$3,'RES Assumptions T15'!$V$3:$W$35,2,FALSE),'COM Techs T15'!$G$3:$U$3,0))</f>
        <v>3</v>
      </c>
      <c r="M7" s="11">
        <f ca="1">OFFSET('COM Techs T15'!$F7,0,MATCH(VLOOKUP('COM Veda input'!M$3,'RES Assumptions T15'!$V$3:$W$35,2,FALSE),'COM Techs T15'!$G$3:$U$3,0))</f>
        <v>3</v>
      </c>
      <c r="N7" s="11">
        <f ca="1">OFFSET('COM Techs T15'!$F7,0,MATCH(VLOOKUP('COM Veda input'!N$3,'RES Assumptions T15'!$V$3:$W$35,2,FALSE),'COM Techs T15'!$G$3:$U$3,0))</f>
        <v>3</v>
      </c>
      <c r="O7" s="11">
        <f ca="1">OFFSET('COM Techs T15'!$F7,0,MATCH(VLOOKUP('COM Veda input'!O$3,'RES Assumptions T15'!$V$3:$W$35,2,FALSE),'COM Techs T15'!$G$3:$U$3,0))</f>
        <v>3</v>
      </c>
      <c r="P7" s="11">
        <f ca="1">OFFSET('COM Techs T15'!$F7,0,MATCH(VLOOKUP('COM Veda input'!P$3,'RES Assumptions T15'!$V$3:$W$35,2,FALSE),'COM Techs T15'!$G$3:$U$3,0))</f>
        <v>3</v>
      </c>
      <c r="Q7" s="11">
        <f ca="1">OFFSET('COM Techs T15'!$F7,0,MATCH(VLOOKUP('COM Veda input'!Q$3,'RES Assumptions T15'!$V$3:$W$35,2,FALSE),'COM Techs T15'!$G$3:$U$3,0))</f>
        <v>3</v>
      </c>
      <c r="R7" s="11">
        <f ca="1">OFFSET('COM Techs T15'!$F7,0,MATCH(VLOOKUP('COM Veda input'!R$3,'RES Assumptions T15'!$V$3:$W$35,2,FALSE),'COM Techs T15'!$G$3:$U$3,0))</f>
        <v>3</v>
      </c>
      <c r="S7" s="11">
        <f ca="1">OFFSET('COM Techs T15'!$F7,0,MATCH(VLOOKUP('COM Veda input'!S$3,'RES Assumptions T15'!$V$3:$W$35,2,FALSE),'COM Techs T15'!$G$3:$U$3,0))</f>
        <v>3</v>
      </c>
      <c r="T7" s="11">
        <f ca="1">OFFSET('COM Techs T15'!$F7,0,MATCH(VLOOKUP('COM Veda input'!T$3,'RES Assumptions T15'!$V$3:$W$35,2,FALSE),'COM Techs T15'!$G$3:$U$3,0))</f>
        <v>3</v>
      </c>
      <c r="U7" s="11">
        <f ca="1">OFFSET('COM Techs T15'!$F7,0,MATCH(VLOOKUP('COM Veda input'!U$3,'RES Assumptions T15'!$V$3:$W$35,2,FALSE),'COM Techs T15'!$G$3:$U$3,0))</f>
        <v>3</v>
      </c>
      <c r="V7" s="11">
        <f ca="1">OFFSET('COM Techs T15'!$F7,0,MATCH(VLOOKUP('COM Veda input'!V$3,'RES Assumptions T15'!$V$3:$W$35,2,FALSE),'COM Techs T15'!$G$3:$U$3,0))</f>
        <v>3</v>
      </c>
      <c r="W7" s="11">
        <f ca="1">OFFSET('COM Techs T15'!$F7,0,MATCH(VLOOKUP('COM Veda input'!W$3,'RES Assumptions T15'!$V$3:$W$35,2,FALSE),'COM Techs T15'!$G$3:$U$3,0))</f>
        <v>3</v>
      </c>
      <c r="X7" s="11">
        <f ca="1">OFFSET('COM Techs T15'!$F7,0,MATCH(VLOOKUP('COM Veda input'!X$3,'RES Assumptions T15'!$V$3:$W$35,2,FALSE),'COM Techs T15'!$G$3:$U$3,0))</f>
        <v>3</v>
      </c>
      <c r="Y7" s="11">
        <f ca="1">OFFSET('COM Techs T15'!$F7,0,MATCH(VLOOKUP('COM Veda input'!Y$3,'RES Assumptions T15'!$V$3:$W$35,2,FALSE),'COM Techs T15'!$G$3:$U$3,0))</f>
        <v>3</v>
      </c>
      <c r="Z7" s="11">
        <f ca="1">OFFSET('COM Techs T15'!$F7,0,MATCH(VLOOKUP('COM Veda input'!Z$3,'RES Assumptions T15'!$V$3:$W$35,2,FALSE),'COM Techs T15'!$G$3:$U$3,0))</f>
        <v>3</v>
      </c>
      <c r="AA7" s="11">
        <f ca="1">OFFSET('COM Techs T15'!$F7,0,MATCH(VLOOKUP('COM Veda input'!AA$3,'RES Assumptions T15'!$V$3:$W$35,2,FALSE),'COM Techs T15'!$G$3:$U$3,0))</f>
        <v>3</v>
      </c>
      <c r="AB7" s="11">
        <f ca="1">OFFSET('COM Techs T15'!$F7,0,MATCH(VLOOKUP('COM Veda input'!AB$3,'RES Assumptions T15'!$V$3:$W$35,2,FALSE),'COM Techs T15'!$G$3:$U$3,0))</f>
        <v>3</v>
      </c>
      <c r="AC7" s="11">
        <f ca="1">OFFSET('COM Techs T15'!$F7,0,MATCH(VLOOKUP('COM Veda input'!AC$3,'RES Assumptions T15'!$V$3:$W$35,2,FALSE),'COM Techs T15'!$G$3:$U$3,0))</f>
        <v>3</v>
      </c>
      <c r="AD7" s="11">
        <f ca="1">OFFSET('COM Techs T15'!$F7,0,MATCH(VLOOKUP('COM Veda input'!AD$3,'RES Assumptions T15'!$V$3:$W$35,2,FALSE),'COM Techs T15'!$G$3:$U$3,0))</f>
        <v>3</v>
      </c>
      <c r="AE7" s="11">
        <f ca="1">OFFSET('COM Techs T15'!$F7,0,MATCH(VLOOKUP('COM Veda input'!AE$3,'RES Assumptions T15'!$V$3:$W$35,2,FALSE),'COM Techs T15'!$G$3:$U$3,0))</f>
        <v>3</v>
      </c>
      <c r="AF7" s="11">
        <f ca="1">OFFSET('COM Techs T15'!$F7,0,MATCH(VLOOKUP('COM Veda input'!AF$3,'RES Assumptions T15'!$V$3:$W$35,2,FALSE),'COM Techs T15'!$G$3:$U$3,0))</f>
        <v>3</v>
      </c>
      <c r="AG7" s="11">
        <f ca="1">OFFSET('COM Techs T15'!$F7,0,MATCH(VLOOKUP('COM Veda input'!AG$3,'RES Assumptions T15'!$V$3:$W$35,2,FALSE),'COM Techs T15'!$G$3:$U$3,0))</f>
        <v>3</v>
      </c>
      <c r="AH7" s="11">
        <f ca="1">OFFSET('COM Techs T15'!$F7,0,MATCH(VLOOKUP('COM Veda input'!AH$3,'RES Assumptions T15'!$V$3:$W$35,2,FALSE),'COM Techs T15'!$G$3:$U$3,0))</f>
        <v>3</v>
      </c>
      <c r="AI7" s="11">
        <f ca="1">OFFSET('COM Techs T15'!$F7,0,MATCH(VLOOKUP('COM Veda input'!AI$3,'RES Assumptions T15'!$V$3:$W$35,2,FALSE),'COM Techs T15'!$G$3:$U$3,0))</f>
        <v>3</v>
      </c>
      <c r="AJ7" s="11">
        <f ca="1">OFFSET('COM Techs T15'!$F7,0,MATCH(VLOOKUP('COM Veda input'!AJ$3,'RES Assumptions T15'!$V$3:$W$35,2,FALSE),'COM Techs T15'!$G$3:$U$3,0))</f>
        <v>3</v>
      </c>
      <c r="AL7" s="8" t="str">
        <f t="shared" si="19"/>
        <v>CSCRAE000</v>
      </c>
      <c r="AM7" s="11">
        <f ca="1">OFFSET('COM Techs T15'!$W7,0,MATCH(VLOOKUP('COM Veda input'!AM$3,'RES Assumptions T15'!$V$3:$W$35,2,FALSE),'COM Techs T15'!$G$3:$U$3,0))</f>
        <v>0.25</v>
      </c>
      <c r="AN7" s="11">
        <f ca="1">OFFSET('COM Techs T15'!$W7,0,MATCH(VLOOKUP('COM Veda input'!AN$3,'RES Assumptions T15'!$V$3:$W$35,2,FALSE),'COM Techs T15'!$G$3:$U$3,0))</f>
        <v>0.25</v>
      </c>
      <c r="AO7" s="11">
        <f ca="1">OFFSET('COM Techs T15'!$W7,0,MATCH(VLOOKUP('COM Veda input'!AO$3,'RES Assumptions T15'!$V$3:$W$35,2,FALSE),'COM Techs T15'!$G$3:$U$3,0))</f>
        <v>0.25</v>
      </c>
      <c r="AP7" s="11">
        <f ca="1">OFFSET('COM Techs T15'!$W7,0,MATCH(VLOOKUP('COM Veda input'!AP$3,'RES Assumptions T15'!$V$3:$W$35,2,FALSE),'COM Techs T15'!$G$3:$U$3,0))</f>
        <v>0.13</v>
      </c>
      <c r="AQ7" s="11">
        <f ca="1">OFFSET('COM Techs T15'!$W7,0,MATCH(VLOOKUP('COM Veda input'!AQ$3,'RES Assumptions T15'!$V$3:$W$35,2,FALSE),'COM Techs T15'!$G$3:$U$3,0))</f>
        <v>0.13</v>
      </c>
      <c r="AR7" s="11">
        <f ca="1">OFFSET('COM Techs T15'!$W7,0,MATCH(VLOOKUP('COM Veda input'!AR$3,'RES Assumptions T15'!$V$3:$W$35,2,FALSE),'COM Techs T15'!$G$3:$U$3,0))</f>
        <v>2</v>
      </c>
      <c r="AS7" s="11">
        <f ca="1">OFFSET('COM Techs T15'!$W7,0,MATCH(VLOOKUP('COM Veda input'!AS$3,'RES Assumptions T15'!$V$3:$W$35,2,FALSE),'COM Techs T15'!$G$3:$U$3,0))</f>
        <v>0.14000000000000001</v>
      </c>
      <c r="AT7" s="11">
        <f ca="1">OFFSET('COM Techs T15'!$W7,0,MATCH(VLOOKUP('COM Veda input'!AT$3,'RES Assumptions T15'!$V$3:$W$35,2,FALSE),'COM Techs T15'!$G$3:$U$3,0))</f>
        <v>0.25</v>
      </c>
      <c r="AU7" s="11">
        <f ca="1">OFFSET('COM Techs T15'!$W7,0,MATCH(VLOOKUP('COM Veda input'!AU$3,'RES Assumptions T15'!$V$3:$W$35,2,FALSE),'COM Techs T15'!$G$3:$U$3,0))</f>
        <v>0.14000000000000001</v>
      </c>
      <c r="AV7" s="11">
        <f ca="1">OFFSET('COM Techs T15'!$W7,0,MATCH(VLOOKUP('COM Veda input'!AV$3,'RES Assumptions T15'!$V$3:$W$35,2,FALSE),'COM Techs T15'!$G$3:$U$3,0))</f>
        <v>0.13</v>
      </c>
      <c r="AW7" s="11">
        <f ca="1">OFFSET('COM Techs T15'!$W7,0,MATCH(VLOOKUP('COM Veda input'!AW$3,'RES Assumptions T15'!$V$3:$W$35,2,FALSE),'COM Techs T15'!$G$3:$U$3,0))</f>
        <v>0.13</v>
      </c>
      <c r="AX7" s="11">
        <f ca="1">OFFSET('COM Techs T15'!$W7,0,MATCH(VLOOKUP('COM Veda input'!AX$3,'RES Assumptions T15'!$V$3:$W$35,2,FALSE),'COM Techs T15'!$G$3:$U$3,0))</f>
        <v>0.13</v>
      </c>
      <c r="AY7" s="11">
        <f ca="1">OFFSET('COM Techs T15'!$W7,0,MATCH(VLOOKUP('COM Veda input'!AY$3,'RES Assumptions T15'!$V$3:$W$35,2,FALSE),'COM Techs T15'!$G$3:$U$3,0))</f>
        <v>0.13</v>
      </c>
      <c r="AZ7" s="11">
        <f ca="1">OFFSET('COM Techs T15'!$W7,0,MATCH(VLOOKUP('COM Veda input'!AZ$3,'RES Assumptions T15'!$V$3:$W$35,2,FALSE),'COM Techs T15'!$G$3:$U$3,0))</f>
        <v>0.13</v>
      </c>
      <c r="BA7" s="11">
        <f ca="1">OFFSET('COM Techs T15'!$W7,0,MATCH(VLOOKUP('COM Veda input'!BA$3,'RES Assumptions T15'!$V$3:$W$35,2,FALSE),'COM Techs T15'!$G$3:$U$3,0))</f>
        <v>0.13</v>
      </c>
      <c r="BB7" s="11">
        <f ca="1">OFFSET('COM Techs T15'!$W7,0,MATCH(VLOOKUP('COM Veda input'!BB$3,'RES Assumptions T15'!$V$3:$W$35,2,FALSE),'COM Techs T15'!$G$3:$U$3,0))</f>
        <v>0.13</v>
      </c>
      <c r="BC7" s="11">
        <f ca="1">OFFSET('COM Techs T15'!$W7,0,MATCH(VLOOKUP('COM Veda input'!BC$3,'RES Assumptions T15'!$V$3:$W$35,2,FALSE),'COM Techs T15'!$G$3:$U$3,0))</f>
        <v>0.25</v>
      </c>
      <c r="BD7" s="11">
        <f ca="1">OFFSET('COM Techs T15'!$W7,0,MATCH(VLOOKUP('COM Veda input'!BD$3,'RES Assumptions T15'!$V$3:$W$35,2,FALSE),'COM Techs T15'!$G$3:$U$3,0))</f>
        <v>0.13</v>
      </c>
      <c r="BE7" s="11">
        <f ca="1">OFFSET('COM Techs T15'!$W7,0,MATCH(VLOOKUP('COM Veda input'!BE$3,'RES Assumptions T15'!$V$3:$W$35,2,FALSE),'COM Techs T15'!$G$3:$U$3,0))</f>
        <v>0.13</v>
      </c>
      <c r="BF7" s="11">
        <f ca="1">OFFSET('COM Techs T15'!$W7,0,MATCH(VLOOKUP('COM Veda input'!BF$3,'RES Assumptions T15'!$V$3:$W$35,2,FALSE),'COM Techs T15'!$G$3:$U$3,0))</f>
        <v>0.13</v>
      </c>
      <c r="BG7" s="11">
        <f ca="1">OFFSET('COM Techs T15'!$W7,0,MATCH(VLOOKUP('COM Veda input'!BG$3,'RES Assumptions T15'!$V$3:$W$35,2,FALSE),'COM Techs T15'!$G$3:$U$3,0))</f>
        <v>0.25</v>
      </c>
      <c r="BH7" s="11">
        <f ca="1">OFFSET('COM Techs T15'!$W7,0,MATCH(VLOOKUP('COM Veda input'!BH$3,'RES Assumptions T15'!$V$3:$W$35,2,FALSE),'COM Techs T15'!$G$3:$U$3,0))</f>
        <v>0.25</v>
      </c>
      <c r="BI7" s="11">
        <f ca="1">OFFSET('COM Techs T15'!$W7,0,MATCH(VLOOKUP('COM Veda input'!BI$3,'RES Assumptions T15'!$V$3:$W$35,2,FALSE),'COM Techs T15'!$G$3:$U$3,0))</f>
        <v>0.25</v>
      </c>
      <c r="BJ7" s="11">
        <f ca="1">OFFSET('COM Techs T15'!$W7,0,MATCH(VLOOKUP('COM Veda input'!BJ$3,'RES Assumptions T15'!$V$3:$W$35,2,FALSE),'COM Techs T15'!$G$3:$U$3,0))</f>
        <v>0.13</v>
      </c>
      <c r="BK7" s="11">
        <f ca="1">OFFSET('COM Techs T15'!$W7,0,MATCH(VLOOKUP('COM Veda input'!BK$3,'RES Assumptions T15'!$V$3:$W$35,2,FALSE),'COM Techs T15'!$G$3:$U$3,0))</f>
        <v>0.13</v>
      </c>
      <c r="BL7" s="11">
        <f ca="1">OFFSET('COM Techs T15'!$W7,0,MATCH(VLOOKUP('COM Veda input'!BL$3,'RES Assumptions T15'!$V$3:$W$35,2,FALSE),'COM Techs T15'!$G$3:$U$3,0))</f>
        <v>0.25</v>
      </c>
      <c r="BM7" s="11">
        <f ca="1">OFFSET('COM Techs T15'!$W7,0,MATCH(VLOOKUP('COM Veda input'!BM$3,'RES Assumptions T15'!$V$3:$W$35,2,FALSE),'COM Techs T15'!$G$3:$U$3,0))</f>
        <v>0.25</v>
      </c>
      <c r="BN7" s="11">
        <f ca="1">OFFSET('COM Techs T15'!$W7,0,MATCH(VLOOKUP('COM Veda input'!BN$3,'RES Assumptions T15'!$V$3:$W$35,2,FALSE),'COM Techs T15'!$G$3:$U$3,0))</f>
        <v>0.13</v>
      </c>
      <c r="BO7" s="11">
        <f ca="1">OFFSET('COM Techs T15'!$W7,0,MATCH(VLOOKUP('COM Veda input'!BO$3,'RES Assumptions T15'!$V$3:$W$35,2,FALSE),'COM Techs T15'!$G$3:$U$3,0))</f>
        <v>0.13</v>
      </c>
      <c r="BP7" s="11">
        <f ca="1">OFFSET('COM Techs T15'!$W7,0,MATCH(VLOOKUP('COM Veda input'!BP$3,'RES Assumptions T15'!$V$3:$W$35,2,FALSE),'COM Techs T15'!$G$3:$U$3,0))</f>
        <v>0.13</v>
      </c>
      <c r="BQ7">
        <v>3</v>
      </c>
      <c r="BS7" s="8" t="str">
        <f t="shared" si="20"/>
        <v>CSCRAE000</v>
      </c>
      <c r="BT7" s="11">
        <f t="shared" ca="1" si="21"/>
        <v>4.2</v>
      </c>
      <c r="BU7" s="11" t="str">
        <f ca="1">OFFSET('COM Techs T15'!$AO7,0,MATCH(VLOOKUP('COM Veda input'!BU$3,'RES Assumptions T15'!$V$3:$W$35,2,FALSE),'COM Techs T15'!$G$3:$U$3,0))</f>
        <v/>
      </c>
      <c r="BV7" s="11" t="str">
        <f ca="1">OFFSET('COM Techs T15'!$AO7,0,MATCH(VLOOKUP('COM Veda input'!BV$3,'RES Assumptions T15'!$V$3:$W$35,2,FALSE),'COM Techs T15'!$G$3:$U$3,0))</f>
        <v/>
      </c>
      <c r="BW7" s="11" t="str">
        <f ca="1">OFFSET('COM Techs T15'!$AO7,0,MATCH(VLOOKUP('COM Veda input'!BW$3,'RES Assumptions T15'!$V$3:$W$35,2,FALSE),'COM Techs T15'!$G$3:$U$3,0))</f>
        <v/>
      </c>
      <c r="BX7" s="11">
        <f ca="1">OFFSET('COM Techs T15'!$AO7,0,MATCH(VLOOKUP('COM Veda input'!BX$3,'RES Assumptions T15'!$V$3:$W$35,2,FALSE),'COM Techs T15'!$G$3:$U$3,0))</f>
        <v>4.2</v>
      </c>
      <c r="BY7" s="11">
        <f ca="1">OFFSET('COM Techs T15'!$AO7,0,MATCH(VLOOKUP('COM Veda input'!BY$3,'RES Assumptions T15'!$V$3:$W$35,2,FALSE),'COM Techs T15'!$G$3:$U$3,0))</f>
        <v>4.9000000000000004</v>
      </c>
      <c r="BZ7" s="11">
        <f ca="1">OFFSET('COM Techs T15'!$AO7,0,MATCH(VLOOKUP('COM Veda input'!BZ$3,'RES Assumptions T15'!$V$3:$W$35,2,FALSE),'COM Techs T15'!$G$3:$U$3,0))</f>
        <v>5.6</v>
      </c>
      <c r="CA7" s="11" t="str">
        <f ca="1">OFFSET('COM Techs T15'!$AO7,0,MATCH(VLOOKUP('COM Veda input'!CA$3,'RES Assumptions T15'!$V$3:$W$35,2,FALSE),'COM Techs T15'!$G$3:$U$3,0))</f>
        <v/>
      </c>
      <c r="CB7" s="11" t="str">
        <f ca="1">OFFSET('COM Techs T15'!$AO7,0,MATCH(VLOOKUP('COM Veda input'!CB$3,'RES Assumptions T15'!$V$3:$W$35,2,FALSE),'COM Techs T15'!$G$3:$U$3,0))</f>
        <v/>
      </c>
      <c r="CC7" s="11">
        <f ca="1">OFFSET('COM Techs T15'!$AO7,0,MATCH(VLOOKUP('COM Veda input'!CC$3,'RES Assumptions T15'!$V$3:$W$35,2,FALSE),'COM Techs T15'!$G$3:$U$3,0))</f>
        <v>4.2</v>
      </c>
      <c r="CD7" s="11">
        <f ca="1">OFFSET('COM Techs T15'!$AO7,0,MATCH(VLOOKUP('COM Veda input'!CD$3,'RES Assumptions T15'!$V$3:$W$35,2,FALSE),'COM Techs T15'!$G$3:$U$3,0))</f>
        <v>4.9000000000000004</v>
      </c>
      <c r="CE7" s="11" t="str">
        <f ca="1">OFFSET('COM Techs T15'!$AO7,0,MATCH(VLOOKUP('COM Veda input'!CE$3,'RES Assumptions T15'!$V$3:$W$35,2,FALSE),'COM Techs T15'!$G$3:$U$3,0))</f>
        <v/>
      </c>
      <c r="CF7" s="11" t="str">
        <f ca="1">OFFSET('COM Techs T15'!$AO7,0,MATCH(VLOOKUP('COM Veda input'!CF$3,'RES Assumptions T15'!$V$3:$W$35,2,FALSE),'COM Techs T15'!$G$3:$U$3,0))</f>
        <v/>
      </c>
      <c r="CG7" s="11" t="str">
        <f ca="1">OFFSET('COM Techs T15'!$AO7,0,MATCH(VLOOKUP('COM Veda input'!CG$3,'RES Assumptions T15'!$V$3:$W$35,2,FALSE),'COM Techs T15'!$G$3:$U$3,0))</f>
        <v/>
      </c>
      <c r="CH7" s="11" t="str">
        <f ca="1">OFFSET('COM Techs T15'!$AO7,0,MATCH(VLOOKUP('COM Veda input'!CH$3,'RES Assumptions T15'!$V$3:$W$35,2,FALSE),'COM Techs T15'!$G$3:$U$3,0))</f>
        <v/>
      </c>
      <c r="CI7" s="11" t="str">
        <f ca="1">OFFSET('COM Techs T15'!$AO7,0,MATCH(VLOOKUP('COM Veda input'!CI$3,'RES Assumptions T15'!$V$3:$W$35,2,FALSE),'COM Techs T15'!$G$3:$U$3,0))</f>
        <v/>
      </c>
      <c r="CJ7" s="11" t="str">
        <f ca="1">OFFSET('COM Techs T15'!$AO7,0,MATCH(VLOOKUP('COM Veda input'!CJ$3,'RES Assumptions T15'!$V$3:$W$35,2,FALSE),'COM Techs T15'!$G$3:$U$3,0))</f>
        <v/>
      </c>
      <c r="CK7" s="11">
        <f ca="1">OFFSET('COM Techs T15'!$AO7,0,MATCH(VLOOKUP('COM Veda input'!CK$3,'RES Assumptions T15'!$V$3:$W$35,2,FALSE),'COM Techs T15'!$G$3:$U$3,0))</f>
        <v>5.6</v>
      </c>
      <c r="CL7" s="11" t="str">
        <f ca="1">OFFSET('COM Techs T15'!$AO7,0,MATCH(VLOOKUP('COM Veda input'!CL$3,'RES Assumptions T15'!$V$3:$W$35,2,FALSE),'COM Techs T15'!$G$3:$U$3,0))</f>
        <v/>
      </c>
      <c r="CM7" s="11" t="str">
        <f ca="1">OFFSET('COM Techs T15'!$AO7,0,MATCH(VLOOKUP('COM Veda input'!CM$3,'RES Assumptions T15'!$V$3:$W$35,2,FALSE),'COM Techs T15'!$G$3:$U$3,0))</f>
        <v/>
      </c>
      <c r="CN7" s="11">
        <f ca="1">OFFSET('COM Techs T15'!$AO7,0,MATCH(VLOOKUP('COM Veda input'!CN$3,'RES Assumptions T15'!$V$3:$W$35,2,FALSE),'COM Techs T15'!$G$3:$U$3,0))</f>
        <v>7</v>
      </c>
      <c r="CO7" s="11" t="str">
        <f ca="1">OFFSET('COM Techs T15'!$AO7,0,MATCH(VLOOKUP('COM Veda input'!CO$3,'RES Assumptions T15'!$V$3:$W$35,2,FALSE),'COM Techs T15'!$G$3:$U$3,0))</f>
        <v/>
      </c>
      <c r="CP7" s="11">
        <f ca="1">OFFSET('COM Techs T15'!$AO7,0,MATCH(VLOOKUP('COM Veda input'!CP$3,'RES Assumptions T15'!$V$3:$W$35,2,FALSE),'COM Techs T15'!$G$3:$U$3,0))</f>
        <v>4.2</v>
      </c>
      <c r="CQ7" s="11">
        <f ca="1">OFFSET('COM Techs T15'!$AO7,0,MATCH(VLOOKUP('COM Veda input'!CQ$3,'RES Assumptions T15'!$V$3:$W$35,2,FALSE),'COM Techs T15'!$G$3:$U$3,0))</f>
        <v>5.6</v>
      </c>
      <c r="CR7" s="11" t="str">
        <f ca="1">OFFSET('COM Techs T15'!$AO7,0,MATCH(VLOOKUP('COM Veda input'!CR$3,'RES Assumptions T15'!$V$3:$W$35,2,FALSE),'COM Techs T15'!$G$3:$U$3,0))</f>
        <v/>
      </c>
      <c r="CS7" s="11">
        <f ca="1">OFFSET('COM Techs T15'!$AO7,0,MATCH(VLOOKUP('COM Veda input'!CS$3,'RES Assumptions T15'!$V$3:$W$35,2,FALSE),'COM Techs T15'!$G$3:$U$3,0))</f>
        <v>4.2</v>
      </c>
      <c r="CT7" s="11">
        <f ca="1">OFFSET('COM Techs T15'!$AO7,0,MATCH(VLOOKUP('COM Veda input'!CT$3,'RES Assumptions T15'!$V$3:$W$35,2,FALSE),'COM Techs T15'!$G$3:$U$3,0))</f>
        <v>5.6</v>
      </c>
      <c r="CU7" s="11" t="str">
        <f ca="1">OFFSET('COM Techs T15'!$AO7,0,MATCH(VLOOKUP('COM Veda input'!CU$3,'RES Assumptions T15'!$V$3:$W$35,2,FALSE),'COM Techs T15'!$G$3:$U$3,0))</f>
        <v/>
      </c>
      <c r="CV7" s="11" t="str">
        <f ca="1">OFFSET('COM Techs T15'!$AO7,0,MATCH(VLOOKUP('COM Veda input'!CV$3,'RES Assumptions T15'!$V$3:$W$35,2,FALSE),'COM Techs T15'!$G$3:$U$3,0))</f>
        <v/>
      </c>
      <c r="CW7" s="11" t="str">
        <f ca="1">OFFSET('COM Techs T15'!$AO7,0,MATCH(VLOOKUP('COM Veda input'!CW$3,'RES Assumptions T15'!$V$3:$W$35,2,FALSE),'COM Techs T15'!$G$3:$U$3,0))</f>
        <v/>
      </c>
      <c r="CX7" s="11" t="str">
        <f ca="1">OFFSET('COM Techs T15'!$AO7,0,MATCH(VLOOKUP('COM Veda input'!CX$3,'RES Assumptions T15'!$V$3:$W$35,2,FALSE),'COM Techs T15'!$G$3:$U$3,0))</f>
        <v/>
      </c>
      <c r="CZ7" s="8" t="str">
        <f t="shared" si="22"/>
        <v>CSCRAE000</v>
      </c>
      <c r="DA7" s="10">
        <f ca="1">'COM Assumptions'!E84*G7/'COM Veda input'!AM7</f>
        <v>38.827588555340085</v>
      </c>
      <c r="DB7" s="10">
        <f ca="1">'COM Assumptions'!F84*H7/'COM Veda input'!AN7</f>
        <v>23.936423652795966</v>
      </c>
      <c r="DC7" s="10">
        <f ca="1">'COM Assumptions'!G84*I7/'COM Veda input'!AO7</f>
        <v>42.011213211878406</v>
      </c>
      <c r="DD7" s="10">
        <f ca="1">'COM Assumptions'!H84*J7/'COM Veda input'!AP7</f>
        <v>2.5396547826654188</v>
      </c>
      <c r="DE7" s="10">
        <f ca="1">'COM Assumptions'!I84*K7/'COM Veda input'!AQ7</f>
        <v>1563.796092202228</v>
      </c>
      <c r="DF7" s="10">
        <f ca="1">'COM Assumptions'!J84*L7/'COM Veda input'!AR7</f>
        <v>113.69563743166202</v>
      </c>
      <c r="DG7" s="10">
        <f ca="1">'COM Assumptions'!K84*M7/'COM Veda input'!AS7</f>
        <v>42.152317194043725</v>
      </c>
      <c r="DH7" s="10">
        <f ca="1">'COM Assumptions'!L84*N7/'COM Veda input'!AT7</f>
        <v>136.48371317360642</v>
      </c>
      <c r="DI7" s="10">
        <f ca="1">'COM Assumptions'!M84*O7/'COM Veda input'!AU7</f>
        <v>162.08139966501673</v>
      </c>
      <c r="DJ7" s="10">
        <f ca="1">'COM Assumptions'!N84*P7/'COM Veda input'!AV7</f>
        <v>181.97523767941394</v>
      </c>
      <c r="DK7" s="10">
        <f ca="1">'COM Assumptions'!O84*Q7/'COM Veda input'!AW7</f>
        <v>51.799117565655322</v>
      </c>
      <c r="DL7" s="10">
        <f ca="1">'COM Assumptions'!P84*R7/'COM Veda input'!AX7</f>
        <v>8.7801041844672945</v>
      </c>
      <c r="DM7" s="10">
        <f ca="1">'COM Assumptions'!Q84*S7/'COM Veda input'!AY7</f>
        <v>68.515232983124207</v>
      </c>
      <c r="DN7" s="10">
        <f ca="1">'COM Assumptions'!R84*T7/'COM Veda input'!AZ7</f>
        <v>103.3517701775646</v>
      </c>
      <c r="DO7" s="10">
        <f ca="1">'COM Assumptions'!S84*U7/'COM Veda input'!BA7</f>
        <v>3.3305724752960177</v>
      </c>
      <c r="DP7" s="10">
        <f ca="1">'COM Assumptions'!T84*V7/'COM Veda input'!BB7</f>
        <v>85.26276477447675</v>
      </c>
      <c r="DQ7" s="10">
        <f ca="1">'COM Assumptions'!U84*W7/'COM Veda input'!BC7</f>
        <v>66.337138231665833</v>
      </c>
      <c r="DR7" s="10">
        <f ca="1">'COM Assumptions'!V84*X7/'COM Veda input'!BD7</f>
        <v>127.89834247203206</v>
      </c>
      <c r="DS7" s="10">
        <f ca="1">'COM Assumptions'!W84*Y7/'COM Veda input'!BE7</f>
        <v>121.68634659467097</v>
      </c>
      <c r="DT7" s="10">
        <f ca="1">'COM Assumptions'!X84*Z7/'COM Veda input'!BF7</f>
        <v>118.03100996042308</v>
      </c>
      <c r="DU7" s="10">
        <f ca="1">'COM Assumptions'!Y84*AA7/'COM Veda input'!BG7</f>
        <v>86.46660598657536</v>
      </c>
      <c r="DV7" s="10">
        <f ca="1">'COM Assumptions'!Z84*AB7/'COM Veda input'!BH7</f>
        <v>31.013819389800002</v>
      </c>
      <c r="DW7" s="10">
        <f ca="1">'COM Assumptions'!AA84*AC7/'COM Veda input'!BI7</f>
        <v>75.404493146735149</v>
      </c>
      <c r="DX7" s="10">
        <f ca="1">'COM Assumptions'!AB84*AD7/'COM Veda input'!BJ7</f>
        <v>25.798966608944365</v>
      </c>
      <c r="DY7" s="10">
        <f ca="1">'COM Assumptions'!AC84*AE7/'COM Veda input'!BK7</f>
        <v>14.312137710865187</v>
      </c>
      <c r="DZ7" s="10">
        <f ca="1">'COM Assumptions'!AD84*AF7/'COM Veda input'!BL7</f>
        <v>59.58690043861418</v>
      </c>
      <c r="EA7" s="10">
        <f ca="1">'COM Assumptions'!AE84*AG7/'COM Veda input'!BM7</f>
        <v>27.098351970374175</v>
      </c>
      <c r="EB7" s="10">
        <f ca="1">'COM Assumptions'!AF84*AH7/'COM Veda input'!BN7</f>
        <v>84.37418759646728</v>
      </c>
      <c r="EC7" s="10">
        <f ca="1">'COM Assumptions'!AG84*AI7/'COM Veda input'!BO7</f>
        <v>3258.1762925991288</v>
      </c>
      <c r="ED7" s="10">
        <f ca="1">'COM Assumptions'!AH84*AJ7/'COM Veda input'!BP7</f>
        <v>0</v>
      </c>
      <c r="EE7" s="8">
        <v>15</v>
      </c>
      <c r="EI7" s="8" t="str">
        <f t="shared" si="23"/>
        <v>CSCRAE000</v>
      </c>
      <c r="EK7" t="s">
        <v>282</v>
      </c>
      <c r="EL7" t="s">
        <v>283</v>
      </c>
    </row>
    <row r="8" spans="1:145" x14ac:dyDescent="0.45">
      <c r="A8" s="37" t="str">
        <f>'COM Assumptions'!B85</f>
        <v>CL</v>
      </c>
      <c r="B8" s="37" t="s">
        <v>218</v>
      </c>
      <c r="D8" t="s">
        <v>318</v>
      </c>
      <c r="E8" s="8" t="str">
        <f>'COM Assumptions'!A85</f>
        <v>COMOIL</v>
      </c>
      <c r="F8" t="str">
        <f>VLOOKUP('COM Assumptions'!B85,'COM Assumptions'!$AP$81:$AQ$88,2,FALSE)</f>
        <v>CSC</v>
      </c>
      <c r="G8" s="11">
        <f ca="1">OFFSET('COM Techs T15'!$F8,0,MATCH(VLOOKUP('COM Veda input'!G$3,'RES Assumptions T15'!$V$3:$W$35,2,FALSE),'COM Techs T15'!$G$3:$U$3,0))</f>
        <v>0.7</v>
      </c>
      <c r="H8" s="11">
        <f ca="1">OFFSET('COM Techs T15'!$F8,0,MATCH(VLOOKUP('COM Veda input'!H$3,'RES Assumptions T15'!$V$3:$W$35,2,FALSE),'COM Techs T15'!$G$3:$U$3,0))</f>
        <v>0.7</v>
      </c>
      <c r="I8" s="11">
        <f ca="1">OFFSET('COM Techs T15'!$F8,0,MATCH(VLOOKUP('COM Veda input'!I$3,'RES Assumptions T15'!$V$3:$W$35,2,FALSE),'COM Techs T15'!$G$3:$U$3,0))</f>
        <v>0.7</v>
      </c>
      <c r="J8" s="11">
        <f ca="1">OFFSET('COM Techs T15'!$F8,0,MATCH(VLOOKUP('COM Veda input'!J$3,'RES Assumptions T15'!$V$3:$W$35,2,FALSE),'COM Techs T15'!$G$3:$U$3,0))</f>
        <v>0.7</v>
      </c>
      <c r="K8" s="11">
        <f ca="1">OFFSET('COM Techs T15'!$F8,0,MATCH(VLOOKUP('COM Veda input'!K$3,'RES Assumptions T15'!$V$3:$W$35,2,FALSE),'COM Techs T15'!$G$3:$U$3,0))</f>
        <v>0.7</v>
      </c>
      <c r="L8" s="11">
        <f ca="1">OFFSET('COM Techs T15'!$F8,0,MATCH(VLOOKUP('COM Veda input'!L$3,'RES Assumptions T15'!$V$3:$W$35,2,FALSE),'COM Techs T15'!$G$3:$U$3,0))</f>
        <v>0.7</v>
      </c>
      <c r="M8" s="11">
        <f ca="1">OFFSET('COM Techs T15'!$F8,0,MATCH(VLOOKUP('COM Veda input'!M$3,'RES Assumptions T15'!$V$3:$W$35,2,FALSE),'COM Techs T15'!$G$3:$U$3,0))</f>
        <v>0.7</v>
      </c>
      <c r="N8" s="11">
        <f ca="1">OFFSET('COM Techs T15'!$F8,0,MATCH(VLOOKUP('COM Veda input'!N$3,'RES Assumptions T15'!$V$3:$W$35,2,FALSE),'COM Techs T15'!$G$3:$U$3,0))</f>
        <v>0.7</v>
      </c>
      <c r="O8" s="11">
        <f ca="1">OFFSET('COM Techs T15'!$F8,0,MATCH(VLOOKUP('COM Veda input'!O$3,'RES Assumptions T15'!$V$3:$W$35,2,FALSE),'COM Techs T15'!$G$3:$U$3,0))</f>
        <v>0.7</v>
      </c>
      <c r="P8" s="11">
        <f ca="1">OFFSET('COM Techs T15'!$F8,0,MATCH(VLOOKUP('COM Veda input'!P$3,'RES Assumptions T15'!$V$3:$W$35,2,FALSE),'COM Techs T15'!$G$3:$U$3,0))</f>
        <v>0.7</v>
      </c>
      <c r="Q8" s="11">
        <f ca="1">OFFSET('COM Techs T15'!$F8,0,MATCH(VLOOKUP('COM Veda input'!Q$3,'RES Assumptions T15'!$V$3:$W$35,2,FALSE),'COM Techs T15'!$G$3:$U$3,0))</f>
        <v>0.7</v>
      </c>
      <c r="R8" s="11">
        <f ca="1">OFFSET('COM Techs T15'!$F8,0,MATCH(VLOOKUP('COM Veda input'!R$3,'RES Assumptions T15'!$V$3:$W$35,2,FALSE),'COM Techs T15'!$G$3:$U$3,0))</f>
        <v>0.7</v>
      </c>
      <c r="S8" s="11">
        <f ca="1">OFFSET('COM Techs T15'!$F8,0,MATCH(VLOOKUP('COM Veda input'!S$3,'RES Assumptions T15'!$V$3:$W$35,2,FALSE),'COM Techs T15'!$G$3:$U$3,0))</f>
        <v>0.7</v>
      </c>
      <c r="T8" s="11">
        <f ca="1">OFFSET('COM Techs T15'!$F8,0,MATCH(VLOOKUP('COM Veda input'!T$3,'RES Assumptions T15'!$V$3:$W$35,2,FALSE),'COM Techs T15'!$G$3:$U$3,0))</f>
        <v>0.7</v>
      </c>
      <c r="U8" s="11">
        <f ca="1">OFFSET('COM Techs T15'!$F8,0,MATCH(VLOOKUP('COM Veda input'!U$3,'RES Assumptions T15'!$V$3:$W$35,2,FALSE),'COM Techs T15'!$G$3:$U$3,0))</f>
        <v>0.7</v>
      </c>
      <c r="V8" s="11">
        <f ca="1">OFFSET('COM Techs T15'!$F8,0,MATCH(VLOOKUP('COM Veda input'!V$3,'RES Assumptions T15'!$V$3:$W$35,2,FALSE),'COM Techs T15'!$G$3:$U$3,0))</f>
        <v>0.7</v>
      </c>
      <c r="W8" s="11">
        <f ca="1">OFFSET('COM Techs T15'!$F8,0,MATCH(VLOOKUP('COM Veda input'!W$3,'RES Assumptions T15'!$V$3:$W$35,2,FALSE),'COM Techs T15'!$G$3:$U$3,0))</f>
        <v>0.7</v>
      </c>
      <c r="X8" s="11">
        <f ca="1">OFFSET('COM Techs T15'!$F8,0,MATCH(VLOOKUP('COM Veda input'!X$3,'RES Assumptions T15'!$V$3:$W$35,2,FALSE),'COM Techs T15'!$G$3:$U$3,0))</f>
        <v>0.7</v>
      </c>
      <c r="Y8" s="11">
        <f ca="1">OFFSET('COM Techs T15'!$F8,0,MATCH(VLOOKUP('COM Veda input'!Y$3,'RES Assumptions T15'!$V$3:$W$35,2,FALSE),'COM Techs T15'!$G$3:$U$3,0))</f>
        <v>0.7</v>
      </c>
      <c r="Z8" s="11">
        <f ca="1">OFFSET('COM Techs T15'!$F8,0,MATCH(VLOOKUP('COM Veda input'!Z$3,'RES Assumptions T15'!$V$3:$W$35,2,FALSE),'COM Techs T15'!$G$3:$U$3,0))</f>
        <v>0.7</v>
      </c>
      <c r="AA8" s="11">
        <f ca="1">OFFSET('COM Techs T15'!$F8,0,MATCH(VLOOKUP('COM Veda input'!AA$3,'RES Assumptions T15'!$V$3:$W$35,2,FALSE),'COM Techs T15'!$G$3:$U$3,0))</f>
        <v>0.7</v>
      </c>
      <c r="AB8" s="11">
        <f ca="1">OFFSET('COM Techs T15'!$F8,0,MATCH(VLOOKUP('COM Veda input'!AB$3,'RES Assumptions T15'!$V$3:$W$35,2,FALSE),'COM Techs T15'!$G$3:$U$3,0))</f>
        <v>0.7</v>
      </c>
      <c r="AC8" s="11">
        <f ca="1">OFFSET('COM Techs T15'!$F8,0,MATCH(VLOOKUP('COM Veda input'!AC$3,'RES Assumptions T15'!$V$3:$W$35,2,FALSE),'COM Techs T15'!$G$3:$U$3,0))</f>
        <v>0.7</v>
      </c>
      <c r="AD8" s="11">
        <f ca="1">OFFSET('COM Techs T15'!$F8,0,MATCH(VLOOKUP('COM Veda input'!AD$3,'RES Assumptions T15'!$V$3:$W$35,2,FALSE),'COM Techs T15'!$G$3:$U$3,0))</f>
        <v>0.7</v>
      </c>
      <c r="AE8" s="11">
        <f ca="1">OFFSET('COM Techs T15'!$F8,0,MATCH(VLOOKUP('COM Veda input'!AE$3,'RES Assumptions T15'!$V$3:$W$35,2,FALSE),'COM Techs T15'!$G$3:$U$3,0))</f>
        <v>0.7</v>
      </c>
      <c r="AF8" s="11">
        <f ca="1">OFFSET('COM Techs T15'!$F8,0,MATCH(VLOOKUP('COM Veda input'!AF$3,'RES Assumptions T15'!$V$3:$W$35,2,FALSE),'COM Techs T15'!$G$3:$U$3,0))</f>
        <v>0.7</v>
      </c>
      <c r="AG8" s="11">
        <f ca="1">OFFSET('COM Techs T15'!$F8,0,MATCH(VLOOKUP('COM Veda input'!AG$3,'RES Assumptions T15'!$V$3:$W$35,2,FALSE),'COM Techs T15'!$G$3:$U$3,0))</f>
        <v>0.7</v>
      </c>
      <c r="AH8" s="11">
        <f ca="1">OFFSET('COM Techs T15'!$F8,0,MATCH(VLOOKUP('COM Veda input'!AH$3,'RES Assumptions T15'!$V$3:$W$35,2,FALSE),'COM Techs T15'!$G$3:$U$3,0))</f>
        <v>0.7</v>
      </c>
      <c r="AI8" s="11">
        <f ca="1">OFFSET('COM Techs T15'!$F8,0,MATCH(VLOOKUP('COM Veda input'!AI$3,'RES Assumptions T15'!$V$3:$W$35,2,FALSE),'COM Techs T15'!$G$3:$U$3,0))</f>
        <v>0.7</v>
      </c>
      <c r="AJ8" s="11">
        <f ca="1">OFFSET('COM Techs T15'!$F8,0,MATCH(VLOOKUP('COM Veda input'!AJ$3,'RES Assumptions T15'!$V$3:$W$35,2,FALSE),'COM Techs T15'!$G$3:$U$3,0))</f>
        <v>0.7</v>
      </c>
      <c r="AL8" s="8" t="str">
        <f t="shared" si="19"/>
        <v>CSCDST000</v>
      </c>
      <c r="AM8" s="11">
        <f ca="1">OFFSET('COM Techs T15'!$W8,0,MATCH(VLOOKUP('COM Veda input'!AM$3,'RES Assumptions T15'!$V$3:$W$35,2,FALSE),'COM Techs T15'!$G$3:$U$3,0))</f>
        <v>0.25</v>
      </c>
      <c r="AN8" s="11">
        <f ca="1">OFFSET('COM Techs T15'!$W8,0,MATCH(VLOOKUP('COM Veda input'!AN$3,'RES Assumptions T15'!$V$3:$W$35,2,FALSE),'COM Techs T15'!$G$3:$U$3,0))</f>
        <v>0.25</v>
      </c>
      <c r="AO8" s="11">
        <f ca="1">OFFSET('COM Techs T15'!$W8,0,MATCH(VLOOKUP('COM Veda input'!AO$3,'RES Assumptions T15'!$V$3:$W$35,2,FALSE),'COM Techs T15'!$G$3:$U$3,0))</f>
        <v>0.25</v>
      </c>
      <c r="AP8" s="11">
        <f ca="1">OFFSET('COM Techs T15'!$W8,0,MATCH(VLOOKUP('COM Veda input'!AP$3,'RES Assumptions T15'!$V$3:$W$35,2,FALSE),'COM Techs T15'!$G$3:$U$3,0))</f>
        <v>0.13</v>
      </c>
      <c r="AQ8" s="11">
        <f ca="1">OFFSET('COM Techs T15'!$W8,0,MATCH(VLOOKUP('COM Veda input'!AQ$3,'RES Assumptions T15'!$V$3:$W$35,2,FALSE),'COM Techs T15'!$G$3:$U$3,0))</f>
        <v>0.13</v>
      </c>
      <c r="AR8" s="11">
        <f ca="1">OFFSET('COM Techs T15'!$W8,0,MATCH(VLOOKUP('COM Veda input'!AR$3,'RES Assumptions T15'!$V$3:$W$35,2,FALSE),'COM Techs T15'!$G$3:$U$3,0))</f>
        <v>2</v>
      </c>
      <c r="AS8" s="11">
        <f ca="1">OFFSET('COM Techs T15'!$W8,0,MATCH(VLOOKUP('COM Veda input'!AS$3,'RES Assumptions T15'!$V$3:$W$35,2,FALSE),'COM Techs T15'!$G$3:$U$3,0))</f>
        <v>0.14000000000000001</v>
      </c>
      <c r="AT8" s="11">
        <f ca="1">OFFSET('COM Techs T15'!$W8,0,MATCH(VLOOKUP('COM Veda input'!AT$3,'RES Assumptions T15'!$V$3:$W$35,2,FALSE),'COM Techs T15'!$G$3:$U$3,0))</f>
        <v>0.25</v>
      </c>
      <c r="AU8" s="11">
        <f ca="1">OFFSET('COM Techs T15'!$W8,0,MATCH(VLOOKUP('COM Veda input'!AU$3,'RES Assumptions T15'!$V$3:$W$35,2,FALSE),'COM Techs T15'!$G$3:$U$3,0))</f>
        <v>0.14000000000000001</v>
      </c>
      <c r="AV8" s="11">
        <f ca="1">OFFSET('COM Techs T15'!$W8,0,MATCH(VLOOKUP('COM Veda input'!AV$3,'RES Assumptions T15'!$V$3:$W$35,2,FALSE),'COM Techs T15'!$G$3:$U$3,0))</f>
        <v>0.13</v>
      </c>
      <c r="AW8" s="11">
        <f ca="1">OFFSET('COM Techs T15'!$W8,0,MATCH(VLOOKUP('COM Veda input'!AW$3,'RES Assumptions T15'!$V$3:$W$35,2,FALSE),'COM Techs T15'!$G$3:$U$3,0))</f>
        <v>0.13</v>
      </c>
      <c r="AX8" s="11">
        <f ca="1">OFFSET('COM Techs T15'!$W8,0,MATCH(VLOOKUP('COM Veda input'!AX$3,'RES Assumptions T15'!$V$3:$W$35,2,FALSE),'COM Techs T15'!$G$3:$U$3,0))</f>
        <v>0.13</v>
      </c>
      <c r="AY8" s="11">
        <f ca="1">OFFSET('COM Techs T15'!$W8,0,MATCH(VLOOKUP('COM Veda input'!AY$3,'RES Assumptions T15'!$V$3:$W$35,2,FALSE),'COM Techs T15'!$G$3:$U$3,0))</f>
        <v>0.13</v>
      </c>
      <c r="AZ8" s="11">
        <f ca="1">OFFSET('COM Techs T15'!$W8,0,MATCH(VLOOKUP('COM Veda input'!AZ$3,'RES Assumptions T15'!$V$3:$W$35,2,FALSE),'COM Techs T15'!$G$3:$U$3,0))</f>
        <v>0.13</v>
      </c>
      <c r="BA8" s="11">
        <f ca="1">OFFSET('COM Techs T15'!$W8,0,MATCH(VLOOKUP('COM Veda input'!BA$3,'RES Assumptions T15'!$V$3:$W$35,2,FALSE),'COM Techs T15'!$G$3:$U$3,0))</f>
        <v>0.13</v>
      </c>
      <c r="BB8" s="11">
        <f ca="1">OFFSET('COM Techs T15'!$W8,0,MATCH(VLOOKUP('COM Veda input'!BB$3,'RES Assumptions T15'!$V$3:$W$35,2,FALSE),'COM Techs T15'!$G$3:$U$3,0))</f>
        <v>0.13</v>
      </c>
      <c r="BC8" s="11">
        <f ca="1">OFFSET('COM Techs T15'!$W8,0,MATCH(VLOOKUP('COM Veda input'!BC$3,'RES Assumptions T15'!$V$3:$W$35,2,FALSE),'COM Techs T15'!$G$3:$U$3,0))</f>
        <v>0.25</v>
      </c>
      <c r="BD8" s="11">
        <f ca="1">OFFSET('COM Techs T15'!$W8,0,MATCH(VLOOKUP('COM Veda input'!BD$3,'RES Assumptions T15'!$V$3:$W$35,2,FALSE),'COM Techs T15'!$G$3:$U$3,0))</f>
        <v>0.13</v>
      </c>
      <c r="BE8" s="11">
        <f ca="1">OFFSET('COM Techs T15'!$W8,0,MATCH(VLOOKUP('COM Veda input'!BE$3,'RES Assumptions T15'!$V$3:$W$35,2,FALSE),'COM Techs T15'!$G$3:$U$3,0))</f>
        <v>0.13</v>
      </c>
      <c r="BF8" s="11">
        <f ca="1">OFFSET('COM Techs T15'!$W8,0,MATCH(VLOOKUP('COM Veda input'!BF$3,'RES Assumptions T15'!$V$3:$W$35,2,FALSE),'COM Techs T15'!$G$3:$U$3,0))</f>
        <v>0.13</v>
      </c>
      <c r="BG8" s="11">
        <f ca="1">OFFSET('COM Techs T15'!$W8,0,MATCH(VLOOKUP('COM Veda input'!BG$3,'RES Assumptions T15'!$V$3:$W$35,2,FALSE),'COM Techs T15'!$G$3:$U$3,0))</f>
        <v>0.25</v>
      </c>
      <c r="BH8" s="11">
        <f ca="1">OFFSET('COM Techs T15'!$W8,0,MATCH(VLOOKUP('COM Veda input'!BH$3,'RES Assumptions T15'!$V$3:$W$35,2,FALSE),'COM Techs T15'!$G$3:$U$3,0))</f>
        <v>0.25</v>
      </c>
      <c r="BI8" s="11">
        <f ca="1">OFFSET('COM Techs T15'!$W8,0,MATCH(VLOOKUP('COM Veda input'!BI$3,'RES Assumptions T15'!$V$3:$W$35,2,FALSE),'COM Techs T15'!$G$3:$U$3,0))</f>
        <v>0.25</v>
      </c>
      <c r="BJ8" s="11">
        <f ca="1">OFFSET('COM Techs T15'!$W8,0,MATCH(VLOOKUP('COM Veda input'!BJ$3,'RES Assumptions T15'!$V$3:$W$35,2,FALSE),'COM Techs T15'!$G$3:$U$3,0))</f>
        <v>0.13</v>
      </c>
      <c r="BK8" s="11">
        <f ca="1">OFFSET('COM Techs T15'!$W8,0,MATCH(VLOOKUP('COM Veda input'!BK$3,'RES Assumptions T15'!$V$3:$W$35,2,FALSE),'COM Techs T15'!$G$3:$U$3,0))</f>
        <v>0.13</v>
      </c>
      <c r="BL8" s="11">
        <f ca="1">OFFSET('COM Techs T15'!$W8,0,MATCH(VLOOKUP('COM Veda input'!BL$3,'RES Assumptions T15'!$V$3:$W$35,2,FALSE),'COM Techs T15'!$G$3:$U$3,0))</f>
        <v>0.25</v>
      </c>
      <c r="BM8" s="11">
        <f ca="1">OFFSET('COM Techs T15'!$W8,0,MATCH(VLOOKUP('COM Veda input'!BM$3,'RES Assumptions T15'!$V$3:$W$35,2,FALSE),'COM Techs T15'!$G$3:$U$3,0))</f>
        <v>0.25</v>
      </c>
      <c r="BN8" s="11">
        <f ca="1">OFFSET('COM Techs T15'!$W8,0,MATCH(VLOOKUP('COM Veda input'!BN$3,'RES Assumptions T15'!$V$3:$W$35,2,FALSE),'COM Techs T15'!$G$3:$U$3,0))</f>
        <v>0.13</v>
      </c>
      <c r="BO8" s="11">
        <f ca="1">OFFSET('COM Techs T15'!$W8,0,MATCH(VLOOKUP('COM Veda input'!BO$3,'RES Assumptions T15'!$V$3:$W$35,2,FALSE),'COM Techs T15'!$G$3:$U$3,0))</f>
        <v>0.13</v>
      </c>
      <c r="BP8" s="11">
        <f ca="1">OFFSET('COM Techs T15'!$W8,0,MATCH(VLOOKUP('COM Veda input'!BP$3,'RES Assumptions T15'!$V$3:$W$35,2,FALSE),'COM Techs T15'!$G$3:$U$3,0))</f>
        <v>0.13</v>
      </c>
      <c r="BQ8">
        <v>3</v>
      </c>
      <c r="BS8" s="8" t="str">
        <f t="shared" si="20"/>
        <v>CSCDST000</v>
      </c>
      <c r="BT8" s="11">
        <f t="shared" ca="1" si="21"/>
        <v>3.6</v>
      </c>
      <c r="BU8" s="11" t="str">
        <f ca="1">OFFSET('COM Techs T15'!$AO8,0,MATCH(VLOOKUP('COM Veda input'!BU$3,'RES Assumptions T15'!$V$3:$W$35,2,FALSE),'COM Techs T15'!$G$3:$U$3,0))</f>
        <v/>
      </c>
      <c r="BV8" s="11" t="str">
        <f ca="1">OFFSET('COM Techs T15'!$AO8,0,MATCH(VLOOKUP('COM Veda input'!BV$3,'RES Assumptions T15'!$V$3:$W$35,2,FALSE),'COM Techs T15'!$G$3:$U$3,0))</f>
        <v/>
      </c>
      <c r="BW8" s="11" t="str">
        <f ca="1">OFFSET('COM Techs T15'!$AO8,0,MATCH(VLOOKUP('COM Veda input'!BW$3,'RES Assumptions T15'!$V$3:$W$35,2,FALSE),'COM Techs T15'!$G$3:$U$3,0))</f>
        <v/>
      </c>
      <c r="BX8" s="11">
        <f ca="1">OFFSET('COM Techs T15'!$AO8,0,MATCH(VLOOKUP('COM Veda input'!BX$3,'RES Assumptions T15'!$V$3:$W$35,2,FALSE),'COM Techs T15'!$G$3:$U$3,0))</f>
        <v>3.6</v>
      </c>
      <c r="BY8" s="11">
        <f ca="1">OFFSET('COM Techs T15'!$AO8,0,MATCH(VLOOKUP('COM Veda input'!BY$3,'RES Assumptions T15'!$V$3:$W$35,2,FALSE),'COM Techs T15'!$G$3:$U$3,0))</f>
        <v>4.2</v>
      </c>
      <c r="BZ8" s="11">
        <f ca="1">OFFSET('COM Techs T15'!$AO8,0,MATCH(VLOOKUP('COM Veda input'!BZ$3,'RES Assumptions T15'!$V$3:$W$35,2,FALSE),'COM Techs T15'!$G$3:$U$3,0))</f>
        <v>4.8</v>
      </c>
      <c r="CA8" s="11" t="str">
        <f ca="1">OFFSET('COM Techs T15'!$AO8,0,MATCH(VLOOKUP('COM Veda input'!CA$3,'RES Assumptions T15'!$V$3:$W$35,2,FALSE),'COM Techs T15'!$G$3:$U$3,0))</f>
        <v/>
      </c>
      <c r="CB8" s="11" t="str">
        <f ca="1">OFFSET('COM Techs T15'!$AO8,0,MATCH(VLOOKUP('COM Veda input'!CB$3,'RES Assumptions T15'!$V$3:$W$35,2,FALSE),'COM Techs T15'!$G$3:$U$3,0))</f>
        <v/>
      </c>
      <c r="CC8" s="11">
        <f ca="1">OFFSET('COM Techs T15'!$AO8,0,MATCH(VLOOKUP('COM Veda input'!CC$3,'RES Assumptions T15'!$V$3:$W$35,2,FALSE),'COM Techs T15'!$G$3:$U$3,0))</f>
        <v>3.6</v>
      </c>
      <c r="CD8" s="11">
        <f ca="1">OFFSET('COM Techs T15'!$AO8,0,MATCH(VLOOKUP('COM Veda input'!CD$3,'RES Assumptions T15'!$V$3:$W$35,2,FALSE),'COM Techs T15'!$G$3:$U$3,0))</f>
        <v>4.2</v>
      </c>
      <c r="CE8" s="11" t="str">
        <f ca="1">OFFSET('COM Techs T15'!$AO8,0,MATCH(VLOOKUP('COM Veda input'!CE$3,'RES Assumptions T15'!$V$3:$W$35,2,FALSE),'COM Techs T15'!$G$3:$U$3,0))</f>
        <v/>
      </c>
      <c r="CF8" s="11" t="str">
        <f ca="1">OFFSET('COM Techs T15'!$AO8,0,MATCH(VLOOKUP('COM Veda input'!CF$3,'RES Assumptions T15'!$V$3:$W$35,2,FALSE),'COM Techs T15'!$G$3:$U$3,0))</f>
        <v/>
      </c>
      <c r="CG8" s="11" t="str">
        <f ca="1">OFFSET('COM Techs T15'!$AO8,0,MATCH(VLOOKUP('COM Veda input'!CG$3,'RES Assumptions T15'!$V$3:$W$35,2,FALSE),'COM Techs T15'!$G$3:$U$3,0))</f>
        <v/>
      </c>
      <c r="CH8" s="11" t="str">
        <f ca="1">OFFSET('COM Techs T15'!$AO8,0,MATCH(VLOOKUP('COM Veda input'!CH$3,'RES Assumptions T15'!$V$3:$W$35,2,FALSE),'COM Techs T15'!$G$3:$U$3,0))</f>
        <v/>
      </c>
      <c r="CI8" s="11" t="str">
        <f ca="1">OFFSET('COM Techs T15'!$AO8,0,MATCH(VLOOKUP('COM Veda input'!CI$3,'RES Assumptions T15'!$V$3:$W$35,2,FALSE),'COM Techs T15'!$G$3:$U$3,0))</f>
        <v/>
      </c>
      <c r="CJ8" s="11" t="str">
        <f ca="1">OFFSET('COM Techs T15'!$AO8,0,MATCH(VLOOKUP('COM Veda input'!CJ$3,'RES Assumptions T15'!$V$3:$W$35,2,FALSE),'COM Techs T15'!$G$3:$U$3,0))</f>
        <v/>
      </c>
      <c r="CK8" s="11">
        <f ca="1">OFFSET('COM Techs T15'!$AO8,0,MATCH(VLOOKUP('COM Veda input'!CK$3,'RES Assumptions T15'!$V$3:$W$35,2,FALSE),'COM Techs T15'!$G$3:$U$3,0))</f>
        <v>4.8</v>
      </c>
      <c r="CL8" s="11" t="str">
        <f ca="1">OFFSET('COM Techs T15'!$AO8,0,MATCH(VLOOKUP('COM Veda input'!CL$3,'RES Assumptions T15'!$V$3:$W$35,2,FALSE),'COM Techs T15'!$G$3:$U$3,0))</f>
        <v/>
      </c>
      <c r="CM8" s="11" t="str">
        <f ca="1">OFFSET('COM Techs T15'!$AO8,0,MATCH(VLOOKUP('COM Veda input'!CM$3,'RES Assumptions T15'!$V$3:$W$35,2,FALSE),'COM Techs T15'!$G$3:$U$3,0))</f>
        <v/>
      </c>
      <c r="CN8" s="11">
        <f ca="1">OFFSET('COM Techs T15'!$AO8,0,MATCH(VLOOKUP('COM Veda input'!CN$3,'RES Assumptions T15'!$V$3:$W$35,2,FALSE),'COM Techs T15'!$G$3:$U$3,0))</f>
        <v>6</v>
      </c>
      <c r="CO8" s="11" t="str">
        <f ca="1">OFFSET('COM Techs T15'!$AO8,0,MATCH(VLOOKUP('COM Veda input'!CO$3,'RES Assumptions T15'!$V$3:$W$35,2,FALSE),'COM Techs T15'!$G$3:$U$3,0))</f>
        <v/>
      </c>
      <c r="CP8" s="11">
        <f ca="1">OFFSET('COM Techs T15'!$AO8,0,MATCH(VLOOKUP('COM Veda input'!CP$3,'RES Assumptions T15'!$V$3:$W$35,2,FALSE),'COM Techs T15'!$G$3:$U$3,0))</f>
        <v>3.6</v>
      </c>
      <c r="CQ8" s="11">
        <f ca="1">OFFSET('COM Techs T15'!$AO8,0,MATCH(VLOOKUP('COM Veda input'!CQ$3,'RES Assumptions T15'!$V$3:$W$35,2,FALSE),'COM Techs T15'!$G$3:$U$3,0))</f>
        <v>4.8</v>
      </c>
      <c r="CR8" s="11" t="str">
        <f ca="1">OFFSET('COM Techs T15'!$AO8,0,MATCH(VLOOKUP('COM Veda input'!CR$3,'RES Assumptions T15'!$V$3:$W$35,2,FALSE),'COM Techs T15'!$G$3:$U$3,0))</f>
        <v/>
      </c>
      <c r="CS8" s="11">
        <f ca="1">OFFSET('COM Techs T15'!$AO8,0,MATCH(VLOOKUP('COM Veda input'!CS$3,'RES Assumptions T15'!$V$3:$W$35,2,FALSE),'COM Techs T15'!$G$3:$U$3,0))</f>
        <v>3.6</v>
      </c>
      <c r="CT8" s="11">
        <f ca="1">OFFSET('COM Techs T15'!$AO8,0,MATCH(VLOOKUP('COM Veda input'!CT$3,'RES Assumptions T15'!$V$3:$W$35,2,FALSE),'COM Techs T15'!$G$3:$U$3,0))</f>
        <v>4.8</v>
      </c>
      <c r="CU8" s="11" t="str">
        <f ca="1">OFFSET('COM Techs T15'!$AO8,0,MATCH(VLOOKUP('COM Veda input'!CU$3,'RES Assumptions T15'!$V$3:$W$35,2,FALSE),'COM Techs T15'!$G$3:$U$3,0))</f>
        <v/>
      </c>
      <c r="CV8" s="11" t="str">
        <f ca="1">OFFSET('COM Techs T15'!$AO8,0,MATCH(VLOOKUP('COM Veda input'!CV$3,'RES Assumptions T15'!$V$3:$W$35,2,FALSE),'COM Techs T15'!$G$3:$U$3,0))</f>
        <v/>
      </c>
      <c r="CW8" s="11" t="str">
        <f ca="1">OFFSET('COM Techs T15'!$AO8,0,MATCH(VLOOKUP('COM Veda input'!CW$3,'RES Assumptions T15'!$V$3:$W$35,2,FALSE),'COM Techs T15'!$G$3:$U$3,0))</f>
        <v/>
      </c>
      <c r="CX8" s="11" t="str">
        <f ca="1">OFFSET('COM Techs T15'!$AO8,0,MATCH(VLOOKUP('COM Veda input'!CX$3,'RES Assumptions T15'!$V$3:$W$35,2,FALSE),'COM Techs T15'!$G$3:$U$3,0))</f>
        <v/>
      </c>
      <c r="CZ8" s="8" t="str">
        <f t="shared" si="22"/>
        <v>CSCDST000</v>
      </c>
      <c r="DA8" s="10">
        <f ca="1">'COM Assumptions'!E85*G8/'COM Veda input'!AM8</f>
        <v>0</v>
      </c>
      <c r="DB8" s="10">
        <f ca="1">'COM Assumptions'!F85*H8/'COM Veda input'!AN8</f>
        <v>0</v>
      </c>
      <c r="DC8" s="10">
        <f ca="1">'COM Assumptions'!G85*I8/'COM Veda input'!AO8</f>
        <v>0</v>
      </c>
      <c r="DD8" s="10">
        <f ca="1">'COM Assumptions'!H85*J8/'COM Veda input'!AP8</f>
        <v>0</v>
      </c>
      <c r="DE8" s="10">
        <f ca="1">'COM Assumptions'!I85*K8/'COM Veda input'!AQ8</f>
        <v>42.435845410236915</v>
      </c>
      <c r="DF8" s="10">
        <f ca="1">'COM Assumptions'!J85*L8/'COM Veda input'!AR8</f>
        <v>0</v>
      </c>
      <c r="DG8" s="10">
        <f ca="1">'COM Assumptions'!K85*M8/'COM Veda input'!AS8</f>
        <v>0</v>
      </c>
      <c r="DH8" s="10">
        <f ca="1">'COM Assumptions'!L85*N8/'COM Veda input'!AT8</f>
        <v>0</v>
      </c>
      <c r="DI8" s="10">
        <f ca="1">'COM Assumptions'!M85*O8/'COM Veda input'!AU8</f>
        <v>0</v>
      </c>
      <c r="DJ8" s="10">
        <f ca="1">'COM Assumptions'!N85*P8/'COM Veda input'!AV8</f>
        <v>0</v>
      </c>
      <c r="DK8" s="10">
        <f ca="1">'COM Assumptions'!O85*Q8/'COM Veda input'!AW8</f>
        <v>0.55604937498923068</v>
      </c>
      <c r="DL8" s="10">
        <f ca="1">'COM Assumptions'!P85*R8/'COM Veda input'!AX8</f>
        <v>0</v>
      </c>
      <c r="DM8" s="10">
        <f ca="1">'COM Assumptions'!Q85*S8/'COM Veda input'!AY8</f>
        <v>1.1958507403338461</v>
      </c>
      <c r="DN8" s="10">
        <f ca="1">'COM Assumptions'!R85*T8/'COM Veda input'!AZ8</f>
        <v>0.20123657742461534</v>
      </c>
      <c r="DO8" s="10">
        <f ca="1">'COM Assumptions'!S85*U8/'COM Veda input'!BA8</f>
        <v>0</v>
      </c>
      <c r="DP8" s="10">
        <f ca="1">'COM Assumptions'!T85*V8/'COM Veda input'!BB8</f>
        <v>1.2685776624553846</v>
      </c>
      <c r="DQ8" s="10">
        <f ca="1">'COM Assumptions'!U85*W8/'COM Veda input'!BC8</f>
        <v>0</v>
      </c>
      <c r="DR8" s="10">
        <f ca="1">'COM Assumptions'!V85*X8/'COM Veda input'!BD8</f>
        <v>2.3047981342615382</v>
      </c>
      <c r="DS8" s="10">
        <f ca="1">'COM Assumptions'!W85*Y8/'COM Veda input'!BE8</f>
        <v>3.5391515086523073</v>
      </c>
      <c r="DT8" s="10">
        <f ca="1">'COM Assumptions'!X85*Z8/'COM Veda input'!BF8</f>
        <v>0</v>
      </c>
      <c r="DU8" s="10">
        <f ca="1">'COM Assumptions'!Y85*AA8/'COM Veda input'!BG8</f>
        <v>0</v>
      </c>
      <c r="DV8" s="10">
        <f ca="1">'COM Assumptions'!Z85*AB8/'COM Veda input'!BH8</f>
        <v>0</v>
      </c>
      <c r="DW8" s="10">
        <f ca="1">'COM Assumptions'!AA85*AC8/'COM Veda input'!BI8</f>
        <v>0</v>
      </c>
      <c r="DX8" s="10">
        <f ca="1">'COM Assumptions'!AB85*AD8/'COM Veda input'!BJ8</f>
        <v>0.31999131078923077</v>
      </c>
      <c r="DY8" s="10">
        <f ca="1">'COM Assumptions'!AC85*AE8/'COM Veda input'!BK8</f>
        <v>0</v>
      </c>
      <c r="DZ8" s="10">
        <f ca="1">'COM Assumptions'!AD85*AF8/'COM Veda input'!BL8</f>
        <v>0</v>
      </c>
      <c r="EA8" s="10">
        <f ca="1">'COM Assumptions'!AE85*AG8/'COM Veda input'!BM8</f>
        <v>0</v>
      </c>
      <c r="EB8" s="10">
        <f ca="1">'COM Assumptions'!AF85*AH8/'COM Veda input'!BN8</f>
        <v>1.0416306547661536</v>
      </c>
      <c r="EC8" s="10">
        <f ca="1">'COM Assumptions'!AG85*AI8/'COM Veda input'!BO8</f>
        <v>3.4745846644669682</v>
      </c>
      <c r="ED8" s="10">
        <f ca="1">'COM Assumptions'!AH85*AJ8/'COM Veda input'!BP8</f>
        <v>0</v>
      </c>
      <c r="EE8" s="8">
        <v>20</v>
      </c>
      <c r="EI8" s="8" t="str">
        <f t="shared" si="23"/>
        <v>CSCDST000</v>
      </c>
      <c r="EK8" t="s">
        <v>282</v>
      </c>
      <c r="EL8" t="s">
        <v>283</v>
      </c>
    </row>
    <row r="9" spans="1:145" x14ac:dyDescent="0.45">
      <c r="A9" s="37" t="str">
        <f>'COM Assumptions'!B86</f>
        <v>CL</v>
      </c>
      <c r="B9" s="37" t="s">
        <v>219</v>
      </c>
      <c r="D9" t="s">
        <v>319</v>
      </c>
      <c r="E9" s="8" t="str">
        <f>'COM Assumptions'!A86</f>
        <v>COMGEO</v>
      </c>
      <c r="F9" t="str">
        <f>VLOOKUP('COM Assumptions'!B86,'COM Assumptions'!$AP$81:$AQ$88,2,FALSE)</f>
        <v>CSC</v>
      </c>
      <c r="G9" s="11">
        <f ca="1">OFFSET('COM Techs T15'!$F9,0,MATCH(VLOOKUP('COM Veda input'!G$3,'RES Assumptions T15'!$V$3:$W$35,2,FALSE),'COM Techs T15'!$G$3:$U$3,0))</f>
        <v>3.8</v>
      </c>
      <c r="H9" s="11">
        <f ca="1">OFFSET('COM Techs T15'!$F9,0,MATCH(VLOOKUP('COM Veda input'!H$3,'RES Assumptions T15'!$V$3:$W$35,2,FALSE),'COM Techs T15'!$G$3:$U$3,0))</f>
        <v>3.8</v>
      </c>
      <c r="I9" s="11">
        <f ca="1">OFFSET('COM Techs T15'!$F9,0,MATCH(VLOOKUP('COM Veda input'!I$3,'RES Assumptions T15'!$V$3:$W$35,2,FALSE),'COM Techs T15'!$G$3:$U$3,0))</f>
        <v>3.8</v>
      </c>
      <c r="J9" s="11">
        <f ca="1">OFFSET('COM Techs T15'!$F9,0,MATCH(VLOOKUP('COM Veda input'!J$3,'RES Assumptions T15'!$V$3:$W$35,2,FALSE),'COM Techs T15'!$G$3:$U$3,0))</f>
        <v>3.8</v>
      </c>
      <c r="K9" s="11">
        <f ca="1">OFFSET('COM Techs T15'!$F9,0,MATCH(VLOOKUP('COM Veda input'!K$3,'RES Assumptions T15'!$V$3:$W$35,2,FALSE),'COM Techs T15'!$G$3:$U$3,0))</f>
        <v>3.8</v>
      </c>
      <c r="L9" s="11">
        <f ca="1">OFFSET('COM Techs T15'!$F9,0,MATCH(VLOOKUP('COM Veda input'!L$3,'RES Assumptions T15'!$V$3:$W$35,2,FALSE),'COM Techs T15'!$G$3:$U$3,0))</f>
        <v>3.8</v>
      </c>
      <c r="M9" s="11">
        <f ca="1">OFFSET('COM Techs T15'!$F9,0,MATCH(VLOOKUP('COM Veda input'!M$3,'RES Assumptions T15'!$V$3:$W$35,2,FALSE),'COM Techs T15'!$G$3:$U$3,0))</f>
        <v>3.8</v>
      </c>
      <c r="N9" s="11">
        <f ca="1">OFFSET('COM Techs T15'!$F9,0,MATCH(VLOOKUP('COM Veda input'!N$3,'RES Assumptions T15'!$V$3:$W$35,2,FALSE),'COM Techs T15'!$G$3:$U$3,0))</f>
        <v>3.8</v>
      </c>
      <c r="O9" s="11">
        <f ca="1">OFFSET('COM Techs T15'!$F9,0,MATCH(VLOOKUP('COM Veda input'!O$3,'RES Assumptions T15'!$V$3:$W$35,2,FALSE),'COM Techs T15'!$G$3:$U$3,0))</f>
        <v>3.8</v>
      </c>
      <c r="P9" s="11">
        <f ca="1">OFFSET('COM Techs T15'!$F9,0,MATCH(VLOOKUP('COM Veda input'!P$3,'RES Assumptions T15'!$V$3:$W$35,2,FALSE),'COM Techs T15'!$G$3:$U$3,0))</f>
        <v>3.8</v>
      </c>
      <c r="Q9" s="11">
        <f ca="1">OFFSET('COM Techs T15'!$F9,0,MATCH(VLOOKUP('COM Veda input'!Q$3,'RES Assumptions T15'!$V$3:$W$35,2,FALSE),'COM Techs T15'!$G$3:$U$3,0))</f>
        <v>3.8</v>
      </c>
      <c r="R9" s="11">
        <f ca="1">OFFSET('COM Techs T15'!$F9,0,MATCH(VLOOKUP('COM Veda input'!R$3,'RES Assumptions T15'!$V$3:$W$35,2,FALSE),'COM Techs T15'!$G$3:$U$3,0))</f>
        <v>3.8</v>
      </c>
      <c r="S9" s="11">
        <f ca="1">OFFSET('COM Techs T15'!$F9,0,MATCH(VLOOKUP('COM Veda input'!S$3,'RES Assumptions T15'!$V$3:$W$35,2,FALSE),'COM Techs T15'!$G$3:$U$3,0))</f>
        <v>3.8</v>
      </c>
      <c r="T9" s="11">
        <f ca="1">OFFSET('COM Techs T15'!$F9,0,MATCH(VLOOKUP('COM Veda input'!T$3,'RES Assumptions T15'!$V$3:$W$35,2,FALSE),'COM Techs T15'!$G$3:$U$3,0))</f>
        <v>3.8</v>
      </c>
      <c r="U9" s="11">
        <f ca="1">OFFSET('COM Techs T15'!$F9,0,MATCH(VLOOKUP('COM Veda input'!U$3,'RES Assumptions T15'!$V$3:$W$35,2,FALSE),'COM Techs T15'!$G$3:$U$3,0))</f>
        <v>3.8</v>
      </c>
      <c r="V9" s="11">
        <f ca="1">OFFSET('COM Techs T15'!$F9,0,MATCH(VLOOKUP('COM Veda input'!V$3,'RES Assumptions T15'!$V$3:$W$35,2,FALSE),'COM Techs T15'!$G$3:$U$3,0))</f>
        <v>3.8</v>
      </c>
      <c r="W9" s="11">
        <f ca="1">OFFSET('COM Techs T15'!$F9,0,MATCH(VLOOKUP('COM Veda input'!W$3,'RES Assumptions T15'!$V$3:$W$35,2,FALSE),'COM Techs T15'!$G$3:$U$3,0))</f>
        <v>3.8</v>
      </c>
      <c r="X9" s="11">
        <f ca="1">OFFSET('COM Techs T15'!$F9,0,MATCH(VLOOKUP('COM Veda input'!X$3,'RES Assumptions T15'!$V$3:$W$35,2,FALSE),'COM Techs T15'!$G$3:$U$3,0))</f>
        <v>3.8</v>
      </c>
      <c r="Y9" s="11">
        <f ca="1">OFFSET('COM Techs T15'!$F9,0,MATCH(VLOOKUP('COM Veda input'!Y$3,'RES Assumptions T15'!$V$3:$W$35,2,FALSE),'COM Techs T15'!$G$3:$U$3,0))</f>
        <v>3.8</v>
      </c>
      <c r="Z9" s="11">
        <f ca="1">OFFSET('COM Techs T15'!$F9,0,MATCH(VLOOKUP('COM Veda input'!Z$3,'RES Assumptions T15'!$V$3:$W$35,2,FALSE),'COM Techs T15'!$G$3:$U$3,0))</f>
        <v>3.8</v>
      </c>
      <c r="AA9" s="11">
        <f ca="1">OFFSET('COM Techs T15'!$F9,0,MATCH(VLOOKUP('COM Veda input'!AA$3,'RES Assumptions T15'!$V$3:$W$35,2,FALSE),'COM Techs T15'!$G$3:$U$3,0))</f>
        <v>3.8</v>
      </c>
      <c r="AB9" s="11">
        <f ca="1">OFFSET('COM Techs T15'!$F9,0,MATCH(VLOOKUP('COM Veda input'!AB$3,'RES Assumptions T15'!$V$3:$W$35,2,FALSE),'COM Techs T15'!$G$3:$U$3,0))</f>
        <v>3.8</v>
      </c>
      <c r="AC9" s="11">
        <f ca="1">OFFSET('COM Techs T15'!$F9,0,MATCH(VLOOKUP('COM Veda input'!AC$3,'RES Assumptions T15'!$V$3:$W$35,2,FALSE),'COM Techs T15'!$G$3:$U$3,0))</f>
        <v>3.8</v>
      </c>
      <c r="AD9" s="11">
        <f ca="1">OFFSET('COM Techs T15'!$F9,0,MATCH(VLOOKUP('COM Veda input'!AD$3,'RES Assumptions T15'!$V$3:$W$35,2,FALSE),'COM Techs T15'!$G$3:$U$3,0))</f>
        <v>3.8</v>
      </c>
      <c r="AE9" s="11">
        <f ca="1">OFFSET('COM Techs T15'!$F9,0,MATCH(VLOOKUP('COM Veda input'!AE$3,'RES Assumptions T15'!$V$3:$W$35,2,FALSE),'COM Techs T15'!$G$3:$U$3,0))</f>
        <v>3.8</v>
      </c>
      <c r="AF9" s="11">
        <f ca="1">OFFSET('COM Techs T15'!$F9,0,MATCH(VLOOKUP('COM Veda input'!AF$3,'RES Assumptions T15'!$V$3:$W$35,2,FALSE),'COM Techs T15'!$G$3:$U$3,0))</f>
        <v>3.8</v>
      </c>
      <c r="AG9" s="11">
        <f ca="1">OFFSET('COM Techs T15'!$F9,0,MATCH(VLOOKUP('COM Veda input'!AG$3,'RES Assumptions T15'!$V$3:$W$35,2,FALSE),'COM Techs T15'!$G$3:$U$3,0))</f>
        <v>3.8</v>
      </c>
      <c r="AH9" s="11">
        <f ca="1">OFFSET('COM Techs T15'!$F9,0,MATCH(VLOOKUP('COM Veda input'!AH$3,'RES Assumptions T15'!$V$3:$W$35,2,FALSE),'COM Techs T15'!$G$3:$U$3,0))</f>
        <v>3.8</v>
      </c>
      <c r="AI9" s="11">
        <f ca="1">OFFSET('COM Techs T15'!$F9,0,MATCH(VLOOKUP('COM Veda input'!AI$3,'RES Assumptions T15'!$V$3:$W$35,2,FALSE),'COM Techs T15'!$G$3:$U$3,0))</f>
        <v>3.8</v>
      </c>
      <c r="AJ9" s="11">
        <f ca="1">OFFSET('COM Techs T15'!$F9,0,MATCH(VLOOKUP('COM Veda input'!AJ$3,'RES Assumptions T15'!$V$3:$W$35,2,FALSE),'COM Techs T15'!$G$3:$U$3,0))</f>
        <v>3.8</v>
      </c>
      <c r="AL9" s="8" t="str">
        <f t="shared" si="19"/>
        <v>CSCGEO000</v>
      </c>
      <c r="AM9" s="11">
        <f ca="1">OFFSET('COM Techs T15'!$W9,0,MATCH(VLOOKUP('COM Veda input'!AM$3,'RES Assumptions T15'!$V$3:$W$35,2,FALSE),'COM Techs T15'!$G$3:$U$3,0))</f>
        <v>0.25</v>
      </c>
      <c r="AN9" s="11">
        <f ca="1">OFFSET('COM Techs T15'!$W9,0,MATCH(VLOOKUP('COM Veda input'!AN$3,'RES Assumptions T15'!$V$3:$W$35,2,FALSE),'COM Techs T15'!$G$3:$U$3,0))</f>
        <v>0.25</v>
      </c>
      <c r="AO9" s="11">
        <f ca="1">OFFSET('COM Techs T15'!$W9,0,MATCH(VLOOKUP('COM Veda input'!AO$3,'RES Assumptions T15'!$V$3:$W$35,2,FALSE),'COM Techs T15'!$G$3:$U$3,0))</f>
        <v>0.25</v>
      </c>
      <c r="AP9" s="11">
        <f ca="1">OFFSET('COM Techs T15'!$W9,0,MATCH(VLOOKUP('COM Veda input'!AP$3,'RES Assumptions T15'!$V$3:$W$35,2,FALSE),'COM Techs T15'!$G$3:$U$3,0))</f>
        <v>0.13</v>
      </c>
      <c r="AQ9" s="11">
        <f ca="1">OFFSET('COM Techs T15'!$W9,0,MATCH(VLOOKUP('COM Veda input'!AQ$3,'RES Assumptions T15'!$V$3:$W$35,2,FALSE),'COM Techs T15'!$G$3:$U$3,0))</f>
        <v>0.13</v>
      </c>
      <c r="AR9" s="11">
        <f ca="1">OFFSET('COM Techs T15'!$W9,0,MATCH(VLOOKUP('COM Veda input'!AR$3,'RES Assumptions T15'!$V$3:$W$35,2,FALSE),'COM Techs T15'!$G$3:$U$3,0))</f>
        <v>2</v>
      </c>
      <c r="AS9" s="11">
        <f ca="1">OFFSET('COM Techs T15'!$W9,0,MATCH(VLOOKUP('COM Veda input'!AS$3,'RES Assumptions T15'!$V$3:$W$35,2,FALSE),'COM Techs T15'!$G$3:$U$3,0))</f>
        <v>0.14000000000000001</v>
      </c>
      <c r="AT9" s="11">
        <f ca="1">OFFSET('COM Techs T15'!$W9,0,MATCH(VLOOKUP('COM Veda input'!AT$3,'RES Assumptions T15'!$V$3:$W$35,2,FALSE),'COM Techs T15'!$G$3:$U$3,0))</f>
        <v>0.25</v>
      </c>
      <c r="AU9" s="11">
        <f ca="1">OFFSET('COM Techs T15'!$W9,0,MATCH(VLOOKUP('COM Veda input'!AU$3,'RES Assumptions T15'!$V$3:$W$35,2,FALSE),'COM Techs T15'!$G$3:$U$3,0))</f>
        <v>0.14000000000000001</v>
      </c>
      <c r="AV9" s="11">
        <f ca="1">OFFSET('COM Techs T15'!$W9,0,MATCH(VLOOKUP('COM Veda input'!AV$3,'RES Assumptions T15'!$V$3:$W$35,2,FALSE),'COM Techs T15'!$G$3:$U$3,0))</f>
        <v>0.13</v>
      </c>
      <c r="AW9" s="11">
        <f ca="1">OFFSET('COM Techs T15'!$W9,0,MATCH(VLOOKUP('COM Veda input'!AW$3,'RES Assumptions T15'!$V$3:$W$35,2,FALSE),'COM Techs T15'!$G$3:$U$3,0))</f>
        <v>0.13</v>
      </c>
      <c r="AX9" s="11">
        <f ca="1">OFFSET('COM Techs T15'!$W9,0,MATCH(VLOOKUP('COM Veda input'!AX$3,'RES Assumptions T15'!$V$3:$W$35,2,FALSE),'COM Techs T15'!$G$3:$U$3,0))</f>
        <v>0.13</v>
      </c>
      <c r="AY9" s="11">
        <f ca="1">OFFSET('COM Techs T15'!$W9,0,MATCH(VLOOKUP('COM Veda input'!AY$3,'RES Assumptions T15'!$V$3:$W$35,2,FALSE),'COM Techs T15'!$G$3:$U$3,0))</f>
        <v>0.13</v>
      </c>
      <c r="AZ9" s="11">
        <f ca="1">OFFSET('COM Techs T15'!$W9,0,MATCH(VLOOKUP('COM Veda input'!AZ$3,'RES Assumptions T15'!$V$3:$W$35,2,FALSE),'COM Techs T15'!$G$3:$U$3,0))</f>
        <v>0.13</v>
      </c>
      <c r="BA9" s="11">
        <f ca="1">OFFSET('COM Techs T15'!$W9,0,MATCH(VLOOKUP('COM Veda input'!BA$3,'RES Assumptions T15'!$V$3:$W$35,2,FALSE),'COM Techs T15'!$G$3:$U$3,0))</f>
        <v>0.13</v>
      </c>
      <c r="BB9" s="11">
        <f ca="1">OFFSET('COM Techs T15'!$W9,0,MATCH(VLOOKUP('COM Veda input'!BB$3,'RES Assumptions T15'!$V$3:$W$35,2,FALSE),'COM Techs T15'!$G$3:$U$3,0))</f>
        <v>0.13</v>
      </c>
      <c r="BC9" s="11">
        <f ca="1">OFFSET('COM Techs T15'!$W9,0,MATCH(VLOOKUP('COM Veda input'!BC$3,'RES Assumptions T15'!$V$3:$W$35,2,FALSE),'COM Techs T15'!$G$3:$U$3,0))</f>
        <v>0.25</v>
      </c>
      <c r="BD9" s="11">
        <f ca="1">OFFSET('COM Techs T15'!$W9,0,MATCH(VLOOKUP('COM Veda input'!BD$3,'RES Assumptions T15'!$V$3:$W$35,2,FALSE),'COM Techs T15'!$G$3:$U$3,0))</f>
        <v>0.13</v>
      </c>
      <c r="BE9" s="11">
        <f ca="1">OFFSET('COM Techs T15'!$W9,0,MATCH(VLOOKUP('COM Veda input'!BE$3,'RES Assumptions T15'!$V$3:$W$35,2,FALSE),'COM Techs T15'!$G$3:$U$3,0))</f>
        <v>0.13</v>
      </c>
      <c r="BF9" s="11">
        <f ca="1">OFFSET('COM Techs T15'!$W9,0,MATCH(VLOOKUP('COM Veda input'!BF$3,'RES Assumptions T15'!$V$3:$W$35,2,FALSE),'COM Techs T15'!$G$3:$U$3,0))</f>
        <v>0.13</v>
      </c>
      <c r="BG9" s="11">
        <f ca="1">OFFSET('COM Techs T15'!$W9,0,MATCH(VLOOKUP('COM Veda input'!BG$3,'RES Assumptions T15'!$V$3:$W$35,2,FALSE),'COM Techs T15'!$G$3:$U$3,0))</f>
        <v>0.25</v>
      </c>
      <c r="BH9" s="11">
        <f ca="1">OFFSET('COM Techs T15'!$W9,0,MATCH(VLOOKUP('COM Veda input'!BH$3,'RES Assumptions T15'!$V$3:$W$35,2,FALSE),'COM Techs T15'!$G$3:$U$3,0))</f>
        <v>0.25</v>
      </c>
      <c r="BI9" s="11">
        <f ca="1">OFFSET('COM Techs T15'!$W9,0,MATCH(VLOOKUP('COM Veda input'!BI$3,'RES Assumptions T15'!$V$3:$W$35,2,FALSE),'COM Techs T15'!$G$3:$U$3,0))</f>
        <v>0.25</v>
      </c>
      <c r="BJ9" s="11">
        <f ca="1">OFFSET('COM Techs T15'!$W9,0,MATCH(VLOOKUP('COM Veda input'!BJ$3,'RES Assumptions T15'!$V$3:$W$35,2,FALSE),'COM Techs T15'!$G$3:$U$3,0))</f>
        <v>0.13</v>
      </c>
      <c r="BK9" s="11">
        <f ca="1">OFFSET('COM Techs T15'!$W9,0,MATCH(VLOOKUP('COM Veda input'!BK$3,'RES Assumptions T15'!$V$3:$W$35,2,FALSE),'COM Techs T15'!$G$3:$U$3,0))</f>
        <v>0.13</v>
      </c>
      <c r="BL9" s="11">
        <f ca="1">OFFSET('COM Techs T15'!$W9,0,MATCH(VLOOKUP('COM Veda input'!BL$3,'RES Assumptions T15'!$V$3:$W$35,2,FALSE),'COM Techs T15'!$G$3:$U$3,0))</f>
        <v>0.25</v>
      </c>
      <c r="BM9" s="11">
        <f ca="1">OFFSET('COM Techs T15'!$W9,0,MATCH(VLOOKUP('COM Veda input'!BM$3,'RES Assumptions T15'!$V$3:$W$35,2,FALSE),'COM Techs T15'!$G$3:$U$3,0))</f>
        <v>0.25</v>
      </c>
      <c r="BN9" s="11">
        <f ca="1">OFFSET('COM Techs T15'!$W9,0,MATCH(VLOOKUP('COM Veda input'!BN$3,'RES Assumptions T15'!$V$3:$W$35,2,FALSE),'COM Techs T15'!$G$3:$U$3,0))</f>
        <v>0.13</v>
      </c>
      <c r="BO9" s="11">
        <f ca="1">OFFSET('COM Techs T15'!$W9,0,MATCH(VLOOKUP('COM Veda input'!BO$3,'RES Assumptions T15'!$V$3:$W$35,2,FALSE),'COM Techs T15'!$G$3:$U$3,0))</f>
        <v>0.13</v>
      </c>
      <c r="BP9" s="11">
        <f ca="1">OFFSET('COM Techs T15'!$W9,0,MATCH(VLOOKUP('COM Veda input'!BP$3,'RES Assumptions T15'!$V$3:$W$35,2,FALSE),'COM Techs T15'!$G$3:$U$3,0))</f>
        <v>0.13</v>
      </c>
      <c r="BQ9">
        <v>3</v>
      </c>
      <c r="BS9" s="8" t="str">
        <f t="shared" si="20"/>
        <v>CSCGEO000</v>
      </c>
      <c r="BT9" s="11">
        <f t="shared" ca="1" si="21"/>
        <v>3.6</v>
      </c>
      <c r="BU9" s="11" t="str">
        <f ca="1">OFFSET('COM Techs T15'!$AO9,0,MATCH(VLOOKUP('COM Veda input'!BU$3,'RES Assumptions T15'!$V$3:$W$35,2,FALSE),'COM Techs T15'!$G$3:$U$3,0))</f>
        <v/>
      </c>
      <c r="BV9" s="11" t="str">
        <f ca="1">OFFSET('COM Techs T15'!$AO9,0,MATCH(VLOOKUP('COM Veda input'!BV$3,'RES Assumptions T15'!$V$3:$W$35,2,FALSE),'COM Techs T15'!$G$3:$U$3,0))</f>
        <v/>
      </c>
      <c r="BW9" s="11" t="str">
        <f ca="1">OFFSET('COM Techs T15'!$AO9,0,MATCH(VLOOKUP('COM Veda input'!BW$3,'RES Assumptions T15'!$V$3:$W$35,2,FALSE),'COM Techs T15'!$G$3:$U$3,0))</f>
        <v/>
      </c>
      <c r="BX9" s="11">
        <f ca="1">OFFSET('COM Techs T15'!$AO9,0,MATCH(VLOOKUP('COM Veda input'!BX$3,'RES Assumptions T15'!$V$3:$W$35,2,FALSE),'COM Techs T15'!$G$3:$U$3,0))</f>
        <v>3.6</v>
      </c>
      <c r="BY9" s="11">
        <f ca="1">OFFSET('COM Techs T15'!$AO9,0,MATCH(VLOOKUP('COM Veda input'!BY$3,'RES Assumptions T15'!$V$3:$W$35,2,FALSE),'COM Techs T15'!$G$3:$U$3,0))</f>
        <v>4.2</v>
      </c>
      <c r="BZ9" s="11">
        <f ca="1">OFFSET('COM Techs T15'!$AO9,0,MATCH(VLOOKUP('COM Veda input'!BZ$3,'RES Assumptions T15'!$V$3:$W$35,2,FALSE),'COM Techs T15'!$G$3:$U$3,0))</f>
        <v>4.8</v>
      </c>
      <c r="CA9" s="11" t="str">
        <f ca="1">OFFSET('COM Techs T15'!$AO9,0,MATCH(VLOOKUP('COM Veda input'!CA$3,'RES Assumptions T15'!$V$3:$W$35,2,FALSE),'COM Techs T15'!$G$3:$U$3,0))</f>
        <v/>
      </c>
      <c r="CB9" s="11" t="str">
        <f ca="1">OFFSET('COM Techs T15'!$AO9,0,MATCH(VLOOKUP('COM Veda input'!CB$3,'RES Assumptions T15'!$V$3:$W$35,2,FALSE),'COM Techs T15'!$G$3:$U$3,0))</f>
        <v/>
      </c>
      <c r="CC9" s="11">
        <f ca="1">OFFSET('COM Techs T15'!$AO9,0,MATCH(VLOOKUP('COM Veda input'!CC$3,'RES Assumptions T15'!$V$3:$W$35,2,FALSE),'COM Techs T15'!$G$3:$U$3,0))</f>
        <v>3.6</v>
      </c>
      <c r="CD9" s="11">
        <f ca="1">OFFSET('COM Techs T15'!$AO9,0,MATCH(VLOOKUP('COM Veda input'!CD$3,'RES Assumptions T15'!$V$3:$W$35,2,FALSE),'COM Techs T15'!$G$3:$U$3,0))</f>
        <v>4.2</v>
      </c>
      <c r="CE9" s="11" t="str">
        <f ca="1">OFFSET('COM Techs T15'!$AO9,0,MATCH(VLOOKUP('COM Veda input'!CE$3,'RES Assumptions T15'!$V$3:$W$35,2,FALSE),'COM Techs T15'!$G$3:$U$3,0))</f>
        <v/>
      </c>
      <c r="CF9" s="11" t="str">
        <f ca="1">OFFSET('COM Techs T15'!$AO9,0,MATCH(VLOOKUP('COM Veda input'!CF$3,'RES Assumptions T15'!$V$3:$W$35,2,FALSE),'COM Techs T15'!$G$3:$U$3,0))</f>
        <v/>
      </c>
      <c r="CG9" s="11" t="str">
        <f ca="1">OFFSET('COM Techs T15'!$AO9,0,MATCH(VLOOKUP('COM Veda input'!CG$3,'RES Assumptions T15'!$V$3:$W$35,2,FALSE),'COM Techs T15'!$G$3:$U$3,0))</f>
        <v/>
      </c>
      <c r="CH9" s="11" t="str">
        <f ca="1">OFFSET('COM Techs T15'!$AO9,0,MATCH(VLOOKUP('COM Veda input'!CH$3,'RES Assumptions T15'!$V$3:$W$35,2,FALSE),'COM Techs T15'!$G$3:$U$3,0))</f>
        <v/>
      </c>
      <c r="CI9" s="11" t="str">
        <f ca="1">OFFSET('COM Techs T15'!$AO9,0,MATCH(VLOOKUP('COM Veda input'!CI$3,'RES Assumptions T15'!$V$3:$W$35,2,FALSE),'COM Techs T15'!$G$3:$U$3,0))</f>
        <v/>
      </c>
      <c r="CJ9" s="11" t="str">
        <f ca="1">OFFSET('COM Techs T15'!$AO9,0,MATCH(VLOOKUP('COM Veda input'!CJ$3,'RES Assumptions T15'!$V$3:$W$35,2,FALSE),'COM Techs T15'!$G$3:$U$3,0))</f>
        <v/>
      </c>
      <c r="CK9" s="11">
        <f ca="1">OFFSET('COM Techs T15'!$AO9,0,MATCH(VLOOKUP('COM Veda input'!CK$3,'RES Assumptions T15'!$V$3:$W$35,2,FALSE),'COM Techs T15'!$G$3:$U$3,0))</f>
        <v>4.8</v>
      </c>
      <c r="CL9" s="11" t="str">
        <f ca="1">OFFSET('COM Techs T15'!$AO9,0,MATCH(VLOOKUP('COM Veda input'!CL$3,'RES Assumptions T15'!$V$3:$W$35,2,FALSE),'COM Techs T15'!$G$3:$U$3,0))</f>
        <v/>
      </c>
      <c r="CM9" s="11" t="str">
        <f ca="1">OFFSET('COM Techs T15'!$AO9,0,MATCH(VLOOKUP('COM Veda input'!CM$3,'RES Assumptions T15'!$V$3:$W$35,2,FALSE),'COM Techs T15'!$G$3:$U$3,0))</f>
        <v/>
      </c>
      <c r="CN9" s="11">
        <f ca="1">OFFSET('COM Techs T15'!$AO9,0,MATCH(VLOOKUP('COM Veda input'!CN$3,'RES Assumptions T15'!$V$3:$W$35,2,FALSE),'COM Techs T15'!$G$3:$U$3,0))</f>
        <v>6</v>
      </c>
      <c r="CO9" s="11" t="str">
        <f ca="1">OFFSET('COM Techs T15'!$AO9,0,MATCH(VLOOKUP('COM Veda input'!CO$3,'RES Assumptions T15'!$V$3:$W$35,2,FALSE),'COM Techs T15'!$G$3:$U$3,0))</f>
        <v/>
      </c>
      <c r="CP9" s="11">
        <f ca="1">OFFSET('COM Techs T15'!$AO9,0,MATCH(VLOOKUP('COM Veda input'!CP$3,'RES Assumptions T15'!$V$3:$W$35,2,FALSE),'COM Techs T15'!$G$3:$U$3,0))</f>
        <v>3.6</v>
      </c>
      <c r="CQ9" s="11">
        <f ca="1">OFFSET('COM Techs T15'!$AO9,0,MATCH(VLOOKUP('COM Veda input'!CQ$3,'RES Assumptions T15'!$V$3:$W$35,2,FALSE),'COM Techs T15'!$G$3:$U$3,0))</f>
        <v>4.8</v>
      </c>
      <c r="CR9" s="11" t="str">
        <f ca="1">OFFSET('COM Techs T15'!$AO9,0,MATCH(VLOOKUP('COM Veda input'!CR$3,'RES Assumptions T15'!$V$3:$W$35,2,FALSE),'COM Techs T15'!$G$3:$U$3,0))</f>
        <v/>
      </c>
      <c r="CS9" s="11">
        <f ca="1">OFFSET('COM Techs T15'!$AO9,0,MATCH(VLOOKUP('COM Veda input'!CS$3,'RES Assumptions T15'!$V$3:$W$35,2,FALSE),'COM Techs T15'!$G$3:$U$3,0))</f>
        <v>3.6</v>
      </c>
      <c r="CT9" s="11">
        <f ca="1">OFFSET('COM Techs T15'!$AO9,0,MATCH(VLOOKUP('COM Veda input'!CT$3,'RES Assumptions T15'!$V$3:$W$35,2,FALSE),'COM Techs T15'!$G$3:$U$3,0))</f>
        <v>4.8</v>
      </c>
      <c r="CU9" s="11" t="str">
        <f ca="1">OFFSET('COM Techs T15'!$AO9,0,MATCH(VLOOKUP('COM Veda input'!CU$3,'RES Assumptions T15'!$V$3:$W$35,2,FALSE),'COM Techs T15'!$G$3:$U$3,0))</f>
        <v/>
      </c>
      <c r="CV9" s="11" t="str">
        <f ca="1">OFFSET('COM Techs T15'!$AO9,0,MATCH(VLOOKUP('COM Veda input'!CV$3,'RES Assumptions T15'!$V$3:$W$35,2,FALSE),'COM Techs T15'!$G$3:$U$3,0))</f>
        <v/>
      </c>
      <c r="CW9" s="11" t="str">
        <f ca="1">OFFSET('COM Techs T15'!$AO9,0,MATCH(VLOOKUP('COM Veda input'!CW$3,'RES Assumptions T15'!$V$3:$W$35,2,FALSE),'COM Techs T15'!$G$3:$U$3,0))</f>
        <v/>
      </c>
      <c r="CX9" s="11" t="str">
        <f ca="1">OFFSET('COM Techs T15'!$AO9,0,MATCH(VLOOKUP('COM Veda input'!CX$3,'RES Assumptions T15'!$V$3:$W$35,2,FALSE),'COM Techs T15'!$G$3:$U$3,0))</f>
        <v/>
      </c>
      <c r="CZ9" s="8" t="str">
        <f t="shared" si="22"/>
        <v>CSCGEO000</v>
      </c>
      <c r="DA9" s="10">
        <f ca="1">'COM Assumptions'!E86*G9/'COM Veda input'!AM9</f>
        <v>0</v>
      </c>
      <c r="DB9" s="10">
        <f ca="1">'COM Assumptions'!F86*H9/'COM Veda input'!AN9</f>
        <v>0</v>
      </c>
      <c r="DC9" s="10">
        <f ca="1">'COM Assumptions'!G86*I9/'COM Veda input'!AO9</f>
        <v>0</v>
      </c>
      <c r="DD9" s="10">
        <f ca="1">'COM Assumptions'!H86*J9/'COM Veda input'!AP9</f>
        <v>0</v>
      </c>
      <c r="DE9" s="10">
        <f ca="1">'COM Assumptions'!I86*K9/'COM Veda input'!AQ9</f>
        <v>25.080908169599994</v>
      </c>
      <c r="DF9" s="10">
        <f ca="1">'COM Assumptions'!J86*L9/'COM Veda input'!AR9</f>
        <v>0</v>
      </c>
      <c r="DG9" s="10">
        <f ca="1">'COM Assumptions'!K86*M9/'COM Veda input'!AS9</f>
        <v>0</v>
      </c>
      <c r="DH9" s="10">
        <f ca="1">'COM Assumptions'!L86*N9/'COM Veda input'!AT9</f>
        <v>0</v>
      </c>
      <c r="DI9" s="10">
        <f ca="1">'COM Assumptions'!M86*O9/'COM Veda input'!AU9</f>
        <v>0</v>
      </c>
      <c r="DJ9" s="10">
        <f ca="1">'COM Assumptions'!N86*P9/'COM Veda input'!AV9</f>
        <v>0</v>
      </c>
      <c r="DK9" s="10">
        <f ca="1">'COM Assumptions'!O86*Q9/'COM Veda input'!AW9</f>
        <v>0</v>
      </c>
      <c r="DL9" s="10">
        <f ca="1">'COM Assumptions'!P86*R9/'COM Veda input'!AX9</f>
        <v>0</v>
      </c>
      <c r="DM9" s="10">
        <f ca="1">'COM Assumptions'!Q86*S9/'COM Veda input'!AY9</f>
        <v>0</v>
      </c>
      <c r="DN9" s="10">
        <f ca="1">'COM Assumptions'!R86*T9/'COM Veda input'!AZ9</f>
        <v>14.895852904146842</v>
      </c>
      <c r="DO9" s="10">
        <f ca="1">'COM Assumptions'!S86*U9/'COM Veda input'!BA9</f>
        <v>0</v>
      </c>
      <c r="DP9" s="10">
        <f ca="1">'COM Assumptions'!T86*V9/'COM Veda input'!BB9</f>
        <v>0.31389354989674756</v>
      </c>
      <c r="DQ9" s="10">
        <f ca="1">'COM Assumptions'!U86*W9/'COM Veda input'!BC9</f>
        <v>0</v>
      </c>
      <c r="DR9" s="10">
        <f ca="1">'COM Assumptions'!V86*X9/'COM Veda input'!BD9</f>
        <v>2.8841643166007302</v>
      </c>
      <c r="DS9" s="10">
        <f ca="1">'COM Assumptions'!W86*Y9/'COM Veda input'!BE9</f>
        <v>9.5980886454169703</v>
      </c>
      <c r="DT9" s="10">
        <f ca="1">'COM Assumptions'!X86*Z9/'COM Veda input'!BF9</f>
        <v>0</v>
      </c>
      <c r="DU9" s="10">
        <f ca="1">'COM Assumptions'!Y86*AA9/'COM Veda input'!BG9</f>
        <v>0</v>
      </c>
      <c r="DV9" s="10">
        <f ca="1">'COM Assumptions'!Z86*AB9/'COM Veda input'!BH9</f>
        <v>0</v>
      </c>
      <c r="DW9" s="10">
        <f ca="1">'COM Assumptions'!AA86*AC9/'COM Veda input'!BI9</f>
        <v>0</v>
      </c>
      <c r="DX9" s="10">
        <f ca="1">'COM Assumptions'!AB86*AD9/'COM Veda input'!BJ9</f>
        <v>1.0586663611709919</v>
      </c>
      <c r="DY9" s="10">
        <f ca="1">'COM Assumptions'!AC86*AE9/'COM Veda input'!BK9</f>
        <v>0</v>
      </c>
      <c r="DZ9" s="10">
        <f ca="1">'COM Assumptions'!AD86*AF9/'COM Veda input'!BL9</f>
        <v>0</v>
      </c>
      <c r="EA9" s="10">
        <f ca="1">'COM Assumptions'!AE86*AG9/'COM Veda input'!BM9</f>
        <v>0</v>
      </c>
      <c r="EB9" s="10">
        <f ca="1">'COM Assumptions'!AF86*AH9/'COM Veda input'!BN9</f>
        <v>7.0022407284659055E-2</v>
      </c>
      <c r="EC9" s="10">
        <f ca="1">'COM Assumptions'!AG86*AI9/'COM Veda input'!BO9</f>
        <v>0</v>
      </c>
      <c r="ED9" s="10">
        <f ca="1">'COM Assumptions'!AH86*AJ9/'COM Veda input'!BP9</f>
        <v>0</v>
      </c>
      <c r="EE9" s="8">
        <v>15</v>
      </c>
      <c r="EI9" s="8" t="str">
        <f t="shared" si="23"/>
        <v>CSCGEO000</v>
      </c>
      <c r="EK9" t="s">
        <v>282</v>
      </c>
      <c r="EL9" t="s">
        <v>283</v>
      </c>
    </row>
    <row r="10" spans="1:145" x14ac:dyDescent="0.45">
      <c r="A10" s="37" t="str">
        <f>'COM Assumptions'!B87</f>
        <v>CL</v>
      </c>
      <c r="B10" s="37" t="s">
        <v>220</v>
      </c>
      <c r="D10" t="s">
        <v>320</v>
      </c>
      <c r="E10" s="8" t="str">
        <f>'COM Assumptions'!A87</f>
        <v>COMNGA</v>
      </c>
      <c r="F10" t="str">
        <f>VLOOKUP('COM Assumptions'!B87,'COM Assumptions'!$AP$81:$AQ$88,2,FALSE)</f>
        <v>CSC</v>
      </c>
      <c r="G10" s="11">
        <f ca="1">OFFSET('COM Techs T15'!$F10,0,MATCH(VLOOKUP('COM Veda input'!G$3,'RES Assumptions T15'!$V$3:$W$35,2,FALSE),'COM Techs T15'!$G$3:$U$3,0))</f>
        <v>1</v>
      </c>
      <c r="H10" s="11">
        <f ca="1">OFFSET('COM Techs T15'!$F10,0,MATCH(VLOOKUP('COM Veda input'!H$3,'RES Assumptions T15'!$V$3:$W$35,2,FALSE),'COM Techs T15'!$G$3:$U$3,0))</f>
        <v>1</v>
      </c>
      <c r="I10" s="11">
        <f ca="1">OFFSET('COM Techs T15'!$F10,0,MATCH(VLOOKUP('COM Veda input'!I$3,'RES Assumptions T15'!$V$3:$W$35,2,FALSE),'COM Techs T15'!$G$3:$U$3,0))</f>
        <v>1</v>
      </c>
      <c r="J10" s="11">
        <f ca="1">OFFSET('COM Techs T15'!$F10,0,MATCH(VLOOKUP('COM Veda input'!J$3,'RES Assumptions T15'!$V$3:$W$35,2,FALSE),'COM Techs T15'!$G$3:$U$3,0))</f>
        <v>1</v>
      </c>
      <c r="K10" s="11">
        <f ca="1">OFFSET('COM Techs T15'!$F10,0,MATCH(VLOOKUP('COM Veda input'!K$3,'RES Assumptions T15'!$V$3:$W$35,2,FALSE),'COM Techs T15'!$G$3:$U$3,0))</f>
        <v>1</v>
      </c>
      <c r="L10" s="11">
        <f ca="1">OFFSET('COM Techs T15'!$F10,0,MATCH(VLOOKUP('COM Veda input'!L$3,'RES Assumptions T15'!$V$3:$W$35,2,FALSE),'COM Techs T15'!$G$3:$U$3,0))</f>
        <v>1</v>
      </c>
      <c r="M10" s="11">
        <f ca="1">OFFSET('COM Techs T15'!$F10,0,MATCH(VLOOKUP('COM Veda input'!M$3,'RES Assumptions T15'!$V$3:$W$35,2,FALSE),'COM Techs T15'!$G$3:$U$3,0))</f>
        <v>1</v>
      </c>
      <c r="N10" s="11">
        <f ca="1">OFFSET('COM Techs T15'!$F10,0,MATCH(VLOOKUP('COM Veda input'!N$3,'RES Assumptions T15'!$V$3:$W$35,2,FALSE),'COM Techs T15'!$G$3:$U$3,0))</f>
        <v>1</v>
      </c>
      <c r="O10" s="11">
        <f ca="1">OFFSET('COM Techs T15'!$F10,0,MATCH(VLOOKUP('COM Veda input'!O$3,'RES Assumptions T15'!$V$3:$W$35,2,FALSE),'COM Techs T15'!$G$3:$U$3,0))</f>
        <v>1</v>
      </c>
      <c r="P10" s="11">
        <f ca="1">OFFSET('COM Techs T15'!$F10,0,MATCH(VLOOKUP('COM Veda input'!P$3,'RES Assumptions T15'!$V$3:$W$35,2,FALSE),'COM Techs T15'!$G$3:$U$3,0))</f>
        <v>1</v>
      </c>
      <c r="Q10" s="11">
        <f ca="1">OFFSET('COM Techs T15'!$F10,0,MATCH(VLOOKUP('COM Veda input'!Q$3,'RES Assumptions T15'!$V$3:$W$35,2,FALSE),'COM Techs T15'!$G$3:$U$3,0))</f>
        <v>1</v>
      </c>
      <c r="R10" s="11">
        <f ca="1">OFFSET('COM Techs T15'!$F10,0,MATCH(VLOOKUP('COM Veda input'!R$3,'RES Assumptions T15'!$V$3:$W$35,2,FALSE),'COM Techs T15'!$G$3:$U$3,0))</f>
        <v>1</v>
      </c>
      <c r="S10" s="11">
        <f ca="1">OFFSET('COM Techs T15'!$F10,0,MATCH(VLOOKUP('COM Veda input'!S$3,'RES Assumptions T15'!$V$3:$W$35,2,FALSE),'COM Techs T15'!$G$3:$U$3,0))</f>
        <v>1</v>
      </c>
      <c r="T10" s="11">
        <f ca="1">OFFSET('COM Techs T15'!$F10,0,MATCH(VLOOKUP('COM Veda input'!T$3,'RES Assumptions T15'!$V$3:$W$35,2,FALSE),'COM Techs T15'!$G$3:$U$3,0))</f>
        <v>1</v>
      </c>
      <c r="U10" s="11">
        <f ca="1">OFFSET('COM Techs T15'!$F10,0,MATCH(VLOOKUP('COM Veda input'!U$3,'RES Assumptions T15'!$V$3:$W$35,2,FALSE),'COM Techs T15'!$G$3:$U$3,0))</f>
        <v>1</v>
      </c>
      <c r="V10" s="11">
        <f ca="1">OFFSET('COM Techs T15'!$F10,0,MATCH(VLOOKUP('COM Veda input'!V$3,'RES Assumptions T15'!$V$3:$W$35,2,FALSE),'COM Techs T15'!$G$3:$U$3,0))</f>
        <v>1</v>
      </c>
      <c r="W10" s="11">
        <f ca="1">OFFSET('COM Techs T15'!$F10,0,MATCH(VLOOKUP('COM Veda input'!W$3,'RES Assumptions T15'!$V$3:$W$35,2,FALSE),'COM Techs T15'!$G$3:$U$3,0))</f>
        <v>1</v>
      </c>
      <c r="X10" s="11">
        <f ca="1">OFFSET('COM Techs T15'!$F10,0,MATCH(VLOOKUP('COM Veda input'!X$3,'RES Assumptions T15'!$V$3:$W$35,2,FALSE),'COM Techs T15'!$G$3:$U$3,0))</f>
        <v>1</v>
      </c>
      <c r="Y10" s="11">
        <f ca="1">OFFSET('COM Techs T15'!$F10,0,MATCH(VLOOKUP('COM Veda input'!Y$3,'RES Assumptions T15'!$V$3:$W$35,2,FALSE),'COM Techs T15'!$G$3:$U$3,0))</f>
        <v>1</v>
      </c>
      <c r="Z10" s="11">
        <f ca="1">OFFSET('COM Techs T15'!$F10,0,MATCH(VLOOKUP('COM Veda input'!Z$3,'RES Assumptions T15'!$V$3:$W$35,2,FALSE),'COM Techs T15'!$G$3:$U$3,0))</f>
        <v>1</v>
      </c>
      <c r="AA10" s="11">
        <f ca="1">OFFSET('COM Techs T15'!$F10,0,MATCH(VLOOKUP('COM Veda input'!AA$3,'RES Assumptions T15'!$V$3:$W$35,2,FALSE),'COM Techs T15'!$G$3:$U$3,0))</f>
        <v>1</v>
      </c>
      <c r="AB10" s="11">
        <f ca="1">OFFSET('COM Techs T15'!$F10,0,MATCH(VLOOKUP('COM Veda input'!AB$3,'RES Assumptions T15'!$V$3:$W$35,2,FALSE),'COM Techs T15'!$G$3:$U$3,0))</f>
        <v>1</v>
      </c>
      <c r="AC10" s="11">
        <f ca="1">OFFSET('COM Techs T15'!$F10,0,MATCH(VLOOKUP('COM Veda input'!AC$3,'RES Assumptions T15'!$V$3:$W$35,2,FALSE),'COM Techs T15'!$G$3:$U$3,0))</f>
        <v>1</v>
      </c>
      <c r="AD10" s="11">
        <f ca="1">OFFSET('COM Techs T15'!$F10,0,MATCH(VLOOKUP('COM Veda input'!AD$3,'RES Assumptions T15'!$V$3:$W$35,2,FALSE),'COM Techs T15'!$G$3:$U$3,0))</f>
        <v>1</v>
      </c>
      <c r="AE10" s="11">
        <f ca="1">OFFSET('COM Techs T15'!$F10,0,MATCH(VLOOKUP('COM Veda input'!AE$3,'RES Assumptions T15'!$V$3:$W$35,2,FALSE),'COM Techs T15'!$G$3:$U$3,0))</f>
        <v>1</v>
      </c>
      <c r="AF10" s="11">
        <f ca="1">OFFSET('COM Techs T15'!$F10,0,MATCH(VLOOKUP('COM Veda input'!AF$3,'RES Assumptions T15'!$V$3:$W$35,2,FALSE),'COM Techs T15'!$G$3:$U$3,0))</f>
        <v>1</v>
      </c>
      <c r="AG10" s="11">
        <f ca="1">OFFSET('COM Techs T15'!$F10,0,MATCH(VLOOKUP('COM Veda input'!AG$3,'RES Assumptions T15'!$V$3:$W$35,2,FALSE),'COM Techs T15'!$G$3:$U$3,0))</f>
        <v>1</v>
      </c>
      <c r="AH10" s="11">
        <f ca="1">OFFSET('COM Techs T15'!$F10,0,MATCH(VLOOKUP('COM Veda input'!AH$3,'RES Assumptions T15'!$V$3:$W$35,2,FALSE),'COM Techs T15'!$G$3:$U$3,0))</f>
        <v>1</v>
      </c>
      <c r="AI10" s="11">
        <f ca="1">OFFSET('COM Techs T15'!$F10,0,MATCH(VLOOKUP('COM Veda input'!AI$3,'RES Assumptions T15'!$V$3:$W$35,2,FALSE),'COM Techs T15'!$G$3:$U$3,0))</f>
        <v>1</v>
      </c>
      <c r="AJ10" s="11">
        <f ca="1">OFFSET('COM Techs T15'!$F10,0,MATCH(VLOOKUP('COM Veda input'!AJ$3,'RES Assumptions T15'!$V$3:$W$35,2,FALSE),'COM Techs T15'!$G$3:$U$3,0))</f>
        <v>1</v>
      </c>
      <c r="AL10" s="8" t="str">
        <f t="shared" si="19"/>
        <v>CSCNGA000</v>
      </c>
      <c r="AM10" s="11">
        <f ca="1">OFFSET('COM Techs T15'!$W10,0,MATCH(VLOOKUP('COM Veda input'!AM$3,'RES Assumptions T15'!$V$3:$W$35,2,FALSE),'COM Techs T15'!$G$3:$U$3,0))</f>
        <v>0.25</v>
      </c>
      <c r="AN10" s="11">
        <f ca="1">OFFSET('COM Techs T15'!$W10,0,MATCH(VLOOKUP('COM Veda input'!AN$3,'RES Assumptions T15'!$V$3:$W$35,2,FALSE),'COM Techs T15'!$G$3:$U$3,0))</f>
        <v>0.25</v>
      </c>
      <c r="AO10" s="11">
        <f ca="1">OFFSET('COM Techs T15'!$W10,0,MATCH(VLOOKUP('COM Veda input'!AO$3,'RES Assumptions T15'!$V$3:$W$35,2,FALSE),'COM Techs T15'!$G$3:$U$3,0))</f>
        <v>0.25</v>
      </c>
      <c r="AP10" s="11">
        <f ca="1">OFFSET('COM Techs T15'!$W10,0,MATCH(VLOOKUP('COM Veda input'!AP$3,'RES Assumptions T15'!$V$3:$W$35,2,FALSE),'COM Techs T15'!$G$3:$U$3,0))</f>
        <v>0.13</v>
      </c>
      <c r="AQ10" s="11">
        <f ca="1">OFFSET('COM Techs T15'!$W10,0,MATCH(VLOOKUP('COM Veda input'!AQ$3,'RES Assumptions T15'!$V$3:$W$35,2,FALSE),'COM Techs T15'!$G$3:$U$3,0))</f>
        <v>0.13</v>
      </c>
      <c r="AR10" s="11">
        <f ca="1">OFFSET('COM Techs T15'!$W10,0,MATCH(VLOOKUP('COM Veda input'!AR$3,'RES Assumptions T15'!$V$3:$W$35,2,FALSE),'COM Techs T15'!$G$3:$U$3,0))</f>
        <v>0.2</v>
      </c>
      <c r="AS10" s="11">
        <f ca="1">OFFSET('COM Techs T15'!$W10,0,MATCH(VLOOKUP('COM Veda input'!AS$3,'RES Assumptions T15'!$V$3:$W$35,2,FALSE),'COM Techs T15'!$G$3:$U$3,0))</f>
        <v>0.14000000000000001</v>
      </c>
      <c r="AT10" s="11">
        <f ca="1">OFFSET('COM Techs T15'!$W10,0,MATCH(VLOOKUP('COM Veda input'!AT$3,'RES Assumptions T15'!$V$3:$W$35,2,FALSE),'COM Techs T15'!$G$3:$U$3,0))</f>
        <v>0.25</v>
      </c>
      <c r="AU10" s="11">
        <f ca="1">OFFSET('COM Techs T15'!$W10,0,MATCH(VLOOKUP('COM Veda input'!AU$3,'RES Assumptions T15'!$V$3:$W$35,2,FALSE),'COM Techs T15'!$G$3:$U$3,0))</f>
        <v>0.14000000000000001</v>
      </c>
      <c r="AV10" s="11">
        <f ca="1">OFFSET('COM Techs T15'!$W10,0,MATCH(VLOOKUP('COM Veda input'!AV$3,'RES Assumptions T15'!$V$3:$W$35,2,FALSE),'COM Techs T15'!$G$3:$U$3,0))</f>
        <v>0.13</v>
      </c>
      <c r="AW10" s="11">
        <f ca="1">OFFSET('COM Techs T15'!$W10,0,MATCH(VLOOKUP('COM Veda input'!AW$3,'RES Assumptions T15'!$V$3:$W$35,2,FALSE),'COM Techs T15'!$G$3:$U$3,0))</f>
        <v>0.13</v>
      </c>
      <c r="AX10" s="11">
        <f ca="1">OFFSET('COM Techs T15'!$W10,0,MATCH(VLOOKUP('COM Veda input'!AX$3,'RES Assumptions T15'!$V$3:$W$35,2,FALSE),'COM Techs T15'!$G$3:$U$3,0))</f>
        <v>0.13</v>
      </c>
      <c r="AY10" s="11">
        <f ca="1">OFFSET('COM Techs T15'!$W10,0,MATCH(VLOOKUP('COM Veda input'!AY$3,'RES Assumptions T15'!$V$3:$W$35,2,FALSE),'COM Techs T15'!$G$3:$U$3,0))</f>
        <v>0.13</v>
      </c>
      <c r="AZ10" s="11">
        <f ca="1">OFFSET('COM Techs T15'!$W10,0,MATCH(VLOOKUP('COM Veda input'!AZ$3,'RES Assumptions T15'!$V$3:$W$35,2,FALSE),'COM Techs T15'!$G$3:$U$3,0))</f>
        <v>0.13</v>
      </c>
      <c r="BA10" s="11">
        <f ca="1">OFFSET('COM Techs T15'!$W10,0,MATCH(VLOOKUP('COM Veda input'!BA$3,'RES Assumptions T15'!$V$3:$W$35,2,FALSE),'COM Techs T15'!$G$3:$U$3,0))</f>
        <v>0.13</v>
      </c>
      <c r="BB10" s="11">
        <f ca="1">OFFSET('COM Techs T15'!$W10,0,MATCH(VLOOKUP('COM Veda input'!BB$3,'RES Assumptions T15'!$V$3:$W$35,2,FALSE),'COM Techs T15'!$G$3:$U$3,0))</f>
        <v>0.13</v>
      </c>
      <c r="BC10" s="11">
        <f ca="1">OFFSET('COM Techs T15'!$W10,0,MATCH(VLOOKUP('COM Veda input'!BC$3,'RES Assumptions T15'!$V$3:$W$35,2,FALSE),'COM Techs T15'!$G$3:$U$3,0))</f>
        <v>0.25</v>
      </c>
      <c r="BD10" s="11">
        <f ca="1">OFFSET('COM Techs T15'!$W10,0,MATCH(VLOOKUP('COM Veda input'!BD$3,'RES Assumptions T15'!$V$3:$W$35,2,FALSE),'COM Techs T15'!$G$3:$U$3,0))</f>
        <v>0.13</v>
      </c>
      <c r="BE10" s="11">
        <f ca="1">OFFSET('COM Techs T15'!$W10,0,MATCH(VLOOKUP('COM Veda input'!BE$3,'RES Assumptions T15'!$V$3:$W$35,2,FALSE),'COM Techs T15'!$G$3:$U$3,0))</f>
        <v>0.13</v>
      </c>
      <c r="BF10" s="11">
        <f ca="1">OFFSET('COM Techs T15'!$W10,0,MATCH(VLOOKUP('COM Veda input'!BF$3,'RES Assumptions T15'!$V$3:$W$35,2,FALSE),'COM Techs T15'!$G$3:$U$3,0))</f>
        <v>0.13</v>
      </c>
      <c r="BG10" s="11">
        <f ca="1">OFFSET('COM Techs T15'!$W10,0,MATCH(VLOOKUP('COM Veda input'!BG$3,'RES Assumptions T15'!$V$3:$W$35,2,FALSE),'COM Techs T15'!$G$3:$U$3,0))</f>
        <v>0.25</v>
      </c>
      <c r="BH10" s="11">
        <f ca="1">OFFSET('COM Techs T15'!$W10,0,MATCH(VLOOKUP('COM Veda input'!BH$3,'RES Assumptions T15'!$V$3:$W$35,2,FALSE),'COM Techs T15'!$G$3:$U$3,0))</f>
        <v>0.25</v>
      </c>
      <c r="BI10" s="11">
        <f ca="1">OFFSET('COM Techs T15'!$W10,0,MATCH(VLOOKUP('COM Veda input'!BI$3,'RES Assumptions T15'!$V$3:$W$35,2,FALSE),'COM Techs T15'!$G$3:$U$3,0))</f>
        <v>0.25</v>
      </c>
      <c r="BJ10" s="11">
        <f ca="1">OFFSET('COM Techs T15'!$W10,0,MATCH(VLOOKUP('COM Veda input'!BJ$3,'RES Assumptions T15'!$V$3:$W$35,2,FALSE),'COM Techs T15'!$G$3:$U$3,0))</f>
        <v>0.13</v>
      </c>
      <c r="BK10" s="11">
        <f ca="1">OFFSET('COM Techs T15'!$W10,0,MATCH(VLOOKUP('COM Veda input'!BK$3,'RES Assumptions T15'!$V$3:$W$35,2,FALSE),'COM Techs T15'!$G$3:$U$3,0))</f>
        <v>0.13</v>
      </c>
      <c r="BL10" s="11">
        <f ca="1">OFFSET('COM Techs T15'!$W10,0,MATCH(VLOOKUP('COM Veda input'!BL$3,'RES Assumptions T15'!$V$3:$W$35,2,FALSE),'COM Techs T15'!$G$3:$U$3,0))</f>
        <v>0.25</v>
      </c>
      <c r="BM10" s="11">
        <f ca="1">OFFSET('COM Techs T15'!$W10,0,MATCH(VLOOKUP('COM Veda input'!BM$3,'RES Assumptions T15'!$V$3:$W$35,2,FALSE),'COM Techs T15'!$G$3:$U$3,0))</f>
        <v>0.25</v>
      </c>
      <c r="BN10" s="11">
        <f ca="1">OFFSET('COM Techs T15'!$W10,0,MATCH(VLOOKUP('COM Veda input'!BN$3,'RES Assumptions T15'!$V$3:$W$35,2,FALSE),'COM Techs T15'!$G$3:$U$3,0))</f>
        <v>0.13</v>
      </c>
      <c r="BO10" s="11">
        <f ca="1">OFFSET('COM Techs T15'!$W10,0,MATCH(VLOOKUP('COM Veda input'!BO$3,'RES Assumptions T15'!$V$3:$W$35,2,FALSE),'COM Techs T15'!$G$3:$U$3,0))</f>
        <v>0.13</v>
      </c>
      <c r="BP10" s="11">
        <f ca="1">OFFSET('COM Techs T15'!$W10,0,MATCH(VLOOKUP('COM Veda input'!BP$3,'RES Assumptions T15'!$V$3:$W$35,2,FALSE),'COM Techs T15'!$G$3:$U$3,0))</f>
        <v>0.13</v>
      </c>
      <c r="BQ10">
        <v>3</v>
      </c>
      <c r="BS10" s="8" t="str">
        <f t="shared" si="20"/>
        <v>CSCNGA000</v>
      </c>
      <c r="BT10" s="11">
        <f t="shared" ca="1" si="21"/>
        <v>3.6</v>
      </c>
      <c r="BU10" s="11" t="str">
        <f ca="1">OFFSET('COM Techs T15'!$AO10,0,MATCH(VLOOKUP('COM Veda input'!BU$3,'RES Assumptions T15'!$V$3:$W$35,2,FALSE),'COM Techs T15'!$G$3:$U$3,0))</f>
        <v/>
      </c>
      <c r="BV10" s="11" t="str">
        <f ca="1">OFFSET('COM Techs T15'!$AO10,0,MATCH(VLOOKUP('COM Veda input'!BV$3,'RES Assumptions T15'!$V$3:$W$35,2,FALSE),'COM Techs T15'!$G$3:$U$3,0))</f>
        <v/>
      </c>
      <c r="BW10" s="11" t="str">
        <f ca="1">OFFSET('COM Techs T15'!$AO10,0,MATCH(VLOOKUP('COM Veda input'!BW$3,'RES Assumptions T15'!$V$3:$W$35,2,FALSE),'COM Techs T15'!$G$3:$U$3,0))</f>
        <v/>
      </c>
      <c r="BX10" s="11">
        <f ca="1">OFFSET('COM Techs T15'!$AO10,0,MATCH(VLOOKUP('COM Veda input'!BX$3,'RES Assumptions T15'!$V$3:$W$35,2,FALSE),'COM Techs T15'!$G$3:$U$3,0))</f>
        <v>3.6</v>
      </c>
      <c r="BY10" s="11">
        <f ca="1">OFFSET('COM Techs T15'!$AO10,0,MATCH(VLOOKUP('COM Veda input'!BY$3,'RES Assumptions T15'!$V$3:$W$35,2,FALSE),'COM Techs T15'!$G$3:$U$3,0))</f>
        <v>4.2</v>
      </c>
      <c r="BZ10" s="11">
        <f ca="1">OFFSET('COM Techs T15'!$AO10,0,MATCH(VLOOKUP('COM Veda input'!BZ$3,'RES Assumptions T15'!$V$3:$W$35,2,FALSE),'COM Techs T15'!$G$3:$U$3,0))</f>
        <v>4.8</v>
      </c>
      <c r="CA10" s="11" t="str">
        <f ca="1">OFFSET('COM Techs T15'!$AO10,0,MATCH(VLOOKUP('COM Veda input'!CA$3,'RES Assumptions T15'!$V$3:$W$35,2,FALSE),'COM Techs T15'!$G$3:$U$3,0))</f>
        <v/>
      </c>
      <c r="CB10" s="11" t="str">
        <f ca="1">OFFSET('COM Techs T15'!$AO10,0,MATCH(VLOOKUP('COM Veda input'!CB$3,'RES Assumptions T15'!$V$3:$W$35,2,FALSE),'COM Techs T15'!$G$3:$U$3,0))</f>
        <v/>
      </c>
      <c r="CC10" s="11">
        <f ca="1">OFFSET('COM Techs T15'!$AO10,0,MATCH(VLOOKUP('COM Veda input'!CC$3,'RES Assumptions T15'!$V$3:$W$35,2,FALSE),'COM Techs T15'!$G$3:$U$3,0))</f>
        <v>3.6</v>
      </c>
      <c r="CD10" s="11">
        <f ca="1">OFFSET('COM Techs T15'!$AO10,0,MATCH(VLOOKUP('COM Veda input'!CD$3,'RES Assumptions T15'!$V$3:$W$35,2,FALSE),'COM Techs T15'!$G$3:$U$3,0))</f>
        <v>4.2</v>
      </c>
      <c r="CE10" s="11" t="str">
        <f ca="1">OFFSET('COM Techs T15'!$AO10,0,MATCH(VLOOKUP('COM Veda input'!CE$3,'RES Assumptions T15'!$V$3:$W$35,2,FALSE),'COM Techs T15'!$G$3:$U$3,0))</f>
        <v/>
      </c>
      <c r="CF10" s="11" t="str">
        <f ca="1">OFFSET('COM Techs T15'!$AO10,0,MATCH(VLOOKUP('COM Veda input'!CF$3,'RES Assumptions T15'!$V$3:$W$35,2,FALSE),'COM Techs T15'!$G$3:$U$3,0))</f>
        <v/>
      </c>
      <c r="CG10" s="11" t="str">
        <f ca="1">OFFSET('COM Techs T15'!$AO10,0,MATCH(VLOOKUP('COM Veda input'!CG$3,'RES Assumptions T15'!$V$3:$W$35,2,FALSE),'COM Techs T15'!$G$3:$U$3,0))</f>
        <v/>
      </c>
      <c r="CH10" s="11" t="str">
        <f ca="1">OFFSET('COM Techs T15'!$AO10,0,MATCH(VLOOKUP('COM Veda input'!CH$3,'RES Assumptions T15'!$V$3:$W$35,2,FALSE),'COM Techs T15'!$G$3:$U$3,0))</f>
        <v/>
      </c>
      <c r="CI10" s="11" t="str">
        <f ca="1">OFFSET('COM Techs T15'!$AO10,0,MATCH(VLOOKUP('COM Veda input'!CI$3,'RES Assumptions T15'!$V$3:$W$35,2,FALSE),'COM Techs T15'!$G$3:$U$3,0))</f>
        <v/>
      </c>
      <c r="CJ10" s="11" t="str">
        <f ca="1">OFFSET('COM Techs T15'!$AO10,0,MATCH(VLOOKUP('COM Veda input'!CJ$3,'RES Assumptions T15'!$V$3:$W$35,2,FALSE),'COM Techs T15'!$G$3:$U$3,0))</f>
        <v/>
      </c>
      <c r="CK10" s="11">
        <f ca="1">OFFSET('COM Techs T15'!$AO10,0,MATCH(VLOOKUP('COM Veda input'!CK$3,'RES Assumptions T15'!$V$3:$W$35,2,FALSE),'COM Techs T15'!$G$3:$U$3,0))</f>
        <v>4.8</v>
      </c>
      <c r="CL10" s="11" t="str">
        <f ca="1">OFFSET('COM Techs T15'!$AO10,0,MATCH(VLOOKUP('COM Veda input'!CL$3,'RES Assumptions T15'!$V$3:$W$35,2,FALSE),'COM Techs T15'!$G$3:$U$3,0))</f>
        <v/>
      </c>
      <c r="CM10" s="11" t="str">
        <f ca="1">OFFSET('COM Techs T15'!$AO10,0,MATCH(VLOOKUP('COM Veda input'!CM$3,'RES Assumptions T15'!$V$3:$W$35,2,FALSE),'COM Techs T15'!$G$3:$U$3,0))</f>
        <v/>
      </c>
      <c r="CN10" s="11">
        <f ca="1">OFFSET('COM Techs T15'!$AO10,0,MATCH(VLOOKUP('COM Veda input'!CN$3,'RES Assumptions T15'!$V$3:$W$35,2,FALSE),'COM Techs T15'!$G$3:$U$3,0))</f>
        <v>6</v>
      </c>
      <c r="CO10" s="11" t="str">
        <f ca="1">OFFSET('COM Techs T15'!$AO10,0,MATCH(VLOOKUP('COM Veda input'!CO$3,'RES Assumptions T15'!$V$3:$W$35,2,FALSE),'COM Techs T15'!$G$3:$U$3,0))</f>
        <v/>
      </c>
      <c r="CP10" s="11">
        <f ca="1">OFFSET('COM Techs T15'!$AO10,0,MATCH(VLOOKUP('COM Veda input'!CP$3,'RES Assumptions T15'!$V$3:$W$35,2,FALSE),'COM Techs T15'!$G$3:$U$3,0))</f>
        <v>3.6</v>
      </c>
      <c r="CQ10" s="11">
        <f ca="1">OFFSET('COM Techs T15'!$AO10,0,MATCH(VLOOKUP('COM Veda input'!CQ$3,'RES Assumptions T15'!$V$3:$W$35,2,FALSE),'COM Techs T15'!$G$3:$U$3,0))</f>
        <v>4.8</v>
      </c>
      <c r="CR10" s="11" t="str">
        <f ca="1">OFFSET('COM Techs T15'!$AO10,0,MATCH(VLOOKUP('COM Veda input'!CR$3,'RES Assumptions T15'!$V$3:$W$35,2,FALSE),'COM Techs T15'!$G$3:$U$3,0))</f>
        <v/>
      </c>
      <c r="CS10" s="11">
        <f ca="1">OFFSET('COM Techs T15'!$AO10,0,MATCH(VLOOKUP('COM Veda input'!CS$3,'RES Assumptions T15'!$V$3:$W$35,2,FALSE),'COM Techs T15'!$G$3:$U$3,0))</f>
        <v>3.6</v>
      </c>
      <c r="CT10" s="11">
        <f ca="1">OFFSET('COM Techs T15'!$AO10,0,MATCH(VLOOKUP('COM Veda input'!CT$3,'RES Assumptions T15'!$V$3:$W$35,2,FALSE),'COM Techs T15'!$G$3:$U$3,0))</f>
        <v>4.8</v>
      </c>
      <c r="CU10" s="11" t="str">
        <f ca="1">OFFSET('COM Techs T15'!$AO10,0,MATCH(VLOOKUP('COM Veda input'!CU$3,'RES Assumptions T15'!$V$3:$W$35,2,FALSE),'COM Techs T15'!$G$3:$U$3,0))</f>
        <v/>
      </c>
      <c r="CV10" s="11" t="str">
        <f ca="1">OFFSET('COM Techs T15'!$AO10,0,MATCH(VLOOKUP('COM Veda input'!CV$3,'RES Assumptions T15'!$V$3:$W$35,2,FALSE),'COM Techs T15'!$G$3:$U$3,0))</f>
        <v/>
      </c>
      <c r="CW10" s="11" t="str">
        <f ca="1">OFFSET('COM Techs T15'!$AO10,0,MATCH(VLOOKUP('COM Veda input'!CW$3,'RES Assumptions T15'!$V$3:$W$35,2,FALSE),'COM Techs T15'!$G$3:$U$3,0))</f>
        <v/>
      </c>
      <c r="CX10" s="11" t="str">
        <f ca="1">OFFSET('COM Techs T15'!$AO10,0,MATCH(VLOOKUP('COM Veda input'!CX$3,'RES Assumptions T15'!$V$3:$W$35,2,FALSE),'COM Techs T15'!$G$3:$U$3,0))</f>
        <v/>
      </c>
      <c r="CZ10" s="8" t="str">
        <f t="shared" si="22"/>
        <v>CSCNGA000</v>
      </c>
      <c r="DA10" s="10">
        <f ca="1">'COM Assumptions'!E87*G10/'COM Veda input'!AM10</f>
        <v>0</v>
      </c>
      <c r="DB10" s="10">
        <f ca="1">'COM Assumptions'!F87*H10/'COM Veda input'!AN10</f>
        <v>0</v>
      </c>
      <c r="DC10" s="10">
        <f ca="1">'COM Assumptions'!G87*I10/'COM Veda input'!AO10</f>
        <v>0</v>
      </c>
      <c r="DD10" s="10">
        <f ca="1">'COM Assumptions'!H87*J10/'COM Veda input'!AP10</f>
        <v>30.260326629876925</v>
      </c>
      <c r="DE10" s="10">
        <f ca="1">'COM Assumptions'!I87*K10/'COM Veda input'!AQ10</f>
        <v>255.01527753009233</v>
      </c>
      <c r="DF10" s="10">
        <f ca="1">'COM Assumptions'!J87*L10/'COM Veda input'!AR10</f>
        <v>6.0444890215199996</v>
      </c>
      <c r="DG10" s="10">
        <f ca="1">'COM Assumptions'!K87*M10/'COM Veda input'!AS10</f>
        <v>0</v>
      </c>
      <c r="DH10" s="10">
        <f ca="1">'COM Assumptions'!L87*N10/'COM Veda input'!AT10</f>
        <v>0</v>
      </c>
      <c r="DI10" s="10">
        <f ca="1">'COM Assumptions'!M87*O10/'COM Veda input'!AU10</f>
        <v>0</v>
      </c>
      <c r="DJ10" s="10">
        <f ca="1">'COM Assumptions'!N87*P10/'COM Veda input'!AV10</f>
        <v>204.83088564323077</v>
      </c>
      <c r="DK10" s="10">
        <f ca="1">'COM Assumptions'!O87*Q10/'COM Veda input'!AW10</f>
        <v>0.56438740329230774</v>
      </c>
      <c r="DL10" s="10">
        <f ca="1">'COM Assumptions'!P87*R10/'COM Veda input'!AX10</f>
        <v>11.731906676215386</v>
      </c>
      <c r="DM10" s="10">
        <f ca="1">'COM Assumptions'!Q87*S10/'COM Veda input'!AY10</f>
        <v>8.4831856252615392</v>
      </c>
      <c r="DN10" s="10">
        <f ca="1">'COM Assumptions'!R87*T10/'COM Veda input'!AZ10</f>
        <v>11.724358197876922</v>
      </c>
      <c r="DO10" s="10">
        <f ca="1">'COM Assumptions'!S87*U10/'COM Veda input'!BA10</f>
        <v>7.1111889786461537</v>
      </c>
      <c r="DP10" s="10">
        <f ca="1">'COM Assumptions'!T87*V10/'COM Veda input'!BB10</f>
        <v>3.6157966475538461</v>
      </c>
      <c r="DQ10" s="10">
        <f ca="1">'COM Assumptions'!U87*W10/'COM Veda input'!BC10</f>
        <v>9.3885876695520007</v>
      </c>
      <c r="DR10" s="10">
        <f ca="1">'COM Assumptions'!V87*X10/'COM Veda input'!BD10</f>
        <v>9.8349413483076926</v>
      </c>
      <c r="DS10" s="10">
        <f ca="1">'COM Assumptions'!W87*Y10/'COM Veda input'!BE10</f>
        <v>15.894556247630769</v>
      </c>
      <c r="DT10" s="10">
        <f ca="1">'COM Assumptions'!X87*Z10/'COM Veda input'!BF10</f>
        <v>0</v>
      </c>
      <c r="DU10" s="10">
        <f ca="1">'COM Assumptions'!Y87*AA10/'COM Veda input'!BG10</f>
        <v>0</v>
      </c>
      <c r="DV10" s="10">
        <f ca="1">'COM Assumptions'!Z87*AB10/'COM Veda input'!BH10</f>
        <v>0</v>
      </c>
      <c r="DW10" s="10">
        <f ca="1">'COM Assumptions'!AA87*AC10/'COM Veda input'!BI10</f>
        <v>21.632038033536002</v>
      </c>
      <c r="DX10" s="10">
        <f ca="1">'COM Assumptions'!AB87*AD10/'COM Veda input'!BJ10</f>
        <v>0.11154392044615384</v>
      </c>
      <c r="DY10" s="10">
        <f ca="1">'COM Assumptions'!AC87*AE10/'COM Veda input'!BK10</f>
        <v>18.159591215076922</v>
      </c>
      <c r="DZ10" s="10">
        <f ca="1">'COM Assumptions'!AD87*AF10/'COM Veda input'!BL10</f>
        <v>0</v>
      </c>
      <c r="EA10" s="10">
        <f ca="1">'COM Assumptions'!AE87*AG10/'COM Veda input'!BM10</f>
        <v>0</v>
      </c>
      <c r="EB10" s="10">
        <f ca="1">'COM Assumptions'!AF87*AH10/'COM Veda input'!BN10</f>
        <v>10.270934571461538</v>
      </c>
      <c r="EC10" s="10">
        <f ca="1">'COM Assumptions'!AG87*AI10/'COM Veda input'!BO10</f>
        <v>164.76530624053706</v>
      </c>
      <c r="ED10" s="10">
        <f ca="1">'COM Assumptions'!AH87*AJ10/'COM Veda input'!BP10</f>
        <v>0</v>
      </c>
      <c r="EE10" s="8">
        <v>20</v>
      </c>
      <c r="EI10" s="8" t="str">
        <f t="shared" si="23"/>
        <v>CSCNGA000</v>
      </c>
      <c r="EK10" t="s">
        <v>282</v>
      </c>
      <c r="EL10" t="s">
        <v>283</v>
      </c>
    </row>
    <row r="11" spans="1:145" x14ac:dyDescent="0.45">
      <c r="A11" s="37" t="str">
        <f>'COM Assumptions'!B88</f>
        <v>CCK</v>
      </c>
      <c r="B11" s="37" t="s">
        <v>221</v>
      </c>
      <c r="D11" t="s">
        <v>221</v>
      </c>
      <c r="E11" s="8" t="str">
        <f>'COM Assumptions'!A88</f>
        <v>COMBIO</v>
      </c>
      <c r="F11" t="str">
        <f>VLOOKUP('COM Assumptions'!B88,'COM Assumptions'!$AP$81:$AQ$88,2,FALSE)</f>
        <v>CCK</v>
      </c>
      <c r="G11" s="11">
        <f ca="1">OFFSET('COM Techs T15'!$F11,0,MATCH(VLOOKUP('COM Veda input'!G$3,'RES Assumptions T15'!$V$3:$W$35,2,FALSE),'COM Techs T15'!$G$3:$U$3,0))</f>
        <v>0.15</v>
      </c>
      <c r="H11" s="11">
        <f ca="1">OFFSET('COM Techs T15'!$F11,0,MATCH(VLOOKUP('COM Veda input'!H$3,'RES Assumptions T15'!$V$3:$W$35,2,FALSE),'COM Techs T15'!$G$3:$U$3,0))</f>
        <v>0.15</v>
      </c>
      <c r="I11" s="11">
        <f ca="1">OFFSET('COM Techs T15'!$F11,0,MATCH(VLOOKUP('COM Veda input'!I$3,'RES Assumptions T15'!$V$3:$W$35,2,FALSE),'COM Techs T15'!$G$3:$U$3,0))</f>
        <v>0.15</v>
      </c>
      <c r="J11" s="11">
        <f ca="1">OFFSET('COM Techs T15'!$F11,0,MATCH(VLOOKUP('COM Veda input'!J$3,'RES Assumptions T15'!$V$3:$W$35,2,FALSE),'COM Techs T15'!$G$3:$U$3,0))</f>
        <v>0.15</v>
      </c>
      <c r="K11" s="11">
        <f ca="1">OFFSET('COM Techs T15'!$F11,0,MATCH(VLOOKUP('COM Veda input'!K$3,'RES Assumptions T15'!$V$3:$W$35,2,FALSE),'COM Techs T15'!$G$3:$U$3,0))</f>
        <v>0.15</v>
      </c>
      <c r="L11" s="11">
        <f ca="1">OFFSET('COM Techs T15'!$F11,0,MATCH(VLOOKUP('COM Veda input'!L$3,'RES Assumptions T15'!$V$3:$W$35,2,FALSE),'COM Techs T15'!$G$3:$U$3,0))</f>
        <v>0.15</v>
      </c>
      <c r="M11" s="11">
        <f ca="1">OFFSET('COM Techs T15'!$F11,0,MATCH(VLOOKUP('COM Veda input'!M$3,'RES Assumptions T15'!$V$3:$W$35,2,FALSE),'COM Techs T15'!$G$3:$U$3,0))</f>
        <v>0.15</v>
      </c>
      <c r="N11" s="11">
        <f ca="1">OFFSET('COM Techs T15'!$F11,0,MATCH(VLOOKUP('COM Veda input'!N$3,'RES Assumptions T15'!$V$3:$W$35,2,FALSE),'COM Techs T15'!$G$3:$U$3,0))</f>
        <v>0.15</v>
      </c>
      <c r="O11" s="11">
        <f ca="1">OFFSET('COM Techs T15'!$F11,0,MATCH(VLOOKUP('COM Veda input'!O$3,'RES Assumptions T15'!$V$3:$W$35,2,FALSE),'COM Techs T15'!$G$3:$U$3,0))</f>
        <v>0.15</v>
      </c>
      <c r="P11" s="11">
        <f ca="1">OFFSET('COM Techs T15'!$F11,0,MATCH(VLOOKUP('COM Veda input'!P$3,'RES Assumptions T15'!$V$3:$W$35,2,FALSE),'COM Techs T15'!$G$3:$U$3,0))</f>
        <v>0.15</v>
      </c>
      <c r="Q11" s="11">
        <f ca="1">OFFSET('COM Techs T15'!$F11,0,MATCH(VLOOKUP('COM Veda input'!Q$3,'RES Assumptions T15'!$V$3:$W$35,2,FALSE),'COM Techs T15'!$G$3:$U$3,0))</f>
        <v>0.15</v>
      </c>
      <c r="R11" s="11">
        <f ca="1">OFFSET('COM Techs T15'!$F11,0,MATCH(VLOOKUP('COM Veda input'!R$3,'RES Assumptions T15'!$V$3:$W$35,2,FALSE),'COM Techs T15'!$G$3:$U$3,0))</f>
        <v>0.15</v>
      </c>
      <c r="S11" s="11">
        <f ca="1">OFFSET('COM Techs T15'!$F11,0,MATCH(VLOOKUP('COM Veda input'!S$3,'RES Assumptions T15'!$V$3:$W$35,2,FALSE),'COM Techs T15'!$G$3:$U$3,0))</f>
        <v>0.15</v>
      </c>
      <c r="T11" s="11">
        <f ca="1">OFFSET('COM Techs T15'!$F11,0,MATCH(VLOOKUP('COM Veda input'!T$3,'RES Assumptions T15'!$V$3:$W$35,2,FALSE),'COM Techs T15'!$G$3:$U$3,0))</f>
        <v>0.15</v>
      </c>
      <c r="U11" s="11">
        <f ca="1">OFFSET('COM Techs T15'!$F11,0,MATCH(VLOOKUP('COM Veda input'!U$3,'RES Assumptions T15'!$V$3:$W$35,2,FALSE),'COM Techs T15'!$G$3:$U$3,0))</f>
        <v>0.15</v>
      </c>
      <c r="V11" s="11">
        <f ca="1">OFFSET('COM Techs T15'!$F11,0,MATCH(VLOOKUP('COM Veda input'!V$3,'RES Assumptions T15'!$V$3:$W$35,2,FALSE),'COM Techs T15'!$G$3:$U$3,0))</f>
        <v>0.15</v>
      </c>
      <c r="W11" s="11">
        <f ca="1">OFFSET('COM Techs T15'!$F11,0,MATCH(VLOOKUP('COM Veda input'!W$3,'RES Assumptions T15'!$V$3:$W$35,2,FALSE),'COM Techs T15'!$G$3:$U$3,0))</f>
        <v>0.15</v>
      </c>
      <c r="X11" s="11">
        <f ca="1">OFFSET('COM Techs T15'!$F11,0,MATCH(VLOOKUP('COM Veda input'!X$3,'RES Assumptions T15'!$V$3:$W$35,2,FALSE),'COM Techs T15'!$G$3:$U$3,0))</f>
        <v>0.15</v>
      </c>
      <c r="Y11" s="11">
        <f ca="1">OFFSET('COM Techs T15'!$F11,0,MATCH(VLOOKUP('COM Veda input'!Y$3,'RES Assumptions T15'!$V$3:$W$35,2,FALSE),'COM Techs T15'!$G$3:$U$3,0))</f>
        <v>0.15</v>
      </c>
      <c r="Z11" s="11">
        <f ca="1">OFFSET('COM Techs T15'!$F11,0,MATCH(VLOOKUP('COM Veda input'!Z$3,'RES Assumptions T15'!$V$3:$W$35,2,FALSE),'COM Techs T15'!$G$3:$U$3,0))</f>
        <v>0.15</v>
      </c>
      <c r="AA11" s="11">
        <f ca="1">OFFSET('COM Techs T15'!$F11,0,MATCH(VLOOKUP('COM Veda input'!AA$3,'RES Assumptions T15'!$V$3:$W$35,2,FALSE),'COM Techs T15'!$G$3:$U$3,0))</f>
        <v>0.15</v>
      </c>
      <c r="AB11" s="11">
        <f ca="1">OFFSET('COM Techs T15'!$F11,0,MATCH(VLOOKUP('COM Veda input'!AB$3,'RES Assumptions T15'!$V$3:$W$35,2,FALSE),'COM Techs T15'!$G$3:$U$3,0))</f>
        <v>0.15</v>
      </c>
      <c r="AC11" s="11">
        <f ca="1">OFFSET('COM Techs T15'!$F11,0,MATCH(VLOOKUP('COM Veda input'!AC$3,'RES Assumptions T15'!$V$3:$W$35,2,FALSE),'COM Techs T15'!$G$3:$U$3,0))</f>
        <v>0.15</v>
      </c>
      <c r="AD11" s="11">
        <f ca="1">OFFSET('COM Techs T15'!$F11,0,MATCH(VLOOKUP('COM Veda input'!AD$3,'RES Assumptions T15'!$V$3:$W$35,2,FALSE),'COM Techs T15'!$G$3:$U$3,0))</f>
        <v>0.15</v>
      </c>
      <c r="AE11" s="11">
        <f ca="1">OFFSET('COM Techs T15'!$F11,0,MATCH(VLOOKUP('COM Veda input'!AE$3,'RES Assumptions T15'!$V$3:$W$35,2,FALSE),'COM Techs T15'!$G$3:$U$3,0))</f>
        <v>0.15</v>
      </c>
      <c r="AF11" s="11">
        <f ca="1">OFFSET('COM Techs T15'!$F11,0,MATCH(VLOOKUP('COM Veda input'!AF$3,'RES Assumptions T15'!$V$3:$W$35,2,FALSE),'COM Techs T15'!$G$3:$U$3,0))</f>
        <v>0.15</v>
      </c>
      <c r="AG11" s="11">
        <f ca="1">OFFSET('COM Techs T15'!$F11,0,MATCH(VLOOKUP('COM Veda input'!AG$3,'RES Assumptions T15'!$V$3:$W$35,2,FALSE),'COM Techs T15'!$G$3:$U$3,0))</f>
        <v>0.15</v>
      </c>
      <c r="AH11" s="11">
        <f ca="1">OFFSET('COM Techs T15'!$F11,0,MATCH(VLOOKUP('COM Veda input'!AH$3,'RES Assumptions T15'!$V$3:$W$35,2,FALSE),'COM Techs T15'!$G$3:$U$3,0))</f>
        <v>0.15</v>
      </c>
      <c r="AI11" s="11">
        <f ca="1">OFFSET('COM Techs T15'!$F11,0,MATCH(VLOOKUP('COM Veda input'!AI$3,'RES Assumptions T15'!$V$3:$W$35,2,FALSE),'COM Techs T15'!$G$3:$U$3,0))</f>
        <v>0.15</v>
      </c>
      <c r="AJ11" s="11">
        <f ca="1">OFFSET('COM Techs T15'!$F11,0,MATCH(VLOOKUP('COM Veda input'!AJ$3,'RES Assumptions T15'!$V$3:$W$35,2,FALSE),'COM Techs T15'!$G$3:$U$3,0))</f>
        <v>0.15</v>
      </c>
      <c r="AL11" s="8" t="str">
        <f t="shared" si="19"/>
        <v>CCKBIO000</v>
      </c>
      <c r="AM11" s="11">
        <f ca="1">OFFSET('COM Techs T15'!$W11,0,MATCH(VLOOKUP('COM Veda input'!AM$3,'RES Assumptions T15'!$V$3:$W$35,2,FALSE),'COM Techs T15'!$G$3:$U$3,0))</f>
        <v>1</v>
      </c>
      <c r="AN11" s="11">
        <f ca="1">OFFSET('COM Techs T15'!$W11,0,MATCH(VLOOKUP('COM Veda input'!AN$3,'RES Assumptions T15'!$V$3:$W$35,2,FALSE),'COM Techs T15'!$G$3:$U$3,0))</f>
        <v>1</v>
      </c>
      <c r="AO11" s="11">
        <f ca="1">OFFSET('COM Techs T15'!$W11,0,MATCH(VLOOKUP('COM Veda input'!AO$3,'RES Assumptions T15'!$V$3:$W$35,2,FALSE),'COM Techs T15'!$G$3:$U$3,0))</f>
        <v>1</v>
      </c>
      <c r="AP11" s="11">
        <f ca="1">OFFSET('COM Techs T15'!$W11,0,MATCH(VLOOKUP('COM Veda input'!AP$3,'RES Assumptions T15'!$V$3:$W$35,2,FALSE),'COM Techs T15'!$G$3:$U$3,0))</f>
        <v>1</v>
      </c>
      <c r="AQ11" s="11">
        <f ca="1">OFFSET('COM Techs T15'!$W11,0,MATCH(VLOOKUP('COM Veda input'!AQ$3,'RES Assumptions T15'!$V$3:$W$35,2,FALSE),'COM Techs T15'!$G$3:$U$3,0))</f>
        <v>1</v>
      </c>
      <c r="AR11" s="11">
        <f ca="1">OFFSET('COM Techs T15'!$W11,0,MATCH(VLOOKUP('COM Veda input'!AR$3,'RES Assumptions T15'!$V$3:$W$35,2,FALSE),'COM Techs T15'!$G$3:$U$3,0))</f>
        <v>1</v>
      </c>
      <c r="AS11" s="11">
        <f ca="1">OFFSET('COM Techs T15'!$W11,0,MATCH(VLOOKUP('COM Veda input'!AS$3,'RES Assumptions T15'!$V$3:$W$35,2,FALSE),'COM Techs T15'!$G$3:$U$3,0))</f>
        <v>1</v>
      </c>
      <c r="AT11" s="11">
        <f ca="1">OFFSET('COM Techs T15'!$W11,0,MATCH(VLOOKUP('COM Veda input'!AT$3,'RES Assumptions T15'!$V$3:$W$35,2,FALSE),'COM Techs T15'!$G$3:$U$3,0))</f>
        <v>1</v>
      </c>
      <c r="AU11" s="11">
        <f ca="1">OFFSET('COM Techs T15'!$W11,0,MATCH(VLOOKUP('COM Veda input'!AU$3,'RES Assumptions T15'!$V$3:$W$35,2,FALSE),'COM Techs T15'!$G$3:$U$3,0))</f>
        <v>1</v>
      </c>
      <c r="AV11" s="11">
        <f ca="1">OFFSET('COM Techs T15'!$W11,0,MATCH(VLOOKUP('COM Veda input'!AV$3,'RES Assumptions T15'!$V$3:$W$35,2,FALSE),'COM Techs T15'!$G$3:$U$3,0))</f>
        <v>1</v>
      </c>
      <c r="AW11" s="11">
        <f ca="1">OFFSET('COM Techs T15'!$W11,0,MATCH(VLOOKUP('COM Veda input'!AW$3,'RES Assumptions T15'!$V$3:$W$35,2,FALSE),'COM Techs T15'!$G$3:$U$3,0))</f>
        <v>1</v>
      </c>
      <c r="AX11" s="11">
        <f ca="1">OFFSET('COM Techs T15'!$W11,0,MATCH(VLOOKUP('COM Veda input'!AX$3,'RES Assumptions T15'!$V$3:$W$35,2,FALSE),'COM Techs T15'!$G$3:$U$3,0))</f>
        <v>1</v>
      </c>
      <c r="AY11" s="11">
        <f ca="1">OFFSET('COM Techs T15'!$W11,0,MATCH(VLOOKUP('COM Veda input'!AY$3,'RES Assumptions T15'!$V$3:$W$35,2,FALSE),'COM Techs T15'!$G$3:$U$3,0))</f>
        <v>1</v>
      </c>
      <c r="AZ11" s="11">
        <f ca="1">OFFSET('COM Techs T15'!$W11,0,MATCH(VLOOKUP('COM Veda input'!AZ$3,'RES Assumptions T15'!$V$3:$W$35,2,FALSE),'COM Techs T15'!$G$3:$U$3,0))</f>
        <v>1</v>
      </c>
      <c r="BA11" s="11">
        <f ca="1">OFFSET('COM Techs T15'!$W11,0,MATCH(VLOOKUP('COM Veda input'!BA$3,'RES Assumptions T15'!$V$3:$W$35,2,FALSE),'COM Techs T15'!$G$3:$U$3,0))</f>
        <v>1</v>
      </c>
      <c r="BB11" s="11">
        <f ca="1">OFFSET('COM Techs T15'!$W11,0,MATCH(VLOOKUP('COM Veda input'!BB$3,'RES Assumptions T15'!$V$3:$W$35,2,FALSE),'COM Techs T15'!$G$3:$U$3,0))</f>
        <v>1</v>
      </c>
      <c r="BC11" s="11">
        <f ca="1">OFFSET('COM Techs T15'!$W11,0,MATCH(VLOOKUP('COM Veda input'!BC$3,'RES Assumptions T15'!$V$3:$W$35,2,FALSE),'COM Techs T15'!$G$3:$U$3,0))</f>
        <v>1</v>
      </c>
      <c r="BD11" s="11">
        <f ca="1">OFFSET('COM Techs T15'!$W11,0,MATCH(VLOOKUP('COM Veda input'!BD$3,'RES Assumptions T15'!$V$3:$W$35,2,FALSE),'COM Techs T15'!$G$3:$U$3,0))</f>
        <v>1</v>
      </c>
      <c r="BE11" s="11">
        <f ca="1">OFFSET('COM Techs T15'!$W11,0,MATCH(VLOOKUP('COM Veda input'!BE$3,'RES Assumptions T15'!$V$3:$W$35,2,FALSE),'COM Techs T15'!$G$3:$U$3,0))</f>
        <v>1</v>
      </c>
      <c r="BF11" s="11">
        <f ca="1">OFFSET('COM Techs T15'!$W11,0,MATCH(VLOOKUP('COM Veda input'!BF$3,'RES Assumptions T15'!$V$3:$W$35,2,FALSE),'COM Techs T15'!$G$3:$U$3,0))</f>
        <v>1</v>
      </c>
      <c r="BG11" s="11">
        <f ca="1">OFFSET('COM Techs T15'!$W11,0,MATCH(VLOOKUP('COM Veda input'!BG$3,'RES Assumptions T15'!$V$3:$W$35,2,FALSE),'COM Techs T15'!$G$3:$U$3,0))</f>
        <v>1</v>
      </c>
      <c r="BH11" s="11">
        <f ca="1">OFFSET('COM Techs T15'!$W11,0,MATCH(VLOOKUP('COM Veda input'!BH$3,'RES Assumptions T15'!$V$3:$W$35,2,FALSE),'COM Techs T15'!$G$3:$U$3,0))</f>
        <v>1</v>
      </c>
      <c r="BI11" s="11">
        <f ca="1">OFFSET('COM Techs T15'!$W11,0,MATCH(VLOOKUP('COM Veda input'!BI$3,'RES Assumptions T15'!$V$3:$W$35,2,FALSE),'COM Techs T15'!$G$3:$U$3,0))</f>
        <v>1</v>
      </c>
      <c r="BJ11" s="11">
        <f ca="1">OFFSET('COM Techs T15'!$W11,0,MATCH(VLOOKUP('COM Veda input'!BJ$3,'RES Assumptions T15'!$V$3:$W$35,2,FALSE),'COM Techs T15'!$G$3:$U$3,0))</f>
        <v>1</v>
      </c>
      <c r="BK11" s="11">
        <f ca="1">OFFSET('COM Techs T15'!$W11,0,MATCH(VLOOKUP('COM Veda input'!BK$3,'RES Assumptions T15'!$V$3:$W$35,2,FALSE),'COM Techs T15'!$G$3:$U$3,0))</f>
        <v>1</v>
      </c>
      <c r="BL11" s="11">
        <f ca="1">OFFSET('COM Techs T15'!$W11,0,MATCH(VLOOKUP('COM Veda input'!BL$3,'RES Assumptions T15'!$V$3:$W$35,2,FALSE),'COM Techs T15'!$G$3:$U$3,0))</f>
        <v>1</v>
      </c>
      <c r="BM11" s="11">
        <f ca="1">OFFSET('COM Techs T15'!$W11,0,MATCH(VLOOKUP('COM Veda input'!BM$3,'RES Assumptions T15'!$V$3:$W$35,2,FALSE),'COM Techs T15'!$G$3:$U$3,0))</f>
        <v>1</v>
      </c>
      <c r="BN11" s="11">
        <f ca="1">OFFSET('COM Techs T15'!$W11,0,MATCH(VLOOKUP('COM Veda input'!BN$3,'RES Assumptions T15'!$V$3:$W$35,2,FALSE),'COM Techs T15'!$G$3:$U$3,0))</f>
        <v>1</v>
      </c>
      <c r="BO11" s="11">
        <f ca="1">OFFSET('COM Techs T15'!$W11,0,MATCH(VLOOKUP('COM Veda input'!BO$3,'RES Assumptions T15'!$V$3:$W$35,2,FALSE),'COM Techs T15'!$G$3:$U$3,0))</f>
        <v>1</v>
      </c>
      <c r="BP11" s="11">
        <f ca="1">OFFSET('COM Techs T15'!$W11,0,MATCH(VLOOKUP('COM Veda input'!BP$3,'RES Assumptions T15'!$V$3:$W$35,2,FALSE),'COM Techs T15'!$G$3:$U$3,0))</f>
        <v>1</v>
      </c>
      <c r="BQ11">
        <v>3</v>
      </c>
      <c r="BS11" s="8" t="str">
        <f t="shared" si="20"/>
        <v>CCKBIO000</v>
      </c>
      <c r="BT11" s="11">
        <f t="shared" ca="1" si="21"/>
        <v>0</v>
      </c>
      <c r="BU11" s="11" t="str">
        <f ca="1">OFFSET('COM Techs T15'!$AO11,0,MATCH(VLOOKUP('COM Veda input'!BU$3,'RES Assumptions T15'!$V$3:$W$35,2,FALSE),'COM Techs T15'!$G$3:$U$3,0))</f>
        <v/>
      </c>
      <c r="BV11" s="11" t="str">
        <f ca="1">OFFSET('COM Techs T15'!$AO11,0,MATCH(VLOOKUP('COM Veda input'!BV$3,'RES Assumptions T15'!$V$3:$W$35,2,FALSE),'COM Techs T15'!$G$3:$U$3,0))</f>
        <v/>
      </c>
      <c r="BW11" s="11" t="str">
        <f ca="1">OFFSET('COM Techs T15'!$AO11,0,MATCH(VLOOKUP('COM Veda input'!BW$3,'RES Assumptions T15'!$V$3:$W$35,2,FALSE),'COM Techs T15'!$G$3:$U$3,0))</f>
        <v/>
      </c>
      <c r="BX11" s="11" t="str">
        <f ca="1">OFFSET('COM Techs T15'!$AO11,0,MATCH(VLOOKUP('COM Veda input'!BX$3,'RES Assumptions T15'!$V$3:$W$35,2,FALSE),'COM Techs T15'!$G$3:$U$3,0))</f>
        <v/>
      </c>
      <c r="BY11" s="11" t="str">
        <f ca="1">OFFSET('COM Techs T15'!$AO11,0,MATCH(VLOOKUP('COM Veda input'!BY$3,'RES Assumptions T15'!$V$3:$W$35,2,FALSE),'COM Techs T15'!$G$3:$U$3,0))</f>
        <v/>
      </c>
      <c r="BZ11" s="11" t="str">
        <f ca="1">OFFSET('COM Techs T15'!$AO11,0,MATCH(VLOOKUP('COM Veda input'!BZ$3,'RES Assumptions T15'!$V$3:$W$35,2,FALSE),'COM Techs T15'!$G$3:$U$3,0))</f>
        <v/>
      </c>
      <c r="CA11" s="11" t="str">
        <f ca="1">OFFSET('COM Techs T15'!$AO11,0,MATCH(VLOOKUP('COM Veda input'!CA$3,'RES Assumptions T15'!$V$3:$W$35,2,FALSE),'COM Techs T15'!$G$3:$U$3,0))</f>
        <v/>
      </c>
      <c r="CB11" s="11" t="str">
        <f ca="1">OFFSET('COM Techs T15'!$AO11,0,MATCH(VLOOKUP('COM Veda input'!CB$3,'RES Assumptions T15'!$V$3:$W$35,2,FALSE),'COM Techs T15'!$G$3:$U$3,0))</f>
        <v/>
      </c>
      <c r="CC11" s="11" t="str">
        <f ca="1">OFFSET('COM Techs T15'!$AO11,0,MATCH(VLOOKUP('COM Veda input'!CC$3,'RES Assumptions T15'!$V$3:$W$35,2,FALSE),'COM Techs T15'!$G$3:$U$3,0))</f>
        <v/>
      </c>
      <c r="CD11" s="11" t="str">
        <f ca="1">OFFSET('COM Techs T15'!$AO11,0,MATCH(VLOOKUP('COM Veda input'!CD$3,'RES Assumptions T15'!$V$3:$W$35,2,FALSE),'COM Techs T15'!$G$3:$U$3,0))</f>
        <v/>
      </c>
      <c r="CE11" s="11" t="str">
        <f ca="1">OFFSET('COM Techs T15'!$AO11,0,MATCH(VLOOKUP('COM Veda input'!CE$3,'RES Assumptions T15'!$V$3:$W$35,2,FALSE),'COM Techs T15'!$G$3:$U$3,0))</f>
        <v/>
      </c>
      <c r="CF11" s="11" t="str">
        <f ca="1">OFFSET('COM Techs T15'!$AO11,0,MATCH(VLOOKUP('COM Veda input'!CF$3,'RES Assumptions T15'!$V$3:$W$35,2,FALSE),'COM Techs T15'!$G$3:$U$3,0))</f>
        <v/>
      </c>
      <c r="CG11" s="11" t="str">
        <f ca="1">OFFSET('COM Techs T15'!$AO11,0,MATCH(VLOOKUP('COM Veda input'!CG$3,'RES Assumptions T15'!$V$3:$W$35,2,FALSE),'COM Techs T15'!$G$3:$U$3,0))</f>
        <v/>
      </c>
      <c r="CH11" s="11" t="str">
        <f ca="1">OFFSET('COM Techs T15'!$AO11,0,MATCH(VLOOKUP('COM Veda input'!CH$3,'RES Assumptions T15'!$V$3:$W$35,2,FALSE),'COM Techs T15'!$G$3:$U$3,0))</f>
        <v/>
      </c>
      <c r="CI11" s="11" t="str">
        <f ca="1">OFFSET('COM Techs T15'!$AO11,0,MATCH(VLOOKUP('COM Veda input'!CI$3,'RES Assumptions T15'!$V$3:$W$35,2,FALSE),'COM Techs T15'!$G$3:$U$3,0))</f>
        <v/>
      </c>
      <c r="CJ11" s="11" t="str">
        <f ca="1">OFFSET('COM Techs T15'!$AO11,0,MATCH(VLOOKUP('COM Veda input'!CJ$3,'RES Assumptions T15'!$V$3:$W$35,2,FALSE),'COM Techs T15'!$G$3:$U$3,0))</f>
        <v/>
      </c>
      <c r="CK11" s="11" t="str">
        <f ca="1">OFFSET('COM Techs T15'!$AO11,0,MATCH(VLOOKUP('COM Veda input'!CK$3,'RES Assumptions T15'!$V$3:$W$35,2,FALSE),'COM Techs T15'!$G$3:$U$3,0))</f>
        <v/>
      </c>
      <c r="CL11" s="11" t="str">
        <f ca="1">OFFSET('COM Techs T15'!$AO11,0,MATCH(VLOOKUP('COM Veda input'!CL$3,'RES Assumptions T15'!$V$3:$W$35,2,FALSE),'COM Techs T15'!$G$3:$U$3,0))</f>
        <v/>
      </c>
      <c r="CM11" s="11" t="str">
        <f ca="1">OFFSET('COM Techs T15'!$AO11,0,MATCH(VLOOKUP('COM Veda input'!CM$3,'RES Assumptions T15'!$V$3:$W$35,2,FALSE),'COM Techs T15'!$G$3:$U$3,0))</f>
        <v/>
      </c>
      <c r="CN11" s="11" t="str">
        <f ca="1">OFFSET('COM Techs T15'!$AO11,0,MATCH(VLOOKUP('COM Veda input'!CN$3,'RES Assumptions T15'!$V$3:$W$35,2,FALSE),'COM Techs T15'!$G$3:$U$3,0))</f>
        <v/>
      </c>
      <c r="CO11" s="11" t="str">
        <f ca="1">OFFSET('COM Techs T15'!$AO11,0,MATCH(VLOOKUP('COM Veda input'!CO$3,'RES Assumptions T15'!$V$3:$W$35,2,FALSE),'COM Techs T15'!$G$3:$U$3,0))</f>
        <v/>
      </c>
      <c r="CP11" s="11" t="str">
        <f ca="1">OFFSET('COM Techs T15'!$AO11,0,MATCH(VLOOKUP('COM Veda input'!CP$3,'RES Assumptions T15'!$V$3:$W$35,2,FALSE),'COM Techs T15'!$G$3:$U$3,0))</f>
        <v/>
      </c>
      <c r="CQ11" s="11" t="str">
        <f ca="1">OFFSET('COM Techs T15'!$AO11,0,MATCH(VLOOKUP('COM Veda input'!CQ$3,'RES Assumptions T15'!$V$3:$W$35,2,FALSE),'COM Techs T15'!$G$3:$U$3,0))</f>
        <v/>
      </c>
      <c r="CR11" s="11" t="str">
        <f ca="1">OFFSET('COM Techs T15'!$AO11,0,MATCH(VLOOKUP('COM Veda input'!CR$3,'RES Assumptions T15'!$V$3:$W$35,2,FALSE),'COM Techs T15'!$G$3:$U$3,0))</f>
        <v/>
      </c>
      <c r="CS11" s="11" t="str">
        <f ca="1">OFFSET('COM Techs T15'!$AO11,0,MATCH(VLOOKUP('COM Veda input'!CS$3,'RES Assumptions T15'!$V$3:$W$35,2,FALSE),'COM Techs T15'!$G$3:$U$3,0))</f>
        <v/>
      </c>
      <c r="CT11" s="11" t="str">
        <f ca="1">OFFSET('COM Techs T15'!$AO11,0,MATCH(VLOOKUP('COM Veda input'!CT$3,'RES Assumptions T15'!$V$3:$W$35,2,FALSE),'COM Techs T15'!$G$3:$U$3,0))</f>
        <v/>
      </c>
      <c r="CU11" s="11" t="str">
        <f ca="1">OFFSET('COM Techs T15'!$AO11,0,MATCH(VLOOKUP('COM Veda input'!CU$3,'RES Assumptions T15'!$V$3:$W$35,2,FALSE),'COM Techs T15'!$G$3:$U$3,0))</f>
        <v/>
      </c>
      <c r="CV11" s="11" t="str">
        <f ca="1">OFFSET('COM Techs T15'!$AO11,0,MATCH(VLOOKUP('COM Veda input'!CV$3,'RES Assumptions T15'!$V$3:$W$35,2,FALSE),'COM Techs T15'!$G$3:$U$3,0))</f>
        <v/>
      </c>
      <c r="CW11" s="11" t="str">
        <f ca="1">OFFSET('COM Techs T15'!$AO11,0,MATCH(VLOOKUP('COM Veda input'!CW$3,'RES Assumptions T15'!$V$3:$W$35,2,FALSE),'COM Techs T15'!$G$3:$U$3,0))</f>
        <v/>
      </c>
      <c r="CX11" s="11" t="str">
        <f ca="1">OFFSET('COM Techs T15'!$AO11,0,MATCH(VLOOKUP('COM Veda input'!CX$3,'RES Assumptions T15'!$V$3:$W$35,2,FALSE),'COM Techs T15'!$G$3:$U$3,0))</f>
        <v/>
      </c>
      <c r="CZ11" s="8" t="str">
        <f t="shared" si="22"/>
        <v>CCKBIO000</v>
      </c>
      <c r="DA11" s="10">
        <f ca="1">'COM Assumptions'!E88*G11/'COM Veda input'!AM11</f>
        <v>3.3811993900800004</v>
      </c>
      <c r="DB11" s="10">
        <f ca="1">'COM Assumptions'!F88*H11/'COM Veda input'!AN11</f>
        <v>38.545148524607995</v>
      </c>
      <c r="DC11" s="10">
        <f ca="1">'COM Assumptions'!G88*I11/'COM Veda input'!AO11</f>
        <v>0.73020237091199991</v>
      </c>
      <c r="DD11" s="10">
        <f ca="1">'COM Assumptions'!H88*J11/'COM Veda input'!AP11</f>
        <v>0</v>
      </c>
      <c r="DE11" s="10">
        <f ca="1">'COM Assumptions'!I88*K11/'COM Veda input'!AQ11</f>
        <v>0</v>
      </c>
      <c r="DF11" s="10">
        <f ca="1">'COM Assumptions'!J88*L11/'COM Veda input'!AR11</f>
        <v>5.1697344079800001</v>
      </c>
      <c r="DG11" s="10">
        <f ca="1">'COM Assumptions'!K88*M11/'COM Veda input'!AS11</f>
        <v>0</v>
      </c>
      <c r="DH11" s="10">
        <f ca="1">'COM Assumptions'!L88*N11/'COM Veda input'!AT11</f>
        <v>0.72475247615399985</v>
      </c>
      <c r="DI11" s="10">
        <f ca="1">'COM Assumptions'!M88*O11/'COM Veda input'!AU11</f>
        <v>0</v>
      </c>
      <c r="DJ11" s="10">
        <f ca="1">'COM Assumptions'!N88*P11/'COM Veda input'!AV11</f>
        <v>5.2520684580000003E-3</v>
      </c>
      <c r="DK11" s="10">
        <f ca="1">'COM Assumptions'!O88*Q11/'COM Veda input'!AW11</f>
        <v>0.276628867956</v>
      </c>
      <c r="DL11" s="10">
        <f ca="1">'COM Assumptions'!P88*R11/'COM Veda input'!AX11</f>
        <v>0</v>
      </c>
      <c r="DM11" s="10">
        <f ca="1">'COM Assumptions'!Q88*S11/'COM Veda input'!AY11</f>
        <v>0.30212786159999999</v>
      </c>
      <c r="DN11" s="10">
        <f ca="1">'COM Assumptions'!R88*T11/'COM Veda input'!AZ11</f>
        <v>0.103891966956</v>
      </c>
      <c r="DO11" s="10">
        <f ca="1">'COM Assumptions'!S88*U11/'COM Veda input'!BA11</f>
        <v>0</v>
      </c>
      <c r="DP11" s="10">
        <f ca="1">'COM Assumptions'!T88*V11/'COM Veda input'!BB11</f>
        <v>0.192247221528</v>
      </c>
      <c r="DQ11" s="10">
        <f ca="1">'COM Assumptions'!U88*W11/'COM Veda input'!BC11</f>
        <v>0</v>
      </c>
      <c r="DR11" s="10">
        <f ca="1">'COM Assumptions'!V88*X11/'COM Veda input'!BD11</f>
        <v>0.51884161189199995</v>
      </c>
      <c r="DS11" s="10">
        <f ca="1">'COM Assumptions'!W88*Y11/'COM Veda input'!BE11</f>
        <v>1.9664000790119998</v>
      </c>
      <c r="DT11" s="10">
        <f ca="1">'COM Assumptions'!X88*Z11/'COM Veda input'!BF11</f>
        <v>11.523119965055999</v>
      </c>
      <c r="DU11" s="10">
        <f ca="1">'COM Assumptions'!Y88*AA11/'COM Veda input'!BG11</f>
        <v>2.6367986174039997</v>
      </c>
      <c r="DV11" s="10">
        <f ca="1">'COM Assumptions'!Z88*AB11/'COM Veda input'!BH11</f>
        <v>0</v>
      </c>
      <c r="DW11" s="10">
        <f ca="1">'COM Assumptions'!AA88*AC11/'COM Veda input'!BI11</f>
        <v>0</v>
      </c>
      <c r="DX11" s="10">
        <f ca="1">'COM Assumptions'!AB88*AD11/'COM Veda input'!BJ11</f>
        <v>5.9347261979999996E-2</v>
      </c>
      <c r="DY11" s="10">
        <f ca="1">'COM Assumptions'!AC88*AE11/'COM Veda input'!BK11</f>
        <v>0</v>
      </c>
      <c r="DZ11" s="10">
        <f ca="1">'COM Assumptions'!AD88*AF11/'COM Veda input'!BL11</f>
        <v>0</v>
      </c>
      <c r="EA11" s="10">
        <f ca="1">'COM Assumptions'!AE88*AG11/'COM Veda input'!BM11</f>
        <v>0</v>
      </c>
      <c r="EB11" s="10">
        <f ca="1">'COM Assumptions'!AF88*AH11/'COM Veda input'!BN11</f>
        <v>0.27629991108000002</v>
      </c>
      <c r="EC11" s="10">
        <f ca="1">'COM Assumptions'!AG88*AI11/'COM Veda input'!BO11</f>
        <v>0</v>
      </c>
      <c r="ED11" s="10">
        <f ca="1">'COM Assumptions'!AH88*AJ11/'COM Veda input'!BP11</f>
        <v>0</v>
      </c>
      <c r="EE11" s="8">
        <v>17</v>
      </c>
      <c r="EI11" s="8" t="str">
        <f t="shared" si="23"/>
        <v>CCKBIO000</v>
      </c>
      <c r="EK11" t="s">
        <v>282</v>
      </c>
      <c r="EL11" t="s">
        <v>283</v>
      </c>
    </row>
    <row r="12" spans="1:145" x14ac:dyDescent="0.45">
      <c r="A12" s="37" t="str">
        <f>'COM Assumptions'!B89</f>
        <v>CCK</v>
      </c>
      <c r="B12" s="37" t="s">
        <v>222</v>
      </c>
      <c r="D12" t="s">
        <v>222</v>
      </c>
      <c r="E12" s="8" t="str">
        <f>'COM Assumptions'!A89</f>
        <v>COMCOA</v>
      </c>
      <c r="F12" t="str">
        <f>VLOOKUP('COM Assumptions'!B89,'COM Assumptions'!$AP$81:$AQ$88,2,FALSE)</f>
        <v>CCK</v>
      </c>
      <c r="G12" s="11">
        <f ca="1">OFFSET('COM Techs T15'!$F12,0,MATCH(VLOOKUP('COM Veda input'!G$3,'RES Assumptions T15'!$V$3:$W$35,2,FALSE),'COM Techs T15'!$G$3:$U$3,0))</f>
        <v>0.18</v>
      </c>
      <c r="H12" s="11">
        <f ca="1">OFFSET('COM Techs T15'!$F12,0,MATCH(VLOOKUP('COM Veda input'!H$3,'RES Assumptions T15'!$V$3:$W$35,2,FALSE),'COM Techs T15'!$G$3:$U$3,0))</f>
        <v>0.18</v>
      </c>
      <c r="I12" s="11">
        <f ca="1">OFFSET('COM Techs T15'!$F12,0,MATCH(VLOOKUP('COM Veda input'!I$3,'RES Assumptions T15'!$V$3:$W$35,2,FALSE),'COM Techs T15'!$G$3:$U$3,0))</f>
        <v>0.18</v>
      </c>
      <c r="J12" s="11">
        <f ca="1">OFFSET('COM Techs T15'!$F12,0,MATCH(VLOOKUP('COM Veda input'!J$3,'RES Assumptions T15'!$V$3:$W$35,2,FALSE),'COM Techs T15'!$G$3:$U$3,0))</f>
        <v>0.18</v>
      </c>
      <c r="K12" s="11">
        <f ca="1">OFFSET('COM Techs T15'!$F12,0,MATCH(VLOOKUP('COM Veda input'!K$3,'RES Assumptions T15'!$V$3:$W$35,2,FALSE),'COM Techs T15'!$G$3:$U$3,0))</f>
        <v>0.18</v>
      </c>
      <c r="L12" s="11">
        <f ca="1">OFFSET('COM Techs T15'!$F12,0,MATCH(VLOOKUP('COM Veda input'!L$3,'RES Assumptions T15'!$V$3:$W$35,2,FALSE),'COM Techs T15'!$G$3:$U$3,0))</f>
        <v>0.18</v>
      </c>
      <c r="M12" s="11">
        <f ca="1">OFFSET('COM Techs T15'!$F12,0,MATCH(VLOOKUP('COM Veda input'!M$3,'RES Assumptions T15'!$V$3:$W$35,2,FALSE),'COM Techs T15'!$G$3:$U$3,0))</f>
        <v>0.18</v>
      </c>
      <c r="N12" s="11">
        <f ca="1">OFFSET('COM Techs T15'!$F12,0,MATCH(VLOOKUP('COM Veda input'!N$3,'RES Assumptions T15'!$V$3:$W$35,2,FALSE),'COM Techs T15'!$G$3:$U$3,0))</f>
        <v>0.18</v>
      </c>
      <c r="O12" s="11">
        <f ca="1">OFFSET('COM Techs T15'!$F12,0,MATCH(VLOOKUP('COM Veda input'!O$3,'RES Assumptions T15'!$V$3:$W$35,2,FALSE),'COM Techs T15'!$G$3:$U$3,0))</f>
        <v>0.18</v>
      </c>
      <c r="P12" s="11">
        <f ca="1">OFFSET('COM Techs T15'!$F12,0,MATCH(VLOOKUP('COM Veda input'!P$3,'RES Assumptions T15'!$V$3:$W$35,2,FALSE),'COM Techs T15'!$G$3:$U$3,0))</f>
        <v>0.18</v>
      </c>
      <c r="Q12" s="11">
        <f ca="1">OFFSET('COM Techs T15'!$F12,0,MATCH(VLOOKUP('COM Veda input'!Q$3,'RES Assumptions T15'!$V$3:$W$35,2,FALSE),'COM Techs T15'!$G$3:$U$3,0))</f>
        <v>0.18</v>
      </c>
      <c r="R12" s="11">
        <f ca="1">OFFSET('COM Techs T15'!$F12,0,MATCH(VLOOKUP('COM Veda input'!R$3,'RES Assumptions T15'!$V$3:$W$35,2,FALSE),'COM Techs T15'!$G$3:$U$3,0))</f>
        <v>0.18</v>
      </c>
      <c r="S12" s="11">
        <f ca="1">OFFSET('COM Techs T15'!$F12,0,MATCH(VLOOKUP('COM Veda input'!S$3,'RES Assumptions T15'!$V$3:$W$35,2,FALSE),'COM Techs T15'!$G$3:$U$3,0))</f>
        <v>0.18</v>
      </c>
      <c r="T12" s="11">
        <f ca="1">OFFSET('COM Techs T15'!$F12,0,MATCH(VLOOKUP('COM Veda input'!T$3,'RES Assumptions T15'!$V$3:$W$35,2,FALSE),'COM Techs T15'!$G$3:$U$3,0))</f>
        <v>0.18</v>
      </c>
      <c r="U12" s="11">
        <f ca="1">OFFSET('COM Techs T15'!$F12,0,MATCH(VLOOKUP('COM Veda input'!U$3,'RES Assumptions T15'!$V$3:$W$35,2,FALSE),'COM Techs T15'!$G$3:$U$3,0))</f>
        <v>0.18</v>
      </c>
      <c r="V12" s="11">
        <f ca="1">OFFSET('COM Techs T15'!$F12,0,MATCH(VLOOKUP('COM Veda input'!V$3,'RES Assumptions T15'!$V$3:$W$35,2,FALSE),'COM Techs T15'!$G$3:$U$3,0))</f>
        <v>0.18</v>
      </c>
      <c r="W12" s="11">
        <f ca="1">OFFSET('COM Techs T15'!$F12,0,MATCH(VLOOKUP('COM Veda input'!W$3,'RES Assumptions T15'!$V$3:$W$35,2,FALSE),'COM Techs T15'!$G$3:$U$3,0))</f>
        <v>0.18</v>
      </c>
      <c r="X12" s="11">
        <f ca="1">OFFSET('COM Techs T15'!$F12,0,MATCH(VLOOKUP('COM Veda input'!X$3,'RES Assumptions T15'!$V$3:$W$35,2,FALSE),'COM Techs T15'!$G$3:$U$3,0))</f>
        <v>0.18</v>
      </c>
      <c r="Y12" s="11">
        <f ca="1">OFFSET('COM Techs T15'!$F12,0,MATCH(VLOOKUP('COM Veda input'!Y$3,'RES Assumptions T15'!$V$3:$W$35,2,FALSE),'COM Techs T15'!$G$3:$U$3,0))</f>
        <v>0.18</v>
      </c>
      <c r="Z12" s="11">
        <f ca="1">OFFSET('COM Techs T15'!$F12,0,MATCH(VLOOKUP('COM Veda input'!Z$3,'RES Assumptions T15'!$V$3:$W$35,2,FALSE),'COM Techs T15'!$G$3:$U$3,0))</f>
        <v>0.18</v>
      </c>
      <c r="AA12" s="11">
        <f ca="1">OFFSET('COM Techs T15'!$F12,0,MATCH(VLOOKUP('COM Veda input'!AA$3,'RES Assumptions T15'!$V$3:$W$35,2,FALSE),'COM Techs T15'!$G$3:$U$3,0))</f>
        <v>0.18</v>
      </c>
      <c r="AB12" s="11">
        <f ca="1">OFFSET('COM Techs T15'!$F12,0,MATCH(VLOOKUP('COM Veda input'!AB$3,'RES Assumptions T15'!$V$3:$W$35,2,FALSE),'COM Techs T15'!$G$3:$U$3,0))</f>
        <v>0.18</v>
      </c>
      <c r="AC12" s="11">
        <f ca="1">OFFSET('COM Techs T15'!$F12,0,MATCH(VLOOKUP('COM Veda input'!AC$3,'RES Assumptions T15'!$V$3:$W$35,2,FALSE),'COM Techs T15'!$G$3:$U$3,0))</f>
        <v>0.18</v>
      </c>
      <c r="AD12" s="11">
        <f ca="1">OFFSET('COM Techs T15'!$F12,0,MATCH(VLOOKUP('COM Veda input'!AD$3,'RES Assumptions T15'!$V$3:$W$35,2,FALSE),'COM Techs T15'!$G$3:$U$3,0))</f>
        <v>0.18</v>
      </c>
      <c r="AE12" s="11">
        <f ca="1">OFFSET('COM Techs T15'!$F12,0,MATCH(VLOOKUP('COM Veda input'!AE$3,'RES Assumptions T15'!$V$3:$W$35,2,FALSE),'COM Techs T15'!$G$3:$U$3,0))</f>
        <v>0.18</v>
      </c>
      <c r="AF12" s="11">
        <f ca="1">OFFSET('COM Techs T15'!$F12,0,MATCH(VLOOKUP('COM Veda input'!AF$3,'RES Assumptions T15'!$V$3:$W$35,2,FALSE),'COM Techs T15'!$G$3:$U$3,0))</f>
        <v>0.18</v>
      </c>
      <c r="AG12" s="11">
        <f ca="1">OFFSET('COM Techs T15'!$F12,0,MATCH(VLOOKUP('COM Veda input'!AG$3,'RES Assumptions T15'!$V$3:$W$35,2,FALSE),'COM Techs T15'!$G$3:$U$3,0))</f>
        <v>0.18</v>
      </c>
      <c r="AH12" s="11">
        <f ca="1">OFFSET('COM Techs T15'!$F12,0,MATCH(VLOOKUP('COM Veda input'!AH$3,'RES Assumptions T15'!$V$3:$W$35,2,FALSE),'COM Techs T15'!$G$3:$U$3,0))</f>
        <v>0.18</v>
      </c>
      <c r="AI12" s="11">
        <f ca="1">OFFSET('COM Techs T15'!$F12,0,MATCH(VLOOKUP('COM Veda input'!AI$3,'RES Assumptions T15'!$V$3:$W$35,2,FALSE),'COM Techs T15'!$G$3:$U$3,0))</f>
        <v>0.18</v>
      </c>
      <c r="AJ12" s="11">
        <f ca="1">OFFSET('COM Techs T15'!$F12,0,MATCH(VLOOKUP('COM Veda input'!AJ$3,'RES Assumptions T15'!$V$3:$W$35,2,FALSE),'COM Techs T15'!$G$3:$U$3,0))</f>
        <v>0.18</v>
      </c>
      <c r="AL12" s="8" t="str">
        <f t="shared" si="19"/>
        <v>CCKCOA000</v>
      </c>
      <c r="AM12" s="11">
        <f ca="1">OFFSET('COM Techs T15'!$W12,0,MATCH(VLOOKUP('COM Veda input'!AM$3,'RES Assumptions T15'!$V$3:$W$35,2,FALSE),'COM Techs T15'!$G$3:$U$3,0))</f>
        <v>1</v>
      </c>
      <c r="AN12" s="11">
        <f ca="1">OFFSET('COM Techs T15'!$W12,0,MATCH(VLOOKUP('COM Veda input'!AN$3,'RES Assumptions T15'!$V$3:$W$35,2,FALSE),'COM Techs T15'!$G$3:$U$3,0))</f>
        <v>1</v>
      </c>
      <c r="AO12" s="11">
        <f ca="1">OFFSET('COM Techs T15'!$W12,0,MATCH(VLOOKUP('COM Veda input'!AO$3,'RES Assumptions T15'!$V$3:$W$35,2,FALSE),'COM Techs T15'!$G$3:$U$3,0))</f>
        <v>1</v>
      </c>
      <c r="AP12" s="11">
        <f ca="1">OFFSET('COM Techs T15'!$W12,0,MATCH(VLOOKUP('COM Veda input'!AP$3,'RES Assumptions T15'!$V$3:$W$35,2,FALSE),'COM Techs T15'!$G$3:$U$3,0))</f>
        <v>1</v>
      </c>
      <c r="AQ12" s="11">
        <f ca="1">OFFSET('COM Techs T15'!$W12,0,MATCH(VLOOKUP('COM Veda input'!AQ$3,'RES Assumptions T15'!$V$3:$W$35,2,FALSE),'COM Techs T15'!$G$3:$U$3,0))</f>
        <v>1</v>
      </c>
      <c r="AR12" s="11">
        <f ca="1">OFFSET('COM Techs T15'!$W12,0,MATCH(VLOOKUP('COM Veda input'!AR$3,'RES Assumptions T15'!$V$3:$W$35,2,FALSE),'COM Techs T15'!$G$3:$U$3,0))</f>
        <v>1</v>
      </c>
      <c r="AS12" s="11">
        <f ca="1">OFFSET('COM Techs T15'!$W12,0,MATCH(VLOOKUP('COM Veda input'!AS$3,'RES Assumptions T15'!$V$3:$W$35,2,FALSE),'COM Techs T15'!$G$3:$U$3,0))</f>
        <v>1</v>
      </c>
      <c r="AT12" s="11">
        <f ca="1">OFFSET('COM Techs T15'!$W12,0,MATCH(VLOOKUP('COM Veda input'!AT$3,'RES Assumptions T15'!$V$3:$W$35,2,FALSE),'COM Techs T15'!$G$3:$U$3,0))</f>
        <v>1</v>
      </c>
      <c r="AU12" s="11">
        <f ca="1">OFFSET('COM Techs T15'!$W12,0,MATCH(VLOOKUP('COM Veda input'!AU$3,'RES Assumptions T15'!$V$3:$W$35,2,FALSE),'COM Techs T15'!$G$3:$U$3,0))</f>
        <v>1</v>
      </c>
      <c r="AV12" s="11">
        <f ca="1">OFFSET('COM Techs T15'!$W12,0,MATCH(VLOOKUP('COM Veda input'!AV$3,'RES Assumptions T15'!$V$3:$W$35,2,FALSE),'COM Techs T15'!$G$3:$U$3,0))</f>
        <v>1</v>
      </c>
      <c r="AW12" s="11">
        <f ca="1">OFFSET('COM Techs T15'!$W12,0,MATCH(VLOOKUP('COM Veda input'!AW$3,'RES Assumptions T15'!$V$3:$W$35,2,FALSE),'COM Techs T15'!$G$3:$U$3,0))</f>
        <v>1</v>
      </c>
      <c r="AX12" s="11">
        <f ca="1">OFFSET('COM Techs T15'!$W12,0,MATCH(VLOOKUP('COM Veda input'!AX$3,'RES Assumptions T15'!$V$3:$W$35,2,FALSE),'COM Techs T15'!$G$3:$U$3,0))</f>
        <v>1</v>
      </c>
      <c r="AY12" s="11">
        <f ca="1">OFFSET('COM Techs T15'!$W12,0,MATCH(VLOOKUP('COM Veda input'!AY$3,'RES Assumptions T15'!$V$3:$W$35,2,FALSE),'COM Techs T15'!$G$3:$U$3,0))</f>
        <v>1</v>
      </c>
      <c r="AZ12" s="11">
        <f ca="1">OFFSET('COM Techs T15'!$W12,0,MATCH(VLOOKUP('COM Veda input'!AZ$3,'RES Assumptions T15'!$V$3:$W$35,2,FALSE),'COM Techs T15'!$G$3:$U$3,0))</f>
        <v>1</v>
      </c>
      <c r="BA12" s="11">
        <f ca="1">OFFSET('COM Techs T15'!$W12,0,MATCH(VLOOKUP('COM Veda input'!BA$3,'RES Assumptions T15'!$V$3:$W$35,2,FALSE),'COM Techs T15'!$G$3:$U$3,0))</f>
        <v>1</v>
      </c>
      <c r="BB12" s="11">
        <f ca="1">OFFSET('COM Techs T15'!$W12,0,MATCH(VLOOKUP('COM Veda input'!BB$3,'RES Assumptions T15'!$V$3:$W$35,2,FALSE),'COM Techs T15'!$G$3:$U$3,0))</f>
        <v>1</v>
      </c>
      <c r="BC12" s="11">
        <f ca="1">OFFSET('COM Techs T15'!$W12,0,MATCH(VLOOKUP('COM Veda input'!BC$3,'RES Assumptions T15'!$V$3:$W$35,2,FALSE),'COM Techs T15'!$G$3:$U$3,0))</f>
        <v>1</v>
      </c>
      <c r="BD12" s="11">
        <f ca="1">OFFSET('COM Techs T15'!$W12,0,MATCH(VLOOKUP('COM Veda input'!BD$3,'RES Assumptions T15'!$V$3:$W$35,2,FALSE),'COM Techs T15'!$G$3:$U$3,0))</f>
        <v>1</v>
      </c>
      <c r="BE12" s="11">
        <f ca="1">OFFSET('COM Techs T15'!$W12,0,MATCH(VLOOKUP('COM Veda input'!BE$3,'RES Assumptions T15'!$V$3:$W$35,2,FALSE),'COM Techs T15'!$G$3:$U$3,0))</f>
        <v>1</v>
      </c>
      <c r="BF12" s="11">
        <f ca="1">OFFSET('COM Techs T15'!$W12,0,MATCH(VLOOKUP('COM Veda input'!BF$3,'RES Assumptions T15'!$V$3:$W$35,2,FALSE),'COM Techs T15'!$G$3:$U$3,0))</f>
        <v>1</v>
      </c>
      <c r="BG12" s="11">
        <f ca="1">OFFSET('COM Techs T15'!$W12,0,MATCH(VLOOKUP('COM Veda input'!BG$3,'RES Assumptions T15'!$V$3:$W$35,2,FALSE),'COM Techs T15'!$G$3:$U$3,0))</f>
        <v>1</v>
      </c>
      <c r="BH12" s="11">
        <f ca="1">OFFSET('COM Techs T15'!$W12,0,MATCH(VLOOKUP('COM Veda input'!BH$3,'RES Assumptions T15'!$V$3:$W$35,2,FALSE),'COM Techs T15'!$G$3:$U$3,0))</f>
        <v>1</v>
      </c>
      <c r="BI12" s="11">
        <f ca="1">OFFSET('COM Techs T15'!$W12,0,MATCH(VLOOKUP('COM Veda input'!BI$3,'RES Assumptions T15'!$V$3:$W$35,2,FALSE),'COM Techs T15'!$G$3:$U$3,0))</f>
        <v>1</v>
      </c>
      <c r="BJ12" s="11">
        <f ca="1">OFFSET('COM Techs T15'!$W12,0,MATCH(VLOOKUP('COM Veda input'!BJ$3,'RES Assumptions T15'!$V$3:$W$35,2,FALSE),'COM Techs T15'!$G$3:$U$3,0))</f>
        <v>1</v>
      </c>
      <c r="BK12" s="11">
        <f ca="1">OFFSET('COM Techs T15'!$W12,0,MATCH(VLOOKUP('COM Veda input'!BK$3,'RES Assumptions T15'!$V$3:$W$35,2,FALSE),'COM Techs T15'!$G$3:$U$3,0))</f>
        <v>1</v>
      </c>
      <c r="BL12" s="11">
        <f ca="1">OFFSET('COM Techs T15'!$W12,0,MATCH(VLOOKUP('COM Veda input'!BL$3,'RES Assumptions T15'!$V$3:$W$35,2,FALSE),'COM Techs T15'!$G$3:$U$3,0))</f>
        <v>1</v>
      </c>
      <c r="BM12" s="11">
        <f ca="1">OFFSET('COM Techs T15'!$W12,0,MATCH(VLOOKUP('COM Veda input'!BM$3,'RES Assumptions T15'!$V$3:$W$35,2,FALSE),'COM Techs T15'!$G$3:$U$3,0))</f>
        <v>1</v>
      </c>
      <c r="BN12" s="11">
        <f ca="1">OFFSET('COM Techs T15'!$W12,0,MATCH(VLOOKUP('COM Veda input'!BN$3,'RES Assumptions T15'!$V$3:$W$35,2,FALSE),'COM Techs T15'!$G$3:$U$3,0))</f>
        <v>1</v>
      </c>
      <c r="BO12" s="11">
        <f ca="1">OFFSET('COM Techs T15'!$W12,0,MATCH(VLOOKUP('COM Veda input'!BO$3,'RES Assumptions T15'!$V$3:$W$35,2,FALSE),'COM Techs T15'!$G$3:$U$3,0))</f>
        <v>1</v>
      </c>
      <c r="BP12" s="11">
        <f ca="1">OFFSET('COM Techs T15'!$W12,0,MATCH(VLOOKUP('COM Veda input'!BP$3,'RES Assumptions T15'!$V$3:$W$35,2,FALSE),'COM Techs T15'!$G$3:$U$3,0))</f>
        <v>1</v>
      </c>
      <c r="BQ12">
        <v>3</v>
      </c>
      <c r="BS12" s="8" t="str">
        <f t="shared" si="20"/>
        <v>CCKCOA000</v>
      </c>
      <c r="BT12" s="11">
        <f t="shared" ca="1" si="21"/>
        <v>3.6</v>
      </c>
      <c r="BU12" s="11" t="str">
        <f ca="1">OFFSET('COM Techs T15'!$AO12,0,MATCH(VLOOKUP('COM Veda input'!BU$3,'RES Assumptions T15'!$V$3:$W$35,2,FALSE),'COM Techs T15'!$G$3:$U$3,0))</f>
        <v/>
      </c>
      <c r="BV12" s="11" t="str">
        <f ca="1">OFFSET('COM Techs T15'!$AO12,0,MATCH(VLOOKUP('COM Veda input'!BV$3,'RES Assumptions T15'!$V$3:$W$35,2,FALSE),'COM Techs T15'!$G$3:$U$3,0))</f>
        <v/>
      </c>
      <c r="BW12" s="11">
        <f ca="1">OFFSET('COM Techs T15'!$AO12,0,MATCH(VLOOKUP('COM Veda input'!BW$3,'RES Assumptions T15'!$V$3:$W$35,2,FALSE),'COM Techs T15'!$G$3:$U$3,0))</f>
        <v>4.2</v>
      </c>
      <c r="BX12" s="11" t="str">
        <f ca="1">OFFSET('COM Techs T15'!$AO12,0,MATCH(VLOOKUP('COM Veda input'!BX$3,'RES Assumptions T15'!$V$3:$W$35,2,FALSE),'COM Techs T15'!$G$3:$U$3,0))</f>
        <v/>
      </c>
      <c r="BY12" s="11">
        <f ca="1">OFFSET('COM Techs T15'!$AO12,0,MATCH(VLOOKUP('COM Veda input'!BY$3,'RES Assumptions T15'!$V$3:$W$35,2,FALSE),'COM Techs T15'!$G$3:$U$3,0))</f>
        <v>6</v>
      </c>
      <c r="BZ12" s="11">
        <f ca="1">OFFSET('COM Techs T15'!$AO12,0,MATCH(VLOOKUP('COM Veda input'!BZ$3,'RES Assumptions T15'!$V$3:$W$35,2,FALSE),'COM Techs T15'!$G$3:$U$3,0))</f>
        <v>3.6</v>
      </c>
      <c r="CA12" s="11" t="str">
        <f ca="1">OFFSET('COM Techs T15'!$AO12,0,MATCH(VLOOKUP('COM Veda input'!CA$3,'RES Assumptions T15'!$V$3:$W$35,2,FALSE),'COM Techs T15'!$G$3:$U$3,0))</f>
        <v/>
      </c>
      <c r="CB12" s="11">
        <f ca="1">OFFSET('COM Techs T15'!$AO12,0,MATCH(VLOOKUP('COM Veda input'!CB$3,'RES Assumptions T15'!$V$3:$W$35,2,FALSE),'COM Techs T15'!$G$3:$U$3,0))</f>
        <v>4.2</v>
      </c>
      <c r="CC12" s="11" t="str">
        <f ca="1">OFFSET('COM Techs T15'!$AO12,0,MATCH(VLOOKUP('COM Veda input'!CC$3,'RES Assumptions T15'!$V$3:$W$35,2,FALSE),'COM Techs T15'!$G$3:$U$3,0))</f>
        <v/>
      </c>
      <c r="CD12" s="11" t="str">
        <f ca="1">OFFSET('COM Techs T15'!$AO12,0,MATCH(VLOOKUP('COM Veda input'!CD$3,'RES Assumptions T15'!$V$3:$W$35,2,FALSE),'COM Techs T15'!$G$3:$U$3,0))</f>
        <v/>
      </c>
      <c r="CE12" s="11" t="str">
        <f ca="1">OFFSET('COM Techs T15'!$AO12,0,MATCH(VLOOKUP('COM Veda input'!CE$3,'RES Assumptions T15'!$V$3:$W$35,2,FALSE),'COM Techs T15'!$G$3:$U$3,0))</f>
        <v/>
      </c>
      <c r="CF12" s="11" t="str">
        <f ca="1">OFFSET('COM Techs T15'!$AO12,0,MATCH(VLOOKUP('COM Veda input'!CF$3,'RES Assumptions T15'!$V$3:$W$35,2,FALSE),'COM Techs T15'!$G$3:$U$3,0))</f>
        <v/>
      </c>
      <c r="CG12" s="11" t="str">
        <f ca="1">OFFSET('COM Techs T15'!$AO12,0,MATCH(VLOOKUP('COM Veda input'!CG$3,'RES Assumptions T15'!$V$3:$W$35,2,FALSE),'COM Techs T15'!$G$3:$U$3,0))</f>
        <v/>
      </c>
      <c r="CH12" s="11" t="str">
        <f ca="1">OFFSET('COM Techs T15'!$AO12,0,MATCH(VLOOKUP('COM Veda input'!CH$3,'RES Assumptions T15'!$V$3:$W$35,2,FALSE),'COM Techs T15'!$G$3:$U$3,0))</f>
        <v/>
      </c>
      <c r="CI12" s="11" t="str">
        <f ca="1">OFFSET('COM Techs T15'!$AO12,0,MATCH(VLOOKUP('COM Veda input'!CI$3,'RES Assumptions T15'!$V$3:$W$35,2,FALSE),'COM Techs T15'!$G$3:$U$3,0))</f>
        <v/>
      </c>
      <c r="CJ12" s="11" t="str">
        <f ca="1">OFFSET('COM Techs T15'!$AO12,0,MATCH(VLOOKUP('COM Veda input'!CJ$3,'RES Assumptions T15'!$V$3:$W$35,2,FALSE),'COM Techs T15'!$G$3:$U$3,0))</f>
        <v/>
      </c>
      <c r="CK12" s="11">
        <f ca="1">OFFSET('COM Techs T15'!$AO12,0,MATCH(VLOOKUP('COM Veda input'!CK$3,'RES Assumptions T15'!$V$3:$W$35,2,FALSE),'COM Techs T15'!$G$3:$U$3,0))</f>
        <v>4.2</v>
      </c>
      <c r="CL12" s="11" t="str">
        <f ca="1">OFFSET('COM Techs T15'!$AO12,0,MATCH(VLOOKUP('COM Veda input'!CL$3,'RES Assumptions T15'!$V$3:$W$35,2,FALSE),'COM Techs T15'!$G$3:$U$3,0))</f>
        <v/>
      </c>
      <c r="CM12" s="11" t="str">
        <f ca="1">OFFSET('COM Techs T15'!$AO12,0,MATCH(VLOOKUP('COM Veda input'!CM$3,'RES Assumptions T15'!$V$3:$W$35,2,FALSE),'COM Techs T15'!$G$3:$U$3,0))</f>
        <v/>
      </c>
      <c r="CN12" s="11">
        <f ca="1">OFFSET('COM Techs T15'!$AO12,0,MATCH(VLOOKUP('COM Veda input'!CN$3,'RES Assumptions T15'!$V$3:$W$35,2,FALSE),'COM Techs T15'!$G$3:$U$3,0))</f>
        <v>3.6</v>
      </c>
      <c r="CO12" s="11">
        <f ca="1">OFFSET('COM Techs T15'!$AO12,0,MATCH(VLOOKUP('COM Veda input'!CO$3,'RES Assumptions T15'!$V$3:$W$35,2,FALSE),'COM Techs T15'!$G$3:$U$3,0))</f>
        <v>4.2</v>
      </c>
      <c r="CP12" s="11">
        <f ca="1">OFFSET('COM Techs T15'!$AO12,0,MATCH(VLOOKUP('COM Veda input'!CP$3,'RES Assumptions T15'!$V$3:$W$35,2,FALSE),'COM Techs T15'!$G$3:$U$3,0))</f>
        <v>4.8</v>
      </c>
      <c r="CQ12" s="11">
        <f ca="1">OFFSET('COM Techs T15'!$AO12,0,MATCH(VLOOKUP('COM Veda input'!CQ$3,'RES Assumptions T15'!$V$3:$W$35,2,FALSE),'COM Techs T15'!$G$3:$U$3,0))</f>
        <v>4.2</v>
      </c>
      <c r="CR12" s="11" t="str">
        <f ca="1">OFFSET('COM Techs T15'!$AO12,0,MATCH(VLOOKUP('COM Veda input'!CR$3,'RES Assumptions T15'!$V$3:$W$35,2,FALSE),'COM Techs T15'!$G$3:$U$3,0))</f>
        <v/>
      </c>
      <c r="CS12" s="11" t="str">
        <f ca="1">OFFSET('COM Techs T15'!$AO12,0,MATCH(VLOOKUP('COM Veda input'!CS$3,'RES Assumptions T15'!$V$3:$W$35,2,FALSE),'COM Techs T15'!$G$3:$U$3,0))</f>
        <v/>
      </c>
      <c r="CT12" s="11">
        <f ca="1">OFFSET('COM Techs T15'!$AO12,0,MATCH(VLOOKUP('COM Veda input'!CT$3,'RES Assumptions T15'!$V$3:$W$35,2,FALSE),'COM Techs T15'!$G$3:$U$3,0))</f>
        <v>4.2</v>
      </c>
      <c r="CU12" s="11" t="str">
        <f ca="1">OFFSET('COM Techs T15'!$AO12,0,MATCH(VLOOKUP('COM Veda input'!CU$3,'RES Assumptions T15'!$V$3:$W$35,2,FALSE),'COM Techs T15'!$G$3:$U$3,0))</f>
        <v/>
      </c>
      <c r="CV12" s="11" t="str">
        <f ca="1">OFFSET('COM Techs T15'!$AO12,0,MATCH(VLOOKUP('COM Veda input'!CV$3,'RES Assumptions T15'!$V$3:$W$35,2,FALSE),'COM Techs T15'!$G$3:$U$3,0))</f>
        <v/>
      </c>
      <c r="CW12" s="11" t="str">
        <f ca="1">OFFSET('COM Techs T15'!$AO12,0,MATCH(VLOOKUP('COM Veda input'!CW$3,'RES Assumptions T15'!$V$3:$W$35,2,FALSE),'COM Techs T15'!$G$3:$U$3,0))</f>
        <v/>
      </c>
      <c r="CX12" s="11" t="str">
        <f ca="1">OFFSET('COM Techs T15'!$AO12,0,MATCH(VLOOKUP('COM Veda input'!CX$3,'RES Assumptions T15'!$V$3:$W$35,2,FALSE),'COM Techs T15'!$G$3:$U$3,0))</f>
        <v/>
      </c>
      <c r="CZ12" s="8" t="str">
        <f t="shared" si="22"/>
        <v>CCKCOA000</v>
      </c>
      <c r="DA12" s="10">
        <f ca="1">'COM Assumptions'!E89*G12/'COM Veda input'!AM12</f>
        <v>0</v>
      </c>
      <c r="DB12" s="10">
        <f ca="1">'COM Assumptions'!F89*H12/'COM Veda input'!AN12</f>
        <v>1.0866127643999999E-2</v>
      </c>
      <c r="DC12" s="10">
        <f ca="1">'COM Assumptions'!G89*I12/'COM Veda input'!AO12</f>
        <v>0</v>
      </c>
      <c r="DD12" s="10">
        <f ca="1">'COM Assumptions'!H89*J12/'COM Veda input'!AP12</f>
        <v>0</v>
      </c>
      <c r="DE12" s="10">
        <f ca="1">'COM Assumptions'!I89*K12/'COM Veda input'!AQ12</f>
        <v>0.2147064978888</v>
      </c>
      <c r="DF12" s="10">
        <f ca="1">'COM Assumptions'!J89*L12/'COM Veda input'!AR12</f>
        <v>1.5967359514439998</v>
      </c>
      <c r="DG12" s="10">
        <f ca="1">'COM Assumptions'!K89*M12/'COM Veda input'!AS12</f>
        <v>0</v>
      </c>
      <c r="DH12" s="10">
        <f ca="1">'COM Assumptions'!L89*N12/'COM Veda input'!AT12</f>
        <v>0</v>
      </c>
      <c r="DI12" s="10">
        <f ca="1">'COM Assumptions'!M89*O12/'COM Veda input'!AU12</f>
        <v>0</v>
      </c>
      <c r="DJ12" s="10">
        <f ca="1">'COM Assumptions'!N89*P12/'COM Veda input'!AV12</f>
        <v>27.692079074380803</v>
      </c>
      <c r="DK12" s="10">
        <f ca="1">'COM Assumptions'!O89*Q12/'COM Veda input'!AW12</f>
        <v>0</v>
      </c>
      <c r="DL12" s="10">
        <f ca="1">'COM Assumptions'!P89*R12/'COM Veda input'!AX12</f>
        <v>0</v>
      </c>
      <c r="DM12" s="10">
        <f ca="1">'COM Assumptions'!Q89*S12/'COM Veda input'!AY12</f>
        <v>0</v>
      </c>
      <c r="DN12" s="10">
        <f ca="1">'COM Assumptions'!R89*T12/'COM Veda input'!AZ12</f>
        <v>0</v>
      </c>
      <c r="DO12" s="10">
        <f ca="1">'COM Assumptions'!S89*U12/'COM Veda input'!BA12</f>
        <v>0</v>
      </c>
      <c r="DP12" s="10">
        <f ca="1">'COM Assumptions'!T89*V12/'COM Veda input'!BB12</f>
        <v>0</v>
      </c>
      <c r="DQ12" s="10">
        <f ca="1">'COM Assumptions'!U89*W12/'COM Veda input'!BC12</f>
        <v>0</v>
      </c>
      <c r="DR12" s="10">
        <f ca="1">'COM Assumptions'!V89*X12/'COM Veda input'!BD12</f>
        <v>0</v>
      </c>
      <c r="DS12" s="10">
        <f ca="1">'COM Assumptions'!W89*Y12/'COM Veda input'!BE12</f>
        <v>0</v>
      </c>
      <c r="DT12" s="10">
        <f ca="1">'COM Assumptions'!X89*Z12/'COM Veda input'!BF12</f>
        <v>18.116144640108001</v>
      </c>
      <c r="DU12" s="10">
        <f ca="1">'COM Assumptions'!Y89*AA12/'COM Veda input'!BG12</f>
        <v>0</v>
      </c>
      <c r="DV12" s="10">
        <f ca="1">'COM Assumptions'!Z89*AB12/'COM Veda input'!BH12</f>
        <v>0</v>
      </c>
      <c r="DW12" s="10">
        <f ca="1">'COM Assumptions'!AA89*AC12/'COM Veda input'!BI12</f>
        <v>0</v>
      </c>
      <c r="DX12" s="10">
        <f ca="1">'COM Assumptions'!AB89*AD12/'COM Veda input'!BJ12</f>
        <v>0</v>
      </c>
      <c r="DY12" s="10">
        <f ca="1">'COM Assumptions'!AC89*AE12/'COM Veda input'!BK12</f>
        <v>0</v>
      </c>
      <c r="DZ12" s="10">
        <f ca="1">'COM Assumptions'!AD89*AF12/'COM Veda input'!BL12</f>
        <v>0</v>
      </c>
      <c r="EA12" s="10">
        <f ca="1">'COM Assumptions'!AE89*AG12/'COM Veda input'!BM12</f>
        <v>4.7838808040399998</v>
      </c>
      <c r="EB12" s="10">
        <f ca="1">'COM Assumptions'!AF89*AH12/'COM Veda input'!BN12</f>
        <v>0</v>
      </c>
      <c r="EC12" s="10">
        <f ca="1">'COM Assumptions'!AG89*AI12/'COM Veda input'!BO12</f>
        <v>0</v>
      </c>
      <c r="ED12" s="10">
        <f ca="1">'COM Assumptions'!AH89*AJ12/'COM Veda input'!BP12</f>
        <v>0</v>
      </c>
      <c r="EE12" s="8">
        <v>15</v>
      </c>
      <c r="EI12" s="8" t="str">
        <f t="shared" si="23"/>
        <v>CCKCOA000</v>
      </c>
      <c r="EK12" t="s">
        <v>282</v>
      </c>
      <c r="EL12" t="s">
        <v>283</v>
      </c>
    </row>
    <row r="13" spans="1:145" x14ac:dyDescent="0.45">
      <c r="A13" s="37" t="str">
        <f>'COM Assumptions'!B90</f>
        <v>CCK</v>
      </c>
      <c r="B13" s="37" t="s">
        <v>223</v>
      </c>
      <c r="D13" t="s">
        <v>223</v>
      </c>
      <c r="E13" s="8" t="str">
        <f>'COM Assumptions'!A90</f>
        <v>COMOIL</v>
      </c>
      <c r="F13" t="str">
        <f>VLOOKUP('COM Assumptions'!B90,'COM Assumptions'!$AP$81:$AQ$88,2,FALSE)</f>
        <v>CCK</v>
      </c>
      <c r="G13" s="11">
        <f ca="1">OFFSET('COM Techs T15'!$F13,0,MATCH(VLOOKUP('COM Veda input'!G$3,'RES Assumptions T15'!$V$3:$W$35,2,FALSE),'COM Techs T15'!$G$3:$U$3,0))</f>
        <v>0.5</v>
      </c>
      <c r="H13" s="11">
        <f ca="1">OFFSET('COM Techs T15'!$F13,0,MATCH(VLOOKUP('COM Veda input'!H$3,'RES Assumptions T15'!$V$3:$W$35,2,FALSE),'COM Techs T15'!$G$3:$U$3,0))</f>
        <v>0.5</v>
      </c>
      <c r="I13" s="11">
        <f ca="1">OFFSET('COM Techs T15'!$F13,0,MATCH(VLOOKUP('COM Veda input'!I$3,'RES Assumptions T15'!$V$3:$W$35,2,FALSE),'COM Techs T15'!$G$3:$U$3,0))</f>
        <v>0.5</v>
      </c>
      <c r="J13" s="11">
        <f ca="1">OFFSET('COM Techs T15'!$F13,0,MATCH(VLOOKUP('COM Veda input'!J$3,'RES Assumptions T15'!$V$3:$W$35,2,FALSE),'COM Techs T15'!$G$3:$U$3,0))</f>
        <v>0.5</v>
      </c>
      <c r="K13" s="11">
        <f ca="1">OFFSET('COM Techs T15'!$F13,0,MATCH(VLOOKUP('COM Veda input'!K$3,'RES Assumptions T15'!$V$3:$W$35,2,FALSE),'COM Techs T15'!$G$3:$U$3,0))</f>
        <v>0.5</v>
      </c>
      <c r="L13" s="11">
        <f ca="1">OFFSET('COM Techs T15'!$F13,0,MATCH(VLOOKUP('COM Veda input'!L$3,'RES Assumptions T15'!$V$3:$W$35,2,FALSE),'COM Techs T15'!$G$3:$U$3,0))</f>
        <v>0.5</v>
      </c>
      <c r="M13" s="11">
        <f ca="1">OFFSET('COM Techs T15'!$F13,0,MATCH(VLOOKUP('COM Veda input'!M$3,'RES Assumptions T15'!$V$3:$W$35,2,FALSE),'COM Techs T15'!$G$3:$U$3,0))</f>
        <v>0.5</v>
      </c>
      <c r="N13" s="11">
        <f ca="1">OFFSET('COM Techs T15'!$F13,0,MATCH(VLOOKUP('COM Veda input'!N$3,'RES Assumptions T15'!$V$3:$W$35,2,FALSE),'COM Techs T15'!$G$3:$U$3,0))</f>
        <v>0.5</v>
      </c>
      <c r="O13" s="11">
        <f ca="1">OFFSET('COM Techs T15'!$F13,0,MATCH(VLOOKUP('COM Veda input'!O$3,'RES Assumptions T15'!$V$3:$W$35,2,FALSE),'COM Techs T15'!$G$3:$U$3,0))</f>
        <v>0.5</v>
      </c>
      <c r="P13" s="11">
        <f ca="1">OFFSET('COM Techs T15'!$F13,0,MATCH(VLOOKUP('COM Veda input'!P$3,'RES Assumptions T15'!$V$3:$W$35,2,FALSE),'COM Techs T15'!$G$3:$U$3,0))</f>
        <v>0.5</v>
      </c>
      <c r="Q13" s="11">
        <f ca="1">OFFSET('COM Techs T15'!$F13,0,MATCH(VLOOKUP('COM Veda input'!Q$3,'RES Assumptions T15'!$V$3:$W$35,2,FALSE),'COM Techs T15'!$G$3:$U$3,0))</f>
        <v>0.5</v>
      </c>
      <c r="R13" s="11">
        <f ca="1">OFFSET('COM Techs T15'!$F13,0,MATCH(VLOOKUP('COM Veda input'!R$3,'RES Assumptions T15'!$V$3:$W$35,2,FALSE),'COM Techs T15'!$G$3:$U$3,0))</f>
        <v>0.5</v>
      </c>
      <c r="S13" s="11">
        <f ca="1">OFFSET('COM Techs T15'!$F13,0,MATCH(VLOOKUP('COM Veda input'!S$3,'RES Assumptions T15'!$V$3:$W$35,2,FALSE),'COM Techs T15'!$G$3:$U$3,0))</f>
        <v>0.5</v>
      </c>
      <c r="T13" s="11">
        <f ca="1">OFFSET('COM Techs T15'!$F13,0,MATCH(VLOOKUP('COM Veda input'!T$3,'RES Assumptions T15'!$V$3:$W$35,2,FALSE),'COM Techs T15'!$G$3:$U$3,0))</f>
        <v>0.5</v>
      </c>
      <c r="U13" s="11">
        <f ca="1">OFFSET('COM Techs T15'!$F13,0,MATCH(VLOOKUP('COM Veda input'!U$3,'RES Assumptions T15'!$V$3:$W$35,2,FALSE),'COM Techs T15'!$G$3:$U$3,0))</f>
        <v>0.5</v>
      </c>
      <c r="V13" s="11">
        <f ca="1">OFFSET('COM Techs T15'!$F13,0,MATCH(VLOOKUP('COM Veda input'!V$3,'RES Assumptions T15'!$V$3:$W$35,2,FALSE),'COM Techs T15'!$G$3:$U$3,0))</f>
        <v>0.5</v>
      </c>
      <c r="W13" s="11">
        <f ca="1">OFFSET('COM Techs T15'!$F13,0,MATCH(VLOOKUP('COM Veda input'!W$3,'RES Assumptions T15'!$V$3:$W$35,2,FALSE),'COM Techs T15'!$G$3:$U$3,0))</f>
        <v>0.5</v>
      </c>
      <c r="X13" s="11">
        <f ca="1">OFFSET('COM Techs T15'!$F13,0,MATCH(VLOOKUP('COM Veda input'!X$3,'RES Assumptions T15'!$V$3:$W$35,2,FALSE),'COM Techs T15'!$G$3:$U$3,0))</f>
        <v>0.5</v>
      </c>
      <c r="Y13" s="11">
        <f ca="1">OFFSET('COM Techs T15'!$F13,0,MATCH(VLOOKUP('COM Veda input'!Y$3,'RES Assumptions T15'!$V$3:$W$35,2,FALSE),'COM Techs T15'!$G$3:$U$3,0))</f>
        <v>0.5</v>
      </c>
      <c r="Z13" s="11">
        <f ca="1">OFFSET('COM Techs T15'!$F13,0,MATCH(VLOOKUP('COM Veda input'!Z$3,'RES Assumptions T15'!$V$3:$W$35,2,FALSE),'COM Techs T15'!$G$3:$U$3,0))</f>
        <v>0.5</v>
      </c>
      <c r="AA13" s="11">
        <f ca="1">OFFSET('COM Techs T15'!$F13,0,MATCH(VLOOKUP('COM Veda input'!AA$3,'RES Assumptions T15'!$V$3:$W$35,2,FALSE),'COM Techs T15'!$G$3:$U$3,0))</f>
        <v>0.5</v>
      </c>
      <c r="AB13" s="11">
        <f ca="1">OFFSET('COM Techs T15'!$F13,0,MATCH(VLOOKUP('COM Veda input'!AB$3,'RES Assumptions T15'!$V$3:$W$35,2,FALSE),'COM Techs T15'!$G$3:$U$3,0))</f>
        <v>0.5</v>
      </c>
      <c r="AC13" s="11">
        <f ca="1">OFFSET('COM Techs T15'!$F13,0,MATCH(VLOOKUP('COM Veda input'!AC$3,'RES Assumptions T15'!$V$3:$W$35,2,FALSE),'COM Techs T15'!$G$3:$U$3,0))</f>
        <v>0.5</v>
      </c>
      <c r="AD13" s="11">
        <f ca="1">OFFSET('COM Techs T15'!$F13,0,MATCH(VLOOKUP('COM Veda input'!AD$3,'RES Assumptions T15'!$V$3:$W$35,2,FALSE),'COM Techs T15'!$G$3:$U$3,0))</f>
        <v>0.5</v>
      </c>
      <c r="AE13" s="11">
        <f ca="1">OFFSET('COM Techs T15'!$F13,0,MATCH(VLOOKUP('COM Veda input'!AE$3,'RES Assumptions T15'!$V$3:$W$35,2,FALSE),'COM Techs T15'!$G$3:$U$3,0))</f>
        <v>0.5</v>
      </c>
      <c r="AF13" s="11">
        <f ca="1">OFFSET('COM Techs T15'!$F13,0,MATCH(VLOOKUP('COM Veda input'!AF$3,'RES Assumptions T15'!$V$3:$W$35,2,FALSE),'COM Techs T15'!$G$3:$U$3,0))</f>
        <v>0.5</v>
      </c>
      <c r="AG13" s="11">
        <f ca="1">OFFSET('COM Techs T15'!$F13,0,MATCH(VLOOKUP('COM Veda input'!AG$3,'RES Assumptions T15'!$V$3:$W$35,2,FALSE),'COM Techs T15'!$G$3:$U$3,0))</f>
        <v>0.5</v>
      </c>
      <c r="AH13" s="11">
        <f ca="1">OFFSET('COM Techs T15'!$F13,0,MATCH(VLOOKUP('COM Veda input'!AH$3,'RES Assumptions T15'!$V$3:$W$35,2,FALSE),'COM Techs T15'!$G$3:$U$3,0))</f>
        <v>0.5</v>
      </c>
      <c r="AI13" s="11">
        <f ca="1">OFFSET('COM Techs T15'!$F13,0,MATCH(VLOOKUP('COM Veda input'!AI$3,'RES Assumptions T15'!$V$3:$W$35,2,FALSE),'COM Techs T15'!$G$3:$U$3,0))</f>
        <v>0.5</v>
      </c>
      <c r="AJ13" s="11">
        <f ca="1">OFFSET('COM Techs T15'!$F13,0,MATCH(VLOOKUP('COM Veda input'!AJ$3,'RES Assumptions T15'!$V$3:$W$35,2,FALSE),'COM Techs T15'!$G$3:$U$3,0))</f>
        <v>0.5</v>
      </c>
      <c r="AL13" s="8" t="str">
        <f t="shared" si="19"/>
        <v>CCKDST000</v>
      </c>
      <c r="AM13" s="11">
        <f ca="1">OFFSET('COM Techs T15'!$W13,0,MATCH(VLOOKUP('COM Veda input'!AM$3,'RES Assumptions T15'!$V$3:$W$35,2,FALSE),'COM Techs T15'!$G$3:$U$3,0))</f>
        <v>1</v>
      </c>
      <c r="AN13" s="11">
        <f ca="1">OFFSET('COM Techs T15'!$W13,0,MATCH(VLOOKUP('COM Veda input'!AN$3,'RES Assumptions T15'!$V$3:$W$35,2,FALSE),'COM Techs T15'!$G$3:$U$3,0))</f>
        <v>1</v>
      </c>
      <c r="AO13" s="11">
        <f ca="1">OFFSET('COM Techs T15'!$W13,0,MATCH(VLOOKUP('COM Veda input'!AO$3,'RES Assumptions T15'!$V$3:$W$35,2,FALSE),'COM Techs T15'!$G$3:$U$3,0))</f>
        <v>1</v>
      </c>
      <c r="AP13" s="11">
        <f ca="1">OFFSET('COM Techs T15'!$W13,0,MATCH(VLOOKUP('COM Veda input'!AP$3,'RES Assumptions T15'!$V$3:$W$35,2,FALSE),'COM Techs T15'!$G$3:$U$3,0))</f>
        <v>1</v>
      </c>
      <c r="AQ13" s="11">
        <f ca="1">OFFSET('COM Techs T15'!$W13,0,MATCH(VLOOKUP('COM Veda input'!AQ$3,'RES Assumptions T15'!$V$3:$W$35,2,FALSE),'COM Techs T15'!$G$3:$U$3,0))</f>
        <v>1</v>
      </c>
      <c r="AR13" s="11">
        <f ca="1">OFFSET('COM Techs T15'!$W13,0,MATCH(VLOOKUP('COM Veda input'!AR$3,'RES Assumptions T15'!$V$3:$W$35,2,FALSE),'COM Techs T15'!$G$3:$U$3,0))</f>
        <v>1</v>
      </c>
      <c r="AS13" s="11">
        <f ca="1">OFFSET('COM Techs T15'!$W13,0,MATCH(VLOOKUP('COM Veda input'!AS$3,'RES Assumptions T15'!$V$3:$W$35,2,FALSE),'COM Techs T15'!$G$3:$U$3,0))</f>
        <v>1</v>
      </c>
      <c r="AT13" s="11">
        <f ca="1">OFFSET('COM Techs T15'!$W13,0,MATCH(VLOOKUP('COM Veda input'!AT$3,'RES Assumptions T15'!$V$3:$W$35,2,FALSE),'COM Techs T15'!$G$3:$U$3,0))</f>
        <v>1</v>
      </c>
      <c r="AU13" s="11">
        <f ca="1">OFFSET('COM Techs T15'!$W13,0,MATCH(VLOOKUP('COM Veda input'!AU$3,'RES Assumptions T15'!$V$3:$W$35,2,FALSE),'COM Techs T15'!$G$3:$U$3,0))</f>
        <v>1</v>
      </c>
      <c r="AV13" s="11">
        <f ca="1">OFFSET('COM Techs T15'!$W13,0,MATCH(VLOOKUP('COM Veda input'!AV$3,'RES Assumptions T15'!$V$3:$W$35,2,FALSE),'COM Techs T15'!$G$3:$U$3,0))</f>
        <v>1</v>
      </c>
      <c r="AW13" s="11">
        <f ca="1">OFFSET('COM Techs T15'!$W13,0,MATCH(VLOOKUP('COM Veda input'!AW$3,'RES Assumptions T15'!$V$3:$W$35,2,FALSE),'COM Techs T15'!$G$3:$U$3,0))</f>
        <v>1</v>
      </c>
      <c r="AX13" s="11">
        <f ca="1">OFFSET('COM Techs T15'!$W13,0,MATCH(VLOOKUP('COM Veda input'!AX$3,'RES Assumptions T15'!$V$3:$W$35,2,FALSE),'COM Techs T15'!$G$3:$U$3,0))</f>
        <v>1</v>
      </c>
      <c r="AY13" s="11">
        <f ca="1">OFFSET('COM Techs T15'!$W13,0,MATCH(VLOOKUP('COM Veda input'!AY$3,'RES Assumptions T15'!$V$3:$W$35,2,FALSE),'COM Techs T15'!$G$3:$U$3,0))</f>
        <v>1</v>
      </c>
      <c r="AZ13" s="11">
        <f ca="1">OFFSET('COM Techs T15'!$W13,0,MATCH(VLOOKUP('COM Veda input'!AZ$3,'RES Assumptions T15'!$V$3:$W$35,2,FALSE),'COM Techs T15'!$G$3:$U$3,0))</f>
        <v>1</v>
      </c>
      <c r="BA13" s="11">
        <f ca="1">OFFSET('COM Techs T15'!$W13,0,MATCH(VLOOKUP('COM Veda input'!BA$3,'RES Assumptions T15'!$V$3:$W$35,2,FALSE),'COM Techs T15'!$G$3:$U$3,0))</f>
        <v>1</v>
      </c>
      <c r="BB13" s="11">
        <f ca="1">OFFSET('COM Techs T15'!$W13,0,MATCH(VLOOKUP('COM Veda input'!BB$3,'RES Assumptions T15'!$V$3:$W$35,2,FALSE),'COM Techs T15'!$G$3:$U$3,0))</f>
        <v>1</v>
      </c>
      <c r="BC13" s="11">
        <f ca="1">OFFSET('COM Techs T15'!$W13,0,MATCH(VLOOKUP('COM Veda input'!BC$3,'RES Assumptions T15'!$V$3:$W$35,2,FALSE),'COM Techs T15'!$G$3:$U$3,0))</f>
        <v>1</v>
      </c>
      <c r="BD13" s="11">
        <f ca="1">OFFSET('COM Techs T15'!$W13,0,MATCH(VLOOKUP('COM Veda input'!BD$3,'RES Assumptions T15'!$V$3:$W$35,2,FALSE),'COM Techs T15'!$G$3:$U$3,0))</f>
        <v>1</v>
      </c>
      <c r="BE13" s="11">
        <f ca="1">OFFSET('COM Techs T15'!$W13,0,MATCH(VLOOKUP('COM Veda input'!BE$3,'RES Assumptions T15'!$V$3:$W$35,2,FALSE),'COM Techs T15'!$G$3:$U$3,0))</f>
        <v>1</v>
      </c>
      <c r="BF13" s="11">
        <f ca="1">OFFSET('COM Techs T15'!$W13,0,MATCH(VLOOKUP('COM Veda input'!BF$3,'RES Assumptions T15'!$V$3:$W$35,2,FALSE),'COM Techs T15'!$G$3:$U$3,0))</f>
        <v>1</v>
      </c>
      <c r="BG13" s="11">
        <f ca="1">OFFSET('COM Techs T15'!$W13,0,MATCH(VLOOKUP('COM Veda input'!BG$3,'RES Assumptions T15'!$V$3:$W$35,2,FALSE),'COM Techs T15'!$G$3:$U$3,0))</f>
        <v>1</v>
      </c>
      <c r="BH13" s="11">
        <f ca="1">OFFSET('COM Techs T15'!$W13,0,MATCH(VLOOKUP('COM Veda input'!BH$3,'RES Assumptions T15'!$V$3:$W$35,2,FALSE),'COM Techs T15'!$G$3:$U$3,0))</f>
        <v>1</v>
      </c>
      <c r="BI13" s="11">
        <f ca="1">OFFSET('COM Techs T15'!$W13,0,MATCH(VLOOKUP('COM Veda input'!BI$3,'RES Assumptions T15'!$V$3:$W$35,2,FALSE),'COM Techs T15'!$G$3:$U$3,0))</f>
        <v>1</v>
      </c>
      <c r="BJ13" s="11">
        <f ca="1">OFFSET('COM Techs T15'!$W13,0,MATCH(VLOOKUP('COM Veda input'!BJ$3,'RES Assumptions T15'!$V$3:$W$35,2,FALSE),'COM Techs T15'!$G$3:$U$3,0))</f>
        <v>1</v>
      </c>
      <c r="BK13" s="11">
        <f ca="1">OFFSET('COM Techs T15'!$W13,0,MATCH(VLOOKUP('COM Veda input'!BK$3,'RES Assumptions T15'!$V$3:$W$35,2,FALSE),'COM Techs T15'!$G$3:$U$3,0))</f>
        <v>1</v>
      </c>
      <c r="BL13" s="11">
        <f ca="1">OFFSET('COM Techs T15'!$W13,0,MATCH(VLOOKUP('COM Veda input'!BL$3,'RES Assumptions T15'!$V$3:$W$35,2,FALSE),'COM Techs T15'!$G$3:$U$3,0))</f>
        <v>1</v>
      </c>
      <c r="BM13" s="11">
        <f ca="1">OFFSET('COM Techs T15'!$W13,0,MATCH(VLOOKUP('COM Veda input'!BM$3,'RES Assumptions T15'!$V$3:$W$35,2,FALSE),'COM Techs T15'!$G$3:$U$3,0))</f>
        <v>1</v>
      </c>
      <c r="BN13" s="11">
        <f ca="1">OFFSET('COM Techs T15'!$W13,0,MATCH(VLOOKUP('COM Veda input'!BN$3,'RES Assumptions T15'!$V$3:$W$35,2,FALSE),'COM Techs T15'!$G$3:$U$3,0))</f>
        <v>1</v>
      </c>
      <c r="BO13" s="11">
        <f ca="1">OFFSET('COM Techs T15'!$W13,0,MATCH(VLOOKUP('COM Veda input'!BO$3,'RES Assumptions T15'!$V$3:$W$35,2,FALSE),'COM Techs T15'!$G$3:$U$3,0))</f>
        <v>1</v>
      </c>
      <c r="BP13" s="11">
        <f ca="1">OFFSET('COM Techs T15'!$W13,0,MATCH(VLOOKUP('COM Veda input'!BP$3,'RES Assumptions T15'!$V$3:$W$35,2,FALSE),'COM Techs T15'!$G$3:$U$3,0))</f>
        <v>1</v>
      </c>
      <c r="BQ13">
        <v>3</v>
      </c>
      <c r="BS13" s="8" t="str">
        <f t="shared" si="20"/>
        <v>CCKDST000</v>
      </c>
      <c r="BT13" s="11">
        <f t="shared" ca="1" si="21"/>
        <v>0</v>
      </c>
      <c r="BU13" s="11" t="str">
        <f ca="1">OFFSET('COM Techs T15'!$AO13,0,MATCH(VLOOKUP('COM Veda input'!BU$3,'RES Assumptions T15'!$V$3:$W$35,2,FALSE),'COM Techs T15'!$G$3:$U$3,0))</f>
        <v/>
      </c>
      <c r="BV13" s="11" t="str">
        <f ca="1">OFFSET('COM Techs T15'!$AO13,0,MATCH(VLOOKUP('COM Veda input'!BV$3,'RES Assumptions T15'!$V$3:$W$35,2,FALSE),'COM Techs T15'!$G$3:$U$3,0))</f>
        <v/>
      </c>
      <c r="BW13" s="11" t="str">
        <f ca="1">OFFSET('COM Techs T15'!$AO13,0,MATCH(VLOOKUP('COM Veda input'!BW$3,'RES Assumptions T15'!$V$3:$W$35,2,FALSE),'COM Techs T15'!$G$3:$U$3,0))</f>
        <v/>
      </c>
      <c r="BX13" s="11" t="str">
        <f ca="1">OFFSET('COM Techs T15'!$AO13,0,MATCH(VLOOKUP('COM Veda input'!BX$3,'RES Assumptions T15'!$V$3:$W$35,2,FALSE),'COM Techs T15'!$G$3:$U$3,0))</f>
        <v/>
      </c>
      <c r="BY13" s="11" t="str">
        <f ca="1">OFFSET('COM Techs T15'!$AO13,0,MATCH(VLOOKUP('COM Veda input'!BY$3,'RES Assumptions T15'!$V$3:$W$35,2,FALSE),'COM Techs T15'!$G$3:$U$3,0))</f>
        <v/>
      </c>
      <c r="BZ13" s="11" t="str">
        <f ca="1">OFFSET('COM Techs T15'!$AO13,0,MATCH(VLOOKUP('COM Veda input'!BZ$3,'RES Assumptions T15'!$V$3:$W$35,2,FALSE),'COM Techs T15'!$G$3:$U$3,0))</f>
        <v/>
      </c>
      <c r="CA13" s="11" t="str">
        <f ca="1">OFFSET('COM Techs T15'!$AO13,0,MATCH(VLOOKUP('COM Veda input'!CA$3,'RES Assumptions T15'!$V$3:$W$35,2,FALSE),'COM Techs T15'!$G$3:$U$3,0))</f>
        <v/>
      </c>
      <c r="CB13" s="11" t="str">
        <f ca="1">OFFSET('COM Techs T15'!$AO13,0,MATCH(VLOOKUP('COM Veda input'!CB$3,'RES Assumptions T15'!$V$3:$W$35,2,FALSE),'COM Techs T15'!$G$3:$U$3,0))</f>
        <v/>
      </c>
      <c r="CC13" s="11" t="str">
        <f ca="1">OFFSET('COM Techs T15'!$AO13,0,MATCH(VLOOKUP('COM Veda input'!CC$3,'RES Assumptions T15'!$V$3:$W$35,2,FALSE),'COM Techs T15'!$G$3:$U$3,0))</f>
        <v/>
      </c>
      <c r="CD13" s="11" t="str">
        <f ca="1">OFFSET('COM Techs T15'!$AO13,0,MATCH(VLOOKUP('COM Veda input'!CD$3,'RES Assumptions T15'!$V$3:$W$35,2,FALSE),'COM Techs T15'!$G$3:$U$3,0))</f>
        <v/>
      </c>
      <c r="CE13" s="11" t="str">
        <f ca="1">OFFSET('COM Techs T15'!$AO13,0,MATCH(VLOOKUP('COM Veda input'!CE$3,'RES Assumptions T15'!$V$3:$W$35,2,FALSE),'COM Techs T15'!$G$3:$U$3,0))</f>
        <v/>
      </c>
      <c r="CF13" s="11" t="str">
        <f ca="1">OFFSET('COM Techs T15'!$AO13,0,MATCH(VLOOKUP('COM Veda input'!CF$3,'RES Assumptions T15'!$V$3:$W$35,2,FALSE),'COM Techs T15'!$G$3:$U$3,0))</f>
        <v/>
      </c>
      <c r="CG13" s="11" t="str">
        <f ca="1">OFFSET('COM Techs T15'!$AO13,0,MATCH(VLOOKUP('COM Veda input'!CG$3,'RES Assumptions T15'!$V$3:$W$35,2,FALSE),'COM Techs T15'!$G$3:$U$3,0))</f>
        <v/>
      </c>
      <c r="CH13" s="11" t="str">
        <f ca="1">OFFSET('COM Techs T15'!$AO13,0,MATCH(VLOOKUP('COM Veda input'!CH$3,'RES Assumptions T15'!$V$3:$W$35,2,FALSE),'COM Techs T15'!$G$3:$U$3,0))</f>
        <v/>
      </c>
      <c r="CI13" s="11" t="str">
        <f ca="1">OFFSET('COM Techs T15'!$AO13,0,MATCH(VLOOKUP('COM Veda input'!CI$3,'RES Assumptions T15'!$V$3:$W$35,2,FALSE),'COM Techs T15'!$G$3:$U$3,0))</f>
        <v/>
      </c>
      <c r="CJ13" s="11" t="str">
        <f ca="1">OFFSET('COM Techs T15'!$AO13,0,MATCH(VLOOKUP('COM Veda input'!CJ$3,'RES Assumptions T15'!$V$3:$W$35,2,FALSE),'COM Techs T15'!$G$3:$U$3,0))</f>
        <v/>
      </c>
      <c r="CK13" s="11" t="str">
        <f ca="1">OFFSET('COM Techs T15'!$AO13,0,MATCH(VLOOKUP('COM Veda input'!CK$3,'RES Assumptions T15'!$V$3:$W$35,2,FALSE),'COM Techs T15'!$G$3:$U$3,0))</f>
        <v/>
      </c>
      <c r="CL13" s="11" t="str">
        <f ca="1">OFFSET('COM Techs T15'!$AO13,0,MATCH(VLOOKUP('COM Veda input'!CL$3,'RES Assumptions T15'!$V$3:$W$35,2,FALSE),'COM Techs T15'!$G$3:$U$3,0))</f>
        <v/>
      </c>
      <c r="CM13" s="11" t="str">
        <f ca="1">OFFSET('COM Techs T15'!$AO13,0,MATCH(VLOOKUP('COM Veda input'!CM$3,'RES Assumptions T15'!$V$3:$W$35,2,FALSE),'COM Techs T15'!$G$3:$U$3,0))</f>
        <v/>
      </c>
      <c r="CN13" s="11" t="str">
        <f ca="1">OFFSET('COM Techs T15'!$AO13,0,MATCH(VLOOKUP('COM Veda input'!CN$3,'RES Assumptions T15'!$V$3:$W$35,2,FALSE),'COM Techs T15'!$G$3:$U$3,0))</f>
        <v/>
      </c>
      <c r="CO13" s="11" t="str">
        <f ca="1">OFFSET('COM Techs T15'!$AO13,0,MATCH(VLOOKUP('COM Veda input'!CO$3,'RES Assumptions T15'!$V$3:$W$35,2,FALSE),'COM Techs T15'!$G$3:$U$3,0))</f>
        <v/>
      </c>
      <c r="CP13" s="11" t="str">
        <f ca="1">OFFSET('COM Techs T15'!$AO13,0,MATCH(VLOOKUP('COM Veda input'!CP$3,'RES Assumptions T15'!$V$3:$W$35,2,FALSE),'COM Techs T15'!$G$3:$U$3,0))</f>
        <v/>
      </c>
      <c r="CQ13" s="11" t="str">
        <f ca="1">OFFSET('COM Techs T15'!$AO13,0,MATCH(VLOOKUP('COM Veda input'!CQ$3,'RES Assumptions T15'!$V$3:$W$35,2,FALSE),'COM Techs T15'!$G$3:$U$3,0))</f>
        <v/>
      </c>
      <c r="CR13" s="11" t="str">
        <f ca="1">OFFSET('COM Techs T15'!$AO13,0,MATCH(VLOOKUP('COM Veda input'!CR$3,'RES Assumptions T15'!$V$3:$W$35,2,FALSE),'COM Techs T15'!$G$3:$U$3,0))</f>
        <v/>
      </c>
      <c r="CS13" s="11" t="str">
        <f ca="1">OFFSET('COM Techs T15'!$AO13,0,MATCH(VLOOKUP('COM Veda input'!CS$3,'RES Assumptions T15'!$V$3:$W$35,2,FALSE),'COM Techs T15'!$G$3:$U$3,0))</f>
        <v/>
      </c>
      <c r="CT13" s="11" t="str">
        <f ca="1">OFFSET('COM Techs T15'!$AO13,0,MATCH(VLOOKUP('COM Veda input'!CT$3,'RES Assumptions T15'!$V$3:$W$35,2,FALSE),'COM Techs T15'!$G$3:$U$3,0))</f>
        <v/>
      </c>
      <c r="CU13" s="11" t="str">
        <f ca="1">OFFSET('COM Techs T15'!$AO13,0,MATCH(VLOOKUP('COM Veda input'!CU$3,'RES Assumptions T15'!$V$3:$W$35,2,FALSE),'COM Techs T15'!$G$3:$U$3,0))</f>
        <v/>
      </c>
      <c r="CV13" s="11" t="str">
        <f ca="1">OFFSET('COM Techs T15'!$AO13,0,MATCH(VLOOKUP('COM Veda input'!CV$3,'RES Assumptions T15'!$V$3:$W$35,2,FALSE),'COM Techs T15'!$G$3:$U$3,0))</f>
        <v/>
      </c>
      <c r="CW13" s="11" t="str">
        <f ca="1">OFFSET('COM Techs T15'!$AO13,0,MATCH(VLOOKUP('COM Veda input'!CW$3,'RES Assumptions T15'!$V$3:$W$35,2,FALSE),'COM Techs T15'!$G$3:$U$3,0))</f>
        <v/>
      </c>
      <c r="CX13" s="11" t="str">
        <f ca="1">OFFSET('COM Techs T15'!$AO13,0,MATCH(VLOOKUP('COM Veda input'!CX$3,'RES Assumptions T15'!$V$3:$W$35,2,FALSE),'COM Techs T15'!$G$3:$U$3,0))</f>
        <v/>
      </c>
      <c r="CZ13" s="8" t="str">
        <f t="shared" si="22"/>
        <v>CCKDST000</v>
      </c>
      <c r="DA13" s="10">
        <f ca="1">'COM Assumptions'!E90*G13/'COM Veda input'!AM13</f>
        <v>0</v>
      </c>
      <c r="DB13" s="10">
        <f ca="1">'COM Assumptions'!F90*H13/'COM Veda input'!AN13</f>
        <v>0</v>
      </c>
      <c r="DC13" s="10">
        <f ca="1">'COM Assumptions'!G90*I13/'COM Veda input'!AO13</f>
        <v>6.2009710902000004</v>
      </c>
      <c r="DD13" s="10">
        <f ca="1">'COM Assumptions'!H90*J13/'COM Veda input'!AP13</f>
        <v>0</v>
      </c>
      <c r="DE13" s="10">
        <f ca="1">'COM Assumptions'!I90*K13/'COM Veda input'!AQ13</f>
        <v>0</v>
      </c>
      <c r="DF13" s="10">
        <f ca="1">'COM Assumptions'!J90*L13/'COM Veda input'!AR13</f>
        <v>22.477068167400002</v>
      </c>
      <c r="DG13" s="10">
        <f ca="1">'COM Assumptions'!K90*M13/'COM Veda input'!AS13</f>
        <v>0</v>
      </c>
      <c r="DH13" s="10">
        <f ca="1">'COM Assumptions'!L90*N13/'COM Veda input'!AT13</f>
        <v>0.54368947440000004</v>
      </c>
      <c r="DI13" s="10">
        <f ca="1">'COM Assumptions'!M90*O13/'COM Veda input'!AU13</f>
        <v>0</v>
      </c>
      <c r="DJ13" s="10">
        <f ca="1">'COM Assumptions'!N90*P13/'COM Veda input'!AV13</f>
        <v>109.1265586641</v>
      </c>
      <c r="DK13" s="10">
        <f ca="1">'COM Assumptions'!O90*Q13/'COM Veda input'!AW13</f>
        <v>0</v>
      </c>
      <c r="DL13" s="10">
        <f ca="1">'COM Assumptions'!P90*R13/'COM Veda input'!AX13</f>
        <v>0</v>
      </c>
      <c r="DM13" s="10">
        <f ca="1">'COM Assumptions'!Q90*S13/'COM Veda input'!AY13</f>
        <v>0</v>
      </c>
      <c r="DN13" s="10">
        <f ca="1">'COM Assumptions'!R90*T13/'COM Veda input'!AZ13</f>
        <v>0</v>
      </c>
      <c r="DO13" s="10">
        <f ca="1">'COM Assumptions'!S90*U13/'COM Veda input'!BA13</f>
        <v>0</v>
      </c>
      <c r="DP13" s="10">
        <f ca="1">'COM Assumptions'!T90*V13/'COM Veda input'!BB13</f>
        <v>0</v>
      </c>
      <c r="DQ13" s="10">
        <f ca="1">'COM Assumptions'!U90*W13/'COM Veda input'!BC13</f>
        <v>15.747953191199999</v>
      </c>
      <c r="DR13" s="10">
        <f ca="1">'COM Assumptions'!V90*X13/'COM Veda input'!BD13</f>
        <v>0</v>
      </c>
      <c r="DS13" s="10">
        <f ca="1">'COM Assumptions'!W90*Y13/'COM Veda input'!BE13</f>
        <v>0</v>
      </c>
      <c r="DT13" s="10">
        <f ca="1">'COM Assumptions'!X90*Z13/'COM Veda input'!BF13</f>
        <v>0</v>
      </c>
      <c r="DU13" s="10">
        <f ca="1">'COM Assumptions'!Y90*AA13/'COM Veda input'!BG13</f>
        <v>7.4514028716</v>
      </c>
      <c r="DV13" s="10">
        <f ca="1">'COM Assumptions'!Z90*AB13/'COM Veda input'!BH13</f>
        <v>0.40049965836000001</v>
      </c>
      <c r="DW13" s="10">
        <f ca="1">'COM Assumptions'!AA90*AC13/'COM Veda input'!BI13</f>
        <v>12.546955347840001</v>
      </c>
      <c r="DX13" s="10">
        <f ca="1">'COM Assumptions'!AB90*AD13/'COM Veda input'!BJ13</f>
        <v>0</v>
      </c>
      <c r="DY13" s="10">
        <f ca="1">'COM Assumptions'!AC90*AE13/'COM Veda input'!BK13</f>
        <v>0</v>
      </c>
      <c r="DZ13" s="10">
        <f ca="1">'COM Assumptions'!AD90*AF13/'COM Veda input'!BL13</f>
        <v>0</v>
      </c>
      <c r="EA13" s="10">
        <f ca="1">'COM Assumptions'!AE90*AG13/'COM Veda input'!BM13</f>
        <v>0</v>
      </c>
      <c r="EB13" s="10">
        <f ca="1">'COM Assumptions'!AF90*AH13/'COM Veda input'!BN13</f>
        <v>0</v>
      </c>
      <c r="EC13" s="10">
        <f ca="1">'COM Assumptions'!AG90*AI13/'COM Veda input'!BO13</f>
        <v>0</v>
      </c>
      <c r="ED13" s="10">
        <f ca="1">'COM Assumptions'!AH90*AJ13/'COM Veda input'!BP13</f>
        <v>0</v>
      </c>
      <c r="EE13" s="8">
        <v>15</v>
      </c>
      <c r="EI13" s="8" t="str">
        <f t="shared" si="23"/>
        <v>CCKDST000</v>
      </c>
      <c r="EK13" t="s">
        <v>282</v>
      </c>
      <c r="EL13" t="s">
        <v>283</v>
      </c>
    </row>
    <row r="14" spans="1:145" x14ac:dyDescent="0.45">
      <c r="A14" s="37" t="str">
        <f>'COM Assumptions'!B91</f>
        <v>CCK</v>
      </c>
      <c r="B14" s="37" t="s">
        <v>224</v>
      </c>
      <c r="D14" t="s">
        <v>224</v>
      </c>
      <c r="E14" s="8" t="str">
        <f>'COM Assumptions'!A91</f>
        <v>COMELC</v>
      </c>
      <c r="F14" t="str">
        <f>VLOOKUP('COM Assumptions'!B91,'COM Assumptions'!$AP$81:$AQ$88,2,FALSE)</f>
        <v>CCK</v>
      </c>
      <c r="G14" s="11">
        <f ca="1">OFFSET('COM Techs T15'!$F14,0,MATCH(VLOOKUP('COM Veda input'!G$3,'RES Assumptions T15'!$V$3:$W$35,2,FALSE),'COM Techs T15'!$G$3:$U$3,0))</f>
        <v>0.7</v>
      </c>
      <c r="H14" s="11">
        <f ca="1">OFFSET('COM Techs T15'!$F14,0,MATCH(VLOOKUP('COM Veda input'!H$3,'RES Assumptions T15'!$V$3:$W$35,2,FALSE),'COM Techs T15'!$G$3:$U$3,0))</f>
        <v>0.7</v>
      </c>
      <c r="I14" s="11">
        <f ca="1">OFFSET('COM Techs T15'!$F14,0,MATCH(VLOOKUP('COM Veda input'!I$3,'RES Assumptions T15'!$V$3:$W$35,2,FALSE),'COM Techs T15'!$G$3:$U$3,0))</f>
        <v>0.7</v>
      </c>
      <c r="J14" s="11">
        <f ca="1">OFFSET('COM Techs T15'!$F14,0,MATCH(VLOOKUP('COM Veda input'!J$3,'RES Assumptions T15'!$V$3:$W$35,2,FALSE),'COM Techs T15'!$G$3:$U$3,0))</f>
        <v>0.7</v>
      </c>
      <c r="K14" s="11">
        <f ca="1">OFFSET('COM Techs T15'!$F14,0,MATCH(VLOOKUP('COM Veda input'!K$3,'RES Assumptions T15'!$V$3:$W$35,2,FALSE),'COM Techs T15'!$G$3:$U$3,0))</f>
        <v>0.7</v>
      </c>
      <c r="L14" s="11">
        <f ca="1">OFFSET('COM Techs T15'!$F14,0,MATCH(VLOOKUP('COM Veda input'!L$3,'RES Assumptions T15'!$V$3:$W$35,2,FALSE),'COM Techs T15'!$G$3:$U$3,0))</f>
        <v>0.7</v>
      </c>
      <c r="M14" s="11">
        <f ca="1">OFFSET('COM Techs T15'!$F14,0,MATCH(VLOOKUP('COM Veda input'!M$3,'RES Assumptions T15'!$V$3:$W$35,2,FALSE),'COM Techs T15'!$G$3:$U$3,0))</f>
        <v>0.7</v>
      </c>
      <c r="N14" s="11">
        <f ca="1">OFFSET('COM Techs T15'!$F14,0,MATCH(VLOOKUP('COM Veda input'!N$3,'RES Assumptions T15'!$V$3:$W$35,2,FALSE),'COM Techs T15'!$G$3:$U$3,0))</f>
        <v>0.7</v>
      </c>
      <c r="O14" s="11">
        <f ca="1">OFFSET('COM Techs T15'!$F14,0,MATCH(VLOOKUP('COM Veda input'!O$3,'RES Assumptions T15'!$V$3:$W$35,2,FALSE),'COM Techs T15'!$G$3:$U$3,0))</f>
        <v>0.7</v>
      </c>
      <c r="P14" s="11">
        <f ca="1">OFFSET('COM Techs T15'!$F14,0,MATCH(VLOOKUP('COM Veda input'!P$3,'RES Assumptions T15'!$V$3:$W$35,2,FALSE),'COM Techs T15'!$G$3:$U$3,0))</f>
        <v>0.7</v>
      </c>
      <c r="Q14" s="11">
        <f ca="1">OFFSET('COM Techs T15'!$F14,0,MATCH(VLOOKUP('COM Veda input'!Q$3,'RES Assumptions T15'!$V$3:$W$35,2,FALSE),'COM Techs T15'!$G$3:$U$3,0))</f>
        <v>0.7</v>
      </c>
      <c r="R14" s="11">
        <f ca="1">OFFSET('COM Techs T15'!$F14,0,MATCH(VLOOKUP('COM Veda input'!R$3,'RES Assumptions T15'!$V$3:$W$35,2,FALSE),'COM Techs T15'!$G$3:$U$3,0))</f>
        <v>0.7</v>
      </c>
      <c r="S14" s="11">
        <f ca="1">OFFSET('COM Techs T15'!$F14,0,MATCH(VLOOKUP('COM Veda input'!S$3,'RES Assumptions T15'!$V$3:$W$35,2,FALSE),'COM Techs T15'!$G$3:$U$3,0))</f>
        <v>0.7</v>
      </c>
      <c r="T14" s="11">
        <f ca="1">OFFSET('COM Techs T15'!$F14,0,MATCH(VLOOKUP('COM Veda input'!T$3,'RES Assumptions T15'!$V$3:$W$35,2,FALSE),'COM Techs T15'!$G$3:$U$3,0))</f>
        <v>0.7</v>
      </c>
      <c r="U14" s="11">
        <f ca="1">OFFSET('COM Techs T15'!$F14,0,MATCH(VLOOKUP('COM Veda input'!U$3,'RES Assumptions T15'!$V$3:$W$35,2,FALSE),'COM Techs T15'!$G$3:$U$3,0))</f>
        <v>0.7</v>
      </c>
      <c r="V14" s="11">
        <f ca="1">OFFSET('COM Techs T15'!$F14,0,MATCH(VLOOKUP('COM Veda input'!V$3,'RES Assumptions T15'!$V$3:$W$35,2,FALSE),'COM Techs T15'!$G$3:$U$3,0))</f>
        <v>0.7</v>
      </c>
      <c r="W14" s="11">
        <f ca="1">OFFSET('COM Techs T15'!$F14,0,MATCH(VLOOKUP('COM Veda input'!W$3,'RES Assumptions T15'!$V$3:$W$35,2,FALSE),'COM Techs T15'!$G$3:$U$3,0))</f>
        <v>0.7</v>
      </c>
      <c r="X14" s="11">
        <f ca="1">OFFSET('COM Techs T15'!$F14,0,MATCH(VLOOKUP('COM Veda input'!X$3,'RES Assumptions T15'!$V$3:$W$35,2,FALSE),'COM Techs T15'!$G$3:$U$3,0))</f>
        <v>0.7</v>
      </c>
      <c r="Y14" s="11">
        <f ca="1">OFFSET('COM Techs T15'!$F14,0,MATCH(VLOOKUP('COM Veda input'!Y$3,'RES Assumptions T15'!$V$3:$W$35,2,FALSE),'COM Techs T15'!$G$3:$U$3,0))</f>
        <v>0.7</v>
      </c>
      <c r="Z14" s="11">
        <f ca="1">OFFSET('COM Techs T15'!$F14,0,MATCH(VLOOKUP('COM Veda input'!Z$3,'RES Assumptions T15'!$V$3:$W$35,2,FALSE),'COM Techs T15'!$G$3:$U$3,0))</f>
        <v>0.7</v>
      </c>
      <c r="AA14" s="11">
        <f ca="1">OFFSET('COM Techs T15'!$F14,0,MATCH(VLOOKUP('COM Veda input'!AA$3,'RES Assumptions T15'!$V$3:$W$35,2,FALSE),'COM Techs T15'!$G$3:$U$3,0))</f>
        <v>0.7</v>
      </c>
      <c r="AB14" s="11">
        <f ca="1">OFFSET('COM Techs T15'!$F14,0,MATCH(VLOOKUP('COM Veda input'!AB$3,'RES Assumptions T15'!$V$3:$W$35,2,FALSE),'COM Techs T15'!$G$3:$U$3,0))</f>
        <v>0.7</v>
      </c>
      <c r="AC14" s="11">
        <f ca="1">OFFSET('COM Techs T15'!$F14,0,MATCH(VLOOKUP('COM Veda input'!AC$3,'RES Assumptions T15'!$V$3:$W$35,2,FALSE),'COM Techs T15'!$G$3:$U$3,0))</f>
        <v>0.7</v>
      </c>
      <c r="AD14" s="11">
        <f ca="1">OFFSET('COM Techs T15'!$F14,0,MATCH(VLOOKUP('COM Veda input'!AD$3,'RES Assumptions T15'!$V$3:$W$35,2,FALSE),'COM Techs T15'!$G$3:$U$3,0))</f>
        <v>0.7</v>
      </c>
      <c r="AE14" s="11">
        <f ca="1">OFFSET('COM Techs T15'!$F14,0,MATCH(VLOOKUP('COM Veda input'!AE$3,'RES Assumptions T15'!$V$3:$W$35,2,FALSE),'COM Techs T15'!$G$3:$U$3,0))</f>
        <v>0.7</v>
      </c>
      <c r="AF14" s="11">
        <f ca="1">OFFSET('COM Techs T15'!$F14,0,MATCH(VLOOKUP('COM Veda input'!AF$3,'RES Assumptions T15'!$V$3:$W$35,2,FALSE),'COM Techs T15'!$G$3:$U$3,0))</f>
        <v>0.7</v>
      </c>
      <c r="AG14" s="11">
        <f ca="1">OFFSET('COM Techs T15'!$F14,0,MATCH(VLOOKUP('COM Veda input'!AG$3,'RES Assumptions T15'!$V$3:$W$35,2,FALSE),'COM Techs T15'!$G$3:$U$3,0))</f>
        <v>0.7</v>
      </c>
      <c r="AH14" s="11">
        <f ca="1">OFFSET('COM Techs T15'!$F14,0,MATCH(VLOOKUP('COM Veda input'!AH$3,'RES Assumptions T15'!$V$3:$W$35,2,FALSE),'COM Techs T15'!$G$3:$U$3,0))</f>
        <v>0.7</v>
      </c>
      <c r="AI14" s="11">
        <f ca="1">OFFSET('COM Techs T15'!$F14,0,MATCH(VLOOKUP('COM Veda input'!AI$3,'RES Assumptions T15'!$V$3:$W$35,2,FALSE),'COM Techs T15'!$G$3:$U$3,0))</f>
        <v>0.7</v>
      </c>
      <c r="AJ14" s="11">
        <f ca="1">OFFSET('COM Techs T15'!$F14,0,MATCH(VLOOKUP('COM Veda input'!AJ$3,'RES Assumptions T15'!$V$3:$W$35,2,FALSE),'COM Techs T15'!$G$3:$U$3,0))</f>
        <v>0.7</v>
      </c>
      <c r="AL14" s="8" t="str">
        <f t="shared" si="19"/>
        <v>CCKELC000</v>
      </c>
      <c r="AM14" s="11">
        <f ca="1">OFFSET('COM Techs T15'!$W14,0,MATCH(VLOOKUP('COM Veda input'!AM$3,'RES Assumptions T15'!$V$3:$W$35,2,FALSE),'COM Techs T15'!$G$3:$U$3,0))</f>
        <v>1</v>
      </c>
      <c r="AN14" s="11">
        <f ca="1">OFFSET('COM Techs T15'!$W14,0,MATCH(VLOOKUP('COM Veda input'!AN$3,'RES Assumptions T15'!$V$3:$W$35,2,FALSE),'COM Techs T15'!$G$3:$U$3,0))</f>
        <v>1</v>
      </c>
      <c r="AO14" s="11">
        <f ca="1">OFFSET('COM Techs T15'!$W14,0,MATCH(VLOOKUP('COM Veda input'!AO$3,'RES Assumptions T15'!$V$3:$W$35,2,FALSE),'COM Techs T15'!$G$3:$U$3,0))</f>
        <v>1</v>
      </c>
      <c r="AP14" s="11">
        <f ca="1">OFFSET('COM Techs T15'!$W14,0,MATCH(VLOOKUP('COM Veda input'!AP$3,'RES Assumptions T15'!$V$3:$W$35,2,FALSE),'COM Techs T15'!$G$3:$U$3,0))</f>
        <v>1</v>
      </c>
      <c r="AQ14" s="11">
        <f ca="1">OFFSET('COM Techs T15'!$W14,0,MATCH(VLOOKUP('COM Veda input'!AQ$3,'RES Assumptions T15'!$V$3:$W$35,2,FALSE),'COM Techs T15'!$G$3:$U$3,0))</f>
        <v>1</v>
      </c>
      <c r="AR14" s="11">
        <f ca="1">OFFSET('COM Techs T15'!$W14,0,MATCH(VLOOKUP('COM Veda input'!AR$3,'RES Assumptions T15'!$V$3:$W$35,2,FALSE),'COM Techs T15'!$G$3:$U$3,0))</f>
        <v>1</v>
      </c>
      <c r="AS14" s="11">
        <f ca="1">OFFSET('COM Techs T15'!$W14,0,MATCH(VLOOKUP('COM Veda input'!AS$3,'RES Assumptions T15'!$V$3:$W$35,2,FALSE),'COM Techs T15'!$G$3:$U$3,0))</f>
        <v>1</v>
      </c>
      <c r="AT14" s="11">
        <f ca="1">OFFSET('COM Techs T15'!$W14,0,MATCH(VLOOKUP('COM Veda input'!AT$3,'RES Assumptions T15'!$V$3:$W$35,2,FALSE),'COM Techs T15'!$G$3:$U$3,0))</f>
        <v>1</v>
      </c>
      <c r="AU14" s="11">
        <f ca="1">OFFSET('COM Techs T15'!$W14,0,MATCH(VLOOKUP('COM Veda input'!AU$3,'RES Assumptions T15'!$V$3:$W$35,2,FALSE),'COM Techs T15'!$G$3:$U$3,0))</f>
        <v>1</v>
      </c>
      <c r="AV14" s="11">
        <f ca="1">OFFSET('COM Techs T15'!$W14,0,MATCH(VLOOKUP('COM Veda input'!AV$3,'RES Assumptions T15'!$V$3:$W$35,2,FALSE),'COM Techs T15'!$G$3:$U$3,0))</f>
        <v>1</v>
      </c>
      <c r="AW14" s="11">
        <f ca="1">OFFSET('COM Techs T15'!$W14,0,MATCH(VLOOKUP('COM Veda input'!AW$3,'RES Assumptions T15'!$V$3:$W$35,2,FALSE),'COM Techs T15'!$G$3:$U$3,0))</f>
        <v>1</v>
      </c>
      <c r="AX14" s="11">
        <f ca="1">OFFSET('COM Techs T15'!$W14,0,MATCH(VLOOKUP('COM Veda input'!AX$3,'RES Assumptions T15'!$V$3:$W$35,2,FALSE),'COM Techs T15'!$G$3:$U$3,0))</f>
        <v>1</v>
      </c>
      <c r="AY14" s="11">
        <f ca="1">OFFSET('COM Techs T15'!$W14,0,MATCH(VLOOKUP('COM Veda input'!AY$3,'RES Assumptions T15'!$V$3:$W$35,2,FALSE),'COM Techs T15'!$G$3:$U$3,0))</f>
        <v>1</v>
      </c>
      <c r="AZ14" s="11">
        <f ca="1">OFFSET('COM Techs T15'!$W14,0,MATCH(VLOOKUP('COM Veda input'!AZ$3,'RES Assumptions T15'!$V$3:$W$35,2,FALSE),'COM Techs T15'!$G$3:$U$3,0))</f>
        <v>1</v>
      </c>
      <c r="BA14" s="11">
        <f ca="1">OFFSET('COM Techs T15'!$W14,0,MATCH(VLOOKUP('COM Veda input'!BA$3,'RES Assumptions T15'!$V$3:$W$35,2,FALSE),'COM Techs T15'!$G$3:$U$3,0))</f>
        <v>1</v>
      </c>
      <c r="BB14" s="11">
        <f ca="1">OFFSET('COM Techs T15'!$W14,0,MATCH(VLOOKUP('COM Veda input'!BB$3,'RES Assumptions T15'!$V$3:$W$35,2,FALSE),'COM Techs T15'!$G$3:$U$3,0))</f>
        <v>1</v>
      </c>
      <c r="BC14" s="11">
        <f ca="1">OFFSET('COM Techs T15'!$W14,0,MATCH(VLOOKUP('COM Veda input'!BC$3,'RES Assumptions T15'!$V$3:$W$35,2,FALSE),'COM Techs T15'!$G$3:$U$3,0))</f>
        <v>1</v>
      </c>
      <c r="BD14" s="11">
        <f ca="1">OFFSET('COM Techs T15'!$W14,0,MATCH(VLOOKUP('COM Veda input'!BD$3,'RES Assumptions T15'!$V$3:$W$35,2,FALSE),'COM Techs T15'!$G$3:$U$3,0))</f>
        <v>1</v>
      </c>
      <c r="BE14" s="11">
        <f ca="1">OFFSET('COM Techs T15'!$W14,0,MATCH(VLOOKUP('COM Veda input'!BE$3,'RES Assumptions T15'!$V$3:$W$35,2,FALSE),'COM Techs T15'!$G$3:$U$3,0))</f>
        <v>1</v>
      </c>
      <c r="BF14" s="11">
        <f ca="1">OFFSET('COM Techs T15'!$W14,0,MATCH(VLOOKUP('COM Veda input'!BF$3,'RES Assumptions T15'!$V$3:$W$35,2,FALSE),'COM Techs T15'!$G$3:$U$3,0))</f>
        <v>1</v>
      </c>
      <c r="BG14" s="11">
        <f ca="1">OFFSET('COM Techs T15'!$W14,0,MATCH(VLOOKUP('COM Veda input'!BG$3,'RES Assumptions T15'!$V$3:$W$35,2,FALSE),'COM Techs T15'!$G$3:$U$3,0))</f>
        <v>1</v>
      </c>
      <c r="BH14" s="11">
        <f ca="1">OFFSET('COM Techs T15'!$W14,0,MATCH(VLOOKUP('COM Veda input'!BH$3,'RES Assumptions T15'!$V$3:$W$35,2,FALSE),'COM Techs T15'!$G$3:$U$3,0))</f>
        <v>1</v>
      </c>
      <c r="BI14" s="11">
        <f ca="1">OFFSET('COM Techs T15'!$W14,0,MATCH(VLOOKUP('COM Veda input'!BI$3,'RES Assumptions T15'!$V$3:$W$35,2,FALSE),'COM Techs T15'!$G$3:$U$3,0))</f>
        <v>1</v>
      </c>
      <c r="BJ14" s="11">
        <f ca="1">OFFSET('COM Techs T15'!$W14,0,MATCH(VLOOKUP('COM Veda input'!BJ$3,'RES Assumptions T15'!$V$3:$W$35,2,FALSE),'COM Techs T15'!$G$3:$U$3,0))</f>
        <v>1</v>
      </c>
      <c r="BK14" s="11">
        <f ca="1">OFFSET('COM Techs T15'!$W14,0,MATCH(VLOOKUP('COM Veda input'!BK$3,'RES Assumptions T15'!$V$3:$W$35,2,FALSE),'COM Techs T15'!$G$3:$U$3,0))</f>
        <v>1</v>
      </c>
      <c r="BL14" s="11">
        <f ca="1">OFFSET('COM Techs T15'!$W14,0,MATCH(VLOOKUP('COM Veda input'!BL$3,'RES Assumptions T15'!$V$3:$W$35,2,FALSE),'COM Techs T15'!$G$3:$U$3,0))</f>
        <v>1</v>
      </c>
      <c r="BM14" s="11">
        <f ca="1">OFFSET('COM Techs T15'!$W14,0,MATCH(VLOOKUP('COM Veda input'!BM$3,'RES Assumptions T15'!$V$3:$W$35,2,FALSE),'COM Techs T15'!$G$3:$U$3,0))</f>
        <v>1</v>
      </c>
      <c r="BN14" s="11">
        <f ca="1">OFFSET('COM Techs T15'!$W14,0,MATCH(VLOOKUP('COM Veda input'!BN$3,'RES Assumptions T15'!$V$3:$W$35,2,FALSE),'COM Techs T15'!$G$3:$U$3,0))</f>
        <v>1</v>
      </c>
      <c r="BO14" s="11">
        <f ca="1">OFFSET('COM Techs T15'!$W14,0,MATCH(VLOOKUP('COM Veda input'!BO$3,'RES Assumptions T15'!$V$3:$W$35,2,FALSE),'COM Techs T15'!$G$3:$U$3,0))</f>
        <v>1</v>
      </c>
      <c r="BP14" s="11">
        <f ca="1">OFFSET('COM Techs T15'!$W14,0,MATCH(VLOOKUP('COM Veda input'!BP$3,'RES Assumptions T15'!$V$3:$W$35,2,FALSE),'COM Techs T15'!$G$3:$U$3,0))</f>
        <v>1</v>
      </c>
      <c r="BQ14">
        <v>3</v>
      </c>
      <c r="BS14" s="8" t="str">
        <f t="shared" si="20"/>
        <v>CCKELC000</v>
      </c>
      <c r="BT14" s="11">
        <f t="shared" ca="1" si="21"/>
        <v>3.6</v>
      </c>
      <c r="BU14" s="11">
        <f ca="1">OFFSET('COM Techs T15'!$AO14,0,MATCH(VLOOKUP('COM Veda input'!BU$3,'RES Assumptions T15'!$V$3:$W$35,2,FALSE),'COM Techs T15'!$G$3:$U$3,0))</f>
        <v>4.2</v>
      </c>
      <c r="BV14" s="11">
        <f ca="1">OFFSET('COM Techs T15'!$AO14,0,MATCH(VLOOKUP('COM Veda input'!BV$3,'RES Assumptions T15'!$V$3:$W$35,2,FALSE),'COM Techs T15'!$G$3:$U$3,0))</f>
        <v>4.2</v>
      </c>
      <c r="BW14" s="11">
        <f ca="1">OFFSET('COM Techs T15'!$AO14,0,MATCH(VLOOKUP('COM Veda input'!BW$3,'RES Assumptions T15'!$V$3:$W$35,2,FALSE),'COM Techs T15'!$G$3:$U$3,0))</f>
        <v>4.2</v>
      </c>
      <c r="BX14" s="11">
        <f ca="1">OFFSET('COM Techs T15'!$AO14,0,MATCH(VLOOKUP('COM Veda input'!BX$3,'RES Assumptions T15'!$V$3:$W$35,2,FALSE),'COM Techs T15'!$G$3:$U$3,0))</f>
        <v>4.2</v>
      </c>
      <c r="BY14" s="11">
        <f ca="1">OFFSET('COM Techs T15'!$AO14,0,MATCH(VLOOKUP('COM Veda input'!BY$3,'RES Assumptions T15'!$V$3:$W$35,2,FALSE),'COM Techs T15'!$G$3:$U$3,0))</f>
        <v>6</v>
      </c>
      <c r="BZ14" s="11">
        <f ca="1">OFFSET('COM Techs T15'!$AO14,0,MATCH(VLOOKUP('COM Veda input'!BZ$3,'RES Assumptions T15'!$V$3:$W$35,2,FALSE),'COM Techs T15'!$G$3:$U$3,0))</f>
        <v>3.6</v>
      </c>
      <c r="CA14" s="11">
        <f ca="1">OFFSET('COM Techs T15'!$AO14,0,MATCH(VLOOKUP('COM Veda input'!CA$3,'RES Assumptions T15'!$V$3:$W$35,2,FALSE),'COM Techs T15'!$G$3:$U$3,0))</f>
        <v>4.8</v>
      </c>
      <c r="CB14" s="11">
        <f ca="1">OFFSET('COM Techs T15'!$AO14,0,MATCH(VLOOKUP('COM Veda input'!CB$3,'RES Assumptions T15'!$V$3:$W$35,2,FALSE),'COM Techs T15'!$G$3:$U$3,0))</f>
        <v>4.2</v>
      </c>
      <c r="CC14" s="11">
        <f ca="1">OFFSET('COM Techs T15'!$AO14,0,MATCH(VLOOKUP('COM Veda input'!CC$3,'RES Assumptions T15'!$V$3:$W$35,2,FALSE),'COM Techs T15'!$G$3:$U$3,0))</f>
        <v>6</v>
      </c>
      <c r="CD14" s="11">
        <f ca="1">OFFSET('COM Techs T15'!$AO14,0,MATCH(VLOOKUP('COM Veda input'!CD$3,'RES Assumptions T15'!$V$3:$W$35,2,FALSE),'COM Techs T15'!$G$3:$U$3,0))</f>
        <v>3.6</v>
      </c>
      <c r="CE14" s="11">
        <f ca="1">OFFSET('COM Techs T15'!$AO14,0,MATCH(VLOOKUP('COM Veda input'!CE$3,'RES Assumptions T15'!$V$3:$W$35,2,FALSE),'COM Techs T15'!$G$3:$U$3,0))</f>
        <v>5.4</v>
      </c>
      <c r="CF14" s="11">
        <f ca="1">OFFSET('COM Techs T15'!$AO14,0,MATCH(VLOOKUP('COM Veda input'!CF$3,'RES Assumptions T15'!$V$3:$W$35,2,FALSE),'COM Techs T15'!$G$3:$U$3,0))</f>
        <v>4.2</v>
      </c>
      <c r="CG14" s="11">
        <f ca="1">OFFSET('COM Techs T15'!$AO14,0,MATCH(VLOOKUP('COM Veda input'!CG$3,'RES Assumptions T15'!$V$3:$W$35,2,FALSE),'COM Techs T15'!$G$3:$U$3,0))</f>
        <v>5.4</v>
      </c>
      <c r="CH14" s="11">
        <f ca="1">OFFSET('COM Techs T15'!$AO14,0,MATCH(VLOOKUP('COM Veda input'!CH$3,'RES Assumptions T15'!$V$3:$W$35,2,FALSE),'COM Techs T15'!$G$3:$U$3,0))</f>
        <v>5.4</v>
      </c>
      <c r="CI14" s="11">
        <f ca="1">OFFSET('COM Techs T15'!$AO14,0,MATCH(VLOOKUP('COM Veda input'!CI$3,'RES Assumptions T15'!$V$3:$W$35,2,FALSE),'COM Techs T15'!$G$3:$U$3,0))</f>
        <v>4.2</v>
      </c>
      <c r="CJ14" s="11">
        <f ca="1">OFFSET('COM Techs T15'!$AO14,0,MATCH(VLOOKUP('COM Veda input'!CJ$3,'RES Assumptions T15'!$V$3:$W$35,2,FALSE),'COM Techs T15'!$G$3:$U$3,0))</f>
        <v>5.4</v>
      </c>
      <c r="CK14" s="11">
        <f ca="1">OFFSET('COM Techs T15'!$AO14,0,MATCH(VLOOKUP('COM Veda input'!CK$3,'RES Assumptions T15'!$V$3:$W$35,2,FALSE),'COM Techs T15'!$G$3:$U$3,0))</f>
        <v>4.2</v>
      </c>
      <c r="CL14" s="11">
        <f ca="1">OFFSET('COM Techs T15'!$AO14,0,MATCH(VLOOKUP('COM Veda input'!CL$3,'RES Assumptions T15'!$V$3:$W$35,2,FALSE),'COM Techs T15'!$G$3:$U$3,0))</f>
        <v>5.4</v>
      </c>
      <c r="CM14" s="11">
        <f ca="1">OFFSET('COM Techs T15'!$AO14,0,MATCH(VLOOKUP('COM Veda input'!CM$3,'RES Assumptions T15'!$V$3:$W$35,2,FALSE),'COM Techs T15'!$G$3:$U$3,0))</f>
        <v>5.4</v>
      </c>
      <c r="CN14" s="11">
        <f ca="1">OFFSET('COM Techs T15'!$AO14,0,MATCH(VLOOKUP('COM Veda input'!CN$3,'RES Assumptions T15'!$V$3:$W$35,2,FALSE),'COM Techs T15'!$G$3:$U$3,0))</f>
        <v>3.6</v>
      </c>
      <c r="CO14" s="11">
        <f ca="1">OFFSET('COM Techs T15'!$AO14,0,MATCH(VLOOKUP('COM Veda input'!CO$3,'RES Assumptions T15'!$V$3:$W$35,2,FALSE),'COM Techs T15'!$G$3:$U$3,0))</f>
        <v>4.2</v>
      </c>
      <c r="CP14" s="11">
        <f ca="1">OFFSET('COM Techs T15'!$AO14,0,MATCH(VLOOKUP('COM Veda input'!CP$3,'RES Assumptions T15'!$V$3:$W$35,2,FALSE),'COM Techs T15'!$G$3:$U$3,0))</f>
        <v>4.8</v>
      </c>
      <c r="CQ14" s="11">
        <f ca="1">OFFSET('COM Techs T15'!$AO14,0,MATCH(VLOOKUP('COM Veda input'!CQ$3,'RES Assumptions T15'!$V$3:$W$35,2,FALSE),'COM Techs T15'!$G$3:$U$3,0))</f>
        <v>4.2</v>
      </c>
      <c r="CR14" s="11">
        <f ca="1">OFFSET('COM Techs T15'!$AO14,0,MATCH(VLOOKUP('COM Veda input'!CR$3,'RES Assumptions T15'!$V$3:$W$35,2,FALSE),'COM Techs T15'!$G$3:$U$3,0))</f>
        <v>5.4</v>
      </c>
      <c r="CS14" s="11">
        <f ca="1">OFFSET('COM Techs T15'!$AO14,0,MATCH(VLOOKUP('COM Veda input'!CS$3,'RES Assumptions T15'!$V$3:$W$35,2,FALSE),'COM Techs T15'!$G$3:$U$3,0))</f>
        <v>4.2</v>
      </c>
      <c r="CT14" s="11">
        <f ca="1">OFFSET('COM Techs T15'!$AO14,0,MATCH(VLOOKUP('COM Veda input'!CT$3,'RES Assumptions T15'!$V$3:$W$35,2,FALSE),'COM Techs T15'!$G$3:$U$3,0))</f>
        <v>4.2</v>
      </c>
      <c r="CU14" s="11">
        <f ca="1">OFFSET('COM Techs T15'!$AO14,0,MATCH(VLOOKUP('COM Veda input'!CU$3,'RES Assumptions T15'!$V$3:$W$35,2,FALSE),'COM Techs T15'!$G$3:$U$3,0))</f>
        <v>4.2</v>
      </c>
      <c r="CV14" s="11">
        <f ca="1">OFFSET('COM Techs T15'!$AO14,0,MATCH(VLOOKUP('COM Veda input'!CV$3,'RES Assumptions T15'!$V$3:$W$35,2,FALSE),'COM Techs T15'!$G$3:$U$3,0))</f>
        <v>5.4</v>
      </c>
      <c r="CW14" s="11">
        <f ca="1">OFFSET('COM Techs T15'!$AO14,0,MATCH(VLOOKUP('COM Veda input'!CW$3,'RES Assumptions T15'!$V$3:$W$35,2,FALSE),'COM Techs T15'!$G$3:$U$3,0))</f>
        <v>6</v>
      </c>
      <c r="CX14" s="11">
        <f ca="1">OFFSET('COM Techs T15'!$AO14,0,MATCH(VLOOKUP('COM Veda input'!CX$3,'RES Assumptions T15'!$V$3:$W$35,2,FALSE),'COM Techs T15'!$G$3:$U$3,0))</f>
        <v>6</v>
      </c>
      <c r="CZ14" s="8" t="str">
        <f t="shared" si="22"/>
        <v>CCKELC000</v>
      </c>
      <c r="DA14" s="10">
        <f ca="1">'COM Assumptions'!E91*G14/'COM Veda input'!AM14</f>
        <v>6.699324198545999</v>
      </c>
      <c r="DB14" s="10">
        <f ca="1">'COM Assumptions'!F91*H14/'COM Veda input'!AN14</f>
        <v>4.1299979774760001</v>
      </c>
      <c r="DC14" s="10">
        <f ca="1">'COM Assumptions'!G91*I14/'COM Veda input'!AO14</f>
        <v>2.1880840214520001</v>
      </c>
      <c r="DD14" s="10">
        <f ca="1">'COM Assumptions'!H91*J14/'COM Veda input'!AP14</f>
        <v>2.0507424239483996</v>
      </c>
      <c r="DE14" s="10">
        <f ca="1">'COM Assumptions'!I91*K14/'COM Veda input'!AQ14</f>
        <v>0</v>
      </c>
      <c r="DF14" s="10">
        <f ca="1">'COM Assumptions'!J91*L14/'COM Veda input'!AR14</f>
        <v>8.1627637130424002</v>
      </c>
      <c r="DG14" s="10">
        <f ca="1">'COM Assumptions'!K91*M14/'COM Veda input'!AS14</f>
        <v>10.182163475862</v>
      </c>
      <c r="DH14" s="10">
        <f ca="1">'COM Assumptions'!L91*N14/'COM Veda input'!AT14</f>
        <v>7.1085267277919995</v>
      </c>
      <c r="DI14" s="10">
        <f ca="1">'COM Assumptions'!M91*O14/'COM Veda input'!AU14</f>
        <v>15.255676816934399</v>
      </c>
      <c r="DJ14" s="10">
        <f ca="1">'COM Assumptions'!N91*P14/'COM Veda input'!AV14</f>
        <v>61.402910776703997</v>
      </c>
      <c r="DK14" s="10">
        <f ca="1">'COM Assumptions'!O91*Q14/'COM Veda input'!AW14</f>
        <v>5.5769599679471993</v>
      </c>
      <c r="DL14" s="10">
        <f ca="1">'COM Assumptions'!P91*R14/'COM Veda input'!AX14</f>
        <v>7.0898345163576</v>
      </c>
      <c r="DM14" s="10">
        <f ca="1">'COM Assumptions'!Q91*S14/'COM Veda input'!AY14</f>
        <v>7.376703108062399</v>
      </c>
      <c r="DN14" s="10">
        <f ca="1">'COM Assumptions'!R91*T14/'COM Veda input'!AZ14</f>
        <v>11.1273842487024</v>
      </c>
      <c r="DO14" s="10">
        <f ca="1">'COM Assumptions'!S91*U14/'COM Veda input'!BA14</f>
        <v>2.6893994875775995</v>
      </c>
      <c r="DP14" s="10">
        <f ca="1">'COM Assumptions'!T91*V14/'COM Veda input'!BB14</f>
        <v>9.1798286969087997</v>
      </c>
      <c r="DQ14" s="10">
        <f ca="1">'COM Assumptions'!U91*W14/'COM Veda input'!BC14</f>
        <v>10.301247405716399</v>
      </c>
      <c r="DR14" s="10">
        <f ca="1">'COM Assumptions'!V91*X14/'COM Veda input'!BD14</f>
        <v>13.770194734094401</v>
      </c>
      <c r="DS14" s="10">
        <f ca="1">'COM Assumptions'!W91*Y14/'COM Veda input'!BE14</f>
        <v>13.1013792415296</v>
      </c>
      <c r="DT14" s="10">
        <f ca="1">'COM Assumptions'!X91*Z14/'COM Veda input'!BF14</f>
        <v>8.5926575251187991</v>
      </c>
      <c r="DU14" s="10">
        <f ca="1">'COM Assumptions'!Y91*AA14/'COM Veda input'!BG14</f>
        <v>4.5034690618007991</v>
      </c>
      <c r="DV14" s="10">
        <f ca="1">'COM Assumptions'!Z91*AB14/'COM Veda input'!BH14</f>
        <v>1.4473115715239999</v>
      </c>
      <c r="DW14" s="10">
        <f ca="1">'COM Assumptions'!AA91*AC14/'COM Veda input'!BI14</f>
        <v>11.7092832177132</v>
      </c>
      <c r="DX14" s="10">
        <f ca="1">'COM Assumptions'!AB91*AD14/'COM Veda input'!BJ14</f>
        <v>2.7776497120847998</v>
      </c>
      <c r="DY14" s="10">
        <f ca="1">'COM Assumptions'!AC91*AE14/'COM Veda input'!BK14</f>
        <v>11.556888826543199</v>
      </c>
      <c r="DZ14" s="10">
        <f ca="1">'COM Assumptions'!AD91*AF14/'COM Veda input'!BL14</f>
        <v>9.2530280913587983</v>
      </c>
      <c r="EA14" s="10">
        <f ca="1">'COM Assumptions'!AE91*AG14/'COM Veda input'!BM14</f>
        <v>4.6755580722480001</v>
      </c>
      <c r="EB14" s="10">
        <f ca="1">'COM Assumptions'!AF91*AH14/'COM Veda input'!BN14</f>
        <v>9.0841598982287994</v>
      </c>
      <c r="EC14" s="10">
        <f ca="1">'COM Assumptions'!AG91*AI14/'COM Veda input'!BO14</f>
        <v>35.452379052337378</v>
      </c>
      <c r="ED14" s="10">
        <f ca="1">'COM Assumptions'!AH91*AJ14/'COM Veda input'!BP14</f>
        <v>0</v>
      </c>
      <c r="EE14" s="8">
        <v>15</v>
      </c>
      <c r="EI14" s="8" t="str">
        <f t="shared" si="23"/>
        <v>CCKELC000</v>
      </c>
      <c r="EK14" t="s">
        <v>282</v>
      </c>
      <c r="EL14" t="s">
        <v>283</v>
      </c>
    </row>
    <row r="15" spans="1:145" x14ac:dyDescent="0.45">
      <c r="A15" s="37" t="str">
        <f>'COM Assumptions'!B92</f>
        <v>CCK</v>
      </c>
      <c r="B15" s="37" t="s">
        <v>225</v>
      </c>
      <c r="D15" t="s">
        <v>225</v>
      </c>
      <c r="E15" s="8" t="str">
        <f>'COM Assumptions'!A92</f>
        <v>COMKER</v>
      </c>
      <c r="F15" t="str">
        <f>VLOOKUP('COM Assumptions'!B92,'COM Assumptions'!$AP$81:$AQ$88,2,FALSE)</f>
        <v>CCK</v>
      </c>
      <c r="G15" s="11">
        <f ca="1">OFFSET('COM Techs T15'!$F15,0,MATCH(VLOOKUP('COM Veda input'!G$3,'RES Assumptions T15'!$V$3:$W$35,2,FALSE),'COM Techs T15'!$G$3:$U$3,0))</f>
        <v>0.5</v>
      </c>
      <c r="H15" s="11">
        <f ca="1">OFFSET('COM Techs T15'!$F15,0,MATCH(VLOOKUP('COM Veda input'!H$3,'RES Assumptions T15'!$V$3:$W$35,2,FALSE),'COM Techs T15'!$G$3:$U$3,0))</f>
        <v>0.5</v>
      </c>
      <c r="I15" s="11">
        <f ca="1">OFFSET('COM Techs T15'!$F15,0,MATCH(VLOOKUP('COM Veda input'!I$3,'RES Assumptions T15'!$V$3:$W$35,2,FALSE),'COM Techs T15'!$G$3:$U$3,0))</f>
        <v>0.5</v>
      </c>
      <c r="J15" s="11">
        <f ca="1">OFFSET('COM Techs T15'!$F15,0,MATCH(VLOOKUP('COM Veda input'!J$3,'RES Assumptions T15'!$V$3:$W$35,2,FALSE),'COM Techs T15'!$G$3:$U$3,0))</f>
        <v>0.5</v>
      </c>
      <c r="K15" s="11">
        <f ca="1">OFFSET('COM Techs T15'!$F15,0,MATCH(VLOOKUP('COM Veda input'!K$3,'RES Assumptions T15'!$V$3:$W$35,2,FALSE),'COM Techs T15'!$G$3:$U$3,0))</f>
        <v>0.5</v>
      </c>
      <c r="L15" s="11">
        <f ca="1">OFFSET('COM Techs T15'!$F15,0,MATCH(VLOOKUP('COM Veda input'!L$3,'RES Assumptions T15'!$V$3:$W$35,2,FALSE),'COM Techs T15'!$G$3:$U$3,0))</f>
        <v>0.5</v>
      </c>
      <c r="M15" s="11">
        <f ca="1">OFFSET('COM Techs T15'!$F15,0,MATCH(VLOOKUP('COM Veda input'!M$3,'RES Assumptions T15'!$V$3:$W$35,2,FALSE),'COM Techs T15'!$G$3:$U$3,0))</f>
        <v>0.5</v>
      </c>
      <c r="N15" s="11">
        <f ca="1">OFFSET('COM Techs T15'!$F15,0,MATCH(VLOOKUP('COM Veda input'!N$3,'RES Assumptions T15'!$V$3:$W$35,2,FALSE),'COM Techs T15'!$G$3:$U$3,0))</f>
        <v>0.5</v>
      </c>
      <c r="O15" s="11">
        <f ca="1">OFFSET('COM Techs T15'!$F15,0,MATCH(VLOOKUP('COM Veda input'!O$3,'RES Assumptions T15'!$V$3:$W$35,2,FALSE),'COM Techs T15'!$G$3:$U$3,0))</f>
        <v>0.5</v>
      </c>
      <c r="P15" s="11">
        <f ca="1">OFFSET('COM Techs T15'!$F15,0,MATCH(VLOOKUP('COM Veda input'!P$3,'RES Assumptions T15'!$V$3:$W$35,2,FALSE),'COM Techs T15'!$G$3:$U$3,0))</f>
        <v>0.5</v>
      </c>
      <c r="Q15" s="11">
        <f ca="1">OFFSET('COM Techs T15'!$F15,0,MATCH(VLOOKUP('COM Veda input'!Q$3,'RES Assumptions T15'!$V$3:$W$35,2,FALSE),'COM Techs T15'!$G$3:$U$3,0))</f>
        <v>0.5</v>
      </c>
      <c r="R15" s="11">
        <f ca="1">OFFSET('COM Techs T15'!$F15,0,MATCH(VLOOKUP('COM Veda input'!R$3,'RES Assumptions T15'!$V$3:$W$35,2,FALSE),'COM Techs T15'!$G$3:$U$3,0))</f>
        <v>0.5</v>
      </c>
      <c r="S15" s="11">
        <f ca="1">OFFSET('COM Techs T15'!$F15,0,MATCH(VLOOKUP('COM Veda input'!S$3,'RES Assumptions T15'!$V$3:$W$35,2,FALSE),'COM Techs T15'!$G$3:$U$3,0))</f>
        <v>0.5</v>
      </c>
      <c r="T15" s="11">
        <f ca="1">OFFSET('COM Techs T15'!$F15,0,MATCH(VLOOKUP('COM Veda input'!T$3,'RES Assumptions T15'!$V$3:$W$35,2,FALSE),'COM Techs T15'!$G$3:$U$3,0))</f>
        <v>0.5</v>
      </c>
      <c r="U15" s="11">
        <f ca="1">OFFSET('COM Techs T15'!$F15,0,MATCH(VLOOKUP('COM Veda input'!U$3,'RES Assumptions T15'!$V$3:$W$35,2,FALSE),'COM Techs T15'!$G$3:$U$3,0))</f>
        <v>0.5</v>
      </c>
      <c r="V15" s="11">
        <f ca="1">OFFSET('COM Techs T15'!$F15,0,MATCH(VLOOKUP('COM Veda input'!V$3,'RES Assumptions T15'!$V$3:$W$35,2,FALSE),'COM Techs T15'!$G$3:$U$3,0))</f>
        <v>0.5</v>
      </c>
      <c r="W15" s="11">
        <f ca="1">OFFSET('COM Techs T15'!$F15,0,MATCH(VLOOKUP('COM Veda input'!W$3,'RES Assumptions T15'!$V$3:$W$35,2,FALSE),'COM Techs T15'!$G$3:$U$3,0))</f>
        <v>0.5</v>
      </c>
      <c r="X15" s="11">
        <f ca="1">OFFSET('COM Techs T15'!$F15,0,MATCH(VLOOKUP('COM Veda input'!X$3,'RES Assumptions T15'!$V$3:$W$35,2,FALSE),'COM Techs T15'!$G$3:$U$3,0))</f>
        <v>0.5</v>
      </c>
      <c r="Y15" s="11">
        <f ca="1">OFFSET('COM Techs T15'!$F15,0,MATCH(VLOOKUP('COM Veda input'!Y$3,'RES Assumptions T15'!$V$3:$W$35,2,FALSE),'COM Techs T15'!$G$3:$U$3,0))</f>
        <v>0.5</v>
      </c>
      <c r="Z15" s="11">
        <f ca="1">OFFSET('COM Techs T15'!$F15,0,MATCH(VLOOKUP('COM Veda input'!Z$3,'RES Assumptions T15'!$V$3:$W$35,2,FALSE),'COM Techs T15'!$G$3:$U$3,0))</f>
        <v>0.5</v>
      </c>
      <c r="AA15" s="11">
        <f ca="1">OFFSET('COM Techs T15'!$F15,0,MATCH(VLOOKUP('COM Veda input'!AA$3,'RES Assumptions T15'!$V$3:$W$35,2,FALSE),'COM Techs T15'!$G$3:$U$3,0))</f>
        <v>0.5</v>
      </c>
      <c r="AB15" s="11">
        <f ca="1">OFFSET('COM Techs T15'!$F15,0,MATCH(VLOOKUP('COM Veda input'!AB$3,'RES Assumptions T15'!$V$3:$W$35,2,FALSE),'COM Techs T15'!$G$3:$U$3,0))</f>
        <v>0.5</v>
      </c>
      <c r="AC15" s="11">
        <f ca="1">OFFSET('COM Techs T15'!$F15,0,MATCH(VLOOKUP('COM Veda input'!AC$3,'RES Assumptions T15'!$V$3:$W$35,2,FALSE),'COM Techs T15'!$G$3:$U$3,0))</f>
        <v>0.5</v>
      </c>
      <c r="AD15" s="11">
        <f ca="1">OFFSET('COM Techs T15'!$F15,0,MATCH(VLOOKUP('COM Veda input'!AD$3,'RES Assumptions T15'!$V$3:$W$35,2,FALSE),'COM Techs T15'!$G$3:$U$3,0))</f>
        <v>0.5</v>
      </c>
      <c r="AE15" s="11">
        <f ca="1">OFFSET('COM Techs T15'!$F15,0,MATCH(VLOOKUP('COM Veda input'!AE$3,'RES Assumptions T15'!$V$3:$W$35,2,FALSE),'COM Techs T15'!$G$3:$U$3,0))</f>
        <v>0.5</v>
      </c>
      <c r="AF15" s="11">
        <f ca="1">OFFSET('COM Techs T15'!$F15,0,MATCH(VLOOKUP('COM Veda input'!AF$3,'RES Assumptions T15'!$V$3:$W$35,2,FALSE),'COM Techs T15'!$G$3:$U$3,0))</f>
        <v>0.5</v>
      </c>
      <c r="AG15" s="11">
        <f ca="1">OFFSET('COM Techs T15'!$F15,0,MATCH(VLOOKUP('COM Veda input'!AG$3,'RES Assumptions T15'!$V$3:$W$35,2,FALSE),'COM Techs T15'!$G$3:$U$3,0))</f>
        <v>0.5</v>
      </c>
      <c r="AH15" s="11">
        <f ca="1">OFFSET('COM Techs T15'!$F15,0,MATCH(VLOOKUP('COM Veda input'!AH$3,'RES Assumptions T15'!$V$3:$W$35,2,FALSE),'COM Techs T15'!$G$3:$U$3,0))</f>
        <v>0.5</v>
      </c>
      <c r="AI15" s="11">
        <f ca="1">OFFSET('COM Techs T15'!$F15,0,MATCH(VLOOKUP('COM Veda input'!AI$3,'RES Assumptions T15'!$V$3:$W$35,2,FALSE),'COM Techs T15'!$G$3:$U$3,0))</f>
        <v>0.5</v>
      </c>
      <c r="AJ15" s="11">
        <f ca="1">OFFSET('COM Techs T15'!$F15,0,MATCH(VLOOKUP('COM Veda input'!AJ$3,'RES Assumptions T15'!$V$3:$W$35,2,FALSE),'COM Techs T15'!$G$3:$U$3,0))</f>
        <v>0.5</v>
      </c>
      <c r="AL15" s="8" t="str">
        <f t="shared" si="19"/>
        <v>CCKKER000</v>
      </c>
      <c r="AM15" s="11">
        <f ca="1">OFFSET('COM Techs T15'!$W15,0,MATCH(VLOOKUP('COM Veda input'!AM$3,'RES Assumptions T15'!$V$3:$W$35,2,FALSE),'COM Techs T15'!$G$3:$U$3,0))</f>
        <v>1</v>
      </c>
      <c r="AN15" s="11">
        <f ca="1">OFFSET('COM Techs T15'!$W15,0,MATCH(VLOOKUP('COM Veda input'!AN$3,'RES Assumptions T15'!$V$3:$W$35,2,FALSE),'COM Techs T15'!$G$3:$U$3,0))</f>
        <v>1</v>
      </c>
      <c r="AO15" s="11">
        <f ca="1">OFFSET('COM Techs T15'!$W15,0,MATCH(VLOOKUP('COM Veda input'!AO$3,'RES Assumptions T15'!$V$3:$W$35,2,FALSE),'COM Techs T15'!$G$3:$U$3,0))</f>
        <v>1</v>
      </c>
      <c r="AP15" s="11">
        <f ca="1">OFFSET('COM Techs T15'!$W15,0,MATCH(VLOOKUP('COM Veda input'!AP$3,'RES Assumptions T15'!$V$3:$W$35,2,FALSE),'COM Techs T15'!$G$3:$U$3,0))</f>
        <v>1</v>
      </c>
      <c r="AQ15" s="11">
        <f ca="1">OFFSET('COM Techs T15'!$W15,0,MATCH(VLOOKUP('COM Veda input'!AQ$3,'RES Assumptions T15'!$V$3:$W$35,2,FALSE),'COM Techs T15'!$G$3:$U$3,0))</f>
        <v>1</v>
      </c>
      <c r="AR15" s="11">
        <f ca="1">OFFSET('COM Techs T15'!$W15,0,MATCH(VLOOKUP('COM Veda input'!AR$3,'RES Assumptions T15'!$V$3:$W$35,2,FALSE),'COM Techs T15'!$G$3:$U$3,0))</f>
        <v>1</v>
      </c>
      <c r="AS15" s="11">
        <f ca="1">OFFSET('COM Techs T15'!$W15,0,MATCH(VLOOKUP('COM Veda input'!AS$3,'RES Assumptions T15'!$V$3:$W$35,2,FALSE),'COM Techs T15'!$G$3:$U$3,0))</f>
        <v>1</v>
      </c>
      <c r="AT15" s="11">
        <f ca="1">OFFSET('COM Techs T15'!$W15,0,MATCH(VLOOKUP('COM Veda input'!AT$3,'RES Assumptions T15'!$V$3:$W$35,2,FALSE),'COM Techs T15'!$G$3:$U$3,0))</f>
        <v>1</v>
      </c>
      <c r="AU15" s="11">
        <f ca="1">OFFSET('COM Techs T15'!$W15,0,MATCH(VLOOKUP('COM Veda input'!AU$3,'RES Assumptions T15'!$V$3:$W$35,2,FALSE),'COM Techs T15'!$G$3:$U$3,0))</f>
        <v>1</v>
      </c>
      <c r="AV15" s="11">
        <f ca="1">OFFSET('COM Techs T15'!$W15,0,MATCH(VLOOKUP('COM Veda input'!AV$3,'RES Assumptions T15'!$V$3:$W$35,2,FALSE),'COM Techs T15'!$G$3:$U$3,0))</f>
        <v>1</v>
      </c>
      <c r="AW15" s="11">
        <f ca="1">OFFSET('COM Techs T15'!$W15,0,MATCH(VLOOKUP('COM Veda input'!AW$3,'RES Assumptions T15'!$V$3:$W$35,2,FALSE),'COM Techs T15'!$G$3:$U$3,0))</f>
        <v>1</v>
      </c>
      <c r="AX15" s="11">
        <f ca="1">OFFSET('COM Techs T15'!$W15,0,MATCH(VLOOKUP('COM Veda input'!AX$3,'RES Assumptions T15'!$V$3:$W$35,2,FALSE),'COM Techs T15'!$G$3:$U$3,0))</f>
        <v>1</v>
      </c>
      <c r="AY15" s="11">
        <f ca="1">OFFSET('COM Techs T15'!$W15,0,MATCH(VLOOKUP('COM Veda input'!AY$3,'RES Assumptions T15'!$V$3:$W$35,2,FALSE),'COM Techs T15'!$G$3:$U$3,0))</f>
        <v>1</v>
      </c>
      <c r="AZ15" s="11">
        <f ca="1">OFFSET('COM Techs T15'!$W15,0,MATCH(VLOOKUP('COM Veda input'!AZ$3,'RES Assumptions T15'!$V$3:$W$35,2,FALSE),'COM Techs T15'!$G$3:$U$3,0))</f>
        <v>1</v>
      </c>
      <c r="BA15" s="11">
        <f ca="1">OFFSET('COM Techs T15'!$W15,0,MATCH(VLOOKUP('COM Veda input'!BA$3,'RES Assumptions T15'!$V$3:$W$35,2,FALSE),'COM Techs T15'!$G$3:$U$3,0))</f>
        <v>1</v>
      </c>
      <c r="BB15" s="11">
        <f ca="1">OFFSET('COM Techs T15'!$W15,0,MATCH(VLOOKUP('COM Veda input'!BB$3,'RES Assumptions T15'!$V$3:$W$35,2,FALSE),'COM Techs T15'!$G$3:$U$3,0))</f>
        <v>1</v>
      </c>
      <c r="BC15" s="11">
        <f ca="1">OFFSET('COM Techs T15'!$W15,0,MATCH(VLOOKUP('COM Veda input'!BC$3,'RES Assumptions T15'!$V$3:$W$35,2,FALSE),'COM Techs T15'!$G$3:$U$3,0))</f>
        <v>1</v>
      </c>
      <c r="BD15" s="11">
        <f ca="1">OFFSET('COM Techs T15'!$W15,0,MATCH(VLOOKUP('COM Veda input'!BD$3,'RES Assumptions T15'!$V$3:$W$35,2,FALSE),'COM Techs T15'!$G$3:$U$3,0))</f>
        <v>1</v>
      </c>
      <c r="BE15" s="11">
        <f ca="1">OFFSET('COM Techs T15'!$W15,0,MATCH(VLOOKUP('COM Veda input'!BE$3,'RES Assumptions T15'!$V$3:$W$35,2,FALSE),'COM Techs T15'!$G$3:$U$3,0))</f>
        <v>1</v>
      </c>
      <c r="BF15" s="11">
        <f ca="1">OFFSET('COM Techs T15'!$W15,0,MATCH(VLOOKUP('COM Veda input'!BF$3,'RES Assumptions T15'!$V$3:$W$35,2,FALSE),'COM Techs T15'!$G$3:$U$3,0))</f>
        <v>1</v>
      </c>
      <c r="BG15" s="11">
        <f ca="1">OFFSET('COM Techs T15'!$W15,0,MATCH(VLOOKUP('COM Veda input'!BG$3,'RES Assumptions T15'!$V$3:$W$35,2,FALSE),'COM Techs T15'!$G$3:$U$3,0))</f>
        <v>1</v>
      </c>
      <c r="BH15" s="11">
        <f ca="1">OFFSET('COM Techs T15'!$W15,0,MATCH(VLOOKUP('COM Veda input'!BH$3,'RES Assumptions T15'!$V$3:$W$35,2,FALSE),'COM Techs T15'!$G$3:$U$3,0))</f>
        <v>1</v>
      </c>
      <c r="BI15" s="11">
        <f ca="1">OFFSET('COM Techs T15'!$W15,0,MATCH(VLOOKUP('COM Veda input'!BI$3,'RES Assumptions T15'!$V$3:$W$35,2,FALSE),'COM Techs T15'!$G$3:$U$3,0))</f>
        <v>1</v>
      </c>
      <c r="BJ15" s="11">
        <f ca="1">OFFSET('COM Techs T15'!$W15,0,MATCH(VLOOKUP('COM Veda input'!BJ$3,'RES Assumptions T15'!$V$3:$W$35,2,FALSE),'COM Techs T15'!$G$3:$U$3,0))</f>
        <v>1</v>
      </c>
      <c r="BK15" s="11">
        <f ca="1">OFFSET('COM Techs T15'!$W15,0,MATCH(VLOOKUP('COM Veda input'!BK$3,'RES Assumptions T15'!$V$3:$W$35,2,FALSE),'COM Techs T15'!$G$3:$U$3,0))</f>
        <v>1</v>
      </c>
      <c r="BL15" s="11">
        <f ca="1">OFFSET('COM Techs T15'!$W15,0,MATCH(VLOOKUP('COM Veda input'!BL$3,'RES Assumptions T15'!$V$3:$W$35,2,FALSE),'COM Techs T15'!$G$3:$U$3,0))</f>
        <v>1</v>
      </c>
      <c r="BM15" s="11">
        <f ca="1">OFFSET('COM Techs T15'!$W15,0,MATCH(VLOOKUP('COM Veda input'!BM$3,'RES Assumptions T15'!$V$3:$W$35,2,FALSE),'COM Techs T15'!$G$3:$U$3,0))</f>
        <v>1</v>
      </c>
      <c r="BN15" s="11">
        <f ca="1">OFFSET('COM Techs T15'!$W15,0,MATCH(VLOOKUP('COM Veda input'!BN$3,'RES Assumptions T15'!$V$3:$W$35,2,FALSE),'COM Techs T15'!$G$3:$U$3,0))</f>
        <v>1</v>
      </c>
      <c r="BO15" s="11">
        <f ca="1">OFFSET('COM Techs T15'!$W15,0,MATCH(VLOOKUP('COM Veda input'!BO$3,'RES Assumptions T15'!$V$3:$W$35,2,FALSE),'COM Techs T15'!$G$3:$U$3,0))</f>
        <v>1</v>
      </c>
      <c r="BP15" s="11">
        <f ca="1">OFFSET('COM Techs T15'!$W15,0,MATCH(VLOOKUP('COM Veda input'!BP$3,'RES Assumptions T15'!$V$3:$W$35,2,FALSE),'COM Techs T15'!$G$3:$U$3,0))</f>
        <v>1</v>
      </c>
      <c r="BQ15">
        <v>3</v>
      </c>
      <c r="BS15" s="8" t="str">
        <f t="shared" si="20"/>
        <v>CCKKER000</v>
      </c>
      <c r="BT15" s="11">
        <f t="shared" ca="1" si="21"/>
        <v>3.6</v>
      </c>
      <c r="BU15" s="11" t="str">
        <f ca="1">OFFSET('COM Techs T15'!$AO15,0,MATCH(VLOOKUP('COM Veda input'!BU$3,'RES Assumptions T15'!$V$3:$W$35,2,FALSE),'COM Techs T15'!$G$3:$U$3,0))</f>
        <v/>
      </c>
      <c r="BV15" s="11" t="str">
        <f ca="1">OFFSET('COM Techs T15'!$AO15,0,MATCH(VLOOKUP('COM Veda input'!BV$3,'RES Assumptions T15'!$V$3:$W$35,2,FALSE),'COM Techs T15'!$G$3:$U$3,0))</f>
        <v/>
      </c>
      <c r="BW15" s="11">
        <f ca="1">OFFSET('COM Techs T15'!$AO15,0,MATCH(VLOOKUP('COM Veda input'!BW$3,'RES Assumptions T15'!$V$3:$W$35,2,FALSE),'COM Techs T15'!$G$3:$U$3,0))</f>
        <v>4.2</v>
      </c>
      <c r="BX15" s="11" t="str">
        <f ca="1">OFFSET('COM Techs T15'!$AO15,0,MATCH(VLOOKUP('COM Veda input'!BX$3,'RES Assumptions T15'!$V$3:$W$35,2,FALSE),'COM Techs T15'!$G$3:$U$3,0))</f>
        <v/>
      </c>
      <c r="BY15" s="11">
        <f ca="1">OFFSET('COM Techs T15'!$AO15,0,MATCH(VLOOKUP('COM Veda input'!BY$3,'RES Assumptions T15'!$V$3:$W$35,2,FALSE),'COM Techs T15'!$G$3:$U$3,0))</f>
        <v>6</v>
      </c>
      <c r="BZ15" s="11">
        <f ca="1">OFFSET('COM Techs T15'!$AO15,0,MATCH(VLOOKUP('COM Veda input'!BZ$3,'RES Assumptions T15'!$V$3:$W$35,2,FALSE),'COM Techs T15'!$G$3:$U$3,0))</f>
        <v>3.6</v>
      </c>
      <c r="CA15" s="11" t="str">
        <f ca="1">OFFSET('COM Techs T15'!$AO15,0,MATCH(VLOOKUP('COM Veda input'!CA$3,'RES Assumptions T15'!$V$3:$W$35,2,FALSE),'COM Techs T15'!$G$3:$U$3,0))</f>
        <v/>
      </c>
      <c r="CB15" s="11">
        <f ca="1">OFFSET('COM Techs T15'!$AO15,0,MATCH(VLOOKUP('COM Veda input'!CB$3,'RES Assumptions T15'!$V$3:$W$35,2,FALSE),'COM Techs T15'!$G$3:$U$3,0))</f>
        <v>4.2</v>
      </c>
      <c r="CC15" s="11" t="str">
        <f ca="1">OFFSET('COM Techs T15'!$AO15,0,MATCH(VLOOKUP('COM Veda input'!CC$3,'RES Assumptions T15'!$V$3:$W$35,2,FALSE),'COM Techs T15'!$G$3:$U$3,0))</f>
        <v/>
      </c>
      <c r="CD15" s="11" t="str">
        <f ca="1">OFFSET('COM Techs T15'!$AO15,0,MATCH(VLOOKUP('COM Veda input'!CD$3,'RES Assumptions T15'!$V$3:$W$35,2,FALSE),'COM Techs T15'!$G$3:$U$3,0))</f>
        <v/>
      </c>
      <c r="CE15" s="11" t="str">
        <f ca="1">OFFSET('COM Techs T15'!$AO15,0,MATCH(VLOOKUP('COM Veda input'!CE$3,'RES Assumptions T15'!$V$3:$W$35,2,FALSE),'COM Techs T15'!$G$3:$U$3,0))</f>
        <v/>
      </c>
      <c r="CF15" s="11" t="str">
        <f ca="1">OFFSET('COM Techs T15'!$AO15,0,MATCH(VLOOKUP('COM Veda input'!CF$3,'RES Assumptions T15'!$V$3:$W$35,2,FALSE),'COM Techs T15'!$G$3:$U$3,0))</f>
        <v/>
      </c>
      <c r="CG15" s="11" t="str">
        <f ca="1">OFFSET('COM Techs T15'!$AO15,0,MATCH(VLOOKUP('COM Veda input'!CG$3,'RES Assumptions T15'!$V$3:$W$35,2,FALSE),'COM Techs T15'!$G$3:$U$3,0))</f>
        <v/>
      </c>
      <c r="CH15" s="11" t="str">
        <f ca="1">OFFSET('COM Techs T15'!$AO15,0,MATCH(VLOOKUP('COM Veda input'!CH$3,'RES Assumptions T15'!$V$3:$W$35,2,FALSE),'COM Techs T15'!$G$3:$U$3,0))</f>
        <v/>
      </c>
      <c r="CI15" s="11" t="str">
        <f ca="1">OFFSET('COM Techs T15'!$AO15,0,MATCH(VLOOKUP('COM Veda input'!CI$3,'RES Assumptions T15'!$V$3:$W$35,2,FALSE),'COM Techs T15'!$G$3:$U$3,0))</f>
        <v/>
      </c>
      <c r="CJ15" s="11" t="str">
        <f ca="1">OFFSET('COM Techs T15'!$AO15,0,MATCH(VLOOKUP('COM Veda input'!CJ$3,'RES Assumptions T15'!$V$3:$W$35,2,FALSE),'COM Techs T15'!$G$3:$U$3,0))</f>
        <v/>
      </c>
      <c r="CK15" s="11">
        <f ca="1">OFFSET('COM Techs T15'!$AO15,0,MATCH(VLOOKUP('COM Veda input'!CK$3,'RES Assumptions T15'!$V$3:$W$35,2,FALSE),'COM Techs T15'!$G$3:$U$3,0))</f>
        <v>4.2</v>
      </c>
      <c r="CL15" s="11" t="str">
        <f ca="1">OFFSET('COM Techs T15'!$AO15,0,MATCH(VLOOKUP('COM Veda input'!CL$3,'RES Assumptions T15'!$V$3:$W$35,2,FALSE),'COM Techs T15'!$G$3:$U$3,0))</f>
        <v/>
      </c>
      <c r="CM15" s="11" t="str">
        <f ca="1">OFFSET('COM Techs T15'!$AO15,0,MATCH(VLOOKUP('COM Veda input'!CM$3,'RES Assumptions T15'!$V$3:$W$35,2,FALSE),'COM Techs T15'!$G$3:$U$3,0))</f>
        <v/>
      </c>
      <c r="CN15" s="11">
        <f ca="1">OFFSET('COM Techs T15'!$AO15,0,MATCH(VLOOKUP('COM Veda input'!CN$3,'RES Assumptions T15'!$V$3:$W$35,2,FALSE),'COM Techs T15'!$G$3:$U$3,0))</f>
        <v>3.6</v>
      </c>
      <c r="CO15" s="11">
        <f ca="1">OFFSET('COM Techs T15'!$AO15,0,MATCH(VLOOKUP('COM Veda input'!CO$3,'RES Assumptions T15'!$V$3:$W$35,2,FALSE),'COM Techs T15'!$G$3:$U$3,0))</f>
        <v>4.2</v>
      </c>
      <c r="CP15" s="11">
        <f ca="1">OFFSET('COM Techs T15'!$AO15,0,MATCH(VLOOKUP('COM Veda input'!CP$3,'RES Assumptions T15'!$V$3:$W$35,2,FALSE),'COM Techs T15'!$G$3:$U$3,0))</f>
        <v>4.8</v>
      </c>
      <c r="CQ15" s="11">
        <f ca="1">OFFSET('COM Techs T15'!$AO15,0,MATCH(VLOOKUP('COM Veda input'!CQ$3,'RES Assumptions T15'!$V$3:$W$35,2,FALSE),'COM Techs T15'!$G$3:$U$3,0))</f>
        <v>4.2</v>
      </c>
      <c r="CR15" s="11" t="str">
        <f ca="1">OFFSET('COM Techs T15'!$AO15,0,MATCH(VLOOKUP('COM Veda input'!CR$3,'RES Assumptions T15'!$V$3:$W$35,2,FALSE),'COM Techs T15'!$G$3:$U$3,0))</f>
        <v/>
      </c>
      <c r="CS15" s="11" t="str">
        <f ca="1">OFFSET('COM Techs T15'!$AO15,0,MATCH(VLOOKUP('COM Veda input'!CS$3,'RES Assumptions T15'!$V$3:$W$35,2,FALSE),'COM Techs T15'!$G$3:$U$3,0))</f>
        <v/>
      </c>
      <c r="CT15" s="11">
        <f ca="1">OFFSET('COM Techs T15'!$AO15,0,MATCH(VLOOKUP('COM Veda input'!CT$3,'RES Assumptions T15'!$V$3:$W$35,2,FALSE),'COM Techs T15'!$G$3:$U$3,0))</f>
        <v>4.2</v>
      </c>
      <c r="CU15" s="11" t="str">
        <f ca="1">OFFSET('COM Techs T15'!$AO15,0,MATCH(VLOOKUP('COM Veda input'!CU$3,'RES Assumptions T15'!$V$3:$W$35,2,FALSE),'COM Techs T15'!$G$3:$U$3,0))</f>
        <v/>
      </c>
      <c r="CV15" s="11" t="str">
        <f ca="1">OFFSET('COM Techs T15'!$AO15,0,MATCH(VLOOKUP('COM Veda input'!CV$3,'RES Assumptions T15'!$V$3:$W$35,2,FALSE),'COM Techs T15'!$G$3:$U$3,0))</f>
        <v/>
      </c>
      <c r="CW15" s="11" t="str">
        <f ca="1">OFFSET('COM Techs T15'!$AO15,0,MATCH(VLOOKUP('COM Veda input'!CW$3,'RES Assumptions T15'!$V$3:$W$35,2,FALSE),'COM Techs T15'!$G$3:$U$3,0))</f>
        <v/>
      </c>
      <c r="CX15" s="11" t="str">
        <f ca="1">OFFSET('COM Techs T15'!$AO15,0,MATCH(VLOOKUP('COM Veda input'!CX$3,'RES Assumptions T15'!$V$3:$W$35,2,FALSE),'COM Techs T15'!$G$3:$U$3,0))</f>
        <v/>
      </c>
      <c r="CZ15" s="8" t="str">
        <f t="shared" si="22"/>
        <v>CCKKER000</v>
      </c>
      <c r="DA15" s="10">
        <f ca="1">'COM Assumptions'!E92*G15/'COM Veda input'!AM15</f>
        <v>0</v>
      </c>
      <c r="DB15" s="10">
        <f ca="1">'COM Assumptions'!F92*H15/'COM Veda input'!AN15</f>
        <v>2.8837108350000001E-2</v>
      </c>
      <c r="DC15" s="10">
        <f ca="1">'COM Assumptions'!G92*I15/'COM Veda input'!AO15</f>
        <v>1.1248884900000001E-3</v>
      </c>
      <c r="DD15" s="10">
        <f ca="1">'COM Assumptions'!H92*J15/'COM Veda input'!AP15</f>
        <v>1.0917081E-2</v>
      </c>
      <c r="DE15" s="10">
        <f ca="1">'COM Assumptions'!I92*K15/'COM Veda input'!AQ15</f>
        <v>0</v>
      </c>
      <c r="DF15" s="10">
        <f ca="1">'COM Assumptions'!J92*L15/'COM Veda input'!AR15</f>
        <v>2.4624695601000002</v>
      </c>
      <c r="DG15" s="10">
        <f ca="1">'COM Assumptions'!K92*M15/'COM Veda input'!AS15</f>
        <v>3.0898584000000002E-4</v>
      </c>
      <c r="DH15" s="10">
        <f ca="1">'COM Assumptions'!L92*N15/'COM Veda input'!AT15</f>
        <v>0</v>
      </c>
      <c r="DI15" s="10">
        <f ca="1">'COM Assumptions'!M92*O15/'COM Veda input'!AU15</f>
        <v>6.5524791176999999</v>
      </c>
      <c r="DJ15" s="10">
        <f ca="1">'COM Assumptions'!N92*P15/'COM Veda input'!AV15</f>
        <v>12.741378198120001</v>
      </c>
      <c r="DK15" s="10">
        <f ca="1">'COM Assumptions'!O92*Q15/'COM Veda input'!AW15</f>
        <v>8.5358385000000002E-3</v>
      </c>
      <c r="DL15" s="10">
        <f ca="1">'COM Assumptions'!P92*R15/'COM Veda input'!AX15</f>
        <v>3.548313E-4</v>
      </c>
      <c r="DM15" s="10">
        <f ca="1">'COM Assumptions'!Q92*S15/'COM Veda input'!AY15</f>
        <v>0.88988549939999995</v>
      </c>
      <c r="DN15" s="10">
        <f ca="1">'COM Assumptions'!R92*T15/'COM Veda input'!AZ15</f>
        <v>2.52097695E-2</v>
      </c>
      <c r="DO15" s="10">
        <f ca="1">'COM Assumptions'!S92*U15/'COM Veda input'!BA15</f>
        <v>3.1955751E-3</v>
      </c>
      <c r="DP15" s="10">
        <f ca="1">'COM Assumptions'!T92*V15/'COM Veda input'!BB15</f>
        <v>2.1980700000000001E-5</v>
      </c>
      <c r="DQ15" s="10">
        <f ca="1">'COM Assumptions'!U92*W15/'COM Veda input'!BC15</f>
        <v>0</v>
      </c>
      <c r="DR15" s="10">
        <f ca="1">'COM Assumptions'!V92*X15/'COM Veda input'!BD15</f>
        <v>0</v>
      </c>
      <c r="DS15" s="10">
        <f ca="1">'COM Assumptions'!W92*Y15/'COM Veda input'!BE15</f>
        <v>0</v>
      </c>
      <c r="DT15" s="10">
        <f ca="1">'COM Assumptions'!X92*Z15/'COM Veda input'!BF15</f>
        <v>0</v>
      </c>
      <c r="DU15" s="10">
        <f ca="1">'COM Assumptions'!Y92*AA15/'COM Veda input'!BG15</f>
        <v>7.6187199600000009E-3</v>
      </c>
      <c r="DV15" s="10">
        <f ca="1">'COM Assumptions'!Z92*AB15/'COM Veda input'!BH15</f>
        <v>0</v>
      </c>
      <c r="DW15" s="10">
        <f ca="1">'COM Assumptions'!AA92*AC15/'COM Veda input'!BI15</f>
        <v>0.15156111329999999</v>
      </c>
      <c r="DX15" s="10">
        <f ca="1">'COM Assumptions'!AB92*AD15/'COM Veda input'!BJ15</f>
        <v>1.7165879999999999E-4</v>
      </c>
      <c r="DY15" s="10">
        <f ca="1">'COM Assumptions'!AC92*AE15/'COM Veda input'!BK15</f>
        <v>0</v>
      </c>
      <c r="DZ15" s="10">
        <f ca="1">'COM Assumptions'!AD92*AF15/'COM Veda input'!BL15</f>
        <v>0</v>
      </c>
      <c r="EA15" s="10">
        <f ca="1">'COM Assumptions'!AE92*AG15/'COM Veda input'!BM15</f>
        <v>7.5838857839999996E-2</v>
      </c>
      <c r="EB15" s="10">
        <f ca="1">'COM Assumptions'!AF92*AH15/'COM Veda input'!BN15</f>
        <v>8.5355004158999996</v>
      </c>
      <c r="EC15" s="10">
        <f ca="1">'COM Assumptions'!AG92*AI15/'COM Veda input'!BO15</f>
        <v>0</v>
      </c>
      <c r="ED15" s="10">
        <f ca="1">'COM Assumptions'!AH92*AJ15/'COM Veda input'!BP15</f>
        <v>0</v>
      </c>
      <c r="EE15" s="8">
        <v>15</v>
      </c>
      <c r="EI15" s="8" t="str">
        <f t="shared" si="23"/>
        <v>CCKKER000</v>
      </c>
      <c r="EK15" t="s">
        <v>282</v>
      </c>
      <c r="EL15" t="s">
        <v>283</v>
      </c>
    </row>
    <row r="16" spans="1:145" x14ac:dyDescent="0.45">
      <c r="A16" s="37" t="str">
        <f>'COM Assumptions'!B93</f>
        <v>CCK</v>
      </c>
      <c r="B16" s="37" t="s">
        <v>226</v>
      </c>
      <c r="D16" t="s">
        <v>226</v>
      </c>
      <c r="E16" s="8" t="str">
        <f>'COM Assumptions'!A93</f>
        <v>COMLPG</v>
      </c>
      <c r="F16" t="str">
        <f>VLOOKUP('COM Assumptions'!B93,'COM Assumptions'!$AP$81:$AQ$88,2,FALSE)</f>
        <v>CCK</v>
      </c>
      <c r="G16" s="11">
        <f ca="1">OFFSET('COM Techs T15'!$F16,0,MATCH(VLOOKUP('COM Veda input'!G$3,'RES Assumptions T15'!$V$3:$W$35,2,FALSE),'COM Techs T15'!$G$3:$U$3,0))</f>
        <v>0.55000000000000004</v>
      </c>
      <c r="H16" s="11">
        <f ca="1">OFFSET('COM Techs T15'!$F16,0,MATCH(VLOOKUP('COM Veda input'!H$3,'RES Assumptions T15'!$V$3:$W$35,2,FALSE),'COM Techs T15'!$G$3:$U$3,0))</f>
        <v>0.55000000000000004</v>
      </c>
      <c r="I16" s="11">
        <f ca="1">OFFSET('COM Techs T15'!$F16,0,MATCH(VLOOKUP('COM Veda input'!I$3,'RES Assumptions T15'!$V$3:$W$35,2,FALSE),'COM Techs T15'!$G$3:$U$3,0))</f>
        <v>0.55000000000000004</v>
      </c>
      <c r="J16" s="11">
        <f ca="1">OFFSET('COM Techs T15'!$F16,0,MATCH(VLOOKUP('COM Veda input'!J$3,'RES Assumptions T15'!$V$3:$W$35,2,FALSE),'COM Techs T15'!$G$3:$U$3,0))</f>
        <v>0.55000000000000004</v>
      </c>
      <c r="K16" s="11">
        <f ca="1">OFFSET('COM Techs T15'!$F16,0,MATCH(VLOOKUP('COM Veda input'!K$3,'RES Assumptions T15'!$V$3:$W$35,2,FALSE),'COM Techs T15'!$G$3:$U$3,0))</f>
        <v>0.55000000000000004</v>
      </c>
      <c r="L16" s="11">
        <f ca="1">OFFSET('COM Techs T15'!$F16,0,MATCH(VLOOKUP('COM Veda input'!L$3,'RES Assumptions T15'!$V$3:$W$35,2,FALSE),'COM Techs T15'!$G$3:$U$3,0))</f>
        <v>0.55000000000000004</v>
      </c>
      <c r="M16" s="11">
        <f ca="1">OFFSET('COM Techs T15'!$F16,0,MATCH(VLOOKUP('COM Veda input'!M$3,'RES Assumptions T15'!$V$3:$W$35,2,FALSE),'COM Techs T15'!$G$3:$U$3,0))</f>
        <v>0.55000000000000004</v>
      </c>
      <c r="N16" s="11">
        <f ca="1">OFFSET('COM Techs T15'!$F16,0,MATCH(VLOOKUP('COM Veda input'!N$3,'RES Assumptions T15'!$V$3:$W$35,2,FALSE),'COM Techs T15'!$G$3:$U$3,0))</f>
        <v>0.55000000000000004</v>
      </c>
      <c r="O16" s="11">
        <f ca="1">OFFSET('COM Techs T15'!$F16,0,MATCH(VLOOKUP('COM Veda input'!O$3,'RES Assumptions T15'!$V$3:$W$35,2,FALSE),'COM Techs T15'!$G$3:$U$3,0))</f>
        <v>0.55000000000000004</v>
      </c>
      <c r="P16" s="11">
        <f ca="1">OFFSET('COM Techs T15'!$F16,0,MATCH(VLOOKUP('COM Veda input'!P$3,'RES Assumptions T15'!$V$3:$W$35,2,FALSE),'COM Techs T15'!$G$3:$U$3,0))</f>
        <v>0.55000000000000004</v>
      </c>
      <c r="Q16" s="11">
        <f ca="1">OFFSET('COM Techs T15'!$F16,0,MATCH(VLOOKUP('COM Veda input'!Q$3,'RES Assumptions T15'!$V$3:$W$35,2,FALSE),'COM Techs T15'!$G$3:$U$3,0))</f>
        <v>0.55000000000000004</v>
      </c>
      <c r="R16" s="11">
        <f ca="1">OFFSET('COM Techs T15'!$F16,0,MATCH(VLOOKUP('COM Veda input'!R$3,'RES Assumptions T15'!$V$3:$W$35,2,FALSE),'COM Techs T15'!$G$3:$U$3,0))</f>
        <v>0.55000000000000004</v>
      </c>
      <c r="S16" s="11">
        <f ca="1">OFFSET('COM Techs T15'!$F16,0,MATCH(VLOOKUP('COM Veda input'!S$3,'RES Assumptions T15'!$V$3:$W$35,2,FALSE),'COM Techs T15'!$G$3:$U$3,0))</f>
        <v>0.55000000000000004</v>
      </c>
      <c r="T16" s="11">
        <f ca="1">OFFSET('COM Techs T15'!$F16,0,MATCH(VLOOKUP('COM Veda input'!T$3,'RES Assumptions T15'!$V$3:$W$35,2,FALSE),'COM Techs T15'!$G$3:$U$3,0))</f>
        <v>0.55000000000000004</v>
      </c>
      <c r="U16" s="11">
        <f ca="1">OFFSET('COM Techs T15'!$F16,0,MATCH(VLOOKUP('COM Veda input'!U$3,'RES Assumptions T15'!$V$3:$W$35,2,FALSE),'COM Techs T15'!$G$3:$U$3,0))</f>
        <v>0.55000000000000004</v>
      </c>
      <c r="V16" s="11">
        <f ca="1">OFFSET('COM Techs T15'!$F16,0,MATCH(VLOOKUP('COM Veda input'!V$3,'RES Assumptions T15'!$V$3:$W$35,2,FALSE),'COM Techs T15'!$G$3:$U$3,0))</f>
        <v>0.55000000000000004</v>
      </c>
      <c r="W16" s="11">
        <f ca="1">OFFSET('COM Techs T15'!$F16,0,MATCH(VLOOKUP('COM Veda input'!W$3,'RES Assumptions T15'!$V$3:$W$35,2,FALSE),'COM Techs T15'!$G$3:$U$3,0))</f>
        <v>0.55000000000000004</v>
      </c>
      <c r="X16" s="11">
        <f ca="1">OFFSET('COM Techs T15'!$F16,0,MATCH(VLOOKUP('COM Veda input'!X$3,'RES Assumptions T15'!$V$3:$W$35,2,FALSE),'COM Techs T15'!$G$3:$U$3,0))</f>
        <v>0.55000000000000004</v>
      </c>
      <c r="Y16" s="11">
        <f ca="1">OFFSET('COM Techs T15'!$F16,0,MATCH(VLOOKUP('COM Veda input'!Y$3,'RES Assumptions T15'!$V$3:$W$35,2,FALSE),'COM Techs T15'!$G$3:$U$3,0))</f>
        <v>0.55000000000000004</v>
      </c>
      <c r="Z16" s="11">
        <f ca="1">OFFSET('COM Techs T15'!$F16,0,MATCH(VLOOKUP('COM Veda input'!Z$3,'RES Assumptions T15'!$V$3:$W$35,2,FALSE),'COM Techs T15'!$G$3:$U$3,0))</f>
        <v>0.55000000000000004</v>
      </c>
      <c r="AA16" s="11">
        <f ca="1">OFFSET('COM Techs T15'!$F16,0,MATCH(VLOOKUP('COM Veda input'!AA$3,'RES Assumptions T15'!$V$3:$W$35,2,FALSE),'COM Techs T15'!$G$3:$U$3,0))</f>
        <v>0.55000000000000004</v>
      </c>
      <c r="AB16" s="11">
        <f ca="1">OFFSET('COM Techs T15'!$F16,0,MATCH(VLOOKUP('COM Veda input'!AB$3,'RES Assumptions T15'!$V$3:$W$35,2,FALSE),'COM Techs T15'!$G$3:$U$3,0))</f>
        <v>0.55000000000000004</v>
      </c>
      <c r="AC16" s="11">
        <f ca="1">OFFSET('COM Techs T15'!$F16,0,MATCH(VLOOKUP('COM Veda input'!AC$3,'RES Assumptions T15'!$V$3:$W$35,2,FALSE),'COM Techs T15'!$G$3:$U$3,0))</f>
        <v>0.55000000000000004</v>
      </c>
      <c r="AD16" s="11">
        <f ca="1">OFFSET('COM Techs T15'!$F16,0,MATCH(VLOOKUP('COM Veda input'!AD$3,'RES Assumptions T15'!$V$3:$W$35,2,FALSE),'COM Techs T15'!$G$3:$U$3,0))</f>
        <v>0.55000000000000004</v>
      </c>
      <c r="AE16" s="11">
        <f ca="1">OFFSET('COM Techs T15'!$F16,0,MATCH(VLOOKUP('COM Veda input'!AE$3,'RES Assumptions T15'!$V$3:$W$35,2,FALSE),'COM Techs T15'!$G$3:$U$3,0))</f>
        <v>0.55000000000000004</v>
      </c>
      <c r="AF16" s="11">
        <f ca="1">OFFSET('COM Techs T15'!$F16,0,MATCH(VLOOKUP('COM Veda input'!AF$3,'RES Assumptions T15'!$V$3:$W$35,2,FALSE),'COM Techs T15'!$G$3:$U$3,0))</f>
        <v>0.55000000000000004</v>
      </c>
      <c r="AG16" s="11">
        <f ca="1">OFFSET('COM Techs T15'!$F16,0,MATCH(VLOOKUP('COM Veda input'!AG$3,'RES Assumptions T15'!$V$3:$W$35,2,FALSE),'COM Techs T15'!$G$3:$U$3,0))</f>
        <v>0.55000000000000004</v>
      </c>
      <c r="AH16" s="11">
        <f ca="1">OFFSET('COM Techs T15'!$F16,0,MATCH(VLOOKUP('COM Veda input'!AH$3,'RES Assumptions T15'!$V$3:$W$35,2,FALSE),'COM Techs T15'!$G$3:$U$3,0))</f>
        <v>0.55000000000000004</v>
      </c>
      <c r="AI16" s="11">
        <f ca="1">OFFSET('COM Techs T15'!$F16,0,MATCH(VLOOKUP('COM Veda input'!AI$3,'RES Assumptions T15'!$V$3:$W$35,2,FALSE),'COM Techs T15'!$G$3:$U$3,0))</f>
        <v>0.55000000000000004</v>
      </c>
      <c r="AJ16" s="11">
        <f ca="1">OFFSET('COM Techs T15'!$F16,0,MATCH(VLOOKUP('COM Veda input'!AJ$3,'RES Assumptions T15'!$V$3:$W$35,2,FALSE),'COM Techs T15'!$G$3:$U$3,0))</f>
        <v>0.55000000000000004</v>
      </c>
      <c r="AL16" s="8" t="str">
        <f t="shared" si="19"/>
        <v>CCKLPG000</v>
      </c>
      <c r="AM16" s="11">
        <f ca="1">OFFSET('COM Techs T15'!$W16,0,MATCH(VLOOKUP('COM Veda input'!AM$3,'RES Assumptions T15'!$V$3:$W$35,2,FALSE),'COM Techs T15'!$G$3:$U$3,0))</f>
        <v>1</v>
      </c>
      <c r="AN16" s="11">
        <f ca="1">OFFSET('COM Techs T15'!$W16,0,MATCH(VLOOKUP('COM Veda input'!AN$3,'RES Assumptions T15'!$V$3:$W$35,2,FALSE),'COM Techs T15'!$G$3:$U$3,0))</f>
        <v>1</v>
      </c>
      <c r="AO16" s="11">
        <f ca="1">OFFSET('COM Techs T15'!$W16,0,MATCH(VLOOKUP('COM Veda input'!AO$3,'RES Assumptions T15'!$V$3:$W$35,2,FALSE),'COM Techs T15'!$G$3:$U$3,0))</f>
        <v>1</v>
      </c>
      <c r="AP16" s="11">
        <f ca="1">OFFSET('COM Techs T15'!$W16,0,MATCH(VLOOKUP('COM Veda input'!AP$3,'RES Assumptions T15'!$V$3:$W$35,2,FALSE),'COM Techs T15'!$G$3:$U$3,0))</f>
        <v>1</v>
      </c>
      <c r="AQ16" s="11">
        <f ca="1">OFFSET('COM Techs T15'!$W16,0,MATCH(VLOOKUP('COM Veda input'!AQ$3,'RES Assumptions T15'!$V$3:$W$35,2,FALSE),'COM Techs T15'!$G$3:$U$3,0))</f>
        <v>1</v>
      </c>
      <c r="AR16" s="11">
        <f ca="1">OFFSET('COM Techs T15'!$W16,0,MATCH(VLOOKUP('COM Veda input'!AR$3,'RES Assumptions T15'!$V$3:$W$35,2,FALSE),'COM Techs T15'!$G$3:$U$3,0))</f>
        <v>1</v>
      </c>
      <c r="AS16" s="11">
        <f ca="1">OFFSET('COM Techs T15'!$W16,0,MATCH(VLOOKUP('COM Veda input'!AS$3,'RES Assumptions T15'!$V$3:$W$35,2,FALSE),'COM Techs T15'!$G$3:$U$3,0))</f>
        <v>1</v>
      </c>
      <c r="AT16" s="11">
        <f ca="1">OFFSET('COM Techs T15'!$W16,0,MATCH(VLOOKUP('COM Veda input'!AT$3,'RES Assumptions T15'!$V$3:$W$35,2,FALSE),'COM Techs T15'!$G$3:$U$3,0))</f>
        <v>1</v>
      </c>
      <c r="AU16" s="11">
        <f ca="1">OFFSET('COM Techs T15'!$W16,0,MATCH(VLOOKUP('COM Veda input'!AU$3,'RES Assumptions T15'!$V$3:$W$35,2,FALSE),'COM Techs T15'!$G$3:$U$3,0))</f>
        <v>1</v>
      </c>
      <c r="AV16" s="11">
        <f ca="1">OFFSET('COM Techs T15'!$W16,0,MATCH(VLOOKUP('COM Veda input'!AV$3,'RES Assumptions T15'!$V$3:$W$35,2,FALSE),'COM Techs T15'!$G$3:$U$3,0))</f>
        <v>1</v>
      </c>
      <c r="AW16" s="11">
        <f ca="1">OFFSET('COM Techs T15'!$W16,0,MATCH(VLOOKUP('COM Veda input'!AW$3,'RES Assumptions T15'!$V$3:$W$35,2,FALSE),'COM Techs T15'!$G$3:$U$3,0))</f>
        <v>1</v>
      </c>
      <c r="AX16" s="11">
        <f ca="1">OFFSET('COM Techs T15'!$W16,0,MATCH(VLOOKUP('COM Veda input'!AX$3,'RES Assumptions T15'!$V$3:$W$35,2,FALSE),'COM Techs T15'!$G$3:$U$3,0))</f>
        <v>1</v>
      </c>
      <c r="AY16" s="11">
        <f ca="1">OFFSET('COM Techs T15'!$W16,0,MATCH(VLOOKUP('COM Veda input'!AY$3,'RES Assumptions T15'!$V$3:$W$35,2,FALSE),'COM Techs T15'!$G$3:$U$3,0))</f>
        <v>1</v>
      </c>
      <c r="AZ16" s="11">
        <f ca="1">OFFSET('COM Techs T15'!$W16,0,MATCH(VLOOKUP('COM Veda input'!AZ$3,'RES Assumptions T15'!$V$3:$W$35,2,FALSE),'COM Techs T15'!$G$3:$U$3,0))</f>
        <v>1</v>
      </c>
      <c r="BA16" s="11">
        <f ca="1">OFFSET('COM Techs T15'!$W16,0,MATCH(VLOOKUP('COM Veda input'!BA$3,'RES Assumptions T15'!$V$3:$W$35,2,FALSE),'COM Techs T15'!$G$3:$U$3,0))</f>
        <v>1</v>
      </c>
      <c r="BB16" s="11">
        <f ca="1">OFFSET('COM Techs T15'!$W16,0,MATCH(VLOOKUP('COM Veda input'!BB$3,'RES Assumptions T15'!$V$3:$W$35,2,FALSE),'COM Techs T15'!$G$3:$U$3,0))</f>
        <v>1</v>
      </c>
      <c r="BC16" s="11">
        <f ca="1">OFFSET('COM Techs T15'!$W16,0,MATCH(VLOOKUP('COM Veda input'!BC$3,'RES Assumptions T15'!$V$3:$W$35,2,FALSE),'COM Techs T15'!$G$3:$U$3,0))</f>
        <v>1</v>
      </c>
      <c r="BD16" s="11">
        <f ca="1">OFFSET('COM Techs T15'!$W16,0,MATCH(VLOOKUP('COM Veda input'!BD$3,'RES Assumptions T15'!$V$3:$W$35,2,FALSE),'COM Techs T15'!$G$3:$U$3,0))</f>
        <v>1</v>
      </c>
      <c r="BE16" s="11">
        <f ca="1">OFFSET('COM Techs T15'!$W16,0,MATCH(VLOOKUP('COM Veda input'!BE$3,'RES Assumptions T15'!$V$3:$W$35,2,FALSE),'COM Techs T15'!$G$3:$U$3,0))</f>
        <v>1</v>
      </c>
      <c r="BF16" s="11">
        <f ca="1">OFFSET('COM Techs T15'!$W16,0,MATCH(VLOOKUP('COM Veda input'!BF$3,'RES Assumptions T15'!$V$3:$W$35,2,FALSE),'COM Techs T15'!$G$3:$U$3,0))</f>
        <v>1</v>
      </c>
      <c r="BG16" s="11">
        <f ca="1">OFFSET('COM Techs T15'!$W16,0,MATCH(VLOOKUP('COM Veda input'!BG$3,'RES Assumptions T15'!$V$3:$W$35,2,FALSE),'COM Techs T15'!$G$3:$U$3,0))</f>
        <v>1</v>
      </c>
      <c r="BH16" s="11">
        <f ca="1">OFFSET('COM Techs T15'!$W16,0,MATCH(VLOOKUP('COM Veda input'!BH$3,'RES Assumptions T15'!$V$3:$W$35,2,FALSE),'COM Techs T15'!$G$3:$U$3,0))</f>
        <v>1</v>
      </c>
      <c r="BI16" s="11">
        <f ca="1">OFFSET('COM Techs T15'!$W16,0,MATCH(VLOOKUP('COM Veda input'!BI$3,'RES Assumptions T15'!$V$3:$W$35,2,FALSE),'COM Techs T15'!$G$3:$U$3,0))</f>
        <v>1</v>
      </c>
      <c r="BJ16" s="11">
        <f ca="1">OFFSET('COM Techs T15'!$W16,0,MATCH(VLOOKUP('COM Veda input'!BJ$3,'RES Assumptions T15'!$V$3:$W$35,2,FALSE),'COM Techs T15'!$G$3:$U$3,0))</f>
        <v>1</v>
      </c>
      <c r="BK16" s="11">
        <f ca="1">OFFSET('COM Techs T15'!$W16,0,MATCH(VLOOKUP('COM Veda input'!BK$3,'RES Assumptions T15'!$V$3:$W$35,2,FALSE),'COM Techs T15'!$G$3:$U$3,0))</f>
        <v>1</v>
      </c>
      <c r="BL16" s="11">
        <f ca="1">OFFSET('COM Techs T15'!$W16,0,MATCH(VLOOKUP('COM Veda input'!BL$3,'RES Assumptions T15'!$V$3:$W$35,2,FALSE),'COM Techs T15'!$G$3:$U$3,0))</f>
        <v>1</v>
      </c>
      <c r="BM16" s="11">
        <f ca="1">OFFSET('COM Techs T15'!$W16,0,MATCH(VLOOKUP('COM Veda input'!BM$3,'RES Assumptions T15'!$V$3:$W$35,2,FALSE),'COM Techs T15'!$G$3:$U$3,0))</f>
        <v>1</v>
      </c>
      <c r="BN16" s="11">
        <f ca="1">OFFSET('COM Techs T15'!$W16,0,MATCH(VLOOKUP('COM Veda input'!BN$3,'RES Assumptions T15'!$V$3:$W$35,2,FALSE),'COM Techs T15'!$G$3:$U$3,0))</f>
        <v>1</v>
      </c>
      <c r="BO16" s="11">
        <f ca="1">OFFSET('COM Techs T15'!$W16,0,MATCH(VLOOKUP('COM Veda input'!BO$3,'RES Assumptions T15'!$V$3:$W$35,2,FALSE),'COM Techs T15'!$G$3:$U$3,0))</f>
        <v>1</v>
      </c>
      <c r="BP16" s="11">
        <f ca="1">OFFSET('COM Techs T15'!$W16,0,MATCH(VLOOKUP('COM Veda input'!BP$3,'RES Assumptions T15'!$V$3:$W$35,2,FALSE),'COM Techs T15'!$G$3:$U$3,0))</f>
        <v>1</v>
      </c>
      <c r="BQ16">
        <v>3</v>
      </c>
      <c r="BS16" s="8" t="str">
        <f t="shared" si="20"/>
        <v>CCKLPG000</v>
      </c>
      <c r="BT16" s="11">
        <f t="shared" ca="1" si="21"/>
        <v>3.6</v>
      </c>
      <c r="BU16" s="11" t="str">
        <f ca="1">OFFSET('COM Techs T15'!$AO16,0,MATCH(VLOOKUP('COM Veda input'!BU$3,'RES Assumptions T15'!$V$3:$W$35,2,FALSE),'COM Techs T15'!$G$3:$U$3,0))</f>
        <v/>
      </c>
      <c r="BV16" s="11" t="str">
        <f ca="1">OFFSET('COM Techs T15'!$AO16,0,MATCH(VLOOKUP('COM Veda input'!BV$3,'RES Assumptions T15'!$V$3:$W$35,2,FALSE),'COM Techs T15'!$G$3:$U$3,0))</f>
        <v/>
      </c>
      <c r="BW16" s="11">
        <f ca="1">OFFSET('COM Techs T15'!$AO16,0,MATCH(VLOOKUP('COM Veda input'!BW$3,'RES Assumptions T15'!$V$3:$W$35,2,FALSE),'COM Techs T15'!$G$3:$U$3,0))</f>
        <v>4.2</v>
      </c>
      <c r="BX16" s="11" t="str">
        <f ca="1">OFFSET('COM Techs T15'!$AO16,0,MATCH(VLOOKUP('COM Veda input'!BX$3,'RES Assumptions T15'!$V$3:$W$35,2,FALSE),'COM Techs T15'!$G$3:$U$3,0))</f>
        <v/>
      </c>
      <c r="BY16" s="11">
        <f ca="1">OFFSET('COM Techs T15'!$AO16,0,MATCH(VLOOKUP('COM Veda input'!BY$3,'RES Assumptions T15'!$V$3:$W$35,2,FALSE),'COM Techs T15'!$G$3:$U$3,0))</f>
        <v>6</v>
      </c>
      <c r="BZ16" s="11">
        <f ca="1">OFFSET('COM Techs T15'!$AO16,0,MATCH(VLOOKUP('COM Veda input'!BZ$3,'RES Assumptions T15'!$V$3:$W$35,2,FALSE),'COM Techs T15'!$G$3:$U$3,0))</f>
        <v>3.6</v>
      </c>
      <c r="CA16" s="11" t="str">
        <f ca="1">OFFSET('COM Techs T15'!$AO16,0,MATCH(VLOOKUP('COM Veda input'!CA$3,'RES Assumptions T15'!$V$3:$W$35,2,FALSE),'COM Techs T15'!$G$3:$U$3,0))</f>
        <v/>
      </c>
      <c r="CB16" s="11">
        <f ca="1">OFFSET('COM Techs T15'!$AO16,0,MATCH(VLOOKUP('COM Veda input'!CB$3,'RES Assumptions T15'!$V$3:$W$35,2,FALSE),'COM Techs T15'!$G$3:$U$3,0))</f>
        <v>4.2</v>
      </c>
      <c r="CC16" s="11" t="str">
        <f ca="1">OFFSET('COM Techs T15'!$AO16,0,MATCH(VLOOKUP('COM Veda input'!CC$3,'RES Assumptions T15'!$V$3:$W$35,2,FALSE),'COM Techs T15'!$G$3:$U$3,0))</f>
        <v/>
      </c>
      <c r="CD16" s="11" t="str">
        <f ca="1">OFFSET('COM Techs T15'!$AO16,0,MATCH(VLOOKUP('COM Veda input'!CD$3,'RES Assumptions T15'!$V$3:$W$35,2,FALSE),'COM Techs T15'!$G$3:$U$3,0))</f>
        <v/>
      </c>
      <c r="CE16" s="11" t="str">
        <f ca="1">OFFSET('COM Techs T15'!$AO16,0,MATCH(VLOOKUP('COM Veda input'!CE$3,'RES Assumptions T15'!$V$3:$W$35,2,FALSE),'COM Techs T15'!$G$3:$U$3,0))</f>
        <v/>
      </c>
      <c r="CF16" s="11" t="str">
        <f ca="1">OFFSET('COM Techs T15'!$AO16,0,MATCH(VLOOKUP('COM Veda input'!CF$3,'RES Assumptions T15'!$V$3:$W$35,2,FALSE),'COM Techs T15'!$G$3:$U$3,0))</f>
        <v/>
      </c>
      <c r="CG16" s="11" t="str">
        <f ca="1">OFFSET('COM Techs T15'!$AO16,0,MATCH(VLOOKUP('COM Veda input'!CG$3,'RES Assumptions T15'!$V$3:$W$35,2,FALSE),'COM Techs T15'!$G$3:$U$3,0))</f>
        <v/>
      </c>
      <c r="CH16" s="11" t="str">
        <f ca="1">OFFSET('COM Techs T15'!$AO16,0,MATCH(VLOOKUP('COM Veda input'!CH$3,'RES Assumptions T15'!$V$3:$W$35,2,FALSE),'COM Techs T15'!$G$3:$U$3,0))</f>
        <v/>
      </c>
      <c r="CI16" s="11" t="str">
        <f ca="1">OFFSET('COM Techs T15'!$AO16,0,MATCH(VLOOKUP('COM Veda input'!CI$3,'RES Assumptions T15'!$V$3:$W$35,2,FALSE),'COM Techs T15'!$G$3:$U$3,0))</f>
        <v/>
      </c>
      <c r="CJ16" s="11" t="str">
        <f ca="1">OFFSET('COM Techs T15'!$AO16,0,MATCH(VLOOKUP('COM Veda input'!CJ$3,'RES Assumptions T15'!$V$3:$W$35,2,FALSE),'COM Techs T15'!$G$3:$U$3,0))</f>
        <v/>
      </c>
      <c r="CK16" s="11">
        <f ca="1">OFFSET('COM Techs T15'!$AO16,0,MATCH(VLOOKUP('COM Veda input'!CK$3,'RES Assumptions T15'!$V$3:$W$35,2,FALSE),'COM Techs T15'!$G$3:$U$3,0))</f>
        <v>4.2</v>
      </c>
      <c r="CL16" s="11" t="str">
        <f ca="1">OFFSET('COM Techs T15'!$AO16,0,MATCH(VLOOKUP('COM Veda input'!CL$3,'RES Assumptions T15'!$V$3:$W$35,2,FALSE),'COM Techs T15'!$G$3:$U$3,0))</f>
        <v/>
      </c>
      <c r="CM16" s="11" t="str">
        <f ca="1">OFFSET('COM Techs T15'!$AO16,0,MATCH(VLOOKUP('COM Veda input'!CM$3,'RES Assumptions T15'!$V$3:$W$35,2,FALSE),'COM Techs T15'!$G$3:$U$3,0))</f>
        <v/>
      </c>
      <c r="CN16" s="11">
        <f ca="1">OFFSET('COM Techs T15'!$AO16,0,MATCH(VLOOKUP('COM Veda input'!CN$3,'RES Assumptions T15'!$V$3:$W$35,2,FALSE),'COM Techs T15'!$G$3:$U$3,0))</f>
        <v>3.6</v>
      </c>
      <c r="CO16" s="11">
        <f ca="1">OFFSET('COM Techs T15'!$AO16,0,MATCH(VLOOKUP('COM Veda input'!CO$3,'RES Assumptions T15'!$V$3:$W$35,2,FALSE),'COM Techs T15'!$G$3:$U$3,0))</f>
        <v>4.2</v>
      </c>
      <c r="CP16" s="11">
        <f ca="1">OFFSET('COM Techs T15'!$AO16,0,MATCH(VLOOKUP('COM Veda input'!CP$3,'RES Assumptions T15'!$V$3:$W$35,2,FALSE),'COM Techs T15'!$G$3:$U$3,0))</f>
        <v>4.8</v>
      </c>
      <c r="CQ16" s="11">
        <f ca="1">OFFSET('COM Techs T15'!$AO16,0,MATCH(VLOOKUP('COM Veda input'!CQ$3,'RES Assumptions T15'!$V$3:$W$35,2,FALSE),'COM Techs T15'!$G$3:$U$3,0))</f>
        <v>4.2</v>
      </c>
      <c r="CR16" s="11" t="str">
        <f ca="1">OFFSET('COM Techs T15'!$AO16,0,MATCH(VLOOKUP('COM Veda input'!CR$3,'RES Assumptions T15'!$V$3:$W$35,2,FALSE),'COM Techs T15'!$G$3:$U$3,0))</f>
        <v/>
      </c>
      <c r="CS16" s="11" t="str">
        <f ca="1">OFFSET('COM Techs T15'!$AO16,0,MATCH(VLOOKUP('COM Veda input'!CS$3,'RES Assumptions T15'!$V$3:$W$35,2,FALSE),'COM Techs T15'!$G$3:$U$3,0))</f>
        <v/>
      </c>
      <c r="CT16" s="11">
        <f ca="1">OFFSET('COM Techs T15'!$AO16,0,MATCH(VLOOKUP('COM Veda input'!CT$3,'RES Assumptions T15'!$V$3:$W$35,2,FALSE),'COM Techs T15'!$G$3:$U$3,0))</f>
        <v>4.2</v>
      </c>
      <c r="CU16" s="11" t="str">
        <f ca="1">OFFSET('COM Techs T15'!$AO16,0,MATCH(VLOOKUP('COM Veda input'!CU$3,'RES Assumptions T15'!$V$3:$W$35,2,FALSE),'COM Techs T15'!$G$3:$U$3,0))</f>
        <v/>
      </c>
      <c r="CV16" s="11" t="str">
        <f ca="1">OFFSET('COM Techs T15'!$AO16,0,MATCH(VLOOKUP('COM Veda input'!CV$3,'RES Assumptions T15'!$V$3:$W$35,2,FALSE),'COM Techs T15'!$G$3:$U$3,0))</f>
        <v/>
      </c>
      <c r="CW16" s="11" t="str">
        <f ca="1">OFFSET('COM Techs T15'!$AO16,0,MATCH(VLOOKUP('COM Veda input'!CW$3,'RES Assumptions T15'!$V$3:$W$35,2,FALSE),'COM Techs T15'!$G$3:$U$3,0))</f>
        <v/>
      </c>
      <c r="CX16" s="11" t="str">
        <f ca="1">OFFSET('COM Techs T15'!$AO16,0,MATCH(VLOOKUP('COM Veda input'!CX$3,'RES Assumptions T15'!$V$3:$W$35,2,FALSE),'COM Techs T15'!$G$3:$U$3,0))</f>
        <v/>
      </c>
      <c r="CZ16" s="8" t="str">
        <f t="shared" si="22"/>
        <v>CCKLPG000</v>
      </c>
      <c r="DA16" s="10">
        <f ca="1">'COM Assumptions'!E93*G16/'COM Veda input'!AM16</f>
        <v>3.1517337564900001</v>
      </c>
      <c r="DB16" s="10">
        <f ca="1">'COM Assumptions'!F93*H16/'COM Veda input'!AN16</f>
        <v>7.6781134861200009</v>
      </c>
      <c r="DC16" s="10">
        <f ca="1">'COM Assumptions'!G93*I16/'COM Veda input'!AO16</f>
        <v>8.6678652186720004</v>
      </c>
      <c r="DD16" s="10">
        <f ca="1">'COM Assumptions'!H93*J16/'COM Veda input'!AP16</f>
        <v>7.3074941967993856E-2</v>
      </c>
      <c r="DE16" s="10">
        <f ca="1">'COM Assumptions'!I93*K16/'COM Veda input'!AQ16</f>
        <v>0</v>
      </c>
      <c r="DF16" s="10">
        <f ca="1">'COM Assumptions'!J93*L16/'COM Veda input'!AR16</f>
        <v>53.149923734292003</v>
      </c>
      <c r="DG16" s="10">
        <f ca="1">'COM Assumptions'!K93*M16/'COM Veda input'!AS16</f>
        <v>0.49972497616799999</v>
      </c>
      <c r="DH16" s="10">
        <f ca="1">'COM Assumptions'!L93*N16/'COM Veda input'!AT16</f>
        <v>13.520610676584001</v>
      </c>
      <c r="DI16" s="10">
        <f ca="1">'COM Assumptions'!M93*O16/'COM Veda input'!AU16</f>
        <v>13.85819097894</v>
      </c>
      <c r="DJ16" s="10">
        <f ca="1">'COM Assumptions'!N93*P16/'COM Veda input'!AV16</f>
        <v>23.378426231490003</v>
      </c>
      <c r="DK16" s="10">
        <f ca="1">'COM Assumptions'!O93*Q16/'COM Veda input'!AW16</f>
        <v>0.24873736932000001</v>
      </c>
      <c r="DL16" s="10">
        <f ca="1">'COM Assumptions'!P93*R16/'COM Veda input'!AX16</f>
        <v>0.18258623256137207</v>
      </c>
      <c r="DM16" s="10">
        <f ca="1">'COM Assumptions'!Q93*S16/'COM Veda input'!AY16</f>
        <v>2.3324453460000001</v>
      </c>
      <c r="DN16" s="10">
        <f ca="1">'COM Assumptions'!R93*T16/'COM Veda input'!AZ16</f>
        <v>6.1391589543900009</v>
      </c>
      <c r="DO16" s="10">
        <f ca="1">'COM Assumptions'!S93*U16/'COM Veda input'!BA16</f>
        <v>0.10933438858027715</v>
      </c>
      <c r="DP16" s="10">
        <f ca="1">'COM Assumptions'!T93*V16/'COM Veda input'!BB16</f>
        <v>3.1497234644700005</v>
      </c>
      <c r="DQ16" s="10">
        <f ca="1">'COM Assumptions'!U93*W16/'COM Veda input'!BC16</f>
        <v>13.616384281335</v>
      </c>
      <c r="DR16" s="10">
        <f ca="1">'COM Assumptions'!V93*X16/'COM Veda input'!BD16</f>
        <v>3.7877516958600004</v>
      </c>
      <c r="DS16" s="10">
        <f ca="1">'COM Assumptions'!W93*Y16/'COM Veda input'!BE16</f>
        <v>2.2896500744700004</v>
      </c>
      <c r="DT16" s="10">
        <f ca="1">'COM Assumptions'!X93*Z16/'COM Veda input'!BF16</f>
        <v>61.212254225166006</v>
      </c>
      <c r="DU16" s="10">
        <f ca="1">'COM Assumptions'!Y93*AA16/'COM Veda input'!BG16</f>
        <v>13.421470120542001</v>
      </c>
      <c r="DV16" s="10">
        <f ca="1">'COM Assumptions'!Z93*AB16/'COM Veda input'!BH16</f>
        <v>29.955185230410002</v>
      </c>
      <c r="DW16" s="10">
        <f ca="1">'COM Assumptions'!AA93*AC16/'COM Veda input'!BI16</f>
        <v>5.2055262621450007</v>
      </c>
      <c r="DX16" s="10">
        <f ca="1">'COM Assumptions'!AB93*AD16/'COM Veda input'!BJ16</f>
        <v>0.33894375471000004</v>
      </c>
      <c r="DY16" s="10">
        <f ca="1">'COM Assumptions'!AC93*AE16/'COM Veda input'!BK16</f>
        <v>3.8981385546075498E-2</v>
      </c>
      <c r="DZ16" s="10">
        <f ca="1">'COM Assumptions'!AD93*AF16/'COM Veda input'!BL16</f>
        <v>0</v>
      </c>
      <c r="EA16" s="10">
        <f ca="1">'COM Assumptions'!AE93*AG16/'COM Veda input'!BM16</f>
        <v>0.74585978874000003</v>
      </c>
      <c r="EB16" s="10">
        <f ca="1">'COM Assumptions'!AF93*AH16/'COM Veda input'!BN16</f>
        <v>4.4874611208900008</v>
      </c>
      <c r="EC16" s="10">
        <f ca="1">'COM Assumptions'!AG93*AI16/'COM Veda input'!BO16</f>
        <v>2.7414357551930424</v>
      </c>
      <c r="ED16" s="10">
        <f ca="1">'COM Assumptions'!AH93*AJ16/'COM Veda input'!BP16</f>
        <v>0</v>
      </c>
      <c r="EE16" s="8">
        <v>15</v>
      </c>
      <c r="EI16" s="8" t="str">
        <f t="shared" si="23"/>
        <v>CCKLPG000</v>
      </c>
      <c r="EK16" t="s">
        <v>282</v>
      </c>
      <c r="EL16" t="s">
        <v>283</v>
      </c>
    </row>
    <row r="17" spans="1:142" x14ac:dyDescent="0.45">
      <c r="A17" s="37" t="str">
        <f>'COM Assumptions'!B94</f>
        <v>CCK</v>
      </c>
      <c r="B17" s="37" t="s">
        <v>227</v>
      </c>
      <c r="D17" t="s">
        <v>227</v>
      </c>
      <c r="E17" s="8" t="str">
        <f>'COM Assumptions'!A94</f>
        <v>COMNGA</v>
      </c>
      <c r="F17" t="str">
        <f>VLOOKUP('COM Assumptions'!B94,'COM Assumptions'!$AP$81:$AQ$88,2,FALSE)</f>
        <v>CCK</v>
      </c>
      <c r="G17" s="11">
        <f ca="1">OFFSET('COM Techs T15'!$F17,0,MATCH(VLOOKUP('COM Veda input'!G$3,'RES Assumptions T15'!$V$3:$W$35,2,FALSE),'COM Techs T15'!$G$3:$U$3,0))</f>
        <v>0.55000000000000004</v>
      </c>
      <c r="H17" s="11">
        <f ca="1">OFFSET('COM Techs T15'!$F17,0,MATCH(VLOOKUP('COM Veda input'!H$3,'RES Assumptions T15'!$V$3:$W$35,2,FALSE),'COM Techs T15'!$G$3:$U$3,0))</f>
        <v>0.55000000000000004</v>
      </c>
      <c r="I17" s="11">
        <f ca="1">OFFSET('COM Techs T15'!$F17,0,MATCH(VLOOKUP('COM Veda input'!I$3,'RES Assumptions T15'!$V$3:$W$35,2,FALSE),'COM Techs T15'!$G$3:$U$3,0))</f>
        <v>0.55000000000000004</v>
      </c>
      <c r="J17" s="11">
        <f ca="1">OFFSET('COM Techs T15'!$F17,0,MATCH(VLOOKUP('COM Veda input'!J$3,'RES Assumptions T15'!$V$3:$W$35,2,FALSE),'COM Techs T15'!$G$3:$U$3,0))</f>
        <v>0.55000000000000004</v>
      </c>
      <c r="K17" s="11">
        <f ca="1">OFFSET('COM Techs T15'!$F17,0,MATCH(VLOOKUP('COM Veda input'!K$3,'RES Assumptions T15'!$V$3:$W$35,2,FALSE),'COM Techs T15'!$G$3:$U$3,0))</f>
        <v>0.55000000000000004</v>
      </c>
      <c r="L17" s="11">
        <f ca="1">OFFSET('COM Techs T15'!$F17,0,MATCH(VLOOKUP('COM Veda input'!L$3,'RES Assumptions T15'!$V$3:$W$35,2,FALSE),'COM Techs T15'!$G$3:$U$3,0))</f>
        <v>0.55000000000000004</v>
      </c>
      <c r="M17" s="11">
        <f ca="1">OFFSET('COM Techs T15'!$F17,0,MATCH(VLOOKUP('COM Veda input'!M$3,'RES Assumptions T15'!$V$3:$W$35,2,FALSE),'COM Techs T15'!$G$3:$U$3,0))</f>
        <v>0.55000000000000004</v>
      </c>
      <c r="N17" s="11">
        <f ca="1">OFFSET('COM Techs T15'!$F17,0,MATCH(VLOOKUP('COM Veda input'!N$3,'RES Assumptions T15'!$V$3:$W$35,2,FALSE),'COM Techs T15'!$G$3:$U$3,0))</f>
        <v>0.55000000000000004</v>
      </c>
      <c r="O17" s="11">
        <f ca="1">OFFSET('COM Techs T15'!$F17,0,MATCH(VLOOKUP('COM Veda input'!O$3,'RES Assumptions T15'!$V$3:$W$35,2,FALSE),'COM Techs T15'!$G$3:$U$3,0))</f>
        <v>0.55000000000000004</v>
      </c>
      <c r="P17" s="11">
        <f ca="1">OFFSET('COM Techs T15'!$F17,0,MATCH(VLOOKUP('COM Veda input'!P$3,'RES Assumptions T15'!$V$3:$W$35,2,FALSE),'COM Techs T15'!$G$3:$U$3,0))</f>
        <v>0.55000000000000004</v>
      </c>
      <c r="Q17" s="11">
        <f ca="1">OFFSET('COM Techs T15'!$F17,0,MATCH(VLOOKUP('COM Veda input'!Q$3,'RES Assumptions T15'!$V$3:$W$35,2,FALSE),'COM Techs T15'!$G$3:$U$3,0))</f>
        <v>0.55000000000000004</v>
      </c>
      <c r="R17" s="11">
        <f ca="1">OFFSET('COM Techs T15'!$F17,0,MATCH(VLOOKUP('COM Veda input'!R$3,'RES Assumptions T15'!$V$3:$W$35,2,FALSE),'COM Techs T15'!$G$3:$U$3,0))</f>
        <v>0.55000000000000004</v>
      </c>
      <c r="S17" s="11">
        <f ca="1">OFFSET('COM Techs T15'!$F17,0,MATCH(VLOOKUP('COM Veda input'!S$3,'RES Assumptions T15'!$V$3:$W$35,2,FALSE),'COM Techs T15'!$G$3:$U$3,0))</f>
        <v>0.55000000000000004</v>
      </c>
      <c r="T17" s="11">
        <f ca="1">OFFSET('COM Techs T15'!$F17,0,MATCH(VLOOKUP('COM Veda input'!T$3,'RES Assumptions T15'!$V$3:$W$35,2,FALSE),'COM Techs T15'!$G$3:$U$3,0))</f>
        <v>0.55000000000000004</v>
      </c>
      <c r="U17" s="11">
        <f ca="1">OFFSET('COM Techs T15'!$F17,0,MATCH(VLOOKUP('COM Veda input'!U$3,'RES Assumptions T15'!$V$3:$W$35,2,FALSE),'COM Techs T15'!$G$3:$U$3,0))</f>
        <v>0.55000000000000004</v>
      </c>
      <c r="V17" s="11">
        <f ca="1">OFFSET('COM Techs T15'!$F17,0,MATCH(VLOOKUP('COM Veda input'!V$3,'RES Assumptions T15'!$V$3:$W$35,2,FALSE),'COM Techs T15'!$G$3:$U$3,0))</f>
        <v>0.55000000000000004</v>
      </c>
      <c r="W17" s="11">
        <f ca="1">OFFSET('COM Techs T15'!$F17,0,MATCH(VLOOKUP('COM Veda input'!W$3,'RES Assumptions T15'!$V$3:$W$35,2,FALSE),'COM Techs T15'!$G$3:$U$3,0))</f>
        <v>0.55000000000000004</v>
      </c>
      <c r="X17" s="11">
        <f ca="1">OFFSET('COM Techs T15'!$F17,0,MATCH(VLOOKUP('COM Veda input'!X$3,'RES Assumptions T15'!$V$3:$W$35,2,FALSE),'COM Techs T15'!$G$3:$U$3,0))</f>
        <v>0.55000000000000004</v>
      </c>
      <c r="Y17" s="11">
        <f ca="1">OFFSET('COM Techs T15'!$F17,0,MATCH(VLOOKUP('COM Veda input'!Y$3,'RES Assumptions T15'!$V$3:$W$35,2,FALSE),'COM Techs T15'!$G$3:$U$3,0))</f>
        <v>0.55000000000000004</v>
      </c>
      <c r="Z17" s="11">
        <f ca="1">OFFSET('COM Techs T15'!$F17,0,MATCH(VLOOKUP('COM Veda input'!Z$3,'RES Assumptions T15'!$V$3:$W$35,2,FALSE),'COM Techs T15'!$G$3:$U$3,0))</f>
        <v>0.55000000000000004</v>
      </c>
      <c r="AA17" s="11">
        <f ca="1">OFFSET('COM Techs T15'!$F17,0,MATCH(VLOOKUP('COM Veda input'!AA$3,'RES Assumptions T15'!$V$3:$W$35,2,FALSE),'COM Techs T15'!$G$3:$U$3,0))</f>
        <v>0.55000000000000004</v>
      </c>
      <c r="AB17" s="11">
        <f ca="1">OFFSET('COM Techs T15'!$F17,0,MATCH(VLOOKUP('COM Veda input'!AB$3,'RES Assumptions T15'!$V$3:$W$35,2,FALSE),'COM Techs T15'!$G$3:$U$3,0))</f>
        <v>0.55000000000000004</v>
      </c>
      <c r="AC17" s="11">
        <f ca="1">OFFSET('COM Techs T15'!$F17,0,MATCH(VLOOKUP('COM Veda input'!AC$3,'RES Assumptions T15'!$V$3:$W$35,2,FALSE),'COM Techs T15'!$G$3:$U$3,0))</f>
        <v>0.55000000000000004</v>
      </c>
      <c r="AD17" s="11">
        <f ca="1">OFFSET('COM Techs T15'!$F17,0,MATCH(VLOOKUP('COM Veda input'!AD$3,'RES Assumptions T15'!$V$3:$W$35,2,FALSE),'COM Techs T15'!$G$3:$U$3,0))</f>
        <v>0.55000000000000004</v>
      </c>
      <c r="AE17" s="11">
        <f ca="1">OFFSET('COM Techs T15'!$F17,0,MATCH(VLOOKUP('COM Veda input'!AE$3,'RES Assumptions T15'!$V$3:$W$35,2,FALSE),'COM Techs T15'!$G$3:$U$3,0))</f>
        <v>0.55000000000000004</v>
      </c>
      <c r="AF17" s="11">
        <f ca="1">OFFSET('COM Techs T15'!$F17,0,MATCH(VLOOKUP('COM Veda input'!AF$3,'RES Assumptions T15'!$V$3:$W$35,2,FALSE),'COM Techs T15'!$G$3:$U$3,0))</f>
        <v>0.55000000000000004</v>
      </c>
      <c r="AG17" s="11">
        <f ca="1">OFFSET('COM Techs T15'!$F17,0,MATCH(VLOOKUP('COM Veda input'!AG$3,'RES Assumptions T15'!$V$3:$W$35,2,FALSE),'COM Techs T15'!$G$3:$U$3,0))</f>
        <v>0.55000000000000004</v>
      </c>
      <c r="AH17" s="11">
        <f ca="1">OFFSET('COM Techs T15'!$F17,0,MATCH(VLOOKUP('COM Veda input'!AH$3,'RES Assumptions T15'!$V$3:$W$35,2,FALSE),'COM Techs T15'!$G$3:$U$3,0))</f>
        <v>0.55000000000000004</v>
      </c>
      <c r="AI17" s="11">
        <f ca="1">OFFSET('COM Techs T15'!$F17,0,MATCH(VLOOKUP('COM Veda input'!AI$3,'RES Assumptions T15'!$V$3:$W$35,2,FALSE),'COM Techs T15'!$G$3:$U$3,0))</f>
        <v>0.55000000000000004</v>
      </c>
      <c r="AJ17" s="11">
        <f ca="1">OFFSET('COM Techs T15'!$F17,0,MATCH(VLOOKUP('COM Veda input'!AJ$3,'RES Assumptions T15'!$V$3:$W$35,2,FALSE),'COM Techs T15'!$G$3:$U$3,0))</f>
        <v>0.55000000000000004</v>
      </c>
      <c r="AL17" s="8" t="str">
        <f t="shared" si="19"/>
        <v>CCKNGA000</v>
      </c>
      <c r="AM17" s="11">
        <f ca="1">OFFSET('COM Techs T15'!$W17,0,MATCH(VLOOKUP('COM Veda input'!AM$3,'RES Assumptions T15'!$V$3:$W$35,2,FALSE),'COM Techs T15'!$G$3:$U$3,0))</f>
        <v>1</v>
      </c>
      <c r="AN17" s="11">
        <f ca="1">OFFSET('COM Techs T15'!$W17,0,MATCH(VLOOKUP('COM Veda input'!AN$3,'RES Assumptions T15'!$V$3:$W$35,2,FALSE),'COM Techs T15'!$G$3:$U$3,0))</f>
        <v>1</v>
      </c>
      <c r="AO17" s="11">
        <f ca="1">OFFSET('COM Techs T15'!$W17,0,MATCH(VLOOKUP('COM Veda input'!AO$3,'RES Assumptions T15'!$V$3:$W$35,2,FALSE),'COM Techs T15'!$G$3:$U$3,0))</f>
        <v>1</v>
      </c>
      <c r="AP17" s="11">
        <f ca="1">OFFSET('COM Techs T15'!$W17,0,MATCH(VLOOKUP('COM Veda input'!AP$3,'RES Assumptions T15'!$V$3:$W$35,2,FALSE),'COM Techs T15'!$G$3:$U$3,0))</f>
        <v>1</v>
      </c>
      <c r="AQ17" s="11">
        <f ca="1">OFFSET('COM Techs T15'!$W17,0,MATCH(VLOOKUP('COM Veda input'!AQ$3,'RES Assumptions T15'!$V$3:$W$35,2,FALSE),'COM Techs T15'!$G$3:$U$3,0))</f>
        <v>1</v>
      </c>
      <c r="AR17" s="11">
        <f ca="1">OFFSET('COM Techs T15'!$W17,0,MATCH(VLOOKUP('COM Veda input'!AR$3,'RES Assumptions T15'!$V$3:$W$35,2,FALSE),'COM Techs T15'!$G$3:$U$3,0))</f>
        <v>1</v>
      </c>
      <c r="AS17" s="11">
        <f ca="1">OFFSET('COM Techs T15'!$W17,0,MATCH(VLOOKUP('COM Veda input'!AS$3,'RES Assumptions T15'!$V$3:$W$35,2,FALSE),'COM Techs T15'!$G$3:$U$3,0))</f>
        <v>1</v>
      </c>
      <c r="AT17" s="11">
        <f ca="1">OFFSET('COM Techs T15'!$W17,0,MATCH(VLOOKUP('COM Veda input'!AT$3,'RES Assumptions T15'!$V$3:$W$35,2,FALSE),'COM Techs T15'!$G$3:$U$3,0))</f>
        <v>1</v>
      </c>
      <c r="AU17" s="11">
        <f ca="1">OFFSET('COM Techs T15'!$W17,0,MATCH(VLOOKUP('COM Veda input'!AU$3,'RES Assumptions T15'!$V$3:$W$35,2,FALSE),'COM Techs T15'!$G$3:$U$3,0))</f>
        <v>1</v>
      </c>
      <c r="AV17" s="11">
        <f ca="1">OFFSET('COM Techs T15'!$W17,0,MATCH(VLOOKUP('COM Veda input'!AV$3,'RES Assumptions T15'!$V$3:$W$35,2,FALSE),'COM Techs T15'!$G$3:$U$3,0))</f>
        <v>1</v>
      </c>
      <c r="AW17" s="11">
        <f ca="1">OFFSET('COM Techs T15'!$W17,0,MATCH(VLOOKUP('COM Veda input'!AW$3,'RES Assumptions T15'!$V$3:$W$35,2,FALSE),'COM Techs T15'!$G$3:$U$3,0))</f>
        <v>1</v>
      </c>
      <c r="AX17" s="11">
        <f ca="1">OFFSET('COM Techs T15'!$W17,0,MATCH(VLOOKUP('COM Veda input'!AX$3,'RES Assumptions T15'!$V$3:$W$35,2,FALSE),'COM Techs T15'!$G$3:$U$3,0))</f>
        <v>1</v>
      </c>
      <c r="AY17" s="11">
        <f ca="1">OFFSET('COM Techs T15'!$W17,0,MATCH(VLOOKUP('COM Veda input'!AY$3,'RES Assumptions T15'!$V$3:$W$35,2,FALSE),'COM Techs T15'!$G$3:$U$3,0))</f>
        <v>1</v>
      </c>
      <c r="AZ17" s="11">
        <f ca="1">OFFSET('COM Techs T15'!$W17,0,MATCH(VLOOKUP('COM Veda input'!AZ$3,'RES Assumptions T15'!$V$3:$W$35,2,FALSE),'COM Techs T15'!$G$3:$U$3,0))</f>
        <v>1</v>
      </c>
      <c r="BA17" s="11">
        <f ca="1">OFFSET('COM Techs T15'!$W17,0,MATCH(VLOOKUP('COM Veda input'!BA$3,'RES Assumptions T15'!$V$3:$W$35,2,FALSE),'COM Techs T15'!$G$3:$U$3,0))</f>
        <v>1</v>
      </c>
      <c r="BB17" s="11">
        <f ca="1">OFFSET('COM Techs T15'!$W17,0,MATCH(VLOOKUP('COM Veda input'!BB$3,'RES Assumptions T15'!$V$3:$W$35,2,FALSE),'COM Techs T15'!$G$3:$U$3,0))</f>
        <v>1</v>
      </c>
      <c r="BC17" s="11">
        <f ca="1">OFFSET('COM Techs T15'!$W17,0,MATCH(VLOOKUP('COM Veda input'!BC$3,'RES Assumptions T15'!$V$3:$W$35,2,FALSE),'COM Techs T15'!$G$3:$U$3,0))</f>
        <v>1</v>
      </c>
      <c r="BD17" s="11">
        <f ca="1">OFFSET('COM Techs T15'!$W17,0,MATCH(VLOOKUP('COM Veda input'!BD$3,'RES Assumptions T15'!$V$3:$W$35,2,FALSE),'COM Techs T15'!$G$3:$U$3,0))</f>
        <v>1</v>
      </c>
      <c r="BE17" s="11">
        <f ca="1">OFFSET('COM Techs T15'!$W17,0,MATCH(VLOOKUP('COM Veda input'!BE$3,'RES Assumptions T15'!$V$3:$W$35,2,FALSE),'COM Techs T15'!$G$3:$U$3,0))</f>
        <v>1</v>
      </c>
      <c r="BF17" s="11">
        <f ca="1">OFFSET('COM Techs T15'!$W17,0,MATCH(VLOOKUP('COM Veda input'!BF$3,'RES Assumptions T15'!$V$3:$W$35,2,FALSE),'COM Techs T15'!$G$3:$U$3,0))</f>
        <v>1</v>
      </c>
      <c r="BG17" s="11">
        <f ca="1">OFFSET('COM Techs T15'!$W17,0,MATCH(VLOOKUP('COM Veda input'!BG$3,'RES Assumptions T15'!$V$3:$W$35,2,FALSE),'COM Techs T15'!$G$3:$U$3,0))</f>
        <v>1</v>
      </c>
      <c r="BH17" s="11">
        <f ca="1">OFFSET('COM Techs T15'!$W17,0,MATCH(VLOOKUP('COM Veda input'!BH$3,'RES Assumptions T15'!$V$3:$W$35,2,FALSE),'COM Techs T15'!$G$3:$U$3,0))</f>
        <v>1</v>
      </c>
      <c r="BI17" s="11">
        <f ca="1">OFFSET('COM Techs T15'!$W17,0,MATCH(VLOOKUP('COM Veda input'!BI$3,'RES Assumptions T15'!$V$3:$W$35,2,FALSE),'COM Techs T15'!$G$3:$U$3,0))</f>
        <v>1</v>
      </c>
      <c r="BJ17" s="11">
        <f ca="1">OFFSET('COM Techs T15'!$W17,0,MATCH(VLOOKUP('COM Veda input'!BJ$3,'RES Assumptions T15'!$V$3:$W$35,2,FALSE),'COM Techs T15'!$G$3:$U$3,0))</f>
        <v>1</v>
      </c>
      <c r="BK17" s="11">
        <f ca="1">OFFSET('COM Techs T15'!$W17,0,MATCH(VLOOKUP('COM Veda input'!BK$3,'RES Assumptions T15'!$V$3:$W$35,2,FALSE),'COM Techs T15'!$G$3:$U$3,0))</f>
        <v>1</v>
      </c>
      <c r="BL17" s="11">
        <f ca="1">OFFSET('COM Techs T15'!$W17,0,MATCH(VLOOKUP('COM Veda input'!BL$3,'RES Assumptions T15'!$V$3:$W$35,2,FALSE),'COM Techs T15'!$G$3:$U$3,0))</f>
        <v>1</v>
      </c>
      <c r="BM17" s="11">
        <f ca="1">OFFSET('COM Techs T15'!$W17,0,MATCH(VLOOKUP('COM Veda input'!BM$3,'RES Assumptions T15'!$V$3:$W$35,2,FALSE),'COM Techs T15'!$G$3:$U$3,0))</f>
        <v>1</v>
      </c>
      <c r="BN17" s="11">
        <f ca="1">OFFSET('COM Techs T15'!$W17,0,MATCH(VLOOKUP('COM Veda input'!BN$3,'RES Assumptions T15'!$V$3:$W$35,2,FALSE),'COM Techs T15'!$G$3:$U$3,0))</f>
        <v>1</v>
      </c>
      <c r="BO17" s="11">
        <f ca="1">OFFSET('COM Techs T15'!$W17,0,MATCH(VLOOKUP('COM Veda input'!BO$3,'RES Assumptions T15'!$V$3:$W$35,2,FALSE),'COM Techs T15'!$G$3:$U$3,0))</f>
        <v>1</v>
      </c>
      <c r="BP17" s="11">
        <f ca="1">OFFSET('COM Techs T15'!$W17,0,MATCH(VLOOKUP('COM Veda input'!BP$3,'RES Assumptions T15'!$V$3:$W$35,2,FALSE),'COM Techs T15'!$G$3:$U$3,0))</f>
        <v>1</v>
      </c>
      <c r="BQ17">
        <v>3</v>
      </c>
      <c r="BS17" s="8" t="str">
        <f t="shared" si="20"/>
        <v>CCKNGA000</v>
      </c>
      <c r="BT17" s="11">
        <f t="shared" ca="1" si="21"/>
        <v>3.6</v>
      </c>
      <c r="BU17" s="11" t="str">
        <f ca="1">OFFSET('COM Techs T15'!$AO17,0,MATCH(VLOOKUP('COM Veda input'!BU$3,'RES Assumptions T15'!$V$3:$W$35,2,FALSE),'COM Techs T15'!$G$3:$U$3,0))</f>
        <v/>
      </c>
      <c r="BV17" s="11" t="str">
        <f ca="1">OFFSET('COM Techs T15'!$AO17,0,MATCH(VLOOKUP('COM Veda input'!BV$3,'RES Assumptions T15'!$V$3:$W$35,2,FALSE),'COM Techs T15'!$G$3:$U$3,0))</f>
        <v/>
      </c>
      <c r="BW17" s="11">
        <f ca="1">OFFSET('COM Techs T15'!$AO17,0,MATCH(VLOOKUP('COM Veda input'!BW$3,'RES Assumptions T15'!$V$3:$W$35,2,FALSE),'COM Techs T15'!$G$3:$U$3,0))</f>
        <v>4.2</v>
      </c>
      <c r="BX17" s="11" t="str">
        <f ca="1">OFFSET('COM Techs T15'!$AO17,0,MATCH(VLOOKUP('COM Veda input'!BX$3,'RES Assumptions T15'!$V$3:$W$35,2,FALSE),'COM Techs T15'!$G$3:$U$3,0))</f>
        <v/>
      </c>
      <c r="BY17" s="11">
        <f ca="1">OFFSET('COM Techs T15'!$AO17,0,MATCH(VLOOKUP('COM Veda input'!BY$3,'RES Assumptions T15'!$V$3:$W$35,2,FALSE),'COM Techs T15'!$G$3:$U$3,0))</f>
        <v>6</v>
      </c>
      <c r="BZ17" s="11">
        <f ca="1">OFFSET('COM Techs T15'!$AO17,0,MATCH(VLOOKUP('COM Veda input'!BZ$3,'RES Assumptions T15'!$V$3:$W$35,2,FALSE),'COM Techs T15'!$G$3:$U$3,0))</f>
        <v>3.6</v>
      </c>
      <c r="CA17" s="11" t="str">
        <f ca="1">OFFSET('COM Techs T15'!$AO17,0,MATCH(VLOOKUP('COM Veda input'!CA$3,'RES Assumptions T15'!$V$3:$W$35,2,FALSE),'COM Techs T15'!$G$3:$U$3,0))</f>
        <v/>
      </c>
      <c r="CB17" s="11">
        <f ca="1">OFFSET('COM Techs T15'!$AO17,0,MATCH(VLOOKUP('COM Veda input'!CB$3,'RES Assumptions T15'!$V$3:$W$35,2,FALSE),'COM Techs T15'!$G$3:$U$3,0))</f>
        <v>4.2</v>
      </c>
      <c r="CC17" s="11" t="str">
        <f ca="1">OFFSET('COM Techs T15'!$AO17,0,MATCH(VLOOKUP('COM Veda input'!CC$3,'RES Assumptions T15'!$V$3:$W$35,2,FALSE),'COM Techs T15'!$G$3:$U$3,0))</f>
        <v/>
      </c>
      <c r="CD17" s="11" t="str">
        <f ca="1">OFFSET('COM Techs T15'!$AO17,0,MATCH(VLOOKUP('COM Veda input'!CD$3,'RES Assumptions T15'!$V$3:$W$35,2,FALSE),'COM Techs T15'!$G$3:$U$3,0))</f>
        <v/>
      </c>
      <c r="CE17" s="11" t="str">
        <f ca="1">OFFSET('COM Techs T15'!$AO17,0,MATCH(VLOOKUP('COM Veda input'!CE$3,'RES Assumptions T15'!$V$3:$W$35,2,FALSE),'COM Techs T15'!$G$3:$U$3,0))</f>
        <v/>
      </c>
      <c r="CF17" s="11" t="str">
        <f ca="1">OFFSET('COM Techs T15'!$AO17,0,MATCH(VLOOKUP('COM Veda input'!CF$3,'RES Assumptions T15'!$V$3:$W$35,2,FALSE),'COM Techs T15'!$G$3:$U$3,0))</f>
        <v/>
      </c>
      <c r="CG17" s="11" t="str">
        <f ca="1">OFFSET('COM Techs T15'!$AO17,0,MATCH(VLOOKUP('COM Veda input'!CG$3,'RES Assumptions T15'!$V$3:$W$35,2,FALSE),'COM Techs T15'!$G$3:$U$3,0))</f>
        <v/>
      </c>
      <c r="CH17" s="11" t="str">
        <f ca="1">OFFSET('COM Techs T15'!$AO17,0,MATCH(VLOOKUP('COM Veda input'!CH$3,'RES Assumptions T15'!$V$3:$W$35,2,FALSE),'COM Techs T15'!$G$3:$U$3,0))</f>
        <v/>
      </c>
      <c r="CI17" s="11" t="str">
        <f ca="1">OFFSET('COM Techs T15'!$AO17,0,MATCH(VLOOKUP('COM Veda input'!CI$3,'RES Assumptions T15'!$V$3:$W$35,2,FALSE),'COM Techs T15'!$G$3:$U$3,0))</f>
        <v/>
      </c>
      <c r="CJ17" s="11" t="str">
        <f ca="1">OFFSET('COM Techs T15'!$AO17,0,MATCH(VLOOKUP('COM Veda input'!CJ$3,'RES Assumptions T15'!$V$3:$W$35,2,FALSE),'COM Techs T15'!$G$3:$U$3,0))</f>
        <v/>
      </c>
      <c r="CK17" s="11">
        <f ca="1">OFFSET('COM Techs T15'!$AO17,0,MATCH(VLOOKUP('COM Veda input'!CK$3,'RES Assumptions T15'!$V$3:$W$35,2,FALSE),'COM Techs T15'!$G$3:$U$3,0))</f>
        <v>4.2</v>
      </c>
      <c r="CL17" s="11" t="str">
        <f ca="1">OFFSET('COM Techs T15'!$AO17,0,MATCH(VLOOKUP('COM Veda input'!CL$3,'RES Assumptions T15'!$V$3:$W$35,2,FALSE),'COM Techs T15'!$G$3:$U$3,0))</f>
        <v/>
      </c>
      <c r="CM17" s="11" t="str">
        <f ca="1">OFFSET('COM Techs T15'!$AO17,0,MATCH(VLOOKUP('COM Veda input'!CM$3,'RES Assumptions T15'!$V$3:$W$35,2,FALSE),'COM Techs T15'!$G$3:$U$3,0))</f>
        <v/>
      </c>
      <c r="CN17" s="11">
        <f ca="1">OFFSET('COM Techs T15'!$AO17,0,MATCH(VLOOKUP('COM Veda input'!CN$3,'RES Assumptions T15'!$V$3:$W$35,2,FALSE),'COM Techs T15'!$G$3:$U$3,0))</f>
        <v>3.6</v>
      </c>
      <c r="CO17" s="11">
        <f ca="1">OFFSET('COM Techs T15'!$AO17,0,MATCH(VLOOKUP('COM Veda input'!CO$3,'RES Assumptions T15'!$V$3:$W$35,2,FALSE),'COM Techs T15'!$G$3:$U$3,0))</f>
        <v>4.2</v>
      </c>
      <c r="CP17" s="11">
        <f ca="1">OFFSET('COM Techs T15'!$AO17,0,MATCH(VLOOKUP('COM Veda input'!CP$3,'RES Assumptions T15'!$V$3:$W$35,2,FALSE),'COM Techs T15'!$G$3:$U$3,0))</f>
        <v>4.8</v>
      </c>
      <c r="CQ17" s="11">
        <f ca="1">OFFSET('COM Techs T15'!$AO17,0,MATCH(VLOOKUP('COM Veda input'!CQ$3,'RES Assumptions T15'!$V$3:$W$35,2,FALSE),'COM Techs T15'!$G$3:$U$3,0))</f>
        <v>4.2</v>
      </c>
      <c r="CR17" s="11" t="str">
        <f ca="1">OFFSET('COM Techs T15'!$AO17,0,MATCH(VLOOKUP('COM Veda input'!CR$3,'RES Assumptions T15'!$V$3:$W$35,2,FALSE),'COM Techs T15'!$G$3:$U$3,0))</f>
        <v/>
      </c>
      <c r="CS17" s="11" t="str">
        <f ca="1">OFFSET('COM Techs T15'!$AO17,0,MATCH(VLOOKUP('COM Veda input'!CS$3,'RES Assumptions T15'!$V$3:$W$35,2,FALSE),'COM Techs T15'!$G$3:$U$3,0))</f>
        <v/>
      </c>
      <c r="CT17" s="11">
        <f ca="1">OFFSET('COM Techs T15'!$AO17,0,MATCH(VLOOKUP('COM Veda input'!CT$3,'RES Assumptions T15'!$V$3:$W$35,2,FALSE),'COM Techs T15'!$G$3:$U$3,0))</f>
        <v>4.2</v>
      </c>
      <c r="CU17" s="11" t="str">
        <f ca="1">OFFSET('COM Techs T15'!$AO17,0,MATCH(VLOOKUP('COM Veda input'!CU$3,'RES Assumptions T15'!$V$3:$W$35,2,FALSE),'COM Techs T15'!$G$3:$U$3,0))</f>
        <v/>
      </c>
      <c r="CV17" s="11" t="str">
        <f ca="1">OFFSET('COM Techs T15'!$AO17,0,MATCH(VLOOKUP('COM Veda input'!CV$3,'RES Assumptions T15'!$V$3:$W$35,2,FALSE),'COM Techs T15'!$G$3:$U$3,0))</f>
        <v/>
      </c>
      <c r="CW17" s="11" t="str">
        <f ca="1">OFFSET('COM Techs T15'!$AO17,0,MATCH(VLOOKUP('COM Veda input'!CW$3,'RES Assumptions T15'!$V$3:$W$35,2,FALSE),'COM Techs T15'!$G$3:$U$3,0))</f>
        <v/>
      </c>
      <c r="CX17" s="11" t="str">
        <f ca="1">OFFSET('COM Techs T15'!$AO17,0,MATCH(VLOOKUP('COM Veda input'!CX$3,'RES Assumptions T15'!$V$3:$W$35,2,FALSE),'COM Techs T15'!$G$3:$U$3,0))</f>
        <v/>
      </c>
      <c r="CZ17" s="8" t="str">
        <f t="shared" si="22"/>
        <v>CCKNGA000</v>
      </c>
      <c r="DA17" s="10">
        <f ca="1">'COM Assumptions'!E94*G17/'COM Veda input'!AM17</f>
        <v>8.2131364729259992</v>
      </c>
      <c r="DB17" s="10">
        <f ca="1">'COM Assumptions'!F94*H17/'COM Veda input'!AN17</f>
        <v>2.5826150196000004E-2</v>
      </c>
      <c r="DC17" s="10">
        <f ca="1">'COM Assumptions'!G94*I17/'COM Veda input'!AO17</f>
        <v>22.031050456799999</v>
      </c>
      <c r="DD17" s="10">
        <f ca="1">'COM Assumptions'!H94*J17/'COM Veda input'!AP17</f>
        <v>41.108653726687805</v>
      </c>
      <c r="DE17" s="10">
        <f ca="1">'COM Assumptions'!I94*K17/'COM Veda input'!AQ17</f>
        <v>130.67407846104481</v>
      </c>
      <c r="DF17" s="10">
        <f ca="1">'COM Assumptions'!J94*L17/'COM Veda input'!AR17</f>
        <v>16.622344809179999</v>
      </c>
      <c r="DG17" s="10">
        <f ca="1">'COM Assumptions'!K94*M17/'COM Veda input'!AS17</f>
        <v>3.3984790254360004</v>
      </c>
      <c r="DH17" s="10">
        <f ca="1">'COM Assumptions'!L94*N17/'COM Veda input'!AT17</f>
        <v>2.3700497810220003</v>
      </c>
      <c r="DI17" s="10">
        <f ca="1">'COM Assumptions'!M94*O17/'COM Veda input'!AU17</f>
        <v>32.592873500946006</v>
      </c>
      <c r="DJ17" s="10">
        <f ca="1">'COM Assumptions'!N94*P17/'COM Veda input'!AV17</f>
        <v>161.09949155840101</v>
      </c>
      <c r="DK17" s="10">
        <f ca="1">'COM Assumptions'!O94*Q17/'COM Veda input'!AW17</f>
        <v>1.6141479734160002</v>
      </c>
      <c r="DL17" s="10">
        <f ca="1">'COM Assumptions'!P94*R17/'COM Veda input'!AX17</f>
        <v>15.937795219638602</v>
      </c>
      <c r="DM17" s="10">
        <f ca="1">'COM Assumptions'!Q94*S17/'COM Veda input'!AY17</f>
        <v>24.261910888248003</v>
      </c>
      <c r="DN17" s="10">
        <f ca="1">'COM Assumptions'!R94*T17/'COM Veda input'!AZ17</f>
        <v>33.531664445928001</v>
      </c>
      <c r="DO17" s="10">
        <f ca="1">'COM Assumptions'!S94*U17/'COM Veda input'!BA17</f>
        <v>9.6605502274908002</v>
      </c>
      <c r="DP17" s="10">
        <f ca="1">'COM Assumptions'!T94*V17/'COM Veda input'!BB17</f>
        <v>10.341178412004002</v>
      </c>
      <c r="DQ17" s="10">
        <f ca="1">'COM Assumptions'!U94*W17/'COM Veda input'!BC17</f>
        <v>101.9835335605086</v>
      </c>
      <c r="DR17" s="10">
        <f ca="1">'COM Assumptions'!V94*X17/'COM Veda input'!BD17</f>
        <v>28.127932256160001</v>
      </c>
      <c r="DS17" s="10">
        <f ca="1">'COM Assumptions'!W94*Y17/'COM Veda input'!BE17</f>
        <v>45.458430868224006</v>
      </c>
      <c r="DT17" s="10">
        <f ca="1">'COM Assumptions'!X94*Z17/'COM Veda input'!BF17</f>
        <v>37.458825633305999</v>
      </c>
      <c r="DU17" s="10">
        <f ca="1">'COM Assumptions'!Y94*AA17/'COM Veda input'!BG17</f>
        <v>13.976015737067998</v>
      </c>
      <c r="DV17" s="10">
        <f ca="1">'COM Assumptions'!Z94*AB17/'COM Veda input'!BH17</f>
        <v>3.7983332467080002</v>
      </c>
      <c r="DW17" s="10">
        <f ca="1">'COM Assumptions'!AA94*AC17/'COM Veda input'!BI17</f>
        <v>234.97801313928483</v>
      </c>
      <c r="DX17" s="10">
        <f ca="1">'COM Assumptions'!AB94*AD17/'COM Veda input'!BJ17</f>
        <v>0.31901561247600002</v>
      </c>
      <c r="DY17" s="10">
        <f ca="1">'COM Assumptions'!AC94*AE17/'COM Veda input'!BK17</f>
        <v>24.669804665682005</v>
      </c>
      <c r="DZ17" s="10">
        <f ca="1">'COM Assumptions'!AD94*AF17/'COM Veda input'!BL17</f>
        <v>0</v>
      </c>
      <c r="EA17" s="10">
        <f ca="1">'COM Assumptions'!AE94*AG17/'COM Veda input'!BM17</f>
        <v>0.42758059251599995</v>
      </c>
      <c r="EB17" s="10">
        <f ca="1">'COM Assumptions'!AF94*AH17/'COM Veda input'!BN17</f>
        <v>29.374872874380003</v>
      </c>
      <c r="EC17" s="10">
        <f ca="1">'COM Assumptions'!AG94*AI17/'COM Veda input'!BO17</f>
        <v>190.61431357141802</v>
      </c>
      <c r="ED17" s="10">
        <f ca="1">'COM Assumptions'!AH94*AJ17/'COM Veda input'!BP17</f>
        <v>0</v>
      </c>
      <c r="EE17" s="8">
        <v>15</v>
      </c>
      <c r="EI17" s="8" t="str">
        <f t="shared" si="23"/>
        <v>CCKNGA000</v>
      </c>
      <c r="EK17" t="s">
        <v>282</v>
      </c>
      <c r="EL17" t="s">
        <v>283</v>
      </c>
    </row>
    <row r="18" spans="1:142" x14ac:dyDescent="0.45">
      <c r="A18" s="37" t="str">
        <f>'COM Assumptions'!B95</f>
        <v>CCK</v>
      </c>
      <c r="B18" s="37" t="s">
        <v>376</v>
      </c>
      <c r="D18" t="s">
        <v>376</v>
      </c>
      <c r="E18" s="8" t="str">
        <f>'COM Assumptions'!A95</f>
        <v>COMSTH</v>
      </c>
      <c r="F18" t="str">
        <f>VLOOKUP('COM Assumptions'!B95,'COM Assumptions'!$AP$81:$AQ$88,2,FALSE)</f>
        <v>CCK</v>
      </c>
      <c r="G18" s="11">
        <f ca="1">OFFSET('COM Techs T15'!$F18,0,MATCH(VLOOKUP('COM Veda input'!G$3,'RES Assumptions T15'!$V$3:$W$35,2,FALSE),'COM Techs T15'!$G$3:$U$3,0))</f>
        <v>1</v>
      </c>
      <c r="H18" s="11">
        <f ca="1">OFFSET('COM Techs T15'!$F18,0,MATCH(VLOOKUP('COM Veda input'!H$3,'RES Assumptions T15'!$V$3:$W$35,2,FALSE),'COM Techs T15'!$G$3:$U$3,0))</f>
        <v>1</v>
      </c>
      <c r="I18" s="11">
        <f ca="1">OFFSET('COM Techs T15'!$F18,0,MATCH(VLOOKUP('COM Veda input'!I$3,'RES Assumptions T15'!$V$3:$W$35,2,FALSE),'COM Techs T15'!$G$3:$U$3,0))</f>
        <v>1</v>
      </c>
      <c r="J18" s="11">
        <f ca="1">OFFSET('COM Techs T15'!$F18,0,MATCH(VLOOKUP('COM Veda input'!J$3,'RES Assumptions T15'!$V$3:$W$35,2,FALSE),'COM Techs T15'!$G$3:$U$3,0))</f>
        <v>1</v>
      </c>
      <c r="K18" s="11">
        <f ca="1">OFFSET('COM Techs T15'!$F18,0,MATCH(VLOOKUP('COM Veda input'!K$3,'RES Assumptions T15'!$V$3:$W$35,2,FALSE),'COM Techs T15'!$G$3:$U$3,0))</f>
        <v>1</v>
      </c>
      <c r="L18" s="11">
        <f ca="1">OFFSET('COM Techs T15'!$F18,0,MATCH(VLOOKUP('COM Veda input'!L$3,'RES Assumptions T15'!$V$3:$W$35,2,FALSE),'COM Techs T15'!$G$3:$U$3,0))</f>
        <v>1</v>
      </c>
      <c r="M18" s="11">
        <f ca="1">OFFSET('COM Techs T15'!$F18,0,MATCH(VLOOKUP('COM Veda input'!M$3,'RES Assumptions T15'!$V$3:$W$35,2,FALSE),'COM Techs T15'!$G$3:$U$3,0))</f>
        <v>1</v>
      </c>
      <c r="N18" s="11">
        <f ca="1">OFFSET('COM Techs T15'!$F18,0,MATCH(VLOOKUP('COM Veda input'!N$3,'RES Assumptions T15'!$V$3:$W$35,2,FALSE),'COM Techs T15'!$G$3:$U$3,0))</f>
        <v>1</v>
      </c>
      <c r="O18" s="11">
        <f ca="1">OFFSET('COM Techs T15'!$F18,0,MATCH(VLOOKUP('COM Veda input'!O$3,'RES Assumptions T15'!$V$3:$W$35,2,FALSE),'COM Techs T15'!$G$3:$U$3,0))</f>
        <v>1</v>
      </c>
      <c r="P18" s="11">
        <f ca="1">OFFSET('COM Techs T15'!$F18,0,MATCH(VLOOKUP('COM Veda input'!P$3,'RES Assumptions T15'!$V$3:$W$35,2,FALSE),'COM Techs T15'!$G$3:$U$3,0))</f>
        <v>1</v>
      </c>
      <c r="Q18" s="11">
        <f ca="1">OFFSET('COM Techs T15'!$F18,0,MATCH(VLOOKUP('COM Veda input'!Q$3,'RES Assumptions T15'!$V$3:$W$35,2,FALSE),'COM Techs T15'!$G$3:$U$3,0))</f>
        <v>1</v>
      </c>
      <c r="R18" s="11">
        <f ca="1">OFFSET('COM Techs T15'!$F18,0,MATCH(VLOOKUP('COM Veda input'!R$3,'RES Assumptions T15'!$V$3:$W$35,2,FALSE),'COM Techs T15'!$G$3:$U$3,0))</f>
        <v>1</v>
      </c>
      <c r="S18" s="11">
        <f ca="1">OFFSET('COM Techs T15'!$F18,0,MATCH(VLOOKUP('COM Veda input'!S$3,'RES Assumptions T15'!$V$3:$W$35,2,FALSE),'COM Techs T15'!$G$3:$U$3,0))</f>
        <v>1</v>
      </c>
      <c r="T18" s="11">
        <f ca="1">OFFSET('COM Techs T15'!$F18,0,MATCH(VLOOKUP('COM Veda input'!T$3,'RES Assumptions T15'!$V$3:$W$35,2,FALSE),'COM Techs T15'!$G$3:$U$3,0))</f>
        <v>1</v>
      </c>
      <c r="U18" s="11">
        <f ca="1">OFFSET('COM Techs T15'!$F18,0,MATCH(VLOOKUP('COM Veda input'!U$3,'RES Assumptions T15'!$V$3:$W$35,2,FALSE),'COM Techs T15'!$G$3:$U$3,0))</f>
        <v>1</v>
      </c>
      <c r="V18" s="11">
        <f ca="1">OFFSET('COM Techs T15'!$F18,0,MATCH(VLOOKUP('COM Veda input'!V$3,'RES Assumptions T15'!$V$3:$W$35,2,FALSE),'COM Techs T15'!$G$3:$U$3,0))</f>
        <v>1</v>
      </c>
      <c r="W18" s="11">
        <f ca="1">OFFSET('COM Techs T15'!$F18,0,MATCH(VLOOKUP('COM Veda input'!W$3,'RES Assumptions T15'!$V$3:$W$35,2,FALSE),'COM Techs T15'!$G$3:$U$3,0))</f>
        <v>1</v>
      </c>
      <c r="X18" s="11">
        <f ca="1">OFFSET('COM Techs T15'!$F18,0,MATCH(VLOOKUP('COM Veda input'!X$3,'RES Assumptions T15'!$V$3:$W$35,2,FALSE),'COM Techs T15'!$G$3:$U$3,0))</f>
        <v>1</v>
      </c>
      <c r="Y18" s="11">
        <f ca="1">OFFSET('COM Techs T15'!$F18,0,MATCH(VLOOKUP('COM Veda input'!Y$3,'RES Assumptions T15'!$V$3:$W$35,2,FALSE),'COM Techs T15'!$G$3:$U$3,0))</f>
        <v>1</v>
      </c>
      <c r="Z18" s="11">
        <f ca="1">OFFSET('COM Techs T15'!$F18,0,MATCH(VLOOKUP('COM Veda input'!Z$3,'RES Assumptions T15'!$V$3:$W$35,2,FALSE),'COM Techs T15'!$G$3:$U$3,0))</f>
        <v>1</v>
      </c>
      <c r="AA18" s="11">
        <f ca="1">OFFSET('COM Techs T15'!$F18,0,MATCH(VLOOKUP('COM Veda input'!AA$3,'RES Assumptions T15'!$V$3:$W$35,2,FALSE),'COM Techs T15'!$G$3:$U$3,0))</f>
        <v>1</v>
      </c>
      <c r="AB18" s="11">
        <f ca="1">OFFSET('COM Techs T15'!$F18,0,MATCH(VLOOKUP('COM Veda input'!AB$3,'RES Assumptions T15'!$V$3:$W$35,2,FALSE),'COM Techs T15'!$G$3:$U$3,0))</f>
        <v>1</v>
      </c>
      <c r="AC18" s="11">
        <f ca="1">OFFSET('COM Techs T15'!$F18,0,MATCH(VLOOKUP('COM Veda input'!AC$3,'RES Assumptions T15'!$V$3:$W$35,2,FALSE),'COM Techs T15'!$G$3:$U$3,0))</f>
        <v>1</v>
      </c>
      <c r="AD18" s="11">
        <f ca="1">OFFSET('COM Techs T15'!$F18,0,MATCH(VLOOKUP('COM Veda input'!AD$3,'RES Assumptions T15'!$V$3:$W$35,2,FALSE),'COM Techs T15'!$G$3:$U$3,0))</f>
        <v>1</v>
      </c>
      <c r="AE18" s="11">
        <f ca="1">OFFSET('COM Techs T15'!$F18,0,MATCH(VLOOKUP('COM Veda input'!AE$3,'RES Assumptions T15'!$V$3:$W$35,2,FALSE),'COM Techs T15'!$G$3:$U$3,0))</f>
        <v>1</v>
      </c>
      <c r="AF18" s="11">
        <f ca="1">OFFSET('COM Techs T15'!$F18,0,MATCH(VLOOKUP('COM Veda input'!AF$3,'RES Assumptions T15'!$V$3:$W$35,2,FALSE),'COM Techs T15'!$G$3:$U$3,0))</f>
        <v>1</v>
      </c>
      <c r="AG18" s="11">
        <f ca="1">OFFSET('COM Techs T15'!$F18,0,MATCH(VLOOKUP('COM Veda input'!AG$3,'RES Assumptions T15'!$V$3:$W$35,2,FALSE),'COM Techs T15'!$G$3:$U$3,0))</f>
        <v>1</v>
      </c>
      <c r="AH18" s="11">
        <f ca="1">OFFSET('COM Techs T15'!$F18,0,MATCH(VLOOKUP('COM Veda input'!AH$3,'RES Assumptions T15'!$V$3:$W$35,2,FALSE),'COM Techs T15'!$G$3:$U$3,0))</f>
        <v>1</v>
      </c>
      <c r="AI18" s="11">
        <f ca="1">OFFSET('COM Techs T15'!$F18,0,MATCH(VLOOKUP('COM Veda input'!AI$3,'RES Assumptions T15'!$V$3:$W$35,2,FALSE),'COM Techs T15'!$G$3:$U$3,0))</f>
        <v>1</v>
      </c>
      <c r="AJ18" s="11">
        <f ca="1">OFFSET('COM Techs T15'!$F18,0,MATCH(VLOOKUP('COM Veda input'!AJ$3,'RES Assumptions T15'!$V$3:$W$35,2,FALSE),'COM Techs T15'!$G$3:$U$3,0))</f>
        <v>1</v>
      </c>
      <c r="AL18" s="8" t="str">
        <f t="shared" si="19"/>
        <v>CCKSTH000</v>
      </c>
      <c r="AM18" s="11">
        <f ca="1">OFFSET('COM Techs T15'!$W18,0,MATCH(VLOOKUP('COM Veda input'!AM$3,'RES Assumptions T15'!$V$3:$W$35,2,FALSE),'COM Techs T15'!$G$3:$U$3,0))</f>
        <v>1</v>
      </c>
      <c r="AN18" s="11">
        <f ca="1">OFFSET('COM Techs T15'!$W18,0,MATCH(VLOOKUP('COM Veda input'!AN$3,'RES Assumptions T15'!$V$3:$W$35,2,FALSE),'COM Techs T15'!$G$3:$U$3,0))</f>
        <v>1</v>
      </c>
      <c r="AO18" s="11">
        <f ca="1">OFFSET('COM Techs T15'!$W18,0,MATCH(VLOOKUP('COM Veda input'!AO$3,'RES Assumptions T15'!$V$3:$W$35,2,FALSE),'COM Techs T15'!$G$3:$U$3,0))</f>
        <v>1</v>
      </c>
      <c r="AP18" s="11">
        <f ca="1">OFFSET('COM Techs T15'!$W18,0,MATCH(VLOOKUP('COM Veda input'!AP$3,'RES Assumptions T15'!$V$3:$W$35,2,FALSE),'COM Techs T15'!$G$3:$U$3,0))</f>
        <v>1</v>
      </c>
      <c r="AQ18" s="11">
        <f ca="1">OFFSET('COM Techs T15'!$W18,0,MATCH(VLOOKUP('COM Veda input'!AQ$3,'RES Assumptions T15'!$V$3:$W$35,2,FALSE),'COM Techs T15'!$G$3:$U$3,0))</f>
        <v>1</v>
      </c>
      <c r="AR18" s="11">
        <f ca="1">OFFSET('COM Techs T15'!$W18,0,MATCH(VLOOKUP('COM Veda input'!AR$3,'RES Assumptions T15'!$V$3:$W$35,2,FALSE),'COM Techs T15'!$G$3:$U$3,0))</f>
        <v>1</v>
      </c>
      <c r="AS18" s="11">
        <f ca="1">OFFSET('COM Techs T15'!$W18,0,MATCH(VLOOKUP('COM Veda input'!AS$3,'RES Assumptions T15'!$V$3:$W$35,2,FALSE),'COM Techs T15'!$G$3:$U$3,0))</f>
        <v>1</v>
      </c>
      <c r="AT18" s="11">
        <f ca="1">OFFSET('COM Techs T15'!$W18,0,MATCH(VLOOKUP('COM Veda input'!AT$3,'RES Assumptions T15'!$V$3:$W$35,2,FALSE),'COM Techs T15'!$G$3:$U$3,0))</f>
        <v>1</v>
      </c>
      <c r="AU18" s="11">
        <f ca="1">OFFSET('COM Techs T15'!$W18,0,MATCH(VLOOKUP('COM Veda input'!AU$3,'RES Assumptions T15'!$V$3:$W$35,2,FALSE),'COM Techs T15'!$G$3:$U$3,0))</f>
        <v>1</v>
      </c>
      <c r="AV18" s="11">
        <f ca="1">OFFSET('COM Techs T15'!$W18,0,MATCH(VLOOKUP('COM Veda input'!AV$3,'RES Assumptions T15'!$V$3:$W$35,2,FALSE),'COM Techs T15'!$G$3:$U$3,0))</f>
        <v>1</v>
      </c>
      <c r="AW18" s="11">
        <f ca="1">OFFSET('COM Techs T15'!$W18,0,MATCH(VLOOKUP('COM Veda input'!AW$3,'RES Assumptions T15'!$V$3:$W$35,2,FALSE),'COM Techs T15'!$G$3:$U$3,0))</f>
        <v>1</v>
      </c>
      <c r="AX18" s="11">
        <f ca="1">OFFSET('COM Techs T15'!$W18,0,MATCH(VLOOKUP('COM Veda input'!AX$3,'RES Assumptions T15'!$V$3:$W$35,2,FALSE),'COM Techs T15'!$G$3:$U$3,0))</f>
        <v>1</v>
      </c>
      <c r="AY18" s="11">
        <f ca="1">OFFSET('COM Techs T15'!$W18,0,MATCH(VLOOKUP('COM Veda input'!AY$3,'RES Assumptions T15'!$V$3:$W$35,2,FALSE),'COM Techs T15'!$G$3:$U$3,0))</f>
        <v>1</v>
      </c>
      <c r="AZ18" s="11">
        <f ca="1">OFFSET('COM Techs T15'!$W18,0,MATCH(VLOOKUP('COM Veda input'!AZ$3,'RES Assumptions T15'!$V$3:$W$35,2,FALSE),'COM Techs T15'!$G$3:$U$3,0))</f>
        <v>1</v>
      </c>
      <c r="BA18" s="11">
        <f ca="1">OFFSET('COM Techs T15'!$W18,0,MATCH(VLOOKUP('COM Veda input'!BA$3,'RES Assumptions T15'!$V$3:$W$35,2,FALSE),'COM Techs T15'!$G$3:$U$3,0))</f>
        <v>1</v>
      </c>
      <c r="BB18" s="11">
        <f ca="1">OFFSET('COM Techs T15'!$W18,0,MATCH(VLOOKUP('COM Veda input'!BB$3,'RES Assumptions T15'!$V$3:$W$35,2,FALSE),'COM Techs T15'!$G$3:$U$3,0))</f>
        <v>1</v>
      </c>
      <c r="BC18" s="11">
        <f ca="1">OFFSET('COM Techs T15'!$W18,0,MATCH(VLOOKUP('COM Veda input'!BC$3,'RES Assumptions T15'!$V$3:$W$35,2,FALSE),'COM Techs T15'!$G$3:$U$3,0))</f>
        <v>1</v>
      </c>
      <c r="BD18" s="11">
        <f ca="1">OFFSET('COM Techs T15'!$W18,0,MATCH(VLOOKUP('COM Veda input'!BD$3,'RES Assumptions T15'!$V$3:$W$35,2,FALSE),'COM Techs T15'!$G$3:$U$3,0))</f>
        <v>1</v>
      </c>
      <c r="BE18" s="11">
        <f ca="1">OFFSET('COM Techs T15'!$W18,0,MATCH(VLOOKUP('COM Veda input'!BE$3,'RES Assumptions T15'!$V$3:$W$35,2,FALSE),'COM Techs T15'!$G$3:$U$3,0))</f>
        <v>1</v>
      </c>
      <c r="BF18" s="11">
        <f ca="1">OFFSET('COM Techs T15'!$W18,0,MATCH(VLOOKUP('COM Veda input'!BF$3,'RES Assumptions T15'!$V$3:$W$35,2,FALSE),'COM Techs T15'!$G$3:$U$3,0))</f>
        <v>1</v>
      </c>
      <c r="BG18" s="11">
        <f ca="1">OFFSET('COM Techs T15'!$W18,0,MATCH(VLOOKUP('COM Veda input'!BG$3,'RES Assumptions T15'!$V$3:$W$35,2,FALSE),'COM Techs T15'!$G$3:$U$3,0))</f>
        <v>1</v>
      </c>
      <c r="BH18" s="11">
        <f ca="1">OFFSET('COM Techs T15'!$W18,0,MATCH(VLOOKUP('COM Veda input'!BH$3,'RES Assumptions T15'!$V$3:$W$35,2,FALSE),'COM Techs T15'!$G$3:$U$3,0))</f>
        <v>1</v>
      </c>
      <c r="BI18" s="11">
        <f ca="1">OFFSET('COM Techs T15'!$W18,0,MATCH(VLOOKUP('COM Veda input'!BI$3,'RES Assumptions T15'!$V$3:$W$35,2,FALSE),'COM Techs T15'!$G$3:$U$3,0))</f>
        <v>1</v>
      </c>
      <c r="BJ18" s="11">
        <f ca="1">OFFSET('COM Techs T15'!$W18,0,MATCH(VLOOKUP('COM Veda input'!BJ$3,'RES Assumptions T15'!$V$3:$W$35,2,FALSE),'COM Techs T15'!$G$3:$U$3,0))</f>
        <v>1</v>
      </c>
      <c r="BK18" s="11">
        <f ca="1">OFFSET('COM Techs T15'!$W18,0,MATCH(VLOOKUP('COM Veda input'!BK$3,'RES Assumptions T15'!$V$3:$W$35,2,FALSE),'COM Techs T15'!$G$3:$U$3,0))</f>
        <v>1</v>
      </c>
      <c r="BL18" s="11">
        <f ca="1">OFFSET('COM Techs T15'!$W18,0,MATCH(VLOOKUP('COM Veda input'!BL$3,'RES Assumptions T15'!$V$3:$W$35,2,FALSE),'COM Techs T15'!$G$3:$U$3,0))</f>
        <v>1</v>
      </c>
      <c r="BM18" s="11">
        <f ca="1">OFFSET('COM Techs T15'!$W18,0,MATCH(VLOOKUP('COM Veda input'!BM$3,'RES Assumptions T15'!$V$3:$W$35,2,FALSE),'COM Techs T15'!$G$3:$U$3,0))</f>
        <v>1</v>
      </c>
      <c r="BN18" s="11">
        <f ca="1">OFFSET('COM Techs T15'!$W18,0,MATCH(VLOOKUP('COM Veda input'!BN$3,'RES Assumptions T15'!$V$3:$W$35,2,FALSE),'COM Techs T15'!$G$3:$U$3,0))</f>
        <v>1</v>
      </c>
      <c r="BO18" s="11">
        <f ca="1">OFFSET('COM Techs T15'!$W18,0,MATCH(VLOOKUP('COM Veda input'!BO$3,'RES Assumptions T15'!$V$3:$W$35,2,FALSE),'COM Techs T15'!$G$3:$U$3,0))</f>
        <v>1</v>
      </c>
      <c r="BP18" s="11">
        <f ca="1">OFFSET('COM Techs T15'!$W18,0,MATCH(VLOOKUP('COM Veda input'!BP$3,'RES Assumptions T15'!$V$3:$W$35,2,FALSE),'COM Techs T15'!$G$3:$U$3,0))</f>
        <v>1</v>
      </c>
      <c r="BQ18">
        <v>3</v>
      </c>
      <c r="BS18" s="8" t="str">
        <f t="shared" si="20"/>
        <v>CCKSTH000</v>
      </c>
      <c r="BT18" s="11">
        <f t="shared" ca="1" si="21"/>
        <v>0</v>
      </c>
      <c r="BU18" s="11" t="str">
        <f ca="1">OFFSET('COM Techs T15'!$AO18,0,MATCH(VLOOKUP('COM Veda input'!BU$3,'RES Assumptions T15'!$V$3:$W$35,2,FALSE),'COM Techs T15'!$G$3:$U$3,0))</f>
        <v/>
      </c>
      <c r="BV18" s="11" t="str">
        <f ca="1">OFFSET('COM Techs T15'!$AO18,0,MATCH(VLOOKUP('COM Veda input'!BV$3,'RES Assumptions T15'!$V$3:$W$35,2,FALSE),'COM Techs T15'!$G$3:$U$3,0))</f>
        <v/>
      </c>
      <c r="BW18" s="11" t="str">
        <f ca="1">OFFSET('COM Techs T15'!$AO18,0,MATCH(VLOOKUP('COM Veda input'!BW$3,'RES Assumptions T15'!$V$3:$W$35,2,FALSE),'COM Techs T15'!$G$3:$U$3,0))</f>
        <v/>
      </c>
      <c r="BX18" s="11" t="str">
        <f ca="1">OFFSET('COM Techs T15'!$AO18,0,MATCH(VLOOKUP('COM Veda input'!BX$3,'RES Assumptions T15'!$V$3:$W$35,2,FALSE),'COM Techs T15'!$G$3:$U$3,0))</f>
        <v/>
      </c>
      <c r="BY18" s="11" t="str">
        <f ca="1">OFFSET('COM Techs T15'!$AO18,0,MATCH(VLOOKUP('COM Veda input'!BY$3,'RES Assumptions T15'!$V$3:$W$35,2,FALSE),'COM Techs T15'!$G$3:$U$3,0))</f>
        <v/>
      </c>
      <c r="BZ18" s="11" t="str">
        <f ca="1">OFFSET('COM Techs T15'!$AO18,0,MATCH(VLOOKUP('COM Veda input'!BZ$3,'RES Assumptions T15'!$V$3:$W$35,2,FALSE),'COM Techs T15'!$G$3:$U$3,0))</f>
        <v/>
      </c>
      <c r="CA18" s="11" t="str">
        <f ca="1">OFFSET('COM Techs T15'!$AO18,0,MATCH(VLOOKUP('COM Veda input'!CA$3,'RES Assumptions T15'!$V$3:$W$35,2,FALSE),'COM Techs T15'!$G$3:$U$3,0))</f>
        <v/>
      </c>
      <c r="CB18" s="11" t="str">
        <f ca="1">OFFSET('COM Techs T15'!$AO18,0,MATCH(VLOOKUP('COM Veda input'!CB$3,'RES Assumptions T15'!$V$3:$W$35,2,FALSE),'COM Techs T15'!$G$3:$U$3,0))</f>
        <v/>
      </c>
      <c r="CC18" s="11" t="str">
        <f ca="1">OFFSET('COM Techs T15'!$AO18,0,MATCH(VLOOKUP('COM Veda input'!CC$3,'RES Assumptions T15'!$V$3:$W$35,2,FALSE),'COM Techs T15'!$G$3:$U$3,0))</f>
        <v/>
      </c>
      <c r="CD18" s="11" t="str">
        <f ca="1">OFFSET('COM Techs T15'!$AO18,0,MATCH(VLOOKUP('COM Veda input'!CD$3,'RES Assumptions T15'!$V$3:$W$35,2,FALSE),'COM Techs T15'!$G$3:$U$3,0))</f>
        <v/>
      </c>
      <c r="CE18" s="11" t="str">
        <f ca="1">OFFSET('COM Techs T15'!$AO18,0,MATCH(VLOOKUP('COM Veda input'!CE$3,'RES Assumptions T15'!$V$3:$W$35,2,FALSE),'COM Techs T15'!$G$3:$U$3,0))</f>
        <v/>
      </c>
      <c r="CF18" s="11" t="str">
        <f ca="1">OFFSET('COM Techs T15'!$AO18,0,MATCH(VLOOKUP('COM Veda input'!CF$3,'RES Assumptions T15'!$V$3:$W$35,2,FALSE),'COM Techs T15'!$G$3:$U$3,0))</f>
        <v/>
      </c>
      <c r="CG18" s="11" t="str">
        <f ca="1">OFFSET('COM Techs T15'!$AO18,0,MATCH(VLOOKUP('COM Veda input'!CG$3,'RES Assumptions T15'!$V$3:$W$35,2,FALSE),'COM Techs T15'!$G$3:$U$3,0))</f>
        <v/>
      </c>
      <c r="CH18" s="11" t="str">
        <f ca="1">OFFSET('COM Techs T15'!$AO18,0,MATCH(VLOOKUP('COM Veda input'!CH$3,'RES Assumptions T15'!$V$3:$W$35,2,FALSE),'COM Techs T15'!$G$3:$U$3,0))</f>
        <v/>
      </c>
      <c r="CI18" s="11" t="str">
        <f ca="1">OFFSET('COM Techs T15'!$AO18,0,MATCH(VLOOKUP('COM Veda input'!CI$3,'RES Assumptions T15'!$V$3:$W$35,2,FALSE),'COM Techs T15'!$G$3:$U$3,0))</f>
        <v/>
      </c>
      <c r="CJ18" s="11" t="str">
        <f ca="1">OFFSET('COM Techs T15'!$AO18,0,MATCH(VLOOKUP('COM Veda input'!CJ$3,'RES Assumptions T15'!$V$3:$W$35,2,FALSE),'COM Techs T15'!$G$3:$U$3,0))</f>
        <v/>
      </c>
      <c r="CK18" s="11" t="str">
        <f ca="1">OFFSET('COM Techs T15'!$AO18,0,MATCH(VLOOKUP('COM Veda input'!CK$3,'RES Assumptions T15'!$V$3:$W$35,2,FALSE),'COM Techs T15'!$G$3:$U$3,0))</f>
        <v/>
      </c>
      <c r="CL18" s="11" t="str">
        <f ca="1">OFFSET('COM Techs T15'!$AO18,0,MATCH(VLOOKUP('COM Veda input'!CL$3,'RES Assumptions T15'!$V$3:$W$35,2,FALSE),'COM Techs T15'!$G$3:$U$3,0))</f>
        <v/>
      </c>
      <c r="CM18" s="11" t="str">
        <f ca="1">OFFSET('COM Techs T15'!$AO18,0,MATCH(VLOOKUP('COM Veda input'!CM$3,'RES Assumptions T15'!$V$3:$W$35,2,FALSE),'COM Techs T15'!$G$3:$U$3,0))</f>
        <v/>
      </c>
      <c r="CN18" s="11" t="str">
        <f ca="1">OFFSET('COM Techs T15'!$AO18,0,MATCH(VLOOKUP('COM Veda input'!CN$3,'RES Assumptions T15'!$V$3:$W$35,2,FALSE),'COM Techs T15'!$G$3:$U$3,0))</f>
        <v/>
      </c>
      <c r="CO18" s="11" t="str">
        <f ca="1">OFFSET('COM Techs T15'!$AO18,0,MATCH(VLOOKUP('COM Veda input'!CO$3,'RES Assumptions T15'!$V$3:$W$35,2,FALSE),'COM Techs T15'!$G$3:$U$3,0))</f>
        <v/>
      </c>
      <c r="CP18" s="11" t="str">
        <f ca="1">OFFSET('COM Techs T15'!$AO18,0,MATCH(VLOOKUP('COM Veda input'!CP$3,'RES Assumptions T15'!$V$3:$W$35,2,FALSE),'COM Techs T15'!$G$3:$U$3,0))</f>
        <v/>
      </c>
      <c r="CQ18" s="11" t="str">
        <f ca="1">OFFSET('COM Techs T15'!$AO18,0,MATCH(VLOOKUP('COM Veda input'!CQ$3,'RES Assumptions T15'!$V$3:$W$35,2,FALSE),'COM Techs T15'!$G$3:$U$3,0))</f>
        <v/>
      </c>
      <c r="CR18" s="11" t="str">
        <f ca="1">OFFSET('COM Techs T15'!$AO18,0,MATCH(VLOOKUP('COM Veda input'!CR$3,'RES Assumptions T15'!$V$3:$W$35,2,FALSE),'COM Techs T15'!$G$3:$U$3,0))</f>
        <v/>
      </c>
      <c r="CS18" s="11" t="str">
        <f ca="1">OFFSET('COM Techs T15'!$AO18,0,MATCH(VLOOKUP('COM Veda input'!CS$3,'RES Assumptions T15'!$V$3:$W$35,2,FALSE),'COM Techs T15'!$G$3:$U$3,0))</f>
        <v/>
      </c>
      <c r="CT18" s="11" t="str">
        <f ca="1">OFFSET('COM Techs T15'!$AO18,0,MATCH(VLOOKUP('COM Veda input'!CT$3,'RES Assumptions T15'!$V$3:$W$35,2,FALSE),'COM Techs T15'!$G$3:$U$3,0))</f>
        <v/>
      </c>
      <c r="CU18" s="11" t="str">
        <f ca="1">OFFSET('COM Techs T15'!$AO18,0,MATCH(VLOOKUP('COM Veda input'!CU$3,'RES Assumptions T15'!$V$3:$W$35,2,FALSE),'COM Techs T15'!$G$3:$U$3,0))</f>
        <v/>
      </c>
      <c r="CV18" s="11" t="str">
        <f ca="1">OFFSET('COM Techs T15'!$AO18,0,MATCH(VLOOKUP('COM Veda input'!CV$3,'RES Assumptions T15'!$V$3:$W$35,2,FALSE),'COM Techs T15'!$G$3:$U$3,0))</f>
        <v/>
      </c>
      <c r="CW18" s="11" t="str">
        <f ca="1">OFFSET('COM Techs T15'!$AO18,0,MATCH(VLOOKUP('COM Veda input'!CW$3,'RES Assumptions T15'!$V$3:$W$35,2,FALSE),'COM Techs T15'!$G$3:$U$3,0))</f>
        <v/>
      </c>
      <c r="CX18" s="11" t="str">
        <f ca="1">OFFSET('COM Techs T15'!$AO18,0,MATCH(VLOOKUP('COM Veda input'!CX$3,'RES Assumptions T15'!$V$3:$W$35,2,FALSE),'COM Techs T15'!$G$3:$U$3,0))</f>
        <v/>
      </c>
      <c r="CZ18" s="8" t="str">
        <f t="shared" si="22"/>
        <v>CCKSTH000</v>
      </c>
      <c r="DA18" s="10">
        <f ca="1">'COM Assumptions'!E95*G18/'COM Veda input'!AM18</f>
        <v>0</v>
      </c>
      <c r="DB18" s="10">
        <f ca="1">'COM Assumptions'!F95*H18/'COM Veda input'!AN18</f>
        <v>0</v>
      </c>
      <c r="DC18" s="10">
        <f ca="1">'COM Assumptions'!G95*I18/'COM Veda input'!AO18</f>
        <v>0</v>
      </c>
      <c r="DD18" s="10">
        <f ca="1">'COM Assumptions'!H95*J18/'COM Veda input'!AP18</f>
        <v>0</v>
      </c>
      <c r="DE18" s="10">
        <f ca="1">'COM Assumptions'!I95*K18/'COM Veda input'!AQ18</f>
        <v>0</v>
      </c>
      <c r="DF18" s="10">
        <f ca="1">'COM Assumptions'!J95*L18/'COM Veda input'!AR18</f>
        <v>0</v>
      </c>
      <c r="DG18" s="10">
        <f ca="1">'COM Assumptions'!K95*M18/'COM Veda input'!AS18</f>
        <v>0</v>
      </c>
      <c r="DH18" s="10">
        <f ca="1">'COM Assumptions'!L95*N18/'COM Veda input'!AT18</f>
        <v>0</v>
      </c>
      <c r="DI18" s="10">
        <f ca="1">'COM Assumptions'!M95*O18/'COM Veda input'!AU18</f>
        <v>0</v>
      </c>
      <c r="DJ18" s="10">
        <f ca="1">'COM Assumptions'!N95*P18/'COM Veda input'!AV18</f>
        <v>0</v>
      </c>
      <c r="DK18" s="10">
        <f ca="1">'COM Assumptions'!O95*Q18/'COM Veda input'!AW18</f>
        <v>0</v>
      </c>
      <c r="DL18" s="10">
        <f ca="1">'COM Assumptions'!P95*R18/'COM Veda input'!AX18</f>
        <v>0</v>
      </c>
      <c r="DM18" s="10">
        <f ca="1">'COM Assumptions'!Q95*S18/'COM Veda input'!AY18</f>
        <v>0</v>
      </c>
      <c r="DN18" s="10">
        <f ca="1">'COM Assumptions'!R95*T18/'COM Veda input'!AZ18</f>
        <v>0</v>
      </c>
      <c r="DO18" s="10">
        <f ca="1">'COM Assumptions'!S95*U18/'COM Veda input'!BA18</f>
        <v>0</v>
      </c>
      <c r="DP18" s="10">
        <f ca="1">'COM Assumptions'!T95*V18/'COM Veda input'!BB18</f>
        <v>0</v>
      </c>
      <c r="DQ18" s="10">
        <f ca="1">'COM Assumptions'!U95*W18/'COM Veda input'!BC18</f>
        <v>0</v>
      </c>
      <c r="DR18" s="10">
        <f ca="1">'COM Assumptions'!V95*X18/'COM Veda input'!BD18</f>
        <v>0</v>
      </c>
      <c r="DS18" s="10">
        <f ca="1">'COM Assumptions'!W95*Y18/'COM Veda input'!BE18</f>
        <v>0</v>
      </c>
      <c r="DT18" s="10">
        <f ca="1">'COM Assumptions'!X95*Z18/'COM Veda input'!BF18</f>
        <v>0.20821291344000004</v>
      </c>
      <c r="DU18" s="10">
        <f ca="1">'COM Assumptions'!Y95*AA18/'COM Veda input'!BG18</f>
        <v>0</v>
      </c>
      <c r="DV18" s="10">
        <f ca="1">'COM Assumptions'!Z95*AB18/'COM Veda input'!BH18</f>
        <v>0</v>
      </c>
      <c r="DW18" s="10">
        <f ca="1">'COM Assumptions'!AA95*AC18/'COM Veda input'!BI18</f>
        <v>0</v>
      </c>
      <c r="DX18" s="10">
        <f ca="1">'COM Assumptions'!AB95*AD18/'COM Veda input'!BJ18</f>
        <v>0</v>
      </c>
      <c r="DY18" s="10">
        <f ca="1">'COM Assumptions'!AC95*AE18/'COM Veda input'!BK18</f>
        <v>0</v>
      </c>
      <c r="DZ18" s="10">
        <f ca="1">'COM Assumptions'!AD95*AF18/'COM Veda input'!BL18</f>
        <v>0</v>
      </c>
      <c r="EA18" s="10">
        <f ca="1">'COM Assumptions'!AE95*AG18/'COM Veda input'!BM18</f>
        <v>0</v>
      </c>
      <c r="EB18" s="10">
        <f ca="1">'COM Assumptions'!AF95*AH18/'COM Veda input'!BN18</f>
        <v>0</v>
      </c>
      <c r="EC18" s="10">
        <f ca="1">'COM Assumptions'!AG95*AI18/'COM Veda input'!BO18</f>
        <v>0</v>
      </c>
      <c r="ED18" s="10">
        <f ca="1">'COM Assumptions'!AH95*AJ18/'COM Veda input'!BP18</f>
        <v>0</v>
      </c>
      <c r="EE18" s="8">
        <v>15</v>
      </c>
      <c r="EI18" s="8" t="str">
        <f t="shared" si="23"/>
        <v>CCKSTH000</v>
      </c>
      <c r="EK18" t="s">
        <v>282</v>
      </c>
      <c r="EL18" t="s">
        <v>283</v>
      </c>
    </row>
    <row r="19" spans="1:142" x14ac:dyDescent="0.45">
      <c r="A19" s="37" t="str">
        <f>'COM Assumptions'!B96</f>
        <v>CH</v>
      </c>
      <c r="B19" s="37" t="s">
        <v>228</v>
      </c>
      <c r="D19" t="s">
        <v>321</v>
      </c>
      <c r="E19" s="8" t="str">
        <f>'COM Assumptions'!A96</f>
        <v>COMBIO</v>
      </c>
      <c r="F19" t="str">
        <f>VLOOKUP('COM Assumptions'!B96,'COM Assumptions'!$AP$81:$AQ$88,2,FALSE)</f>
        <v>CSH</v>
      </c>
      <c r="G19" s="11">
        <f ca="1">OFFSET('COM Techs T15'!$F19,0,MATCH(VLOOKUP('COM Veda input'!G$3,'RES Assumptions T15'!$V$3:$W$35,2,FALSE),'COM Techs T15'!$G$3:$U$3,0))</f>
        <v>0.5</v>
      </c>
      <c r="H19" s="11">
        <f ca="1">OFFSET('COM Techs T15'!$F19,0,MATCH(VLOOKUP('COM Veda input'!H$3,'RES Assumptions T15'!$V$3:$W$35,2,FALSE),'COM Techs T15'!$G$3:$U$3,0))</f>
        <v>0.5</v>
      </c>
      <c r="I19" s="11">
        <f ca="1">OFFSET('COM Techs T15'!$F19,0,MATCH(VLOOKUP('COM Veda input'!I$3,'RES Assumptions T15'!$V$3:$W$35,2,FALSE),'COM Techs T15'!$G$3:$U$3,0))</f>
        <v>0.5</v>
      </c>
      <c r="J19" s="11">
        <f ca="1">OFFSET('COM Techs T15'!$F19,0,MATCH(VLOOKUP('COM Veda input'!J$3,'RES Assumptions T15'!$V$3:$W$35,2,FALSE),'COM Techs T15'!$G$3:$U$3,0))</f>
        <v>0.5</v>
      </c>
      <c r="K19" s="11">
        <f ca="1">OFFSET('COM Techs T15'!$F19,0,MATCH(VLOOKUP('COM Veda input'!K$3,'RES Assumptions T15'!$V$3:$W$35,2,FALSE),'COM Techs T15'!$G$3:$U$3,0))</f>
        <v>0.5</v>
      </c>
      <c r="L19" s="11">
        <f ca="1">OFFSET('COM Techs T15'!$F19,0,MATCH(VLOOKUP('COM Veda input'!L$3,'RES Assumptions T15'!$V$3:$W$35,2,FALSE),'COM Techs T15'!$G$3:$U$3,0))</f>
        <v>0.5</v>
      </c>
      <c r="M19" s="11">
        <f ca="1">OFFSET('COM Techs T15'!$F19,0,MATCH(VLOOKUP('COM Veda input'!M$3,'RES Assumptions T15'!$V$3:$W$35,2,FALSE),'COM Techs T15'!$G$3:$U$3,0))</f>
        <v>0.5</v>
      </c>
      <c r="N19" s="11">
        <f ca="1">OFFSET('COM Techs T15'!$F19,0,MATCH(VLOOKUP('COM Veda input'!N$3,'RES Assumptions T15'!$V$3:$W$35,2,FALSE),'COM Techs T15'!$G$3:$U$3,0))</f>
        <v>0.5</v>
      </c>
      <c r="O19" s="11">
        <f ca="1">OFFSET('COM Techs T15'!$F19,0,MATCH(VLOOKUP('COM Veda input'!O$3,'RES Assumptions T15'!$V$3:$W$35,2,FALSE),'COM Techs T15'!$G$3:$U$3,0))</f>
        <v>0.5</v>
      </c>
      <c r="P19" s="11">
        <f ca="1">OFFSET('COM Techs T15'!$F19,0,MATCH(VLOOKUP('COM Veda input'!P$3,'RES Assumptions T15'!$V$3:$W$35,2,FALSE),'COM Techs T15'!$G$3:$U$3,0))</f>
        <v>0.5</v>
      </c>
      <c r="Q19" s="11">
        <f ca="1">OFFSET('COM Techs T15'!$F19,0,MATCH(VLOOKUP('COM Veda input'!Q$3,'RES Assumptions T15'!$V$3:$W$35,2,FALSE),'COM Techs T15'!$G$3:$U$3,0))</f>
        <v>0.5</v>
      </c>
      <c r="R19" s="11">
        <f ca="1">OFFSET('COM Techs T15'!$F19,0,MATCH(VLOOKUP('COM Veda input'!R$3,'RES Assumptions T15'!$V$3:$W$35,2,FALSE),'COM Techs T15'!$G$3:$U$3,0))</f>
        <v>0.5</v>
      </c>
      <c r="S19" s="11">
        <f ca="1">OFFSET('COM Techs T15'!$F19,0,MATCH(VLOOKUP('COM Veda input'!S$3,'RES Assumptions T15'!$V$3:$W$35,2,FALSE),'COM Techs T15'!$G$3:$U$3,0))</f>
        <v>0.5</v>
      </c>
      <c r="T19" s="11">
        <f ca="1">OFFSET('COM Techs T15'!$F19,0,MATCH(VLOOKUP('COM Veda input'!T$3,'RES Assumptions T15'!$V$3:$W$35,2,FALSE),'COM Techs T15'!$G$3:$U$3,0))</f>
        <v>0.5</v>
      </c>
      <c r="U19" s="11">
        <f ca="1">OFFSET('COM Techs T15'!$F19,0,MATCH(VLOOKUP('COM Veda input'!U$3,'RES Assumptions T15'!$V$3:$W$35,2,FALSE),'COM Techs T15'!$G$3:$U$3,0))</f>
        <v>0.5</v>
      </c>
      <c r="V19" s="11">
        <f ca="1">OFFSET('COM Techs T15'!$F19,0,MATCH(VLOOKUP('COM Veda input'!V$3,'RES Assumptions T15'!$V$3:$W$35,2,FALSE),'COM Techs T15'!$G$3:$U$3,0))</f>
        <v>0.5</v>
      </c>
      <c r="W19" s="11">
        <f ca="1">OFFSET('COM Techs T15'!$F19,0,MATCH(VLOOKUP('COM Veda input'!W$3,'RES Assumptions T15'!$V$3:$W$35,2,FALSE),'COM Techs T15'!$G$3:$U$3,0))</f>
        <v>0.5</v>
      </c>
      <c r="X19" s="11">
        <f ca="1">OFFSET('COM Techs T15'!$F19,0,MATCH(VLOOKUP('COM Veda input'!X$3,'RES Assumptions T15'!$V$3:$W$35,2,FALSE),'COM Techs T15'!$G$3:$U$3,0))</f>
        <v>0.5</v>
      </c>
      <c r="Y19" s="11">
        <f ca="1">OFFSET('COM Techs T15'!$F19,0,MATCH(VLOOKUP('COM Veda input'!Y$3,'RES Assumptions T15'!$V$3:$W$35,2,FALSE),'COM Techs T15'!$G$3:$U$3,0))</f>
        <v>0.5</v>
      </c>
      <c r="Z19" s="11">
        <f ca="1">OFFSET('COM Techs T15'!$F19,0,MATCH(VLOOKUP('COM Veda input'!Z$3,'RES Assumptions T15'!$V$3:$W$35,2,FALSE),'COM Techs T15'!$G$3:$U$3,0))</f>
        <v>0.5</v>
      </c>
      <c r="AA19" s="11">
        <f ca="1">OFFSET('COM Techs T15'!$F19,0,MATCH(VLOOKUP('COM Veda input'!AA$3,'RES Assumptions T15'!$V$3:$W$35,2,FALSE),'COM Techs T15'!$G$3:$U$3,0))</f>
        <v>0.5</v>
      </c>
      <c r="AB19" s="11">
        <f ca="1">OFFSET('COM Techs T15'!$F19,0,MATCH(VLOOKUP('COM Veda input'!AB$3,'RES Assumptions T15'!$V$3:$W$35,2,FALSE),'COM Techs T15'!$G$3:$U$3,0))</f>
        <v>0.5</v>
      </c>
      <c r="AC19" s="11">
        <f ca="1">OFFSET('COM Techs T15'!$F19,0,MATCH(VLOOKUP('COM Veda input'!AC$3,'RES Assumptions T15'!$V$3:$W$35,2,FALSE),'COM Techs T15'!$G$3:$U$3,0))</f>
        <v>0.5</v>
      </c>
      <c r="AD19" s="11">
        <f ca="1">OFFSET('COM Techs T15'!$F19,0,MATCH(VLOOKUP('COM Veda input'!AD$3,'RES Assumptions T15'!$V$3:$W$35,2,FALSE),'COM Techs T15'!$G$3:$U$3,0))</f>
        <v>0.5</v>
      </c>
      <c r="AE19" s="11">
        <f ca="1">OFFSET('COM Techs T15'!$F19,0,MATCH(VLOOKUP('COM Veda input'!AE$3,'RES Assumptions T15'!$V$3:$W$35,2,FALSE),'COM Techs T15'!$G$3:$U$3,0))</f>
        <v>0.5</v>
      </c>
      <c r="AF19" s="11">
        <f ca="1">OFFSET('COM Techs T15'!$F19,0,MATCH(VLOOKUP('COM Veda input'!AF$3,'RES Assumptions T15'!$V$3:$W$35,2,FALSE),'COM Techs T15'!$G$3:$U$3,0))</f>
        <v>0.5</v>
      </c>
      <c r="AG19" s="11">
        <f ca="1">OFFSET('COM Techs T15'!$F19,0,MATCH(VLOOKUP('COM Veda input'!AG$3,'RES Assumptions T15'!$V$3:$W$35,2,FALSE),'COM Techs T15'!$G$3:$U$3,0))</f>
        <v>0.5</v>
      </c>
      <c r="AH19" s="11">
        <f ca="1">OFFSET('COM Techs T15'!$F19,0,MATCH(VLOOKUP('COM Veda input'!AH$3,'RES Assumptions T15'!$V$3:$W$35,2,FALSE),'COM Techs T15'!$G$3:$U$3,0))</f>
        <v>0.5</v>
      </c>
      <c r="AI19" s="11">
        <f ca="1">OFFSET('COM Techs T15'!$F19,0,MATCH(VLOOKUP('COM Veda input'!AI$3,'RES Assumptions T15'!$V$3:$W$35,2,FALSE),'COM Techs T15'!$G$3:$U$3,0))</f>
        <v>0.5</v>
      </c>
      <c r="AJ19" s="11">
        <f ca="1">OFFSET('COM Techs T15'!$F19,0,MATCH(VLOOKUP('COM Veda input'!AJ$3,'RES Assumptions T15'!$V$3:$W$35,2,FALSE),'COM Techs T15'!$G$3:$U$3,0))</f>
        <v>0.5</v>
      </c>
      <c r="AL19" s="8" t="str">
        <f t="shared" si="19"/>
        <v>CSHBIO000</v>
      </c>
      <c r="AM19" s="11">
        <f ca="1">OFFSET('COM Techs T15'!$W19,0,MATCH(VLOOKUP('COM Veda input'!AM$3,'RES Assumptions T15'!$V$3:$W$35,2,FALSE),'COM Techs T15'!$G$3:$U$3,0))</f>
        <v>0.3</v>
      </c>
      <c r="AN19" s="11">
        <f ca="1">OFFSET('COM Techs T15'!$W19,0,MATCH(VLOOKUP('COM Veda input'!AN$3,'RES Assumptions T15'!$V$3:$W$35,2,FALSE),'COM Techs T15'!$G$3:$U$3,0))</f>
        <v>0.3</v>
      </c>
      <c r="AO19" s="11">
        <f ca="1">OFFSET('COM Techs T15'!$W19,0,MATCH(VLOOKUP('COM Veda input'!AO$3,'RES Assumptions T15'!$V$3:$W$35,2,FALSE),'COM Techs T15'!$G$3:$U$3,0))</f>
        <v>0.3</v>
      </c>
      <c r="AP19" s="11">
        <f ca="1">OFFSET('COM Techs T15'!$W19,0,MATCH(VLOOKUP('COM Veda input'!AP$3,'RES Assumptions T15'!$V$3:$W$35,2,FALSE),'COM Techs T15'!$G$3:$U$3,0))</f>
        <v>0.3</v>
      </c>
      <c r="AQ19" s="11">
        <f ca="1">OFFSET('COM Techs T15'!$W19,0,MATCH(VLOOKUP('COM Veda input'!AQ$3,'RES Assumptions T15'!$V$3:$W$35,2,FALSE),'COM Techs T15'!$G$3:$U$3,0))</f>
        <v>0.3</v>
      </c>
      <c r="AR19" s="11">
        <f ca="1">OFFSET('COM Techs T15'!$W19,0,MATCH(VLOOKUP('COM Veda input'!AR$3,'RES Assumptions T15'!$V$3:$W$35,2,FALSE),'COM Techs T15'!$G$3:$U$3,0))</f>
        <v>0.3</v>
      </c>
      <c r="AS19" s="11">
        <f ca="1">OFFSET('COM Techs T15'!$W19,0,MATCH(VLOOKUP('COM Veda input'!AS$3,'RES Assumptions T15'!$V$3:$W$35,2,FALSE),'COM Techs T15'!$G$3:$U$3,0))</f>
        <v>0.28999999999999998</v>
      </c>
      <c r="AT19" s="11">
        <f ca="1">OFFSET('COM Techs T15'!$W19,0,MATCH(VLOOKUP('COM Veda input'!AT$3,'RES Assumptions T15'!$V$3:$W$35,2,FALSE),'COM Techs T15'!$G$3:$U$3,0))</f>
        <v>0.3</v>
      </c>
      <c r="AU19" s="11">
        <f ca="1">OFFSET('COM Techs T15'!$W19,0,MATCH(VLOOKUP('COM Veda input'!AU$3,'RES Assumptions T15'!$V$3:$W$35,2,FALSE),'COM Techs T15'!$G$3:$U$3,0))</f>
        <v>0.33</v>
      </c>
      <c r="AV19" s="11">
        <f ca="1">OFFSET('COM Techs T15'!$W19,0,MATCH(VLOOKUP('COM Veda input'!AV$3,'RES Assumptions T15'!$V$3:$W$35,2,FALSE),'COM Techs T15'!$G$3:$U$3,0))</f>
        <v>0.3</v>
      </c>
      <c r="AW19" s="11">
        <f ca="1">OFFSET('COM Techs T15'!$W19,0,MATCH(VLOOKUP('COM Veda input'!AW$3,'RES Assumptions T15'!$V$3:$W$35,2,FALSE),'COM Techs T15'!$G$3:$U$3,0))</f>
        <v>0.3</v>
      </c>
      <c r="AX19" s="11">
        <f ca="1">OFFSET('COM Techs T15'!$W19,0,MATCH(VLOOKUP('COM Veda input'!AX$3,'RES Assumptions T15'!$V$3:$W$35,2,FALSE),'COM Techs T15'!$G$3:$U$3,0))</f>
        <v>0.3</v>
      </c>
      <c r="AY19" s="11">
        <f ca="1">OFFSET('COM Techs T15'!$W19,0,MATCH(VLOOKUP('COM Veda input'!AY$3,'RES Assumptions T15'!$V$3:$W$35,2,FALSE),'COM Techs T15'!$G$3:$U$3,0))</f>
        <v>0.3</v>
      </c>
      <c r="AZ19" s="11">
        <f ca="1">OFFSET('COM Techs T15'!$W19,0,MATCH(VLOOKUP('COM Veda input'!AZ$3,'RES Assumptions T15'!$V$3:$W$35,2,FALSE),'COM Techs T15'!$G$3:$U$3,0))</f>
        <v>0.3</v>
      </c>
      <c r="BA19" s="11">
        <f ca="1">OFFSET('COM Techs T15'!$W19,0,MATCH(VLOOKUP('COM Veda input'!BA$3,'RES Assumptions T15'!$V$3:$W$35,2,FALSE),'COM Techs T15'!$G$3:$U$3,0))</f>
        <v>0.3</v>
      </c>
      <c r="BB19" s="11">
        <f ca="1">OFFSET('COM Techs T15'!$W19,0,MATCH(VLOOKUP('COM Veda input'!BB$3,'RES Assumptions T15'!$V$3:$W$35,2,FALSE),'COM Techs T15'!$G$3:$U$3,0))</f>
        <v>0.3</v>
      </c>
      <c r="BC19" s="11">
        <f ca="1">OFFSET('COM Techs T15'!$W19,0,MATCH(VLOOKUP('COM Veda input'!BC$3,'RES Assumptions T15'!$V$3:$W$35,2,FALSE),'COM Techs T15'!$G$3:$U$3,0))</f>
        <v>0.3</v>
      </c>
      <c r="BD19" s="11">
        <f ca="1">OFFSET('COM Techs T15'!$W19,0,MATCH(VLOOKUP('COM Veda input'!BD$3,'RES Assumptions T15'!$V$3:$W$35,2,FALSE),'COM Techs T15'!$G$3:$U$3,0))</f>
        <v>0.3</v>
      </c>
      <c r="BE19" s="11">
        <f ca="1">OFFSET('COM Techs T15'!$W19,0,MATCH(VLOOKUP('COM Veda input'!BE$3,'RES Assumptions T15'!$V$3:$W$35,2,FALSE),'COM Techs T15'!$G$3:$U$3,0))</f>
        <v>0.3</v>
      </c>
      <c r="BF19" s="11">
        <f ca="1">OFFSET('COM Techs T15'!$W19,0,MATCH(VLOOKUP('COM Veda input'!BF$3,'RES Assumptions T15'!$V$3:$W$35,2,FALSE),'COM Techs T15'!$G$3:$U$3,0))</f>
        <v>0.3</v>
      </c>
      <c r="BG19" s="11">
        <f ca="1">OFFSET('COM Techs T15'!$W19,0,MATCH(VLOOKUP('COM Veda input'!BG$3,'RES Assumptions T15'!$V$3:$W$35,2,FALSE),'COM Techs T15'!$G$3:$U$3,0))</f>
        <v>0.3</v>
      </c>
      <c r="BH19" s="11">
        <f ca="1">OFFSET('COM Techs T15'!$W19,0,MATCH(VLOOKUP('COM Veda input'!BH$3,'RES Assumptions T15'!$V$3:$W$35,2,FALSE),'COM Techs T15'!$G$3:$U$3,0))</f>
        <v>0.3</v>
      </c>
      <c r="BI19" s="11">
        <f ca="1">OFFSET('COM Techs T15'!$W19,0,MATCH(VLOOKUP('COM Veda input'!BI$3,'RES Assumptions T15'!$V$3:$W$35,2,FALSE),'COM Techs T15'!$G$3:$U$3,0))</f>
        <v>0.3</v>
      </c>
      <c r="BJ19" s="11">
        <f ca="1">OFFSET('COM Techs T15'!$W19,0,MATCH(VLOOKUP('COM Veda input'!BJ$3,'RES Assumptions T15'!$V$3:$W$35,2,FALSE),'COM Techs T15'!$G$3:$U$3,0))</f>
        <v>0.3</v>
      </c>
      <c r="BK19" s="11">
        <f ca="1">OFFSET('COM Techs T15'!$W19,0,MATCH(VLOOKUP('COM Veda input'!BK$3,'RES Assumptions T15'!$V$3:$W$35,2,FALSE),'COM Techs T15'!$G$3:$U$3,0))</f>
        <v>0.3</v>
      </c>
      <c r="BL19" s="11">
        <f ca="1">OFFSET('COM Techs T15'!$W19,0,MATCH(VLOOKUP('COM Veda input'!BL$3,'RES Assumptions T15'!$V$3:$W$35,2,FALSE),'COM Techs T15'!$G$3:$U$3,0))</f>
        <v>0.3</v>
      </c>
      <c r="BM19" s="11">
        <f ca="1">OFFSET('COM Techs T15'!$W19,0,MATCH(VLOOKUP('COM Veda input'!BM$3,'RES Assumptions T15'!$V$3:$W$35,2,FALSE),'COM Techs T15'!$G$3:$U$3,0))</f>
        <v>0.3</v>
      </c>
      <c r="BN19" s="11">
        <f ca="1">OFFSET('COM Techs T15'!$W19,0,MATCH(VLOOKUP('COM Veda input'!BN$3,'RES Assumptions T15'!$V$3:$W$35,2,FALSE),'COM Techs T15'!$G$3:$U$3,0))</f>
        <v>0.3</v>
      </c>
      <c r="BO19" s="11">
        <f ca="1">OFFSET('COM Techs T15'!$W19,0,MATCH(VLOOKUP('COM Veda input'!BO$3,'RES Assumptions T15'!$V$3:$W$35,2,FALSE),'COM Techs T15'!$G$3:$U$3,0))</f>
        <v>0.3</v>
      </c>
      <c r="BP19" s="11">
        <f ca="1">OFFSET('COM Techs T15'!$W19,0,MATCH(VLOOKUP('COM Veda input'!BP$3,'RES Assumptions T15'!$V$3:$W$35,2,FALSE),'COM Techs T15'!$G$3:$U$3,0))</f>
        <v>0.3</v>
      </c>
      <c r="BQ19">
        <v>3</v>
      </c>
      <c r="BS19" s="8" t="str">
        <f t="shared" si="20"/>
        <v>CSHBIO000</v>
      </c>
      <c r="BT19" s="11">
        <f t="shared" ca="1" si="21"/>
        <v>3</v>
      </c>
      <c r="BU19" s="11" t="str">
        <f ca="1">OFFSET('COM Techs T15'!$AO19,0,MATCH(VLOOKUP('COM Veda input'!BU$3,'RES Assumptions T15'!$V$3:$W$35,2,FALSE),'COM Techs T15'!$G$3:$U$3,0))</f>
        <v/>
      </c>
      <c r="BV19" s="11" t="str">
        <f ca="1">OFFSET('COM Techs T15'!$AO19,0,MATCH(VLOOKUP('COM Veda input'!BV$3,'RES Assumptions T15'!$V$3:$W$35,2,FALSE),'COM Techs T15'!$G$3:$U$3,0))</f>
        <v/>
      </c>
      <c r="BW19" s="11">
        <f ca="1">OFFSET('COM Techs T15'!$AO19,0,MATCH(VLOOKUP('COM Veda input'!BW$3,'RES Assumptions T15'!$V$3:$W$35,2,FALSE),'COM Techs T15'!$G$3:$U$3,0))</f>
        <v>3.5</v>
      </c>
      <c r="BX19" s="11" t="str">
        <f ca="1">OFFSET('COM Techs T15'!$AO19,0,MATCH(VLOOKUP('COM Veda input'!BX$3,'RES Assumptions T15'!$V$3:$W$35,2,FALSE),'COM Techs T15'!$G$3:$U$3,0))</f>
        <v/>
      </c>
      <c r="BY19" s="11">
        <f ca="1">OFFSET('COM Techs T15'!$AO19,0,MATCH(VLOOKUP('COM Veda input'!BY$3,'RES Assumptions T15'!$V$3:$W$35,2,FALSE),'COM Techs T15'!$G$3:$U$3,0))</f>
        <v>5</v>
      </c>
      <c r="BZ19" s="11">
        <f ca="1">OFFSET('COM Techs T15'!$AO19,0,MATCH(VLOOKUP('COM Veda input'!BZ$3,'RES Assumptions T15'!$V$3:$W$35,2,FALSE),'COM Techs T15'!$G$3:$U$3,0))</f>
        <v>3</v>
      </c>
      <c r="CA19" s="11" t="str">
        <f ca="1">OFFSET('COM Techs T15'!$AO19,0,MATCH(VLOOKUP('COM Veda input'!CA$3,'RES Assumptions T15'!$V$3:$W$35,2,FALSE),'COM Techs T15'!$G$3:$U$3,0))</f>
        <v/>
      </c>
      <c r="CB19" s="11">
        <f ca="1">OFFSET('COM Techs T15'!$AO19,0,MATCH(VLOOKUP('COM Veda input'!CB$3,'RES Assumptions T15'!$V$3:$W$35,2,FALSE),'COM Techs T15'!$G$3:$U$3,0))</f>
        <v>3.5</v>
      </c>
      <c r="CC19" s="11" t="str">
        <f ca="1">OFFSET('COM Techs T15'!$AO19,0,MATCH(VLOOKUP('COM Veda input'!CC$3,'RES Assumptions T15'!$V$3:$W$35,2,FALSE),'COM Techs T15'!$G$3:$U$3,0))</f>
        <v/>
      </c>
      <c r="CD19" s="11">
        <f ca="1">OFFSET('COM Techs T15'!$AO19,0,MATCH(VLOOKUP('COM Veda input'!CD$3,'RES Assumptions T15'!$V$3:$W$35,2,FALSE),'COM Techs T15'!$G$3:$U$3,0))</f>
        <v>3</v>
      </c>
      <c r="CE19" s="11" t="str">
        <f ca="1">OFFSET('COM Techs T15'!$AO19,0,MATCH(VLOOKUP('COM Veda input'!CE$3,'RES Assumptions T15'!$V$3:$W$35,2,FALSE),'COM Techs T15'!$G$3:$U$3,0))</f>
        <v/>
      </c>
      <c r="CF19" s="11" t="str">
        <f ca="1">OFFSET('COM Techs T15'!$AO19,0,MATCH(VLOOKUP('COM Veda input'!CF$3,'RES Assumptions T15'!$V$3:$W$35,2,FALSE),'COM Techs T15'!$G$3:$U$3,0))</f>
        <v/>
      </c>
      <c r="CG19" s="11" t="str">
        <f ca="1">OFFSET('COM Techs T15'!$AO19,0,MATCH(VLOOKUP('COM Veda input'!CG$3,'RES Assumptions T15'!$V$3:$W$35,2,FALSE),'COM Techs T15'!$G$3:$U$3,0))</f>
        <v/>
      </c>
      <c r="CH19" s="11" t="str">
        <f ca="1">OFFSET('COM Techs T15'!$AO19,0,MATCH(VLOOKUP('COM Veda input'!CH$3,'RES Assumptions T15'!$V$3:$W$35,2,FALSE),'COM Techs T15'!$G$3:$U$3,0))</f>
        <v/>
      </c>
      <c r="CI19" s="11" t="str">
        <f ca="1">OFFSET('COM Techs T15'!$AO19,0,MATCH(VLOOKUP('COM Veda input'!CI$3,'RES Assumptions T15'!$V$3:$W$35,2,FALSE),'COM Techs T15'!$G$3:$U$3,0))</f>
        <v/>
      </c>
      <c r="CJ19" s="11" t="str">
        <f ca="1">OFFSET('COM Techs T15'!$AO19,0,MATCH(VLOOKUP('COM Veda input'!CJ$3,'RES Assumptions T15'!$V$3:$W$35,2,FALSE),'COM Techs T15'!$G$3:$U$3,0))</f>
        <v/>
      </c>
      <c r="CK19" s="11">
        <f ca="1">OFFSET('COM Techs T15'!$AO19,0,MATCH(VLOOKUP('COM Veda input'!CK$3,'RES Assumptions T15'!$V$3:$W$35,2,FALSE),'COM Techs T15'!$G$3:$U$3,0))</f>
        <v>3.5</v>
      </c>
      <c r="CL19" s="11" t="str">
        <f ca="1">OFFSET('COM Techs T15'!$AO19,0,MATCH(VLOOKUP('COM Veda input'!CL$3,'RES Assumptions T15'!$V$3:$W$35,2,FALSE),'COM Techs T15'!$G$3:$U$3,0))</f>
        <v/>
      </c>
      <c r="CM19" s="11" t="str">
        <f ca="1">OFFSET('COM Techs T15'!$AO19,0,MATCH(VLOOKUP('COM Veda input'!CM$3,'RES Assumptions T15'!$V$3:$W$35,2,FALSE),'COM Techs T15'!$G$3:$U$3,0))</f>
        <v/>
      </c>
      <c r="CN19" s="11">
        <f ca="1">OFFSET('COM Techs T15'!$AO19,0,MATCH(VLOOKUP('COM Veda input'!CN$3,'RES Assumptions T15'!$V$3:$W$35,2,FALSE),'COM Techs T15'!$G$3:$U$3,0))</f>
        <v>3</v>
      </c>
      <c r="CO19" s="11">
        <f ca="1">OFFSET('COM Techs T15'!$AO19,0,MATCH(VLOOKUP('COM Veda input'!CO$3,'RES Assumptions T15'!$V$3:$W$35,2,FALSE),'COM Techs T15'!$G$3:$U$3,0))</f>
        <v>3.5</v>
      </c>
      <c r="CP19" s="11">
        <f ca="1">OFFSET('COM Techs T15'!$AO19,0,MATCH(VLOOKUP('COM Veda input'!CP$3,'RES Assumptions T15'!$V$3:$W$35,2,FALSE),'COM Techs T15'!$G$3:$U$3,0))</f>
        <v>4</v>
      </c>
      <c r="CQ19" s="11">
        <f ca="1">OFFSET('COM Techs T15'!$AO19,0,MATCH(VLOOKUP('COM Veda input'!CQ$3,'RES Assumptions T15'!$V$3:$W$35,2,FALSE),'COM Techs T15'!$G$3:$U$3,0))</f>
        <v>3.5</v>
      </c>
      <c r="CR19" s="11" t="str">
        <f ca="1">OFFSET('COM Techs T15'!$AO19,0,MATCH(VLOOKUP('COM Veda input'!CR$3,'RES Assumptions T15'!$V$3:$W$35,2,FALSE),'COM Techs T15'!$G$3:$U$3,0))</f>
        <v/>
      </c>
      <c r="CS19" s="11" t="str">
        <f ca="1">OFFSET('COM Techs T15'!$AO19,0,MATCH(VLOOKUP('COM Veda input'!CS$3,'RES Assumptions T15'!$V$3:$W$35,2,FALSE),'COM Techs T15'!$G$3:$U$3,0))</f>
        <v/>
      </c>
      <c r="CT19" s="11">
        <f ca="1">OFFSET('COM Techs T15'!$AO19,0,MATCH(VLOOKUP('COM Veda input'!CT$3,'RES Assumptions T15'!$V$3:$W$35,2,FALSE),'COM Techs T15'!$G$3:$U$3,0))</f>
        <v>3.5</v>
      </c>
      <c r="CU19" s="11" t="str">
        <f ca="1">OFFSET('COM Techs T15'!$AO19,0,MATCH(VLOOKUP('COM Veda input'!CU$3,'RES Assumptions T15'!$V$3:$W$35,2,FALSE),'COM Techs T15'!$G$3:$U$3,0))</f>
        <v/>
      </c>
      <c r="CV19" s="11" t="str">
        <f ca="1">OFFSET('COM Techs T15'!$AO19,0,MATCH(VLOOKUP('COM Veda input'!CV$3,'RES Assumptions T15'!$V$3:$W$35,2,FALSE),'COM Techs T15'!$G$3:$U$3,0))</f>
        <v/>
      </c>
      <c r="CW19" s="11">
        <f ca="1">OFFSET('COM Techs T15'!$AO19,0,MATCH(VLOOKUP('COM Veda input'!CW$3,'RES Assumptions T15'!$V$3:$W$35,2,FALSE),'COM Techs T15'!$G$3:$U$3,0))</f>
        <v>0.4</v>
      </c>
      <c r="CX19" s="11">
        <f ca="1">OFFSET('COM Techs T15'!$AO19,0,MATCH(VLOOKUP('COM Veda input'!CX$3,'RES Assumptions T15'!$V$3:$W$35,2,FALSE),'COM Techs T15'!$G$3:$U$3,0))</f>
        <v>0.4</v>
      </c>
      <c r="CZ19" s="8" t="str">
        <f t="shared" si="22"/>
        <v>CSHBIO000</v>
      </c>
      <c r="DA19" s="10">
        <f ca="1">'COM Assumptions'!E96*G19/'COM Veda input'!AM19</f>
        <v>0</v>
      </c>
      <c r="DB19" s="10">
        <f ca="1">'COM Assumptions'!F96*H19/'COM Veda input'!AN19</f>
        <v>0</v>
      </c>
      <c r="DC19" s="10">
        <f ca="1">'COM Assumptions'!G96*I19/'COM Veda input'!AO19</f>
        <v>1.1590513824000002</v>
      </c>
      <c r="DD19" s="10">
        <f ca="1">'COM Assumptions'!H96*J19/'COM Veda input'!AP19</f>
        <v>1.993900698</v>
      </c>
      <c r="DE19" s="10">
        <f ca="1">'COM Assumptions'!I96*K19/'COM Veda input'!AQ19</f>
        <v>166.87276425000002</v>
      </c>
      <c r="DF19" s="10">
        <f ca="1">'COM Assumptions'!J96*L19/'COM Veda input'!AR19</f>
        <v>22.9765973688</v>
      </c>
      <c r="DG19" s="10">
        <f ca="1">'COM Assumptions'!K96*M19/'COM Veda input'!AS19</f>
        <v>0.22715447306896552</v>
      </c>
      <c r="DH19" s="10">
        <f ca="1">'COM Assumptions'!L96*N19/'COM Veda input'!AT19</f>
        <v>1.1504007558</v>
      </c>
      <c r="DI19" s="10">
        <f ca="1">'COM Assumptions'!M96*O19/'COM Veda input'!AU19</f>
        <v>0</v>
      </c>
      <c r="DJ19" s="10">
        <f ca="1">'COM Assumptions'!N96*P19/'COM Veda input'!AV19</f>
        <v>5.0019699600000002E-2</v>
      </c>
      <c r="DK19" s="10">
        <f ca="1">'COM Assumptions'!O96*Q19/'COM Veda input'!AW19</f>
        <v>12.294616353600002</v>
      </c>
      <c r="DL19" s="10">
        <f ca="1">'COM Assumptions'!P96*R19/'COM Veda input'!AX19</f>
        <v>32.166130722000005</v>
      </c>
      <c r="DM19" s="10">
        <f ca="1">'COM Assumptions'!Q96*S19/'COM Veda input'!AY19</f>
        <v>13.427904960000001</v>
      </c>
      <c r="DN19" s="10">
        <f ca="1">'COM Assumptions'!R96*T19/'COM Veda input'!AZ19</f>
        <v>4.6174207536000003</v>
      </c>
      <c r="DO19" s="10">
        <f ca="1">'COM Assumptions'!S96*U19/'COM Veda input'!BA19</f>
        <v>18.086745726</v>
      </c>
      <c r="DP19" s="10">
        <f ca="1">'COM Assumptions'!T96*V19/'COM Veda input'!BB19</f>
        <v>8.5443209568</v>
      </c>
      <c r="DQ19" s="10">
        <f ca="1">'COM Assumptions'!U96*W19/'COM Veda input'!BC19</f>
        <v>36.713511894</v>
      </c>
      <c r="DR19" s="10">
        <f ca="1">'COM Assumptions'!V96*X19/'COM Veda input'!BD19</f>
        <v>23.059627195200001</v>
      </c>
      <c r="DS19" s="10">
        <f ca="1">'COM Assumptions'!W96*Y19/'COM Veda input'!BE19</f>
        <v>87.395559067199997</v>
      </c>
      <c r="DT19" s="10">
        <f ca="1">'COM Assumptions'!X96*Z19/'COM Veda input'!BF19</f>
        <v>18.290666611200002</v>
      </c>
      <c r="DU19" s="10">
        <f ca="1">'COM Assumptions'!Y96*AA19/'COM Veda input'!BG19</f>
        <v>4.1853946308000003</v>
      </c>
      <c r="DV19" s="10">
        <f ca="1">'COM Assumptions'!Z96*AB19/'COM Veda input'!BH19</f>
        <v>0</v>
      </c>
      <c r="DW19" s="10">
        <f ca="1">'COM Assumptions'!AA96*AC19/'COM Veda input'!BI19</f>
        <v>18.327828648000001</v>
      </c>
      <c r="DX19" s="10">
        <f ca="1">'COM Assumptions'!AB96*AD19/'COM Veda input'!BJ19</f>
        <v>2.637656088</v>
      </c>
      <c r="DY19" s="10">
        <f ca="1">'COM Assumptions'!AC96*AE19/'COM Veda input'!BK19</f>
        <v>79.966316927999998</v>
      </c>
      <c r="DZ19" s="10">
        <f ca="1">'COM Assumptions'!AD96*AF19/'COM Veda input'!BL19</f>
        <v>0</v>
      </c>
      <c r="EA19" s="10">
        <f ca="1">'COM Assumptions'!AE96*AG19/'COM Veda input'!BM19</f>
        <v>0</v>
      </c>
      <c r="EB19" s="10">
        <f ca="1">'COM Assumptions'!AF96*AH19/'COM Veda input'!BN19</f>
        <v>12.279996048000003</v>
      </c>
      <c r="EC19" s="10">
        <f ca="1">'COM Assumptions'!AG96*AI19/'COM Veda input'!BO19</f>
        <v>145.74624123000001</v>
      </c>
      <c r="ED19" s="10">
        <f ca="1">'COM Assumptions'!AH96*AJ19/'COM Veda input'!BP19</f>
        <v>0</v>
      </c>
      <c r="EE19" s="8">
        <v>20</v>
      </c>
      <c r="EI19" s="8" t="str">
        <f t="shared" si="23"/>
        <v>CSHBIO000</v>
      </c>
      <c r="EK19" t="s">
        <v>282</v>
      </c>
      <c r="EL19" t="s">
        <v>283</v>
      </c>
    </row>
    <row r="20" spans="1:142" x14ac:dyDescent="0.45">
      <c r="A20" s="37" t="str">
        <f>'COM Assumptions'!B97</f>
        <v>CH</v>
      </c>
      <c r="B20" s="37" t="s">
        <v>229</v>
      </c>
      <c r="D20" t="s">
        <v>322</v>
      </c>
      <c r="E20" s="8" t="str">
        <f>'COM Assumptions'!A97</f>
        <v>COMCOA</v>
      </c>
      <c r="F20" t="str">
        <f>VLOOKUP('COM Assumptions'!B97,'COM Assumptions'!$AP$81:$AQ$88,2,FALSE)</f>
        <v>CSH</v>
      </c>
      <c r="G20" s="11">
        <f ca="1">OFFSET('COM Techs T15'!$F20,0,MATCH(VLOOKUP('COM Veda input'!G$3,'RES Assumptions T15'!$V$3:$W$35,2,FALSE),'COM Techs T15'!$G$3:$U$3,0))</f>
        <v>0.6</v>
      </c>
      <c r="H20" s="11">
        <f ca="1">OFFSET('COM Techs T15'!$F20,0,MATCH(VLOOKUP('COM Veda input'!H$3,'RES Assumptions T15'!$V$3:$W$35,2,FALSE),'COM Techs T15'!$G$3:$U$3,0))</f>
        <v>0.6</v>
      </c>
      <c r="I20" s="11">
        <f ca="1">OFFSET('COM Techs T15'!$F20,0,MATCH(VLOOKUP('COM Veda input'!I$3,'RES Assumptions T15'!$V$3:$W$35,2,FALSE),'COM Techs T15'!$G$3:$U$3,0))</f>
        <v>0.6</v>
      </c>
      <c r="J20" s="11">
        <f ca="1">OFFSET('COM Techs T15'!$F20,0,MATCH(VLOOKUP('COM Veda input'!J$3,'RES Assumptions T15'!$V$3:$W$35,2,FALSE),'COM Techs T15'!$G$3:$U$3,0))</f>
        <v>0.6</v>
      </c>
      <c r="K20" s="11">
        <f ca="1">OFFSET('COM Techs T15'!$F20,0,MATCH(VLOOKUP('COM Veda input'!K$3,'RES Assumptions T15'!$V$3:$W$35,2,FALSE),'COM Techs T15'!$G$3:$U$3,0))</f>
        <v>0.6</v>
      </c>
      <c r="L20" s="11">
        <f ca="1">OFFSET('COM Techs T15'!$F20,0,MATCH(VLOOKUP('COM Veda input'!L$3,'RES Assumptions T15'!$V$3:$W$35,2,FALSE),'COM Techs T15'!$G$3:$U$3,0))</f>
        <v>0.6</v>
      </c>
      <c r="M20" s="11">
        <f ca="1">OFFSET('COM Techs T15'!$F20,0,MATCH(VLOOKUP('COM Veda input'!M$3,'RES Assumptions T15'!$V$3:$W$35,2,FALSE),'COM Techs T15'!$G$3:$U$3,0))</f>
        <v>0.6</v>
      </c>
      <c r="N20" s="11">
        <f ca="1">OFFSET('COM Techs T15'!$F20,0,MATCH(VLOOKUP('COM Veda input'!N$3,'RES Assumptions T15'!$V$3:$W$35,2,FALSE),'COM Techs T15'!$G$3:$U$3,0))</f>
        <v>0.6</v>
      </c>
      <c r="O20" s="11">
        <f ca="1">OFFSET('COM Techs T15'!$F20,0,MATCH(VLOOKUP('COM Veda input'!O$3,'RES Assumptions T15'!$V$3:$W$35,2,FALSE),'COM Techs T15'!$G$3:$U$3,0))</f>
        <v>0.6</v>
      </c>
      <c r="P20" s="11">
        <f ca="1">OFFSET('COM Techs T15'!$F20,0,MATCH(VLOOKUP('COM Veda input'!P$3,'RES Assumptions T15'!$V$3:$W$35,2,FALSE),'COM Techs T15'!$G$3:$U$3,0))</f>
        <v>0.6</v>
      </c>
      <c r="Q20" s="11">
        <f ca="1">OFFSET('COM Techs T15'!$F20,0,MATCH(VLOOKUP('COM Veda input'!Q$3,'RES Assumptions T15'!$V$3:$W$35,2,FALSE),'COM Techs T15'!$G$3:$U$3,0))</f>
        <v>0.6</v>
      </c>
      <c r="R20" s="11">
        <f ca="1">OFFSET('COM Techs T15'!$F20,0,MATCH(VLOOKUP('COM Veda input'!R$3,'RES Assumptions T15'!$V$3:$W$35,2,FALSE),'COM Techs T15'!$G$3:$U$3,0))</f>
        <v>0.6</v>
      </c>
      <c r="S20" s="11">
        <f ca="1">OFFSET('COM Techs T15'!$F20,0,MATCH(VLOOKUP('COM Veda input'!S$3,'RES Assumptions T15'!$V$3:$W$35,2,FALSE),'COM Techs T15'!$G$3:$U$3,0))</f>
        <v>0.6</v>
      </c>
      <c r="T20" s="11">
        <f ca="1">OFFSET('COM Techs T15'!$F20,0,MATCH(VLOOKUP('COM Veda input'!T$3,'RES Assumptions T15'!$V$3:$W$35,2,FALSE),'COM Techs T15'!$G$3:$U$3,0))</f>
        <v>0.6</v>
      </c>
      <c r="U20" s="11">
        <f ca="1">OFFSET('COM Techs T15'!$F20,0,MATCH(VLOOKUP('COM Veda input'!U$3,'RES Assumptions T15'!$V$3:$W$35,2,FALSE),'COM Techs T15'!$G$3:$U$3,0))</f>
        <v>0.6</v>
      </c>
      <c r="V20" s="11">
        <f ca="1">OFFSET('COM Techs T15'!$F20,0,MATCH(VLOOKUP('COM Veda input'!V$3,'RES Assumptions T15'!$V$3:$W$35,2,FALSE),'COM Techs T15'!$G$3:$U$3,0))</f>
        <v>0.6</v>
      </c>
      <c r="W20" s="11">
        <f ca="1">OFFSET('COM Techs T15'!$F20,0,MATCH(VLOOKUP('COM Veda input'!W$3,'RES Assumptions T15'!$V$3:$W$35,2,FALSE),'COM Techs T15'!$G$3:$U$3,0))</f>
        <v>0.6</v>
      </c>
      <c r="X20" s="11">
        <f ca="1">OFFSET('COM Techs T15'!$F20,0,MATCH(VLOOKUP('COM Veda input'!X$3,'RES Assumptions T15'!$V$3:$W$35,2,FALSE),'COM Techs T15'!$G$3:$U$3,0))</f>
        <v>0.6</v>
      </c>
      <c r="Y20" s="11">
        <f ca="1">OFFSET('COM Techs T15'!$F20,0,MATCH(VLOOKUP('COM Veda input'!Y$3,'RES Assumptions T15'!$V$3:$W$35,2,FALSE),'COM Techs T15'!$G$3:$U$3,0))</f>
        <v>0.6</v>
      </c>
      <c r="Z20" s="11">
        <f ca="1">OFFSET('COM Techs T15'!$F20,0,MATCH(VLOOKUP('COM Veda input'!Z$3,'RES Assumptions T15'!$V$3:$W$35,2,FALSE),'COM Techs T15'!$G$3:$U$3,0))</f>
        <v>0.6</v>
      </c>
      <c r="AA20" s="11">
        <f ca="1">OFFSET('COM Techs T15'!$F20,0,MATCH(VLOOKUP('COM Veda input'!AA$3,'RES Assumptions T15'!$V$3:$W$35,2,FALSE),'COM Techs T15'!$G$3:$U$3,0))</f>
        <v>0.6</v>
      </c>
      <c r="AB20" s="11">
        <f ca="1">OFFSET('COM Techs T15'!$F20,0,MATCH(VLOOKUP('COM Veda input'!AB$3,'RES Assumptions T15'!$V$3:$W$35,2,FALSE),'COM Techs T15'!$G$3:$U$3,0))</f>
        <v>0.6</v>
      </c>
      <c r="AC20" s="11">
        <f ca="1">OFFSET('COM Techs T15'!$F20,0,MATCH(VLOOKUP('COM Veda input'!AC$3,'RES Assumptions T15'!$V$3:$W$35,2,FALSE),'COM Techs T15'!$G$3:$U$3,0))</f>
        <v>0.6</v>
      </c>
      <c r="AD20" s="11">
        <f ca="1">OFFSET('COM Techs T15'!$F20,0,MATCH(VLOOKUP('COM Veda input'!AD$3,'RES Assumptions T15'!$V$3:$W$35,2,FALSE),'COM Techs T15'!$G$3:$U$3,0))</f>
        <v>0.6</v>
      </c>
      <c r="AE20" s="11">
        <f ca="1">OFFSET('COM Techs T15'!$F20,0,MATCH(VLOOKUP('COM Veda input'!AE$3,'RES Assumptions T15'!$V$3:$W$35,2,FALSE),'COM Techs T15'!$G$3:$U$3,0))</f>
        <v>0.6</v>
      </c>
      <c r="AF20" s="11">
        <f ca="1">OFFSET('COM Techs T15'!$F20,0,MATCH(VLOOKUP('COM Veda input'!AF$3,'RES Assumptions T15'!$V$3:$W$35,2,FALSE),'COM Techs T15'!$G$3:$U$3,0))</f>
        <v>0.6</v>
      </c>
      <c r="AG20" s="11">
        <f ca="1">OFFSET('COM Techs T15'!$F20,0,MATCH(VLOOKUP('COM Veda input'!AG$3,'RES Assumptions T15'!$V$3:$W$35,2,FALSE),'COM Techs T15'!$G$3:$U$3,0))</f>
        <v>0.6</v>
      </c>
      <c r="AH20" s="11">
        <f ca="1">OFFSET('COM Techs T15'!$F20,0,MATCH(VLOOKUP('COM Veda input'!AH$3,'RES Assumptions T15'!$V$3:$W$35,2,FALSE),'COM Techs T15'!$G$3:$U$3,0))</f>
        <v>0.6</v>
      </c>
      <c r="AI20" s="11">
        <f ca="1">OFFSET('COM Techs T15'!$F20,0,MATCH(VLOOKUP('COM Veda input'!AI$3,'RES Assumptions T15'!$V$3:$W$35,2,FALSE),'COM Techs T15'!$G$3:$U$3,0))</f>
        <v>0.6</v>
      </c>
      <c r="AJ20" s="11">
        <f ca="1">OFFSET('COM Techs T15'!$F20,0,MATCH(VLOOKUP('COM Veda input'!AJ$3,'RES Assumptions T15'!$V$3:$W$35,2,FALSE),'COM Techs T15'!$G$3:$U$3,0))</f>
        <v>0.6</v>
      </c>
      <c r="AL20" s="8" t="str">
        <f t="shared" si="19"/>
        <v>CSHCOA000</v>
      </c>
      <c r="AM20" s="11">
        <f ca="1">OFFSET('COM Techs T15'!$W20,0,MATCH(VLOOKUP('COM Veda input'!AM$3,'RES Assumptions T15'!$V$3:$W$35,2,FALSE),'COM Techs T15'!$G$3:$U$3,0))</f>
        <v>0.3</v>
      </c>
      <c r="AN20" s="11">
        <f ca="1">OFFSET('COM Techs T15'!$W20,0,MATCH(VLOOKUP('COM Veda input'!AN$3,'RES Assumptions T15'!$V$3:$W$35,2,FALSE),'COM Techs T15'!$G$3:$U$3,0))</f>
        <v>0.3</v>
      </c>
      <c r="AO20" s="11">
        <f ca="1">OFFSET('COM Techs T15'!$W20,0,MATCH(VLOOKUP('COM Veda input'!AO$3,'RES Assumptions T15'!$V$3:$W$35,2,FALSE),'COM Techs T15'!$G$3:$U$3,0))</f>
        <v>0.3</v>
      </c>
      <c r="AP20" s="11">
        <f ca="1">OFFSET('COM Techs T15'!$W20,0,MATCH(VLOOKUP('COM Veda input'!AP$3,'RES Assumptions T15'!$V$3:$W$35,2,FALSE),'COM Techs T15'!$G$3:$U$3,0))</f>
        <v>0.3</v>
      </c>
      <c r="AQ20" s="11">
        <f ca="1">OFFSET('COM Techs T15'!$W20,0,MATCH(VLOOKUP('COM Veda input'!AQ$3,'RES Assumptions T15'!$V$3:$W$35,2,FALSE),'COM Techs T15'!$G$3:$U$3,0))</f>
        <v>0.3</v>
      </c>
      <c r="AR20" s="11">
        <f ca="1">OFFSET('COM Techs T15'!$W20,0,MATCH(VLOOKUP('COM Veda input'!AR$3,'RES Assumptions T15'!$V$3:$W$35,2,FALSE),'COM Techs T15'!$G$3:$U$3,0))</f>
        <v>0.3</v>
      </c>
      <c r="AS20" s="11">
        <f ca="1">OFFSET('COM Techs T15'!$W20,0,MATCH(VLOOKUP('COM Veda input'!AS$3,'RES Assumptions T15'!$V$3:$W$35,2,FALSE),'COM Techs T15'!$G$3:$U$3,0))</f>
        <v>0.28999999999999998</v>
      </c>
      <c r="AT20" s="11">
        <f ca="1">OFFSET('COM Techs T15'!$W20,0,MATCH(VLOOKUP('COM Veda input'!AT$3,'RES Assumptions T15'!$V$3:$W$35,2,FALSE),'COM Techs T15'!$G$3:$U$3,0))</f>
        <v>0.3</v>
      </c>
      <c r="AU20" s="11">
        <f ca="1">OFFSET('COM Techs T15'!$W20,0,MATCH(VLOOKUP('COM Veda input'!AU$3,'RES Assumptions T15'!$V$3:$W$35,2,FALSE),'COM Techs T15'!$G$3:$U$3,0))</f>
        <v>0.33</v>
      </c>
      <c r="AV20" s="11">
        <f ca="1">OFFSET('COM Techs T15'!$W20,0,MATCH(VLOOKUP('COM Veda input'!AV$3,'RES Assumptions T15'!$V$3:$W$35,2,FALSE),'COM Techs T15'!$G$3:$U$3,0))</f>
        <v>0.3</v>
      </c>
      <c r="AW20" s="11">
        <f ca="1">OFFSET('COM Techs T15'!$W20,0,MATCH(VLOOKUP('COM Veda input'!AW$3,'RES Assumptions T15'!$V$3:$W$35,2,FALSE),'COM Techs T15'!$G$3:$U$3,0))</f>
        <v>0.3</v>
      </c>
      <c r="AX20" s="11">
        <f ca="1">OFFSET('COM Techs T15'!$W20,0,MATCH(VLOOKUP('COM Veda input'!AX$3,'RES Assumptions T15'!$V$3:$W$35,2,FALSE),'COM Techs T15'!$G$3:$U$3,0))</f>
        <v>0.3</v>
      </c>
      <c r="AY20" s="11">
        <f ca="1">OFFSET('COM Techs T15'!$W20,0,MATCH(VLOOKUP('COM Veda input'!AY$3,'RES Assumptions T15'!$V$3:$W$35,2,FALSE),'COM Techs T15'!$G$3:$U$3,0))</f>
        <v>0.3</v>
      </c>
      <c r="AZ20" s="11">
        <f ca="1">OFFSET('COM Techs T15'!$W20,0,MATCH(VLOOKUP('COM Veda input'!AZ$3,'RES Assumptions T15'!$V$3:$W$35,2,FALSE),'COM Techs T15'!$G$3:$U$3,0))</f>
        <v>0.3</v>
      </c>
      <c r="BA20" s="11">
        <f ca="1">OFFSET('COM Techs T15'!$W20,0,MATCH(VLOOKUP('COM Veda input'!BA$3,'RES Assumptions T15'!$V$3:$W$35,2,FALSE),'COM Techs T15'!$G$3:$U$3,0))</f>
        <v>0.3</v>
      </c>
      <c r="BB20" s="11">
        <f ca="1">OFFSET('COM Techs T15'!$W20,0,MATCH(VLOOKUP('COM Veda input'!BB$3,'RES Assumptions T15'!$V$3:$W$35,2,FALSE),'COM Techs T15'!$G$3:$U$3,0))</f>
        <v>0.3</v>
      </c>
      <c r="BC20" s="11">
        <f ca="1">OFFSET('COM Techs T15'!$W20,0,MATCH(VLOOKUP('COM Veda input'!BC$3,'RES Assumptions T15'!$V$3:$W$35,2,FALSE),'COM Techs T15'!$G$3:$U$3,0))</f>
        <v>0.3</v>
      </c>
      <c r="BD20" s="11">
        <f ca="1">OFFSET('COM Techs T15'!$W20,0,MATCH(VLOOKUP('COM Veda input'!BD$3,'RES Assumptions T15'!$V$3:$W$35,2,FALSE),'COM Techs T15'!$G$3:$U$3,0))</f>
        <v>0.3</v>
      </c>
      <c r="BE20" s="11">
        <f ca="1">OFFSET('COM Techs T15'!$W20,0,MATCH(VLOOKUP('COM Veda input'!BE$3,'RES Assumptions T15'!$V$3:$W$35,2,FALSE),'COM Techs T15'!$G$3:$U$3,0))</f>
        <v>0.3</v>
      </c>
      <c r="BF20" s="11">
        <f ca="1">OFFSET('COM Techs T15'!$W20,0,MATCH(VLOOKUP('COM Veda input'!BF$3,'RES Assumptions T15'!$V$3:$W$35,2,FALSE),'COM Techs T15'!$G$3:$U$3,0))</f>
        <v>0.3</v>
      </c>
      <c r="BG20" s="11">
        <f ca="1">OFFSET('COM Techs T15'!$W20,0,MATCH(VLOOKUP('COM Veda input'!BG$3,'RES Assumptions T15'!$V$3:$W$35,2,FALSE),'COM Techs T15'!$G$3:$U$3,0))</f>
        <v>0.3</v>
      </c>
      <c r="BH20" s="11">
        <f ca="1">OFFSET('COM Techs T15'!$W20,0,MATCH(VLOOKUP('COM Veda input'!BH$3,'RES Assumptions T15'!$V$3:$W$35,2,FALSE),'COM Techs T15'!$G$3:$U$3,0))</f>
        <v>0.3</v>
      </c>
      <c r="BI20" s="11">
        <f ca="1">OFFSET('COM Techs T15'!$W20,0,MATCH(VLOOKUP('COM Veda input'!BI$3,'RES Assumptions T15'!$V$3:$W$35,2,FALSE),'COM Techs T15'!$G$3:$U$3,0))</f>
        <v>0.3</v>
      </c>
      <c r="BJ20" s="11">
        <f ca="1">OFFSET('COM Techs T15'!$W20,0,MATCH(VLOOKUP('COM Veda input'!BJ$3,'RES Assumptions T15'!$V$3:$W$35,2,FALSE),'COM Techs T15'!$G$3:$U$3,0))</f>
        <v>0.3</v>
      </c>
      <c r="BK20" s="11">
        <f ca="1">OFFSET('COM Techs T15'!$W20,0,MATCH(VLOOKUP('COM Veda input'!BK$3,'RES Assumptions T15'!$V$3:$W$35,2,FALSE),'COM Techs T15'!$G$3:$U$3,0))</f>
        <v>0.3</v>
      </c>
      <c r="BL20" s="11">
        <f ca="1">OFFSET('COM Techs T15'!$W20,0,MATCH(VLOOKUP('COM Veda input'!BL$3,'RES Assumptions T15'!$V$3:$W$35,2,FALSE),'COM Techs T15'!$G$3:$U$3,0))</f>
        <v>0.3</v>
      </c>
      <c r="BM20" s="11">
        <f ca="1">OFFSET('COM Techs T15'!$W20,0,MATCH(VLOOKUP('COM Veda input'!BM$3,'RES Assumptions T15'!$V$3:$W$35,2,FALSE),'COM Techs T15'!$G$3:$U$3,0))</f>
        <v>0.3</v>
      </c>
      <c r="BN20" s="11">
        <f ca="1">OFFSET('COM Techs T15'!$W20,0,MATCH(VLOOKUP('COM Veda input'!BN$3,'RES Assumptions T15'!$V$3:$W$35,2,FALSE),'COM Techs T15'!$G$3:$U$3,0))</f>
        <v>0.3</v>
      </c>
      <c r="BO20" s="11">
        <f ca="1">OFFSET('COM Techs T15'!$W20,0,MATCH(VLOOKUP('COM Veda input'!BO$3,'RES Assumptions T15'!$V$3:$W$35,2,FALSE),'COM Techs T15'!$G$3:$U$3,0))</f>
        <v>0.3</v>
      </c>
      <c r="BP20" s="11">
        <f ca="1">OFFSET('COM Techs T15'!$W20,0,MATCH(VLOOKUP('COM Veda input'!BP$3,'RES Assumptions T15'!$V$3:$W$35,2,FALSE),'COM Techs T15'!$G$3:$U$3,0))</f>
        <v>0.3</v>
      </c>
      <c r="BQ20">
        <v>3</v>
      </c>
      <c r="BS20" s="8" t="str">
        <f t="shared" si="20"/>
        <v>CSHCOA000</v>
      </c>
      <c r="BT20" s="11">
        <f t="shared" ca="1" si="21"/>
        <v>2.4</v>
      </c>
      <c r="BU20" s="11" t="str">
        <f ca="1">OFFSET('COM Techs T15'!$AO20,0,MATCH(VLOOKUP('COM Veda input'!BU$3,'RES Assumptions T15'!$V$3:$W$35,2,FALSE),'COM Techs T15'!$G$3:$U$3,0))</f>
        <v/>
      </c>
      <c r="BV20" s="11" t="str">
        <f ca="1">OFFSET('COM Techs T15'!$AO20,0,MATCH(VLOOKUP('COM Veda input'!BV$3,'RES Assumptions T15'!$V$3:$W$35,2,FALSE),'COM Techs T15'!$G$3:$U$3,0))</f>
        <v/>
      </c>
      <c r="BW20" s="11">
        <f ca="1">OFFSET('COM Techs T15'!$AO20,0,MATCH(VLOOKUP('COM Veda input'!BW$3,'RES Assumptions T15'!$V$3:$W$35,2,FALSE),'COM Techs T15'!$G$3:$U$3,0))</f>
        <v>2.8</v>
      </c>
      <c r="BX20" s="11" t="str">
        <f ca="1">OFFSET('COM Techs T15'!$AO20,0,MATCH(VLOOKUP('COM Veda input'!BX$3,'RES Assumptions T15'!$V$3:$W$35,2,FALSE),'COM Techs T15'!$G$3:$U$3,0))</f>
        <v/>
      </c>
      <c r="BY20" s="11">
        <f ca="1">OFFSET('COM Techs T15'!$AO20,0,MATCH(VLOOKUP('COM Veda input'!BY$3,'RES Assumptions T15'!$V$3:$W$35,2,FALSE),'COM Techs T15'!$G$3:$U$3,0))</f>
        <v>4</v>
      </c>
      <c r="BZ20" s="11">
        <f ca="1">OFFSET('COM Techs T15'!$AO20,0,MATCH(VLOOKUP('COM Veda input'!BZ$3,'RES Assumptions T15'!$V$3:$W$35,2,FALSE),'COM Techs T15'!$G$3:$U$3,0))</f>
        <v>2.4</v>
      </c>
      <c r="CA20" s="11" t="str">
        <f ca="1">OFFSET('COM Techs T15'!$AO20,0,MATCH(VLOOKUP('COM Veda input'!CA$3,'RES Assumptions T15'!$V$3:$W$35,2,FALSE),'COM Techs T15'!$G$3:$U$3,0))</f>
        <v/>
      </c>
      <c r="CB20" s="11">
        <f ca="1">OFFSET('COM Techs T15'!$AO20,0,MATCH(VLOOKUP('COM Veda input'!CB$3,'RES Assumptions T15'!$V$3:$W$35,2,FALSE),'COM Techs T15'!$G$3:$U$3,0))</f>
        <v>2.8</v>
      </c>
      <c r="CC20" s="11" t="str">
        <f ca="1">OFFSET('COM Techs T15'!$AO20,0,MATCH(VLOOKUP('COM Veda input'!CC$3,'RES Assumptions T15'!$V$3:$W$35,2,FALSE),'COM Techs T15'!$G$3:$U$3,0))</f>
        <v/>
      </c>
      <c r="CD20" s="11">
        <f ca="1">OFFSET('COM Techs T15'!$AO20,0,MATCH(VLOOKUP('COM Veda input'!CD$3,'RES Assumptions T15'!$V$3:$W$35,2,FALSE),'COM Techs T15'!$G$3:$U$3,0))</f>
        <v>2.4</v>
      </c>
      <c r="CE20" s="11" t="str">
        <f ca="1">OFFSET('COM Techs T15'!$AO20,0,MATCH(VLOOKUP('COM Veda input'!CE$3,'RES Assumptions T15'!$V$3:$W$35,2,FALSE),'COM Techs T15'!$G$3:$U$3,0))</f>
        <v/>
      </c>
      <c r="CF20" s="11" t="str">
        <f ca="1">OFFSET('COM Techs T15'!$AO20,0,MATCH(VLOOKUP('COM Veda input'!CF$3,'RES Assumptions T15'!$V$3:$W$35,2,FALSE),'COM Techs T15'!$G$3:$U$3,0))</f>
        <v/>
      </c>
      <c r="CG20" s="11" t="str">
        <f ca="1">OFFSET('COM Techs T15'!$AO20,0,MATCH(VLOOKUP('COM Veda input'!CG$3,'RES Assumptions T15'!$V$3:$W$35,2,FALSE),'COM Techs T15'!$G$3:$U$3,0))</f>
        <v/>
      </c>
      <c r="CH20" s="11" t="str">
        <f ca="1">OFFSET('COM Techs T15'!$AO20,0,MATCH(VLOOKUP('COM Veda input'!CH$3,'RES Assumptions T15'!$V$3:$W$35,2,FALSE),'COM Techs T15'!$G$3:$U$3,0))</f>
        <v/>
      </c>
      <c r="CI20" s="11" t="str">
        <f ca="1">OFFSET('COM Techs T15'!$AO20,0,MATCH(VLOOKUP('COM Veda input'!CI$3,'RES Assumptions T15'!$V$3:$W$35,2,FALSE),'COM Techs T15'!$G$3:$U$3,0))</f>
        <v/>
      </c>
      <c r="CJ20" s="11" t="str">
        <f ca="1">OFFSET('COM Techs T15'!$AO20,0,MATCH(VLOOKUP('COM Veda input'!CJ$3,'RES Assumptions T15'!$V$3:$W$35,2,FALSE),'COM Techs T15'!$G$3:$U$3,0))</f>
        <v/>
      </c>
      <c r="CK20" s="11">
        <f ca="1">OFFSET('COM Techs T15'!$AO20,0,MATCH(VLOOKUP('COM Veda input'!CK$3,'RES Assumptions T15'!$V$3:$W$35,2,FALSE),'COM Techs T15'!$G$3:$U$3,0))</f>
        <v>2.8</v>
      </c>
      <c r="CL20" s="11" t="str">
        <f ca="1">OFFSET('COM Techs T15'!$AO20,0,MATCH(VLOOKUP('COM Veda input'!CL$3,'RES Assumptions T15'!$V$3:$W$35,2,FALSE),'COM Techs T15'!$G$3:$U$3,0))</f>
        <v/>
      </c>
      <c r="CM20" s="11" t="str">
        <f ca="1">OFFSET('COM Techs T15'!$AO20,0,MATCH(VLOOKUP('COM Veda input'!CM$3,'RES Assumptions T15'!$V$3:$W$35,2,FALSE),'COM Techs T15'!$G$3:$U$3,0))</f>
        <v/>
      </c>
      <c r="CN20" s="11">
        <f ca="1">OFFSET('COM Techs T15'!$AO20,0,MATCH(VLOOKUP('COM Veda input'!CN$3,'RES Assumptions T15'!$V$3:$W$35,2,FALSE),'COM Techs T15'!$G$3:$U$3,0))</f>
        <v>2.4</v>
      </c>
      <c r="CO20" s="11">
        <f ca="1">OFFSET('COM Techs T15'!$AO20,0,MATCH(VLOOKUP('COM Veda input'!CO$3,'RES Assumptions T15'!$V$3:$W$35,2,FALSE),'COM Techs T15'!$G$3:$U$3,0))</f>
        <v>2.8</v>
      </c>
      <c r="CP20" s="11">
        <f ca="1">OFFSET('COM Techs T15'!$AO20,0,MATCH(VLOOKUP('COM Veda input'!CP$3,'RES Assumptions T15'!$V$3:$W$35,2,FALSE),'COM Techs T15'!$G$3:$U$3,0))</f>
        <v>3.2</v>
      </c>
      <c r="CQ20" s="11">
        <f ca="1">OFFSET('COM Techs T15'!$AO20,0,MATCH(VLOOKUP('COM Veda input'!CQ$3,'RES Assumptions T15'!$V$3:$W$35,2,FALSE),'COM Techs T15'!$G$3:$U$3,0))</f>
        <v>2.8</v>
      </c>
      <c r="CR20" s="11" t="str">
        <f ca="1">OFFSET('COM Techs T15'!$AO20,0,MATCH(VLOOKUP('COM Veda input'!CR$3,'RES Assumptions T15'!$V$3:$W$35,2,FALSE),'COM Techs T15'!$G$3:$U$3,0))</f>
        <v/>
      </c>
      <c r="CS20" s="11" t="str">
        <f ca="1">OFFSET('COM Techs T15'!$AO20,0,MATCH(VLOOKUP('COM Veda input'!CS$3,'RES Assumptions T15'!$V$3:$W$35,2,FALSE),'COM Techs T15'!$G$3:$U$3,0))</f>
        <v/>
      </c>
      <c r="CT20" s="11">
        <f ca="1">OFFSET('COM Techs T15'!$AO20,0,MATCH(VLOOKUP('COM Veda input'!CT$3,'RES Assumptions T15'!$V$3:$W$35,2,FALSE),'COM Techs T15'!$G$3:$U$3,0))</f>
        <v>2.8</v>
      </c>
      <c r="CU20" s="11" t="str">
        <f ca="1">OFFSET('COM Techs T15'!$AO20,0,MATCH(VLOOKUP('COM Veda input'!CU$3,'RES Assumptions T15'!$V$3:$W$35,2,FALSE),'COM Techs T15'!$G$3:$U$3,0))</f>
        <v/>
      </c>
      <c r="CV20" s="11" t="str">
        <f ca="1">OFFSET('COM Techs T15'!$AO20,0,MATCH(VLOOKUP('COM Veda input'!CV$3,'RES Assumptions T15'!$V$3:$W$35,2,FALSE),'COM Techs T15'!$G$3:$U$3,0))</f>
        <v/>
      </c>
      <c r="CW20" s="11">
        <f ca="1">OFFSET('COM Techs T15'!$AO20,0,MATCH(VLOOKUP('COM Veda input'!CW$3,'RES Assumptions T15'!$V$3:$W$35,2,FALSE),'COM Techs T15'!$G$3:$U$3,0))</f>
        <v>0.4</v>
      </c>
      <c r="CX20" s="11">
        <f ca="1">OFFSET('COM Techs T15'!$AO20,0,MATCH(VLOOKUP('COM Veda input'!CX$3,'RES Assumptions T15'!$V$3:$W$35,2,FALSE),'COM Techs T15'!$G$3:$U$3,0))</f>
        <v>0.4</v>
      </c>
      <c r="CZ20" s="8" t="str">
        <f t="shared" si="22"/>
        <v>CSHCOA000</v>
      </c>
      <c r="DA20" s="10">
        <f ca="1">'COM Assumptions'!E97*G20/'COM Veda input'!AM20</f>
        <v>0</v>
      </c>
      <c r="DB20" s="10">
        <f ca="1">'COM Assumptions'!F97*H20/'COM Veda input'!AN20</f>
        <v>0</v>
      </c>
      <c r="DC20" s="10">
        <f ca="1">'COM Assumptions'!G97*I20/'COM Veda input'!AO20</f>
        <v>0</v>
      </c>
      <c r="DD20" s="10">
        <f ca="1">'COM Assumptions'!H97*J20/'COM Veda input'!AP20</f>
        <v>65.983716791999996</v>
      </c>
      <c r="DE20" s="10">
        <f ca="1">'COM Assumptions'!I97*K20/'COM Veda input'!AQ20</f>
        <v>1.5558441876</v>
      </c>
      <c r="DF20" s="10">
        <f ca="1">'COM Assumptions'!J97*L20/'COM Veda input'!AR20</f>
        <v>7.0966042286400013</v>
      </c>
      <c r="DG20" s="10">
        <f ca="1">'COM Assumptions'!K97*M20/'COM Veda input'!AS20</f>
        <v>1.7096246297379312</v>
      </c>
      <c r="DH20" s="10">
        <f ca="1">'COM Assumptions'!L97*N20/'COM Veda input'!AT20</f>
        <v>0</v>
      </c>
      <c r="DI20" s="10">
        <f ca="1">'COM Assumptions'!M97*O20/'COM Veda input'!AU20</f>
        <v>0</v>
      </c>
      <c r="DJ20" s="10">
        <f ca="1">'COM Assumptions'!N97*P20/'COM Veda input'!AV20</f>
        <v>410.25302332416004</v>
      </c>
      <c r="DK20" s="10">
        <f ca="1">'COM Assumptions'!O97*Q20/'COM Veda input'!AW20</f>
        <v>0.20880408959999999</v>
      </c>
      <c r="DL20" s="10">
        <f ca="1">'COM Assumptions'!P97*R20/'COM Veda input'!AX20</f>
        <v>56.8414286856</v>
      </c>
      <c r="DM20" s="10">
        <f ca="1">'COM Assumptions'!Q97*S20/'COM Veda input'!AY20</f>
        <v>0.29465023680000002</v>
      </c>
      <c r="DN20" s="10">
        <f ca="1">'COM Assumptions'!R97*T20/'COM Veda input'!AZ20</f>
        <v>0</v>
      </c>
      <c r="DO20" s="10">
        <f ca="1">'COM Assumptions'!S97*U20/'COM Veda input'!BA20</f>
        <v>0.47963143439999995</v>
      </c>
      <c r="DP20" s="10">
        <f ca="1">'COM Assumptions'!T97*V20/'COM Veda input'!BB20</f>
        <v>0</v>
      </c>
      <c r="DQ20" s="10">
        <f ca="1">'COM Assumptions'!U97*W20/'COM Veda input'!BC20</f>
        <v>292.10155579439999</v>
      </c>
      <c r="DR20" s="10">
        <f ca="1">'COM Assumptions'!V97*X20/'COM Veda input'!BD20</f>
        <v>2.9200417920000001</v>
      </c>
      <c r="DS20" s="10">
        <f ca="1">'COM Assumptions'!W97*Y20/'COM Veda input'!BE20</f>
        <v>0.1539821304</v>
      </c>
      <c r="DT20" s="10">
        <f ca="1">'COM Assumptions'!X97*Z20/'COM Veda input'!BF20</f>
        <v>80.516198400480008</v>
      </c>
      <c r="DU20" s="10">
        <f ca="1">'COM Assumptions'!Y97*AA20/'COM Veda input'!BG20</f>
        <v>8.2061279999999992E-4</v>
      </c>
      <c r="DV20" s="10">
        <f ca="1">'COM Assumptions'!Z97*AB20/'COM Veda input'!BH20</f>
        <v>0</v>
      </c>
      <c r="DW20" s="10">
        <f ca="1">'COM Assumptions'!AA97*AC20/'COM Veda input'!BI20</f>
        <v>0</v>
      </c>
      <c r="DX20" s="10">
        <f ca="1">'COM Assumptions'!AB97*AD20/'COM Veda input'!BJ20</f>
        <v>7.8711839999999998E-3</v>
      </c>
      <c r="DY20" s="10">
        <f ca="1">'COM Assumptions'!AC97*AE20/'COM Veda input'!BK20</f>
        <v>61.675206516000003</v>
      </c>
      <c r="DZ20" s="10">
        <f ca="1">'COM Assumptions'!AD97*AF20/'COM Veda input'!BL20</f>
        <v>0</v>
      </c>
      <c r="EA20" s="10">
        <f ca="1">'COM Assumptions'!AE97*AG20/'COM Veda input'!BM20</f>
        <v>0</v>
      </c>
      <c r="EB20" s="10">
        <f ca="1">'COM Assumptions'!AF97*AH20/'COM Veda input'!BN20</f>
        <v>1.3141946520000001</v>
      </c>
      <c r="EC20" s="10">
        <f ca="1">'COM Assumptions'!AG97*AI20/'COM Veda input'!BO20</f>
        <v>31.644805737600002</v>
      </c>
      <c r="ED20" s="10">
        <f ca="1">'COM Assumptions'!AH97*AJ20/'COM Veda input'!BP20</f>
        <v>0</v>
      </c>
      <c r="EE20" s="8">
        <v>20</v>
      </c>
      <c r="EI20" s="8" t="str">
        <f t="shared" si="23"/>
        <v>CSHCOA000</v>
      </c>
      <c r="EK20" t="s">
        <v>282</v>
      </c>
      <c r="EL20" t="s">
        <v>283</v>
      </c>
    </row>
    <row r="21" spans="1:142" x14ac:dyDescent="0.45">
      <c r="A21" s="37" t="str">
        <f>'COM Assumptions'!B98</f>
        <v>CH</v>
      </c>
      <c r="B21" s="37" t="s">
        <v>230</v>
      </c>
      <c r="D21" t="s">
        <v>323</v>
      </c>
      <c r="E21" s="8" t="str">
        <f>'COM Assumptions'!A98</f>
        <v>COMOIL</v>
      </c>
      <c r="F21" t="str">
        <f>VLOOKUP('COM Assumptions'!B98,'COM Assumptions'!$AP$81:$AQ$88,2,FALSE)</f>
        <v>CSH</v>
      </c>
      <c r="G21" s="11">
        <f ca="1">OFFSET('COM Techs T15'!$F21,0,MATCH(VLOOKUP('COM Veda input'!G$3,'RES Assumptions T15'!$V$3:$W$35,2,FALSE),'COM Techs T15'!$G$3:$U$3,0))</f>
        <v>0.75</v>
      </c>
      <c r="H21" s="11">
        <f ca="1">OFFSET('COM Techs T15'!$F21,0,MATCH(VLOOKUP('COM Veda input'!H$3,'RES Assumptions T15'!$V$3:$W$35,2,FALSE),'COM Techs T15'!$G$3:$U$3,0))</f>
        <v>0.75</v>
      </c>
      <c r="I21" s="11">
        <f ca="1">OFFSET('COM Techs T15'!$F21,0,MATCH(VLOOKUP('COM Veda input'!I$3,'RES Assumptions T15'!$V$3:$W$35,2,FALSE),'COM Techs T15'!$G$3:$U$3,0))</f>
        <v>0.75</v>
      </c>
      <c r="J21" s="11">
        <f ca="1">OFFSET('COM Techs T15'!$F21,0,MATCH(VLOOKUP('COM Veda input'!J$3,'RES Assumptions T15'!$V$3:$W$35,2,FALSE),'COM Techs T15'!$G$3:$U$3,0))</f>
        <v>0.75</v>
      </c>
      <c r="K21" s="11">
        <f ca="1">OFFSET('COM Techs T15'!$F21,0,MATCH(VLOOKUP('COM Veda input'!K$3,'RES Assumptions T15'!$V$3:$W$35,2,FALSE),'COM Techs T15'!$G$3:$U$3,0))</f>
        <v>0.75</v>
      </c>
      <c r="L21" s="11">
        <f ca="1">OFFSET('COM Techs T15'!$F21,0,MATCH(VLOOKUP('COM Veda input'!L$3,'RES Assumptions T15'!$V$3:$W$35,2,FALSE),'COM Techs T15'!$G$3:$U$3,0))</f>
        <v>0.75</v>
      </c>
      <c r="M21" s="11">
        <f ca="1">OFFSET('COM Techs T15'!$F21,0,MATCH(VLOOKUP('COM Veda input'!M$3,'RES Assumptions T15'!$V$3:$W$35,2,FALSE),'COM Techs T15'!$G$3:$U$3,0))</f>
        <v>0.75</v>
      </c>
      <c r="N21" s="11">
        <f ca="1">OFFSET('COM Techs T15'!$F21,0,MATCH(VLOOKUP('COM Veda input'!N$3,'RES Assumptions T15'!$V$3:$W$35,2,FALSE),'COM Techs T15'!$G$3:$U$3,0))</f>
        <v>0.75</v>
      </c>
      <c r="O21" s="11">
        <f ca="1">OFFSET('COM Techs T15'!$F21,0,MATCH(VLOOKUP('COM Veda input'!O$3,'RES Assumptions T15'!$V$3:$W$35,2,FALSE),'COM Techs T15'!$G$3:$U$3,0))</f>
        <v>0.75</v>
      </c>
      <c r="P21" s="11">
        <f ca="1">OFFSET('COM Techs T15'!$F21,0,MATCH(VLOOKUP('COM Veda input'!P$3,'RES Assumptions T15'!$V$3:$W$35,2,FALSE),'COM Techs T15'!$G$3:$U$3,0))</f>
        <v>0.75</v>
      </c>
      <c r="Q21" s="11">
        <f ca="1">OFFSET('COM Techs T15'!$F21,0,MATCH(VLOOKUP('COM Veda input'!Q$3,'RES Assumptions T15'!$V$3:$W$35,2,FALSE),'COM Techs T15'!$G$3:$U$3,0))</f>
        <v>0.75</v>
      </c>
      <c r="R21" s="11">
        <f ca="1">OFFSET('COM Techs T15'!$F21,0,MATCH(VLOOKUP('COM Veda input'!R$3,'RES Assumptions T15'!$V$3:$W$35,2,FALSE),'COM Techs T15'!$G$3:$U$3,0))</f>
        <v>0.75</v>
      </c>
      <c r="S21" s="11">
        <f ca="1">OFFSET('COM Techs T15'!$F21,0,MATCH(VLOOKUP('COM Veda input'!S$3,'RES Assumptions T15'!$V$3:$W$35,2,FALSE),'COM Techs T15'!$G$3:$U$3,0))</f>
        <v>0.75</v>
      </c>
      <c r="T21" s="11">
        <f ca="1">OFFSET('COM Techs T15'!$F21,0,MATCH(VLOOKUP('COM Veda input'!T$3,'RES Assumptions T15'!$V$3:$W$35,2,FALSE),'COM Techs T15'!$G$3:$U$3,0))</f>
        <v>0.75</v>
      </c>
      <c r="U21" s="11">
        <f ca="1">OFFSET('COM Techs T15'!$F21,0,MATCH(VLOOKUP('COM Veda input'!U$3,'RES Assumptions T15'!$V$3:$W$35,2,FALSE),'COM Techs T15'!$G$3:$U$3,0))</f>
        <v>0.75</v>
      </c>
      <c r="V21" s="11">
        <f ca="1">OFFSET('COM Techs T15'!$F21,0,MATCH(VLOOKUP('COM Veda input'!V$3,'RES Assumptions T15'!$V$3:$W$35,2,FALSE),'COM Techs T15'!$G$3:$U$3,0))</f>
        <v>0.75</v>
      </c>
      <c r="W21" s="11">
        <f ca="1">OFFSET('COM Techs T15'!$F21,0,MATCH(VLOOKUP('COM Veda input'!W$3,'RES Assumptions T15'!$V$3:$W$35,2,FALSE),'COM Techs T15'!$G$3:$U$3,0))</f>
        <v>0.75</v>
      </c>
      <c r="X21" s="11">
        <f ca="1">OFFSET('COM Techs T15'!$F21,0,MATCH(VLOOKUP('COM Veda input'!X$3,'RES Assumptions T15'!$V$3:$W$35,2,FALSE),'COM Techs T15'!$G$3:$U$3,0))</f>
        <v>0.75</v>
      </c>
      <c r="Y21" s="11">
        <f ca="1">OFFSET('COM Techs T15'!$F21,0,MATCH(VLOOKUP('COM Veda input'!Y$3,'RES Assumptions T15'!$V$3:$W$35,2,FALSE),'COM Techs T15'!$G$3:$U$3,0))</f>
        <v>0.75</v>
      </c>
      <c r="Z21" s="11">
        <f ca="1">OFFSET('COM Techs T15'!$F21,0,MATCH(VLOOKUP('COM Veda input'!Z$3,'RES Assumptions T15'!$V$3:$W$35,2,FALSE),'COM Techs T15'!$G$3:$U$3,0))</f>
        <v>0.75</v>
      </c>
      <c r="AA21" s="11">
        <f ca="1">OFFSET('COM Techs T15'!$F21,0,MATCH(VLOOKUP('COM Veda input'!AA$3,'RES Assumptions T15'!$V$3:$W$35,2,FALSE),'COM Techs T15'!$G$3:$U$3,0))</f>
        <v>0.75</v>
      </c>
      <c r="AB21" s="11">
        <f ca="1">OFFSET('COM Techs T15'!$F21,0,MATCH(VLOOKUP('COM Veda input'!AB$3,'RES Assumptions T15'!$V$3:$W$35,2,FALSE),'COM Techs T15'!$G$3:$U$3,0))</f>
        <v>0.75</v>
      </c>
      <c r="AC21" s="11">
        <f ca="1">OFFSET('COM Techs T15'!$F21,0,MATCH(VLOOKUP('COM Veda input'!AC$3,'RES Assumptions T15'!$V$3:$W$35,2,FALSE),'COM Techs T15'!$G$3:$U$3,0))</f>
        <v>0.75</v>
      </c>
      <c r="AD21" s="11">
        <f ca="1">OFFSET('COM Techs T15'!$F21,0,MATCH(VLOOKUP('COM Veda input'!AD$3,'RES Assumptions T15'!$V$3:$W$35,2,FALSE),'COM Techs T15'!$G$3:$U$3,0))</f>
        <v>0.75</v>
      </c>
      <c r="AE21" s="11">
        <f ca="1">OFFSET('COM Techs T15'!$F21,0,MATCH(VLOOKUP('COM Veda input'!AE$3,'RES Assumptions T15'!$V$3:$W$35,2,FALSE),'COM Techs T15'!$G$3:$U$3,0))</f>
        <v>0.75</v>
      </c>
      <c r="AF21" s="11">
        <f ca="1">OFFSET('COM Techs T15'!$F21,0,MATCH(VLOOKUP('COM Veda input'!AF$3,'RES Assumptions T15'!$V$3:$W$35,2,FALSE),'COM Techs T15'!$G$3:$U$3,0))</f>
        <v>0.75</v>
      </c>
      <c r="AG21" s="11">
        <f ca="1">OFFSET('COM Techs T15'!$F21,0,MATCH(VLOOKUP('COM Veda input'!AG$3,'RES Assumptions T15'!$V$3:$W$35,2,FALSE),'COM Techs T15'!$G$3:$U$3,0))</f>
        <v>0.75</v>
      </c>
      <c r="AH21" s="11">
        <f ca="1">OFFSET('COM Techs T15'!$F21,0,MATCH(VLOOKUP('COM Veda input'!AH$3,'RES Assumptions T15'!$V$3:$W$35,2,FALSE),'COM Techs T15'!$G$3:$U$3,0))</f>
        <v>0.75</v>
      </c>
      <c r="AI21" s="11">
        <f ca="1">OFFSET('COM Techs T15'!$F21,0,MATCH(VLOOKUP('COM Veda input'!AI$3,'RES Assumptions T15'!$V$3:$W$35,2,FALSE),'COM Techs T15'!$G$3:$U$3,0))</f>
        <v>0.75</v>
      </c>
      <c r="AJ21" s="11">
        <f ca="1">OFFSET('COM Techs T15'!$F21,0,MATCH(VLOOKUP('COM Veda input'!AJ$3,'RES Assumptions T15'!$V$3:$W$35,2,FALSE),'COM Techs T15'!$G$3:$U$3,0))</f>
        <v>0.75</v>
      </c>
      <c r="AL21" s="8" t="str">
        <f t="shared" si="19"/>
        <v>CSHDST000</v>
      </c>
      <c r="AM21" s="11">
        <f ca="1">OFFSET('COM Techs T15'!$W21,0,MATCH(VLOOKUP('COM Veda input'!AM$3,'RES Assumptions T15'!$V$3:$W$35,2,FALSE),'COM Techs T15'!$G$3:$U$3,0))</f>
        <v>0.3</v>
      </c>
      <c r="AN21" s="11">
        <f ca="1">OFFSET('COM Techs T15'!$W21,0,MATCH(VLOOKUP('COM Veda input'!AN$3,'RES Assumptions T15'!$V$3:$W$35,2,FALSE),'COM Techs T15'!$G$3:$U$3,0))</f>
        <v>0.3</v>
      </c>
      <c r="AO21" s="11">
        <f ca="1">OFFSET('COM Techs T15'!$W21,0,MATCH(VLOOKUP('COM Veda input'!AO$3,'RES Assumptions T15'!$V$3:$W$35,2,FALSE),'COM Techs T15'!$G$3:$U$3,0))</f>
        <v>0.3</v>
      </c>
      <c r="AP21" s="11">
        <f ca="1">OFFSET('COM Techs T15'!$W21,0,MATCH(VLOOKUP('COM Veda input'!AP$3,'RES Assumptions T15'!$V$3:$W$35,2,FALSE),'COM Techs T15'!$G$3:$U$3,0))</f>
        <v>0.3</v>
      </c>
      <c r="AQ21" s="11">
        <f ca="1">OFFSET('COM Techs T15'!$W21,0,MATCH(VLOOKUP('COM Veda input'!AQ$3,'RES Assumptions T15'!$V$3:$W$35,2,FALSE),'COM Techs T15'!$G$3:$U$3,0))</f>
        <v>0.3</v>
      </c>
      <c r="AR21" s="11">
        <f ca="1">OFFSET('COM Techs T15'!$W21,0,MATCH(VLOOKUP('COM Veda input'!AR$3,'RES Assumptions T15'!$V$3:$W$35,2,FALSE),'COM Techs T15'!$G$3:$U$3,0))</f>
        <v>0.3</v>
      </c>
      <c r="AS21" s="11">
        <f ca="1">OFFSET('COM Techs T15'!$W21,0,MATCH(VLOOKUP('COM Veda input'!AS$3,'RES Assumptions T15'!$V$3:$W$35,2,FALSE),'COM Techs T15'!$G$3:$U$3,0))</f>
        <v>0.28999999999999998</v>
      </c>
      <c r="AT21" s="11">
        <f ca="1">OFFSET('COM Techs T15'!$W21,0,MATCH(VLOOKUP('COM Veda input'!AT$3,'RES Assumptions T15'!$V$3:$W$35,2,FALSE),'COM Techs T15'!$G$3:$U$3,0))</f>
        <v>0.3</v>
      </c>
      <c r="AU21" s="11">
        <f ca="1">OFFSET('COM Techs T15'!$W21,0,MATCH(VLOOKUP('COM Veda input'!AU$3,'RES Assumptions T15'!$V$3:$W$35,2,FALSE),'COM Techs T15'!$G$3:$U$3,0))</f>
        <v>0.33</v>
      </c>
      <c r="AV21" s="11">
        <f ca="1">OFFSET('COM Techs T15'!$W21,0,MATCH(VLOOKUP('COM Veda input'!AV$3,'RES Assumptions T15'!$V$3:$W$35,2,FALSE),'COM Techs T15'!$G$3:$U$3,0))</f>
        <v>0.3</v>
      </c>
      <c r="AW21" s="11">
        <f ca="1">OFFSET('COM Techs T15'!$W21,0,MATCH(VLOOKUP('COM Veda input'!AW$3,'RES Assumptions T15'!$V$3:$W$35,2,FALSE),'COM Techs T15'!$G$3:$U$3,0))</f>
        <v>0.3</v>
      </c>
      <c r="AX21" s="11">
        <f ca="1">OFFSET('COM Techs T15'!$W21,0,MATCH(VLOOKUP('COM Veda input'!AX$3,'RES Assumptions T15'!$V$3:$W$35,2,FALSE),'COM Techs T15'!$G$3:$U$3,0))</f>
        <v>0.3</v>
      </c>
      <c r="AY21" s="11">
        <f ca="1">OFFSET('COM Techs T15'!$W21,0,MATCH(VLOOKUP('COM Veda input'!AY$3,'RES Assumptions T15'!$V$3:$W$35,2,FALSE),'COM Techs T15'!$G$3:$U$3,0))</f>
        <v>0.3</v>
      </c>
      <c r="AZ21" s="11">
        <f ca="1">OFFSET('COM Techs T15'!$W21,0,MATCH(VLOOKUP('COM Veda input'!AZ$3,'RES Assumptions T15'!$V$3:$W$35,2,FALSE),'COM Techs T15'!$G$3:$U$3,0))</f>
        <v>0.3</v>
      </c>
      <c r="BA21" s="11">
        <f ca="1">OFFSET('COM Techs T15'!$W21,0,MATCH(VLOOKUP('COM Veda input'!BA$3,'RES Assumptions T15'!$V$3:$W$35,2,FALSE),'COM Techs T15'!$G$3:$U$3,0))</f>
        <v>0.3</v>
      </c>
      <c r="BB21" s="11">
        <f ca="1">OFFSET('COM Techs T15'!$W21,0,MATCH(VLOOKUP('COM Veda input'!BB$3,'RES Assumptions T15'!$V$3:$W$35,2,FALSE),'COM Techs T15'!$G$3:$U$3,0))</f>
        <v>0.3</v>
      </c>
      <c r="BC21" s="11">
        <f ca="1">OFFSET('COM Techs T15'!$W21,0,MATCH(VLOOKUP('COM Veda input'!BC$3,'RES Assumptions T15'!$V$3:$W$35,2,FALSE),'COM Techs T15'!$G$3:$U$3,0))</f>
        <v>0.3</v>
      </c>
      <c r="BD21" s="11">
        <f ca="1">OFFSET('COM Techs T15'!$W21,0,MATCH(VLOOKUP('COM Veda input'!BD$3,'RES Assumptions T15'!$V$3:$W$35,2,FALSE),'COM Techs T15'!$G$3:$U$3,0))</f>
        <v>0.3</v>
      </c>
      <c r="BE21" s="11">
        <f ca="1">OFFSET('COM Techs T15'!$W21,0,MATCH(VLOOKUP('COM Veda input'!BE$3,'RES Assumptions T15'!$V$3:$W$35,2,FALSE),'COM Techs T15'!$G$3:$U$3,0))</f>
        <v>0.3</v>
      </c>
      <c r="BF21" s="11">
        <f ca="1">OFFSET('COM Techs T15'!$W21,0,MATCH(VLOOKUP('COM Veda input'!BF$3,'RES Assumptions T15'!$V$3:$W$35,2,FALSE),'COM Techs T15'!$G$3:$U$3,0))</f>
        <v>0.3</v>
      </c>
      <c r="BG21" s="11">
        <f ca="1">OFFSET('COM Techs T15'!$W21,0,MATCH(VLOOKUP('COM Veda input'!BG$3,'RES Assumptions T15'!$V$3:$W$35,2,FALSE),'COM Techs T15'!$G$3:$U$3,0))</f>
        <v>0.3</v>
      </c>
      <c r="BH21" s="11">
        <f ca="1">OFFSET('COM Techs T15'!$W21,0,MATCH(VLOOKUP('COM Veda input'!BH$3,'RES Assumptions T15'!$V$3:$W$35,2,FALSE),'COM Techs T15'!$G$3:$U$3,0))</f>
        <v>0.3</v>
      </c>
      <c r="BI21" s="11">
        <f ca="1">OFFSET('COM Techs T15'!$W21,0,MATCH(VLOOKUP('COM Veda input'!BI$3,'RES Assumptions T15'!$V$3:$W$35,2,FALSE),'COM Techs T15'!$G$3:$U$3,0))</f>
        <v>0.3</v>
      </c>
      <c r="BJ21" s="11">
        <f ca="1">OFFSET('COM Techs T15'!$W21,0,MATCH(VLOOKUP('COM Veda input'!BJ$3,'RES Assumptions T15'!$V$3:$W$35,2,FALSE),'COM Techs T15'!$G$3:$U$3,0))</f>
        <v>0.3</v>
      </c>
      <c r="BK21" s="11">
        <f ca="1">OFFSET('COM Techs T15'!$W21,0,MATCH(VLOOKUP('COM Veda input'!BK$3,'RES Assumptions T15'!$V$3:$W$35,2,FALSE),'COM Techs T15'!$G$3:$U$3,0))</f>
        <v>0.3</v>
      </c>
      <c r="BL21" s="11">
        <f ca="1">OFFSET('COM Techs T15'!$W21,0,MATCH(VLOOKUP('COM Veda input'!BL$3,'RES Assumptions T15'!$V$3:$W$35,2,FALSE),'COM Techs T15'!$G$3:$U$3,0))</f>
        <v>0.3</v>
      </c>
      <c r="BM21" s="11">
        <f ca="1">OFFSET('COM Techs T15'!$W21,0,MATCH(VLOOKUP('COM Veda input'!BM$3,'RES Assumptions T15'!$V$3:$W$35,2,FALSE),'COM Techs T15'!$G$3:$U$3,0))</f>
        <v>0.3</v>
      </c>
      <c r="BN21" s="11">
        <f ca="1">OFFSET('COM Techs T15'!$W21,0,MATCH(VLOOKUP('COM Veda input'!BN$3,'RES Assumptions T15'!$V$3:$W$35,2,FALSE),'COM Techs T15'!$G$3:$U$3,0))</f>
        <v>0.3</v>
      </c>
      <c r="BO21" s="11">
        <f ca="1">OFFSET('COM Techs T15'!$W21,0,MATCH(VLOOKUP('COM Veda input'!BO$3,'RES Assumptions T15'!$V$3:$W$35,2,FALSE),'COM Techs T15'!$G$3:$U$3,0))</f>
        <v>0.3</v>
      </c>
      <c r="BP21" s="11">
        <f ca="1">OFFSET('COM Techs T15'!$W21,0,MATCH(VLOOKUP('COM Veda input'!BP$3,'RES Assumptions T15'!$V$3:$W$35,2,FALSE),'COM Techs T15'!$G$3:$U$3,0))</f>
        <v>0.3</v>
      </c>
      <c r="BQ21">
        <v>3</v>
      </c>
      <c r="BS21" s="8" t="str">
        <f t="shared" si="20"/>
        <v>CSHDST000</v>
      </c>
      <c r="BT21" s="11">
        <f t="shared" ca="1" si="21"/>
        <v>0.05</v>
      </c>
      <c r="BU21" s="11" t="str">
        <f ca="1">OFFSET('COM Techs T15'!$AO21,0,MATCH(VLOOKUP('COM Veda input'!BU$3,'RES Assumptions T15'!$V$3:$W$35,2,FALSE),'COM Techs T15'!$G$3:$U$3,0))</f>
        <v/>
      </c>
      <c r="BV21" s="11" t="str">
        <f ca="1">OFFSET('COM Techs T15'!$AO21,0,MATCH(VLOOKUP('COM Veda input'!BV$3,'RES Assumptions T15'!$V$3:$W$35,2,FALSE),'COM Techs T15'!$G$3:$U$3,0))</f>
        <v/>
      </c>
      <c r="BW21" s="11">
        <f ca="1">OFFSET('COM Techs T15'!$AO21,0,MATCH(VLOOKUP('COM Veda input'!BW$3,'RES Assumptions T15'!$V$3:$W$35,2,FALSE),'COM Techs T15'!$G$3:$U$3,0))</f>
        <v>0.7</v>
      </c>
      <c r="BX21" s="11" t="str">
        <f ca="1">OFFSET('COM Techs T15'!$AO21,0,MATCH(VLOOKUP('COM Veda input'!BX$3,'RES Assumptions T15'!$V$3:$W$35,2,FALSE),'COM Techs T15'!$G$3:$U$3,0))</f>
        <v/>
      </c>
      <c r="BY21" s="11">
        <f ca="1">OFFSET('COM Techs T15'!$AO21,0,MATCH(VLOOKUP('COM Veda input'!BY$3,'RES Assumptions T15'!$V$3:$W$35,2,FALSE),'COM Techs T15'!$G$3:$U$3,0))</f>
        <v>1</v>
      </c>
      <c r="BZ21" s="11">
        <f ca="1">OFFSET('COM Techs T15'!$AO21,0,MATCH(VLOOKUP('COM Veda input'!BZ$3,'RES Assumptions T15'!$V$3:$W$35,2,FALSE),'COM Techs T15'!$G$3:$U$3,0))</f>
        <v>0.6</v>
      </c>
      <c r="CA21" s="11" t="str">
        <f ca="1">OFFSET('COM Techs T15'!$AO21,0,MATCH(VLOOKUP('COM Veda input'!CA$3,'RES Assumptions T15'!$V$3:$W$35,2,FALSE),'COM Techs T15'!$G$3:$U$3,0))</f>
        <v/>
      </c>
      <c r="CB21" s="11">
        <f ca="1">OFFSET('COM Techs T15'!$AO21,0,MATCH(VLOOKUP('COM Veda input'!CB$3,'RES Assumptions T15'!$V$3:$W$35,2,FALSE),'COM Techs T15'!$G$3:$U$3,0))</f>
        <v>0.7</v>
      </c>
      <c r="CC21" s="11">
        <f ca="1">OFFSET('COM Techs T15'!$AO21,0,MATCH(VLOOKUP('COM Veda input'!CC$3,'RES Assumptions T15'!$V$3:$W$35,2,FALSE),'COM Techs T15'!$G$3:$U$3,0))</f>
        <v>0.05</v>
      </c>
      <c r="CD21" s="11">
        <f ca="1">OFFSET('COM Techs T15'!$AO21,0,MATCH(VLOOKUP('COM Veda input'!CD$3,'RES Assumptions T15'!$V$3:$W$35,2,FALSE),'COM Techs T15'!$G$3:$U$3,0))</f>
        <v>0.6</v>
      </c>
      <c r="CE21" s="11" t="str">
        <f ca="1">OFFSET('COM Techs T15'!$AO21,0,MATCH(VLOOKUP('COM Veda input'!CE$3,'RES Assumptions T15'!$V$3:$W$35,2,FALSE),'COM Techs T15'!$G$3:$U$3,0))</f>
        <v/>
      </c>
      <c r="CF21" s="11" t="str">
        <f ca="1">OFFSET('COM Techs T15'!$AO21,0,MATCH(VLOOKUP('COM Veda input'!CF$3,'RES Assumptions T15'!$V$3:$W$35,2,FALSE),'COM Techs T15'!$G$3:$U$3,0))</f>
        <v/>
      </c>
      <c r="CG21" s="11" t="str">
        <f ca="1">OFFSET('COM Techs T15'!$AO21,0,MATCH(VLOOKUP('COM Veda input'!CG$3,'RES Assumptions T15'!$V$3:$W$35,2,FALSE),'COM Techs T15'!$G$3:$U$3,0))</f>
        <v/>
      </c>
      <c r="CH21" s="11" t="str">
        <f ca="1">OFFSET('COM Techs T15'!$AO21,0,MATCH(VLOOKUP('COM Veda input'!CH$3,'RES Assumptions T15'!$V$3:$W$35,2,FALSE),'COM Techs T15'!$G$3:$U$3,0))</f>
        <v/>
      </c>
      <c r="CI21" s="11" t="str">
        <f ca="1">OFFSET('COM Techs T15'!$AO21,0,MATCH(VLOOKUP('COM Veda input'!CI$3,'RES Assumptions T15'!$V$3:$W$35,2,FALSE),'COM Techs T15'!$G$3:$U$3,0))</f>
        <v/>
      </c>
      <c r="CJ21" s="11" t="str">
        <f ca="1">OFFSET('COM Techs T15'!$AO21,0,MATCH(VLOOKUP('COM Veda input'!CJ$3,'RES Assumptions T15'!$V$3:$W$35,2,FALSE),'COM Techs T15'!$G$3:$U$3,0))</f>
        <v/>
      </c>
      <c r="CK21" s="11">
        <f ca="1">OFFSET('COM Techs T15'!$AO21,0,MATCH(VLOOKUP('COM Veda input'!CK$3,'RES Assumptions T15'!$V$3:$W$35,2,FALSE),'COM Techs T15'!$G$3:$U$3,0))</f>
        <v>0.7</v>
      </c>
      <c r="CL21" s="11" t="str">
        <f ca="1">OFFSET('COM Techs T15'!$AO21,0,MATCH(VLOOKUP('COM Veda input'!CL$3,'RES Assumptions T15'!$V$3:$W$35,2,FALSE),'COM Techs T15'!$G$3:$U$3,0))</f>
        <v/>
      </c>
      <c r="CM21" s="11" t="str">
        <f ca="1">OFFSET('COM Techs T15'!$AO21,0,MATCH(VLOOKUP('COM Veda input'!CM$3,'RES Assumptions T15'!$V$3:$W$35,2,FALSE),'COM Techs T15'!$G$3:$U$3,0))</f>
        <v/>
      </c>
      <c r="CN21" s="11">
        <f ca="1">OFFSET('COM Techs T15'!$AO21,0,MATCH(VLOOKUP('COM Veda input'!CN$3,'RES Assumptions T15'!$V$3:$W$35,2,FALSE),'COM Techs T15'!$G$3:$U$3,0))</f>
        <v>0.6</v>
      </c>
      <c r="CO21" s="11">
        <f ca="1">OFFSET('COM Techs T15'!$AO21,0,MATCH(VLOOKUP('COM Veda input'!CO$3,'RES Assumptions T15'!$V$3:$W$35,2,FALSE),'COM Techs T15'!$G$3:$U$3,0))</f>
        <v>0.7</v>
      </c>
      <c r="CP21" s="11">
        <f ca="1">OFFSET('COM Techs T15'!$AO21,0,MATCH(VLOOKUP('COM Veda input'!CP$3,'RES Assumptions T15'!$V$3:$W$35,2,FALSE),'COM Techs T15'!$G$3:$U$3,0))</f>
        <v>0.8</v>
      </c>
      <c r="CQ21" s="11">
        <f ca="1">OFFSET('COM Techs T15'!$AO21,0,MATCH(VLOOKUP('COM Veda input'!CQ$3,'RES Assumptions T15'!$V$3:$W$35,2,FALSE),'COM Techs T15'!$G$3:$U$3,0))</f>
        <v>0.7</v>
      </c>
      <c r="CR21" s="11" t="str">
        <f ca="1">OFFSET('COM Techs T15'!$AO21,0,MATCH(VLOOKUP('COM Veda input'!CR$3,'RES Assumptions T15'!$V$3:$W$35,2,FALSE),'COM Techs T15'!$G$3:$U$3,0))</f>
        <v/>
      </c>
      <c r="CS21" s="11" t="str">
        <f ca="1">OFFSET('COM Techs T15'!$AO21,0,MATCH(VLOOKUP('COM Veda input'!CS$3,'RES Assumptions T15'!$V$3:$W$35,2,FALSE),'COM Techs T15'!$G$3:$U$3,0))</f>
        <v/>
      </c>
      <c r="CT21" s="11">
        <f ca="1">OFFSET('COM Techs T15'!$AO21,0,MATCH(VLOOKUP('COM Veda input'!CT$3,'RES Assumptions T15'!$V$3:$W$35,2,FALSE),'COM Techs T15'!$G$3:$U$3,0))</f>
        <v>0.7</v>
      </c>
      <c r="CU21" s="11" t="str">
        <f ca="1">OFFSET('COM Techs T15'!$AO21,0,MATCH(VLOOKUP('COM Veda input'!CU$3,'RES Assumptions T15'!$V$3:$W$35,2,FALSE),'COM Techs T15'!$G$3:$U$3,0))</f>
        <v/>
      </c>
      <c r="CV21" s="11" t="str">
        <f ca="1">OFFSET('COM Techs T15'!$AO21,0,MATCH(VLOOKUP('COM Veda input'!CV$3,'RES Assumptions T15'!$V$3:$W$35,2,FALSE),'COM Techs T15'!$G$3:$U$3,0))</f>
        <v/>
      </c>
      <c r="CW21" s="11">
        <f ca="1">OFFSET('COM Techs T15'!$AO21,0,MATCH(VLOOKUP('COM Veda input'!CW$3,'RES Assumptions T15'!$V$3:$W$35,2,FALSE),'COM Techs T15'!$G$3:$U$3,0))</f>
        <v>0.4</v>
      </c>
      <c r="CX21" s="11">
        <f ca="1">OFFSET('COM Techs T15'!$AO21,0,MATCH(VLOOKUP('COM Veda input'!CX$3,'RES Assumptions T15'!$V$3:$W$35,2,FALSE),'COM Techs T15'!$G$3:$U$3,0))</f>
        <v>0.4</v>
      </c>
      <c r="CZ21" s="8" t="str">
        <f t="shared" si="22"/>
        <v>CSHDST000</v>
      </c>
      <c r="DA21" s="10">
        <f ca="1">'COM Assumptions'!E98*G21/'COM Veda input'!AM21</f>
        <v>3.5083960487999999</v>
      </c>
      <c r="DB21" s="10">
        <f ca="1">'COM Assumptions'!F98*H21/'COM Veda input'!AN21</f>
        <v>31.121361534600005</v>
      </c>
      <c r="DC21" s="10">
        <f ca="1">'COM Assumptions'!G98*I21/'COM Veda input'!AO21</f>
        <v>6.2009710902000004</v>
      </c>
      <c r="DD21" s="10">
        <f ca="1">'COM Assumptions'!H98*J21/'COM Veda input'!AP21</f>
        <v>48.665960622000007</v>
      </c>
      <c r="DE21" s="10">
        <f ca="1">'COM Assumptions'!I98*K21/'COM Veda input'!AQ21</f>
        <v>394.04713595219999</v>
      </c>
      <c r="DF21" s="10">
        <f ca="1">'COM Assumptions'!J98*L21/'COM Veda input'!AR21</f>
        <v>74.923560558000005</v>
      </c>
      <c r="DG21" s="10">
        <f ca="1">'COM Assumptions'!K98*M21/'COM Veda input'!AS21</f>
        <v>65.600491769379303</v>
      </c>
      <c r="DH21" s="10">
        <f ca="1">'COM Assumptions'!L98*N21/'COM Veda input'!AT21</f>
        <v>0.54368947440000015</v>
      </c>
      <c r="DI21" s="10">
        <f ca="1">'COM Assumptions'!M98*O21/'COM Veda input'!AU21</f>
        <v>14.969454270545455</v>
      </c>
      <c r="DJ21" s="10">
        <f ca="1">'COM Assumptions'!N98*P21/'COM Veda input'!AV21</f>
        <v>163.68983799615</v>
      </c>
      <c r="DK21" s="10">
        <f ca="1">'COM Assumptions'!O98*Q21/'COM Veda input'!AW21</f>
        <v>36.1432093743</v>
      </c>
      <c r="DL21" s="10">
        <f ca="1">'COM Assumptions'!P98*R21/'COM Veda input'!AX21</f>
        <v>43.768260299250002</v>
      </c>
      <c r="DM21" s="10">
        <f ca="1">'COM Assumptions'!Q98*S21/'COM Veda input'!AY21</f>
        <v>77.730298121700002</v>
      </c>
      <c r="DN21" s="10">
        <f ca="1">'COM Assumptions'!R98*T21/'COM Veda input'!AZ21</f>
        <v>13.080377532599998</v>
      </c>
      <c r="DO21" s="10">
        <f ca="1">'COM Assumptions'!S98*U21/'COM Veda input'!BA21</f>
        <v>16.088498606250003</v>
      </c>
      <c r="DP21" s="10">
        <f ca="1">'COM Assumptions'!T98*V21/'COM Veda input'!BB21</f>
        <v>82.457548059600001</v>
      </c>
      <c r="DQ21" s="10">
        <f ca="1">'COM Assumptions'!U98*W21/'COM Veda input'!BC21</f>
        <v>13.123294326000002</v>
      </c>
      <c r="DR21" s="10">
        <f ca="1">'COM Assumptions'!V98*X21/'COM Veda input'!BD21</f>
        <v>149.81187872699999</v>
      </c>
      <c r="DS21" s="10">
        <f ca="1">'COM Assumptions'!W98*Y21/'COM Veda input'!BE21</f>
        <v>230.04484806240001</v>
      </c>
      <c r="DT21" s="10">
        <f ca="1">'COM Assumptions'!X98*Z21/'COM Veda input'!BF21</f>
        <v>0</v>
      </c>
      <c r="DU21" s="10">
        <f ca="1">'COM Assumptions'!Y98*AA21/'COM Veda input'!BG21</f>
        <v>7.4514028716000009</v>
      </c>
      <c r="DV21" s="10">
        <f ca="1">'COM Assumptions'!Z98*AB21/'COM Veda input'!BH21</f>
        <v>0.33374971530000008</v>
      </c>
      <c r="DW21" s="10">
        <f ca="1">'COM Assumptions'!AA98*AC21/'COM Veda input'!BI21</f>
        <v>10.455796123200001</v>
      </c>
      <c r="DX21" s="10">
        <f ca="1">'COM Assumptions'!AB98*AD21/'COM Veda input'!BJ21</f>
        <v>20.799435201300003</v>
      </c>
      <c r="DY21" s="10">
        <f ca="1">'COM Assumptions'!AC98*AE21/'COM Veda input'!BK21</f>
        <v>114.08623095375002</v>
      </c>
      <c r="DZ21" s="10">
        <f ca="1">'COM Assumptions'!AD98*AF21/'COM Veda input'!BL21</f>
        <v>0</v>
      </c>
      <c r="EA21" s="10">
        <f ca="1">'COM Assumptions'!AE98*AG21/'COM Veda input'!BM21</f>
        <v>1.8719015327999999</v>
      </c>
      <c r="EB21" s="10">
        <f ca="1">'COM Assumptions'!AF98*AH21/'COM Veda input'!BN21</f>
        <v>67.705992559800009</v>
      </c>
      <c r="EC21" s="10">
        <f ca="1">'COM Assumptions'!AG98*AI21/'COM Veda input'!BO21</f>
        <v>646.75034271540005</v>
      </c>
      <c r="ED21" s="10">
        <f ca="1">'COM Assumptions'!AH98*AJ21/'COM Veda input'!BP21</f>
        <v>0</v>
      </c>
      <c r="EE21" s="8">
        <v>20</v>
      </c>
      <c r="EI21" s="8" t="str">
        <f t="shared" si="23"/>
        <v>CSHDST000</v>
      </c>
      <c r="EK21" t="s">
        <v>282</v>
      </c>
      <c r="EL21" t="s">
        <v>283</v>
      </c>
    </row>
    <row r="22" spans="1:142" x14ac:dyDescent="0.45">
      <c r="A22" s="37" t="str">
        <f>'COM Assumptions'!B99</f>
        <v>CH</v>
      </c>
      <c r="B22" s="37" t="s">
        <v>199</v>
      </c>
      <c r="D22" t="s">
        <v>324</v>
      </c>
      <c r="E22" s="8" t="str">
        <f>'COM Assumptions'!A99</f>
        <v>COMELC</v>
      </c>
      <c r="F22" t="str">
        <f>VLOOKUP('COM Assumptions'!B99,'COM Assumptions'!$AP$81:$AQ$88,2,FALSE)</f>
        <v>CSH</v>
      </c>
      <c r="G22" s="11">
        <f ca="1">OFFSET('COM Techs T15'!$F22,0,MATCH(VLOOKUP('COM Veda input'!G$3,'RES Assumptions T15'!$V$3:$W$35,2,FALSE),'COM Techs T15'!$G$3:$U$3,0))</f>
        <v>2</v>
      </c>
      <c r="H22" s="11">
        <f ca="1">OFFSET('COM Techs T15'!$F22,0,MATCH(VLOOKUP('COM Veda input'!H$3,'RES Assumptions T15'!$V$3:$W$35,2,FALSE),'COM Techs T15'!$G$3:$U$3,0))</f>
        <v>2</v>
      </c>
      <c r="I22" s="11">
        <f ca="1">OFFSET('COM Techs T15'!$F22,0,MATCH(VLOOKUP('COM Veda input'!I$3,'RES Assumptions T15'!$V$3:$W$35,2,FALSE),'COM Techs T15'!$G$3:$U$3,0))</f>
        <v>2</v>
      </c>
      <c r="J22" s="11">
        <f ca="1">OFFSET('COM Techs T15'!$F22,0,MATCH(VLOOKUP('COM Veda input'!J$3,'RES Assumptions T15'!$V$3:$W$35,2,FALSE),'COM Techs T15'!$G$3:$U$3,0))</f>
        <v>2</v>
      </c>
      <c r="K22" s="11">
        <f ca="1">OFFSET('COM Techs T15'!$F22,0,MATCH(VLOOKUP('COM Veda input'!K$3,'RES Assumptions T15'!$V$3:$W$35,2,FALSE),'COM Techs T15'!$G$3:$U$3,0))</f>
        <v>2</v>
      </c>
      <c r="L22" s="11">
        <f ca="1">OFFSET('COM Techs T15'!$F22,0,MATCH(VLOOKUP('COM Veda input'!L$3,'RES Assumptions T15'!$V$3:$W$35,2,FALSE),'COM Techs T15'!$G$3:$U$3,0))</f>
        <v>2</v>
      </c>
      <c r="M22" s="11">
        <f ca="1">OFFSET('COM Techs T15'!$F22,0,MATCH(VLOOKUP('COM Veda input'!M$3,'RES Assumptions T15'!$V$3:$W$35,2,FALSE),'COM Techs T15'!$G$3:$U$3,0))</f>
        <v>2</v>
      </c>
      <c r="N22" s="11">
        <f ca="1">OFFSET('COM Techs T15'!$F22,0,MATCH(VLOOKUP('COM Veda input'!N$3,'RES Assumptions T15'!$V$3:$W$35,2,FALSE),'COM Techs T15'!$G$3:$U$3,0))</f>
        <v>2</v>
      </c>
      <c r="O22" s="11">
        <f ca="1">OFFSET('COM Techs T15'!$F22,0,MATCH(VLOOKUP('COM Veda input'!O$3,'RES Assumptions T15'!$V$3:$W$35,2,FALSE),'COM Techs T15'!$G$3:$U$3,0))</f>
        <v>2</v>
      </c>
      <c r="P22" s="11">
        <f ca="1">OFFSET('COM Techs T15'!$F22,0,MATCH(VLOOKUP('COM Veda input'!P$3,'RES Assumptions T15'!$V$3:$W$35,2,FALSE),'COM Techs T15'!$G$3:$U$3,0))</f>
        <v>2</v>
      </c>
      <c r="Q22" s="11">
        <f ca="1">OFFSET('COM Techs T15'!$F22,0,MATCH(VLOOKUP('COM Veda input'!Q$3,'RES Assumptions T15'!$V$3:$W$35,2,FALSE),'COM Techs T15'!$G$3:$U$3,0))</f>
        <v>2</v>
      </c>
      <c r="R22" s="11">
        <f ca="1">OFFSET('COM Techs T15'!$F22,0,MATCH(VLOOKUP('COM Veda input'!R$3,'RES Assumptions T15'!$V$3:$W$35,2,FALSE),'COM Techs T15'!$G$3:$U$3,0))</f>
        <v>2</v>
      </c>
      <c r="S22" s="11">
        <f ca="1">OFFSET('COM Techs T15'!$F22,0,MATCH(VLOOKUP('COM Veda input'!S$3,'RES Assumptions T15'!$V$3:$W$35,2,FALSE),'COM Techs T15'!$G$3:$U$3,0))</f>
        <v>2</v>
      </c>
      <c r="T22" s="11">
        <f ca="1">OFFSET('COM Techs T15'!$F22,0,MATCH(VLOOKUP('COM Veda input'!T$3,'RES Assumptions T15'!$V$3:$W$35,2,FALSE),'COM Techs T15'!$G$3:$U$3,0))</f>
        <v>2</v>
      </c>
      <c r="U22" s="11">
        <f ca="1">OFFSET('COM Techs T15'!$F22,0,MATCH(VLOOKUP('COM Veda input'!U$3,'RES Assumptions T15'!$V$3:$W$35,2,FALSE),'COM Techs T15'!$G$3:$U$3,0))</f>
        <v>2</v>
      </c>
      <c r="V22" s="11">
        <f ca="1">OFFSET('COM Techs T15'!$F22,0,MATCH(VLOOKUP('COM Veda input'!V$3,'RES Assumptions T15'!$V$3:$W$35,2,FALSE),'COM Techs T15'!$G$3:$U$3,0))</f>
        <v>2</v>
      </c>
      <c r="W22" s="11">
        <f ca="1">OFFSET('COM Techs T15'!$F22,0,MATCH(VLOOKUP('COM Veda input'!W$3,'RES Assumptions T15'!$V$3:$W$35,2,FALSE),'COM Techs T15'!$G$3:$U$3,0))</f>
        <v>2</v>
      </c>
      <c r="X22" s="11">
        <f ca="1">OFFSET('COM Techs T15'!$F22,0,MATCH(VLOOKUP('COM Veda input'!X$3,'RES Assumptions T15'!$V$3:$W$35,2,FALSE),'COM Techs T15'!$G$3:$U$3,0))</f>
        <v>2</v>
      </c>
      <c r="Y22" s="11">
        <f ca="1">OFFSET('COM Techs T15'!$F22,0,MATCH(VLOOKUP('COM Veda input'!Y$3,'RES Assumptions T15'!$V$3:$W$35,2,FALSE),'COM Techs T15'!$G$3:$U$3,0))</f>
        <v>2</v>
      </c>
      <c r="Z22" s="11">
        <f ca="1">OFFSET('COM Techs T15'!$F22,0,MATCH(VLOOKUP('COM Veda input'!Z$3,'RES Assumptions T15'!$V$3:$W$35,2,FALSE),'COM Techs T15'!$G$3:$U$3,0))</f>
        <v>2</v>
      </c>
      <c r="AA22" s="11">
        <f ca="1">OFFSET('COM Techs T15'!$F22,0,MATCH(VLOOKUP('COM Veda input'!AA$3,'RES Assumptions T15'!$V$3:$W$35,2,FALSE),'COM Techs T15'!$G$3:$U$3,0))</f>
        <v>2</v>
      </c>
      <c r="AB22" s="11">
        <f ca="1">OFFSET('COM Techs T15'!$F22,0,MATCH(VLOOKUP('COM Veda input'!AB$3,'RES Assumptions T15'!$V$3:$W$35,2,FALSE),'COM Techs T15'!$G$3:$U$3,0))</f>
        <v>2</v>
      </c>
      <c r="AC22" s="11">
        <f ca="1">OFFSET('COM Techs T15'!$F22,0,MATCH(VLOOKUP('COM Veda input'!AC$3,'RES Assumptions T15'!$V$3:$W$35,2,FALSE),'COM Techs T15'!$G$3:$U$3,0))</f>
        <v>2</v>
      </c>
      <c r="AD22" s="11">
        <f ca="1">OFFSET('COM Techs T15'!$F22,0,MATCH(VLOOKUP('COM Veda input'!AD$3,'RES Assumptions T15'!$V$3:$W$35,2,FALSE),'COM Techs T15'!$G$3:$U$3,0))</f>
        <v>2</v>
      </c>
      <c r="AE22" s="11">
        <f ca="1">OFFSET('COM Techs T15'!$F22,0,MATCH(VLOOKUP('COM Veda input'!AE$3,'RES Assumptions T15'!$V$3:$W$35,2,FALSE),'COM Techs T15'!$G$3:$U$3,0))</f>
        <v>2</v>
      </c>
      <c r="AF22" s="11">
        <f ca="1">OFFSET('COM Techs T15'!$F22,0,MATCH(VLOOKUP('COM Veda input'!AF$3,'RES Assumptions T15'!$V$3:$W$35,2,FALSE),'COM Techs T15'!$G$3:$U$3,0))</f>
        <v>2</v>
      </c>
      <c r="AG22" s="11">
        <f ca="1">OFFSET('COM Techs T15'!$F22,0,MATCH(VLOOKUP('COM Veda input'!AG$3,'RES Assumptions T15'!$V$3:$W$35,2,FALSE),'COM Techs T15'!$G$3:$U$3,0))</f>
        <v>2</v>
      </c>
      <c r="AH22" s="11">
        <f ca="1">OFFSET('COM Techs T15'!$F22,0,MATCH(VLOOKUP('COM Veda input'!AH$3,'RES Assumptions T15'!$V$3:$W$35,2,FALSE),'COM Techs T15'!$G$3:$U$3,0))</f>
        <v>2</v>
      </c>
      <c r="AI22" s="11">
        <f ca="1">OFFSET('COM Techs T15'!$F22,0,MATCH(VLOOKUP('COM Veda input'!AI$3,'RES Assumptions T15'!$V$3:$W$35,2,FALSE),'COM Techs T15'!$G$3:$U$3,0))</f>
        <v>2</v>
      </c>
      <c r="AJ22" s="11">
        <f ca="1">OFFSET('COM Techs T15'!$F22,0,MATCH(VLOOKUP('COM Veda input'!AJ$3,'RES Assumptions T15'!$V$3:$W$35,2,FALSE),'COM Techs T15'!$G$3:$U$3,0))</f>
        <v>2</v>
      </c>
      <c r="AL22" s="8" t="str">
        <f t="shared" si="19"/>
        <v>CSHEHP000</v>
      </c>
      <c r="AM22" s="11">
        <f ca="1">OFFSET('COM Techs T15'!$W22,0,MATCH(VLOOKUP('COM Veda input'!AM$3,'RES Assumptions T15'!$V$3:$W$35,2,FALSE),'COM Techs T15'!$G$3:$U$3,0))</f>
        <v>0.3</v>
      </c>
      <c r="AN22" s="11">
        <f ca="1">OFFSET('COM Techs T15'!$W22,0,MATCH(VLOOKUP('COM Veda input'!AN$3,'RES Assumptions T15'!$V$3:$W$35,2,FALSE),'COM Techs T15'!$G$3:$U$3,0))</f>
        <v>0.3</v>
      </c>
      <c r="AO22" s="11">
        <f ca="1">OFFSET('COM Techs T15'!$W22,0,MATCH(VLOOKUP('COM Veda input'!AO$3,'RES Assumptions T15'!$V$3:$W$35,2,FALSE),'COM Techs T15'!$G$3:$U$3,0))</f>
        <v>0.3</v>
      </c>
      <c r="AP22" s="11">
        <f ca="1">OFFSET('COM Techs T15'!$W22,0,MATCH(VLOOKUP('COM Veda input'!AP$3,'RES Assumptions T15'!$V$3:$W$35,2,FALSE),'COM Techs T15'!$G$3:$U$3,0))</f>
        <v>0.3</v>
      </c>
      <c r="AQ22" s="11">
        <f ca="1">OFFSET('COM Techs T15'!$W22,0,MATCH(VLOOKUP('COM Veda input'!AQ$3,'RES Assumptions T15'!$V$3:$W$35,2,FALSE),'COM Techs T15'!$G$3:$U$3,0))</f>
        <v>0.3</v>
      </c>
      <c r="AR22" s="11">
        <f ca="1">OFFSET('COM Techs T15'!$W22,0,MATCH(VLOOKUP('COM Veda input'!AR$3,'RES Assumptions T15'!$V$3:$W$35,2,FALSE),'COM Techs T15'!$G$3:$U$3,0))</f>
        <v>0.3</v>
      </c>
      <c r="AS22" s="11">
        <f ca="1">OFFSET('COM Techs T15'!$W22,0,MATCH(VLOOKUP('COM Veda input'!AS$3,'RES Assumptions T15'!$V$3:$W$35,2,FALSE),'COM Techs T15'!$G$3:$U$3,0))</f>
        <v>0.28999999999999998</v>
      </c>
      <c r="AT22" s="11">
        <f ca="1">OFFSET('COM Techs T15'!$W22,0,MATCH(VLOOKUP('COM Veda input'!AT$3,'RES Assumptions T15'!$V$3:$W$35,2,FALSE),'COM Techs T15'!$G$3:$U$3,0))</f>
        <v>0.3</v>
      </c>
      <c r="AU22" s="11">
        <f ca="1">OFFSET('COM Techs T15'!$W22,0,MATCH(VLOOKUP('COM Veda input'!AU$3,'RES Assumptions T15'!$V$3:$W$35,2,FALSE),'COM Techs T15'!$G$3:$U$3,0))</f>
        <v>0.33</v>
      </c>
      <c r="AV22" s="11">
        <f ca="1">OFFSET('COM Techs T15'!$W22,0,MATCH(VLOOKUP('COM Veda input'!AV$3,'RES Assumptions T15'!$V$3:$W$35,2,FALSE),'COM Techs T15'!$G$3:$U$3,0))</f>
        <v>0.3</v>
      </c>
      <c r="AW22" s="11">
        <f ca="1">OFFSET('COM Techs T15'!$W22,0,MATCH(VLOOKUP('COM Veda input'!AW$3,'RES Assumptions T15'!$V$3:$W$35,2,FALSE),'COM Techs T15'!$G$3:$U$3,0))</f>
        <v>0.3</v>
      </c>
      <c r="AX22" s="11">
        <f ca="1">OFFSET('COM Techs T15'!$W22,0,MATCH(VLOOKUP('COM Veda input'!AX$3,'RES Assumptions T15'!$V$3:$W$35,2,FALSE),'COM Techs T15'!$G$3:$U$3,0))</f>
        <v>0.3</v>
      </c>
      <c r="AY22" s="11">
        <f ca="1">OFFSET('COM Techs T15'!$W22,0,MATCH(VLOOKUP('COM Veda input'!AY$3,'RES Assumptions T15'!$V$3:$W$35,2,FALSE),'COM Techs T15'!$G$3:$U$3,0))</f>
        <v>0.3</v>
      </c>
      <c r="AZ22" s="11">
        <f ca="1">OFFSET('COM Techs T15'!$W22,0,MATCH(VLOOKUP('COM Veda input'!AZ$3,'RES Assumptions T15'!$V$3:$W$35,2,FALSE),'COM Techs T15'!$G$3:$U$3,0))</f>
        <v>0.3</v>
      </c>
      <c r="BA22" s="11">
        <f ca="1">OFFSET('COM Techs T15'!$W22,0,MATCH(VLOOKUP('COM Veda input'!BA$3,'RES Assumptions T15'!$V$3:$W$35,2,FALSE),'COM Techs T15'!$G$3:$U$3,0))</f>
        <v>0.3</v>
      </c>
      <c r="BB22" s="11">
        <f ca="1">OFFSET('COM Techs T15'!$W22,0,MATCH(VLOOKUP('COM Veda input'!BB$3,'RES Assumptions T15'!$V$3:$W$35,2,FALSE),'COM Techs T15'!$G$3:$U$3,0))</f>
        <v>0.3</v>
      </c>
      <c r="BC22" s="11">
        <f ca="1">OFFSET('COM Techs T15'!$W22,0,MATCH(VLOOKUP('COM Veda input'!BC$3,'RES Assumptions T15'!$V$3:$W$35,2,FALSE),'COM Techs T15'!$G$3:$U$3,0))</f>
        <v>0.3</v>
      </c>
      <c r="BD22" s="11">
        <f ca="1">OFFSET('COM Techs T15'!$W22,0,MATCH(VLOOKUP('COM Veda input'!BD$3,'RES Assumptions T15'!$V$3:$W$35,2,FALSE),'COM Techs T15'!$G$3:$U$3,0))</f>
        <v>0.3</v>
      </c>
      <c r="BE22" s="11">
        <f ca="1">OFFSET('COM Techs T15'!$W22,0,MATCH(VLOOKUP('COM Veda input'!BE$3,'RES Assumptions T15'!$V$3:$W$35,2,FALSE),'COM Techs T15'!$G$3:$U$3,0))</f>
        <v>0.3</v>
      </c>
      <c r="BF22" s="11">
        <f ca="1">OFFSET('COM Techs T15'!$W22,0,MATCH(VLOOKUP('COM Veda input'!BF$3,'RES Assumptions T15'!$V$3:$W$35,2,FALSE),'COM Techs T15'!$G$3:$U$3,0))</f>
        <v>0.3</v>
      </c>
      <c r="BG22" s="11">
        <f ca="1">OFFSET('COM Techs T15'!$W22,0,MATCH(VLOOKUP('COM Veda input'!BG$3,'RES Assumptions T15'!$V$3:$W$35,2,FALSE),'COM Techs T15'!$G$3:$U$3,0))</f>
        <v>0.3</v>
      </c>
      <c r="BH22" s="11">
        <f ca="1">OFFSET('COM Techs T15'!$W22,0,MATCH(VLOOKUP('COM Veda input'!BH$3,'RES Assumptions T15'!$V$3:$W$35,2,FALSE),'COM Techs T15'!$G$3:$U$3,0))</f>
        <v>0.3</v>
      </c>
      <c r="BI22" s="11">
        <f ca="1">OFFSET('COM Techs T15'!$W22,0,MATCH(VLOOKUP('COM Veda input'!BI$3,'RES Assumptions T15'!$V$3:$W$35,2,FALSE),'COM Techs T15'!$G$3:$U$3,0))</f>
        <v>0.3</v>
      </c>
      <c r="BJ22" s="11">
        <f ca="1">OFFSET('COM Techs T15'!$W22,0,MATCH(VLOOKUP('COM Veda input'!BJ$3,'RES Assumptions T15'!$V$3:$W$35,2,FALSE),'COM Techs T15'!$G$3:$U$3,0))</f>
        <v>0.3</v>
      </c>
      <c r="BK22" s="11">
        <f ca="1">OFFSET('COM Techs T15'!$W22,0,MATCH(VLOOKUP('COM Veda input'!BK$3,'RES Assumptions T15'!$V$3:$W$35,2,FALSE),'COM Techs T15'!$G$3:$U$3,0))</f>
        <v>0.3</v>
      </c>
      <c r="BL22" s="11">
        <f ca="1">OFFSET('COM Techs T15'!$W22,0,MATCH(VLOOKUP('COM Veda input'!BL$3,'RES Assumptions T15'!$V$3:$W$35,2,FALSE),'COM Techs T15'!$G$3:$U$3,0))</f>
        <v>0.3</v>
      </c>
      <c r="BM22" s="11">
        <f ca="1">OFFSET('COM Techs T15'!$W22,0,MATCH(VLOOKUP('COM Veda input'!BM$3,'RES Assumptions T15'!$V$3:$W$35,2,FALSE),'COM Techs T15'!$G$3:$U$3,0))</f>
        <v>0.3</v>
      </c>
      <c r="BN22" s="11">
        <f ca="1">OFFSET('COM Techs T15'!$W22,0,MATCH(VLOOKUP('COM Veda input'!BN$3,'RES Assumptions T15'!$V$3:$W$35,2,FALSE),'COM Techs T15'!$G$3:$U$3,0))</f>
        <v>0.3</v>
      </c>
      <c r="BO22" s="11">
        <f ca="1">OFFSET('COM Techs T15'!$W22,0,MATCH(VLOOKUP('COM Veda input'!BO$3,'RES Assumptions T15'!$V$3:$W$35,2,FALSE),'COM Techs T15'!$G$3:$U$3,0))</f>
        <v>0.3</v>
      </c>
      <c r="BP22" s="11">
        <f ca="1">OFFSET('COM Techs T15'!$W22,0,MATCH(VLOOKUP('COM Veda input'!BP$3,'RES Assumptions T15'!$V$3:$W$35,2,FALSE),'COM Techs T15'!$G$3:$U$3,0))</f>
        <v>0.3</v>
      </c>
      <c r="BQ22">
        <v>3</v>
      </c>
      <c r="BS22" s="8" t="str">
        <f t="shared" si="20"/>
        <v>CSHEHP000</v>
      </c>
      <c r="BT22" s="11">
        <f t="shared" ca="1" si="21"/>
        <v>0.45</v>
      </c>
      <c r="BU22" s="11" t="str">
        <f ca="1">OFFSET('COM Techs T15'!$AO22,0,MATCH(VLOOKUP('COM Veda input'!BU$3,'RES Assumptions T15'!$V$3:$W$35,2,FALSE),'COM Techs T15'!$G$3:$U$3,0))</f>
        <v/>
      </c>
      <c r="BV22" s="11" t="str">
        <f ca="1">OFFSET('COM Techs T15'!$AO22,0,MATCH(VLOOKUP('COM Veda input'!BV$3,'RES Assumptions T15'!$V$3:$W$35,2,FALSE),'COM Techs T15'!$G$3:$U$3,0))</f>
        <v/>
      </c>
      <c r="BW22" s="11">
        <f ca="1">OFFSET('COM Techs T15'!$AO22,0,MATCH(VLOOKUP('COM Veda input'!BW$3,'RES Assumptions T15'!$V$3:$W$35,2,FALSE),'COM Techs T15'!$G$3:$U$3,0))</f>
        <v>4.9000000000000004</v>
      </c>
      <c r="BX22" s="11" t="str">
        <f ca="1">OFFSET('COM Techs T15'!$AO22,0,MATCH(VLOOKUP('COM Veda input'!BX$3,'RES Assumptions T15'!$V$3:$W$35,2,FALSE),'COM Techs T15'!$G$3:$U$3,0))</f>
        <v/>
      </c>
      <c r="BY22" s="11">
        <f ca="1">OFFSET('COM Techs T15'!$AO22,0,MATCH(VLOOKUP('COM Veda input'!BY$3,'RES Assumptions T15'!$V$3:$W$35,2,FALSE),'COM Techs T15'!$G$3:$U$3,0))</f>
        <v>7</v>
      </c>
      <c r="BZ22" s="11">
        <f ca="1">OFFSET('COM Techs T15'!$AO22,0,MATCH(VLOOKUP('COM Veda input'!BZ$3,'RES Assumptions T15'!$V$3:$W$35,2,FALSE),'COM Techs T15'!$G$3:$U$3,0))</f>
        <v>4.2</v>
      </c>
      <c r="CA22" s="11" t="str">
        <f ca="1">OFFSET('COM Techs T15'!$AO22,0,MATCH(VLOOKUP('COM Veda input'!CA$3,'RES Assumptions T15'!$V$3:$W$35,2,FALSE),'COM Techs T15'!$G$3:$U$3,0))</f>
        <v/>
      </c>
      <c r="CB22" s="11">
        <f ca="1">OFFSET('COM Techs T15'!$AO22,0,MATCH(VLOOKUP('COM Veda input'!CB$3,'RES Assumptions T15'!$V$3:$W$35,2,FALSE),'COM Techs T15'!$G$3:$U$3,0))</f>
        <v>4.9000000000000004</v>
      </c>
      <c r="CC22" s="11">
        <f ca="1">OFFSET('COM Techs T15'!$AO22,0,MATCH(VLOOKUP('COM Veda input'!CC$3,'RES Assumptions T15'!$V$3:$W$35,2,FALSE),'COM Techs T15'!$G$3:$U$3,0))</f>
        <v>0.45</v>
      </c>
      <c r="CD22" s="11">
        <f ca="1">OFFSET('COM Techs T15'!$AO22,0,MATCH(VLOOKUP('COM Veda input'!CD$3,'RES Assumptions T15'!$V$3:$W$35,2,FALSE),'COM Techs T15'!$G$3:$U$3,0))</f>
        <v>4.2</v>
      </c>
      <c r="CE22" s="11" t="str">
        <f ca="1">OFFSET('COM Techs T15'!$AO22,0,MATCH(VLOOKUP('COM Veda input'!CE$3,'RES Assumptions T15'!$V$3:$W$35,2,FALSE),'COM Techs T15'!$G$3:$U$3,0))</f>
        <v/>
      </c>
      <c r="CF22" s="11" t="str">
        <f ca="1">OFFSET('COM Techs T15'!$AO22,0,MATCH(VLOOKUP('COM Veda input'!CF$3,'RES Assumptions T15'!$V$3:$W$35,2,FALSE),'COM Techs T15'!$G$3:$U$3,0))</f>
        <v/>
      </c>
      <c r="CG22" s="11" t="str">
        <f ca="1">OFFSET('COM Techs T15'!$AO22,0,MATCH(VLOOKUP('COM Veda input'!CG$3,'RES Assumptions T15'!$V$3:$W$35,2,FALSE),'COM Techs T15'!$G$3:$U$3,0))</f>
        <v/>
      </c>
      <c r="CH22" s="11" t="str">
        <f ca="1">OFFSET('COM Techs T15'!$AO22,0,MATCH(VLOOKUP('COM Veda input'!CH$3,'RES Assumptions T15'!$V$3:$W$35,2,FALSE),'COM Techs T15'!$G$3:$U$3,0))</f>
        <v/>
      </c>
      <c r="CI22" s="11" t="str">
        <f ca="1">OFFSET('COM Techs T15'!$AO22,0,MATCH(VLOOKUP('COM Veda input'!CI$3,'RES Assumptions T15'!$V$3:$W$35,2,FALSE),'COM Techs T15'!$G$3:$U$3,0))</f>
        <v/>
      </c>
      <c r="CJ22" s="11" t="str">
        <f ca="1">OFFSET('COM Techs T15'!$AO22,0,MATCH(VLOOKUP('COM Veda input'!CJ$3,'RES Assumptions T15'!$V$3:$W$35,2,FALSE),'COM Techs T15'!$G$3:$U$3,0))</f>
        <v/>
      </c>
      <c r="CK22" s="11">
        <f ca="1">OFFSET('COM Techs T15'!$AO22,0,MATCH(VLOOKUP('COM Veda input'!CK$3,'RES Assumptions T15'!$V$3:$W$35,2,FALSE),'COM Techs T15'!$G$3:$U$3,0))</f>
        <v>4.9000000000000004</v>
      </c>
      <c r="CL22" s="11" t="str">
        <f ca="1">OFFSET('COM Techs T15'!$AO22,0,MATCH(VLOOKUP('COM Veda input'!CL$3,'RES Assumptions T15'!$V$3:$W$35,2,FALSE),'COM Techs T15'!$G$3:$U$3,0))</f>
        <v/>
      </c>
      <c r="CM22" s="11" t="str">
        <f ca="1">OFFSET('COM Techs T15'!$AO22,0,MATCH(VLOOKUP('COM Veda input'!CM$3,'RES Assumptions T15'!$V$3:$W$35,2,FALSE),'COM Techs T15'!$G$3:$U$3,0))</f>
        <v/>
      </c>
      <c r="CN22" s="11">
        <f ca="1">OFFSET('COM Techs T15'!$AO22,0,MATCH(VLOOKUP('COM Veda input'!CN$3,'RES Assumptions T15'!$V$3:$W$35,2,FALSE),'COM Techs T15'!$G$3:$U$3,0))</f>
        <v>4.2</v>
      </c>
      <c r="CO22" s="11">
        <f ca="1">OFFSET('COM Techs T15'!$AO22,0,MATCH(VLOOKUP('COM Veda input'!CO$3,'RES Assumptions T15'!$V$3:$W$35,2,FALSE),'COM Techs T15'!$G$3:$U$3,0))</f>
        <v>4.9000000000000004</v>
      </c>
      <c r="CP22" s="11">
        <f ca="1">OFFSET('COM Techs T15'!$AO22,0,MATCH(VLOOKUP('COM Veda input'!CP$3,'RES Assumptions T15'!$V$3:$W$35,2,FALSE),'COM Techs T15'!$G$3:$U$3,0))</f>
        <v>5.6</v>
      </c>
      <c r="CQ22" s="11">
        <f ca="1">OFFSET('COM Techs T15'!$AO22,0,MATCH(VLOOKUP('COM Veda input'!CQ$3,'RES Assumptions T15'!$V$3:$W$35,2,FALSE),'COM Techs T15'!$G$3:$U$3,0))</f>
        <v>4.9000000000000004</v>
      </c>
      <c r="CR22" s="11" t="str">
        <f ca="1">OFFSET('COM Techs T15'!$AO22,0,MATCH(VLOOKUP('COM Veda input'!CR$3,'RES Assumptions T15'!$V$3:$W$35,2,FALSE),'COM Techs T15'!$G$3:$U$3,0))</f>
        <v/>
      </c>
      <c r="CS22" s="11" t="str">
        <f ca="1">OFFSET('COM Techs T15'!$AO22,0,MATCH(VLOOKUP('COM Veda input'!CS$3,'RES Assumptions T15'!$V$3:$W$35,2,FALSE),'COM Techs T15'!$G$3:$U$3,0))</f>
        <v/>
      </c>
      <c r="CT22" s="11">
        <f ca="1">OFFSET('COM Techs T15'!$AO22,0,MATCH(VLOOKUP('COM Veda input'!CT$3,'RES Assumptions T15'!$V$3:$W$35,2,FALSE),'COM Techs T15'!$G$3:$U$3,0))</f>
        <v>4.9000000000000004</v>
      </c>
      <c r="CU22" s="11" t="str">
        <f ca="1">OFFSET('COM Techs T15'!$AO22,0,MATCH(VLOOKUP('COM Veda input'!CU$3,'RES Assumptions T15'!$V$3:$W$35,2,FALSE),'COM Techs T15'!$G$3:$U$3,0))</f>
        <v/>
      </c>
      <c r="CV22" s="11" t="str">
        <f ca="1">OFFSET('COM Techs T15'!$AO22,0,MATCH(VLOOKUP('COM Veda input'!CV$3,'RES Assumptions T15'!$V$3:$W$35,2,FALSE),'COM Techs T15'!$G$3:$U$3,0))</f>
        <v/>
      </c>
      <c r="CW22" s="11">
        <f ca="1">OFFSET('COM Techs T15'!$AO22,0,MATCH(VLOOKUP('COM Veda input'!CW$3,'RES Assumptions T15'!$V$3:$W$35,2,FALSE),'COM Techs T15'!$G$3:$U$3,0))</f>
        <v>0.4</v>
      </c>
      <c r="CX22" s="11">
        <f ca="1">OFFSET('COM Techs T15'!$AO22,0,MATCH(VLOOKUP('COM Veda input'!CX$3,'RES Assumptions T15'!$V$3:$W$35,2,FALSE),'COM Techs T15'!$G$3:$U$3,0))</f>
        <v>0.4</v>
      </c>
      <c r="CZ22" s="8" t="str">
        <f t="shared" si="22"/>
        <v>CSHEHP000</v>
      </c>
      <c r="DA22" s="10">
        <f ca="1">'COM Assumptions'!E99*G22/'COM Veda input'!AM22</f>
        <v>0</v>
      </c>
      <c r="DB22" s="10">
        <f ca="1">'COM Assumptions'!F99*H22/'COM Veda input'!AN22</f>
        <v>0</v>
      </c>
      <c r="DC22" s="10">
        <f ca="1">'COM Assumptions'!G99*I22/'COM Veda input'!AO22</f>
        <v>0.20838895442400021</v>
      </c>
      <c r="DD22" s="10">
        <f ca="1">'COM Assumptions'!H99*J22/'COM Veda input'!AP22</f>
        <v>9.7654401140400005</v>
      </c>
      <c r="DE22" s="10">
        <f ca="1">'COM Assumptions'!I99*K22/'COM Veda input'!AQ22</f>
        <v>316.92579533010007</v>
      </c>
      <c r="DF22" s="10">
        <f ca="1">'COM Assumptions'!J99*L22/'COM Veda input'!AR22</f>
        <v>23.322182037264</v>
      </c>
      <c r="DG22" s="10">
        <f ca="1">'COM Assumptions'!K99*M22/'COM Veda input'!AS22</f>
        <v>4.012675261423448</v>
      </c>
      <c r="DH22" s="10">
        <f ca="1">'COM Assumptions'!L99*N22/'COM Veda input'!AT22</f>
        <v>0.67700254550400063</v>
      </c>
      <c r="DI22" s="10">
        <f ca="1">'COM Assumptions'!M99*O22/'COM Veda input'!AU22</f>
        <v>28.06780366752</v>
      </c>
      <c r="DJ22" s="10">
        <f ca="1">'COM Assumptions'!N99*P22/'COM Veda input'!AV22</f>
        <v>55.788930362833923</v>
      </c>
      <c r="DK22" s="10">
        <f ca="1">'COM Assumptions'!O99*Q22/'COM Veda input'!AW22</f>
        <v>49.794285428099997</v>
      </c>
      <c r="DL22" s="10">
        <f ca="1">'COM Assumptions'!P99*R22/'COM Veda input'!AX22</f>
        <v>22.507411163040004</v>
      </c>
      <c r="DM22" s="10">
        <f ca="1">'COM Assumptions'!Q99*S22/'COM Veda input'!AY22</f>
        <v>65.863420607699993</v>
      </c>
      <c r="DN22" s="10">
        <f ca="1">'COM Assumptions'!R99*T22/'COM Veda input'!AZ22</f>
        <v>99.351645077699999</v>
      </c>
      <c r="DO22" s="10">
        <f ca="1">'COM Assumptions'!S99*U22/'COM Veda input'!BA22</f>
        <v>8.537776151040001</v>
      </c>
      <c r="DP22" s="10">
        <f ca="1">'COM Assumptions'!T99*V22/'COM Veda input'!BB22</f>
        <v>81.962756222400003</v>
      </c>
      <c r="DQ22" s="10">
        <f ca="1">'COM Assumptions'!U99*W22/'COM Veda input'!BC22</f>
        <v>32.702372716560006</v>
      </c>
      <c r="DR22" s="10">
        <f ca="1">'COM Assumptions'!V99*X22/'COM Veda input'!BD22</f>
        <v>122.94816726870002</v>
      </c>
      <c r="DS22" s="10">
        <f ca="1">'COM Assumptions'!W99*Y22/'COM Veda input'!BE22</f>
        <v>116.97660037079999</v>
      </c>
      <c r="DT22" s="10">
        <f ca="1">'COM Assumptions'!X99*Z22/'COM Veda input'!BF22</f>
        <v>10.638528364432798</v>
      </c>
      <c r="DU22" s="10">
        <f ca="1">'COM Assumptions'!Y99*AA22/'COM Veda input'!BG22</f>
        <v>0.42890181540960037</v>
      </c>
      <c r="DV22" s="10">
        <f ca="1">'COM Assumptions'!Z99*AB22/'COM Veda input'!BH22</f>
        <v>5.1689698983000003</v>
      </c>
      <c r="DW22" s="10">
        <f ca="1">'COM Assumptions'!AA99*AC22/'COM Veda input'!BI22</f>
        <v>37.172327675280009</v>
      </c>
      <c r="DX22" s="10">
        <f ca="1">'COM Assumptions'!AB99*AD22/'COM Veda input'!BJ22</f>
        <v>24.8004438579</v>
      </c>
      <c r="DY22" s="10">
        <f ca="1">'COM Assumptions'!AC99*AE22/'COM Veda input'!BK22</f>
        <v>55.032803935920001</v>
      </c>
      <c r="DZ22" s="10">
        <f ca="1">'COM Assumptions'!AD99*AF22/'COM Veda input'!BL22</f>
        <v>29.374692353520008</v>
      </c>
      <c r="EA22" s="10">
        <f ca="1">'COM Assumptions'!AE99*AG22/'COM Veda input'!BM22</f>
        <v>0</v>
      </c>
      <c r="EB22" s="10">
        <f ca="1">'COM Assumptions'!AF99*AH22/'COM Veda input'!BN22</f>
        <v>81.108570519899999</v>
      </c>
      <c r="EC22" s="10">
        <f ca="1">'COM Assumptions'!AG99*AI22/'COM Veda input'!BO22</f>
        <v>631.20069632571608</v>
      </c>
      <c r="ED22" s="10">
        <f ca="1">'COM Assumptions'!AH99*AJ22/'COM Veda input'!BP22</f>
        <v>0</v>
      </c>
      <c r="EE22" s="8">
        <v>15</v>
      </c>
      <c r="EI22" s="8" t="str">
        <f t="shared" si="23"/>
        <v>CSHEHP000</v>
      </c>
      <c r="EK22" t="s">
        <v>282</v>
      </c>
      <c r="EL22" t="s">
        <v>283</v>
      </c>
    </row>
    <row r="23" spans="1:142" x14ac:dyDescent="0.45">
      <c r="A23" s="37" t="str">
        <f>'COM Assumptions'!B100</f>
        <v>CH</v>
      </c>
      <c r="B23" s="37" t="s">
        <v>198</v>
      </c>
      <c r="D23" t="s">
        <v>325</v>
      </c>
      <c r="E23" s="8" t="str">
        <f>'COM Assumptions'!A100</f>
        <v>COMELC</v>
      </c>
      <c r="F23" t="str">
        <f>VLOOKUP('COM Assumptions'!B100,'COM Assumptions'!$AP$81:$AQ$88,2,FALSE)</f>
        <v>CSH</v>
      </c>
      <c r="G23" s="11">
        <f ca="1">OFFSET('COM Techs T15'!$F23,0,MATCH(VLOOKUP('COM Veda input'!G$3,'RES Assumptions T15'!$V$3:$W$35,2,FALSE),'COM Techs T15'!$G$3:$U$3,0))</f>
        <v>1</v>
      </c>
      <c r="H23" s="11">
        <f ca="1">OFFSET('COM Techs T15'!$F23,0,MATCH(VLOOKUP('COM Veda input'!H$3,'RES Assumptions T15'!$V$3:$W$35,2,FALSE),'COM Techs T15'!$G$3:$U$3,0))</f>
        <v>1</v>
      </c>
      <c r="I23" s="11">
        <f ca="1">OFFSET('COM Techs T15'!$F23,0,MATCH(VLOOKUP('COM Veda input'!I$3,'RES Assumptions T15'!$V$3:$W$35,2,FALSE),'COM Techs T15'!$G$3:$U$3,0))</f>
        <v>1</v>
      </c>
      <c r="J23" s="11">
        <f ca="1">OFFSET('COM Techs T15'!$F23,0,MATCH(VLOOKUP('COM Veda input'!J$3,'RES Assumptions T15'!$V$3:$W$35,2,FALSE),'COM Techs T15'!$G$3:$U$3,0))</f>
        <v>1</v>
      </c>
      <c r="K23" s="11">
        <f ca="1">OFFSET('COM Techs T15'!$F23,0,MATCH(VLOOKUP('COM Veda input'!K$3,'RES Assumptions T15'!$V$3:$W$35,2,FALSE),'COM Techs T15'!$G$3:$U$3,0))</f>
        <v>1</v>
      </c>
      <c r="L23" s="11">
        <f ca="1">OFFSET('COM Techs T15'!$F23,0,MATCH(VLOOKUP('COM Veda input'!L$3,'RES Assumptions T15'!$V$3:$W$35,2,FALSE),'COM Techs T15'!$G$3:$U$3,0))</f>
        <v>1</v>
      </c>
      <c r="M23" s="11">
        <f ca="1">OFFSET('COM Techs T15'!$F23,0,MATCH(VLOOKUP('COM Veda input'!M$3,'RES Assumptions T15'!$V$3:$W$35,2,FALSE),'COM Techs T15'!$G$3:$U$3,0))</f>
        <v>1</v>
      </c>
      <c r="N23" s="11">
        <f ca="1">OFFSET('COM Techs T15'!$F23,0,MATCH(VLOOKUP('COM Veda input'!N$3,'RES Assumptions T15'!$V$3:$W$35,2,FALSE),'COM Techs T15'!$G$3:$U$3,0))</f>
        <v>1</v>
      </c>
      <c r="O23" s="11">
        <f ca="1">OFFSET('COM Techs T15'!$F23,0,MATCH(VLOOKUP('COM Veda input'!O$3,'RES Assumptions T15'!$V$3:$W$35,2,FALSE),'COM Techs T15'!$G$3:$U$3,0))</f>
        <v>1</v>
      </c>
      <c r="P23" s="11">
        <f ca="1">OFFSET('COM Techs T15'!$F23,0,MATCH(VLOOKUP('COM Veda input'!P$3,'RES Assumptions T15'!$V$3:$W$35,2,FALSE),'COM Techs T15'!$G$3:$U$3,0))</f>
        <v>1</v>
      </c>
      <c r="Q23" s="11">
        <f ca="1">OFFSET('COM Techs T15'!$F23,0,MATCH(VLOOKUP('COM Veda input'!Q$3,'RES Assumptions T15'!$V$3:$W$35,2,FALSE),'COM Techs T15'!$G$3:$U$3,0))</f>
        <v>1</v>
      </c>
      <c r="R23" s="11">
        <f ca="1">OFFSET('COM Techs T15'!$F23,0,MATCH(VLOOKUP('COM Veda input'!R$3,'RES Assumptions T15'!$V$3:$W$35,2,FALSE),'COM Techs T15'!$G$3:$U$3,0))</f>
        <v>1</v>
      </c>
      <c r="S23" s="11">
        <f ca="1">OFFSET('COM Techs T15'!$F23,0,MATCH(VLOOKUP('COM Veda input'!S$3,'RES Assumptions T15'!$V$3:$W$35,2,FALSE),'COM Techs T15'!$G$3:$U$3,0))</f>
        <v>1</v>
      </c>
      <c r="T23" s="11">
        <f ca="1">OFFSET('COM Techs T15'!$F23,0,MATCH(VLOOKUP('COM Veda input'!T$3,'RES Assumptions T15'!$V$3:$W$35,2,FALSE),'COM Techs T15'!$G$3:$U$3,0))</f>
        <v>1</v>
      </c>
      <c r="U23" s="11">
        <f ca="1">OFFSET('COM Techs T15'!$F23,0,MATCH(VLOOKUP('COM Veda input'!U$3,'RES Assumptions T15'!$V$3:$W$35,2,FALSE),'COM Techs T15'!$G$3:$U$3,0))</f>
        <v>1</v>
      </c>
      <c r="V23" s="11">
        <f ca="1">OFFSET('COM Techs T15'!$F23,0,MATCH(VLOOKUP('COM Veda input'!V$3,'RES Assumptions T15'!$V$3:$W$35,2,FALSE),'COM Techs T15'!$G$3:$U$3,0))</f>
        <v>1</v>
      </c>
      <c r="W23" s="11">
        <f ca="1">OFFSET('COM Techs T15'!$F23,0,MATCH(VLOOKUP('COM Veda input'!W$3,'RES Assumptions T15'!$V$3:$W$35,2,FALSE),'COM Techs T15'!$G$3:$U$3,0))</f>
        <v>1</v>
      </c>
      <c r="X23" s="11">
        <f ca="1">OFFSET('COM Techs T15'!$F23,0,MATCH(VLOOKUP('COM Veda input'!X$3,'RES Assumptions T15'!$V$3:$W$35,2,FALSE),'COM Techs T15'!$G$3:$U$3,0))</f>
        <v>1</v>
      </c>
      <c r="Y23" s="11">
        <f ca="1">OFFSET('COM Techs T15'!$F23,0,MATCH(VLOOKUP('COM Veda input'!Y$3,'RES Assumptions T15'!$V$3:$W$35,2,FALSE),'COM Techs T15'!$G$3:$U$3,0))</f>
        <v>1</v>
      </c>
      <c r="Z23" s="11">
        <f ca="1">OFFSET('COM Techs T15'!$F23,0,MATCH(VLOOKUP('COM Veda input'!Z$3,'RES Assumptions T15'!$V$3:$W$35,2,FALSE),'COM Techs T15'!$G$3:$U$3,0))</f>
        <v>1</v>
      </c>
      <c r="AA23" s="11">
        <f ca="1">OFFSET('COM Techs T15'!$F23,0,MATCH(VLOOKUP('COM Veda input'!AA$3,'RES Assumptions T15'!$V$3:$W$35,2,FALSE),'COM Techs T15'!$G$3:$U$3,0))</f>
        <v>1</v>
      </c>
      <c r="AB23" s="11">
        <f ca="1">OFFSET('COM Techs T15'!$F23,0,MATCH(VLOOKUP('COM Veda input'!AB$3,'RES Assumptions T15'!$V$3:$W$35,2,FALSE),'COM Techs T15'!$G$3:$U$3,0))</f>
        <v>1</v>
      </c>
      <c r="AC23" s="11">
        <f ca="1">OFFSET('COM Techs T15'!$F23,0,MATCH(VLOOKUP('COM Veda input'!AC$3,'RES Assumptions T15'!$V$3:$W$35,2,FALSE),'COM Techs T15'!$G$3:$U$3,0))</f>
        <v>1</v>
      </c>
      <c r="AD23" s="11">
        <f ca="1">OFFSET('COM Techs T15'!$F23,0,MATCH(VLOOKUP('COM Veda input'!AD$3,'RES Assumptions T15'!$V$3:$W$35,2,FALSE),'COM Techs T15'!$G$3:$U$3,0))</f>
        <v>1</v>
      </c>
      <c r="AE23" s="11">
        <f ca="1">OFFSET('COM Techs T15'!$F23,0,MATCH(VLOOKUP('COM Veda input'!AE$3,'RES Assumptions T15'!$V$3:$W$35,2,FALSE),'COM Techs T15'!$G$3:$U$3,0))</f>
        <v>1</v>
      </c>
      <c r="AF23" s="11">
        <f ca="1">OFFSET('COM Techs T15'!$F23,0,MATCH(VLOOKUP('COM Veda input'!AF$3,'RES Assumptions T15'!$V$3:$W$35,2,FALSE),'COM Techs T15'!$G$3:$U$3,0))</f>
        <v>1</v>
      </c>
      <c r="AG23" s="11">
        <f ca="1">OFFSET('COM Techs T15'!$F23,0,MATCH(VLOOKUP('COM Veda input'!AG$3,'RES Assumptions T15'!$V$3:$W$35,2,FALSE),'COM Techs T15'!$G$3:$U$3,0))</f>
        <v>1</v>
      </c>
      <c r="AH23" s="11">
        <f ca="1">OFFSET('COM Techs T15'!$F23,0,MATCH(VLOOKUP('COM Veda input'!AH$3,'RES Assumptions T15'!$V$3:$W$35,2,FALSE),'COM Techs T15'!$G$3:$U$3,0))</f>
        <v>1</v>
      </c>
      <c r="AI23" s="11">
        <f ca="1">OFFSET('COM Techs T15'!$F23,0,MATCH(VLOOKUP('COM Veda input'!AI$3,'RES Assumptions T15'!$V$3:$W$35,2,FALSE),'COM Techs T15'!$G$3:$U$3,0))</f>
        <v>1</v>
      </c>
      <c r="AJ23" s="11">
        <f ca="1">OFFSET('COM Techs T15'!$F23,0,MATCH(VLOOKUP('COM Veda input'!AJ$3,'RES Assumptions T15'!$V$3:$W$35,2,FALSE),'COM Techs T15'!$G$3:$U$3,0))</f>
        <v>1</v>
      </c>
      <c r="AL23" s="8" t="str">
        <f t="shared" si="19"/>
        <v>CSHERS000</v>
      </c>
      <c r="AM23" s="11">
        <f ca="1">OFFSET('COM Techs T15'!$W23,0,MATCH(VLOOKUP('COM Veda input'!AM$3,'RES Assumptions T15'!$V$3:$W$35,2,FALSE),'COM Techs T15'!$G$3:$U$3,0))</f>
        <v>0.3</v>
      </c>
      <c r="AN23" s="11">
        <f ca="1">OFFSET('COM Techs T15'!$W23,0,MATCH(VLOOKUP('COM Veda input'!AN$3,'RES Assumptions T15'!$V$3:$W$35,2,FALSE),'COM Techs T15'!$G$3:$U$3,0))</f>
        <v>0.3</v>
      </c>
      <c r="AO23" s="11">
        <f ca="1">OFFSET('COM Techs T15'!$W23,0,MATCH(VLOOKUP('COM Veda input'!AO$3,'RES Assumptions T15'!$V$3:$W$35,2,FALSE),'COM Techs T15'!$G$3:$U$3,0))</f>
        <v>0.3</v>
      </c>
      <c r="AP23" s="11">
        <f ca="1">OFFSET('COM Techs T15'!$W23,0,MATCH(VLOOKUP('COM Veda input'!AP$3,'RES Assumptions T15'!$V$3:$W$35,2,FALSE),'COM Techs T15'!$G$3:$U$3,0))</f>
        <v>0.3</v>
      </c>
      <c r="AQ23" s="11">
        <f ca="1">OFFSET('COM Techs T15'!$W23,0,MATCH(VLOOKUP('COM Veda input'!AQ$3,'RES Assumptions T15'!$V$3:$W$35,2,FALSE),'COM Techs T15'!$G$3:$U$3,0))</f>
        <v>0.3</v>
      </c>
      <c r="AR23" s="11">
        <f ca="1">OFFSET('COM Techs T15'!$W23,0,MATCH(VLOOKUP('COM Veda input'!AR$3,'RES Assumptions T15'!$V$3:$W$35,2,FALSE),'COM Techs T15'!$G$3:$U$3,0))</f>
        <v>0.3</v>
      </c>
      <c r="AS23" s="11">
        <f ca="1">OFFSET('COM Techs T15'!$W23,0,MATCH(VLOOKUP('COM Veda input'!AS$3,'RES Assumptions T15'!$V$3:$W$35,2,FALSE),'COM Techs T15'!$G$3:$U$3,0))</f>
        <v>0.28999999999999998</v>
      </c>
      <c r="AT23" s="11">
        <f ca="1">OFFSET('COM Techs T15'!$W23,0,MATCH(VLOOKUP('COM Veda input'!AT$3,'RES Assumptions T15'!$V$3:$W$35,2,FALSE),'COM Techs T15'!$G$3:$U$3,0))</f>
        <v>0.3</v>
      </c>
      <c r="AU23" s="11">
        <f ca="1">OFFSET('COM Techs T15'!$W23,0,MATCH(VLOOKUP('COM Veda input'!AU$3,'RES Assumptions T15'!$V$3:$W$35,2,FALSE),'COM Techs T15'!$G$3:$U$3,0))</f>
        <v>0.33</v>
      </c>
      <c r="AV23" s="11">
        <f ca="1">OFFSET('COM Techs T15'!$W23,0,MATCH(VLOOKUP('COM Veda input'!AV$3,'RES Assumptions T15'!$V$3:$W$35,2,FALSE),'COM Techs T15'!$G$3:$U$3,0))</f>
        <v>0.3</v>
      </c>
      <c r="AW23" s="11">
        <f ca="1">OFFSET('COM Techs T15'!$W23,0,MATCH(VLOOKUP('COM Veda input'!AW$3,'RES Assumptions T15'!$V$3:$W$35,2,FALSE),'COM Techs T15'!$G$3:$U$3,0))</f>
        <v>0.3</v>
      </c>
      <c r="AX23" s="11">
        <f ca="1">OFFSET('COM Techs T15'!$W23,0,MATCH(VLOOKUP('COM Veda input'!AX$3,'RES Assumptions T15'!$V$3:$W$35,2,FALSE),'COM Techs T15'!$G$3:$U$3,0))</f>
        <v>0.3</v>
      </c>
      <c r="AY23" s="11">
        <f ca="1">OFFSET('COM Techs T15'!$W23,0,MATCH(VLOOKUP('COM Veda input'!AY$3,'RES Assumptions T15'!$V$3:$W$35,2,FALSE),'COM Techs T15'!$G$3:$U$3,0))</f>
        <v>0.3</v>
      </c>
      <c r="AZ23" s="11">
        <f ca="1">OFFSET('COM Techs T15'!$W23,0,MATCH(VLOOKUP('COM Veda input'!AZ$3,'RES Assumptions T15'!$V$3:$W$35,2,FALSE),'COM Techs T15'!$G$3:$U$3,0))</f>
        <v>0.3</v>
      </c>
      <c r="BA23" s="11">
        <f ca="1">OFFSET('COM Techs T15'!$W23,0,MATCH(VLOOKUP('COM Veda input'!BA$3,'RES Assumptions T15'!$V$3:$W$35,2,FALSE),'COM Techs T15'!$G$3:$U$3,0))</f>
        <v>0.3</v>
      </c>
      <c r="BB23" s="11">
        <f ca="1">OFFSET('COM Techs T15'!$W23,0,MATCH(VLOOKUP('COM Veda input'!BB$3,'RES Assumptions T15'!$V$3:$W$35,2,FALSE),'COM Techs T15'!$G$3:$U$3,0))</f>
        <v>0.3</v>
      </c>
      <c r="BC23" s="11">
        <f ca="1">OFFSET('COM Techs T15'!$W23,0,MATCH(VLOOKUP('COM Veda input'!BC$3,'RES Assumptions T15'!$V$3:$W$35,2,FALSE),'COM Techs T15'!$G$3:$U$3,0))</f>
        <v>0.3</v>
      </c>
      <c r="BD23" s="11">
        <f ca="1">OFFSET('COM Techs T15'!$W23,0,MATCH(VLOOKUP('COM Veda input'!BD$3,'RES Assumptions T15'!$V$3:$W$35,2,FALSE),'COM Techs T15'!$G$3:$U$3,0))</f>
        <v>0.3</v>
      </c>
      <c r="BE23" s="11">
        <f ca="1">OFFSET('COM Techs T15'!$W23,0,MATCH(VLOOKUP('COM Veda input'!BE$3,'RES Assumptions T15'!$V$3:$W$35,2,FALSE),'COM Techs T15'!$G$3:$U$3,0))</f>
        <v>0.3</v>
      </c>
      <c r="BF23" s="11">
        <f ca="1">OFFSET('COM Techs T15'!$W23,0,MATCH(VLOOKUP('COM Veda input'!BF$3,'RES Assumptions T15'!$V$3:$W$35,2,FALSE),'COM Techs T15'!$G$3:$U$3,0))</f>
        <v>0.3</v>
      </c>
      <c r="BG23" s="11">
        <f ca="1">OFFSET('COM Techs T15'!$W23,0,MATCH(VLOOKUP('COM Veda input'!BG$3,'RES Assumptions T15'!$V$3:$W$35,2,FALSE),'COM Techs T15'!$G$3:$U$3,0))</f>
        <v>0.3</v>
      </c>
      <c r="BH23" s="11">
        <f ca="1">OFFSET('COM Techs T15'!$W23,0,MATCH(VLOOKUP('COM Veda input'!BH$3,'RES Assumptions T15'!$V$3:$W$35,2,FALSE),'COM Techs T15'!$G$3:$U$3,0))</f>
        <v>0.3</v>
      </c>
      <c r="BI23" s="11">
        <f ca="1">OFFSET('COM Techs T15'!$W23,0,MATCH(VLOOKUP('COM Veda input'!BI$3,'RES Assumptions T15'!$V$3:$W$35,2,FALSE),'COM Techs T15'!$G$3:$U$3,0))</f>
        <v>0.3</v>
      </c>
      <c r="BJ23" s="11">
        <f ca="1">OFFSET('COM Techs T15'!$W23,0,MATCH(VLOOKUP('COM Veda input'!BJ$3,'RES Assumptions T15'!$V$3:$W$35,2,FALSE),'COM Techs T15'!$G$3:$U$3,0))</f>
        <v>0.3</v>
      </c>
      <c r="BK23" s="11">
        <f ca="1">OFFSET('COM Techs T15'!$W23,0,MATCH(VLOOKUP('COM Veda input'!BK$3,'RES Assumptions T15'!$V$3:$W$35,2,FALSE),'COM Techs T15'!$G$3:$U$3,0))</f>
        <v>0.3</v>
      </c>
      <c r="BL23" s="11">
        <f ca="1">OFFSET('COM Techs T15'!$W23,0,MATCH(VLOOKUP('COM Veda input'!BL$3,'RES Assumptions T15'!$V$3:$W$35,2,FALSE),'COM Techs T15'!$G$3:$U$3,0))</f>
        <v>0.3</v>
      </c>
      <c r="BM23" s="11">
        <f ca="1">OFFSET('COM Techs T15'!$W23,0,MATCH(VLOOKUP('COM Veda input'!BM$3,'RES Assumptions T15'!$V$3:$W$35,2,FALSE),'COM Techs T15'!$G$3:$U$3,0))</f>
        <v>0.3</v>
      </c>
      <c r="BN23" s="11">
        <f ca="1">OFFSET('COM Techs T15'!$W23,0,MATCH(VLOOKUP('COM Veda input'!BN$3,'RES Assumptions T15'!$V$3:$W$35,2,FALSE),'COM Techs T15'!$G$3:$U$3,0))</f>
        <v>0.3</v>
      </c>
      <c r="BO23" s="11">
        <f ca="1">OFFSET('COM Techs T15'!$W23,0,MATCH(VLOOKUP('COM Veda input'!BO$3,'RES Assumptions T15'!$V$3:$W$35,2,FALSE),'COM Techs T15'!$G$3:$U$3,0))</f>
        <v>0.3</v>
      </c>
      <c r="BP23" s="11">
        <f ca="1">OFFSET('COM Techs T15'!$W23,0,MATCH(VLOOKUP('COM Veda input'!BP$3,'RES Assumptions T15'!$V$3:$W$35,2,FALSE),'COM Techs T15'!$G$3:$U$3,0))</f>
        <v>0.3</v>
      </c>
      <c r="BQ23">
        <v>3</v>
      </c>
      <c r="BS23" s="8" t="str">
        <f t="shared" si="20"/>
        <v>CSHERS000</v>
      </c>
      <c r="BT23" s="11">
        <f t="shared" ca="1" si="21"/>
        <v>3.6</v>
      </c>
      <c r="BU23" s="11" t="str">
        <f ca="1">OFFSET('COM Techs T15'!$AO23,0,MATCH(VLOOKUP('COM Veda input'!BU$3,'RES Assumptions T15'!$V$3:$W$35,2,FALSE),'COM Techs T15'!$G$3:$U$3,0))</f>
        <v/>
      </c>
      <c r="BV23" s="11" t="str">
        <f ca="1">OFFSET('COM Techs T15'!$AO23,0,MATCH(VLOOKUP('COM Veda input'!BV$3,'RES Assumptions T15'!$V$3:$W$35,2,FALSE),'COM Techs T15'!$G$3:$U$3,0))</f>
        <v/>
      </c>
      <c r="BW23" s="11">
        <f ca="1">OFFSET('COM Techs T15'!$AO23,0,MATCH(VLOOKUP('COM Veda input'!BW$3,'RES Assumptions T15'!$V$3:$W$35,2,FALSE),'COM Techs T15'!$G$3:$U$3,0))</f>
        <v>4.2</v>
      </c>
      <c r="BX23" s="11" t="str">
        <f ca="1">OFFSET('COM Techs T15'!$AO23,0,MATCH(VLOOKUP('COM Veda input'!BX$3,'RES Assumptions T15'!$V$3:$W$35,2,FALSE),'COM Techs T15'!$G$3:$U$3,0))</f>
        <v/>
      </c>
      <c r="BY23" s="11">
        <f ca="1">OFFSET('COM Techs T15'!$AO23,0,MATCH(VLOOKUP('COM Veda input'!BY$3,'RES Assumptions T15'!$V$3:$W$35,2,FALSE),'COM Techs T15'!$G$3:$U$3,0))</f>
        <v>6</v>
      </c>
      <c r="BZ23" s="11">
        <f ca="1">OFFSET('COM Techs T15'!$AO23,0,MATCH(VLOOKUP('COM Veda input'!BZ$3,'RES Assumptions T15'!$V$3:$W$35,2,FALSE),'COM Techs T15'!$G$3:$U$3,0))</f>
        <v>3.6</v>
      </c>
      <c r="CA23" s="11" t="str">
        <f ca="1">OFFSET('COM Techs T15'!$AO23,0,MATCH(VLOOKUP('COM Veda input'!CA$3,'RES Assumptions T15'!$V$3:$W$35,2,FALSE),'COM Techs T15'!$G$3:$U$3,0))</f>
        <v/>
      </c>
      <c r="CB23" s="11">
        <f ca="1">OFFSET('COM Techs T15'!$AO23,0,MATCH(VLOOKUP('COM Veda input'!CB$3,'RES Assumptions T15'!$V$3:$W$35,2,FALSE),'COM Techs T15'!$G$3:$U$3,0))</f>
        <v>4.2</v>
      </c>
      <c r="CC23" s="11" t="str">
        <f ca="1">OFFSET('COM Techs T15'!$AO23,0,MATCH(VLOOKUP('COM Veda input'!CC$3,'RES Assumptions T15'!$V$3:$W$35,2,FALSE),'COM Techs T15'!$G$3:$U$3,0))</f>
        <v/>
      </c>
      <c r="CD23" s="11">
        <f ca="1">OFFSET('COM Techs T15'!$AO23,0,MATCH(VLOOKUP('COM Veda input'!CD$3,'RES Assumptions T15'!$V$3:$W$35,2,FALSE),'COM Techs T15'!$G$3:$U$3,0))</f>
        <v>3.6</v>
      </c>
      <c r="CE23" s="11" t="str">
        <f ca="1">OFFSET('COM Techs T15'!$AO23,0,MATCH(VLOOKUP('COM Veda input'!CE$3,'RES Assumptions T15'!$V$3:$W$35,2,FALSE),'COM Techs T15'!$G$3:$U$3,0))</f>
        <v/>
      </c>
      <c r="CF23" s="11" t="str">
        <f ca="1">OFFSET('COM Techs T15'!$AO23,0,MATCH(VLOOKUP('COM Veda input'!CF$3,'RES Assumptions T15'!$V$3:$W$35,2,FALSE),'COM Techs T15'!$G$3:$U$3,0))</f>
        <v/>
      </c>
      <c r="CG23" s="11" t="str">
        <f ca="1">OFFSET('COM Techs T15'!$AO23,0,MATCH(VLOOKUP('COM Veda input'!CG$3,'RES Assumptions T15'!$V$3:$W$35,2,FALSE),'COM Techs T15'!$G$3:$U$3,0))</f>
        <v/>
      </c>
      <c r="CH23" s="11" t="str">
        <f ca="1">OFFSET('COM Techs T15'!$AO23,0,MATCH(VLOOKUP('COM Veda input'!CH$3,'RES Assumptions T15'!$V$3:$W$35,2,FALSE),'COM Techs T15'!$G$3:$U$3,0))</f>
        <v/>
      </c>
      <c r="CI23" s="11" t="str">
        <f ca="1">OFFSET('COM Techs T15'!$AO23,0,MATCH(VLOOKUP('COM Veda input'!CI$3,'RES Assumptions T15'!$V$3:$W$35,2,FALSE),'COM Techs T15'!$G$3:$U$3,0))</f>
        <v/>
      </c>
      <c r="CJ23" s="11" t="str">
        <f ca="1">OFFSET('COM Techs T15'!$AO23,0,MATCH(VLOOKUP('COM Veda input'!CJ$3,'RES Assumptions T15'!$V$3:$W$35,2,FALSE),'COM Techs T15'!$G$3:$U$3,0))</f>
        <v/>
      </c>
      <c r="CK23" s="11">
        <f ca="1">OFFSET('COM Techs T15'!$AO23,0,MATCH(VLOOKUP('COM Veda input'!CK$3,'RES Assumptions T15'!$V$3:$W$35,2,FALSE),'COM Techs T15'!$G$3:$U$3,0))</f>
        <v>4.2</v>
      </c>
      <c r="CL23" s="11" t="str">
        <f ca="1">OFFSET('COM Techs T15'!$AO23,0,MATCH(VLOOKUP('COM Veda input'!CL$3,'RES Assumptions T15'!$V$3:$W$35,2,FALSE),'COM Techs T15'!$G$3:$U$3,0))</f>
        <v/>
      </c>
      <c r="CM23" s="11" t="str">
        <f ca="1">OFFSET('COM Techs T15'!$AO23,0,MATCH(VLOOKUP('COM Veda input'!CM$3,'RES Assumptions T15'!$V$3:$W$35,2,FALSE),'COM Techs T15'!$G$3:$U$3,0))</f>
        <v/>
      </c>
      <c r="CN23" s="11">
        <f ca="1">OFFSET('COM Techs T15'!$AO23,0,MATCH(VLOOKUP('COM Veda input'!CN$3,'RES Assumptions T15'!$V$3:$W$35,2,FALSE),'COM Techs T15'!$G$3:$U$3,0))</f>
        <v>3.6</v>
      </c>
      <c r="CO23" s="11">
        <f ca="1">OFFSET('COM Techs T15'!$AO23,0,MATCH(VLOOKUP('COM Veda input'!CO$3,'RES Assumptions T15'!$V$3:$W$35,2,FALSE),'COM Techs T15'!$G$3:$U$3,0))</f>
        <v>4.2</v>
      </c>
      <c r="CP23" s="11">
        <f ca="1">OFFSET('COM Techs T15'!$AO23,0,MATCH(VLOOKUP('COM Veda input'!CP$3,'RES Assumptions T15'!$V$3:$W$35,2,FALSE),'COM Techs T15'!$G$3:$U$3,0))</f>
        <v>4.8</v>
      </c>
      <c r="CQ23" s="11">
        <f ca="1">OFFSET('COM Techs T15'!$AO23,0,MATCH(VLOOKUP('COM Veda input'!CQ$3,'RES Assumptions T15'!$V$3:$W$35,2,FALSE),'COM Techs T15'!$G$3:$U$3,0))</f>
        <v>4.2</v>
      </c>
      <c r="CR23" s="11" t="str">
        <f ca="1">OFFSET('COM Techs T15'!$AO23,0,MATCH(VLOOKUP('COM Veda input'!CR$3,'RES Assumptions T15'!$V$3:$W$35,2,FALSE),'COM Techs T15'!$G$3:$U$3,0))</f>
        <v/>
      </c>
      <c r="CS23" s="11" t="str">
        <f ca="1">OFFSET('COM Techs T15'!$AO23,0,MATCH(VLOOKUP('COM Veda input'!CS$3,'RES Assumptions T15'!$V$3:$W$35,2,FALSE),'COM Techs T15'!$G$3:$U$3,0))</f>
        <v/>
      </c>
      <c r="CT23" s="11">
        <f ca="1">OFFSET('COM Techs T15'!$AO23,0,MATCH(VLOOKUP('COM Veda input'!CT$3,'RES Assumptions T15'!$V$3:$W$35,2,FALSE),'COM Techs T15'!$G$3:$U$3,0))</f>
        <v>4.2</v>
      </c>
      <c r="CU23" s="11" t="str">
        <f ca="1">OFFSET('COM Techs T15'!$AO23,0,MATCH(VLOOKUP('COM Veda input'!CU$3,'RES Assumptions T15'!$V$3:$W$35,2,FALSE),'COM Techs T15'!$G$3:$U$3,0))</f>
        <v/>
      </c>
      <c r="CV23" s="11" t="str">
        <f ca="1">OFFSET('COM Techs T15'!$AO23,0,MATCH(VLOOKUP('COM Veda input'!CV$3,'RES Assumptions T15'!$V$3:$W$35,2,FALSE),'COM Techs T15'!$G$3:$U$3,0))</f>
        <v/>
      </c>
      <c r="CW23" s="11">
        <f ca="1">OFFSET('COM Techs T15'!$AO23,0,MATCH(VLOOKUP('COM Veda input'!CW$3,'RES Assumptions T15'!$V$3:$W$35,2,FALSE),'COM Techs T15'!$G$3:$U$3,0))</f>
        <v>0.4</v>
      </c>
      <c r="CX23" s="11">
        <f ca="1">OFFSET('COM Techs T15'!$AO23,0,MATCH(VLOOKUP('COM Veda input'!CX$3,'RES Assumptions T15'!$V$3:$W$35,2,FALSE),'COM Techs T15'!$G$3:$U$3,0))</f>
        <v>0.4</v>
      </c>
      <c r="CZ23" s="8" t="str">
        <f t="shared" si="22"/>
        <v>CSHERS000</v>
      </c>
      <c r="DA23" s="10">
        <f ca="1">'COM Assumptions'!E100*G23/'COM Veda input'!AM23</f>
        <v>0</v>
      </c>
      <c r="DB23" s="10">
        <f ca="1">'COM Assumptions'!F100*H23/'COM Veda input'!AN23</f>
        <v>0</v>
      </c>
      <c r="DC23" s="10">
        <f ca="1">'COM Assumptions'!G100*I23/'COM Veda input'!AO23</f>
        <v>10.315253243988002</v>
      </c>
      <c r="DD23" s="10">
        <f ca="1">'COM Assumptions'!H100*J23/'COM Veda input'!AP23</f>
        <v>27.668746989780001</v>
      </c>
      <c r="DE23" s="10">
        <f ca="1">'COM Assumptions'!I100*K23/'COM Veda input'!AQ23</f>
        <v>129.65146172595001</v>
      </c>
      <c r="DF23" s="10">
        <f ca="1">'COM Assumptions'!J100*L23/'COM Veda input'!AR23</f>
        <v>104.94981916768801</v>
      </c>
      <c r="DG23" s="10">
        <f ca="1">'COM Assumptions'!K100*M23/'COM Veda input'!AS23</f>
        <v>38.120414983522757</v>
      </c>
      <c r="DH23" s="10">
        <f ca="1">'COM Assumptions'!L100*N23/'COM Veda input'!AT23</f>
        <v>33.511626002448004</v>
      </c>
      <c r="DI23" s="10">
        <f ca="1">'COM Assumptions'!M100*O23/'COM Veda input'!AU23</f>
        <v>266.64413484143995</v>
      </c>
      <c r="DJ23" s="10">
        <f ca="1">'COM Assumptions'!N100*P23/'COM Veda input'!AV23</f>
        <v>89.063460107543037</v>
      </c>
      <c r="DK23" s="10">
        <f ca="1">'COM Assumptions'!O100*Q23/'COM Veda input'!AW23</f>
        <v>74.691428142150002</v>
      </c>
      <c r="DL23" s="10">
        <f ca="1">'COM Assumptions'!P100*R23/'COM Veda input'!AX23</f>
        <v>101.28335023368003</v>
      </c>
      <c r="DM23" s="10">
        <f ca="1">'COM Assumptions'!Q100*S23/'COM Veda input'!AY23</f>
        <v>98.795130911550004</v>
      </c>
      <c r="DN23" s="10">
        <f ca="1">'COM Assumptions'!R100*T23/'COM Veda input'!AZ23</f>
        <v>149.02746761655001</v>
      </c>
      <c r="DO23" s="10">
        <f ca="1">'COM Assumptions'!S100*U23/'COM Veda input'!BA23</f>
        <v>38.419992679680007</v>
      </c>
      <c r="DP23" s="10">
        <f ca="1">'COM Assumptions'!T100*V23/'COM Veda input'!BB23</f>
        <v>122.94413433360002</v>
      </c>
      <c r="DQ23" s="10">
        <f ca="1">'COM Assumptions'!U100*W23/'COM Veda input'!BC23</f>
        <v>65.404745433120013</v>
      </c>
      <c r="DR23" s="10">
        <f ca="1">'COM Assumptions'!V100*X23/'COM Veda input'!BD23</f>
        <v>184.42225090305001</v>
      </c>
      <c r="DS23" s="10">
        <f ca="1">'COM Assumptions'!W100*Y23/'COM Veda input'!BE23</f>
        <v>175.46490055619998</v>
      </c>
      <c r="DT23" s="10">
        <f ca="1">'COM Assumptions'!X100*Z23/'COM Veda input'!BF23</f>
        <v>21.959013675303602</v>
      </c>
      <c r="DU23" s="10">
        <f ca="1">'COM Assumptions'!Y100*AA23/'COM Veda input'!BG23</f>
        <v>21.230639862775199</v>
      </c>
      <c r="DV23" s="10">
        <f ca="1">'COM Assumptions'!Z100*AB23/'COM Veda input'!BH23</f>
        <v>14.64541471185</v>
      </c>
      <c r="DW23" s="10">
        <f ca="1">'COM Assumptions'!AA100*AC23/'COM Veda input'!BI23</f>
        <v>74.344655350560018</v>
      </c>
      <c r="DX23" s="10">
        <f ca="1">'COM Assumptions'!AB100*AD23/'COM Veda input'!BJ23</f>
        <v>37.200665786849996</v>
      </c>
      <c r="DY23" s="10">
        <f ca="1">'COM Assumptions'!AC100*AE23/'COM Veda input'!BK23</f>
        <v>155.92627781844001</v>
      </c>
      <c r="DZ23" s="10">
        <f ca="1">'COM Assumptions'!AD100*AF23/'COM Veda input'!BL23</f>
        <v>58.749384707040015</v>
      </c>
      <c r="EA23" s="10">
        <f ca="1">'COM Assumptions'!AE100*AG23/'COM Veda input'!BM23</f>
        <v>0</v>
      </c>
      <c r="EB23" s="10">
        <f ca="1">'COM Assumptions'!AF100*AH23/'COM Veda input'!BN23</f>
        <v>121.66285577984999</v>
      </c>
      <c r="EC23" s="10">
        <f ca="1">'COM Assumptions'!AG100*AI23/'COM Veda input'!BO23</f>
        <v>431.6557613586977</v>
      </c>
      <c r="ED23" s="10">
        <f ca="1">'COM Assumptions'!AH100*AJ23/'COM Veda input'!BP23</f>
        <v>0</v>
      </c>
      <c r="EE23" s="8">
        <v>15</v>
      </c>
      <c r="EI23" s="8" t="str">
        <f t="shared" si="23"/>
        <v>CSHERS000</v>
      </c>
      <c r="EK23" t="s">
        <v>282</v>
      </c>
      <c r="EL23" t="s">
        <v>283</v>
      </c>
    </row>
    <row r="24" spans="1:142" x14ac:dyDescent="0.45">
      <c r="A24" s="37" t="str">
        <f>'COM Assumptions'!B101</f>
        <v>CH</v>
      </c>
      <c r="B24" s="37" t="s">
        <v>231</v>
      </c>
      <c r="D24" t="s">
        <v>326</v>
      </c>
      <c r="E24" s="8" t="str">
        <f>'COM Assumptions'!A101</f>
        <v>COMGEO</v>
      </c>
      <c r="F24" t="str">
        <f>VLOOKUP('COM Assumptions'!B101,'COM Assumptions'!$AP$81:$AQ$88,2,FALSE)</f>
        <v>CSH</v>
      </c>
      <c r="G24" s="11">
        <f ca="1">OFFSET('COM Techs T15'!$F24,0,MATCH(VLOOKUP('COM Veda input'!G$3,'RES Assumptions T15'!$V$3:$W$35,2,FALSE),'COM Techs T15'!$G$3:$U$3,0))</f>
        <v>0.9</v>
      </c>
      <c r="H24" s="11">
        <f ca="1">OFFSET('COM Techs T15'!$F24,0,MATCH(VLOOKUP('COM Veda input'!H$3,'RES Assumptions T15'!$V$3:$W$35,2,FALSE),'COM Techs T15'!$G$3:$U$3,0))</f>
        <v>0.9</v>
      </c>
      <c r="I24" s="11">
        <f ca="1">OFFSET('COM Techs T15'!$F24,0,MATCH(VLOOKUP('COM Veda input'!I$3,'RES Assumptions T15'!$V$3:$W$35,2,FALSE),'COM Techs T15'!$G$3:$U$3,0))</f>
        <v>0.9</v>
      </c>
      <c r="J24" s="11">
        <f ca="1">OFFSET('COM Techs T15'!$F24,0,MATCH(VLOOKUP('COM Veda input'!J$3,'RES Assumptions T15'!$V$3:$W$35,2,FALSE),'COM Techs T15'!$G$3:$U$3,0))</f>
        <v>0.9</v>
      </c>
      <c r="K24" s="11">
        <f ca="1">OFFSET('COM Techs T15'!$F24,0,MATCH(VLOOKUP('COM Veda input'!K$3,'RES Assumptions T15'!$V$3:$W$35,2,FALSE),'COM Techs T15'!$G$3:$U$3,0))</f>
        <v>0.9</v>
      </c>
      <c r="L24" s="11">
        <f ca="1">OFFSET('COM Techs T15'!$F24,0,MATCH(VLOOKUP('COM Veda input'!L$3,'RES Assumptions T15'!$V$3:$W$35,2,FALSE),'COM Techs T15'!$G$3:$U$3,0))</f>
        <v>0.9</v>
      </c>
      <c r="M24" s="11">
        <f ca="1">OFFSET('COM Techs T15'!$F24,0,MATCH(VLOOKUP('COM Veda input'!M$3,'RES Assumptions T15'!$V$3:$W$35,2,FALSE),'COM Techs T15'!$G$3:$U$3,0))</f>
        <v>0.9</v>
      </c>
      <c r="N24" s="11">
        <f ca="1">OFFSET('COM Techs T15'!$F24,0,MATCH(VLOOKUP('COM Veda input'!N$3,'RES Assumptions T15'!$V$3:$W$35,2,FALSE),'COM Techs T15'!$G$3:$U$3,0))</f>
        <v>0.9</v>
      </c>
      <c r="O24" s="11">
        <f ca="1">OFFSET('COM Techs T15'!$F24,0,MATCH(VLOOKUP('COM Veda input'!O$3,'RES Assumptions T15'!$V$3:$W$35,2,FALSE),'COM Techs T15'!$G$3:$U$3,0))</f>
        <v>0.9</v>
      </c>
      <c r="P24" s="11">
        <f ca="1">OFFSET('COM Techs T15'!$F24,0,MATCH(VLOOKUP('COM Veda input'!P$3,'RES Assumptions T15'!$V$3:$W$35,2,FALSE),'COM Techs T15'!$G$3:$U$3,0))</f>
        <v>0.9</v>
      </c>
      <c r="Q24" s="11">
        <f ca="1">OFFSET('COM Techs T15'!$F24,0,MATCH(VLOOKUP('COM Veda input'!Q$3,'RES Assumptions T15'!$V$3:$W$35,2,FALSE),'COM Techs T15'!$G$3:$U$3,0))</f>
        <v>0.9</v>
      </c>
      <c r="R24" s="11">
        <f ca="1">OFFSET('COM Techs T15'!$F24,0,MATCH(VLOOKUP('COM Veda input'!R$3,'RES Assumptions T15'!$V$3:$W$35,2,FALSE),'COM Techs T15'!$G$3:$U$3,0))</f>
        <v>0.9</v>
      </c>
      <c r="S24" s="11">
        <f ca="1">OFFSET('COM Techs T15'!$F24,0,MATCH(VLOOKUP('COM Veda input'!S$3,'RES Assumptions T15'!$V$3:$W$35,2,FALSE),'COM Techs T15'!$G$3:$U$3,0))</f>
        <v>0.9</v>
      </c>
      <c r="T24" s="11">
        <f ca="1">OFFSET('COM Techs T15'!$F24,0,MATCH(VLOOKUP('COM Veda input'!T$3,'RES Assumptions T15'!$V$3:$W$35,2,FALSE),'COM Techs T15'!$G$3:$U$3,0))</f>
        <v>0.9</v>
      </c>
      <c r="U24" s="11">
        <f ca="1">OFFSET('COM Techs T15'!$F24,0,MATCH(VLOOKUP('COM Veda input'!U$3,'RES Assumptions T15'!$V$3:$W$35,2,FALSE),'COM Techs T15'!$G$3:$U$3,0))</f>
        <v>0.9</v>
      </c>
      <c r="V24" s="11">
        <f ca="1">OFFSET('COM Techs T15'!$F24,0,MATCH(VLOOKUP('COM Veda input'!V$3,'RES Assumptions T15'!$V$3:$W$35,2,FALSE),'COM Techs T15'!$G$3:$U$3,0))</f>
        <v>0.9</v>
      </c>
      <c r="W24" s="11">
        <f ca="1">OFFSET('COM Techs T15'!$F24,0,MATCH(VLOOKUP('COM Veda input'!W$3,'RES Assumptions T15'!$V$3:$W$35,2,FALSE),'COM Techs T15'!$G$3:$U$3,0))</f>
        <v>0.9</v>
      </c>
      <c r="X24" s="11">
        <f ca="1">OFFSET('COM Techs T15'!$F24,0,MATCH(VLOOKUP('COM Veda input'!X$3,'RES Assumptions T15'!$V$3:$W$35,2,FALSE),'COM Techs T15'!$G$3:$U$3,0))</f>
        <v>0.9</v>
      </c>
      <c r="Y24" s="11">
        <f ca="1">OFFSET('COM Techs T15'!$F24,0,MATCH(VLOOKUP('COM Veda input'!Y$3,'RES Assumptions T15'!$V$3:$W$35,2,FALSE),'COM Techs T15'!$G$3:$U$3,0))</f>
        <v>0.9</v>
      </c>
      <c r="Z24" s="11">
        <f ca="1">OFFSET('COM Techs T15'!$F24,0,MATCH(VLOOKUP('COM Veda input'!Z$3,'RES Assumptions T15'!$V$3:$W$35,2,FALSE),'COM Techs T15'!$G$3:$U$3,0))</f>
        <v>0.9</v>
      </c>
      <c r="AA24" s="11">
        <f ca="1">OFFSET('COM Techs T15'!$F24,0,MATCH(VLOOKUP('COM Veda input'!AA$3,'RES Assumptions T15'!$V$3:$W$35,2,FALSE),'COM Techs T15'!$G$3:$U$3,0))</f>
        <v>0.9</v>
      </c>
      <c r="AB24" s="11">
        <f ca="1">OFFSET('COM Techs T15'!$F24,0,MATCH(VLOOKUP('COM Veda input'!AB$3,'RES Assumptions T15'!$V$3:$W$35,2,FALSE),'COM Techs T15'!$G$3:$U$3,0))</f>
        <v>0.9</v>
      </c>
      <c r="AC24" s="11">
        <f ca="1">OFFSET('COM Techs T15'!$F24,0,MATCH(VLOOKUP('COM Veda input'!AC$3,'RES Assumptions T15'!$V$3:$W$35,2,FALSE),'COM Techs T15'!$G$3:$U$3,0))</f>
        <v>0.9</v>
      </c>
      <c r="AD24" s="11">
        <f ca="1">OFFSET('COM Techs T15'!$F24,0,MATCH(VLOOKUP('COM Veda input'!AD$3,'RES Assumptions T15'!$V$3:$W$35,2,FALSE),'COM Techs T15'!$G$3:$U$3,0))</f>
        <v>0.9</v>
      </c>
      <c r="AE24" s="11">
        <f ca="1">OFFSET('COM Techs T15'!$F24,0,MATCH(VLOOKUP('COM Veda input'!AE$3,'RES Assumptions T15'!$V$3:$W$35,2,FALSE),'COM Techs T15'!$G$3:$U$3,0))</f>
        <v>0.9</v>
      </c>
      <c r="AF24" s="11">
        <f ca="1">OFFSET('COM Techs T15'!$F24,0,MATCH(VLOOKUP('COM Veda input'!AF$3,'RES Assumptions T15'!$V$3:$W$35,2,FALSE),'COM Techs T15'!$G$3:$U$3,0))</f>
        <v>0.9</v>
      </c>
      <c r="AG24" s="11">
        <f ca="1">OFFSET('COM Techs T15'!$F24,0,MATCH(VLOOKUP('COM Veda input'!AG$3,'RES Assumptions T15'!$V$3:$W$35,2,FALSE),'COM Techs T15'!$G$3:$U$3,0))</f>
        <v>0.9</v>
      </c>
      <c r="AH24" s="11">
        <f ca="1">OFFSET('COM Techs T15'!$F24,0,MATCH(VLOOKUP('COM Veda input'!AH$3,'RES Assumptions T15'!$V$3:$W$35,2,FALSE),'COM Techs T15'!$G$3:$U$3,0))</f>
        <v>0.9</v>
      </c>
      <c r="AI24" s="11">
        <f ca="1">OFFSET('COM Techs T15'!$F24,0,MATCH(VLOOKUP('COM Veda input'!AI$3,'RES Assumptions T15'!$V$3:$W$35,2,FALSE),'COM Techs T15'!$G$3:$U$3,0))</f>
        <v>0.9</v>
      </c>
      <c r="AJ24" s="11">
        <f ca="1">OFFSET('COM Techs T15'!$F24,0,MATCH(VLOOKUP('COM Veda input'!AJ$3,'RES Assumptions T15'!$V$3:$W$35,2,FALSE),'COM Techs T15'!$G$3:$U$3,0))</f>
        <v>0.9</v>
      </c>
      <c r="AL24" s="8" t="str">
        <f t="shared" si="19"/>
        <v>CSHGEO000</v>
      </c>
      <c r="AM24" s="11">
        <f ca="1">OFFSET('COM Techs T15'!$W24,0,MATCH(VLOOKUP('COM Veda input'!AM$3,'RES Assumptions T15'!$V$3:$W$35,2,FALSE),'COM Techs T15'!$G$3:$U$3,0))</f>
        <v>0.3</v>
      </c>
      <c r="AN24" s="11">
        <f ca="1">OFFSET('COM Techs T15'!$W24,0,MATCH(VLOOKUP('COM Veda input'!AN$3,'RES Assumptions T15'!$V$3:$W$35,2,FALSE),'COM Techs T15'!$G$3:$U$3,0))</f>
        <v>0.3</v>
      </c>
      <c r="AO24" s="11">
        <f ca="1">OFFSET('COM Techs T15'!$W24,0,MATCH(VLOOKUP('COM Veda input'!AO$3,'RES Assumptions T15'!$V$3:$W$35,2,FALSE),'COM Techs T15'!$G$3:$U$3,0))</f>
        <v>0.3</v>
      </c>
      <c r="AP24" s="11">
        <f ca="1">OFFSET('COM Techs T15'!$W24,0,MATCH(VLOOKUP('COM Veda input'!AP$3,'RES Assumptions T15'!$V$3:$W$35,2,FALSE),'COM Techs T15'!$G$3:$U$3,0))</f>
        <v>0.2</v>
      </c>
      <c r="AQ24" s="11">
        <f ca="1">OFFSET('COM Techs T15'!$W24,0,MATCH(VLOOKUP('COM Veda input'!AQ$3,'RES Assumptions T15'!$V$3:$W$35,2,FALSE),'COM Techs T15'!$G$3:$U$3,0))</f>
        <v>0.3</v>
      </c>
      <c r="AR24" s="11">
        <f ca="1">OFFSET('COM Techs T15'!$W24,0,MATCH(VLOOKUP('COM Veda input'!AR$3,'RES Assumptions T15'!$V$3:$W$35,2,FALSE),'COM Techs T15'!$G$3:$U$3,0))</f>
        <v>0.3</v>
      </c>
      <c r="AS24" s="11">
        <f ca="1">OFFSET('COM Techs T15'!$W24,0,MATCH(VLOOKUP('COM Veda input'!AS$3,'RES Assumptions T15'!$V$3:$W$35,2,FALSE),'COM Techs T15'!$G$3:$U$3,0))</f>
        <v>0.28999999999999998</v>
      </c>
      <c r="AT24" s="11">
        <f ca="1">OFFSET('COM Techs T15'!$W24,0,MATCH(VLOOKUP('COM Veda input'!AT$3,'RES Assumptions T15'!$V$3:$W$35,2,FALSE),'COM Techs T15'!$G$3:$U$3,0))</f>
        <v>0.3</v>
      </c>
      <c r="AU24" s="11">
        <f ca="1">OFFSET('COM Techs T15'!$W24,0,MATCH(VLOOKUP('COM Veda input'!AU$3,'RES Assumptions T15'!$V$3:$W$35,2,FALSE),'COM Techs T15'!$G$3:$U$3,0))</f>
        <v>0.33</v>
      </c>
      <c r="AV24" s="11">
        <f ca="1">OFFSET('COM Techs T15'!$W24,0,MATCH(VLOOKUP('COM Veda input'!AV$3,'RES Assumptions T15'!$V$3:$W$35,2,FALSE),'COM Techs T15'!$G$3:$U$3,0))</f>
        <v>0.3</v>
      </c>
      <c r="AW24" s="11">
        <f ca="1">OFFSET('COM Techs T15'!$W24,0,MATCH(VLOOKUP('COM Veda input'!AW$3,'RES Assumptions T15'!$V$3:$W$35,2,FALSE),'COM Techs T15'!$G$3:$U$3,0))</f>
        <v>0.3</v>
      </c>
      <c r="AX24" s="11">
        <f ca="1">OFFSET('COM Techs T15'!$W24,0,MATCH(VLOOKUP('COM Veda input'!AX$3,'RES Assumptions T15'!$V$3:$W$35,2,FALSE),'COM Techs T15'!$G$3:$U$3,0))</f>
        <v>0.3</v>
      </c>
      <c r="AY24" s="11">
        <f ca="1">OFFSET('COM Techs T15'!$W24,0,MATCH(VLOOKUP('COM Veda input'!AY$3,'RES Assumptions T15'!$V$3:$W$35,2,FALSE),'COM Techs T15'!$G$3:$U$3,0))</f>
        <v>0.3</v>
      </c>
      <c r="AZ24" s="11">
        <f ca="1">OFFSET('COM Techs T15'!$W24,0,MATCH(VLOOKUP('COM Veda input'!AZ$3,'RES Assumptions T15'!$V$3:$W$35,2,FALSE),'COM Techs T15'!$G$3:$U$3,0))</f>
        <v>0.3</v>
      </c>
      <c r="BA24" s="11">
        <f ca="1">OFFSET('COM Techs T15'!$W24,0,MATCH(VLOOKUP('COM Veda input'!BA$3,'RES Assumptions T15'!$V$3:$W$35,2,FALSE),'COM Techs T15'!$G$3:$U$3,0))</f>
        <v>0.3</v>
      </c>
      <c r="BB24" s="11">
        <f ca="1">OFFSET('COM Techs T15'!$W24,0,MATCH(VLOOKUP('COM Veda input'!BB$3,'RES Assumptions T15'!$V$3:$W$35,2,FALSE),'COM Techs T15'!$G$3:$U$3,0))</f>
        <v>0.3</v>
      </c>
      <c r="BC24" s="11">
        <f ca="1">OFFSET('COM Techs T15'!$W24,0,MATCH(VLOOKUP('COM Veda input'!BC$3,'RES Assumptions T15'!$V$3:$W$35,2,FALSE),'COM Techs T15'!$G$3:$U$3,0))</f>
        <v>0.3</v>
      </c>
      <c r="BD24" s="11">
        <f ca="1">OFFSET('COM Techs T15'!$W24,0,MATCH(VLOOKUP('COM Veda input'!BD$3,'RES Assumptions T15'!$V$3:$W$35,2,FALSE),'COM Techs T15'!$G$3:$U$3,0))</f>
        <v>0.3</v>
      </c>
      <c r="BE24" s="11">
        <f ca="1">OFFSET('COM Techs T15'!$W24,0,MATCH(VLOOKUP('COM Veda input'!BE$3,'RES Assumptions T15'!$V$3:$W$35,2,FALSE),'COM Techs T15'!$G$3:$U$3,0))</f>
        <v>0.3</v>
      </c>
      <c r="BF24" s="11">
        <f ca="1">OFFSET('COM Techs T15'!$W24,0,MATCH(VLOOKUP('COM Veda input'!BF$3,'RES Assumptions T15'!$V$3:$W$35,2,FALSE),'COM Techs T15'!$G$3:$U$3,0))</f>
        <v>0.3</v>
      </c>
      <c r="BG24" s="11">
        <f ca="1">OFFSET('COM Techs T15'!$W24,0,MATCH(VLOOKUP('COM Veda input'!BG$3,'RES Assumptions T15'!$V$3:$W$35,2,FALSE),'COM Techs T15'!$G$3:$U$3,0))</f>
        <v>0.3</v>
      </c>
      <c r="BH24" s="11">
        <f ca="1">OFFSET('COM Techs T15'!$W24,0,MATCH(VLOOKUP('COM Veda input'!BH$3,'RES Assumptions T15'!$V$3:$W$35,2,FALSE),'COM Techs T15'!$G$3:$U$3,0))</f>
        <v>0.3</v>
      </c>
      <c r="BI24" s="11">
        <f ca="1">OFFSET('COM Techs T15'!$W24,0,MATCH(VLOOKUP('COM Veda input'!BI$3,'RES Assumptions T15'!$V$3:$W$35,2,FALSE),'COM Techs T15'!$G$3:$U$3,0))</f>
        <v>0.3</v>
      </c>
      <c r="BJ24" s="11">
        <f ca="1">OFFSET('COM Techs T15'!$W24,0,MATCH(VLOOKUP('COM Veda input'!BJ$3,'RES Assumptions T15'!$V$3:$W$35,2,FALSE),'COM Techs T15'!$G$3:$U$3,0))</f>
        <v>0.3</v>
      </c>
      <c r="BK24" s="11">
        <f ca="1">OFFSET('COM Techs T15'!$W24,0,MATCH(VLOOKUP('COM Veda input'!BK$3,'RES Assumptions T15'!$V$3:$W$35,2,FALSE),'COM Techs T15'!$G$3:$U$3,0))</f>
        <v>0.2</v>
      </c>
      <c r="BL24" s="11">
        <f ca="1">OFFSET('COM Techs T15'!$W24,0,MATCH(VLOOKUP('COM Veda input'!BL$3,'RES Assumptions T15'!$V$3:$W$35,2,FALSE),'COM Techs T15'!$G$3:$U$3,0))</f>
        <v>0.3</v>
      </c>
      <c r="BM24" s="11">
        <f ca="1">OFFSET('COM Techs T15'!$W24,0,MATCH(VLOOKUP('COM Veda input'!BM$3,'RES Assumptions T15'!$V$3:$W$35,2,FALSE),'COM Techs T15'!$G$3:$U$3,0))</f>
        <v>0.3</v>
      </c>
      <c r="BN24" s="11">
        <f ca="1">OFFSET('COM Techs T15'!$W24,0,MATCH(VLOOKUP('COM Veda input'!BN$3,'RES Assumptions T15'!$V$3:$W$35,2,FALSE),'COM Techs T15'!$G$3:$U$3,0))</f>
        <v>0.3</v>
      </c>
      <c r="BO24" s="11">
        <f ca="1">OFFSET('COM Techs T15'!$W24,0,MATCH(VLOOKUP('COM Veda input'!BO$3,'RES Assumptions T15'!$V$3:$W$35,2,FALSE),'COM Techs T15'!$G$3:$U$3,0))</f>
        <v>0.3</v>
      </c>
      <c r="BP24" s="11">
        <f ca="1">OFFSET('COM Techs T15'!$W24,0,MATCH(VLOOKUP('COM Veda input'!BP$3,'RES Assumptions T15'!$V$3:$W$35,2,FALSE),'COM Techs T15'!$G$3:$U$3,0))</f>
        <v>0.3</v>
      </c>
      <c r="BQ24">
        <v>3</v>
      </c>
      <c r="BS24" s="8" t="str">
        <f t="shared" si="20"/>
        <v>CSHGEO000</v>
      </c>
      <c r="BT24" s="11">
        <f t="shared" ca="1" si="21"/>
        <v>5.4</v>
      </c>
      <c r="BU24" s="11" t="str">
        <f ca="1">OFFSET('COM Techs T15'!$AO24,0,MATCH(VLOOKUP('COM Veda input'!BU$3,'RES Assumptions T15'!$V$3:$W$35,2,FALSE),'COM Techs T15'!$G$3:$U$3,0))</f>
        <v/>
      </c>
      <c r="BV24" s="11" t="str">
        <f ca="1">OFFSET('COM Techs T15'!$AO24,0,MATCH(VLOOKUP('COM Veda input'!BV$3,'RES Assumptions T15'!$V$3:$W$35,2,FALSE),'COM Techs T15'!$G$3:$U$3,0))</f>
        <v/>
      </c>
      <c r="BW24" s="11">
        <f ca="1">OFFSET('COM Techs T15'!$AO24,0,MATCH(VLOOKUP('COM Veda input'!BW$3,'RES Assumptions T15'!$V$3:$W$35,2,FALSE),'COM Techs T15'!$G$3:$U$3,0))</f>
        <v>6.3</v>
      </c>
      <c r="BX24" s="11" t="str">
        <f ca="1">OFFSET('COM Techs T15'!$AO24,0,MATCH(VLOOKUP('COM Veda input'!BX$3,'RES Assumptions T15'!$V$3:$W$35,2,FALSE),'COM Techs T15'!$G$3:$U$3,0))</f>
        <v/>
      </c>
      <c r="BY24" s="11">
        <f ca="1">OFFSET('COM Techs T15'!$AO24,0,MATCH(VLOOKUP('COM Veda input'!BY$3,'RES Assumptions T15'!$V$3:$W$35,2,FALSE),'COM Techs T15'!$G$3:$U$3,0))</f>
        <v>9</v>
      </c>
      <c r="BZ24" s="11">
        <f ca="1">OFFSET('COM Techs T15'!$AO24,0,MATCH(VLOOKUP('COM Veda input'!BZ$3,'RES Assumptions T15'!$V$3:$W$35,2,FALSE),'COM Techs T15'!$G$3:$U$3,0))</f>
        <v>5.4</v>
      </c>
      <c r="CA24" s="11" t="str">
        <f ca="1">OFFSET('COM Techs T15'!$AO24,0,MATCH(VLOOKUP('COM Veda input'!CA$3,'RES Assumptions T15'!$V$3:$W$35,2,FALSE),'COM Techs T15'!$G$3:$U$3,0))</f>
        <v/>
      </c>
      <c r="CB24" s="11">
        <f ca="1">OFFSET('COM Techs T15'!$AO24,0,MATCH(VLOOKUP('COM Veda input'!CB$3,'RES Assumptions T15'!$V$3:$W$35,2,FALSE),'COM Techs T15'!$G$3:$U$3,0))</f>
        <v>6.3</v>
      </c>
      <c r="CC24" s="11" t="str">
        <f ca="1">OFFSET('COM Techs T15'!$AO24,0,MATCH(VLOOKUP('COM Veda input'!CC$3,'RES Assumptions T15'!$V$3:$W$35,2,FALSE),'COM Techs T15'!$G$3:$U$3,0))</f>
        <v/>
      </c>
      <c r="CD24" s="11">
        <f ca="1">OFFSET('COM Techs T15'!$AO24,0,MATCH(VLOOKUP('COM Veda input'!CD$3,'RES Assumptions T15'!$V$3:$W$35,2,FALSE),'COM Techs T15'!$G$3:$U$3,0))</f>
        <v>5.4</v>
      </c>
      <c r="CE24" s="11" t="str">
        <f ca="1">OFFSET('COM Techs T15'!$AO24,0,MATCH(VLOOKUP('COM Veda input'!CE$3,'RES Assumptions T15'!$V$3:$W$35,2,FALSE),'COM Techs T15'!$G$3:$U$3,0))</f>
        <v/>
      </c>
      <c r="CF24" s="11" t="str">
        <f ca="1">OFFSET('COM Techs T15'!$AO24,0,MATCH(VLOOKUP('COM Veda input'!CF$3,'RES Assumptions T15'!$V$3:$W$35,2,FALSE),'COM Techs T15'!$G$3:$U$3,0))</f>
        <v/>
      </c>
      <c r="CG24" s="11" t="str">
        <f ca="1">OFFSET('COM Techs T15'!$AO24,0,MATCH(VLOOKUP('COM Veda input'!CG$3,'RES Assumptions T15'!$V$3:$W$35,2,FALSE),'COM Techs T15'!$G$3:$U$3,0))</f>
        <v/>
      </c>
      <c r="CH24" s="11" t="str">
        <f ca="1">OFFSET('COM Techs T15'!$AO24,0,MATCH(VLOOKUP('COM Veda input'!CH$3,'RES Assumptions T15'!$V$3:$W$35,2,FALSE),'COM Techs T15'!$G$3:$U$3,0))</f>
        <v/>
      </c>
      <c r="CI24" s="11" t="str">
        <f ca="1">OFFSET('COM Techs T15'!$AO24,0,MATCH(VLOOKUP('COM Veda input'!CI$3,'RES Assumptions T15'!$V$3:$W$35,2,FALSE),'COM Techs T15'!$G$3:$U$3,0))</f>
        <v/>
      </c>
      <c r="CJ24" s="11" t="str">
        <f ca="1">OFFSET('COM Techs T15'!$AO24,0,MATCH(VLOOKUP('COM Veda input'!CJ$3,'RES Assumptions T15'!$V$3:$W$35,2,FALSE),'COM Techs T15'!$G$3:$U$3,0))</f>
        <v/>
      </c>
      <c r="CK24" s="11">
        <f ca="1">OFFSET('COM Techs T15'!$AO24,0,MATCH(VLOOKUP('COM Veda input'!CK$3,'RES Assumptions T15'!$V$3:$W$35,2,FALSE),'COM Techs T15'!$G$3:$U$3,0))</f>
        <v>6.3</v>
      </c>
      <c r="CL24" s="11" t="str">
        <f ca="1">OFFSET('COM Techs T15'!$AO24,0,MATCH(VLOOKUP('COM Veda input'!CL$3,'RES Assumptions T15'!$V$3:$W$35,2,FALSE),'COM Techs T15'!$G$3:$U$3,0))</f>
        <v/>
      </c>
      <c r="CM24" s="11" t="str">
        <f ca="1">OFFSET('COM Techs T15'!$AO24,0,MATCH(VLOOKUP('COM Veda input'!CM$3,'RES Assumptions T15'!$V$3:$W$35,2,FALSE),'COM Techs T15'!$G$3:$U$3,0))</f>
        <v/>
      </c>
      <c r="CN24" s="11">
        <f ca="1">OFFSET('COM Techs T15'!$AO24,0,MATCH(VLOOKUP('COM Veda input'!CN$3,'RES Assumptions T15'!$V$3:$W$35,2,FALSE),'COM Techs T15'!$G$3:$U$3,0))</f>
        <v>5.4</v>
      </c>
      <c r="CO24" s="11">
        <f ca="1">OFFSET('COM Techs T15'!$AO24,0,MATCH(VLOOKUP('COM Veda input'!CO$3,'RES Assumptions T15'!$V$3:$W$35,2,FALSE),'COM Techs T15'!$G$3:$U$3,0))</f>
        <v>6.3</v>
      </c>
      <c r="CP24" s="11">
        <f ca="1">OFFSET('COM Techs T15'!$AO24,0,MATCH(VLOOKUP('COM Veda input'!CP$3,'RES Assumptions T15'!$V$3:$W$35,2,FALSE),'COM Techs T15'!$G$3:$U$3,0))</f>
        <v>7.2</v>
      </c>
      <c r="CQ24" s="11">
        <f ca="1">OFFSET('COM Techs T15'!$AO24,0,MATCH(VLOOKUP('COM Veda input'!CQ$3,'RES Assumptions T15'!$V$3:$W$35,2,FALSE),'COM Techs T15'!$G$3:$U$3,0))</f>
        <v>6.3</v>
      </c>
      <c r="CR24" s="11" t="str">
        <f ca="1">OFFSET('COM Techs T15'!$AO24,0,MATCH(VLOOKUP('COM Veda input'!CR$3,'RES Assumptions T15'!$V$3:$W$35,2,FALSE),'COM Techs T15'!$G$3:$U$3,0))</f>
        <v/>
      </c>
      <c r="CS24" s="11" t="str">
        <f ca="1">OFFSET('COM Techs T15'!$AO24,0,MATCH(VLOOKUP('COM Veda input'!CS$3,'RES Assumptions T15'!$V$3:$W$35,2,FALSE),'COM Techs T15'!$G$3:$U$3,0))</f>
        <v/>
      </c>
      <c r="CT24" s="11">
        <f ca="1">OFFSET('COM Techs T15'!$AO24,0,MATCH(VLOOKUP('COM Veda input'!CT$3,'RES Assumptions T15'!$V$3:$W$35,2,FALSE),'COM Techs T15'!$G$3:$U$3,0))</f>
        <v>6.3</v>
      </c>
      <c r="CU24" s="11" t="str">
        <f ca="1">OFFSET('COM Techs T15'!$AO24,0,MATCH(VLOOKUP('COM Veda input'!CU$3,'RES Assumptions T15'!$V$3:$W$35,2,FALSE),'COM Techs T15'!$G$3:$U$3,0))</f>
        <v/>
      </c>
      <c r="CV24" s="11" t="str">
        <f ca="1">OFFSET('COM Techs T15'!$AO24,0,MATCH(VLOOKUP('COM Veda input'!CV$3,'RES Assumptions T15'!$V$3:$W$35,2,FALSE),'COM Techs T15'!$G$3:$U$3,0))</f>
        <v/>
      </c>
      <c r="CW24" s="11">
        <f ca="1">OFFSET('COM Techs T15'!$AO24,0,MATCH(VLOOKUP('COM Veda input'!CW$3,'RES Assumptions T15'!$V$3:$W$35,2,FALSE),'COM Techs T15'!$G$3:$U$3,0))</f>
        <v>0.4</v>
      </c>
      <c r="CX24" s="11">
        <f ca="1">OFFSET('COM Techs T15'!$AO24,0,MATCH(VLOOKUP('COM Veda input'!CX$3,'RES Assumptions T15'!$V$3:$W$35,2,FALSE),'COM Techs T15'!$G$3:$U$3,0))</f>
        <v>0.4</v>
      </c>
      <c r="CZ24" s="8" t="str">
        <f t="shared" si="22"/>
        <v>CSHGEO000</v>
      </c>
      <c r="DA24" s="10">
        <f ca="1">'COM Assumptions'!E101*G24/'COM Veda input'!AM24</f>
        <v>0</v>
      </c>
      <c r="DB24" s="10">
        <f ca="1">'COM Assumptions'!F101*H24/'COM Veda input'!AN24</f>
        <v>0</v>
      </c>
      <c r="DC24" s="10">
        <f ca="1">'COM Assumptions'!G101*I24/'COM Veda input'!AO24</f>
        <v>0</v>
      </c>
      <c r="DD24" s="10">
        <f ca="1">'COM Assumptions'!H101*J24/'COM Veda input'!AP24</f>
        <v>1.6740061505999999</v>
      </c>
      <c r="DE24" s="10">
        <f ca="1">'COM Assumptions'!I101*K24/'COM Veda input'!AQ24</f>
        <v>23.166838861919999</v>
      </c>
      <c r="DF24" s="10">
        <f ca="1">'COM Assumptions'!J101*L24/'COM Veda input'!AR24</f>
        <v>0</v>
      </c>
      <c r="DG24" s="10">
        <f ca="1">'COM Assumptions'!K101*M24/'COM Veda input'!AS24</f>
        <v>7.3793172922758634</v>
      </c>
      <c r="DH24" s="10">
        <f ca="1">'COM Assumptions'!L101*N24/'COM Veda input'!AT24</f>
        <v>0</v>
      </c>
      <c r="DI24" s="10">
        <f ca="1">'COM Assumptions'!M101*O24/'COM Veda input'!AU24</f>
        <v>0</v>
      </c>
      <c r="DJ24" s="10">
        <f ca="1">'COM Assumptions'!N101*P24/'COM Veda input'!AV24</f>
        <v>447.54413414400005</v>
      </c>
      <c r="DK24" s="10">
        <f ca="1">'COM Assumptions'!O101*Q24/'COM Veda input'!AW24</f>
        <v>0</v>
      </c>
      <c r="DL24" s="10">
        <f ca="1">'COM Assumptions'!P101*R24/'COM Veda input'!AX24</f>
        <v>1.8395258457600003</v>
      </c>
      <c r="DM24" s="10">
        <f ca="1">'COM Assumptions'!Q101*S24/'COM Veda input'!AY24</f>
        <v>0</v>
      </c>
      <c r="DN24" s="10">
        <f ca="1">'COM Assumptions'!R101*T24/'COM Veda input'!AZ24</f>
        <v>9.3194190498796647</v>
      </c>
      <c r="DO24" s="10">
        <f ca="1">'COM Assumptions'!S101*U24/'COM Veda input'!BA24</f>
        <v>9.6469599542399997</v>
      </c>
      <c r="DP24" s="10">
        <f ca="1">'COM Assumptions'!T101*V24/'COM Veda input'!BB24</f>
        <v>0.19638388935270223</v>
      </c>
      <c r="DQ24" s="10">
        <f ca="1">'COM Assumptions'!U101*W24/'COM Veda input'!BC24</f>
        <v>0.31030216992000004</v>
      </c>
      <c r="DR24" s="10">
        <f ca="1">'COM Assumptions'!V101*X24/'COM Veda input'!BD24</f>
        <v>1.8044442334436093</v>
      </c>
      <c r="DS24" s="10">
        <f ca="1">'COM Assumptions'!W101*Y24/'COM Veda input'!BE24</f>
        <v>6.0049337718440468</v>
      </c>
      <c r="DT24" s="10">
        <f ca="1">'COM Assumptions'!X101*Z24/'COM Veda input'!BF24</f>
        <v>0</v>
      </c>
      <c r="DU24" s="10">
        <f ca="1">'COM Assumptions'!Y101*AA24/'COM Veda input'!BG24</f>
        <v>0.30720226320000005</v>
      </c>
      <c r="DV24" s="10">
        <f ca="1">'COM Assumptions'!Z101*AB24/'COM Veda input'!BH24</f>
        <v>0</v>
      </c>
      <c r="DW24" s="10">
        <f ca="1">'COM Assumptions'!AA101*AC24/'COM Veda input'!BI24</f>
        <v>0</v>
      </c>
      <c r="DX24" s="10">
        <f ca="1">'COM Assumptions'!AB101*AD24/'COM Veda input'!BJ24</f>
        <v>0.66234243297455619</v>
      </c>
      <c r="DY24" s="10">
        <f ca="1">'COM Assumptions'!AC101*AE24/'COM Veda input'!BK24</f>
        <v>0</v>
      </c>
      <c r="DZ24" s="10">
        <f ca="1">'COM Assumptions'!AD101*AF24/'COM Veda input'!BL24</f>
        <v>0</v>
      </c>
      <c r="EA24" s="10">
        <f ca="1">'COM Assumptions'!AE101*AG24/'COM Veda input'!BM24</f>
        <v>0</v>
      </c>
      <c r="EB24" s="10">
        <f ca="1">'COM Assumptions'!AF101*AH24/'COM Veda input'!BN24</f>
        <v>4.3808713778679731E-2</v>
      </c>
      <c r="EC24" s="10">
        <f ca="1">'COM Assumptions'!AG101*AI24/'COM Veda input'!BO24</f>
        <v>0</v>
      </c>
      <c r="ED24" s="10">
        <f ca="1">'COM Assumptions'!AH101*AJ24/'COM Veda input'!BP24</f>
        <v>0</v>
      </c>
      <c r="EE24" s="8">
        <v>30</v>
      </c>
      <c r="EI24" s="8" t="str">
        <f t="shared" si="23"/>
        <v>CSHGEO000</v>
      </c>
      <c r="EK24" t="s">
        <v>282</v>
      </c>
      <c r="EL24" t="s">
        <v>283</v>
      </c>
    </row>
    <row r="25" spans="1:142" x14ac:dyDescent="0.45">
      <c r="A25" s="37" t="str">
        <f>'COM Assumptions'!B102</f>
        <v>CH</v>
      </c>
      <c r="B25" s="37" t="s">
        <v>232</v>
      </c>
      <c r="D25" t="s">
        <v>327</v>
      </c>
      <c r="E25" s="8" t="str">
        <f>'COM Assumptions'!A102</f>
        <v>COMHET</v>
      </c>
      <c r="F25" t="str">
        <f>VLOOKUP('COM Assumptions'!B102,'COM Assumptions'!$AP$81:$AQ$88,2,FALSE)</f>
        <v>CSH</v>
      </c>
      <c r="G25" s="11">
        <f ca="1">OFFSET('COM Techs T15'!$F25,0,MATCH(VLOOKUP('COM Veda input'!G$3,'RES Assumptions T15'!$V$3:$W$35,2,FALSE),'COM Techs T15'!$G$3:$U$3,0))</f>
        <v>0.9</v>
      </c>
      <c r="H25" s="11">
        <f ca="1">OFFSET('COM Techs T15'!$F25,0,MATCH(VLOOKUP('COM Veda input'!H$3,'RES Assumptions T15'!$V$3:$W$35,2,FALSE),'COM Techs T15'!$G$3:$U$3,0))</f>
        <v>0.9</v>
      </c>
      <c r="I25" s="11">
        <f ca="1">OFFSET('COM Techs T15'!$F25,0,MATCH(VLOOKUP('COM Veda input'!I$3,'RES Assumptions T15'!$V$3:$W$35,2,FALSE),'COM Techs T15'!$G$3:$U$3,0))</f>
        <v>0.9</v>
      </c>
      <c r="J25" s="11">
        <f ca="1">OFFSET('COM Techs T15'!$F25,0,MATCH(VLOOKUP('COM Veda input'!J$3,'RES Assumptions T15'!$V$3:$W$35,2,FALSE),'COM Techs T15'!$G$3:$U$3,0))</f>
        <v>0.9</v>
      </c>
      <c r="K25" s="11">
        <f ca="1">OFFSET('COM Techs T15'!$F25,0,MATCH(VLOOKUP('COM Veda input'!K$3,'RES Assumptions T15'!$V$3:$W$35,2,FALSE),'COM Techs T15'!$G$3:$U$3,0))</f>
        <v>0.9</v>
      </c>
      <c r="L25" s="11">
        <f ca="1">OFFSET('COM Techs T15'!$F25,0,MATCH(VLOOKUP('COM Veda input'!L$3,'RES Assumptions T15'!$V$3:$W$35,2,FALSE),'COM Techs T15'!$G$3:$U$3,0))</f>
        <v>0.9</v>
      </c>
      <c r="M25" s="11">
        <f ca="1">OFFSET('COM Techs T15'!$F25,0,MATCH(VLOOKUP('COM Veda input'!M$3,'RES Assumptions T15'!$V$3:$W$35,2,FALSE),'COM Techs T15'!$G$3:$U$3,0))</f>
        <v>0.9</v>
      </c>
      <c r="N25" s="11">
        <f ca="1">OFFSET('COM Techs T15'!$F25,0,MATCH(VLOOKUP('COM Veda input'!N$3,'RES Assumptions T15'!$V$3:$W$35,2,FALSE),'COM Techs T15'!$G$3:$U$3,0))</f>
        <v>0.9</v>
      </c>
      <c r="O25" s="11">
        <f ca="1">OFFSET('COM Techs T15'!$F25,0,MATCH(VLOOKUP('COM Veda input'!O$3,'RES Assumptions T15'!$V$3:$W$35,2,FALSE),'COM Techs T15'!$G$3:$U$3,0))</f>
        <v>0.9</v>
      </c>
      <c r="P25" s="11">
        <f ca="1">OFFSET('COM Techs T15'!$F25,0,MATCH(VLOOKUP('COM Veda input'!P$3,'RES Assumptions T15'!$V$3:$W$35,2,FALSE),'COM Techs T15'!$G$3:$U$3,0))</f>
        <v>0.9</v>
      </c>
      <c r="Q25" s="11">
        <f ca="1">OFFSET('COM Techs T15'!$F25,0,MATCH(VLOOKUP('COM Veda input'!Q$3,'RES Assumptions T15'!$V$3:$W$35,2,FALSE),'COM Techs T15'!$G$3:$U$3,0))</f>
        <v>0.9</v>
      </c>
      <c r="R25" s="11">
        <f ca="1">OFFSET('COM Techs T15'!$F25,0,MATCH(VLOOKUP('COM Veda input'!R$3,'RES Assumptions T15'!$V$3:$W$35,2,FALSE),'COM Techs T15'!$G$3:$U$3,0))</f>
        <v>0.9</v>
      </c>
      <c r="S25" s="11">
        <f ca="1">OFFSET('COM Techs T15'!$F25,0,MATCH(VLOOKUP('COM Veda input'!S$3,'RES Assumptions T15'!$V$3:$W$35,2,FALSE),'COM Techs T15'!$G$3:$U$3,0))</f>
        <v>0.9</v>
      </c>
      <c r="T25" s="11">
        <f ca="1">OFFSET('COM Techs T15'!$F25,0,MATCH(VLOOKUP('COM Veda input'!T$3,'RES Assumptions T15'!$V$3:$W$35,2,FALSE),'COM Techs T15'!$G$3:$U$3,0))</f>
        <v>0.9</v>
      </c>
      <c r="U25" s="11">
        <f ca="1">OFFSET('COM Techs T15'!$F25,0,MATCH(VLOOKUP('COM Veda input'!U$3,'RES Assumptions T15'!$V$3:$W$35,2,FALSE),'COM Techs T15'!$G$3:$U$3,0))</f>
        <v>0.9</v>
      </c>
      <c r="V25" s="11">
        <f ca="1">OFFSET('COM Techs T15'!$F25,0,MATCH(VLOOKUP('COM Veda input'!V$3,'RES Assumptions T15'!$V$3:$W$35,2,FALSE),'COM Techs T15'!$G$3:$U$3,0))</f>
        <v>0.9</v>
      </c>
      <c r="W25" s="11">
        <f ca="1">OFFSET('COM Techs T15'!$F25,0,MATCH(VLOOKUP('COM Veda input'!W$3,'RES Assumptions T15'!$V$3:$W$35,2,FALSE),'COM Techs T15'!$G$3:$U$3,0))</f>
        <v>0.9</v>
      </c>
      <c r="X25" s="11">
        <f ca="1">OFFSET('COM Techs T15'!$F25,0,MATCH(VLOOKUP('COM Veda input'!X$3,'RES Assumptions T15'!$V$3:$W$35,2,FALSE),'COM Techs T15'!$G$3:$U$3,0))</f>
        <v>0.9</v>
      </c>
      <c r="Y25" s="11">
        <f ca="1">OFFSET('COM Techs T15'!$F25,0,MATCH(VLOOKUP('COM Veda input'!Y$3,'RES Assumptions T15'!$V$3:$W$35,2,FALSE),'COM Techs T15'!$G$3:$U$3,0))</f>
        <v>0.9</v>
      </c>
      <c r="Z25" s="11">
        <f ca="1">OFFSET('COM Techs T15'!$F25,0,MATCH(VLOOKUP('COM Veda input'!Z$3,'RES Assumptions T15'!$V$3:$W$35,2,FALSE),'COM Techs T15'!$G$3:$U$3,0))</f>
        <v>0.9</v>
      </c>
      <c r="AA25" s="11">
        <f ca="1">OFFSET('COM Techs T15'!$F25,0,MATCH(VLOOKUP('COM Veda input'!AA$3,'RES Assumptions T15'!$V$3:$W$35,2,FALSE),'COM Techs T15'!$G$3:$U$3,0))</f>
        <v>0.9</v>
      </c>
      <c r="AB25" s="11">
        <f ca="1">OFFSET('COM Techs T15'!$F25,0,MATCH(VLOOKUP('COM Veda input'!AB$3,'RES Assumptions T15'!$V$3:$W$35,2,FALSE),'COM Techs T15'!$G$3:$U$3,0))</f>
        <v>0.9</v>
      </c>
      <c r="AC25" s="11">
        <f ca="1">OFFSET('COM Techs T15'!$F25,0,MATCH(VLOOKUP('COM Veda input'!AC$3,'RES Assumptions T15'!$V$3:$W$35,2,FALSE),'COM Techs T15'!$G$3:$U$3,0))</f>
        <v>0.9</v>
      </c>
      <c r="AD25" s="11">
        <f ca="1">OFFSET('COM Techs T15'!$F25,0,MATCH(VLOOKUP('COM Veda input'!AD$3,'RES Assumptions T15'!$V$3:$W$35,2,FALSE),'COM Techs T15'!$G$3:$U$3,0))</f>
        <v>0.9</v>
      </c>
      <c r="AE25" s="11">
        <f ca="1">OFFSET('COM Techs T15'!$F25,0,MATCH(VLOOKUP('COM Veda input'!AE$3,'RES Assumptions T15'!$V$3:$W$35,2,FALSE),'COM Techs T15'!$G$3:$U$3,0))</f>
        <v>0.9</v>
      </c>
      <c r="AF25" s="11">
        <f ca="1">OFFSET('COM Techs T15'!$F25,0,MATCH(VLOOKUP('COM Veda input'!AF$3,'RES Assumptions T15'!$V$3:$W$35,2,FALSE),'COM Techs T15'!$G$3:$U$3,0))</f>
        <v>0.9</v>
      </c>
      <c r="AG25" s="11">
        <f ca="1">OFFSET('COM Techs T15'!$F25,0,MATCH(VLOOKUP('COM Veda input'!AG$3,'RES Assumptions T15'!$V$3:$W$35,2,FALSE),'COM Techs T15'!$G$3:$U$3,0))</f>
        <v>0.9</v>
      </c>
      <c r="AH25" s="11">
        <f ca="1">OFFSET('COM Techs T15'!$F25,0,MATCH(VLOOKUP('COM Veda input'!AH$3,'RES Assumptions T15'!$V$3:$W$35,2,FALSE),'COM Techs T15'!$G$3:$U$3,0))</f>
        <v>0.9</v>
      </c>
      <c r="AI25" s="11">
        <f ca="1">OFFSET('COM Techs T15'!$F25,0,MATCH(VLOOKUP('COM Veda input'!AI$3,'RES Assumptions T15'!$V$3:$W$35,2,FALSE),'COM Techs T15'!$G$3:$U$3,0))</f>
        <v>0.9</v>
      </c>
      <c r="AJ25" s="11">
        <f ca="1">OFFSET('COM Techs T15'!$F25,0,MATCH(VLOOKUP('COM Veda input'!AJ$3,'RES Assumptions T15'!$V$3:$W$35,2,FALSE),'COM Techs T15'!$G$3:$U$3,0))</f>
        <v>0.9</v>
      </c>
      <c r="AL25" s="8" t="str">
        <f t="shared" si="19"/>
        <v>CSHHET000</v>
      </c>
      <c r="AM25" s="11">
        <f ca="1">OFFSET('COM Techs T15'!$W25,0,MATCH(VLOOKUP('COM Veda input'!AM$3,'RES Assumptions T15'!$V$3:$W$35,2,FALSE),'COM Techs T15'!$G$3:$U$3,0))</f>
        <v>0.3</v>
      </c>
      <c r="AN25" s="11">
        <f ca="1">OFFSET('COM Techs T15'!$W25,0,MATCH(VLOOKUP('COM Veda input'!AN$3,'RES Assumptions T15'!$V$3:$W$35,2,FALSE),'COM Techs T15'!$G$3:$U$3,0))</f>
        <v>0.3</v>
      </c>
      <c r="AO25" s="11">
        <f ca="1">OFFSET('COM Techs T15'!$W25,0,MATCH(VLOOKUP('COM Veda input'!AO$3,'RES Assumptions T15'!$V$3:$W$35,2,FALSE),'COM Techs T15'!$G$3:$U$3,0))</f>
        <v>0.3</v>
      </c>
      <c r="AP25" s="11">
        <f ca="1">OFFSET('COM Techs T15'!$W25,0,MATCH(VLOOKUP('COM Veda input'!AP$3,'RES Assumptions T15'!$V$3:$W$35,2,FALSE),'COM Techs T15'!$G$3:$U$3,0))</f>
        <v>0.3</v>
      </c>
      <c r="AQ25" s="11">
        <f ca="1">OFFSET('COM Techs T15'!$W25,0,MATCH(VLOOKUP('COM Veda input'!AQ$3,'RES Assumptions T15'!$V$3:$W$35,2,FALSE),'COM Techs T15'!$G$3:$U$3,0))</f>
        <v>0.3</v>
      </c>
      <c r="AR25" s="11">
        <f ca="1">OFFSET('COM Techs T15'!$W25,0,MATCH(VLOOKUP('COM Veda input'!AR$3,'RES Assumptions T15'!$V$3:$W$35,2,FALSE),'COM Techs T15'!$G$3:$U$3,0))</f>
        <v>0.3</v>
      </c>
      <c r="AS25" s="11">
        <f ca="1">OFFSET('COM Techs T15'!$W25,0,MATCH(VLOOKUP('COM Veda input'!AS$3,'RES Assumptions T15'!$V$3:$W$35,2,FALSE),'COM Techs T15'!$G$3:$U$3,0))</f>
        <v>0.28999999999999998</v>
      </c>
      <c r="AT25" s="11">
        <f ca="1">OFFSET('COM Techs T15'!$W25,0,MATCH(VLOOKUP('COM Veda input'!AT$3,'RES Assumptions T15'!$V$3:$W$35,2,FALSE),'COM Techs T15'!$G$3:$U$3,0))</f>
        <v>0.3</v>
      </c>
      <c r="AU25" s="11">
        <f ca="1">OFFSET('COM Techs T15'!$W25,0,MATCH(VLOOKUP('COM Veda input'!AU$3,'RES Assumptions T15'!$V$3:$W$35,2,FALSE),'COM Techs T15'!$G$3:$U$3,0))</f>
        <v>0.33</v>
      </c>
      <c r="AV25" s="11">
        <f ca="1">OFFSET('COM Techs T15'!$W25,0,MATCH(VLOOKUP('COM Veda input'!AV$3,'RES Assumptions T15'!$V$3:$W$35,2,FALSE),'COM Techs T15'!$G$3:$U$3,0))</f>
        <v>0.3</v>
      </c>
      <c r="AW25" s="11">
        <f ca="1">OFFSET('COM Techs T15'!$W25,0,MATCH(VLOOKUP('COM Veda input'!AW$3,'RES Assumptions T15'!$V$3:$W$35,2,FALSE),'COM Techs T15'!$G$3:$U$3,0))</f>
        <v>0.3</v>
      </c>
      <c r="AX25" s="11">
        <f ca="1">OFFSET('COM Techs T15'!$W25,0,MATCH(VLOOKUP('COM Veda input'!AX$3,'RES Assumptions T15'!$V$3:$W$35,2,FALSE),'COM Techs T15'!$G$3:$U$3,0))</f>
        <v>0.3</v>
      </c>
      <c r="AY25" s="11">
        <f ca="1">OFFSET('COM Techs T15'!$W25,0,MATCH(VLOOKUP('COM Veda input'!AY$3,'RES Assumptions T15'!$V$3:$W$35,2,FALSE),'COM Techs T15'!$G$3:$U$3,0))</f>
        <v>0.3</v>
      </c>
      <c r="AZ25" s="11">
        <f ca="1">OFFSET('COM Techs T15'!$W25,0,MATCH(VLOOKUP('COM Veda input'!AZ$3,'RES Assumptions T15'!$V$3:$W$35,2,FALSE),'COM Techs T15'!$G$3:$U$3,0))</f>
        <v>0.3</v>
      </c>
      <c r="BA25" s="11">
        <f ca="1">OFFSET('COM Techs T15'!$W25,0,MATCH(VLOOKUP('COM Veda input'!BA$3,'RES Assumptions T15'!$V$3:$W$35,2,FALSE),'COM Techs T15'!$G$3:$U$3,0))</f>
        <v>0.3</v>
      </c>
      <c r="BB25" s="11">
        <f ca="1">OFFSET('COM Techs T15'!$W25,0,MATCH(VLOOKUP('COM Veda input'!BB$3,'RES Assumptions T15'!$V$3:$W$35,2,FALSE),'COM Techs T15'!$G$3:$U$3,0))</f>
        <v>0.3</v>
      </c>
      <c r="BC25" s="11">
        <f ca="1">OFFSET('COM Techs T15'!$W25,0,MATCH(VLOOKUP('COM Veda input'!BC$3,'RES Assumptions T15'!$V$3:$W$35,2,FALSE),'COM Techs T15'!$G$3:$U$3,0))</f>
        <v>0.3</v>
      </c>
      <c r="BD25" s="11">
        <f ca="1">OFFSET('COM Techs T15'!$W25,0,MATCH(VLOOKUP('COM Veda input'!BD$3,'RES Assumptions T15'!$V$3:$W$35,2,FALSE),'COM Techs T15'!$G$3:$U$3,0))</f>
        <v>0.3</v>
      </c>
      <c r="BE25" s="11">
        <f ca="1">OFFSET('COM Techs T15'!$W25,0,MATCH(VLOOKUP('COM Veda input'!BE$3,'RES Assumptions T15'!$V$3:$W$35,2,FALSE),'COM Techs T15'!$G$3:$U$3,0))</f>
        <v>0.3</v>
      </c>
      <c r="BF25" s="11">
        <f ca="1">OFFSET('COM Techs T15'!$W25,0,MATCH(VLOOKUP('COM Veda input'!BF$3,'RES Assumptions T15'!$V$3:$W$35,2,FALSE),'COM Techs T15'!$G$3:$U$3,0))</f>
        <v>0.3</v>
      </c>
      <c r="BG25" s="11">
        <f ca="1">OFFSET('COM Techs T15'!$W25,0,MATCH(VLOOKUP('COM Veda input'!BG$3,'RES Assumptions T15'!$V$3:$W$35,2,FALSE),'COM Techs T15'!$G$3:$U$3,0))</f>
        <v>0.3</v>
      </c>
      <c r="BH25" s="11">
        <f ca="1">OFFSET('COM Techs T15'!$W25,0,MATCH(VLOOKUP('COM Veda input'!BH$3,'RES Assumptions T15'!$V$3:$W$35,2,FALSE),'COM Techs T15'!$G$3:$U$3,0))</f>
        <v>0.3</v>
      </c>
      <c r="BI25" s="11">
        <f ca="1">OFFSET('COM Techs T15'!$W25,0,MATCH(VLOOKUP('COM Veda input'!BI$3,'RES Assumptions T15'!$V$3:$W$35,2,FALSE),'COM Techs T15'!$G$3:$U$3,0))</f>
        <v>0.3</v>
      </c>
      <c r="BJ25" s="11">
        <f ca="1">OFFSET('COM Techs T15'!$W25,0,MATCH(VLOOKUP('COM Veda input'!BJ$3,'RES Assumptions T15'!$V$3:$W$35,2,FALSE),'COM Techs T15'!$G$3:$U$3,0))</f>
        <v>0.3</v>
      </c>
      <c r="BK25" s="11">
        <f ca="1">OFFSET('COM Techs T15'!$W25,0,MATCH(VLOOKUP('COM Veda input'!BK$3,'RES Assumptions T15'!$V$3:$W$35,2,FALSE),'COM Techs T15'!$G$3:$U$3,0))</f>
        <v>0.3</v>
      </c>
      <c r="BL25" s="11">
        <f ca="1">OFFSET('COM Techs T15'!$W25,0,MATCH(VLOOKUP('COM Veda input'!BL$3,'RES Assumptions T15'!$V$3:$W$35,2,FALSE),'COM Techs T15'!$G$3:$U$3,0))</f>
        <v>0.3</v>
      </c>
      <c r="BM25" s="11">
        <f ca="1">OFFSET('COM Techs T15'!$W25,0,MATCH(VLOOKUP('COM Veda input'!BM$3,'RES Assumptions T15'!$V$3:$W$35,2,FALSE),'COM Techs T15'!$G$3:$U$3,0))</f>
        <v>0.3</v>
      </c>
      <c r="BN25" s="11">
        <f ca="1">OFFSET('COM Techs T15'!$W25,0,MATCH(VLOOKUP('COM Veda input'!BN$3,'RES Assumptions T15'!$V$3:$W$35,2,FALSE),'COM Techs T15'!$G$3:$U$3,0))</f>
        <v>0.3</v>
      </c>
      <c r="BO25" s="11">
        <f ca="1">OFFSET('COM Techs T15'!$W25,0,MATCH(VLOOKUP('COM Veda input'!BO$3,'RES Assumptions T15'!$V$3:$W$35,2,FALSE),'COM Techs T15'!$G$3:$U$3,0))</f>
        <v>0.3</v>
      </c>
      <c r="BP25" s="11">
        <f ca="1">OFFSET('COM Techs T15'!$W25,0,MATCH(VLOOKUP('COM Veda input'!BP$3,'RES Assumptions T15'!$V$3:$W$35,2,FALSE),'COM Techs T15'!$G$3:$U$3,0))</f>
        <v>0.3</v>
      </c>
      <c r="BQ25">
        <v>3</v>
      </c>
      <c r="BS25" s="8" t="str">
        <f t="shared" si="20"/>
        <v>CSHHET000</v>
      </c>
      <c r="BT25" s="11">
        <f t="shared" ca="1" si="21"/>
        <v>5.4</v>
      </c>
      <c r="BU25" s="11" t="str">
        <f ca="1">OFFSET('COM Techs T15'!$AO25,0,MATCH(VLOOKUP('COM Veda input'!BU$3,'RES Assumptions T15'!$V$3:$W$35,2,FALSE),'COM Techs T15'!$G$3:$U$3,0))</f>
        <v/>
      </c>
      <c r="BV25" s="11" t="str">
        <f ca="1">OFFSET('COM Techs T15'!$AO25,0,MATCH(VLOOKUP('COM Veda input'!BV$3,'RES Assumptions T15'!$V$3:$W$35,2,FALSE),'COM Techs T15'!$G$3:$U$3,0))</f>
        <v/>
      </c>
      <c r="BW25" s="11">
        <f ca="1">OFFSET('COM Techs T15'!$AO25,0,MATCH(VLOOKUP('COM Veda input'!BW$3,'RES Assumptions T15'!$V$3:$W$35,2,FALSE),'COM Techs T15'!$G$3:$U$3,0))</f>
        <v>6.3</v>
      </c>
      <c r="BX25" s="11" t="str">
        <f ca="1">OFFSET('COM Techs T15'!$AO25,0,MATCH(VLOOKUP('COM Veda input'!BX$3,'RES Assumptions T15'!$V$3:$W$35,2,FALSE),'COM Techs T15'!$G$3:$U$3,0))</f>
        <v/>
      </c>
      <c r="BY25" s="11">
        <f ca="1">OFFSET('COM Techs T15'!$AO25,0,MATCH(VLOOKUP('COM Veda input'!BY$3,'RES Assumptions T15'!$V$3:$W$35,2,FALSE),'COM Techs T15'!$G$3:$U$3,0))</f>
        <v>9</v>
      </c>
      <c r="BZ25" s="11">
        <f ca="1">OFFSET('COM Techs T15'!$AO25,0,MATCH(VLOOKUP('COM Veda input'!BZ$3,'RES Assumptions T15'!$V$3:$W$35,2,FALSE),'COM Techs T15'!$G$3:$U$3,0))</f>
        <v>5.4</v>
      </c>
      <c r="CA25" s="11" t="str">
        <f ca="1">OFFSET('COM Techs T15'!$AO25,0,MATCH(VLOOKUP('COM Veda input'!CA$3,'RES Assumptions T15'!$V$3:$W$35,2,FALSE),'COM Techs T15'!$G$3:$U$3,0))</f>
        <v/>
      </c>
      <c r="CB25" s="11">
        <f ca="1">OFFSET('COM Techs T15'!$AO25,0,MATCH(VLOOKUP('COM Veda input'!CB$3,'RES Assumptions T15'!$V$3:$W$35,2,FALSE),'COM Techs T15'!$G$3:$U$3,0))</f>
        <v>6.3</v>
      </c>
      <c r="CC25" s="11" t="str">
        <f ca="1">OFFSET('COM Techs T15'!$AO25,0,MATCH(VLOOKUP('COM Veda input'!CC$3,'RES Assumptions T15'!$V$3:$W$35,2,FALSE),'COM Techs T15'!$G$3:$U$3,0))</f>
        <v/>
      </c>
      <c r="CD25" s="11">
        <f ca="1">OFFSET('COM Techs T15'!$AO25,0,MATCH(VLOOKUP('COM Veda input'!CD$3,'RES Assumptions T15'!$V$3:$W$35,2,FALSE),'COM Techs T15'!$G$3:$U$3,0))</f>
        <v>5.4</v>
      </c>
      <c r="CE25" s="11" t="str">
        <f ca="1">OFFSET('COM Techs T15'!$AO25,0,MATCH(VLOOKUP('COM Veda input'!CE$3,'RES Assumptions T15'!$V$3:$W$35,2,FALSE),'COM Techs T15'!$G$3:$U$3,0))</f>
        <v/>
      </c>
      <c r="CF25" s="11" t="str">
        <f ca="1">OFFSET('COM Techs T15'!$AO25,0,MATCH(VLOOKUP('COM Veda input'!CF$3,'RES Assumptions T15'!$V$3:$W$35,2,FALSE),'COM Techs T15'!$G$3:$U$3,0))</f>
        <v/>
      </c>
      <c r="CG25" s="11" t="str">
        <f ca="1">OFFSET('COM Techs T15'!$AO25,0,MATCH(VLOOKUP('COM Veda input'!CG$3,'RES Assumptions T15'!$V$3:$W$35,2,FALSE),'COM Techs T15'!$G$3:$U$3,0))</f>
        <v/>
      </c>
      <c r="CH25" s="11" t="str">
        <f ca="1">OFFSET('COM Techs T15'!$AO25,0,MATCH(VLOOKUP('COM Veda input'!CH$3,'RES Assumptions T15'!$V$3:$W$35,2,FALSE),'COM Techs T15'!$G$3:$U$3,0))</f>
        <v/>
      </c>
      <c r="CI25" s="11" t="str">
        <f ca="1">OFFSET('COM Techs T15'!$AO25,0,MATCH(VLOOKUP('COM Veda input'!CI$3,'RES Assumptions T15'!$V$3:$W$35,2,FALSE),'COM Techs T15'!$G$3:$U$3,0))</f>
        <v/>
      </c>
      <c r="CJ25" s="11" t="str">
        <f ca="1">OFFSET('COM Techs T15'!$AO25,0,MATCH(VLOOKUP('COM Veda input'!CJ$3,'RES Assumptions T15'!$V$3:$W$35,2,FALSE),'COM Techs T15'!$G$3:$U$3,0))</f>
        <v/>
      </c>
      <c r="CK25" s="11">
        <f ca="1">OFFSET('COM Techs T15'!$AO25,0,MATCH(VLOOKUP('COM Veda input'!CK$3,'RES Assumptions T15'!$V$3:$W$35,2,FALSE),'COM Techs T15'!$G$3:$U$3,0))</f>
        <v>6.3</v>
      </c>
      <c r="CL25" s="11" t="str">
        <f ca="1">OFFSET('COM Techs T15'!$AO25,0,MATCH(VLOOKUP('COM Veda input'!CL$3,'RES Assumptions T15'!$V$3:$W$35,2,FALSE),'COM Techs T15'!$G$3:$U$3,0))</f>
        <v/>
      </c>
      <c r="CM25" s="11" t="str">
        <f ca="1">OFFSET('COM Techs T15'!$AO25,0,MATCH(VLOOKUP('COM Veda input'!CM$3,'RES Assumptions T15'!$V$3:$W$35,2,FALSE),'COM Techs T15'!$G$3:$U$3,0))</f>
        <v/>
      </c>
      <c r="CN25" s="11">
        <f ca="1">OFFSET('COM Techs T15'!$AO25,0,MATCH(VLOOKUP('COM Veda input'!CN$3,'RES Assumptions T15'!$V$3:$W$35,2,FALSE),'COM Techs T15'!$G$3:$U$3,0))</f>
        <v>5.4</v>
      </c>
      <c r="CO25" s="11">
        <f ca="1">OFFSET('COM Techs T15'!$AO25,0,MATCH(VLOOKUP('COM Veda input'!CO$3,'RES Assumptions T15'!$V$3:$W$35,2,FALSE),'COM Techs T15'!$G$3:$U$3,0))</f>
        <v>6.3</v>
      </c>
      <c r="CP25" s="11">
        <f ca="1">OFFSET('COM Techs T15'!$AO25,0,MATCH(VLOOKUP('COM Veda input'!CP$3,'RES Assumptions T15'!$V$3:$W$35,2,FALSE),'COM Techs T15'!$G$3:$U$3,0))</f>
        <v>7.2</v>
      </c>
      <c r="CQ25" s="11">
        <f ca="1">OFFSET('COM Techs T15'!$AO25,0,MATCH(VLOOKUP('COM Veda input'!CQ$3,'RES Assumptions T15'!$V$3:$W$35,2,FALSE),'COM Techs T15'!$G$3:$U$3,0))</f>
        <v>6.3</v>
      </c>
      <c r="CR25" s="11" t="str">
        <f ca="1">OFFSET('COM Techs T15'!$AO25,0,MATCH(VLOOKUP('COM Veda input'!CR$3,'RES Assumptions T15'!$V$3:$W$35,2,FALSE),'COM Techs T15'!$G$3:$U$3,0))</f>
        <v/>
      </c>
      <c r="CS25" s="11" t="str">
        <f ca="1">OFFSET('COM Techs T15'!$AO25,0,MATCH(VLOOKUP('COM Veda input'!CS$3,'RES Assumptions T15'!$V$3:$W$35,2,FALSE),'COM Techs T15'!$G$3:$U$3,0))</f>
        <v/>
      </c>
      <c r="CT25" s="11">
        <f ca="1">OFFSET('COM Techs T15'!$AO25,0,MATCH(VLOOKUP('COM Veda input'!CT$3,'RES Assumptions T15'!$V$3:$W$35,2,FALSE),'COM Techs T15'!$G$3:$U$3,0))</f>
        <v>6.3</v>
      </c>
      <c r="CU25" s="11" t="str">
        <f ca="1">OFFSET('COM Techs T15'!$AO25,0,MATCH(VLOOKUP('COM Veda input'!CU$3,'RES Assumptions T15'!$V$3:$W$35,2,FALSE),'COM Techs T15'!$G$3:$U$3,0))</f>
        <v/>
      </c>
      <c r="CV25" s="11" t="str">
        <f ca="1">OFFSET('COM Techs T15'!$AO25,0,MATCH(VLOOKUP('COM Veda input'!CV$3,'RES Assumptions T15'!$V$3:$W$35,2,FALSE),'COM Techs T15'!$G$3:$U$3,0))</f>
        <v/>
      </c>
      <c r="CW25" s="11">
        <f ca="1">OFFSET('COM Techs T15'!$AO25,0,MATCH(VLOOKUP('COM Veda input'!CW$3,'RES Assumptions T15'!$V$3:$W$35,2,FALSE),'COM Techs T15'!$G$3:$U$3,0))</f>
        <v>0.4</v>
      </c>
      <c r="CX25" s="11">
        <f ca="1">OFFSET('COM Techs T15'!$AO25,0,MATCH(VLOOKUP('COM Veda input'!CX$3,'RES Assumptions T15'!$V$3:$W$35,2,FALSE),'COM Techs T15'!$G$3:$U$3,0))</f>
        <v>0.4</v>
      </c>
      <c r="CZ25" s="8" t="str">
        <f t="shared" si="22"/>
        <v>CSHHET000</v>
      </c>
      <c r="DA25" s="10">
        <f ca="1">'COM Assumptions'!E102*G25/'COM Veda input'!AM25</f>
        <v>0</v>
      </c>
      <c r="DB25" s="10">
        <f ca="1">'COM Assumptions'!F102*H25/'COM Veda input'!AN25</f>
        <v>0</v>
      </c>
      <c r="DC25" s="10">
        <f ca="1">'COM Assumptions'!G102*I25/'COM Veda input'!AO25</f>
        <v>0</v>
      </c>
      <c r="DD25" s="10">
        <f ca="1">'COM Assumptions'!H102*J25/'COM Veda input'!AP25</f>
        <v>432.76388441040007</v>
      </c>
      <c r="DE25" s="10">
        <f ca="1">'COM Assumptions'!I102*K25/'COM Veda input'!AQ25</f>
        <v>104.70913401960001</v>
      </c>
      <c r="DF25" s="10">
        <f ca="1">'COM Assumptions'!J102*L25/'COM Veda input'!AR25</f>
        <v>37.65326567040001</v>
      </c>
      <c r="DG25" s="10">
        <f ca="1">'COM Assumptions'!K102*M25/'COM Veda input'!AS25</f>
        <v>0</v>
      </c>
      <c r="DH25" s="10">
        <f ca="1">'COM Assumptions'!L102*N25/'COM Veda input'!AT25</f>
        <v>0</v>
      </c>
      <c r="DI25" s="10">
        <f ca="1">'COM Assumptions'!M102*O25/'COM Veda input'!AU25</f>
        <v>0.79636361563636371</v>
      </c>
      <c r="DJ25" s="10">
        <f ca="1">'COM Assumptions'!N102*P25/'COM Veda input'!AV25</f>
        <v>415.41960486240009</v>
      </c>
      <c r="DK25" s="10">
        <f ca="1">'COM Assumptions'!O102*Q25/'COM Veda input'!AW25</f>
        <v>384.25063313160007</v>
      </c>
      <c r="DL25" s="10">
        <f ca="1">'COM Assumptions'!P102*R25/'COM Veda input'!AX25</f>
        <v>338.02316112600005</v>
      </c>
      <c r="DM25" s="10">
        <f ca="1">'COM Assumptions'!Q102*S25/'COM Veda input'!AY25</f>
        <v>46.26329426640001</v>
      </c>
      <c r="DN25" s="10">
        <f ca="1">'COM Assumptions'!R102*T25/'COM Veda input'!AZ25</f>
        <v>37.240417882800003</v>
      </c>
      <c r="DO25" s="10">
        <f ca="1">'COM Assumptions'!S102*U25/'COM Veda input'!BA25</f>
        <v>66.985429625999998</v>
      </c>
      <c r="DP25" s="10">
        <f ca="1">'COM Assumptions'!T102*V25/'COM Veda input'!BB25</f>
        <v>2.9988708624</v>
      </c>
      <c r="DQ25" s="10">
        <f ca="1">'COM Assumptions'!U102*W25/'COM Veda input'!BC25</f>
        <v>368.82104839919998</v>
      </c>
      <c r="DR25" s="10">
        <f ca="1">'COM Assumptions'!V102*X25/'COM Veda input'!BD25</f>
        <v>100.52706091680001</v>
      </c>
      <c r="DS25" s="10">
        <f ca="1">'COM Assumptions'!W102*Y25/'COM Veda input'!BE25</f>
        <v>174.58199863920001</v>
      </c>
      <c r="DT25" s="10">
        <f ca="1">'COM Assumptions'!X102*Z25/'COM Veda input'!BF25</f>
        <v>0</v>
      </c>
      <c r="DU25" s="10">
        <f ca="1">'COM Assumptions'!Y102*AA25/'COM Veda input'!BG25</f>
        <v>0</v>
      </c>
      <c r="DV25" s="10">
        <f ca="1">'COM Assumptions'!Z102*AB25/'COM Veda input'!BH25</f>
        <v>0</v>
      </c>
      <c r="DW25" s="10">
        <f ca="1">'COM Assumptions'!AA102*AC25/'COM Veda input'!BI25</f>
        <v>0</v>
      </c>
      <c r="DX25" s="10">
        <f ca="1">'COM Assumptions'!AB102*AD25/'COM Veda input'!BJ25</f>
        <v>83.358400881600019</v>
      </c>
      <c r="DY25" s="10">
        <f ca="1">'COM Assumptions'!AC102*AE25/'COM Veda input'!BK25</f>
        <v>2374.0488030420001</v>
      </c>
      <c r="DZ25" s="10">
        <f ca="1">'COM Assumptions'!AD102*AF25/'COM Veda input'!BL25</f>
        <v>0</v>
      </c>
      <c r="EA25" s="10">
        <f ca="1">'COM Assumptions'!AE102*AG25/'COM Veda input'!BM25</f>
        <v>0</v>
      </c>
      <c r="EB25" s="10">
        <f ca="1">'COM Assumptions'!AF102*AH25/'COM Veda input'!BN25</f>
        <v>37.684955559600006</v>
      </c>
      <c r="EC25" s="10">
        <f ca="1">'COM Assumptions'!AG102*AI25/'COM Veda input'!BO25</f>
        <v>159.03672006240001</v>
      </c>
      <c r="ED25" s="10">
        <f ca="1">'COM Assumptions'!AH102*AJ25/'COM Veda input'!BP25</f>
        <v>0</v>
      </c>
      <c r="EE25" s="8">
        <v>20</v>
      </c>
      <c r="EI25" s="8" t="str">
        <f t="shared" si="23"/>
        <v>CSHHET000</v>
      </c>
      <c r="EK25" t="s">
        <v>282</v>
      </c>
      <c r="EL25" t="s">
        <v>283</v>
      </c>
    </row>
    <row r="26" spans="1:142" x14ac:dyDescent="0.45">
      <c r="A26" s="37" t="str">
        <f>'COM Assumptions'!B103</f>
        <v>CH</v>
      </c>
      <c r="B26" s="37" t="s">
        <v>234</v>
      </c>
      <c r="D26" t="s">
        <v>329</v>
      </c>
      <c r="E26" s="8" t="str">
        <f>'COM Assumptions'!A103</f>
        <v>COMKER</v>
      </c>
      <c r="F26" t="str">
        <f>VLOOKUP('COM Assumptions'!B103,'COM Assumptions'!$AP$81:$AQ$88,2,FALSE)</f>
        <v>CSH</v>
      </c>
      <c r="G26" s="11">
        <f ca="1">OFFSET('COM Techs T15'!$F27,0,MATCH(VLOOKUP('COM Veda input'!G$3,'RES Assumptions T15'!$V$3:$W$35,2,FALSE),'COM Techs T15'!$G$3:$U$3,0))</f>
        <v>0.6</v>
      </c>
      <c r="H26" s="11">
        <f ca="1">OFFSET('COM Techs T15'!$F27,0,MATCH(VLOOKUP('COM Veda input'!H$3,'RES Assumptions T15'!$V$3:$W$35,2,FALSE),'COM Techs T15'!$G$3:$U$3,0))</f>
        <v>0.6</v>
      </c>
      <c r="I26" s="11">
        <f ca="1">OFFSET('COM Techs T15'!$F27,0,MATCH(VLOOKUP('COM Veda input'!I$3,'RES Assumptions T15'!$V$3:$W$35,2,FALSE),'COM Techs T15'!$G$3:$U$3,0))</f>
        <v>0.6</v>
      </c>
      <c r="J26" s="11">
        <f ca="1">OFFSET('COM Techs T15'!$F27,0,MATCH(VLOOKUP('COM Veda input'!J$3,'RES Assumptions T15'!$V$3:$W$35,2,FALSE),'COM Techs T15'!$G$3:$U$3,0))</f>
        <v>0.6</v>
      </c>
      <c r="K26" s="11">
        <f ca="1">OFFSET('COM Techs T15'!$F27,0,MATCH(VLOOKUP('COM Veda input'!K$3,'RES Assumptions T15'!$V$3:$W$35,2,FALSE),'COM Techs T15'!$G$3:$U$3,0))</f>
        <v>0.6</v>
      </c>
      <c r="L26" s="11">
        <f ca="1">OFFSET('COM Techs T15'!$F27,0,MATCH(VLOOKUP('COM Veda input'!L$3,'RES Assumptions T15'!$V$3:$W$35,2,FALSE),'COM Techs T15'!$G$3:$U$3,0))</f>
        <v>0.6</v>
      </c>
      <c r="M26" s="11">
        <f ca="1">OFFSET('COM Techs T15'!$F27,0,MATCH(VLOOKUP('COM Veda input'!M$3,'RES Assumptions T15'!$V$3:$W$35,2,FALSE),'COM Techs T15'!$G$3:$U$3,0))</f>
        <v>0.6</v>
      </c>
      <c r="N26" s="11">
        <f ca="1">OFFSET('COM Techs T15'!$F27,0,MATCH(VLOOKUP('COM Veda input'!N$3,'RES Assumptions T15'!$V$3:$W$35,2,FALSE),'COM Techs T15'!$G$3:$U$3,0))</f>
        <v>0.6</v>
      </c>
      <c r="O26" s="11">
        <f ca="1">OFFSET('COM Techs T15'!$F27,0,MATCH(VLOOKUP('COM Veda input'!O$3,'RES Assumptions T15'!$V$3:$W$35,2,FALSE),'COM Techs T15'!$G$3:$U$3,0))</f>
        <v>0.6</v>
      </c>
      <c r="P26" s="11">
        <f ca="1">OFFSET('COM Techs T15'!$F27,0,MATCH(VLOOKUP('COM Veda input'!P$3,'RES Assumptions T15'!$V$3:$W$35,2,FALSE),'COM Techs T15'!$G$3:$U$3,0))</f>
        <v>0.6</v>
      </c>
      <c r="Q26" s="11">
        <f ca="1">OFFSET('COM Techs T15'!$F27,0,MATCH(VLOOKUP('COM Veda input'!Q$3,'RES Assumptions T15'!$V$3:$W$35,2,FALSE),'COM Techs T15'!$G$3:$U$3,0))</f>
        <v>0.6</v>
      </c>
      <c r="R26" s="11">
        <f ca="1">OFFSET('COM Techs T15'!$F27,0,MATCH(VLOOKUP('COM Veda input'!R$3,'RES Assumptions T15'!$V$3:$W$35,2,FALSE),'COM Techs T15'!$G$3:$U$3,0))</f>
        <v>0.6</v>
      </c>
      <c r="S26" s="11">
        <f ca="1">OFFSET('COM Techs T15'!$F27,0,MATCH(VLOOKUP('COM Veda input'!S$3,'RES Assumptions T15'!$V$3:$W$35,2,FALSE),'COM Techs T15'!$G$3:$U$3,0))</f>
        <v>0.6</v>
      </c>
      <c r="T26" s="11">
        <f ca="1">OFFSET('COM Techs T15'!$F27,0,MATCH(VLOOKUP('COM Veda input'!T$3,'RES Assumptions T15'!$V$3:$W$35,2,FALSE),'COM Techs T15'!$G$3:$U$3,0))</f>
        <v>0.6</v>
      </c>
      <c r="U26" s="11">
        <f ca="1">OFFSET('COM Techs T15'!$F27,0,MATCH(VLOOKUP('COM Veda input'!U$3,'RES Assumptions T15'!$V$3:$W$35,2,FALSE),'COM Techs T15'!$G$3:$U$3,0))</f>
        <v>0.6</v>
      </c>
      <c r="V26" s="11">
        <f ca="1">OFFSET('COM Techs T15'!$F27,0,MATCH(VLOOKUP('COM Veda input'!V$3,'RES Assumptions T15'!$V$3:$W$35,2,FALSE),'COM Techs T15'!$G$3:$U$3,0))</f>
        <v>0.6</v>
      </c>
      <c r="W26" s="11">
        <f ca="1">OFFSET('COM Techs T15'!$F27,0,MATCH(VLOOKUP('COM Veda input'!W$3,'RES Assumptions T15'!$V$3:$W$35,2,FALSE),'COM Techs T15'!$G$3:$U$3,0))</f>
        <v>0.6</v>
      </c>
      <c r="X26" s="11">
        <f ca="1">OFFSET('COM Techs T15'!$F27,0,MATCH(VLOOKUP('COM Veda input'!X$3,'RES Assumptions T15'!$V$3:$W$35,2,FALSE),'COM Techs T15'!$G$3:$U$3,0))</f>
        <v>0.6</v>
      </c>
      <c r="Y26" s="11">
        <f ca="1">OFFSET('COM Techs T15'!$F27,0,MATCH(VLOOKUP('COM Veda input'!Y$3,'RES Assumptions T15'!$V$3:$W$35,2,FALSE),'COM Techs T15'!$G$3:$U$3,0))</f>
        <v>0.6</v>
      </c>
      <c r="Z26" s="11">
        <f ca="1">OFFSET('COM Techs T15'!$F27,0,MATCH(VLOOKUP('COM Veda input'!Z$3,'RES Assumptions T15'!$V$3:$W$35,2,FALSE),'COM Techs T15'!$G$3:$U$3,0))</f>
        <v>0.6</v>
      </c>
      <c r="AA26" s="11">
        <f ca="1">OFFSET('COM Techs T15'!$F27,0,MATCH(VLOOKUP('COM Veda input'!AA$3,'RES Assumptions T15'!$V$3:$W$35,2,FALSE),'COM Techs T15'!$G$3:$U$3,0))</f>
        <v>0.6</v>
      </c>
      <c r="AB26" s="11">
        <f ca="1">OFFSET('COM Techs T15'!$F27,0,MATCH(VLOOKUP('COM Veda input'!AB$3,'RES Assumptions T15'!$V$3:$W$35,2,FALSE),'COM Techs T15'!$G$3:$U$3,0))</f>
        <v>0.6</v>
      </c>
      <c r="AC26" s="11">
        <f ca="1">OFFSET('COM Techs T15'!$F27,0,MATCH(VLOOKUP('COM Veda input'!AC$3,'RES Assumptions T15'!$V$3:$W$35,2,FALSE),'COM Techs T15'!$G$3:$U$3,0))</f>
        <v>0.6</v>
      </c>
      <c r="AD26" s="11">
        <f ca="1">OFFSET('COM Techs T15'!$F27,0,MATCH(VLOOKUP('COM Veda input'!AD$3,'RES Assumptions T15'!$V$3:$W$35,2,FALSE),'COM Techs T15'!$G$3:$U$3,0))</f>
        <v>0.6</v>
      </c>
      <c r="AE26" s="11">
        <f ca="1">OFFSET('COM Techs T15'!$F27,0,MATCH(VLOOKUP('COM Veda input'!AE$3,'RES Assumptions T15'!$V$3:$W$35,2,FALSE),'COM Techs T15'!$G$3:$U$3,0))</f>
        <v>0.6</v>
      </c>
      <c r="AF26" s="11">
        <f ca="1">OFFSET('COM Techs T15'!$F27,0,MATCH(VLOOKUP('COM Veda input'!AF$3,'RES Assumptions T15'!$V$3:$W$35,2,FALSE),'COM Techs T15'!$G$3:$U$3,0))</f>
        <v>0.6</v>
      </c>
      <c r="AG26" s="11">
        <f ca="1">OFFSET('COM Techs T15'!$F27,0,MATCH(VLOOKUP('COM Veda input'!AG$3,'RES Assumptions T15'!$V$3:$W$35,2,FALSE),'COM Techs T15'!$G$3:$U$3,0))</f>
        <v>0.6</v>
      </c>
      <c r="AH26" s="11">
        <f ca="1">OFFSET('COM Techs T15'!$F27,0,MATCH(VLOOKUP('COM Veda input'!AH$3,'RES Assumptions T15'!$V$3:$W$35,2,FALSE),'COM Techs T15'!$G$3:$U$3,0))</f>
        <v>0.6</v>
      </c>
      <c r="AI26" s="11">
        <f ca="1">OFFSET('COM Techs T15'!$F27,0,MATCH(VLOOKUP('COM Veda input'!AI$3,'RES Assumptions T15'!$V$3:$W$35,2,FALSE),'COM Techs T15'!$G$3:$U$3,0))</f>
        <v>0.6</v>
      </c>
      <c r="AJ26" s="11">
        <f ca="1">OFFSET('COM Techs T15'!$F27,0,MATCH(VLOOKUP('COM Veda input'!AJ$3,'RES Assumptions T15'!$V$3:$W$35,2,FALSE),'COM Techs T15'!$G$3:$U$3,0))</f>
        <v>0.6</v>
      </c>
      <c r="AL26" s="8" t="str">
        <f t="shared" si="19"/>
        <v>CSHKER000</v>
      </c>
      <c r="AM26" s="11">
        <f ca="1">OFFSET('COM Techs T15'!$W27,0,MATCH(VLOOKUP('COM Veda input'!AM$3,'RES Assumptions T15'!$V$3:$W$35,2,FALSE),'COM Techs T15'!$G$3:$U$3,0))</f>
        <v>0.3</v>
      </c>
      <c r="AN26" s="11">
        <f ca="1">OFFSET('COM Techs T15'!$W27,0,MATCH(VLOOKUP('COM Veda input'!AN$3,'RES Assumptions T15'!$V$3:$W$35,2,FALSE),'COM Techs T15'!$G$3:$U$3,0))</f>
        <v>0.3</v>
      </c>
      <c r="AO26" s="11">
        <f ca="1">OFFSET('COM Techs T15'!$W27,0,MATCH(VLOOKUP('COM Veda input'!AO$3,'RES Assumptions T15'!$V$3:$W$35,2,FALSE),'COM Techs T15'!$G$3:$U$3,0))</f>
        <v>0.3</v>
      </c>
      <c r="AP26" s="11">
        <f ca="1">OFFSET('COM Techs T15'!$W27,0,MATCH(VLOOKUP('COM Veda input'!AP$3,'RES Assumptions T15'!$V$3:$W$35,2,FALSE),'COM Techs T15'!$G$3:$U$3,0))</f>
        <v>0.3</v>
      </c>
      <c r="AQ26" s="11">
        <f ca="1">OFFSET('COM Techs T15'!$W27,0,MATCH(VLOOKUP('COM Veda input'!AQ$3,'RES Assumptions T15'!$V$3:$W$35,2,FALSE),'COM Techs T15'!$G$3:$U$3,0))</f>
        <v>0.3</v>
      </c>
      <c r="AR26" s="11">
        <f ca="1">OFFSET('COM Techs T15'!$W27,0,MATCH(VLOOKUP('COM Veda input'!AR$3,'RES Assumptions T15'!$V$3:$W$35,2,FALSE),'COM Techs T15'!$G$3:$U$3,0))</f>
        <v>0.3</v>
      </c>
      <c r="AS26" s="11">
        <f ca="1">OFFSET('COM Techs T15'!$W27,0,MATCH(VLOOKUP('COM Veda input'!AS$3,'RES Assumptions T15'!$V$3:$W$35,2,FALSE),'COM Techs T15'!$G$3:$U$3,0))</f>
        <v>0.28999999999999998</v>
      </c>
      <c r="AT26" s="11">
        <f ca="1">OFFSET('COM Techs T15'!$W27,0,MATCH(VLOOKUP('COM Veda input'!AT$3,'RES Assumptions T15'!$V$3:$W$35,2,FALSE),'COM Techs T15'!$G$3:$U$3,0))</f>
        <v>0.3</v>
      </c>
      <c r="AU26" s="11">
        <f ca="1">OFFSET('COM Techs T15'!$W27,0,MATCH(VLOOKUP('COM Veda input'!AU$3,'RES Assumptions T15'!$V$3:$W$35,2,FALSE),'COM Techs T15'!$G$3:$U$3,0))</f>
        <v>0.33</v>
      </c>
      <c r="AV26" s="11">
        <f ca="1">OFFSET('COM Techs T15'!$W27,0,MATCH(VLOOKUP('COM Veda input'!AV$3,'RES Assumptions T15'!$V$3:$W$35,2,FALSE),'COM Techs T15'!$G$3:$U$3,0))</f>
        <v>0.3</v>
      </c>
      <c r="AW26" s="11">
        <f ca="1">OFFSET('COM Techs T15'!$W27,0,MATCH(VLOOKUP('COM Veda input'!AW$3,'RES Assumptions T15'!$V$3:$W$35,2,FALSE),'COM Techs T15'!$G$3:$U$3,0))</f>
        <v>0.3</v>
      </c>
      <c r="AX26" s="11">
        <f ca="1">OFFSET('COM Techs T15'!$W27,0,MATCH(VLOOKUP('COM Veda input'!AX$3,'RES Assumptions T15'!$V$3:$W$35,2,FALSE),'COM Techs T15'!$G$3:$U$3,0))</f>
        <v>0.3</v>
      </c>
      <c r="AY26" s="11">
        <f ca="1">OFFSET('COM Techs T15'!$W27,0,MATCH(VLOOKUP('COM Veda input'!AY$3,'RES Assumptions T15'!$V$3:$W$35,2,FALSE),'COM Techs T15'!$G$3:$U$3,0))</f>
        <v>0.3</v>
      </c>
      <c r="AZ26" s="11">
        <f ca="1">OFFSET('COM Techs T15'!$W27,0,MATCH(VLOOKUP('COM Veda input'!AZ$3,'RES Assumptions T15'!$V$3:$W$35,2,FALSE),'COM Techs T15'!$G$3:$U$3,0))</f>
        <v>0.3</v>
      </c>
      <c r="BA26" s="11">
        <f ca="1">OFFSET('COM Techs T15'!$W27,0,MATCH(VLOOKUP('COM Veda input'!BA$3,'RES Assumptions T15'!$V$3:$W$35,2,FALSE),'COM Techs T15'!$G$3:$U$3,0))</f>
        <v>0.3</v>
      </c>
      <c r="BB26" s="11">
        <f ca="1">OFFSET('COM Techs T15'!$W27,0,MATCH(VLOOKUP('COM Veda input'!BB$3,'RES Assumptions T15'!$V$3:$W$35,2,FALSE),'COM Techs T15'!$G$3:$U$3,0))</f>
        <v>0.3</v>
      </c>
      <c r="BC26" s="11">
        <f ca="1">OFFSET('COM Techs T15'!$W27,0,MATCH(VLOOKUP('COM Veda input'!BC$3,'RES Assumptions T15'!$V$3:$W$35,2,FALSE),'COM Techs T15'!$G$3:$U$3,0))</f>
        <v>0.3</v>
      </c>
      <c r="BD26" s="11">
        <f ca="1">OFFSET('COM Techs T15'!$W27,0,MATCH(VLOOKUP('COM Veda input'!BD$3,'RES Assumptions T15'!$V$3:$W$35,2,FALSE),'COM Techs T15'!$G$3:$U$3,0))</f>
        <v>0.3</v>
      </c>
      <c r="BE26" s="11">
        <f ca="1">OFFSET('COM Techs T15'!$W27,0,MATCH(VLOOKUP('COM Veda input'!BE$3,'RES Assumptions T15'!$V$3:$W$35,2,FALSE),'COM Techs T15'!$G$3:$U$3,0))</f>
        <v>0.3</v>
      </c>
      <c r="BF26" s="11">
        <f ca="1">OFFSET('COM Techs T15'!$W27,0,MATCH(VLOOKUP('COM Veda input'!BF$3,'RES Assumptions T15'!$V$3:$W$35,2,FALSE),'COM Techs T15'!$G$3:$U$3,0))</f>
        <v>0.3</v>
      </c>
      <c r="BG26" s="11">
        <f ca="1">OFFSET('COM Techs T15'!$W27,0,MATCH(VLOOKUP('COM Veda input'!BG$3,'RES Assumptions T15'!$V$3:$W$35,2,FALSE),'COM Techs T15'!$G$3:$U$3,0))</f>
        <v>0.3</v>
      </c>
      <c r="BH26" s="11">
        <f ca="1">OFFSET('COM Techs T15'!$W27,0,MATCH(VLOOKUP('COM Veda input'!BH$3,'RES Assumptions T15'!$V$3:$W$35,2,FALSE),'COM Techs T15'!$G$3:$U$3,0))</f>
        <v>0.3</v>
      </c>
      <c r="BI26" s="11">
        <f ca="1">OFFSET('COM Techs T15'!$W27,0,MATCH(VLOOKUP('COM Veda input'!BI$3,'RES Assumptions T15'!$V$3:$W$35,2,FALSE),'COM Techs T15'!$G$3:$U$3,0))</f>
        <v>0.3</v>
      </c>
      <c r="BJ26" s="11">
        <f ca="1">OFFSET('COM Techs T15'!$W27,0,MATCH(VLOOKUP('COM Veda input'!BJ$3,'RES Assumptions T15'!$V$3:$W$35,2,FALSE),'COM Techs T15'!$G$3:$U$3,0))</f>
        <v>0.3</v>
      </c>
      <c r="BK26" s="11">
        <f ca="1">OFFSET('COM Techs T15'!$W27,0,MATCH(VLOOKUP('COM Veda input'!BK$3,'RES Assumptions T15'!$V$3:$W$35,2,FALSE),'COM Techs T15'!$G$3:$U$3,0))</f>
        <v>0.3</v>
      </c>
      <c r="BL26" s="11">
        <f ca="1">OFFSET('COM Techs T15'!$W27,0,MATCH(VLOOKUP('COM Veda input'!BL$3,'RES Assumptions T15'!$V$3:$W$35,2,FALSE),'COM Techs T15'!$G$3:$U$3,0))</f>
        <v>0.3</v>
      </c>
      <c r="BM26" s="11">
        <f ca="1">OFFSET('COM Techs T15'!$W27,0,MATCH(VLOOKUP('COM Veda input'!BM$3,'RES Assumptions T15'!$V$3:$W$35,2,FALSE),'COM Techs T15'!$G$3:$U$3,0))</f>
        <v>0.3</v>
      </c>
      <c r="BN26" s="11">
        <f ca="1">OFFSET('COM Techs T15'!$W27,0,MATCH(VLOOKUP('COM Veda input'!BN$3,'RES Assumptions T15'!$V$3:$W$35,2,FALSE),'COM Techs T15'!$G$3:$U$3,0))</f>
        <v>0.3</v>
      </c>
      <c r="BO26" s="11">
        <f ca="1">OFFSET('COM Techs T15'!$W27,0,MATCH(VLOOKUP('COM Veda input'!BO$3,'RES Assumptions T15'!$V$3:$W$35,2,FALSE),'COM Techs T15'!$G$3:$U$3,0))</f>
        <v>0.3</v>
      </c>
      <c r="BP26" s="11">
        <f ca="1">OFFSET('COM Techs T15'!$W27,0,MATCH(VLOOKUP('COM Veda input'!BP$3,'RES Assumptions T15'!$V$3:$W$35,2,FALSE),'COM Techs T15'!$G$3:$U$3,0))</f>
        <v>0.3</v>
      </c>
      <c r="BQ26">
        <v>3</v>
      </c>
      <c r="BS26" s="8" t="str">
        <f t="shared" si="20"/>
        <v>CSHKER000</v>
      </c>
      <c r="BT26" s="11">
        <f t="shared" ca="1" si="21"/>
        <v>3.6</v>
      </c>
      <c r="BU26" s="11" t="str">
        <f ca="1">OFFSET('COM Techs T15'!$AO27,0,MATCH(VLOOKUP('COM Veda input'!BU$3,'RES Assumptions T15'!$V$3:$W$35,2,FALSE),'COM Techs T15'!$G$3:$U$3,0))</f>
        <v/>
      </c>
      <c r="BV26" s="11" t="str">
        <f ca="1">OFFSET('COM Techs T15'!$AO27,0,MATCH(VLOOKUP('COM Veda input'!BV$3,'RES Assumptions T15'!$V$3:$W$35,2,FALSE),'COM Techs T15'!$G$3:$U$3,0))</f>
        <v/>
      </c>
      <c r="BW26" s="11">
        <f ca="1">OFFSET('COM Techs T15'!$AO27,0,MATCH(VLOOKUP('COM Veda input'!BW$3,'RES Assumptions T15'!$V$3:$W$35,2,FALSE),'COM Techs T15'!$G$3:$U$3,0))</f>
        <v>4.2</v>
      </c>
      <c r="BX26" s="11" t="str">
        <f ca="1">OFFSET('COM Techs T15'!$AO27,0,MATCH(VLOOKUP('COM Veda input'!BX$3,'RES Assumptions T15'!$V$3:$W$35,2,FALSE),'COM Techs T15'!$G$3:$U$3,0))</f>
        <v/>
      </c>
      <c r="BY26" s="11">
        <f ca="1">OFFSET('COM Techs T15'!$AO27,0,MATCH(VLOOKUP('COM Veda input'!BY$3,'RES Assumptions T15'!$V$3:$W$35,2,FALSE),'COM Techs T15'!$G$3:$U$3,0))</f>
        <v>6</v>
      </c>
      <c r="BZ26" s="11">
        <f ca="1">OFFSET('COM Techs T15'!$AO27,0,MATCH(VLOOKUP('COM Veda input'!BZ$3,'RES Assumptions T15'!$V$3:$W$35,2,FALSE),'COM Techs T15'!$G$3:$U$3,0))</f>
        <v>3.6</v>
      </c>
      <c r="CA26" s="11" t="str">
        <f ca="1">OFFSET('COM Techs T15'!$AO27,0,MATCH(VLOOKUP('COM Veda input'!CA$3,'RES Assumptions T15'!$V$3:$W$35,2,FALSE),'COM Techs T15'!$G$3:$U$3,0))</f>
        <v/>
      </c>
      <c r="CB26" s="11">
        <f ca="1">OFFSET('COM Techs T15'!$AO27,0,MATCH(VLOOKUP('COM Veda input'!CB$3,'RES Assumptions T15'!$V$3:$W$35,2,FALSE),'COM Techs T15'!$G$3:$U$3,0))</f>
        <v>4.2</v>
      </c>
      <c r="CC26" s="11" t="str">
        <f ca="1">OFFSET('COM Techs T15'!$AO27,0,MATCH(VLOOKUP('COM Veda input'!CC$3,'RES Assumptions T15'!$V$3:$W$35,2,FALSE),'COM Techs T15'!$G$3:$U$3,0))</f>
        <v/>
      </c>
      <c r="CD26" s="11">
        <f ca="1">OFFSET('COM Techs T15'!$AO27,0,MATCH(VLOOKUP('COM Veda input'!CD$3,'RES Assumptions T15'!$V$3:$W$35,2,FALSE),'COM Techs T15'!$G$3:$U$3,0))</f>
        <v>3.6</v>
      </c>
      <c r="CE26" s="11" t="str">
        <f ca="1">OFFSET('COM Techs T15'!$AO27,0,MATCH(VLOOKUP('COM Veda input'!CE$3,'RES Assumptions T15'!$V$3:$W$35,2,FALSE),'COM Techs T15'!$G$3:$U$3,0))</f>
        <v/>
      </c>
      <c r="CF26" s="11" t="str">
        <f ca="1">OFFSET('COM Techs T15'!$AO27,0,MATCH(VLOOKUP('COM Veda input'!CF$3,'RES Assumptions T15'!$V$3:$W$35,2,FALSE),'COM Techs T15'!$G$3:$U$3,0))</f>
        <v/>
      </c>
      <c r="CG26" s="11" t="str">
        <f ca="1">OFFSET('COM Techs T15'!$AO27,0,MATCH(VLOOKUP('COM Veda input'!CG$3,'RES Assumptions T15'!$V$3:$W$35,2,FALSE),'COM Techs T15'!$G$3:$U$3,0))</f>
        <v/>
      </c>
      <c r="CH26" s="11" t="str">
        <f ca="1">OFFSET('COM Techs T15'!$AO27,0,MATCH(VLOOKUP('COM Veda input'!CH$3,'RES Assumptions T15'!$V$3:$W$35,2,FALSE),'COM Techs T15'!$G$3:$U$3,0))</f>
        <v/>
      </c>
      <c r="CI26" s="11" t="str">
        <f ca="1">OFFSET('COM Techs T15'!$AO27,0,MATCH(VLOOKUP('COM Veda input'!CI$3,'RES Assumptions T15'!$V$3:$W$35,2,FALSE),'COM Techs T15'!$G$3:$U$3,0))</f>
        <v/>
      </c>
      <c r="CJ26" s="11" t="str">
        <f ca="1">OFFSET('COM Techs T15'!$AO27,0,MATCH(VLOOKUP('COM Veda input'!CJ$3,'RES Assumptions T15'!$V$3:$W$35,2,FALSE),'COM Techs T15'!$G$3:$U$3,0))</f>
        <v/>
      </c>
      <c r="CK26" s="11">
        <f ca="1">OFFSET('COM Techs T15'!$AO27,0,MATCH(VLOOKUP('COM Veda input'!CK$3,'RES Assumptions T15'!$V$3:$W$35,2,FALSE),'COM Techs T15'!$G$3:$U$3,0))</f>
        <v>4.2</v>
      </c>
      <c r="CL26" s="11" t="str">
        <f ca="1">OFFSET('COM Techs T15'!$AO27,0,MATCH(VLOOKUP('COM Veda input'!CL$3,'RES Assumptions T15'!$V$3:$W$35,2,FALSE),'COM Techs T15'!$G$3:$U$3,0))</f>
        <v/>
      </c>
      <c r="CM26" s="11" t="str">
        <f ca="1">OFFSET('COM Techs T15'!$AO27,0,MATCH(VLOOKUP('COM Veda input'!CM$3,'RES Assumptions T15'!$V$3:$W$35,2,FALSE),'COM Techs T15'!$G$3:$U$3,0))</f>
        <v/>
      </c>
      <c r="CN26" s="11">
        <f ca="1">OFFSET('COM Techs T15'!$AO27,0,MATCH(VLOOKUP('COM Veda input'!CN$3,'RES Assumptions T15'!$V$3:$W$35,2,FALSE),'COM Techs T15'!$G$3:$U$3,0))</f>
        <v>3.6</v>
      </c>
      <c r="CO26" s="11">
        <f ca="1">OFFSET('COM Techs T15'!$AO27,0,MATCH(VLOOKUP('COM Veda input'!CO$3,'RES Assumptions T15'!$V$3:$W$35,2,FALSE),'COM Techs T15'!$G$3:$U$3,0))</f>
        <v>4.2</v>
      </c>
      <c r="CP26" s="11">
        <f ca="1">OFFSET('COM Techs T15'!$AO27,0,MATCH(VLOOKUP('COM Veda input'!CP$3,'RES Assumptions T15'!$V$3:$W$35,2,FALSE),'COM Techs T15'!$G$3:$U$3,0))</f>
        <v>4.8</v>
      </c>
      <c r="CQ26" s="11">
        <f ca="1">OFFSET('COM Techs T15'!$AO27,0,MATCH(VLOOKUP('COM Veda input'!CQ$3,'RES Assumptions T15'!$V$3:$W$35,2,FALSE),'COM Techs T15'!$G$3:$U$3,0))</f>
        <v>4.2</v>
      </c>
      <c r="CR26" s="11" t="str">
        <f ca="1">OFFSET('COM Techs T15'!$AO27,0,MATCH(VLOOKUP('COM Veda input'!CR$3,'RES Assumptions T15'!$V$3:$W$35,2,FALSE),'COM Techs T15'!$G$3:$U$3,0))</f>
        <v/>
      </c>
      <c r="CS26" s="11" t="str">
        <f ca="1">OFFSET('COM Techs T15'!$AO27,0,MATCH(VLOOKUP('COM Veda input'!CS$3,'RES Assumptions T15'!$V$3:$W$35,2,FALSE),'COM Techs T15'!$G$3:$U$3,0))</f>
        <v/>
      </c>
      <c r="CT26" s="11">
        <f ca="1">OFFSET('COM Techs T15'!$AO27,0,MATCH(VLOOKUP('COM Veda input'!CT$3,'RES Assumptions T15'!$V$3:$W$35,2,FALSE),'COM Techs T15'!$G$3:$U$3,0))</f>
        <v>4.2</v>
      </c>
      <c r="CU26" s="11" t="str">
        <f ca="1">OFFSET('COM Techs T15'!$AO27,0,MATCH(VLOOKUP('COM Veda input'!CU$3,'RES Assumptions T15'!$V$3:$W$35,2,FALSE),'COM Techs T15'!$G$3:$U$3,0))</f>
        <v/>
      </c>
      <c r="CV26" s="11" t="str">
        <f ca="1">OFFSET('COM Techs T15'!$AO27,0,MATCH(VLOOKUP('COM Veda input'!CV$3,'RES Assumptions T15'!$V$3:$W$35,2,FALSE),'COM Techs T15'!$G$3:$U$3,0))</f>
        <v/>
      </c>
      <c r="CW26" s="11">
        <f ca="1">OFFSET('COM Techs T15'!$AO27,0,MATCH(VLOOKUP('COM Veda input'!CW$3,'RES Assumptions T15'!$V$3:$W$35,2,FALSE),'COM Techs T15'!$G$3:$U$3,0))</f>
        <v>0.4</v>
      </c>
      <c r="CX26" s="11">
        <f ca="1">OFFSET('COM Techs T15'!$AO27,0,MATCH(VLOOKUP('COM Veda input'!CX$3,'RES Assumptions T15'!$V$3:$W$35,2,FALSE),'COM Techs T15'!$G$3:$U$3,0))</f>
        <v>0.4</v>
      </c>
      <c r="CZ26" s="8" t="str">
        <f t="shared" si="22"/>
        <v>CSHKER000</v>
      </c>
      <c r="DA26" s="10">
        <f ca="1">'COM Assumptions'!E103*G26/'COM Veda input'!AM26</f>
        <v>0</v>
      </c>
      <c r="DB26" s="10">
        <f ca="1">'COM Assumptions'!F103*H26/'COM Veda input'!AN26</f>
        <v>0</v>
      </c>
      <c r="DC26" s="10">
        <f ca="1">'COM Assumptions'!G103*I26/'COM Veda input'!AO26</f>
        <v>0</v>
      </c>
      <c r="DD26" s="10">
        <f ca="1">'COM Assumptions'!H103*J26/'COM Veda input'!AP26</f>
        <v>2.6200994400000004E-2</v>
      </c>
      <c r="DE26" s="10">
        <f ca="1">'COM Assumptions'!I103*K26/'COM Veda input'!AQ26</f>
        <v>181.95993740591999</v>
      </c>
      <c r="DF26" s="10">
        <f ca="1">'COM Assumptions'!J103*L26/'COM Veda input'!AR26</f>
        <v>1.9699756480800001</v>
      </c>
      <c r="DG26" s="10">
        <f ca="1">'COM Assumptions'!K103*M26/'COM Veda input'!AS26</f>
        <v>1.4206245517241379E-4</v>
      </c>
      <c r="DH26" s="10">
        <f ca="1">'COM Assumptions'!L103*N26/'COM Veda input'!AT26</f>
        <v>0</v>
      </c>
      <c r="DI26" s="10">
        <f ca="1">'COM Assumptions'!M103*O26/'COM Veda input'!AU26</f>
        <v>1.4015998112727273</v>
      </c>
      <c r="DJ26" s="10">
        <f ca="1">'COM Assumptions'!N103*P26/'COM Veda input'!AV26</f>
        <v>12.741378198120001</v>
      </c>
      <c r="DK26" s="10">
        <f ca="1">'COM Assumptions'!O103*Q26/'COM Veda input'!AW26</f>
        <v>1.3657341600000001E-2</v>
      </c>
      <c r="DL26" s="10">
        <f ca="1">'COM Assumptions'!P103*R26/'COM Veda input'!AX26</f>
        <v>8.5159511999999998E-4</v>
      </c>
      <c r="DM26" s="10">
        <f ca="1">'COM Assumptions'!Q103*S26/'COM Veda input'!AY26</f>
        <v>1.4238167990399999</v>
      </c>
      <c r="DN26" s="10">
        <f ca="1">'COM Assumptions'!R103*T26/'COM Veda input'!AZ26</f>
        <v>4.0335631199999999E-2</v>
      </c>
      <c r="DO26" s="10">
        <f ca="1">'COM Assumptions'!S103*U26/'COM Veda input'!BA26</f>
        <v>7.669380239999999E-3</v>
      </c>
      <c r="DP26" s="10">
        <f ca="1">'COM Assumptions'!T103*V26/'COM Veda input'!BB26</f>
        <v>3.5169120000000003E-5</v>
      </c>
      <c r="DQ26" s="10">
        <f ca="1">'COM Assumptions'!U103*W26/'COM Veda input'!BC26</f>
        <v>0</v>
      </c>
      <c r="DR26" s="10">
        <f ca="1">'COM Assumptions'!V103*X26/'COM Veda input'!BD26</f>
        <v>0</v>
      </c>
      <c r="DS26" s="10">
        <f ca="1">'COM Assumptions'!W103*Y26/'COM Veda input'!BE26</f>
        <v>0</v>
      </c>
      <c r="DT26" s="10">
        <f ca="1">'COM Assumptions'!X103*Z26/'COM Veda input'!BF26</f>
        <v>0</v>
      </c>
      <c r="DU26" s="10">
        <f ca="1">'COM Assumptions'!Y103*AA26/'COM Veda input'!BG26</f>
        <v>0</v>
      </c>
      <c r="DV26" s="10">
        <f ca="1">'COM Assumptions'!Z103*AB26/'COM Veda input'!BH26</f>
        <v>0</v>
      </c>
      <c r="DW26" s="10">
        <f ca="1">'COM Assumptions'!AA103*AC26/'COM Veda input'!BI26</f>
        <v>0</v>
      </c>
      <c r="DX26" s="10">
        <f ca="1">'COM Assumptions'!AB103*AD26/'COM Veda input'!BJ26</f>
        <v>2.7465408E-4</v>
      </c>
      <c r="DY26" s="10">
        <f ca="1">'COM Assumptions'!AC103*AE26/'COM Veda input'!BK26</f>
        <v>0</v>
      </c>
      <c r="DZ26" s="10">
        <f ca="1">'COM Assumptions'!AD103*AF26/'COM Veda input'!BL26</f>
        <v>0</v>
      </c>
      <c r="EA26" s="10">
        <f ca="1">'COM Assumptions'!AE103*AG26/'COM Veda input'!BM26</f>
        <v>0</v>
      </c>
      <c r="EB26" s="10">
        <f ca="1">'COM Assumptions'!AF103*AH26/'COM Veda input'!BN26</f>
        <v>13.656800665439999</v>
      </c>
      <c r="EC26" s="10">
        <f ca="1">'COM Assumptions'!AG103*AI26/'COM Veda input'!BO26</f>
        <v>1.7519999543999998</v>
      </c>
      <c r="ED26" s="10">
        <f ca="1">'COM Assumptions'!AH103*AJ26/'COM Veda input'!BP26</f>
        <v>0</v>
      </c>
      <c r="EE26" s="8">
        <v>20</v>
      </c>
      <c r="EI26" s="8" t="str">
        <f t="shared" si="23"/>
        <v>CSHKER000</v>
      </c>
      <c r="EK26" t="s">
        <v>282</v>
      </c>
      <c r="EL26" t="s">
        <v>283</v>
      </c>
    </row>
    <row r="27" spans="1:142" x14ac:dyDescent="0.45">
      <c r="A27" s="37" t="str">
        <f>'COM Assumptions'!B104</f>
        <v>CH</v>
      </c>
      <c r="B27" s="37" t="s">
        <v>235</v>
      </c>
      <c r="D27" t="s">
        <v>330</v>
      </c>
      <c r="E27" s="8" t="str">
        <f>'COM Assumptions'!A104</f>
        <v>COMLPG</v>
      </c>
      <c r="F27" t="str">
        <f>VLOOKUP('COM Assumptions'!B104,'COM Assumptions'!$AP$81:$AQ$88,2,FALSE)</f>
        <v>CSH</v>
      </c>
      <c r="G27" s="11">
        <f ca="1">OFFSET('COM Techs T15'!$F28,0,MATCH(VLOOKUP('COM Veda input'!G$3,'RES Assumptions T15'!$V$3:$W$35,2,FALSE),'COM Techs T15'!$G$3:$U$3,0))</f>
        <v>0.6</v>
      </c>
      <c r="H27" s="11">
        <f ca="1">OFFSET('COM Techs T15'!$F28,0,MATCH(VLOOKUP('COM Veda input'!H$3,'RES Assumptions T15'!$V$3:$W$35,2,FALSE),'COM Techs T15'!$G$3:$U$3,0))</f>
        <v>0.6</v>
      </c>
      <c r="I27" s="11">
        <f ca="1">OFFSET('COM Techs T15'!$F28,0,MATCH(VLOOKUP('COM Veda input'!I$3,'RES Assumptions T15'!$V$3:$W$35,2,FALSE),'COM Techs T15'!$G$3:$U$3,0))</f>
        <v>0.6</v>
      </c>
      <c r="J27" s="11">
        <f ca="1">OFFSET('COM Techs T15'!$F28,0,MATCH(VLOOKUP('COM Veda input'!J$3,'RES Assumptions T15'!$V$3:$W$35,2,FALSE),'COM Techs T15'!$G$3:$U$3,0))</f>
        <v>0.6</v>
      </c>
      <c r="K27" s="11">
        <f ca="1">OFFSET('COM Techs T15'!$F28,0,MATCH(VLOOKUP('COM Veda input'!K$3,'RES Assumptions T15'!$V$3:$W$35,2,FALSE),'COM Techs T15'!$G$3:$U$3,0))</f>
        <v>0.6</v>
      </c>
      <c r="L27" s="11">
        <f ca="1">OFFSET('COM Techs T15'!$F28,0,MATCH(VLOOKUP('COM Veda input'!L$3,'RES Assumptions T15'!$V$3:$W$35,2,FALSE),'COM Techs T15'!$G$3:$U$3,0))</f>
        <v>0.6</v>
      </c>
      <c r="M27" s="11">
        <f ca="1">OFFSET('COM Techs T15'!$F28,0,MATCH(VLOOKUP('COM Veda input'!M$3,'RES Assumptions T15'!$V$3:$W$35,2,FALSE),'COM Techs T15'!$G$3:$U$3,0))</f>
        <v>0.6</v>
      </c>
      <c r="N27" s="11">
        <f ca="1">OFFSET('COM Techs T15'!$F28,0,MATCH(VLOOKUP('COM Veda input'!N$3,'RES Assumptions T15'!$V$3:$W$35,2,FALSE),'COM Techs T15'!$G$3:$U$3,0))</f>
        <v>0.6</v>
      </c>
      <c r="O27" s="11">
        <f ca="1">OFFSET('COM Techs T15'!$F28,0,MATCH(VLOOKUP('COM Veda input'!O$3,'RES Assumptions T15'!$V$3:$W$35,2,FALSE),'COM Techs T15'!$G$3:$U$3,0))</f>
        <v>0.6</v>
      </c>
      <c r="P27" s="11">
        <f ca="1">OFFSET('COM Techs T15'!$F28,0,MATCH(VLOOKUP('COM Veda input'!P$3,'RES Assumptions T15'!$V$3:$W$35,2,FALSE),'COM Techs T15'!$G$3:$U$3,0))</f>
        <v>0.6</v>
      </c>
      <c r="Q27" s="11">
        <f ca="1">OFFSET('COM Techs T15'!$F28,0,MATCH(VLOOKUP('COM Veda input'!Q$3,'RES Assumptions T15'!$V$3:$W$35,2,FALSE),'COM Techs T15'!$G$3:$U$3,0))</f>
        <v>0.6</v>
      </c>
      <c r="R27" s="11">
        <f ca="1">OFFSET('COM Techs T15'!$F28,0,MATCH(VLOOKUP('COM Veda input'!R$3,'RES Assumptions T15'!$V$3:$W$35,2,FALSE),'COM Techs T15'!$G$3:$U$3,0))</f>
        <v>0.6</v>
      </c>
      <c r="S27" s="11">
        <f ca="1">OFFSET('COM Techs T15'!$F28,0,MATCH(VLOOKUP('COM Veda input'!S$3,'RES Assumptions T15'!$V$3:$W$35,2,FALSE),'COM Techs T15'!$G$3:$U$3,0))</f>
        <v>0.6</v>
      </c>
      <c r="T27" s="11">
        <f ca="1">OFFSET('COM Techs T15'!$F28,0,MATCH(VLOOKUP('COM Veda input'!T$3,'RES Assumptions T15'!$V$3:$W$35,2,FALSE),'COM Techs T15'!$G$3:$U$3,0))</f>
        <v>0.6</v>
      </c>
      <c r="U27" s="11">
        <f ca="1">OFFSET('COM Techs T15'!$F28,0,MATCH(VLOOKUP('COM Veda input'!U$3,'RES Assumptions T15'!$V$3:$W$35,2,FALSE),'COM Techs T15'!$G$3:$U$3,0))</f>
        <v>0.6</v>
      </c>
      <c r="V27" s="11">
        <f ca="1">OFFSET('COM Techs T15'!$F28,0,MATCH(VLOOKUP('COM Veda input'!V$3,'RES Assumptions T15'!$V$3:$W$35,2,FALSE),'COM Techs T15'!$G$3:$U$3,0))</f>
        <v>0.6</v>
      </c>
      <c r="W27" s="11">
        <f ca="1">OFFSET('COM Techs T15'!$F28,0,MATCH(VLOOKUP('COM Veda input'!W$3,'RES Assumptions T15'!$V$3:$W$35,2,FALSE),'COM Techs T15'!$G$3:$U$3,0))</f>
        <v>0.6</v>
      </c>
      <c r="X27" s="11">
        <f ca="1">OFFSET('COM Techs T15'!$F28,0,MATCH(VLOOKUP('COM Veda input'!X$3,'RES Assumptions T15'!$V$3:$W$35,2,FALSE),'COM Techs T15'!$G$3:$U$3,0))</f>
        <v>0.6</v>
      </c>
      <c r="Y27" s="11">
        <f ca="1">OFFSET('COM Techs T15'!$F28,0,MATCH(VLOOKUP('COM Veda input'!Y$3,'RES Assumptions T15'!$V$3:$W$35,2,FALSE),'COM Techs T15'!$G$3:$U$3,0))</f>
        <v>0.6</v>
      </c>
      <c r="Z27" s="11">
        <f ca="1">OFFSET('COM Techs T15'!$F28,0,MATCH(VLOOKUP('COM Veda input'!Z$3,'RES Assumptions T15'!$V$3:$W$35,2,FALSE),'COM Techs T15'!$G$3:$U$3,0))</f>
        <v>0.6</v>
      </c>
      <c r="AA27" s="11">
        <f ca="1">OFFSET('COM Techs T15'!$F28,0,MATCH(VLOOKUP('COM Veda input'!AA$3,'RES Assumptions T15'!$V$3:$W$35,2,FALSE),'COM Techs T15'!$G$3:$U$3,0))</f>
        <v>0.6</v>
      </c>
      <c r="AB27" s="11">
        <f ca="1">OFFSET('COM Techs T15'!$F28,0,MATCH(VLOOKUP('COM Veda input'!AB$3,'RES Assumptions T15'!$V$3:$W$35,2,FALSE),'COM Techs T15'!$G$3:$U$3,0))</f>
        <v>0.6</v>
      </c>
      <c r="AC27" s="11">
        <f ca="1">OFFSET('COM Techs T15'!$F28,0,MATCH(VLOOKUP('COM Veda input'!AC$3,'RES Assumptions T15'!$V$3:$W$35,2,FALSE),'COM Techs T15'!$G$3:$U$3,0))</f>
        <v>0.6</v>
      </c>
      <c r="AD27" s="11">
        <f ca="1">OFFSET('COM Techs T15'!$F28,0,MATCH(VLOOKUP('COM Veda input'!AD$3,'RES Assumptions T15'!$V$3:$W$35,2,FALSE),'COM Techs T15'!$G$3:$U$3,0))</f>
        <v>0.6</v>
      </c>
      <c r="AE27" s="11">
        <f ca="1">OFFSET('COM Techs T15'!$F28,0,MATCH(VLOOKUP('COM Veda input'!AE$3,'RES Assumptions T15'!$V$3:$W$35,2,FALSE),'COM Techs T15'!$G$3:$U$3,0))</f>
        <v>0.6</v>
      </c>
      <c r="AF27" s="11">
        <f ca="1">OFFSET('COM Techs T15'!$F28,0,MATCH(VLOOKUP('COM Veda input'!AF$3,'RES Assumptions T15'!$V$3:$W$35,2,FALSE),'COM Techs T15'!$G$3:$U$3,0))</f>
        <v>0.6</v>
      </c>
      <c r="AG27" s="11">
        <f ca="1">OFFSET('COM Techs T15'!$F28,0,MATCH(VLOOKUP('COM Veda input'!AG$3,'RES Assumptions T15'!$V$3:$W$35,2,FALSE),'COM Techs T15'!$G$3:$U$3,0))</f>
        <v>0.6</v>
      </c>
      <c r="AH27" s="11">
        <f ca="1">OFFSET('COM Techs T15'!$F28,0,MATCH(VLOOKUP('COM Veda input'!AH$3,'RES Assumptions T15'!$V$3:$W$35,2,FALSE),'COM Techs T15'!$G$3:$U$3,0))</f>
        <v>0.6</v>
      </c>
      <c r="AI27" s="11">
        <f ca="1">OFFSET('COM Techs T15'!$F28,0,MATCH(VLOOKUP('COM Veda input'!AI$3,'RES Assumptions T15'!$V$3:$W$35,2,FALSE),'COM Techs T15'!$G$3:$U$3,0))</f>
        <v>0.6</v>
      </c>
      <c r="AJ27" s="11">
        <f ca="1">OFFSET('COM Techs T15'!$F28,0,MATCH(VLOOKUP('COM Veda input'!AJ$3,'RES Assumptions T15'!$V$3:$W$35,2,FALSE),'COM Techs T15'!$G$3:$U$3,0))</f>
        <v>0.6</v>
      </c>
      <c r="AL27" s="8" t="str">
        <f t="shared" si="19"/>
        <v>CSHLPG000</v>
      </c>
      <c r="AM27" s="11">
        <f ca="1">OFFSET('COM Techs T15'!$W28,0,MATCH(VLOOKUP('COM Veda input'!AM$3,'RES Assumptions T15'!$V$3:$W$35,2,FALSE),'COM Techs T15'!$G$3:$U$3,0))</f>
        <v>0.3</v>
      </c>
      <c r="AN27" s="11">
        <f ca="1">OFFSET('COM Techs T15'!$W28,0,MATCH(VLOOKUP('COM Veda input'!AN$3,'RES Assumptions T15'!$V$3:$W$35,2,FALSE),'COM Techs T15'!$G$3:$U$3,0))</f>
        <v>0.3</v>
      </c>
      <c r="AO27" s="11">
        <f ca="1">OFFSET('COM Techs T15'!$W28,0,MATCH(VLOOKUP('COM Veda input'!AO$3,'RES Assumptions T15'!$V$3:$W$35,2,FALSE),'COM Techs T15'!$G$3:$U$3,0))</f>
        <v>0.3</v>
      </c>
      <c r="AP27" s="11">
        <f ca="1">OFFSET('COM Techs T15'!$W28,0,MATCH(VLOOKUP('COM Veda input'!AP$3,'RES Assumptions T15'!$V$3:$W$35,2,FALSE),'COM Techs T15'!$G$3:$U$3,0))</f>
        <v>0.3</v>
      </c>
      <c r="AQ27" s="11">
        <f ca="1">OFFSET('COM Techs T15'!$W28,0,MATCH(VLOOKUP('COM Veda input'!AQ$3,'RES Assumptions T15'!$V$3:$W$35,2,FALSE),'COM Techs T15'!$G$3:$U$3,0))</f>
        <v>0.3</v>
      </c>
      <c r="AR27" s="11">
        <f ca="1">OFFSET('COM Techs T15'!$W28,0,MATCH(VLOOKUP('COM Veda input'!AR$3,'RES Assumptions T15'!$V$3:$W$35,2,FALSE),'COM Techs T15'!$G$3:$U$3,0))</f>
        <v>0.3</v>
      </c>
      <c r="AS27" s="11">
        <f ca="1">OFFSET('COM Techs T15'!$W28,0,MATCH(VLOOKUP('COM Veda input'!AS$3,'RES Assumptions T15'!$V$3:$W$35,2,FALSE),'COM Techs T15'!$G$3:$U$3,0))</f>
        <v>0.28999999999999998</v>
      </c>
      <c r="AT27" s="11">
        <f ca="1">OFFSET('COM Techs T15'!$W28,0,MATCH(VLOOKUP('COM Veda input'!AT$3,'RES Assumptions T15'!$V$3:$W$35,2,FALSE),'COM Techs T15'!$G$3:$U$3,0))</f>
        <v>0.3</v>
      </c>
      <c r="AU27" s="11">
        <f ca="1">OFFSET('COM Techs T15'!$W28,0,MATCH(VLOOKUP('COM Veda input'!AU$3,'RES Assumptions T15'!$V$3:$W$35,2,FALSE),'COM Techs T15'!$G$3:$U$3,0))</f>
        <v>0.33</v>
      </c>
      <c r="AV27" s="11">
        <f ca="1">OFFSET('COM Techs T15'!$W28,0,MATCH(VLOOKUP('COM Veda input'!AV$3,'RES Assumptions T15'!$V$3:$W$35,2,FALSE),'COM Techs T15'!$G$3:$U$3,0))</f>
        <v>0.3</v>
      </c>
      <c r="AW27" s="11">
        <f ca="1">OFFSET('COM Techs T15'!$W28,0,MATCH(VLOOKUP('COM Veda input'!AW$3,'RES Assumptions T15'!$V$3:$W$35,2,FALSE),'COM Techs T15'!$G$3:$U$3,0))</f>
        <v>0.3</v>
      </c>
      <c r="AX27" s="11">
        <f ca="1">OFFSET('COM Techs T15'!$W28,0,MATCH(VLOOKUP('COM Veda input'!AX$3,'RES Assumptions T15'!$V$3:$W$35,2,FALSE),'COM Techs T15'!$G$3:$U$3,0))</f>
        <v>0.3</v>
      </c>
      <c r="AY27" s="11">
        <f ca="1">OFFSET('COM Techs T15'!$W28,0,MATCH(VLOOKUP('COM Veda input'!AY$3,'RES Assumptions T15'!$V$3:$W$35,2,FALSE),'COM Techs T15'!$G$3:$U$3,0))</f>
        <v>0.3</v>
      </c>
      <c r="AZ27" s="11">
        <f ca="1">OFFSET('COM Techs T15'!$W28,0,MATCH(VLOOKUP('COM Veda input'!AZ$3,'RES Assumptions T15'!$V$3:$W$35,2,FALSE),'COM Techs T15'!$G$3:$U$3,0))</f>
        <v>0.3</v>
      </c>
      <c r="BA27" s="11">
        <f ca="1">OFFSET('COM Techs T15'!$W28,0,MATCH(VLOOKUP('COM Veda input'!BA$3,'RES Assumptions T15'!$V$3:$W$35,2,FALSE),'COM Techs T15'!$G$3:$U$3,0))</f>
        <v>0.3</v>
      </c>
      <c r="BB27" s="11">
        <f ca="1">OFFSET('COM Techs T15'!$W28,0,MATCH(VLOOKUP('COM Veda input'!BB$3,'RES Assumptions T15'!$V$3:$W$35,2,FALSE),'COM Techs T15'!$G$3:$U$3,0))</f>
        <v>0.3</v>
      </c>
      <c r="BC27" s="11">
        <f ca="1">OFFSET('COM Techs T15'!$W28,0,MATCH(VLOOKUP('COM Veda input'!BC$3,'RES Assumptions T15'!$V$3:$W$35,2,FALSE),'COM Techs T15'!$G$3:$U$3,0))</f>
        <v>0.3</v>
      </c>
      <c r="BD27" s="11">
        <f ca="1">OFFSET('COM Techs T15'!$W28,0,MATCH(VLOOKUP('COM Veda input'!BD$3,'RES Assumptions T15'!$V$3:$W$35,2,FALSE),'COM Techs T15'!$G$3:$U$3,0))</f>
        <v>0.3</v>
      </c>
      <c r="BE27" s="11">
        <f ca="1">OFFSET('COM Techs T15'!$W28,0,MATCH(VLOOKUP('COM Veda input'!BE$3,'RES Assumptions T15'!$V$3:$W$35,2,FALSE),'COM Techs T15'!$G$3:$U$3,0))</f>
        <v>0.3</v>
      </c>
      <c r="BF27" s="11">
        <f ca="1">OFFSET('COM Techs T15'!$W28,0,MATCH(VLOOKUP('COM Veda input'!BF$3,'RES Assumptions T15'!$V$3:$W$35,2,FALSE),'COM Techs T15'!$G$3:$U$3,0))</f>
        <v>0.3</v>
      </c>
      <c r="BG27" s="11">
        <f ca="1">OFFSET('COM Techs T15'!$W28,0,MATCH(VLOOKUP('COM Veda input'!BG$3,'RES Assumptions T15'!$V$3:$W$35,2,FALSE),'COM Techs T15'!$G$3:$U$3,0))</f>
        <v>0.3</v>
      </c>
      <c r="BH27" s="11">
        <f ca="1">OFFSET('COM Techs T15'!$W28,0,MATCH(VLOOKUP('COM Veda input'!BH$3,'RES Assumptions T15'!$V$3:$W$35,2,FALSE),'COM Techs T15'!$G$3:$U$3,0))</f>
        <v>0.3</v>
      </c>
      <c r="BI27" s="11">
        <f ca="1">OFFSET('COM Techs T15'!$W28,0,MATCH(VLOOKUP('COM Veda input'!BI$3,'RES Assumptions T15'!$V$3:$W$35,2,FALSE),'COM Techs T15'!$G$3:$U$3,0))</f>
        <v>0.3</v>
      </c>
      <c r="BJ27" s="11">
        <f ca="1">OFFSET('COM Techs T15'!$W28,0,MATCH(VLOOKUP('COM Veda input'!BJ$3,'RES Assumptions T15'!$V$3:$W$35,2,FALSE),'COM Techs T15'!$G$3:$U$3,0))</f>
        <v>0.3</v>
      </c>
      <c r="BK27" s="11">
        <f ca="1">OFFSET('COM Techs T15'!$W28,0,MATCH(VLOOKUP('COM Veda input'!BK$3,'RES Assumptions T15'!$V$3:$W$35,2,FALSE),'COM Techs T15'!$G$3:$U$3,0))</f>
        <v>0.3</v>
      </c>
      <c r="BL27" s="11">
        <f ca="1">OFFSET('COM Techs T15'!$W28,0,MATCH(VLOOKUP('COM Veda input'!BL$3,'RES Assumptions T15'!$V$3:$W$35,2,FALSE),'COM Techs T15'!$G$3:$U$3,0))</f>
        <v>0.3</v>
      </c>
      <c r="BM27" s="11">
        <f ca="1">OFFSET('COM Techs T15'!$W28,0,MATCH(VLOOKUP('COM Veda input'!BM$3,'RES Assumptions T15'!$V$3:$W$35,2,FALSE),'COM Techs T15'!$G$3:$U$3,0))</f>
        <v>0.3</v>
      </c>
      <c r="BN27" s="11">
        <f ca="1">OFFSET('COM Techs T15'!$W28,0,MATCH(VLOOKUP('COM Veda input'!BN$3,'RES Assumptions T15'!$V$3:$W$35,2,FALSE),'COM Techs T15'!$G$3:$U$3,0))</f>
        <v>0.3</v>
      </c>
      <c r="BO27" s="11">
        <f ca="1">OFFSET('COM Techs T15'!$W28,0,MATCH(VLOOKUP('COM Veda input'!BO$3,'RES Assumptions T15'!$V$3:$W$35,2,FALSE),'COM Techs T15'!$G$3:$U$3,0))</f>
        <v>0.3</v>
      </c>
      <c r="BP27" s="11">
        <f ca="1">OFFSET('COM Techs T15'!$W28,0,MATCH(VLOOKUP('COM Veda input'!BP$3,'RES Assumptions T15'!$V$3:$W$35,2,FALSE),'COM Techs T15'!$G$3:$U$3,0))</f>
        <v>0.3</v>
      </c>
      <c r="BQ27">
        <v>3</v>
      </c>
      <c r="BS27" s="8" t="str">
        <f t="shared" si="20"/>
        <v>CSHLPG000</v>
      </c>
      <c r="BT27" s="11">
        <f t="shared" ca="1" si="21"/>
        <v>0.02</v>
      </c>
      <c r="BU27" s="11" t="str">
        <f ca="1">OFFSET('COM Techs T15'!$AO28,0,MATCH(VLOOKUP('COM Veda input'!BU$3,'RES Assumptions T15'!$V$3:$W$35,2,FALSE),'COM Techs T15'!$G$3:$U$3,0))</f>
        <v/>
      </c>
      <c r="BV27" s="11" t="str">
        <f ca="1">OFFSET('COM Techs T15'!$AO28,0,MATCH(VLOOKUP('COM Veda input'!BV$3,'RES Assumptions T15'!$V$3:$W$35,2,FALSE),'COM Techs T15'!$G$3:$U$3,0))</f>
        <v/>
      </c>
      <c r="BW27" s="11">
        <f ca="1">OFFSET('COM Techs T15'!$AO28,0,MATCH(VLOOKUP('COM Veda input'!BW$3,'RES Assumptions T15'!$V$3:$W$35,2,FALSE),'COM Techs T15'!$G$3:$U$3,0))</f>
        <v>1.4</v>
      </c>
      <c r="BX27" s="11" t="str">
        <f ca="1">OFFSET('COM Techs T15'!$AO28,0,MATCH(VLOOKUP('COM Veda input'!BX$3,'RES Assumptions T15'!$V$3:$W$35,2,FALSE),'COM Techs T15'!$G$3:$U$3,0))</f>
        <v/>
      </c>
      <c r="BY27" s="11">
        <f ca="1">OFFSET('COM Techs T15'!$AO28,0,MATCH(VLOOKUP('COM Veda input'!BY$3,'RES Assumptions T15'!$V$3:$W$35,2,FALSE),'COM Techs T15'!$G$3:$U$3,0))</f>
        <v>2</v>
      </c>
      <c r="BZ27" s="11">
        <f ca="1">OFFSET('COM Techs T15'!$AO28,0,MATCH(VLOOKUP('COM Veda input'!BZ$3,'RES Assumptions T15'!$V$3:$W$35,2,FALSE),'COM Techs T15'!$G$3:$U$3,0))</f>
        <v>1.2</v>
      </c>
      <c r="CA27" s="11" t="str">
        <f ca="1">OFFSET('COM Techs T15'!$AO28,0,MATCH(VLOOKUP('COM Veda input'!CA$3,'RES Assumptions T15'!$V$3:$W$35,2,FALSE),'COM Techs T15'!$G$3:$U$3,0))</f>
        <v/>
      </c>
      <c r="CB27" s="11">
        <f ca="1">OFFSET('COM Techs T15'!$AO28,0,MATCH(VLOOKUP('COM Veda input'!CB$3,'RES Assumptions T15'!$V$3:$W$35,2,FALSE),'COM Techs T15'!$G$3:$U$3,0))</f>
        <v>1.4</v>
      </c>
      <c r="CC27" s="11">
        <f ca="1">OFFSET('COM Techs T15'!$AO28,0,MATCH(VLOOKUP('COM Veda input'!CC$3,'RES Assumptions T15'!$V$3:$W$35,2,FALSE),'COM Techs T15'!$G$3:$U$3,0))</f>
        <v>0.02</v>
      </c>
      <c r="CD27" s="11">
        <f ca="1">OFFSET('COM Techs T15'!$AO28,0,MATCH(VLOOKUP('COM Veda input'!CD$3,'RES Assumptions T15'!$V$3:$W$35,2,FALSE),'COM Techs T15'!$G$3:$U$3,0))</f>
        <v>1.2</v>
      </c>
      <c r="CE27" s="11" t="str">
        <f ca="1">OFFSET('COM Techs T15'!$AO28,0,MATCH(VLOOKUP('COM Veda input'!CE$3,'RES Assumptions T15'!$V$3:$W$35,2,FALSE),'COM Techs T15'!$G$3:$U$3,0))</f>
        <v/>
      </c>
      <c r="CF27" s="11" t="str">
        <f ca="1">OFFSET('COM Techs T15'!$AO28,0,MATCH(VLOOKUP('COM Veda input'!CF$3,'RES Assumptions T15'!$V$3:$W$35,2,FALSE),'COM Techs T15'!$G$3:$U$3,0))</f>
        <v/>
      </c>
      <c r="CG27" s="11" t="str">
        <f ca="1">OFFSET('COM Techs T15'!$AO28,0,MATCH(VLOOKUP('COM Veda input'!CG$3,'RES Assumptions T15'!$V$3:$W$35,2,FALSE),'COM Techs T15'!$G$3:$U$3,0))</f>
        <v/>
      </c>
      <c r="CH27" s="11" t="str">
        <f ca="1">OFFSET('COM Techs T15'!$AO28,0,MATCH(VLOOKUP('COM Veda input'!CH$3,'RES Assumptions T15'!$V$3:$W$35,2,FALSE),'COM Techs T15'!$G$3:$U$3,0))</f>
        <v/>
      </c>
      <c r="CI27" s="11" t="str">
        <f ca="1">OFFSET('COM Techs T15'!$AO28,0,MATCH(VLOOKUP('COM Veda input'!CI$3,'RES Assumptions T15'!$V$3:$W$35,2,FALSE),'COM Techs T15'!$G$3:$U$3,0))</f>
        <v/>
      </c>
      <c r="CJ27" s="11" t="str">
        <f ca="1">OFFSET('COM Techs T15'!$AO28,0,MATCH(VLOOKUP('COM Veda input'!CJ$3,'RES Assumptions T15'!$V$3:$W$35,2,FALSE),'COM Techs T15'!$G$3:$U$3,0))</f>
        <v/>
      </c>
      <c r="CK27" s="11">
        <f ca="1">OFFSET('COM Techs T15'!$AO28,0,MATCH(VLOOKUP('COM Veda input'!CK$3,'RES Assumptions T15'!$V$3:$W$35,2,FALSE),'COM Techs T15'!$G$3:$U$3,0))</f>
        <v>1.4</v>
      </c>
      <c r="CL27" s="11" t="str">
        <f ca="1">OFFSET('COM Techs T15'!$AO28,0,MATCH(VLOOKUP('COM Veda input'!CL$3,'RES Assumptions T15'!$V$3:$W$35,2,FALSE),'COM Techs T15'!$G$3:$U$3,0))</f>
        <v/>
      </c>
      <c r="CM27" s="11" t="str">
        <f ca="1">OFFSET('COM Techs T15'!$AO28,0,MATCH(VLOOKUP('COM Veda input'!CM$3,'RES Assumptions T15'!$V$3:$W$35,2,FALSE),'COM Techs T15'!$G$3:$U$3,0))</f>
        <v/>
      </c>
      <c r="CN27" s="11">
        <f ca="1">OFFSET('COM Techs T15'!$AO28,0,MATCH(VLOOKUP('COM Veda input'!CN$3,'RES Assumptions T15'!$V$3:$W$35,2,FALSE),'COM Techs T15'!$G$3:$U$3,0))</f>
        <v>1.2</v>
      </c>
      <c r="CO27" s="11">
        <f ca="1">OFFSET('COM Techs T15'!$AO28,0,MATCH(VLOOKUP('COM Veda input'!CO$3,'RES Assumptions T15'!$V$3:$W$35,2,FALSE),'COM Techs T15'!$G$3:$U$3,0))</f>
        <v>1.4</v>
      </c>
      <c r="CP27" s="11">
        <f ca="1">OFFSET('COM Techs T15'!$AO28,0,MATCH(VLOOKUP('COM Veda input'!CP$3,'RES Assumptions T15'!$V$3:$W$35,2,FALSE),'COM Techs T15'!$G$3:$U$3,0))</f>
        <v>1.6</v>
      </c>
      <c r="CQ27" s="11">
        <f ca="1">OFFSET('COM Techs T15'!$AO28,0,MATCH(VLOOKUP('COM Veda input'!CQ$3,'RES Assumptions T15'!$V$3:$W$35,2,FALSE),'COM Techs T15'!$G$3:$U$3,0))</f>
        <v>1.4</v>
      </c>
      <c r="CR27" s="11" t="str">
        <f ca="1">OFFSET('COM Techs T15'!$AO28,0,MATCH(VLOOKUP('COM Veda input'!CR$3,'RES Assumptions T15'!$V$3:$W$35,2,FALSE),'COM Techs T15'!$G$3:$U$3,0))</f>
        <v/>
      </c>
      <c r="CS27" s="11" t="str">
        <f ca="1">OFFSET('COM Techs T15'!$AO28,0,MATCH(VLOOKUP('COM Veda input'!CS$3,'RES Assumptions T15'!$V$3:$W$35,2,FALSE),'COM Techs T15'!$G$3:$U$3,0))</f>
        <v/>
      </c>
      <c r="CT27" s="11">
        <f ca="1">OFFSET('COM Techs T15'!$AO28,0,MATCH(VLOOKUP('COM Veda input'!CT$3,'RES Assumptions T15'!$V$3:$W$35,2,FALSE),'COM Techs T15'!$G$3:$U$3,0))</f>
        <v>1.4</v>
      </c>
      <c r="CU27" s="11" t="str">
        <f ca="1">OFFSET('COM Techs T15'!$AO28,0,MATCH(VLOOKUP('COM Veda input'!CU$3,'RES Assumptions T15'!$V$3:$W$35,2,FALSE),'COM Techs T15'!$G$3:$U$3,0))</f>
        <v/>
      </c>
      <c r="CV27" s="11" t="str">
        <f ca="1">OFFSET('COM Techs T15'!$AO28,0,MATCH(VLOOKUP('COM Veda input'!CV$3,'RES Assumptions T15'!$V$3:$W$35,2,FALSE),'COM Techs T15'!$G$3:$U$3,0))</f>
        <v/>
      </c>
      <c r="CW27" s="11">
        <f ca="1">OFFSET('COM Techs T15'!$AO28,0,MATCH(VLOOKUP('COM Veda input'!CW$3,'RES Assumptions T15'!$V$3:$W$35,2,FALSE),'COM Techs T15'!$G$3:$U$3,0))</f>
        <v>0.4</v>
      </c>
      <c r="CX27" s="11">
        <f ca="1">OFFSET('COM Techs T15'!$AO28,0,MATCH(VLOOKUP('COM Veda input'!CX$3,'RES Assumptions T15'!$V$3:$W$35,2,FALSE),'COM Techs T15'!$G$3:$U$3,0))</f>
        <v>0.4</v>
      </c>
      <c r="CZ27" s="8" t="str">
        <f t="shared" si="22"/>
        <v>CSHLPG000</v>
      </c>
      <c r="DA27" s="10">
        <f ca="1">'COM Assumptions'!E104*G27/'COM Veda input'!AM27</f>
        <v>0</v>
      </c>
      <c r="DB27" s="10">
        <f ca="1">'COM Assumptions'!F104*H27/'COM Veda input'!AN27</f>
        <v>0</v>
      </c>
      <c r="DC27" s="10">
        <f ca="1">'COM Assumptions'!G104*I27/'COM Veda input'!AO27</f>
        <v>0</v>
      </c>
      <c r="DD27" s="10">
        <f ca="1">'COM Assumptions'!H104*J27/'COM Veda input'!AP27</f>
        <v>2.6192651311997674</v>
      </c>
      <c r="DE27" s="10">
        <f ca="1">'COM Assumptions'!I104*K27/'COM Veda input'!AQ27</f>
        <v>112.23727758576</v>
      </c>
      <c r="DF27" s="10">
        <f ca="1">'COM Assumptions'!J104*L27/'COM Veda input'!AR27</f>
        <v>27.61034999184</v>
      </c>
      <c r="DG27" s="10">
        <f ca="1">'COM Assumptions'!K104*M27/'COM Veda input'!AS27</f>
        <v>1.4098823779034482</v>
      </c>
      <c r="DH27" s="10">
        <f ca="1">'COM Assumptions'!L104*N27/'COM Veda input'!AT27</f>
        <v>0</v>
      </c>
      <c r="DI27" s="10">
        <f ca="1">'COM Assumptions'!M104*O27/'COM Veda input'!AU27</f>
        <v>13.089200452363634</v>
      </c>
      <c r="DJ27" s="10">
        <f ca="1">'COM Assumptions'!N104*P27/'COM Veda input'!AV27</f>
        <v>42.506229511800001</v>
      </c>
      <c r="DK27" s="10">
        <f ca="1">'COM Assumptions'!O104*Q27/'COM Veda input'!AW27</f>
        <v>0.36179980991999999</v>
      </c>
      <c r="DL27" s="10">
        <f ca="1">'COM Assumptions'!P104*R27/'COM Veda input'!AX27</f>
        <v>6.5445382439660218</v>
      </c>
      <c r="DM27" s="10">
        <f ca="1">'COM Assumptions'!Q104*S27/'COM Veda input'!AY27</f>
        <v>3.3926477759999996</v>
      </c>
      <c r="DN27" s="10">
        <f ca="1">'COM Assumptions'!R104*T27/'COM Veda input'!AZ27</f>
        <v>8.929685751840001</v>
      </c>
      <c r="DO27" s="10">
        <f ca="1">'COM Assumptions'!S104*U27/'COM Veda input'!BA27</f>
        <v>3.918932317110781</v>
      </c>
      <c r="DP27" s="10">
        <f ca="1">'COM Assumptions'!T104*V27/'COM Veda input'!BB27</f>
        <v>4.5814159483200001</v>
      </c>
      <c r="DQ27" s="10">
        <f ca="1">'COM Assumptions'!U104*W27/'COM Veda input'!BC27</f>
        <v>2.9125955682000004</v>
      </c>
      <c r="DR27" s="10">
        <f ca="1">'COM Assumptions'!V104*X27/'COM Veda input'!BD27</f>
        <v>5.5094570121600004</v>
      </c>
      <c r="DS27" s="10">
        <f ca="1">'COM Assumptions'!W104*Y27/'COM Veda input'!BE27</f>
        <v>3.3304001083200001</v>
      </c>
      <c r="DT27" s="10">
        <f ca="1">'COM Assumptions'!X104*Z27/'COM Veda input'!BF27</f>
        <v>0</v>
      </c>
      <c r="DU27" s="10">
        <f ca="1">'COM Assumptions'!Y104*AA27/'COM Veda input'!BG27</f>
        <v>0</v>
      </c>
      <c r="DV27" s="10">
        <f ca="1">'COM Assumptions'!Z104*AB27/'COM Veda input'!BH27</f>
        <v>0</v>
      </c>
      <c r="DW27" s="10">
        <f ca="1">'COM Assumptions'!AA104*AC27/'COM Veda input'!BI27</f>
        <v>1.1134815534</v>
      </c>
      <c r="DX27" s="10">
        <f ca="1">'COM Assumptions'!AB104*AD27/'COM Veda input'!BJ27</f>
        <v>0.49300909776000001</v>
      </c>
      <c r="DY27" s="10">
        <f ca="1">'COM Assumptions'!AC104*AE27/'COM Veda input'!BK27</f>
        <v>1.397231132546231</v>
      </c>
      <c r="DZ27" s="10">
        <f ca="1">'COM Assumptions'!AD104*AF27/'COM Veda input'!BL27</f>
        <v>0</v>
      </c>
      <c r="EA27" s="10">
        <f ca="1">'COM Assumptions'!AE104*AG27/'COM Veda input'!BM27</f>
        <v>0</v>
      </c>
      <c r="EB27" s="10">
        <f ca="1">'COM Assumptions'!AF104*AH27/'COM Veda input'!BN27</f>
        <v>6.5272161758400005</v>
      </c>
      <c r="EC27" s="10">
        <f ca="1">'COM Assumptions'!AG104*AI27/'COM Veda input'!BO27</f>
        <v>98.262781873250759</v>
      </c>
      <c r="ED27" s="10">
        <f ca="1">'COM Assumptions'!AH104*AJ27/'COM Veda input'!BP27</f>
        <v>0</v>
      </c>
      <c r="EE27" s="8">
        <v>20</v>
      </c>
      <c r="EI27" s="8" t="str">
        <f t="shared" si="23"/>
        <v>CSHLPG000</v>
      </c>
      <c r="EK27" t="s">
        <v>282</v>
      </c>
      <c r="EL27" t="s">
        <v>283</v>
      </c>
    </row>
    <row r="28" spans="1:142" x14ac:dyDescent="0.45">
      <c r="A28" s="37" t="str">
        <f>'COM Assumptions'!B105</f>
        <v>CH</v>
      </c>
      <c r="B28" s="37" t="s">
        <v>196</v>
      </c>
      <c r="D28" t="s">
        <v>331</v>
      </c>
      <c r="E28" s="8" t="str">
        <f>'COM Assumptions'!A105</f>
        <v>COMNGA</v>
      </c>
      <c r="F28" t="str">
        <f>VLOOKUP('COM Assumptions'!B105,'COM Assumptions'!$AP$81:$AQ$88,2,FALSE)</f>
        <v>CSH</v>
      </c>
      <c r="G28" s="11">
        <f ca="1">OFFSET('COM Techs T15'!$F29,0,MATCH(VLOOKUP('COM Veda input'!G$3,'RES Assumptions T15'!$V$3:$W$35,2,FALSE),'COM Techs T15'!$G$3:$U$3,0))</f>
        <v>0.7</v>
      </c>
      <c r="H28" s="11">
        <f ca="1">OFFSET('COM Techs T15'!$F29,0,MATCH(VLOOKUP('COM Veda input'!H$3,'RES Assumptions T15'!$V$3:$W$35,2,FALSE),'COM Techs T15'!$G$3:$U$3,0))</f>
        <v>0.7</v>
      </c>
      <c r="I28" s="11">
        <f ca="1">OFFSET('COM Techs T15'!$F29,0,MATCH(VLOOKUP('COM Veda input'!I$3,'RES Assumptions T15'!$V$3:$W$35,2,FALSE),'COM Techs T15'!$G$3:$U$3,0))</f>
        <v>0.7</v>
      </c>
      <c r="J28" s="11">
        <f ca="1">OFFSET('COM Techs T15'!$F29,0,MATCH(VLOOKUP('COM Veda input'!J$3,'RES Assumptions T15'!$V$3:$W$35,2,FALSE),'COM Techs T15'!$G$3:$U$3,0))</f>
        <v>0.7</v>
      </c>
      <c r="K28" s="11">
        <f ca="1">OFFSET('COM Techs T15'!$F29,0,MATCH(VLOOKUP('COM Veda input'!K$3,'RES Assumptions T15'!$V$3:$W$35,2,FALSE),'COM Techs T15'!$G$3:$U$3,0))</f>
        <v>0.7</v>
      </c>
      <c r="L28" s="11">
        <f ca="1">OFFSET('COM Techs T15'!$F29,0,MATCH(VLOOKUP('COM Veda input'!L$3,'RES Assumptions T15'!$V$3:$W$35,2,FALSE),'COM Techs T15'!$G$3:$U$3,0))</f>
        <v>0.7</v>
      </c>
      <c r="M28" s="11">
        <f ca="1">OFFSET('COM Techs T15'!$F29,0,MATCH(VLOOKUP('COM Veda input'!M$3,'RES Assumptions T15'!$V$3:$W$35,2,FALSE),'COM Techs T15'!$G$3:$U$3,0))</f>
        <v>0.7</v>
      </c>
      <c r="N28" s="11">
        <f ca="1">OFFSET('COM Techs T15'!$F29,0,MATCH(VLOOKUP('COM Veda input'!N$3,'RES Assumptions T15'!$V$3:$W$35,2,FALSE),'COM Techs T15'!$G$3:$U$3,0))</f>
        <v>0.7</v>
      </c>
      <c r="O28" s="11">
        <f ca="1">OFFSET('COM Techs T15'!$F29,0,MATCH(VLOOKUP('COM Veda input'!O$3,'RES Assumptions T15'!$V$3:$W$35,2,FALSE),'COM Techs T15'!$G$3:$U$3,0))</f>
        <v>0.7</v>
      </c>
      <c r="P28" s="11">
        <f ca="1">OFFSET('COM Techs T15'!$F29,0,MATCH(VLOOKUP('COM Veda input'!P$3,'RES Assumptions T15'!$V$3:$W$35,2,FALSE),'COM Techs T15'!$G$3:$U$3,0))</f>
        <v>0.7</v>
      </c>
      <c r="Q28" s="11">
        <f ca="1">OFFSET('COM Techs T15'!$F29,0,MATCH(VLOOKUP('COM Veda input'!Q$3,'RES Assumptions T15'!$V$3:$W$35,2,FALSE),'COM Techs T15'!$G$3:$U$3,0))</f>
        <v>0.7</v>
      </c>
      <c r="R28" s="11">
        <f ca="1">OFFSET('COM Techs T15'!$F29,0,MATCH(VLOOKUP('COM Veda input'!R$3,'RES Assumptions T15'!$V$3:$W$35,2,FALSE),'COM Techs T15'!$G$3:$U$3,0))</f>
        <v>0.7</v>
      </c>
      <c r="S28" s="11">
        <f ca="1">OFFSET('COM Techs T15'!$F29,0,MATCH(VLOOKUP('COM Veda input'!S$3,'RES Assumptions T15'!$V$3:$W$35,2,FALSE),'COM Techs T15'!$G$3:$U$3,0))</f>
        <v>0.7</v>
      </c>
      <c r="T28" s="11">
        <f ca="1">OFFSET('COM Techs T15'!$F29,0,MATCH(VLOOKUP('COM Veda input'!T$3,'RES Assumptions T15'!$V$3:$W$35,2,FALSE),'COM Techs T15'!$G$3:$U$3,0))</f>
        <v>0.7</v>
      </c>
      <c r="U28" s="11">
        <f ca="1">OFFSET('COM Techs T15'!$F29,0,MATCH(VLOOKUP('COM Veda input'!U$3,'RES Assumptions T15'!$V$3:$W$35,2,FALSE),'COM Techs T15'!$G$3:$U$3,0))</f>
        <v>0.7</v>
      </c>
      <c r="V28" s="11">
        <f ca="1">OFFSET('COM Techs T15'!$F29,0,MATCH(VLOOKUP('COM Veda input'!V$3,'RES Assumptions T15'!$V$3:$W$35,2,FALSE),'COM Techs T15'!$G$3:$U$3,0))</f>
        <v>0.7</v>
      </c>
      <c r="W28" s="11">
        <f ca="1">OFFSET('COM Techs T15'!$F29,0,MATCH(VLOOKUP('COM Veda input'!W$3,'RES Assumptions T15'!$V$3:$W$35,2,FALSE),'COM Techs T15'!$G$3:$U$3,0))</f>
        <v>0.7</v>
      </c>
      <c r="X28" s="11">
        <f ca="1">OFFSET('COM Techs T15'!$F29,0,MATCH(VLOOKUP('COM Veda input'!X$3,'RES Assumptions T15'!$V$3:$W$35,2,FALSE),'COM Techs T15'!$G$3:$U$3,0))</f>
        <v>0.7</v>
      </c>
      <c r="Y28" s="11">
        <f ca="1">OFFSET('COM Techs T15'!$F29,0,MATCH(VLOOKUP('COM Veda input'!Y$3,'RES Assumptions T15'!$V$3:$W$35,2,FALSE),'COM Techs T15'!$G$3:$U$3,0))</f>
        <v>0.7</v>
      </c>
      <c r="Z28" s="11">
        <f ca="1">OFFSET('COM Techs T15'!$F29,0,MATCH(VLOOKUP('COM Veda input'!Z$3,'RES Assumptions T15'!$V$3:$W$35,2,FALSE),'COM Techs T15'!$G$3:$U$3,0))</f>
        <v>0.7</v>
      </c>
      <c r="AA28" s="11">
        <f ca="1">OFFSET('COM Techs T15'!$F29,0,MATCH(VLOOKUP('COM Veda input'!AA$3,'RES Assumptions T15'!$V$3:$W$35,2,FALSE),'COM Techs T15'!$G$3:$U$3,0))</f>
        <v>0.7</v>
      </c>
      <c r="AB28" s="11">
        <f ca="1">OFFSET('COM Techs T15'!$F29,0,MATCH(VLOOKUP('COM Veda input'!AB$3,'RES Assumptions T15'!$V$3:$W$35,2,FALSE),'COM Techs T15'!$G$3:$U$3,0))</f>
        <v>0.7</v>
      </c>
      <c r="AC28" s="11">
        <f ca="1">OFFSET('COM Techs T15'!$F29,0,MATCH(VLOOKUP('COM Veda input'!AC$3,'RES Assumptions T15'!$V$3:$W$35,2,FALSE),'COM Techs T15'!$G$3:$U$3,0))</f>
        <v>0.7</v>
      </c>
      <c r="AD28" s="11">
        <f ca="1">OFFSET('COM Techs T15'!$F29,0,MATCH(VLOOKUP('COM Veda input'!AD$3,'RES Assumptions T15'!$V$3:$W$35,2,FALSE),'COM Techs T15'!$G$3:$U$3,0))</f>
        <v>0.7</v>
      </c>
      <c r="AE28" s="11">
        <f ca="1">OFFSET('COM Techs T15'!$F29,0,MATCH(VLOOKUP('COM Veda input'!AE$3,'RES Assumptions T15'!$V$3:$W$35,2,FALSE),'COM Techs T15'!$G$3:$U$3,0))</f>
        <v>0.7</v>
      </c>
      <c r="AF28" s="11">
        <f ca="1">OFFSET('COM Techs T15'!$F29,0,MATCH(VLOOKUP('COM Veda input'!AF$3,'RES Assumptions T15'!$V$3:$W$35,2,FALSE),'COM Techs T15'!$G$3:$U$3,0))</f>
        <v>0.7</v>
      </c>
      <c r="AG28" s="11">
        <f ca="1">OFFSET('COM Techs T15'!$F29,0,MATCH(VLOOKUP('COM Veda input'!AG$3,'RES Assumptions T15'!$V$3:$W$35,2,FALSE),'COM Techs T15'!$G$3:$U$3,0))</f>
        <v>0.7</v>
      </c>
      <c r="AH28" s="11">
        <f ca="1">OFFSET('COM Techs T15'!$F29,0,MATCH(VLOOKUP('COM Veda input'!AH$3,'RES Assumptions T15'!$V$3:$W$35,2,FALSE),'COM Techs T15'!$G$3:$U$3,0))</f>
        <v>0.7</v>
      </c>
      <c r="AI28" s="11">
        <f ca="1">OFFSET('COM Techs T15'!$F29,0,MATCH(VLOOKUP('COM Veda input'!AI$3,'RES Assumptions T15'!$V$3:$W$35,2,FALSE),'COM Techs T15'!$G$3:$U$3,0))</f>
        <v>0.7</v>
      </c>
      <c r="AJ28" s="11">
        <f ca="1">OFFSET('COM Techs T15'!$F29,0,MATCH(VLOOKUP('COM Veda input'!AJ$3,'RES Assumptions T15'!$V$3:$W$35,2,FALSE),'COM Techs T15'!$G$3:$U$3,0))</f>
        <v>0.7</v>
      </c>
      <c r="AL28" s="8" t="str">
        <f t="shared" si="19"/>
        <v>CSHNFN000</v>
      </c>
      <c r="AM28" s="11">
        <f ca="1">OFFSET('COM Techs T15'!$W29,0,MATCH(VLOOKUP('COM Veda input'!AM$3,'RES Assumptions T15'!$V$3:$W$35,2,FALSE),'COM Techs T15'!$G$3:$U$3,0))</f>
        <v>0.3</v>
      </c>
      <c r="AN28" s="11">
        <f ca="1">OFFSET('COM Techs T15'!$W29,0,MATCH(VLOOKUP('COM Veda input'!AN$3,'RES Assumptions T15'!$V$3:$W$35,2,FALSE),'COM Techs T15'!$G$3:$U$3,0))</f>
        <v>0.3</v>
      </c>
      <c r="AO28" s="11">
        <f ca="1">OFFSET('COM Techs T15'!$W29,0,MATCH(VLOOKUP('COM Veda input'!AO$3,'RES Assumptions T15'!$V$3:$W$35,2,FALSE),'COM Techs T15'!$G$3:$U$3,0))</f>
        <v>0.3</v>
      </c>
      <c r="AP28" s="11">
        <f ca="1">OFFSET('COM Techs T15'!$W29,0,MATCH(VLOOKUP('COM Veda input'!AP$3,'RES Assumptions T15'!$V$3:$W$35,2,FALSE),'COM Techs T15'!$G$3:$U$3,0))</f>
        <v>0.3</v>
      </c>
      <c r="AQ28" s="11">
        <f ca="1">OFFSET('COM Techs T15'!$W29,0,MATCH(VLOOKUP('COM Veda input'!AQ$3,'RES Assumptions T15'!$V$3:$W$35,2,FALSE),'COM Techs T15'!$G$3:$U$3,0))</f>
        <v>0.3</v>
      </c>
      <c r="AR28" s="11">
        <f ca="1">OFFSET('COM Techs T15'!$W29,0,MATCH(VLOOKUP('COM Veda input'!AR$3,'RES Assumptions T15'!$V$3:$W$35,2,FALSE),'COM Techs T15'!$G$3:$U$3,0))</f>
        <v>0.3</v>
      </c>
      <c r="AS28" s="11">
        <f ca="1">OFFSET('COM Techs T15'!$W29,0,MATCH(VLOOKUP('COM Veda input'!AS$3,'RES Assumptions T15'!$V$3:$W$35,2,FALSE),'COM Techs T15'!$G$3:$U$3,0))</f>
        <v>0.28999999999999998</v>
      </c>
      <c r="AT28" s="11">
        <f ca="1">OFFSET('COM Techs T15'!$W29,0,MATCH(VLOOKUP('COM Veda input'!AT$3,'RES Assumptions T15'!$V$3:$W$35,2,FALSE),'COM Techs T15'!$G$3:$U$3,0))</f>
        <v>0.3</v>
      </c>
      <c r="AU28" s="11">
        <f ca="1">OFFSET('COM Techs T15'!$W29,0,MATCH(VLOOKUP('COM Veda input'!AU$3,'RES Assumptions T15'!$V$3:$W$35,2,FALSE),'COM Techs T15'!$G$3:$U$3,0))</f>
        <v>0.33</v>
      </c>
      <c r="AV28" s="11">
        <f ca="1">OFFSET('COM Techs T15'!$W29,0,MATCH(VLOOKUP('COM Veda input'!AV$3,'RES Assumptions T15'!$V$3:$W$35,2,FALSE),'COM Techs T15'!$G$3:$U$3,0))</f>
        <v>0.3</v>
      </c>
      <c r="AW28" s="11">
        <f ca="1">OFFSET('COM Techs T15'!$W29,0,MATCH(VLOOKUP('COM Veda input'!AW$3,'RES Assumptions T15'!$V$3:$W$35,2,FALSE),'COM Techs T15'!$G$3:$U$3,0))</f>
        <v>0.3</v>
      </c>
      <c r="AX28" s="11">
        <f ca="1">OFFSET('COM Techs T15'!$W29,0,MATCH(VLOOKUP('COM Veda input'!AX$3,'RES Assumptions T15'!$V$3:$W$35,2,FALSE),'COM Techs T15'!$G$3:$U$3,0))</f>
        <v>0.3</v>
      </c>
      <c r="AY28" s="11">
        <f ca="1">OFFSET('COM Techs T15'!$W29,0,MATCH(VLOOKUP('COM Veda input'!AY$3,'RES Assumptions T15'!$V$3:$W$35,2,FALSE),'COM Techs T15'!$G$3:$U$3,0))</f>
        <v>0.3</v>
      </c>
      <c r="AZ28" s="11">
        <f ca="1">OFFSET('COM Techs T15'!$W29,0,MATCH(VLOOKUP('COM Veda input'!AZ$3,'RES Assumptions T15'!$V$3:$W$35,2,FALSE),'COM Techs T15'!$G$3:$U$3,0))</f>
        <v>0.3</v>
      </c>
      <c r="BA28" s="11">
        <f ca="1">OFFSET('COM Techs T15'!$W29,0,MATCH(VLOOKUP('COM Veda input'!BA$3,'RES Assumptions T15'!$V$3:$W$35,2,FALSE),'COM Techs T15'!$G$3:$U$3,0))</f>
        <v>0.3</v>
      </c>
      <c r="BB28" s="11">
        <f ca="1">OFFSET('COM Techs T15'!$W29,0,MATCH(VLOOKUP('COM Veda input'!BB$3,'RES Assumptions T15'!$V$3:$W$35,2,FALSE),'COM Techs T15'!$G$3:$U$3,0))</f>
        <v>0.3</v>
      </c>
      <c r="BC28" s="11">
        <f ca="1">OFFSET('COM Techs T15'!$W29,0,MATCH(VLOOKUP('COM Veda input'!BC$3,'RES Assumptions T15'!$V$3:$W$35,2,FALSE),'COM Techs T15'!$G$3:$U$3,0))</f>
        <v>0.3</v>
      </c>
      <c r="BD28" s="11">
        <f ca="1">OFFSET('COM Techs T15'!$W29,0,MATCH(VLOOKUP('COM Veda input'!BD$3,'RES Assumptions T15'!$V$3:$W$35,2,FALSE),'COM Techs T15'!$G$3:$U$3,0))</f>
        <v>0.3</v>
      </c>
      <c r="BE28" s="11">
        <f ca="1">OFFSET('COM Techs T15'!$W29,0,MATCH(VLOOKUP('COM Veda input'!BE$3,'RES Assumptions T15'!$V$3:$W$35,2,FALSE),'COM Techs T15'!$G$3:$U$3,0))</f>
        <v>0.3</v>
      </c>
      <c r="BF28" s="11">
        <f ca="1">OFFSET('COM Techs T15'!$W29,0,MATCH(VLOOKUP('COM Veda input'!BF$3,'RES Assumptions T15'!$V$3:$W$35,2,FALSE),'COM Techs T15'!$G$3:$U$3,0))</f>
        <v>0.3</v>
      </c>
      <c r="BG28" s="11">
        <f ca="1">OFFSET('COM Techs T15'!$W29,0,MATCH(VLOOKUP('COM Veda input'!BG$3,'RES Assumptions T15'!$V$3:$W$35,2,FALSE),'COM Techs T15'!$G$3:$U$3,0))</f>
        <v>0.3</v>
      </c>
      <c r="BH28" s="11">
        <f ca="1">OFFSET('COM Techs T15'!$W29,0,MATCH(VLOOKUP('COM Veda input'!BH$3,'RES Assumptions T15'!$V$3:$W$35,2,FALSE),'COM Techs T15'!$G$3:$U$3,0))</f>
        <v>0.3</v>
      </c>
      <c r="BI28" s="11">
        <f ca="1">OFFSET('COM Techs T15'!$W29,0,MATCH(VLOOKUP('COM Veda input'!BI$3,'RES Assumptions T15'!$V$3:$W$35,2,FALSE),'COM Techs T15'!$G$3:$U$3,0))</f>
        <v>0.3</v>
      </c>
      <c r="BJ28" s="11">
        <f ca="1">OFFSET('COM Techs T15'!$W29,0,MATCH(VLOOKUP('COM Veda input'!BJ$3,'RES Assumptions T15'!$V$3:$W$35,2,FALSE),'COM Techs T15'!$G$3:$U$3,0))</f>
        <v>0.3</v>
      </c>
      <c r="BK28" s="11">
        <f ca="1">OFFSET('COM Techs T15'!$W29,0,MATCH(VLOOKUP('COM Veda input'!BK$3,'RES Assumptions T15'!$V$3:$W$35,2,FALSE),'COM Techs T15'!$G$3:$U$3,0))</f>
        <v>0.3</v>
      </c>
      <c r="BL28" s="11">
        <f ca="1">OFFSET('COM Techs T15'!$W29,0,MATCH(VLOOKUP('COM Veda input'!BL$3,'RES Assumptions T15'!$V$3:$W$35,2,FALSE),'COM Techs T15'!$G$3:$U$3,0))</f>
        <v>0.3</v>
      </c>
      <c r="BM28" s="11">
        <f ca="1">OFFSET('COM Techs T15'!$W29,0,MATCH(VLOOKUP('COM Veda input'!BM$3,'RES Assumptions T15'!$V$3:$W$35,2,FALSE),'COM Techs T15'!$G$3:$U$3,0))</f>
        <v>0.3</v>
      </c>
      <c r="BN28" s="11">
        <f ca="1">OFFSET('COM Techs T15'!$W29,0,MATCH(VLOOKUP('COM Veda input'!BN$3,'RES Assumptions T15'!$V$3:$W$35,2,FALSE),'COM Techs T15'!$G$3:$U$3,0))</f>
        <v>0.3</v>
      </c>
      <c r="BO28" s="11">
        <f ca="1">OFFSET('COM Techs T15'!$W29,0,MATCH(VLOOKUP('COM Veda input'!BO$3,'RES Assumptions T15'!$V$3:$W$35,2,FALSE),'COM Techs T15'!$G$3:$U$3,0))</f>
        <v>0.3</v>
      </c>
      <c r="BP28" s="11">
        <f ca="1">OFFSET('COM Techs T15'!$W29,0,MATCH(VLOOKUP('COM Veda input'!BP$3,'RES Assumptions T15'!$V$3:$W$35,2,FALSE),'COM Techs T15'!$G$3:$U$3,0))</f>
        <v>0.3</v>
      </c>
      <c r="BQ28">
        <v>3</v>
      </c>
      <c r="BS28" s="8" t="str">
        <f t="shared" si="20"/>
        <v>CSHNFN000</v>
      </c>
      <c r="BT28" s="11">
        <f t="shared" ca="1" si="21"/>
        <v>0.01</v>
      </c>
      <c r="BU28" s="11" t="str">
        <f ca="1">OFFSET('COM Techs T15'!$AO29,0,MATCH(VLOOKUP('COM Veda input'!BU$3,'RES Assumptions T15'!$V$3:$W$35,2,FALSE),'COM Techs T15'!$G$3:$U$3,0))</f>
        <v/>
      </c>
      <c r="BV28" s="11" t="str">
        <f ca="1">OFFSET('COM Techs T15'!$AO29,0,MATCH(VLOOKUP('COM Veda input'!BV$3,'RES Assumptions T15'!$V$3:$W$35,2,FALSE),'COM Techs T15'!$G$3:$U$3,0))</f>
        <v/>
      </c>
      <c r="BW28" s="11">
        <f ca="1">OFFSET('COM Techs T15'!$AO29,0,MATCH(VLOOKUP('COM Veda input'!BW$3,'RES Assumptions T15'!$V$3:$W$35,2,FALSE),'COM Techs T15'!$G$3:$U$3,0))</f>
        <v>2.1</v>
      </c>
      <c r="BX28" s="11" t="str">
        <f ca="1">OFFSET('COM Techs T15'!$AO29,0,MATCH(VLOOKUP('COM Veda input'!BX$3,'RES Assumptions T15'!$V$3:$W$35,2,FALSE),'COM Techs T15'!$G$3:$U$3,0))</f>
        <v/>
      </c>
      <c r="BY28" s="11">
        <f ca="1">OFFSET('COM Techs T15'!$AO29,0,MATCH(VLOOKUP('COM Veda input'!BY$3,'RES Assumptions T15'!$V$3:$W$35,2,FALSE),'COM Techs T15'!$G$3:$U$3,0))</f>
        <v>3</v>
      </c>
      <c r="BZ28" s="11">
        <f ca="1">OFFSET('COM Techs T15'!$AO29,0,MATCH(VLOOKUP('COM Veda input'!BZ$3,'RES Assumptions T15'!$V$3:$W$35,2,FALSE),'COM Techs T15'!$G$3:$U$3,0))</f>
        <v>1.8</v>
      </c>
      <c r="CA28" s="11" t="str">
        <f ca="1">OFFSET('COM Techs T15'!$AO29,0,MATCH(VLOOKUP('COM Veda input'!CA$3,'RES Assumptions T15'!$V$3:$W$35,2,FALSE),'COM Techs T15'!$G$3:$U$3,0))</f>
        <v/>
      </c>
      <c r="CB28" s="11">
        <f ca="1">OFFSET('COM Techs T15'!$AO29,0,MATCH(VLOOKUP('COM Veda input'!CB$3,'RES Assumptions T15'!$V$3:$W$35,2,FALSE),'COM Techs T15'!$G$3:$U$3,0))</f>
        <v>2.1</v>
      </c>
      <c r="CC28" s="11">
        <f ca="1">OFFSET('COM Techs T15'!$AO29,0,MATCH(VLOOKUP('COM Veda input'!CC$3,'RES Assumptions T15'!$V$3:$W$35,2,FALSE),'COM Techs T15'!$G$3:$U$3,0))</f>
        <v>0.01</v>
      </c>
      <c r="CD28" s="11">
        <f ca="1">OFFSET('COM Techs T15'!$AO29,0,MATCH(VLOOKUP('COM Veda input'!CD$3,'RES Assumptions T15'!$V$3:$W$35,2,FALSE),'COM Techs T15'!$G$3:$U$3,0))</f>
        <v>1.8</v>
      </c>
      <c r="CE28" s="11" t="str">
        <f ca="1">OFFSET('COM Techs T15'!$AO29,0,MATCH(VLOOKUP('COM Veda input'!CE$3,'RES Assumptions T15'!$V$3:$W$35,2,FALSE),'COM Techs T15'!$G$3:$U$3,0))</f>
        <v/>
      </c>
      <c r="CF28" s="11" t="str">
        <f ca="1">OFFSET('COM Techs T15'!$AO29,0,MATCH(VLOOKUP('COM Veda input'!CF$3,'RES Assumptions T15'!$V$3:$W$35,2,FALSE),'COM Techs T15'!$G$3:$U$3,0))</f>
        <v/>
      </c>
      <c r="CG28" s="11" t="str">
        <f ca="1">OFFSET('COM Techs T15'!$AO29,0,MATCH(VLOOKUP('COM Veda input'!CG$3,'RES Assumptions T15'!$V$3:$W$35,2,FALSE),'COM Techs T15'!$G$3:$U$3,0))</f>
        <v/>
      </c>
      <c r="CH28" s="11" t="str">
        <f ca="1">OFFSET('COM Techs T15'!$AO29,0,MATCH(VLOOKUP('COM Veda input'!CH$3,'RES Assumptions T15'!$V$3:$W$35,2,FALSE),'COM Techs T15'!$G$3:$U$3,0))</f>
        <v/>
      </c>
      <c r="CI28" s="11" t="str">
        <f ca="1">OFFSET('COM Techs T15'!$AO29,0,MATCH(VLOOKUP('COM Veda input'!CI$3,'RES Assumptions T15'!$V$3:$W$35,2,FALSE),'COM Techs T15'!$G$3:$U$3,0))</f>
        <v/>
      </c>
      <c r="CJ28" s="11" t="str">
        <f ca="1">OFFSET('COM Techs T15'!$AO29,0,MATCH(VLOOKUP('COM Veda input'!CJ$3,'RES Assumptions T15'!$V$3:$W$35,2,FALSE),'COM Techs T15'!$G$3:$U$3,0))</f>
        <v/>
      </c>
      <c r="CK28" s="11">
        <f ca="1">OFFSET('COM Techs T15'!$AO29,0,MATCH(VLOOKUP('COM Veda input'!CK$3,'RES Assumptions T15'!$V$3:$W$35,2,FALSE),'COM Techs T15'!$G$3:$U$3,0))</f>
        <v>2.1</v>
      </c>
      <c r="CL28" s="11" t="str">
        <f ca="1">OFFSET('COM Techs T15'!$AO29,0,MATCH(VLOOKUP('COM Veda input'!CL$3,'RES Assumptions T15'!$V$3:$W$35,2,FALSE),'COM Techs T15'!$G$3:$U$3,0))</f>
        <v/>
      </c>
      <c r="CM28" s="11" t="str">
        <f ca="1">OFFSET('COM Techs T15'!$AO29,0,MATCH(VLOOKUP('COM Veda input'!CM$3,'RES Assumptions T15'!$V$3:$W$35,2,FALSE),'COM Techs T15'!$G$3:$U$3,0))</f>
        <v/>
      </c>
      <c r="CN28" s="11">
        <f ca="1">OFFSET('COM Techs T15'!$AO29,0,MATCH(VLOOKUP('COM Veda input'!CN$3,'RES Assumptions T15'!$V$3:$W$35,2,FALSE),'COM Techs T15'!$G$3:$U$3,0))</f>
        <v>1.8</v>
      </c>
      <c r="CO28" s="11">
        <f ca="1">OFFSET('COM Techs T15'!$AO29,0,MATCH(VLOOKUP('COM Veda input'!CO$3,'RES Assumptions T15'!$V$3:$W$35,2,FALSE),'COM Techs T15'!$G$3:$U$3,0))</f>
        <v>2.1</v>
      </c>
      <c r="CP28" s="11">
        <f ca="1">OFFSET('COM Techs T15'!$AO29,0,MATCH(VLOOKUP('COM Veda input'!CP$3,'RES Assumptions T15'!$V$3:$W$35,2,FALSE),'COM Techs T15'!$G$3:$U$3,0))</f>
        <v>2.4</v>
      </c>
      <c r="CQ28" s="11">
        <f ca="1">OFFSET('COM Techs T15'!$AO29,0,MATCH(VLOOKUP('COM Veda input'!CQ$3,'RES Assumptions T15'!$V$3:$W$35,2,FALSE),'COM Techs T15'!$G$3:$U$3,0))</f>
        <v>2.1</v>
      </c>
      <c r="CR28" s="11" t="str">
        <f ca="1">OFFSET('COM Techs T15'!$AO29,0,MATCH(VLOOKUP('COM Veda input'!CR$3,'RES Assumptions T15'!$V$3:$W$35,2,FALSE),'COM Techs T15'!$G$3:$U$3,0))</f>
        <v/>
      </c>
      <c r="CS28" s="11" t="str">
        <f ca="1">OFFSET('COM Techs T15'!$AO29,0,MATCH(VLOOKUP('COM Veda input'!CS$3,'RES Assumptions T15'!$V$3:$W$35,2,FALSE),'COM Techs T15'!$G$3:$U$3,0))</f>
        <v/>
      </c>
      <c r="CT28" s="11">
        <f ca="1">OFFSET('COM Techs T15'!$AO29,0,MATCH(VLOOKUP('COM Veda input'!CT$3,'RES Assumptions T15'!$V$3:$W$35,2,FALSE),'COM Techs T15'!$G$3:$U$3,0))</f>
        <v>2.1</v>
      </c>
      <c r="CU28" s="11" t="str">
        <f ca="1">OFFSET('COM Techs T15'!$AO29,0,MATCH(VLOOKUP('COM Veda input'!CU$3,'RES Assumptions T15'!$V$3:$W$35,2,FALSE),'COM Techs T15'!$G$3:$U$3,0))</f>
        <v/>
      </c>
      <c r="CV28" s="11" t="str">
        <f ca="1">OFFSET('COM Techs T15'!$AO29,0,MATCH(VLOOKUP('COM Veda input'!CV$3,'RES Assumptions T15'!$V$3:$W$35,2,FALSE),'COM Techs T15'!$G$3:$U$3,0))</f>
        <v/>
      </c>
      <c r="CW28" s="11">
        <f ca="1">OFFSET('COM Techs T15'!$AO29,0,MATCH(VLOOKUP('COM Veda input'!CW$3,'RES Assumptions T15'!$V$3:$W$35,2,FALSE),'COM Techs T15'!$G$3:$U$3,0))</f>
        <v>0.4</v>
      </c>
      <c r="CX28" s="11">
        <f ca="1">OFFSET('COM Techs T15'!$AO29,0,MATCH(VLOOKUP('COM Veda input'!CX$3,'RES Assumptions T15'!$V$3:$W$35,2,FALSE),'COM Techs T15'!$G$3:$U$3,0))</f>
        <v>0.4</v>
      </c>
      <c r="CZ28" s="8" t="str">
        <f t="shared" si="22"/>
        <v>CSHNFN000</v>
      </c>
      <c r="DA28" s="10">
        <f ca="1">'COM Assumptions'!E105*G28/'COM Veda input'!AM28</f>
        <v>0</v>
      </c>
      <c r="DB28" s="10">
        <f ca="1">'COM Assumptions'!F105*H28/'COM Veda input'!AN28</f>
        <v>0</v>
      </c>
      <c r="DC28" s="10">
        <f ca="1">'COM Assumptions'!G105*I28/'COM Veda input'!AO28</f>
        <v>13.352151791999999</v>
      </c>
      <c r="DD28" s="10">
        <f ca="1">'COM Assumptions'!H105*J28/'COM Veda input'!AP28</f>
        <v>641.88507450561235</v>
      </c>
      <c r="DE28" s="10">
        <f ca="1">'COM Assumptions'!I105*K28/'COM Veda input'!AQ28</f>
        <v>154.69379744141918</v>
      </c>
      <c r="DF28" s="10">
        <f ca="1">'COM Assumptions'!J105*L28/'COM Veda input'!AR28</f>
        <v>11.28191786888665</v>
      </c>
      <c r="DG28" s="10">
        <f ca="1">'COM Assumptions'!K105*M28/'COM Veda input'!AS28</f>
        <v>81.950220085772244</v>
      </c>
      <c r="DH28" s="10">
        <f ca="1">'COM Assumptions'!L105*N28/'COM Veda input'!AT28</f>
        <v>1.4363938066799999</v>
      </c>
      <c r="DI28" s="10">
        <f ca="1">'COM Assumptions'!M105*O28/'COM Veda input'!AU28</f>
        <v>914.4859961629063</v>
      </c>
      <c r="DJ28" s="10">
        <f ca="1">'COM Assumptions'!N105*P28/'COM Veda input'!AV28</f>
        <v>186.37746632474642</v>
      </c>
      <c r="DK28" s="10">
        <f ca="1">'COM Assumptions'!O105*Q28/'COM Veda input'!AW28</f>
        <v>17.973941220980514</v>
      </c>
      <c r="DL28" s="10">
        <f ca="1">'COM Assumptions'!P105*R28/'COM Veda input'!AX28</f>
        <v>249.08257434313083</v>
      </c>
      <c r="DM28" s="10">
        <f ca="1">'COM Assumptions'!Q105*S28/'COM Veda input'!AY28</f>
        <v>270.16244321836353</v>
      </c>
      <c r="DN28" s="10">
        <f ca="1">'COM Assumptions'!R105*T28/'COM Veda input'!AZ28</f>
        <v>373.38346652151978</v>
      </c>
      <c r="DO28" s="10">
        <f ca="1">'COM Assumptions'!S105*U28/'COM Veda input'!BA28</f>
        <v>150.97914655532202</v>
      </c>
      <c r="DP28" s="10">
        <f ca="1">'COM Assumptions'!T105*V28/'COM Veda input'!BB28</f>
        <v>115.15160691226757</v>
      </c>
      <c r="DQ28" s="10">
        <f ca="1">'COM Assumptions'!U105*W28/'COM Veda input'!BC28</f>
        <v>27.380642364789718</v>
      </c>
      <c r="DR28" s="10">
        <f ca="1">'COM Assumptions'!V105*X28/'COM Veda input'!BD28</f>
        <v>313.21155765540567</v>
      </c>
      <c r="DS28" s="10">
        <f ca="1">'COM Assumptions'!W105*Y28/'COM Veda input'!BE28</f>
        <v>506.19099232539128</v>
      </c>
      <c r="DT28" s="10">
        <f ca="1">'COM Assumptions'!X105*Z28/'COM Veda input'!BF28</f>
        <v>11.33980812353718</v>
      </c>
      <c r="DU28" s="10">
        <f ca="1">'COM Assumptions'!Y105*AA28/'COM Veda input'!BG28</f>
        <v>8.4703125679200006</v>
      </c>
      <c r="DV28" s="10">
        <f ca="1">'COM Assumptions'!Z105*AB28/'COM Veda input'!BH28</f>
        <v>2.3017899475050481</v>
      </c>
      <c r="DW28" s="10">
        <f ca="1">'COM Assumptions'!AA105*AC28/'COM Veda input'!BI28</f>
        <v>63.087134920053558</v>
      </c>
      <c r="DX28" s="10">
        <f ca="1">'COM Assumptions'!AB105*AD28/'COM Veda input'!BJ28</f>
        <v>3.5523185988233785</v>
      </c>
      <c r="DY28" s="10">
        <f ca="1">'COM Assumptions'!AC105*AE28/'COM Veda input'!BK28</f>
        <v>385.20306481333324</v>
      </c>
      <c r="DZ28" s="10">
        <f ca="1">'COM Assumptions'!AD105*AF28/'COM Veda input'!BL28</f>
        <v>0</v>
      </c>
      <c r="EA28" s="10">
        <f ca="1">'COM Assumptions'!AE105*AG28/'COM Veda input'!BM28</f>
        <v>0</v>
      </c>
      <c r="EB28" s="10">
        <f ca="1">'COM Assumptions'!AF105*AH28/'COM Veda input'!BN28</f>
        <v>327.09655317443986</v>
      </c>
      <c r="EC28" s="10">
        <f ca="1">'COM Assumptions'!AG105*AI28/'COM Veda input'!BO28</f>
        <v>5080.8275458097969</v>
      </c>
      <c r="ED28" s="10">
        <f ca="1">'COM Assumptions'!AH105*AJ28/'COM Veda input'!BP28</f>
        <v>0</v>
      </c>
      <c r="EE28" s="8">
        <v>20</v>
      </c>
      <c r="EI28" s="8" t="str">
        <f t="shared" si="23"/>
        <v>CSHNFN000</v>
      </c>
      <c r="EK28" t="s">
        <v>282</v>
      </c>
      <c r="EL28" t="s">
        <v>283</v>
      </c>
    </row>
    <row r="29" spans="1:142" x14ac:dyDescent="0.45">
      <c r="A29" s="37" t="str">
        <f>'COM Assumptions'!B106</f>
        <v>CH</v>
      </c>
      <c r="B29" s="37" t="s">
        <v>197</v>
      </c>
      <c r="D29" t="s">
        <v>332</v>
      </c>
      <c r="E29" s="8" t="str">
        <f>'COM Assumptions'!A106</f>
        <v>COMNGA</v>
      </c>
      <c r="F29" t="str">
        <f>VLOOKUP('COM Assumptions'!B106,'COM Assumptions'!$AP$81:$AQ$88,2,FALSE)</f>
        <v>CSH</v>
      </c>
      <c r="G29" s="11">
        <f ca="1">OFFSET('COM Techs T15'!$F30,0,MATCH(VLOOKUP('COM Veda input'!G$3,'RES Assumptions T15'!$V$3:$W$35,2,FALSE),'COM Techs T15'!$G$3:$U$3,0))</f>
        <v>1.9</v>
      </c>
      <c r="H29" s="11">
        <f ca="1">OFFSET('COM Techs T15'!$F30,0,MATCH(VLOOKUP('COM Veda input'!H$3,'RES Assumptions T15'!$V$3:$W$35,2,FALSE),'COM Techs T15'!$G$3:$U$3,0))</f>
        <v>1.9</v>
      </c>
      <c r="I29" s="11">
        <f ca="1">OFFSET('COM Techs T15'!$F30,0,MATCH(VLOOKUP('COM Veda input'!I$3,'RES Assumptions T15'!$V$3:$W$35,2,FALSE),'COM Techs T15'!$G$3:$U$3,0))</f>
        <v>1.9</v>
      </c>
      <c r="J29" s="11">
        <f ca="1">OFFSET('COM Techs T15'!$F30,0,MATCH(VLOOKUP('COM Veda input'!J$3,'RES Assumptions T15'!$V$3:$W$35,2,FALSE),'COM Techs T15'!$G$3:$U$3,0))</f>
        <v>1.9</v>
      </c>
      <c r="K29" s="11">
        <f ca="1">OFFSET('COM Techs T15'!$F30,0,MATCH(VLOOKUP('COM Veda input'!K$3,'RES Assumptions T15'!$V$3:$W$35,2,FALSE),'COM Techs T15'!$G$3:$U$3,0))</f>
        <v>1.9</v>
      </c>
      <c r="L29" s="11">
        <f ca="1">OFFSET('COM Techs T15'!$F30,0,MATCH(VLOOKUP('COM Veda input'!L$3,'RES Assumptions T15'!$V$3:$W$35,2,FALSE),'COM Techs T15'!$G$3:$U$3,0))</f>
        <v>1.9</v>
      </c>
      <c r="M29" s="11">
        <f ca="1">OFFSET('COM Techs T15'!$F30,0,MATCH(VLOOKUP('COM Veda input'!M$3,'RES Assumptions T15'!$V$3:$W$35,2,FALSE),'COM Techs T15'!$G$3:$U$3,0))</f>
        <v>1.9</v>
      </c>
      <c r="N29" s="11">
        <f ca="1">OFFSET('COM Techs T15'!$F30,0,MATCH(VLOOKUP('COM Veda input'!N$3,'RES Assumptions T15'!$V$3:$W$35,2,FALSE),'COM Techs T15'!$G$3:$U$3,0))</f>
        <v>1.9</v>
      </c>
      <c r="O29" s="11">
        <f ca="1">OFFSET('COM Techs T15'!$F30,0,MATCH(VLOOKUP('COM Veda input'!O$3,'RES Assumptions T15'!$V$3:$W$35,2,FALSE),'COM Techs T15'!$G$3:$U$3,0))</f>
        <v>1.9</v>
      </c>
      <c r="P29" s="11">
        <f ca="1">OFFSET('COM Techs T15'!$F30,0,MATCH(VLOOKUP('COM Veda input'!P$3,'RES Assumptions T15'!$V$3:$W$35,2,FALSE),'COM Techs T15'!$G$3:$U$3,0))</f>
        <v>1.9</v>
      </c>
      <c r="Q29" s="11">
        <f ca="1">OFFSET('COM Techs T15'!$F30,0,MATCH(VLOOKUP('COM Veda input'!Q$3,'RES Assumptions T15'!$V$3:$W$35,2,FALSE),'COM Techs T15'!$G$3:$U$3,0))</f>
        <v>1.9</v>
      </c>
      <c r="R29" s="11">
        <f ca="1">OFFSET('COM Techs T15'!$F30,0,MATCH(VLOOKUP('COM Veda input'!R$3,'RES Assumptions T15'!$V$3:$W$35,2,FALSE),'COM Techs T15'!$G$3:$U$3,0))</f>
        <v>1.9</v>
      </c>
      <c r="S29" s="11">
        <f ca="1">OFFSET('COM Techs T15'!$F30,0,MATCH(VLOOKUP('COM Veda input'!S$3,'RES Assumptions T15'!$V$3:$W$35,2,FALSE),'COM Techs T15'!$G$3:$U$3,0))</f>
        <v>1.9</v>
      </c>
      <c r="T29" s="11">
        <f ca="1">OFFSET('COM Techs T15'!$F30,0,MATCH(VLOOKUP('COM Veda input'!T$3,'RES Assumptions T15'!$V$3:$W$35,2,FALSE),'COM Techs T15'!$G$3:$U$3,0))</f>
        <v>1.9</v>
      </c>
      <c r="U29" s="11">
        <f ca="1">OFFSET('COM Techs T15'!$F30,0,MATCH(VLOOKUP('COM Veda input'!U$3,'RES Assumptions T15'!$V$3:$W$35,2,FALSE),'COM Techs T15'!$G$3:$U$3,0))</f>
        <v>1.9</v>
      </c>
      <c r="V29" s="11">
        <f ca="1">OFFSET('COM Techs T15'!$F30,0,MATCH(VLOOKUP('COM Veda input'!V$3,'RES Assumptions T15'!$V$3:$W$35,2,FALSE),'COM Techs T15'!$G$3:$U$3,0))</f>
        <v>1.9</v>
      </c>
      <c r="W29" s="11">
        <f ca="1">OFFSET('COM Techs T15'!$F30,0,MATCH(VLOOKUP('COM Veda input'!W$3,'RES Assumptions T15'!$V$3:$W$35,2,FALSE),'COM Techs T15'!$G$3:$U$3,0))</f>
        <v>1.9</v>
      </c>
      <c r="X29" s="11">
        <f ca="1">OFFSET('COM Techs T15'!$F30,0,MATCH(VLOOKUP('COM Veda input'!X$3,'RES Assumptions T15'!$V$3:$W$35,2,FALSE),'COM Techs T15'!$G$3:$U$3,0))</f>
        <v>1.9</v>
      </c>
      <c r="Y29" s="11">
        <f ca="1">OFFSET('COM Techs T15'!$F30,0,MATCH(VLOOKUP('COM Veda input'!Y$3,'RES Assumptions T15'!$V$3:$W$35,2,FALSE),'COM Techs T15'!$G$3:$U$3,0))</f>
        <v>1.9</v>
      </c>
      <c r="Z29" s="11">
        <f ca="1">OFFSET('COM Techs T15'!$F30,0,MATCH(VLOOKUP('COM Veda input'!Z$3,'RES Assumptions T15'!$V$3:$W$35,2,FALSE),'COM Techs T15'!$G$3:$U$3,0))</f>
        <v>1.9</v>
      </c>
      <c r="AA29" s="11">
        <f ca="1">OFFSET('COM Techs T15'!$F30,0,MATCH(VLOOKUP('COM Veda input'!AA$3,'RES Assumptions T15'!$V$3:$W$35,2,FALSE),'COM Techs T15'!$G$3:$U$3,0))</f>
        <v>1.9</v>
      </c>
      <c r="AB29" s="11">
        <f ca="1">OFFSET('COM Techs T15'!$F30,0,MATCH(VLOOKUP('COM Veda input'!AB$3,'RES Assumptions T15'!$V$3:$W$35,2,FALSE),'COM Techs T15'!$G$3:$U$3,0))</f>
        <v>1.9</v>
      </c>
      <c r="AC29" s="11">
        <f ca="1">OFFSET('COM Techs T15'!$F30,0,MATCH(VLOOKUP('COM Veda input'!AC$3,'RES Assumptions T15'!$V$3:$W$35,2,FALSE),'COM Techs T15'!$G$3:$U$3,0))</f>
        <v>1.9</v>
      </c>
      <c r="AD29" s="11">
        <f ca="1">OFFSET('COM Techs T15'!$F30,0,MATCH(VLOOKUP('COM Veda input'!AD$3,'RES Assumptions T15'!$V$3:$W$35,2,FALSE),'COM Techs T15'!$G$3:$U$3,0))</f>
        <v>1.9</v>
      </c>
      <c r="AE29" s="11">
        <f ca="1">OFFSET('COM Techs T15'!$F30,0,MATCH(VLOOKUP('COM Veda input'!AE$3,'RES Assumptions T15'!$V$3:$W$35,2,FALSE),'COM Techs T15'!$G$3:$U$3,0))</f>
        <v>1.9</v>
      </c>
      <c r="AF29" s="11">
        <f ca="1">OFFSET('COM Techs T15'!$F30,0,MATCH(VLOOKUP('COM Veda input'!AF$3,'RES Assumptions T15'!$V$3:$W$35,2,FALSE),'COM Techs T15'!$G$3:$U$3,0))</f>
        <v>1.9</v>
      </c>
      <c r="AG29" s="11">
        <f ca="1">OFFSET('COM Techs T15'!$F30,0,MATCH(VLOOKUP('COM Veda input'!AG$3,'RES Assumptions T15'!$V$3:$W$35,2,FALSE),'COM Techs T15'!$G$3:$U$3,0))</f>
        <v>1.9</v>
      </c>
      <c r="AH29" s="11">
        <f ca="1">OFFSET('COM Techs T15'!$F30,0,MATCH(VLOOKUP('COM Veda input'!AH$3,'RES Assumptions T15'!$V$3:$W$35,2,FALSE),'COM Techs T15'!$G$3:$U$3,0))</f>
        <v>1.9</v>
      </c>
      <c r="AI29" s="11">
        <f ca="1">OFFSET('COM Techs T15'!$F30,0,MATCH(VLOOKUP('COM Veda input'!AI$3,'RES Assumptions T15'!$V$3:$W$35,2,FALSE),'COM Techs T15'!$G$3:$U$3,0))</f>
        <v>1.9</v>
      </c>
      <c r="AJ29" s="11">
        <f ca="1">OFFSET('COM Techs T15'!$F30,0,MATCH(VLOOKUP('COM Veda input'!AJ$3,'RES Assumptions T15'!$V$3:$W$35,2,FALSE),'COM Techs T15'!$G$3:$U$3,0))</f>
        <v>1.9</v>
      </c>
      <c r="AL29" s="8" t="str">
        <f t="shared" si="19"/>
        <v>CSHNHP000</v>
      </c>
      <c r="AM29" s="11">
        <f ca="1">OFFSET('COM Techs T15'!$W30,0,MATCH(VLOOKUP('COM Veda input'!AM$3,'RES Assumptions T15'!$V$3:$W$35,2,FALSE),'COM Techs T15'!$G$3:$U$3,0))</f>
        <v>0.3</v>
      </c>
      <c r="AN29" s="11">
        <f ca="1">OFFSET('COM Techs T15'!$W30,0,MATCH(VLOOKUP('COM Veda input'!AN$3,'RES Assumptions T15'!$V$3:$W$35,2,FALSE),'COM Techs T15'!$G$3:$U$3,0))</f>
        <v>0.3</v>
      </c>
      <c r="AO29" s="11">
        <f ca="1">OFFSET('COM Techs T15'!$W30,0,MATCH(VLOOKUP('COM Veda input'!AO$3,'RES Assumptions T15'!$V$3:$W$35,2,FALSE),'COM Techs T15'!$G$3:$U$3,0))</f>
        <v>0.3</v>
      </c>
      <c r="AP29" s="11">
        <f ca="1">OFFSET('COM Techs T15'!$W30,0,MATCH(VLOOKUP('COM Veda input'!AP$3,'RES Assumptions T15'!$V$3:$W$35,2,FALSE),'COM Techs T15'!$G$3:$U$3,0))</f>
        <v>0.3</v>
      </c>
      <c r="AQ29" s="11">
        <f ca="1">OFFSET('COM Techs T15'!$W30,0,MATCH(VLOOKUP('COM Veda input'!AQ$3,'RES Assumptions T15'!$V$3:$W$35,2,FALSE),'COM Techs T15'!$G$3:$U$3,0))</f>
        <v>0.3</v>
      </c>
      <c r="AR29" s="11">
        <f ca="1">OFFSET('COM Techs T15'!$W30,0,MATCH(VLOOKUP('COM Veda input'!AR$3,'RES Assumptions T15'!$V$3:$W$35,2,FALSE),'COM Techs T15'!$G$3:$U$3,0))</f>
        <v>0.3</v>
      </c>
      <c r="AS29" s="11">
        <f ca="1">OFFSET('COM Techs T15'!$W30,0,MATCH(VLOOKUP('COM Veda input'!AS$3,'RES Assumptions T15'!$V$3:$W$35,2,FALSE),'COM Techs T15'!$G$3:$U$3,0))</f>
        <v>0.28999999999999998</v>
      </c>
      <c r="AT29" s="11">
        <f ca="1">OFFSET('COM Techs T15'!$W30,0,MATCH(VLOOKUP('COM Veda input'!AT$3,'RES Assumptions T15'!$V$3:$W$35,2,FALSE),'COM Techs T15'!$G$3:$U$3,0))</f>
        <v>0.3</v>
      </c>
      <c r="AU29" s="11">
        <f ca="1">OFFSET('COM Techs T15'!$W30,0,MATCH(VLOOKUP('COM Veda input'!AU$3,'RES Assumptions T15'!$V$3:$W$35,2,FALSE),'COM Techs T15'!$G$3:$U$3,0))</f>
        <v>0.33</v>
      </c>
      <c r="AV29" s="11">
        <f ca="1">OFFSET('COM Techs T15'!$W30,0,MATCH(VLOOKUP('COM Veda input'!AV$3,'RES Assumptions T15'!$V$3:$W$35,2,FALSE),'COM Techs T15'!$G$3:$U$3,0))</f>
        <v>0.3</v>
      </c>
      <c r="AW29" s="11">
        <f ca="1">OFFSET('COM Techs T15'!$W30,0,MATCH(VLOOKUP('COM Veda input'!AW$3,'RES Assumptions T15'!$V$3:$W$35,2,FALSE),'COM Techs T15'!$G$3:$U$3,0))</f>
        <v>0.3</v>
      </c>
      <c r="AX29" s="11">
        <f ca="1">OFFSET('COM Techs T15'!$W30,0,MATCH(VLOOKUP('COM Veda input'!AX$3,'RES Assumptions T15'!$V$3:$W$35,2,FALSE),'COM Techs T15'!$G$3:$U$3,0))</f>
        <v>0.3</v>
      </c>
      <c r="AY29" s="11">
        <f ca="1">OFFSET('COM Techs T15'!$W30,0,MATCH(VLOOKUP('COM Veda input'!AY$3,'RES Assumptions T15'!$V$3:$W$35,2,FALSE),'COM Techs T15'!$G$3:$U$3,0))</f>
        <v>0.3</v>
      </c>
      <c r="AZ29" s="11">
        <f ca="1">OFFSET('COM Techs T15'!$W30,0,MATCH(VLOOKUP('COM Veda input'!AZ$3,'RES Assumptions T15'!$V$3:$W$35,2,FALSE),'COM Techs T15'!$G$3:$U$3,0))</f>
        <v>0.3</v>
      </c>
      <c r="BA29" s="11">
        <f ca="1">OFFSET('COM Techs T15'!$W30,0,MATCH(VLOOKUP('COM Veda input'!BA$3,'RES Assumptions T15'!$V$3:$W$35,2,FALSE),'COM Techs T15'!$G$3:$U$3,0))</f>
        <v>0.3</v>
      </c>
      <c r="BB29" s="11">
        <f ca="1">OFFSET('COM Techs T15'!$W30,0,MATCH(VLOOKUP('COM Veda input'!BB$3,'RES Assumptions T15'!$V$3:$W$35,2,FALSE),'COM Techs T15'!$G$3:$U$3,0))</f>
        <v>0.3</v>
      </c>
      <c r="BC29" s="11">
        <f ca="1">OFFSET('COM Techs T15'!$W30,0,MATCH(VLOOKUP('COM Veda input'!BC$3,'RES Assumptions T15'!$V$3:$W$35,2,FALSE),'COM Techs T15'!$G$3:$U$3,0))</f>
        <v>0.3</v>
      </c>
      <c r="BD29" s="11">
        <f ca="1">OFFSET('COM Techs T15'!$W30,0,MATCH(VLOOKUP('COM Veda input'!BD$3,'RES Assumptions T15'!$V$3:$W$35,2,FALSE),'COM Techs T15'!$G$3:$U$3,0))</f>
        <v>0.3</v>
      </c>
      <c r="BE29" s="11">
        <f ca="1">OFFSET('COM Techs T15'!$W30,0,MATCH(VLOOKUP('COM Veda input'!BE$3,'RES Assumptions T15'!$V$3:$W$35,2,FALSE),'COM Techs T15'!$G$3:$U$3,0))</f>
        <v>0.3</v>
      </c>
      <c r="BF29" s="11">
        <f ca="1">OFFSET('COM Techs T15'!$W30,0,MATCH(VLOOKUP('COM Veda input'!BF$3,'RES Assumptions T15'!$V$3:$W$35,2,FALSE),'COM Techs T15'!$G$3:$U$3,0))</f>
        <v>0.3</v>
      </c>
      <c r="BG29" s="11">
        <f ca="1">OFFSET('COM Techs T15'!$W30,0,MATCH(VLOOKUP('COM Veda input'!BG$3,'RES Assumptions T15'!$V$3:$W$35,2,FALSE),'COM Techs T15'!$G$3:$U$3,0))</f>
        <v>0.3</v>
      </c>
      <c r="BH29" s="11">
        <f ca="1">OFFSET('COM Techs T15'!$W30,0,MATCH(VLOOKUP('COM Veda input'!BH$3,'RES Assumptions T15'!$V$3:$W$35,2,FALSE),'COM Techs T15'!$G$3:$U$3,0))</f>
        <v>0.3</v>
      </c>
      <c r="BI29" s="11">
        <f ca="1">OFFSET('COM Techs T15'!$W30,0,MATCH(VLOOKUP('COM Veda input'!BI$3,'RES Assumptions T15'!$V$3:$W$35,2,FALSE),'COM Techs T15'!$G$3:$U$3,0))</f>
        <v>0.3</v>
      </c>
      <c r="BJ29" s="11">
        <f ca="1">OFFSET('COM Techs T15'!$W30,0,MATCH(VLOOKUP('COM Veda input'!BJ$3,'RES Assumptions T15'!$V$3:$W$35,2,FALSE),'COM Techs T15'!$G$3:$U$3,0))</f>
        <v>0.3</v>
      </c>
      <c r="BK29" s="11">
        <f ca="1">OFFSET('COM Techs T15'!$W30,0,MATCH(VLOOKUP('COM Veda input'!BK$3,'RES Assumptions T15'!$V$3:$W$35,2,FALSE),'COM Techs T15'!$G$3:$U$3,0))</f>
        <v>0.3</v>
      </c>
      <c r="BL29" s="11">
        <f ca="1">OFFSET('COM Techs T15'!$W30,0,MATCH(VLOOKUP('COM Veda input'!BL$3,'RES Assumptions T15'!$V$3:$W$35,2,FALSE),'COM Techs T15'!$G$3:$U$3,0))</f>
        <v>0.3</v>
      </c>
      <c r="BM29" s="11">
        <f ca="1">OFFSET('COM Techs T15'!$W30,0,MATCH(VLOOKUP('COM Veda input'!BM$3,'RES Assumptions T15'!$V$3:$W$35,2,FALSE),'COM Techs T15'!$G$3:$U$3,0))</f>
        <v>0.3</v>
      </c>
      <c r="BN29" s="11">
        <f ca="1">OFFSET('COM Techs T15'!$W30,0,MATCH(VLOOKUP('COM Veda input'!BN$3,'RES Assumptions T15'!$V$3:$W$35,2,FALSE),'COM Techs T15'!$G$3:$U$3,0))</f>
        <v>0.3</v>
      </c>
      <c r="BO29" s="11">
        <f ca="1">OFFSET('COM Techs T15'!$W30,0,MATCH(VLOOKUP('COM Veda input'!BO$3,'RES Assumptions T15'!$V$3:$W$35,2,FALSE),'COM Techs T15'!$G$3:$U$3,0))</f>
        <v>0.3</v>
      </c>
      <c r="BP29" s="11">
        <f ca="1">OFFSET('COM Techs T15'!$W30,0,MATCH(VLOOKUP('COM Veda input'!BP$3,'RES Assumptions T15'!$V$3:$W$35,2,FALSE),'COM Techs T15'!$G$3:$U$3,0))</f>
        <v>0.3</v>
      </c>
      <c r="BQ29">
        <v>3</v>
      </c>
      <c r="BS29" s="8" t="str">
        <f t="shared" si="20"/>
        <v>CSHNHP000</v>
      </c>
      <c r="BT29" s="11">
        <f t="shared" ca="1" si="21"/>
        <v>1.8</v>
      </c>
      <c r="BU29" s="11" t="str">
        <f ca="1">OFFSET('COM Techs T15'!$AO30,0,MATCH(VLOOKUP('COM Veda input'!BU$3,'RES Assumptions T15'!$V$3:$W$35,2,FALSE),'COM Techs T15'!$G$3:$U$3,0))</f>
        <v/>
      </c>
      <c r="BV29" s="11" t="str">
        <f ca="1">OFFSET('COM Techs T15'!$AO30,0,MATCH(VLOOKUP('COM Veda input'!BV$3,'RES Assumptions T15'!$V$3:$W$35,2,FALSE),'COM Techs T15'!$G$3:$U$3,0))</f>
        <v/>
      </c>
      <c r="BW29" s="11">
        <f ca="1">OFFSET('COM Techs T15'!$AO30,0,MATCH(VLOOKUP('COM Veda input'!BW$3,'RES Assumptions T15'!$V$3:$W$35,2,FALSE),'COM Techs T15'!$G$3:$U$3,0))</f>
        <v>2.1</v>
      </c>
      <c r="BX29" s="11" t="str">
        <f ca="1">OFFSET('COM Techs T15'!$AO30,0,MATCH(VLOOKUP('COM Veda input'!BX$3,'RES Assumptions T15'!$V$3:$W$35,2,FALSE),'COM Techs T15'!$G$3:$U$3,0))</f>
        <v/>
      </c>
      <c r="BY29" s="11">
        <f ca="1">OFFSET('COM Techs T15'!$AO30,0,MATCH(VLOOKUP('COM Veda input'!BY$3,'RES Assumptions T15'!$V$3:$W$35,2,FALSE),'COM Techs T15'!$G$3:$U$3,0))</f>
        <v>3</v>
      </c>
      <c r="BZ29" s="11">
        <f ca="1">OFFSET('COM Techs T15'!$AO30,0,MATCH(VLOOKUP('COM Veda input'!BZ$3,'RES Assumptions T15'!$V$3:$W$35,2,FALSE),'COM Techs T15'!$G$3:$U$3,0))</f>
        <v>1.8</v>
      </c>
      <c r="CA29" s="11" t="str">
        <f ca="1">OFFSET('COM Techs T15'!$AO30,0,MATCH(VLOOKUP('COM Veda input'!CA$3,'RES Assumptions T15'!$V$3:$W$35,2,FALSE),'COM Techs T15'!$G$3:$U$3,0))</f>
        <v/>
      </c>
      <c r="CB29" s="11">
        <f ca="1">OFFSET('COM Techs T15'!$AO30,0,MATCH(VLOOKUP('COM Veda input'!CB$3,'RES Assumptions T15'!$V$3:$W$35,2,FALSE),'COM Techs T15'!$G$3:$U$3,0))</f>
        <v>2.1</v>
      </c>
      <c r="CC29" s="11" t="str">
        <f ca="1">OFFSET('COM Techs T15'!$AO30,0,MATCH(VLOOKUP('COM Veda input'!CC$3,'RES Assumptions T15'!$V$3:$W$35,2,FALSE),'COM Techs T15'!$G$3:$U$3,0))</f>
        <v/>
      </c>
      <c r="CD29" s="11">
        <f ca="1">OFFSET('COM Techs T15'!$AO30,0,MATCH(VLOOKUP('COM Veda input'!CD$3,'RES Assumptions T15'!$V$3:$W$35,2,FALSE),'COM Techs T15'!$G$3:$U$3,0))</f>
        <v>1.8</v>
      </c>
      <c r="CE29" s="11" t="str">
        <f ca="1">OFFSET('COM Techs T15'!$AO30,0,MATCH(VLOOKUP('COM Veda input'!CE$3,'RES Assumptions T15'!$V$3:$W$35,2,FALSE),'COM Techs T15'!$G$3:$U$3,0))</f>
        <v/>
      </c>
      <c r="CF29" s="11" t="str">
        <f ca="1">OFFSET('COM Techs T15'!$AO30,0,MATCH(VLOOKUP('COM Veda input'!CF$3,'RES Assumptions T15'!$V$3:$W$35,2,FALSE),'COM Techs T15'!$G$3:$U$3,0))</f>
        <v/>
      </c>
      <c r="CG29" s="11" t="str">
        <f ca="1">OFFSET('COM Techs T15'!$AO30,0,MATCH(VLOOKUP('COM Veda input'!CG$3,'RES Assumptions T15'!$V$3:$W$35,2,FALSE),'COM Techs T15'!$G$3:$U$3,0))</f>
        <v/>
      </c>
      <c r="CH29" s="11" t="str">
        <f ca="1">OFFSET('COM Techs T15'!$AO30,0,MATCH(VLOOKUP('COM Veda input'!CH$3,'RES Assumptions T15'!$V$3:$W$35,2,FALSE),'COM Techs T15'!$G$3:$U$3,0))</f>
        <v/>
      </c>
      <c r="CI29" s="11" t="str">
        <f ca="1">OFFSET('COM Techs T15'!$AO30,0,MATCH(VLOOKUP('COM Veda input'!CI$3,'RES Assumptions T15'!$V$3:$W$35,2,FALSE),'COM Techs T15'!$G$3:$U$3,0))</f>
        <v/>
      </c>
      <c r="CJ29" s="11" t="str">
        <f ca="1">OFFSET('COM Techs T15'!$AO30,0,MATCH(VLOOKUP('COM Veda input'!CJ$3,'RES Assumptions T15'!$V$3:$W$35,2,FALSE),'COM Techs T15'!$G$3:$U$3,0))</f>
        <v/>
      </c>
      <c r="CK29" s="11">
        <f ca="1">OFFSET('COM Techs T15'!$AO30,0,MATCH(VLOOKUP('COM Veda input'!CK$3,'RES Assumptions T15'!$V$3:$W$35,2,FALSE),'COM Techs T15'!$G$3:$U$3,0))</f>
        <v>2.1</v>
      </c>
      <c r="CL29" s="11" t="str">
        <f ca="1">OFFSET('COM Techs T15'!$AO30,0,MATCH(VLOOKUP('COM Veda input'!CL$3,'RES Assumptions T15'!$V$3:$W$35,2,FALSE),'COM Techs T15'!$G$3:$U$3,0))</f>
        <v/>
      </c>
      <c r="CM29" s="11" t="str">
        <f ca="1">OFFSET('COM Techs T15'!$AO30,0,MATCH(VLOOKUP('COM Veda input'!CM$3,'RES Assumptions T15'!$V$3:$W$35,2,FALSE),'COM Techs T15'!$G$3:$U$3,0))</f>
        <v/>
      </c>
      <c r="CN29" s="11">
        <f ca="1">OFFSET('COM Techs T15'!$AO30,0,MATCH(VLOOKUP('COM Veda input'!CN$3,'RES Assumptions T15'!$V$3:$W$35,2,FALSE),'COM Techs T15'!$G$3:$U$3,0))</f>
        <v>1.8</v>
      </c>
      <c r="CO29" s="11">
        <f ca="1">OFFSET('COM Techs T15'!$AO30,0,MATCH(VLOOKUP('COM Veda input'!CO$3,'RES Assumptions T15'!$V$3:$W$35,2,FALSE),'COM Techs T15'!$G$3:$U$3,0))</f>
        <v>2.1</v>
      </c>
      <c r="CP29" s="11">
        <f ca="1">OFFSET('COM Techs T15'!$AO30,0,MATCH(VLOOKUP('COM Veda input'!CP$3,'RES Assumptions T15'!$V$3:$W$35,2,FALSE),'COM Techs T15'!$G$3:$U$3,0))</f>
        <v>2.4</v>
      </c>
      <c r="CQ29" s="11">
        <f ca="1">OFFSET('COM Techs T15'!$AO30,0,MATCH(VLOOKUP('COM Veda input'!CQ$3,'RES Assumptions T15'!$V$3:$W$35,2,FALSE),'COM Techs T15'!$G$3:$U$3,0))</f>
        <v>2.1</v>
      </c>
      <c r="CR29" s="11" t="str">
        <f ca="1">OFFSET('COM Techs T15'!$AO30,0,MATCH(VLOOKUP('COM Veda input'!CR$3,'RES Assumptions T15'!$V$3:$W$35,2,FALSE),'COM Techs T15'!$G$3:$U$3,0))</f>
        <v/>
      </c>
      <c r="CS29" s="11" t="str">
        <f ca="1">OFFSET('COM Techs T15'!$AO30,0,MATCH(VLOOKUP('COM Veda input'!CS$3,'RES Assumptions T15'!$V$3:$W$35,2,FALSE),'COM Techs T15'!$G$3:$U$3,0))</f>
        <v/>
      </c>
      <c r="CT29" s="11">
        <f ca="1">OFFSET('COM Techs T15'!$AO30,0,MATCH(VLOOKUP('COM Veda input'!CT$3,'RES Assumptions T15'!$V$3:$W$35,2,FALSE),'COM Techs T15'!$G$3:$U$3,0))</f>
        <v>2.1</v>
      </c>
      <c r="CU29" s="11" t="str">
        <f ca="1">OFFSET('COM Techs T15'!$AO30,0,MATCH(VLOOKUP('COM Veda input'!CU$3,'RES Assumptions T15'!$V$3:$W$35,2,FALSE),'COM Techs T15'!$G$3:$U$3,0))</f>
        <v/>
      </c>
      <c r="CV29" s="11" t="str">
        <f ca="1">OFFSET('COM Techs T15'!$AO30,0,MATCH(VLOOKUP('COM Veda input'!CV$3,'RES Assumptions T15'!$V$3:$W$35,2,FALSE),'COM Techs T15'!$G$3:$U$3,0))</f>
        <v/>
      </c>
      <c r="CW29" s="11">
        <f ca="1">OFFSET('COM Techs T15'!$AO30,0,MATCH(VLOOKUP('COM Veda input'!CW$3,'RES Assumptions T15'!$V$3:$W$35,2,FALSE),'COM Techs T15'!$G$3:$U$3,0))</f>
        <v>0.4</v>
      </c>
      <c r="CX29" s="11">
        <f ca="1">OFFSET('COM Techs T15'!$AO30,0,MATCH(VLOOKUP('COM Veda input'!CX$3,'RES Assumptions T15'!$V$3:$W$35,2,FALSE),'COM Techs T15'!$G$3:$U$3,0))</f>
        <v>0.4</v>
      </c>
      <c r="CZ29" s="8" t="str">
        <f t="shared" si="22"/>
        <v>CSHNHP000</v>
      </c>
      <c r="DA29" s="10">
        <f ca="1">'COM Assumptions'!E106*G29/'COM Veda input'!AM29</f>
        <v>0</v>
      </c>
      <c r="DB29" s="10">
        <f ca="1">'COM Assumptions'!F106*H29/'COM Veda input'!AN29</f>
        <v>0</v>
      </c>
      <c r="DC29" s="10">
        <f ca="1">'COM Assumptions'!G106*I29/'COM Veda input'!AO29</f>
        <v>0</v>
      </c>
      <c r="DD29" s="10">
        <f ca="1">'COM Assumptions'!H106*J29/'COM Veda input'!AP29</f>
        <v>1.7440034914352414</v>
      </c>
      <c r="DE29" s="10">
        <f ca="1">'COM Assumptions'!I106*K29/'COM Veda input'!AQ29</f>
        <v>4.1992515699950578E-2</v>
      </c>
      <c r="DF29" s="10">
        <f ca="1">'COM Assumptions'!J106*L29/'COM Veda input'!AR29</f>
        <v>3.0625411042364626E-3</v>
      </c>
      <c r="DG29" s="10">
        <f ca="1">'COM Assumptions'!K106*M29/'COM Veda input'!AS29</f>
        <v>0.22265897063201395</v>
      </c>
      <c r="DH29" s="10">
        <f ca="1">'COM Assumptions'!L106*N29/'COM Veda input'!AT29</f>
        <v>0</v>
      </c>
      <c r="DI29" s="10">
        <f ca="1">'COM Assumptions'!M106*O29/'COM Veda input'!AU29</f>
        <v>76.768338411319164</v>
      </c>
      <c r="DJ29" s="10">
        <f ca="1">'COM Assumptions'!N106*P29/'COM Veda input'!AV29</f>
        <v>5.0593228753872413E-2</v>
      </c>
      <c r="DK29" s="10">
        <f ca="1">'COM Assumptions'!O106*Q29/'COM Veda input'!AW29</f>
        <v>4.8791291014614628E-3</v>
      </c>
      <c r="DL29" s="10">
        <f ca="1">'COM Assumptions'!P106*R29/'COM Veda input'!AX29</f>
        <v>6.7614888810580545E-2</v>
      </c>
      <c r="DM29" s="10">
        <f ca="1">'COM Assumptions'!Q106*S29/'COM Veda input'!AY29</f>
        <v>7.3337139730377934E-2</v>
      </c>
      <c r="DN29" s="10">
        <f ca="1">'COM Assumptions'!R106*T29/'COM Veda input'!AZ29</f>
        <v>0.10135707662063483</v>
      </c>
      <c r="DO29" s="10">
        <f ca="1">'COM Assumptions'!S106*U29/'COM Veda input'!BA29</f>
        <v>4.0984152480259488E-2</v>
      </c>
      <c r="DP29" s="10">
        <f ca="1">'COM Assumptions'!T106*V29/'COM Veda input'!BB29</f>
        <v>3.1258562018099567E-2</v>
      </c>
      <c r="DQ29" s="10">
        <f ca="1">'COM Assumptions'!U106*W29/'COM Veda input'!BC29</f>
        <v>7.4326319050611826E-3</v>
      </c>
      <c r="DR29" s="10">
        <f ca="1">'COM Assumptions'!V106*X29/'COM Veda input'!BD29</f>
        <v>8.5023067956110629E-2</v>
      </c>
      <c r="DS29" s="10">
        <f ca="1">'COM Assumptions'!W106*Y29/'COM Veda input'!BE29</f>
        <v>0.13740843876075287</v>
      </c>
      <c r="DT29" s="10">
        <f ca="1">'COM Assumptions'!X106*Z29/'COM Veda input'!BF29</f>
        <v>3.0810289481940027E-2</v>
      </c>
      <c r="DU29" s="10">
        <f ca="1">'COM Assumptions'!Y106*AA29/'COM Veda input'!BG29</f>
        <v>0</v>
      </c>
      <c r="DV29" s="10">
        <f ca="1">'COM Assumptions'!Z106*AB29/'COM Veda input'!BH29</f>
        <v>6.2483404058393118E-4</v>
      </c>
      <c r="DW29" s="10">
        <f ca="1">'COM Assumptions'!AA106*AC29/'COM Veda input'!BI29</f>
        <v>1.7125363443214116E-2</v>
      </c>
      <c r="DX29" s="10">
        <f ca="1">'COM Assumptions'!AB106*AD29/'COM Veda input'!BJ29</f>
        <v>9.6429719225689392E-4</v>
      </c>
      <c r="DY29" s="10">
        <f ca="1">'COM Assumptions'!AC106*AE29/'COM Veda input'!BK29</f>
        <v>1.0465977736956009</v>
      </c>
      <c r="DZ29" s="10">
        <f ca="1">'COM Assumptions'!AD106*AF29/'COM Veda input'!BL29</f>
        <v>0</v>
      </c>
      <c r="EA29" s="10">
        <f ca="1">'COM Assumptions'!AE106*AG29/'COM Veda input'!BM29</f>
        <v>0</v>
      </c>
      <c r="EB29" s="10">
        <f ca="1">'COM Assumptions'!AF106*AH29/'COM Veda input'!BN29</f>
        <v>8.8792229370275214E-2</v>
      </c>
      <c r="EC29" s="10">
        <f ca="1">'COM Assumptions'!AG106*AI29/'COM Veda input'!BO29</f>
        <v>18.358096046924722</v>
      </c>
      <c r="ED29" s="10">
        <f ca="1">'COM Assumptions'!AH106*AJ29/'COM Veda input'!BP29</f>
        <v>0</v>
      </c>
      <c r="EE29" s="8">
        <v>20</v>
      </c>
      <c r="EI29" s="8" t="str">
        <f t="shared" si="23"/>
        <v>CSHNHP000</v>
      </c>
      <c r="EK29" t="s">
        <v>282</v>
      </c>
      <c r="EL29" t="s">
        <v>283</v>
      </c>
    </row>
    <row r="30" spans="1:142" x14ac:dyDescent="0.45">
      <c r="A30" s="37" t="str">
        <f>'COM Assumptions'!B107</f>
        <v>CHW</v>
      </c>
      <c r="B30" s="37" t="s">
        <v>236</v>
      </c>
      <c r="D30" t="s">
        <v>236</v>
      </c>
      <c r="E30" s="8" t="str">
        <f>'COM Assumptions'!A107</f>
        <v>COMBIO</v>
      </c>
      <c r="F30" t="str">
        <f>VLOOKUP('COM Assumptions'!B107,'COM Assumptions'!$AP$81:$AQ$88,2,FALSE)</f>
        <v>CHW</v>
      </c>
      <c r="G30" s="11">
        <f ca="1">OFFSET('COM Techs T15'!$F31,0,MATCH(VLOOKUP('COM Veda input'!G$3,'RES Assumptions T15'!$V$3:$W$35,2,FALSE),'COM Techs T15'!$G$3:$U$3,0))</f>
        <v>0.25</v>
      </c>
      <c r="H30" s="11">
        <f ca="1">OFFSET('COM Techs T15'!$F31,0,MATCH(VLOOKUP('COM Veda input'!H$3,'RES Assumptions T15'!$V$3:$W$35,2,FALSE),'COM Techs T15'!$G$3:$U$3,0))</f>
        <v>0.25</v>
      </c>
      <c r="I30" s="11">
        <f ca="1">OFFSET('COM Techs T15'!$F31,0,MATCH(VLOOKUP('COM Veda input'!I$3,'RES Assumptions T15'!$V$3:$W$35,2,FALSE),'COM Techs T15'!$G$3:$U$3,0))</f>
        <v>0.25</v>
      </c>
      <c r="J30" s="11">
        <f ca="1">OFFSET('COM Techs T15'!$F31,0,MATCH(VLOOKUP('COM Veda input'!J$3,'RES Assumptions T15'!$V$3:$W$35,2,FALSE),'COM Techs T15'!$G$3:$U$3,0))</f>
        <v>0.25</v>
      </c>
      <c r="K30" s="11">
        <f ca="1">OFFSET('COM Techs T15'!$F31,0,MATCH(VLOOKUP('COM Veda input'!K$3,'RES Assumptions T15'!$V$3:$W$35,2,FALSE),'COM Techs T15'!$G$3:$U$3,0))</f>
        <v>0.25</v>
      </c>
      <c r="L30" s="11">
        <f ca="1">OFFSET('COM Techs T15'!$F31,0,MATCH(VLOOKUP('COM Veda input'!L$3,'RES Assumptions T15'!$V$3:$W$35,2,FALSE),'COM Techs T15'!$G$3:$U$3,0))</f>
        <v>0.25</v>
      </c>
      <c r="M30" s="11">
        <f ca="1">OFFSET('COM Techs T15'!$F31,0,MATCH(VLOOKUP('COM Veda input'!M$3,'RES Assumptions T15'!$V$3:$W$35,2,FALSE),'COM Techs T15'!$G$3:$U$3,0))</f>
        <v>0.25</v>
      </c>
      <c r="N30" s="11">
        <f ca="1">OFFSET('COM Techs T15'!$F31,0,MATCH(VLOOKUP('COM Veda input'!N$3,'RES Assumptions T15'!$V$3:$W$35,2,FALSE),'COM Techs T15'!$G$3:$U$3,0))</f>
        <v>0.25</v>
      </c>
      <c r="O30" s="11">
        <f ca="1">OFFSET('COM Techs T15'!$F31,0,MATCH(VLOOKUP('COM Veda input'!O$3,'RES Assumptions T15'!$V$3:$W$35,2,FALSE),'COM Techs T15'!$G$3:$U$3,0))</f>
        <v>0.25</v>
      </c>
      <c r="P30" s="11">
        <f ca="1">OFFSET('COM Techs T15'!$F31,0,MATCH(VLOOKUP('COM Veda input'!P$3,'RES Assumptions T15'!$V$3:$W$35,2,FALSE),'COM Techs T15'!$G$3:$U$3,0))</f>
        <v>0.25</v>
      </c>
      <c r="Q30" s="11">
        <f ca="1">OFFSET('COM Techs T15'!$F31,0,MATCH(VLOOKUP('COM Veda input'!Q$3,'RES Assumptions T15'!$V$3:$W$35,2,FALSE),'COM Techs T15'!$G$3:$U$3,0))</f>
        <v>0.25</v>
      </c>
      <c r="R30" s="11">
        <f ca="1">OFFSET('COM Techs T15'!$F31,0,MATCH(VLOOKUP('COM Veda input'!R$3,'RES Assumptions T15'!$V$3:$W$35,2,FALSE),'COM Techs T15'!$G$3:$U$3,0))</f>
        <v>0.25</v>
      </c>
      <c r="S30" s="11">
        <f ca="1">OFFSET('COM Techs T15'!$F31,0,MATCH(VLOOKUP('COM Veda input'!S$3,'RES Assumptions T15'!$V$3:$W$35,2,FALSE),'COM Techs T15'!$G$3:$U$3,0))</f>
        <v>0.25</v>
      </c>
      <c r="T30" s="11">
        <f ca="1">OFFSET('COM Techs T15'!$F31,0,MATCH(VLOOKUP('COM Veda input'!T$3,'RES Assumptions T15'!$V$3:$W$35,2,FALSE),'COM Techs T15'!$G$3:$U$3,0))</f>
        <v>0.25</v>
      </c>
      <c r="U30" s="11">
        <f ca="1">OFFSET('COM Techs T15'!$F31,0,MATCH(VLOOKUP('COM Veda input'!U$3,'RES Assumptions T15'!$V$3:$W$35,2,FALSE),'COM Techs T15'!$G$3:$U$3,0))</f>
        <v>0.25</v>
      </c>
      <c r="V30" s="11">
        <f ca="1">OFFSET('COM Techs T15'!$F31,0,MATCH(VLOOKUP('COM Veda input'!V$3,'RES Assumptions T15'!$V$3:$W$35,2,FALSE),'COM Techs T15'!$G$3:$U$3,0))</f>
        <v>0.25</v>
      </c>
      <c r="W30" s="11">
        <f ca="1">OFFSET('COM Techs T15'!$F31,0,MATCH(VLOOKUP('COM Veda input'!W$3,'RES Assumptions T15'!$V$3:$W$35,2,FALSE),'COM Techs T15'!$G$3:$U$3,0))</f>
        <v>0.25</v>
      </c>
      <c r="X30" s="11">
        <f ca="1">OFFSET('COM Techs T15'!$F31,0,MATCH(VLOOKUP('COM Veda input'!X$3,'RES Assumptions T15'!$V$3:$W$35,2,FALSE),'COM Techs T15'!$G$3:$U$3,0))</f>
        <v>0.25</v>
      </c>
      <c r="Y30" s="11">
        <f ca="1">OFFSET('COM Techs T15'!$F31,0,MATCH(VLOOKUP('COM Veda input'!Y$3,'RES Assumptions T15'!$V$3:$W$35,2,FALSE),'COM Techs T15'!$G$3:$U$3,0))</f>
        <v>0.25</v>
      </c>
      <c r="Z30" s="11">
        <f ca="1">OFFSET('COM Techs T15'!$F31,0,MATCH(VLOOKUP('COM Veda input'!Z$3,'RES Assumptions T15'!$V$3:$W$35,2,FALSE),'COM Techs T15'!$G$3:$U$3,0))</f>
        <v>0.25</v>
      </c>
      <c r="AA30" s="11">
        <f ca="1">OFFSET('COM Techs T15'!$F31,0,MATCH(VLOOKUP('COM Veda input'!AA$3,'RES Assumptions T15'!$V$3:$W$35,2,FALSE),'COM Techs T15'!$G$3:$U$3,0))</f>
        <v>0.25</v>
      </c>
      <c r="AB30" s="11">
        <f ca="1">OFFSET('COM Techs T15'!$F31,0,MATCH(VLOOKUP('COM Veda input'!AB$3,'RES Assumptions T15'!$V$3:$W$35,2,FALSE),'COM Techs T15'!$G$3:$U$3,0))</f>
        <v>0.25</v>
      </c>
      <c r="AC30" s="11">
        <f ca="1">OFFSET('COM Techs T15'!$F31,0,MATCH(VLOOKUP('COM Veda input'!AC$3,'RES Assumptions T15'!$V$3:$W$35,2,FALSE),'COM Techs T15'!$G$3:$U$3,0))</f>
        <v>0.25</v>
      </c>
      <c r="AD30" s="11">
        <f ca="1">OFFSET('COM Techs T15'!$F31,0,MATCH(VLOOKUP('COM Veda input'!AD$3,'RES Assumptions T15'!$V$3:$W$35,2,FALSE),'COM Techs T15'!$G$3:$U$3,0))</f>
        <v>0.25</v>
      </c>
      <c r="AE30" s="11">
        <f ca="1">OFFSET('COM Techs T15'!$F31,0,MATCH(VLOOKUP('COM Veda input'!AE$3,'RES Assumptions T15'!$V$3:$W$35,2,FALSE),'COM Techs T15'!$G$3:$U$3,0))</f>
        <v>0.25</v>
      </c>
      <c r="AF30" s="11">
        <f ca="1">OFFSET('COM Techs T15'!$F31,0,MATCH(VLOOKUP('COM Veda input'!AF$3,'RES Assumptions T15'!$V$3:$W$35,2,FALSE),'COM Techs T15'!$G$3:$U$3,0))</f>
        <v>0.25</v>
      </c>
      <c r="AG30" s="11">
        <f ca="1">OFFSET('COM Techs T15'!$F31,0,MATCH(VLOOKUP('COM Veda input'!AG$3,'RES Assumptions T15'!$V$3:$W$35,2,FALSE),'COM Techs T15'!$G$3:$U$3,0))</f>
        <v>0.25</v>
      </c>
      <c r="AH30" s="11">
        <f ca="1">OFFSET('COM Techs T15'!$F31,0,MATCH(VLOOKUP('COM Veda input'!AH$3,'RES Assumptions T15'!$V$3:$W$35,2,FALSE),'COM Techs T15'!$G$3:$U$3,0))</f>
        <v>0.25</v>
      </c>
      <c r="AI30" s="11">
        <f ca="1">OFFSET('COM Techs T15'!$F31,0,MATCH(VLOOKUP('COM Veda input'!AI$3,'RES Assumptions T15'!$V$3:$W$35,2,FALSE),'COM Techs T15'!$G$3:$U$3,0))</f>
        <v>0.25</v>
      </c>
      <c r="AJ30" s="11">
        <f ca="1">OFFSET('COM Techs T15'!$F31,0,MATCH(VLOOKUP('COM Veda input'!AJ$3,'RES Assumptions T15'!$V$3:$W$35,2,FALSE),'COM Techs T15'!$G$3:$U$3,0))</f>
        <v>0.25</v>
      </c>
      <c r="AL30" s="8" t="str">
        <f t="shared" si="19"/>
        <v>CHWBIO000</v>
      </c>
      <c r="AM30" s="11">
        <f ca="1">OFFSET('COM Techs T15'!$W31,0,MATCH(VLOOKUP('COM Veda input'!AM$3,'RES Assumptions T15'!$V$3:$W$35,2,FALSE),'COM Techs T15'!$G$3:$U$3,0))</f>
        <v>0.1</v>
      </c>
      <c r="AN30" s="11">
        <f ca="1">OFFSET('COM Techs T15'!$W31,0,MATCH(VLOOKUP('COM Veda input'!AN$3,'RES Assumptions T15'!$V$3:$W$35,2,FALSE),'COM Techs T15'!$G$3:$U$3,0))</f>
        <v>0.1</v>
      </c>
      <c r="AO30" s="11">
        <f ca="1">OFFSET('COM Techs T15'!$W31,0,MATCH(VLOOKUP('COM Veda input'!AO$3,'RES Assumptions T15'!$V$3:$W$35,2,FALSE),'COM Techs T15'!$G$3:$U$3,0))</f>
        <v>0.1</v>
      </c>
      <c r="AP30" s="11">
        <f ca="1">OFFSET('COM Techs T15'!$W31,0,MATCH(VLOOKUP('COM Veda input'!AP$3,'RES Assumptions T15'!$V$3:$W$35,2,FALSE),'COM Techs T15'!$G$3:$U$3,0))</f>
        <v>0.1</v>
      </c>
      <c r="AQ30" s="11">
        <f ca="1">OFFSET('COM Techs T15'!$W31,0,MATCH(VLOOKUP('COM Veda input'!AQ$3,'RES Assumptions T15'!$V$3:$W$35,2,FALSE),'COM Techs T15'!$G$3:$U$3,0))</f>
        <v>0.1</v>
      </c>
      <c r="AR30" s="11">
        <f ca="1">OFFSET('COM Techs T15'!$W31,0,MATCH(VLOOKUP('COM Veda input'!AR$3,'RES Assumptions T15'!$V$3:$W$35,2,FALSE),'COM Techs T15'!$G$3:$U$3,0))</f>
        <v>0.1</v>
      </c>
      <c r="AS30" s="11">
        <f ca="1">OFFSET('COM Techs T15'!$W31,0,MATCH(VLOOKUP('COM Veda input'!AS$3,'RES Assumptions T15'!$V$3:$W$35,2,FALSE),'COM Techs T15'!$G$3:$U$3,0))</f>
        <v>0.1</v>
      </c>
      <c r="AT30" s="11">
        <f ca="1">OFFSET('COM Techs T15'!$W31,0,MATCH(VLOOKUP('COM Veda input'!AT$3,'RES Assumptions T15'!$V$3:$W$35,2,FALSE),'COM Techs T15'!$G$3:$U$3,0))</f>
        <v>0.1</v>
      </c>
      <c r="AU30" s="11">
        <f ca="1">OFFSET('COM Techs T15'!$W31,0,MATCH(VLOOKUP('COM Veda input'!AU$3,'RES Assumptions T15'!$V$3:$W$35,2,FALSE),'COM Techs T15'!$G$3:$U$3,0))</f>
        <v>0.1</v>
      </c>
      <c r="AV30" s="11">
        <f ca="1">OFFSET('COM Techs T15'!$W31,0,MATCH(VLOOKUP('COM Veda input'!AV$3,'RES Assumptions T15'!$V$3:$W$35,2,FALSE),'COM Techs T15'!$G$3:$U$3,0))</f>
        <v>0.1</v>
      </c>
      <c r="AW30" s="11">
        <f ca="1">OFFSET('COM Techs T15'!$W31,0,MATCH(VLOOKUP('COM Veda input'!AW$3,'RES Assumptions T15'!$V$3:$W$35,2,FALSE),'COM Techs T15'!$G$3:$U$3,0))</f>
        <v>0.1</v>
      </c>
      <c r="AX30" s="11">
        <f ca="1">OFFSET('COM Techs T15'!$W31,0,MATCH(VLOOKUP('COM Veda input'!AX$3,'RES Assumptions T15'!$V$3:$W$35,2,FALSE),'COM Techs T15'!$G$3:$U$3,0))</f>
        <v>0.1</v>
      </c>
      <c r="AY30" s="11">
        <f ca="1">OFFSET('COM Techs T15'!$W31,0,MATCH(VLOOKUP('COM Veda input'!AY$3,'RES Assumptions T15'!$V$3:$W$35,2,FALSE),'COM Techs T15'!$G$3:$U$3,0))</f>
        <v>0.1</v>
      </c>
      <c r="AZ30" s="11">
        <f ca="1">OFFSET('COM Techs T15'!$W31,0,MATCH(VLOOKUP('COM Veda input'!AZ$3,'RES Assumptions T15'!$V$3:$W$35,2,FALSE),'COM Techs T15'!$G$3:$U$3,0))</f>
        <v>0.1</v>
      </c>
      <c r="BA30" s="11">
        <f ca="1">OFFSET('COM Techs T15'!$W31,0,MATCH(VLOOKUP('COM Veda input'!BA$3,'RES Assumptions T15'!$V$3:$W$35,2,FALSE),'COM Techs T15'!$G$3:$U$3,0))</f>
        <v>0.1</v>
      </c>
      <c r="BB30" s="11">
        <f ca="1">OFFSET('COM Techs T15'!$W31,0,MATCH(VLOOKUP('COM Veda input'!BB$3,'RES Assumptions T15'!$V$3:$W$35,2,FALSE),'COM Techs T15'!$G$3:$U$3,0))</f>
        <v>0.1</v>
      </c>
      <c r="BC30" s="11">
        <f ca="1">OFFSET('COM Techs T15'!$W31,0,MATCH(VLOOKUP('COM Veda input'!BC$3,'RES Assumptions T15'!$V$3:$W$35,2,FALSE),'COM Techs T15'!$G$3:$U$3,0))</f>
        <v>0.1</v>
      </c>
      <c r="BD30" s="11">
        <f ca="1">OFFSET('COM Techs T15'!$W31,0,MATCH(VLOOKUP('COM Veda input'!BD$3,'RES Assumptions T15'!$V$3:$W$35,2,FALSE),'COM Techs T15'!$G$3:$U$3,0))</f>
        <v>0.1</v>
      </c>
      <c r="BE30" s="11">
        <f ca="1">OFFSET('COM Techs T15'!$W31,0,MATCH(VLOOKUP('COM Veda input'!BE$3,'RES Assumptions T15'!$V$3:$W$35,2,FALSE),'COM Techs T15'!$G$3:$U$3,0))</f>
        <v>0.1</v>
      </c>
      <c r="BF30" s="11">
        <f ca="1">OFFSET('COM Techs T15'!$W31,0,MATCH(VLOOKUP('COM Veda input'!BF$3,'RES Assumptions T15'!$V$3:$W$35,2,FALSE),'COM Techs T15'!$G$3:$U$3,0))</f>
        <v>0.1</v>
      </c>
      <c r="BG30" s="11">
        <f ca="1">OFFSET('COM Techs T15'!$W31,0,MATCH(VLOOKUP('COM Veda input'!BG$3,'RES Assumptions T15'!$V$3:$W$35,2,FALSE),'COM Techs T15'!$G$3:$U$3,0))</f>
        <v>0.1</v>
      </c>
      <c r="BH30" s="11">
        <f ca="1">OFFSET('COM Techs T15'!$W31,0,MATCH(VLOOKUP('COM Veda input'!BH$3,'RES Assumptions T15'!$V$3:$W$35,2,FALSE),'COM Techs T15'!$G$3:$U$3,0))</f>
        <v>0.1</v>
      </c>
      <c r="BI30" s="11">
        <f ca="1">OFFSET('COM Techs T15'!$W31,0,MATCH(VLOOKUP('COM Veda input'!BI$3,'RES Assumptions T15'!$V$3:$W$35,2,FALSE),'COM Techs T15'!$G$3:$U$3,0))</f>
        <v>0.1</v>
      </c>
      <c r="BJ30" s="11">
        <f ca="1">OFFSET('COM Techs T15'!$W31,0,MATCH(VLOOKUP('COM Veda input'!BJ$3,'RES Assumptions T15'!$V$3:$W$35,2,FALSE),'COM Techs T15'!$G$3:$U$3,0))</f>
        <v>0.1</v>
      </c>
      <c r="BK30" s="11">
        <f ca="1">OFFSET('COM Techs T15'!$W31,0,MATCH(VLOOKUP('COM Veda input'!BK$3,'RES Assumptions T15'!$V$3:$W$35,2,FALSE),'COM Techs T15'!$G$3:$U$3,0))</f>
        <v>0.1</v>
      </c>
      <c r="BL30" s="11">
        <f ca="1">OFFSET('COM Techs T15'!$W31,0,MATCH(VLOOKUP('COM Veda input'!BL$3,'RES Assumptions T15'!$V$3:$W$35,2,FALSE),'COM Techs T15'!$G$3:$U$3,0))</f>
        <v>0.1</v>
      </c>
      <c r="BM30" s="11">
        <f ca="1">OFFSET('COM Techs T15'!$W31,0,MATCH(VLOOKUP('COM Veda input'!BM$3,'RES Assumptions T15'!$V$3:$W$35,2,FALSE),'COM Techs T15'!$G$3:$U$3,0))</f>
        <v>0.1</v>
      </c>
      <c r="BN30" s="11">
        <f ca="1">OFFSET('COM Techs T15'!$W31,0,MATCH(VLOOKUP('COM Veda input'!BN$3,'RES Assumptions T15'!$V$3:$W$35,2,FALSE),'COM Techs T15'!$G$3:$U$3,0))</f>
        <v>0.1</v>
      </c>
      <c r="BO30" s="11">
        <f ca="1">OFFSET('COM Techs T15'!$W31,0,MATCH(VLOOKUP('COM Veda input'!BO$3,'RES Assumptions T15'!$V$3:$W$35,2,FALSE),'COM Techs T15'!$G$3:$U$3,0))</f>
        <v>0.1</v>
      </c>
      <c r="BP30" s="11">
        <f ca="1">OFFSET('COM Techs T15'!$W31,0,MATCH(VLOOKUP('COM Veda input'!BP$3,'RES Assumptions T15'!$V$3:$W$35,2,FALSE),'COM Techs T15'!$G$3:$U$3,0))</f>
        <v>0.1</v>
      </c>
      <c r="BQ30">
        <v>3</v>
      </c>
      <c r="BS30" s="8" t="str">
        <f t="shared" si="20"/>
        <v>CHWBIO000</v>
      </c>
      <c r="BT30" s="11">
        <f t="shared" ca="1" si="21"/>
        <v>3.6</v>
      </c>
      <c r="BU30" s="11" t="str">
        <f ca="1">OFFSET('COM Techs T15'!$AO31,0,MATCH(VLOOKUP('COM Veda input'!BU$3,'RES Assumptions T15'!$V$3:$W$35,2,FALSE),'COM Techs T15'!$G$3:$U$3,0))</f>
        <v/>
      </c>
      <c r="BV30" s="11" t="str">
        <f ca="1">OFFSET('COM Techs T15'!$AO31,0,MATCH(VLOOKUP('COM Veda input'!BV$3,'RES Assumptions T15'!$V$3:$W$35,2,FALSE),'COM Techs T15'!$G$3:$U$3,0))</f>
        <v/>
      </c>
      <c r="BW30" s="11">
        <f ca="1">OFFSET('COM Techs T15'!$AO31,0,MATCH(VLOOKUP('COM Veda input'!BW$3,'RES Assumptions T15'!$V$3:$W$35,2,FALSE),'COM Techs T15'!$G$3:$U$3,0))</f>
        <v>4.2</v>
      </c>
      <c r="BX30" s="11" t="str">
        <f ca="1">OFFSET('COM Techs T15'!$AO31,0,MATCH(VLOOKUP('COM Veda input'!BX$3,'RES Assumptions T15'!$V$3:$W$35,2,FALSE),'COM Techs T15'!$G$3:$U$3,0))</f>
        <v/>
      </c>
      <c r="BY30" s="11">
        <f ca="1">OFFSET('COM Techs T15'!$AO31,0,MATCH(VLOOKUP('COM Veda input'!BY$3,'RES Assumptions T15'!$V$3:$W$35,2,FALSE),'COM Techs T15'!$G$3:$U$3,0))</f>
        <v>6</v>
      </c>
      <c r="BZ30" s="11">
        <f ca="1">OFFSET('COM Techs T15'!$AO31,0,MATCH(VLOOKUP('COM Veda input'!BZ$3,'RES Assumptions T15'!$V$3:$W$35,2,FALSE),'COM Techs T15'!$G$3:$U$3,0))</f>
        <v>3.6</v>
      </c>
      <c r="CA30" s="11">
        <f ca="1">OFFSET('COM Techs T15'!$AO31,0,MATCH(VLOOKUP('COM Veda input'!CA$3,'RES Assumptions T15'!$V$3:$W$35,2,FALSE),'COM Techs T15'!$G$3:$U$3,0))</f>
        <v>4.8</v>
      </c>
      <c r="CB30" s="11">
        <f ca="1">OFFSET('COM Techs T15'!$AO31,0,MATCH(VLOOKUP('COM Veda input'!CB$3,'RES Assumptions T15'!$V$3:$W$35,2,FALSE),'COM Techs T15'!$G$3:$U$3,0))</f>
        <v>4.2</v>
      </c>
      <c r="CC30" s="11">
        <f ca="1">OFFSET('COM Techs T15'!$AO31,0,MATCH(VLOOKUP('COM Veda input'!CC$3,'RES Assumptions T15'!$V$3:$W$35,2,FALSE),'COM Techs T15'!$G$3:$U$3,0))</f>
        <v>6</v>
      </c>
      <c r="CD30" s="11">
        <f ca="1">OFFSET('COM Techs T15'!$AO31,0,MATCH(VLOOKUP('COM Veda input'!CD$3,'RES Assumptions T15'!$V$3:$W$35,2,FALSE),'COM Techs T15'!$G$3:$U$3,0))</f>
        <v>3.6</v>
      </c>
      <c r="CE30" s="11" t="str">
        <f ca="1">OFFSET('COM Techs T15'!$AO31,0,MATCH(VLOOKUP('COM Veda input'!CE$3,'RES Assumptions T15'!$V$3:$W$35,2,FALSE),'COM Techs T15'!$G$3:$U$3,0))</f>
        <v/>
      </c>
      <c r="CF30" s="11" t="str">
        <f ca="1">OFFSET('COM Techs T15'!$AO31,0,MATCH(VLOOKUP('COM Veda input'!CF$3,'RES Assumptions T15'!$V$3:$W$35,2,FALSE),'COM Techs T15'!$G$3:$U$3,0))</f>
        <v/>
      </c>
      <c r="CG30" s="11" t="str">
        <f ca="1">OFFSET('COM Techs T15'!$AO31,0,MATCH(VLOOKUP('COM Veda input'!CG$3,'RES Assumptions T15'!$V$3:$W$35,2,FALSE),'COM Techs T15'!$G$3:$U$3,0))</f>
        <v/>
      </c>
      <c r="CH30" s="11" t="str">
        <f ca="1">OFFSET('COM Techs T15'!$AO31,0,MATCH(VLOOKUP('COM Veda input'!CH$3,'RES Assumptions T15'!$V$3:$W$35,2,FALSE),'COM Techs T15'!$G$3:$U$3,0))</f>
        <v/>
      </c>
      <c r="CI30" s="11" t="str">
        <f ca="1">OFFSET('COM Techs T15'!$AO31,0,MATCH(VLOOKUP('COM Veda input'!CI$3,'RES Assumptions T15'!$V$3:$W$35,2,FALSE),'COM Techs T15'!$G$3:$U$3,0))</f>
        <v/>
      </c>
      <c r="CJ30" s="11" t="str">
        <f ca="1">OFFSET('COM Techs T15'!$AO31,0,MATCH(VLOOKUP('COM Veda input'!CJ$3,'RES Assumptions T15'!$V$3:$W$35,2,FALSE),'COM Techs T15'!$G$3:$U$3,0))</f>
        <v/>
      </c>
      <c r="CK30" s="11">
        <f ca="1">OFFSET('COM Techs T15'!$AO31,0,MATCH(VLOOKUP('COM Veda input'!CK$3,'RES Assumptions T15'!$V$3:$W$35,2,FALSE),'COM Techs T15'!$G$3:$U$3,0))</f>
        <v>4.2</v>
      </c>
      <c r="CL30" s="11" t="str">
        <f ca="1">OFFSET('COM Techs T15'!$AO31,0,MATCH(VLOOKUP('COM Veda input'!CL$3,'RES Assumptions T15'!$V$3:$W$35,2,FALSE),'COM Techs T15'!$G$3:$U$3,0))</f>
        <v/>
      </c>
      <c r="CM30" s="11" t="str">
        <f ca="1">OFFSET('COM Techs T15'!$AO31,0,MATCH(VLOOKUP('COM Veda input'!CM$3,'RES Assumptions T15'!$V$3:$W$35,2,FALSE),'COM Techs T15'!$G$3:$U$3,0))</f>
        <v/>
      </c>
      <c r="CN30" s="11">
        <f ca="1">OFFSET('COM Techs T15'!$AO31,0,MATCH(VLOOKUP('COM Veda input'!CN$3,'RES Assumptions T15'!$V$3:$W$35,2,FALSE),'COM Techs T15'!$G$3:$U$3,0))</f>
        <v>3.6</v>
      </c>
      <c r="CO30" s="11">
        <f ca="1">OFFSET('COM Techs T15'!$AO31,0,MATCH(VLOOKUP('COM Veda input'!CO$3,'RES Assumptions T15'!$V$3:$W$35,2,FALSE),'COM Techs T15'!$G$3:$U$3,0))</f>
        <v>4.2</v>
      </c>
      <c r="CP30" s="11">
        <f ca="1">OFFSET('COM Techs T15'!$AO31,0,MATCH(VLOOKUP('COM Veda input'!CP$3,'RES Assumptions T15'!$V$3:$W$35,2,FALSE),'COM Techs T15'!$G$3:$U$3,0))</f>
        <v>4.8</v>
      </c>
      <c r="CQ30" s="11">
        <f ca="1">OFFSET('COM Techs T15'!$AO31,0,MATCH(VLOOKUP('COM Veda input'!CQ$3,'RES Assumptions T15'!$V$3:$W$35,2,FALSE),'COM Techs T15'!$G$3:$U$3,0))</f>
        <v>4.2</v>
      </c>
      <c r="CR30" s="11" t="str">
        <f ca="1">OFFSET('COM Techs T15'!$AO31,0,MATCH(VLOOKUP('COM Veda input'!CR$3,'RES Assumptions T15'!$V$3:$W$35,2,FALSE),'COM Techs T15'!$G$3:$U$3,0))</f>
        <v/>
      </c>
      <c r="CS30" s="11" t="str">
        <f ca="1">OFFSET('COM Techs T15'!$AO31,0,MATCH(VLOOKUP('COM Veda input'!CS$3,'RES Assumptions T15'!$V$3:$W$35,2,FALSE),'COM Techs T15'!$G$3:$U$3,0))</f>
        <v/>
      </c>
      <c r="CT30" s="11">
        <f ca="1">OFFSET('COM Techs T15'!$AO31,0,MATCH(VLOOKUP('COM Veda input'!CT$3,'RES Assumptions T15'!$V$3:$W$35,2,FALSE),'COM Techs T15'!$G$3:$U$3,0))</f>
        <v>4.2</v>
      </c>
      <c r="CU30" s="11" t="str">
        <f ca="1">OFFSET('COM Techs T15'!$AO31,0,MATCH(VLOOKUP('COM Veda input'!CU$3,'RES Assumptions T15'!$V$3:$W$35,2,FALSE),'COM Techs T15'!$G$3:$U$3,0))</f>
        <v/>
      </c>
      <c r="CV30" s="11" t="str">
        <f ca="1">OFFSET('COM Techs T15'!$AO31,0,MATCH(VLOOKUP('COM Veda input'!CV$3,'RES Assumptions T15'!$V$3:$W$35,2,FALSE),'COM Techs T15'!$G$3:$U$3,0))</f>
        <v/>
      </c>
      <c r="CW30" s="11">
        <f ca="1">OFFSET('COM Techs T15'!$AO31,0,MATCH(VLOOKUP('COM Veda input'!CW$3,'RES Assumptions T15'!$V$3:$W$35,2,FALSE),'COM Techs T15'!$G$3:$U$3,0))</f>
        <v>6</v>
      </c>
      <c r="CX30" s="11">
        <f ca="1">OFFSET('COM Techs T15'!$AO31,0,MATCH(VLOOKUP('COM Veda input'!CX$3,'RES Assumptions T15'!$V$3:$W$35,2,FALSE),'COM Techs T15'!$G$3:$U$3,0))</f>
        <v>6</v>
      </c>
      <c r="CZ30" s="8" t="str">
        <f t="shared" si="22"/>
        <v>CHWBIO000</v>
      </c>
      <c r="DA30" s="10">
        <f ca="1">'COM Assumptions'!E107*G30/'COM Veda input'!AM30</f>
        <v>14.088330792000001</v>
      </c>
      <c r="DB30" s="10">
        <f ca="1">'COM Assumptions'!F107*H30/'COM Veda input'!AN30</f>
        <v>160.60478551919999</v>
      </c>
      <c r="DC30" s="10">
        <f ca="1">'COM Assumptions'!G107*I30/'COM Veda input'!AO30</f>
        <v>3.4771541471999998</v>
      </c>
      <c r="DD30" s="10">
        <f ca="1">'COM Assumptions'!H107*J30/'COM Veda input'!AP30</f>
        <v>0</v>
      </c>
      <c r="DE30" s="10">
        <f ca="1">'COM Assumptions'!I107*K30/'COM Veda input'!AQ30</f>
        <v>0</v>
      </c>
      <c r="DF30" s="10">
        <f ca="1">'COM Assumptions'!J107*L30/'COM Veda input'!AR30</f>
        <v>51.697344079799997</v>
      </c>
      <c r="DG30" s="10">
        <f ca="1">'COM Assumptions'!K107*M30/'COM Veda input'!AS30</f>
        <v>5.8124821049999997E-2</v>
      </c>
      <c r="DH30" s="10">
        <f ca="1">'COM Assumptions'!L107*N30/'COM Veda input'!AT30</f>
        <v>3.4512022673999998</v>
      </c>
      <c r="DI30" s="10">
        <f ca="1">'COM Assumptions'!M107*O30/'COM Veda input'!AU30</f>
        <v>0</v>
      </c>
      <c r="DJ30" s="10">
        <f ca="1">'COM Assumptions'!N107*P30/'COM Veda input'!AV30</f>
        <v>8.7534474299999998E-2</v>
      </c>
      <c r="DK30" s="10">
        <f ca="1">'COM Assumptions'!O107*Q30/'COM Veda input'!AW30</f>
        <v>0</v>
      </c>
      <c r="DL30" s="10">
        <f ca="1">'COM Assumptions'!P107*R30/'COM Veda input'!AX30</f>
        <v>0</v>
      </c>
      <c r="DM30" s="10">
        <f ca="1">'COM Assumptions'!Q107*S30/'COM Veda input'!AY30</f>
        <v>0</v>
      </c>
      <c r="DN30" s="10">
        <f ca="1">'COM Assumptions'!R107*T30/'COM Veda input'!AZ30</f>
        <v>0</v>
      </c>
      <c r="DO30" s="10">
        <f ca="1">'COM Assumptions'!S107*U30/'COM Veda input'!BA30</f>
        <v>0</v>
      </c>
      <c r="DP30" s="10">
        <f ca="1">'COM Assumptions'!T107*V30/'COM Veda input'!BB30</f>
        <v>0</v>
      </c>
      <c r="DQ30" s="10">
        <f ca="1">'COM Assumptions'!U107*W30/'COM Veda input'!BC30</f>
        <v>0</v>
      </c>
      <c r="DR30" s="10">
        <f ca="1">'COM Assumptions'!V107*X30/'COM Veda input'!BD30</f>
        <v>0</v>
      </c>
      <c r="DS30" s="10">
        <f ca="1">'COM Assumptions'!W107*Y30/'COM Veda input'!BE30</f>
        <v>0</v>
      </c>
      <c r="DT30" s="10">
        <f ca="1">'COM Assumptions'!X107*Z30/'COM Veda input'!BF30</f>
        <v>54.8719998336</v>
      </c>
      <c r="DU30" s="10">
        <f ca="1">'COM Assumptions'!Y107*AA30/'COM Veda input'!BG30</f>
        <v>12.5561838924</v>
      </c>
      <c r="DV30" s="10">
        <f ca="1">'COM Assumptions'!Z107*AB30/'COM Veda input'!BH30</f>
        <v>0</v>
      </c>
      <c r="DW30" s="10">
        <f ca="1">'COM Assumptions'!AA107*AC30/'COM Veda input'!BI30</f>
        <v>0</v>
      </c>
      <c r="DX30" s="10">
        <f ca="1">'COM Assumptions'!AB107*AD30/'COM Veda input'!BJ30</f>
        <v>0</v>
      </c>
      <c r="DY30" s="10">
        <f ca="1">'COM Assumptions'!AC107*AE30/'COM Veda input'!BK30</f>
        <v>0</v>
      </c>
      <c r="DZ30" s="10">
        <f ca="1">'COM Assumptions'!AD107*AF30/'COM Veda input'!BL30</f>
        <v>0</v>
      </c>
      <c r="EA30" s="10">
        <f ca="1">'COM Assumptions'!AE107*AG30/'COM Veda input'!BM30</f>
        <v>0</v>
      </c>
      <c r="EB30" s="10">
        <f ca="1">'COM Assumptions'!AF107*AH30/'COM Veda input'!BN30</f>
        <v>0</v>
      </c>
      <c r="EC30" s="10">
        <f ca="1">'COM Assumptions'!AG107*AI30/'COM Veda input'!BO30</f>
        <v>0</v>
      </c>
      <c r="ED30" s="10">
        <f ca="1">'COM Assumptions'!AH107*AJ30/'COM Veda input'!BP30</f>
        <v>0</v>
      </c>
      <c r="EE30" s="8">
        <v>20</v>
      </c>
      <c r="EI30" s="8" t="str">
        <f t="shared" si="23"/>
        <v>CHWBIO000</v>
      </c>
      <c r="EK30" t="s">
        <v>282</v>
      </c>
      <c r="EL30" t="s">
        <v>283</v>
      </c>
    </row>
    <row r="31" spans="1:142" x14ac:dyDescent="0.45">
      <c r="A31" s="37" t="str">
        <f>'COM Assumptions'!B108</f>
        <v>CHW</v>
      </c>
      <c r="B31" s="37" t="s">
        <v>237</v>
      </c>
      <c r="D31" t="s">
        <v>237</v>
      </c>
      <c r="E31" s="8" t="str">
        <f>'COM Assumptions'!A108</f>
        <v>COMCOA</v>
      </c>
      <c r="F31" t="str">
        <f>VLOOKUP('COM Assumptions'!B108,'COM Assumptions'!$AP$81:$AQ$88,2,FALSE)</f>
        <v>CHW</v>
      </c>
      <c r="G31" s="11">
        <f ca="1">OFFSET('COM Techs T15'!$F32,0,MATCH(VLOOKUP('COM Veda input'!G$3,'RES Assumptions T15'!$V$3:$W$35,2,FALSE),'COM Techs T15'!$G$3:$U$3,0))</f>
        <v>0.64</v>
      </c>
      <c r="H31" s="11">
        <f ca="1">OFFSET('COM Techs T15'!$F32,0,MATCH(VLOOKUP('COM Veda input'!H$3,'RES Assumptions T15'!$V$3:$W$35,2,FALSE),'COM Techs T15'!$G$3:$U$3,0))</f>
        <v>0.64</v>
      </c>
      <c r="I31" s="11">
        <f ca="1">OFFSET('COM Techs T15'!$F32,0,MATCH(VLOOKUP('COM Veda input'!I$3,'RES Assumptions T15'!$V$3:$W$35,2,FALSE),'COM Techs T15'!$G$3:$U$3,0))</f>
        <v>0.64</v>
      </c>
      <c r="J31" s="11">
        <f ca="1">OFFSET('COM Techs T15'!$F32,0,MATCH(VLOOKUP('COM Veda input'!J$3,'RES Assumptions T15'!$V$3:$W$35,2,FALSE),'COM Techs T15'!$G$3:$U$3,0))</f>
        <v>0.64</v>
      </c>
      <c r="K31" s="11">
        <f ca="1">OFFSET('COM Techs T15'!$F32,0,MATCH(VLOOKUP('COM Veda input'!K$3,'RES Assumptions T15'!$V$3:$W$35,2,FALSE),'COM Techs T15'!$G$3:$U$3,0))</f>
        <v>0.64</v>
      </c>
      <c r="L31" s="11">
        <f ca="1">OFFSET('COM Techs T15'!$F32,0,MATCH(VLOOKUP('COM Veda input'!L$3,'RES Assumptions T15'!$V$3:$W$35,2,FALSE),'COM Techs T15'!$G$3:$U$3,0))</f>
        <v>0.64</v>
      </c>
      <c r="M31" s="11">
        <f ca="1">OFFSET('COM Techs T15'!$F32,0,MATCH(VLOOKUP('COM Veda input'!M$3,'RES Assumptions T15'!$V$3:$W$35,2,FALSE),'COM Techs T15'!$G$3:$U$3,0))</f>
        <v>0.64</v>
      </c>
      <c r="N31" s="11">
        <f ca="1">OFFSET('COM Techs T15'!$F32,0,MATCH(VLOOKUP('COM Veda input'!N$3,'RES Assumptions T15'!$V$3:$W$35,2,FALSE),'COM Techs T15'!$G$3:$U$3,0))</f>
        <v>0.64</v>
      </c>
      <c r="O31" s="11">
        <f ca="1">OFFSET('COM Techs T15'!$F32,0,MATCH(VLOOKUP('COM Veda input'!O$3,'RES Assumptions T15'!$V$3:$W$35,2,FALSE),'COM Techs T15'!$G$3:$U$3,0))</f>
        <v>0.64</v>
      </c>
      <c r="P31" s="11">
        <f ca="1">OFFSET('COM Techs T15'!$F32,0,MATCH(VLOOKUP('COM Veda input'!P$3,'RES Assumptions T15'!$V$3:$W$35,2,FALSE),'COM Techs T15'!$G$3:$U$3,0))</f>
        <v>0.64</v>
      </c>
      <c r="Q31" s="11">
        <f ca="1">OFFSET('COM Techs T15'!$F32,0,MATCH(VLOOKUP('COM Veda input'!Q$3,'RES Assumptions T15'!$V$3:$W$35,2,FALSE),'COM Techs T15'!$G$3:$U$3,0))</f>
        <v>0.64</v>
      </c>
      <c r="R31" s="11">
        <f ca="1">OFFSET('COM Techs T15'!$F32,0,MATCH(VLOOKUP('COM Veda input'!R$3,'RES Assumptions T15'!$V$3:$W$35,2,FALSE),'COM Techs T15'!$G$3:$U$3,0))</f>
        <v>0.64</v>
      </c>
      <c r="S31" s="11">
        <f ca="1">OFFSET('COM Techs T15'!$F32,0,MATCH(VLOOKUP('COM Veda input'!S$3,'RES Assumptions T15'!$V$3:$W$35,2,FALSE),'COM Techs T15'!$G$3:$U$3,0))</f>
        <v>0.64</v>
      </c>
      <c r="T31" s="11">
        <f ca="1">OFFSET('COM Techs T15'!$F32,0,MATCH(VLOOKUP('COM Veda input'!T$3,'RES Assumptions T15'!$V$3:$W$35,2,FALSE),'COM Techs T15'!$G$3:$U$3,0))</f>
        <v>0.64</v>
      </c>
      <c r="U31" s="11">
        <f ca="1">OFFSET('COM Techs T15'!$F32,0,MATCH(VLOOKUP('COM Veda input'!U$3,'RES Assumptions T15'!$V$3:$W$35,2,FALSE),'COM Techs T15'!$G$3:$U$3,0))</f>
        <v>0.64</v>
      </c>
      <c r="V31" s="11">
        <f ca="1">OFFSET('COM Techs T15'!$F32,0,MATCH(VLOOKUP('COM Veda input'!V$3,'RES Assumptions T15'!$V$3:$W$35,2,FALSE),'COM Techs T15'!$G$3:$U$3,0))</f>
        <v>0.64</v>
      </c>
      <c r="W31" s="11">
        <f ca="1">OFFSET('COM Techs T15'!$F32,0,MATCH(VLOOKUP('COM Veda input'!W$3,'RES Assumptions T15'!$V$3:$W$35,2,FALSE),'COM Techs T15'!$G$3:$U$3,0))</f>
        <v>0.64</v>
      </c>
      <c r="X31" s="11">
        <f ca="1">OFFSET('COM Techs T15'!$F32,0,MATCH(VLOOKUP('COM Veda input'!X$3,'RES Assumptions T15'!$V$3:$W$35,2,FALSE),'COM Techs T15'!$G$3:$U$3,0))</f>
        <v>0.64</v>
      </c>
      <c r="Y31" s="11">
        <f ca="1">OFFSET('COM Techs T15'!$F32,0,MATCH(VLOOKUP('COM Veda input'!Y$3,'RES Assumptions T15'!$V$3:$W$35,2,FALSE),'COM Techs T15'!$G$3:$U$3,0))</f>
        <v>0.64</v>
      </c>
      <c r="Z31" s="11">
        <f ca="1">OFFSET('COM Techs T15'!$F32,0,MATCH(VLOOKUP('COM Veda input'!Z$3,'RES Assumptions T15'!$V$3:$W$35,2,FALSE),'COM Techs T15'!$G$3:$U$3,0))</f>
        <v>0.64</v>
      </c>
      <c r="AA31" s="11">
        <f ca="1">OFFSET('COM Techs T15'!$F32,0,MATCH(VLOOKUP('COM Veda input'!AA$3,'RES Assumptions T15'!$V$3:$W$35,2,FALSE),'COM Techs T15'!$G$3:$U$3,0))</f>
        <v>0.64</v>
      </c>
      <c r="AB31" s="11">
        <f ca="1">OFFSET('COM Techs T15'!$F32,0,MATCH(VLOOKUP('COM Veda input'!AB$3,'RES Assumptions T15'!$V$3:$W$35,2,FALSE),'COM Techs T15'!$G$3:$U$3,0))</f>
        <v>0.64</v>
      </c>
      <c r="AC31" s="11">
        <f ca="1">OFFSET('COM Techs T15'!$F32,0,MATCH(VLOOKUP('COM Veda input'!AC$3,'RES Assumptions T15'!$V$3:$W$35,2,FALSE),'COM Techs T15'!$G$3:$U$3,0))</f>
        <v>0.64</v>
      </c>
      <c r="AD31" s="11">
        <f ca="1">OFFSET('COM Techs T15'!$F32,0,MATCH(VLOOKUP('COM Veda input'!AD$3,'RES Assumptions T15'!$V$3:$W$35,2,FALSE),'COM Techs T15'!$G$3:$U$3,0))</f>
        <v>0.64</v>
      </c>
      <c r="AE31" s="11">
        <f ca="1">OFFSET('COM Techs T15'!$F32,0,MATCH(VLOOKUP('COM Veda input'!AE$3,'RES Assumptions T15'!$V$3:$W$35,2,FALSE),'COM Techs T15'!$G$3:$U$3,0))</f>
        <v>0.64</v>
      </c>
      <c r="AF31" s="11">
        <f ca="1">OFFSET('COM Techs T15'!$F32,0,MATCH(VLOOKUP('COM Veda input'!AF$3,'RES Assumptions T15'!$V$3:$W$35,2,FALSE),'COM Techs T15'!$G$3:$U$3,0))</f>
        <v>0.64</v>
      </c>
      <c r="AG31" s="11">
        <f ca="1">OFFSET('COM Techs T15'!$F32,0,MATCH(VLOOKUP('COM Veda input'!AG$3,'RES Assumptions T15'!$V$3:$W$35,2,FALSE),'COM Techs T15'!$G$3:$U$3,0))</f>
        <v>0.64</v>
      </c>
      <c r="AH31" s="11">
        <f ca="1">OFFSET('COM Techs T15'!$F32,0,MATCH(VLOOKUP('COM Veda input'!AH$3,'RES Assumptions T15'!$V$3:$W$35,2,FALSE),'COM Techs T15'!$G$3:$U$3,0))</f>
        <v>0.64</v>
      </c>
      <c r="AI31" s="11">
        <f ca="1">OFFSET('COM Techs T15'!$F32,0,MATCH(VLOOKUP('COM Veda input'!AI$3,'RES Assumptions T15'!$V$3:$W$35,2,FALSE),'COM Techs T15'!$G$3:$U$3,0))</f>
        <v>0.64</v>
      </c>
      <c r="AJ31" s="11">
        <f ca="1">OFFSET('COM Techs T15'!$F32,0,MATCH(VLOOKUP('COM Veda input'!AJ$3,'RES Assumptions T15'!$V$3:$W$35,2,FALSE),'COM Techs T15'!$G$3:$U$3,0))</f>
        <v>0.64</v>
      </c>
      <c r="AL31" s="8" t="str">
        <f t="shared" si="19"/>
        <v>CHWCOA000</v>
      </c>
      <c r="AM31" s="11">
        <f ca="1">OFFSET('COM Techs T15'!$W32,0,MATCH(VLOOKUP('COM Veda input'!AM$3,'RES Assumptions T15'!$V$3:$W$35,2,FALSE),'COM Techs T15'!$G$3:$U$3,0))</f>
        <v>0.1</v>
      </c>
      <c r="AN31" s="11">
        <f ca="1">OFFSET('COM Techs T15'!$W32,0,MATCH(VLOOKUP('COM Veda input'!AN$3,'RES Assumptions T15'!$V$3:$W$35,2,FALSE),'COM Techs T15'!$G$3:$U$3,0))</f>
        <v>0.1</v>
      </c>
      <c r="AO31" s="11">
        <f ca="1">OFFSET('COM Techs T15'!$W32,0,MATCH(VLOOKUP('COM Veda input'!AO$3,'RES Assumptions T15'!$V$3:$W$35,2,FALSE),'COM Techs T15'!$G$3:$U$3,0))</f>
        <v>0.1</v>
      </c>
      <c r="AP31" s="11">
        <f ca="1">OFFSET('COM Techs T15'!$W32,0,MATCH(VLOOKUP('COM Veda input'!AP$3,'RES Assumptions T15'!$V$3:$W$35,2,FALSE),'COM Techs T15'!$G$3:$U$3,0))</f>
        <v>0.1</v>
      </c>
      <c r="AQ31" s="11">
        <f ca="1">OFFSET('COM Techs T15'!$W32,0,MATCH(VLOOKUP('COM Veda input'!AQ$3,'RES Assumptions T15'!$V$3:$W$35,2,FALSE),'COM Techs T15'!$G$3:$U$3,0))</f>
        <v>0.1</v>
      </c>
      <c r="AR31" s="11">
        <f ca="1">OFFSET('COM Techs T15'!$W32,0,MATCH(VLOOKUP('COM Veda input'!AR$3,'RES Assumptions T15'!$V$3:$W$35,2,FALSE),'COM Techs T15'!$G$3:$U$3,0))</f>
        <v>0.1</v>
      </c>
      <c r="AS31" s="11">
        <f ca="1">OFFSET('COM Techs T15'!$W32,0,MATCH(VLOOKUP('COM Veda input'!AS$3,'RES Assumptions T15'!$V$3:$W$35,2,FALSE),'COM Techs T15'!$G$3:$U$3,0))</f>
        <v>0.13</v>
      </c>
      <c r="AT31" s="11">
        <f ca="1">OFFSET('COM Techs T15'!$W32,0,MATCH(VLOOKUP('COM Veda input'!AT$3,'RES Assumptions T15'!$V$3:$W$35,2,FALSE),'COM Techs T15'!$G$3:$U$3,0))</f>
        <v>0.1</v>
      </c>
      <c r="AU31" s="11">
        <f ca="1">OFFSET('COM Techs T15'!$W32,0,MATCH(VLOOKUP('COM Veda input'!AU$3,'RES Assumptions T15'!$V$3:$W$35,2,FALSE),'COM Techs T15'!$G$3:$U$3,0))</f>
        <v>0.13</v>
      </c>
      <c r="AV31" s="11">
        <f ca="1">OFFSET('COM Techs T15'!$W32,0,MATCH(VLOOKUP('COM Veda input'!AV$3,'RES Assumptions T15'!$V$3:$W$35,2,FALSE),'COM Techs T15'!$G$3:$U$3,0))</f>
        <v>0.1</v>
      </c>
      <c r="AW31" s="11">
        <f ca="1">OFFSET('COM Techs T15'!$W32,0,MATCH(VLOOKUP('COM Veda input'!AW$3,'RES Assumptions T15'!$V$3:$W$35,2,FALSE),'COM Techs T15'!$G$3:$U$3,0))</f>
        <v>0.1</v>
      </c>
      <c r="AX31" s="11">
        <f ca="1">OFFSET('COM Techs T15'!$W32,0,MATCH(VLOOKUP('COM Veda input'!AX$3,'RES Assumptions T15'!$V$3:$W$35,2,FALSE),'COM Techs T15'!$G$3:$U$3,0))</f>
        <v>0.1</v>
      </c>
      <c r="AY31" s="11">
        <f ca="1">OFFSET('COM Techs T15'!$W32,0,MATCH(VLOOKUP('COM Veda input'!AY$3,'RES Assumptions T15'!$V$3:$W$35,2,FALSE),'COM Techs T15'!$G$3:$U$3,0))</f>
        <v>0.1</v>
      </c>
      <c r="AZ31" s="11">
        <f ca="1">OFFSET('COM Techs T15'!$W32,0,MATCH(VLOOKUP('COM Veda input'!AZ$3,'RES Assumptions T15'!$V$3:$W$35,2,FALSE),'COM Techs T15'!$G$3:$U$3,0))</f>
        <v>0.1</v>
      </c>
      <c r="BA31" s="11">
        <f ca="1">OFFSET('COM Techs T15'!$W32,0,MATCH(VLOOKUP('COM Veda input'!BA$3,'RES Assumptions T15'!$V$3:$W$35,2,FALSE),'COM Techs T15'!$G$3:$U$3,0))</f>
        <v>0.1</v>
      </c>
      <c r="BB31" s="11">
        <f ca="1">OFFSET('COM Techs T15'!$W32,0,MATCH(VLOOKUP('COM Veda input'!BB$3,'RES Assumptions T15'!$V$3:$W$35,2,FALSE),'COM Techs T15'!$G$3:$U$3,0))</f>
        <v>0.1</v>
      </c>
      <c r="BC31" s="11">
        <f ca="1">OFFSET('COM Techs T15'!$W32,0,MATCH(VLOOKUP('COM Veda input'!BC$3,'RES Assumptions T15'!$V$3:$W$35,2,FALSE),'COM Techs T15'!$G$3:$U$3,0))</f>
        <v>0.1</v>
      </c>
      <c r="BD31" s="11">
        <f ca="1">OFFSET('COM Techs T15'!$W32,0,MATCH(VLOOKUP('COM Veda input'!BD$3,'RES Assumptions T15'!$V$3:$W$35,2,FALSE),'COM Techs T15'!$G$3:$U$3,0))</f>
        <v>0.1</v>
      </c>
      <c r="BE31" s="11">
        <f ca="1">OFFSET('COM Techs T15'!$W32,0,MATCH(VLOOKUP('COM Veda input'!BE$3,'RES Assumptions T15'!$V$3:$W$35,2,FALSE),'COM Techs T15'!$G$3:$U$3,0))</f>
        <v>0.1</v>
      </c>
      <c r="BF31" s="11">
        <f ca="1">OFFSET('COM Techs T15'!$W32,0,MATCH(VLOOKUP('COM Veda input'!BF$3,'RES Assumptions T15'!$V$3:$W$35,2,FALSE),'COM Techs T15'!$G$3:$U$3,0))</f>
        <v>0.1</v>
      </c>
      <c r="BG31" s="11">
        <f ca="1">OFFSET('COM Techs T15'!$W32,0,MATCH(VLOOKUP('COM Veda input'!BG$3,'RES Assumptions T15'!$V$3:$W$35,2,FALSE),'COM Techs T15'!$G$3:$U$3,0))</f>
        <v>0.1</v>
      </c>
      <c r="BH31" s="11">
        <f ca="1">OFFSET('COM Techs T15'!$W32,0,MATCH(VLOOKUP('COM Veda input'!BH$3,'RES Assumptions T15'!$V$3:$W$35,2,FALSE),'COM Techs T15'!$G$3:$U$3,0))</f>
        <v>0.1</v>
      </c>
      <c r="BI31" s="11">
        <f ca="1">OFFSET('COM Techs T15'!$W32,0,MATCH(VLOOKUP('COM Veda input'!BI$3,'RES Assumptions T15'!$V$3:$W$35,2,FALSE),'COM Techs T15'!$G$3:$U$3,0))</f>
        <v>0.1</v>
      </c>
      <c r="BJ31" s="11">
        <f ca="1">OFFSET('COM Techs T15'!$W32,0,MATCH(VLOOKUP('COM Veda input'!BJ$3,'RES Assumptions T15'!$V$3:$W$35,2,FALSE),'COM Techs T15'!$G$3:$U$3,0))</f>
        <v>0.1</v>
      </c>
      <c r="BK31" s="11">
        <f ca="1">OFFSET('COM Techs T15'!$W32,0,MATCH(VLOOKUP('COM Veda input'!BK$3,'RES Assumptions T15'!$V$3:$W$35,2,FALSE),'COM Techs T15'!$G$3:$U$3,0))</f>
        <v>0.1</v>
      </c>
      <c r="BL31" s="11">
        <f ca="1">OFFSET('COM Techs T15'!$W32,0,MATCH(VLOOKUP('COM Veda input'!BL$3,'RES Assumptions T15'!$V$3:$W$35,2,FALSE),'COM Techs T15'!$G$3:$U$3,0))</f>
        <v>0.1</v>
      </c>
      <c r="BM31" s="11">
        <f ca="1">OFFSET('COM Techs T15'!$W32,0,MATCH(VLOOKUP('COM Veda input'!BM$3,'RES Assumptions T15'!$V$3:$W$35,2,FALSE),'COM Techs T15'!$G$3:$U$3,0))</f>
        <v>0.1</v>
      </c>
      <c r="BN31" s="11">
        <f ca="1">OFFSET('COM Techs T15'!$W32,0,MATCH(VLOOKUP('COM Veda input'!BN$3,'RES Assumptions T15'!$V$3:$W$35,2,FALSE),'COM Techs T15'!$G$3:$U$3,0))</f>
        <v>0.1</v>
      </c>
      <c r="BO31" s="11">
        <f ca="1">OFFSET('COM Techs T15'!$W32,0,MATCH(VLOOKUP('COM Veda input'!BO$3,'RES Assumptions T15'!$V$3:$W$35,2,FALSE),'COM Techs T15'!$G$3:$U$3,0))</f>
        <v>0.25</v>
      </c>
      <c r="BP31" s="11">
        <f ca="1">OFFSET('COM Techs T15'!$W32,0,MATCH(VLOOKUP('COM Veda input'!BP$3,'RES Assumptions T15'!$V$3:$W$35,2,FALSE),'COM Techs T15'!$G$3:$U$3,0))</f>
        <v>0.25</v>
      </c>
      <c r="BQ31">
        <v>3</v>
      </c>
      <c r="BS31" s="8" t="str">
        <f t="shared" si="20"/>
        <v>CHWCOA000</v>
      </c>
      <c r="BT31" s="11">
        <f t="shared" ca="1" si="21"/>
        <v>2.4</v>
      </c>
      <c r="BU31" s="11" t="str">
        <f ca="1">OFFSET('COM Techs T15'!$AO32,0,MATCH(VLOOKUP('COM Veda input'!BU$3,'RES Assumptions T15'!$V$3:$W$35,2,FALSE),'COM Techs T15'!$G$3:$U$3,0))</f>
        <v/>
      </c>
      <c r="BV31" s="11" t="str">
        <f ca="1">OFFSET('COM Techs T15'!$AO32,0,MATCH(VLOOKUP('COM Veda input'!BV$3,'RES Assumptions T15'!$V$3:$W$35,2,FALSE),'COM Techs T15'!$G$3:$U$3,0))</f>
        <v/>
      </c>
      <c r="BW31" s="11">
        <f ca="1">OFFSET('COM Techs T15'!$AO32,0,MATCH(VLOOKUP('COM Veda input'!BW$3,'RES Assumptions T15'!$V$3:$W$35,2,FALSE),'COM Techs T15'!$G$3:$U$3,0))</f>
        <v>4.2</v>
      </c>
      <c r="BX31" s="11" t="str">
        <f ca="1">OFFSET('COM Techs T15'!$AO32,0,MATCH(VLOOKUP('COM Veda input'!BX$3,'RES Assumptions T15'!$V$3:$W$35,2,FALSE),'COM Techs T15'!$G$3:$U$3,0))</f>
        <v/>
      </c>
      <c r="BY31" s="11">
        <f ca="1">OFFSET('COM Techs T15'!$AO32,0,MATCH(VLOOKUP('COM Veda input'!BY$3,'RES Assumptions T15'!$V$3:$W$35,2,FALSE),'COM Techs T15'!$G$3:$U$3,0))</f>
        <v>6</v>
      </c>
      <c r="BZ31" s="11">
        <f ca="1">OFFSET('COM Techs T15'!$AO32,0,MATCH(VLOOKUP('COM Veda input'!BZ$3,'RES Assumptions T15'!$V$3:$W$35,2,FALSE),'COM Techs T15'!$G$3:$U$3,0))</f>
        <v>3.6</v>
      </c>
      <c r="CA31" s="11" t="str">
        <f ca="1">OFFSET('COM Techs T15'!$AO32,0,MATCH(VLOOKUP('COM Veda input'!CA$3,'RES Assumptions T15'!$V$3:$W$35,2,FALSE),'COM Techs T15'!$G$3:$U$3,0))</f>
        <v/>
      </c>
      <c r="CB31" s="11">
        <f ca="1">OFFSET('COM Techs T15'!$AO32,0,MATCH(VLOOKUP('COM Veda input'!CB$3,'RES Assumptions T15'!$V$3:$W$35,2,FALSE),'COM Techs T15'!$G$3:$U$3,0))</f>
        <v>4.2</v>
      </c>
      <c r="CC31" s="11" t="str">
        <f ca="1">OFFSET('COM Techs T15'!$AO32,0,MATCH(VLOOKUP('COM Veda input'!CC$3,'RES Assumptions T15'!$V$3:$W$35,2,FALSE),'COM Techs T15'!$G$3:$U$3,0))</f>
        <v/>
      </c>
      <c r="CD31" s="11">
        <f ca="1">OFFSET('COM Techs T15'!$AO32,0,MATCH(VLOOKUP('COM Veda input'!CD$3,'RES Assumptions T15'!$V$3:$W$35,2,FALSE),'COM Techs T15'!$G$3:$U$3,0))</f>
        <v>2.4</v>
      </c>
      <c r="CE31" s="11" t="str">
        <f ca="1">OFFSET('COM Techs T15'!$AO32,0,MATCH(VLOOKUP('COM Veda input'!CE$3,'RES Assumptions T15'!$V$3:$W$35,2,FALSE),'COM Techs T15'!$G$3:$U$3,0))</f>
        <v/>
      </c>
      <c r="CF31" s="11" t="str">
        <f ca="1">OFFSET('COM Techs T15'!$AO32,0,MATCH(VLOOKUP('COM Veda input'!CF$3,'RES Assumptions T15'!$V$3:$W$35,2,FALSE),'COM Techs T15'!$G$3:$U$3,0))</f>
        <v/>
      </c>
      <c r="CG31" s="11" t="str">
        <f ca="1">OFFSET('COM Techs T15'!$AO32,0,MATCH(VLOOKUP('COM Veda input'!CG$3,'RES Assumptions T15'!$V$3:$W$35,2,FALSE),'COM Techs T15'!$G$3:$U$3,0))</f>
        <v/>
      </c>
      <c r="CH31" s="11" t="str">
        <f ca="1">OFFSET('COM Techs T15'!$AO32,0,MATCH(VLOOKUP('COM Veda input'!CH$3,'RES Assumptions T15'!$V$3:$W$35,2,FALSE),'COM Techs T15'!$G$3:$U$3,0))</f>
        <v/>
      </c>
      <c r="CI31" s="11" t="str">
        <f ca="1">OFFSET('COM Techs T15'!$AO32,0,MATCH(VLOOKUP('COM Veda input'!CI$3,'RES Assumptions T15'!$V$3:$W$35,2,FALSE),'COM Techs T15'!$G$3:$U$3,0))</f>
        <v/>
      </c>
      <c r="CJ31" s="11" t="str">
        <f ca="1">OFFSET('COM Techs T15'!$AO32,0,MATCH(VLOOKUP('COM Veda input'!CJ$3,'RES Assumptions T15'!$V$3:$W$35,2,FALSE),'COM Techs T15'!$G$3:$U$3,0))</f>
        <v/>
      </c>
      <c r="CK31" s="11">
        <f ca="1">OFFSET('COM Techs T15'!$AO32,0,MATCH(VLOOKUP('COM Veda input'!CK$3,'RES Assumptions T15'!$V$3:$W$35,2,FALSE),'COM Techs T15'!$G$3:$U$3,0))</f>
        <v>4.2</v>
      </c>
      <c r="CL31" s="11" t="str">
        <f ca="1">OFFSET('COM Techs T15'!$AO32,0,MATCH(VLOOKUP('COM Veda input'!CL$3,'RES Assumptions T15'!$V$3:$W$35,2,FALSE),'COM Techs T15'!$G$3:$U$3,0))</f>
        <v/>
      </c>
      <c r="CM31" s="11" t="str">
        <f ca="1">OFFSET('COM Techs T15'!$AO32,0,MATCH(VLOOKUP('COM Veda input'!CM$3,'RES Assumptions T15'!$V$3:$W$35,2,FALSE),'COM Techs T15'!$G$3:$U$3,0))</f>
        <v/>
      </c>
      <c r="CN31" s="11">
        <f ca="1">OFFSET('COM Techs T15'!$AO32,0,MATCH(VLOOKUP('COM Veda input'!CN$3,'RES Assumptions T15'!$V$3:$W$35,2,FALSE),'COM Techs T15'!$G$3:$U$3,0))</f>
        <v>3.6</v>
      </c>
      <c r="CO31" s="11">
        <f ca="1">OFFSET('COM Techs T15'!$AO32,0,MATCH(VLOOKUP('COM Veda input'!CO$3,'RES Assumptions T15'!$V$3:$W$35,2,FALSE),'COM Techs T15'!$G$3:$U$3,0))</f>
        <v>4.2</v>
      </c>
      <c r="CP31" s="11">
        <f ca="1">OFFSET('COM Techs T15'!$AO32,0,MATCH(VLOOKUP('COM Veda input'!CP$3,'RES Assumptions T15'!$V$3:$W$35,2,FALSE),'COM Techs T15'!$G$3:$U$3,0))</f>
        <v>4.8</v>
      </c>
      <c r="CQ31" s="11">
        <f ca="1">OFFSET('COM Techs T15'!$AO32,0,MATCH(VLOOKUP('COM Veda input'!CQ$3,'RES Assumptions T15'!$V$3:$W$35,2,FALSE),'COM Techs T15'!$G$3:$U$3,0))</f>
        <v>4.2</v>
      </c>
      <c r="CR31" s="11" t="str">
        <f ca="1">OFFSET('COM Techs T15'!$AO32,0,MATCH(VLOOKUP('COM Veda input'!CR$3,'RES Assumptions T15'!$V$3:$W$35,2,FALSE),'COM Techs T15'!$G$3:$U$3,0))</f>
        <v/>
      </c>
      <c r="CS31" s="11" t="str">
        <f ca="1">OFFSET('COM Techs T15'!$AO32,0,MATCH(VLOOKUP('COM Veda input'!CS$3,'RES Assumptions T15'!$V$3:$W$35,2,FALSE),'COM Techs T15'!$G$3:$U$3,0))</f>
        <v/>
      </c>
      <c r="CT31" s="11">
        <f ca="1">OFFSET('COM Techs T15'!$AO32,0,MATCH(VLOOKUP('COM Veda input'!CT$3,'RES Assumptions T15'!$V$3:$W$35,2,FALSE),'COM Techs T15'!$G$3:$U$3,0))</f>
        <v>4.2</v>
      </c>
      <c r="CU31" s="11" t="str">
        <f ca="1">OFFSET('COM Techs T15'!$AO32,0,MATCH(VLOOKUP('COM Veda input'!CU$3,'RES Assumptions T15'!$V$3:$W$35,2,FALSE),'COM Techs T15'!$G$3:$U$3,0))</f>
        <v/>
      </c>
      <c r="CV31" s="11" t="str">
        <f ca="1">OFFSET('COM Techs T15'!$AO32,0,MATCH(VLOOKUP('COM Veda input'!CV$3,'RES Assumptions T15'!$V$3:$W$35,2,FALSE),'COM Techs T15'!$G$3:$U$3,0))</f>
        <v/>
      </c>
      <c r="CW31" s="11" t="str">
        <f ca="1">OFFSET('COM Techs T15'!$AO32,0,MATCH(VLOOKUP('COM Veda input'!CW$3,'RES Assumptions T15'!$V$3:$W$35,2,FALSE),'COM Techs T15'!$G$3:$U$3,0))</f>
        <v/>
      </c>
      <c r="CX31" s="11" t="str">
        <f ca="1">OFFSET('COM Techs T15'!$AO32,0,MATCH(VLOOKUP('COM Veda input'!CX$3,'RES Assumptions T15'!$V$3:$W$35,2,FALSE),'COM Techs T15'!$G$3:$U$3,0))</f>
        <v/>
      </c>
      <c r="CZ31" s="8" t="str">
        <f t="shared" si="22"/>
        <v>CHWCOA000</v>
      </c>
      <c r="DA31" s="10">
        <f ca="1">'COM Assumptions'!E108*G31/'COM Veda input'!AM31</f>
        <v>0</v>
      </c>
      <c r="DB31" s="10">
        <f ca="1">'COM Assumptions'!F108*H31/'COM Veda input'!AN31</f>
        <v>0.38635120511999999</v>
      </c>
      <c r="DC31" s="10">
        <f ca="1">'COM Assumptions'!G108*I31/'COM Veda input'!AO31</f>
        <v>0</v>
      </c>
      <c r="DD31" s="10">
        <f ca="1">'COM Assumptions'!H108*J31/'COM Veda input'!AP31</f>
        <v>0</v>
      </c>
      <c r="DE31" s="10">
        <f ca="1">'COM Assumptions'!I108*K31/'COM Veda input'!AQ31</f>
        <v>20.578632454655999</v>
      </c>
      <c r="DF31" s="10">
        <f ca="1">'COM Assumptions'!J108*L31/'COM Veda input'!AR31</f>
        <v>34.063700297471996</v>
      </c>
      <c r="DG31" s="10">
        <f ca="1">'COM Assumptions'!K108*M31/'COM Veda input'!AS31</f>
        <v>2.7120199254646158</v>
      </c>
      <c r="DH31" s="10">
        <f ca="1">'COM Assumptions'!L108*N31/'COM Veda input'!AT31</f>
        <v>0</v>
      </c>
      <c r="DI31" s="10">
        <f ca="1">'COM Assumptions'!M108*O31/'COM Veda input'!AU31</f>
        <v>0</v>
      </c>
      <c r="DJ31" s="10">
        <f ca="1">'COM Assumptions'!N108*P31/'COM Veda input'!AV31</f>
        <v>984.6072559779841</v>
      </c>
      <c r="DK31" s="10">
        <f ca="1">'COM Assumptions'!O108*Q31/'COM Veda input'!AW31</f>
        <v>0</v>
      </c>
      <c r="DL31" s="10">
        <f ca="1">'COM Assumptions'!P108*R31/'COM Veda input'!AX31</f>
        <v>0</v>
      </c>
      <c r="DM31" s="10">
        <f ca="1">'COM Assumptions'!Q108*S31/'COM Veda input'!AY31</f>
        <v>0</v>
      </c>
      <c r="DN31" s="10">
        <f ca="1">'COM Assumptions'!R108*T31/'COM Veda input'!AZ31</f>
        <v>0</v>
      </c>
      <c r="DO31" s="10">
        <f ca="1">'COM Assumptions'!S108*U31/'COM Veda input'!BA31</f>
        <v>0</v>
      </c>
      <c r="DP31" s="10">
        <f ca="1">'COM Assumptions'!T108*V31/'COM Veda input'!BB31</f>
        <v>0</v>
      </c>
      <c r="DQ31" s="10">
        <f ca="1">'COM Assumptions'!U108*W31/'COM Veda input'!BC31</f>
        <v>0</v>
      </c>
      <c r="DR31" s="10">
        <f ca="1">'COM Assumptions'!V108*X31/'COM Veda input'!BD31</f>
        <v>0</v>
      </c>
      <c r="DS31" s="10">
        <f ca="1">'COM Assumptions'!W108*Y31/'COM Veda input'!BE31</f>
        <v>0</v>
      </c>
      <c r="DT31" s="10">
        <f ca="1">'COM Assumptions'!X108*Z31/'COM Veda input'!BF31</f>
        <v>386.47775232230401</v>
      </c>
      <c r="DU31" s="10">
        <f ca="1">'COM Assumptions'!Y108*AA31/'COM Veda input'!BG31</f>
        <v>0</v>
      </c>
      <c r="DV31" s="10">
        <f ca="1">'COM Assumptions'!Z108*AB31/'COM Veda input'!BH31</f>
        <v>0</v>
      </c>
      <c r="DW31" s="10">
        <f ca="1">'COM Assumptions'!AA108*AC31/'COM Veda input'!BI31</f>
        <v>0</v>
      </c>
      <c r="DX31" s="10">
        <f ca="1">'COM Assumptions'!AB108*AD31/'COM Veda input'!BJ31</f>
        <v>0</v>
      </c>
      <c r="DY31" s="10">
        <f ca="1">'COM Assumptions'!AC108*AE31/'COM Veda input'!BK31</f>
        <v>0</v>
      </c>
      <c r="DZ31" s="10">
        <f ca="1">'COM Assumptions'!AD108*AF31/'COM Veda input'!BL31</f>
        <v>0</v>
      </c>
      <c r="EA31" s="10">
        <f ca="1">'COM Assumptions'!AE108*AG31/'COM Veda input'!BM31</f>
        <v>170.09353969919999</v>
      </c>
      <c r="EB31" s="10">
        <f ca="1">'COM Assumptions'!AF108*AH31/'COM Veda input'!BN31</f>
        <v>0</v>
      </c>
      <c r="EC31" s="10">
        <f ca="1">'COM Assumptions'!AG108*AI31/'COM Veda input'!BO31</f>
        <v>0</v>
      </c>
      <c r="ED31" s="10">
        <f ca="1">'COM Assumptions'!AH108*AJ31/'COM Veda input'!BP31</f>
        <v>0</v>
      </c>
      <c r="EE31" s="8">
        <v>15</v>
      </c>
      <c r="EI31" s="8" t="str">
        <f t="shared" si="23"/>
        <v>CHWCOA000</v>
      </c>
      <c r="EK31" t="s">
        <v>282</v>
      </c>
      <c r="EL31" t="s">
        <v>283</v>
      </c>
    </row>
    <row r="32" spans="1:142" x14ac:dyDescent="0.45">
      <c r="A32" s="37" t="str">
        <f>'COM Assumptions'!B109</f>
        <v>CHW</v>
      </c>
      <c r="B32" s="37" t="s">
        <v>238</v>
      </c>
      <c r="D32" t="s">
        <v>238</v>
      </c>
      <c r="E32" s="8" t="str">
        <f>'COM Assumptions'!A109</f>
        <v>COMOIL</v>
      </c>
      <c r="F32" t="str">
        <f>VLOOKUP('COM Assumptions'!B109,'COM Assumptions'!$AP$81:$AQ$88,2,FALSE)</f>
        <v>CHW</v>
      </c>
      <c r="G32" s="11">
        <f ca="1">OFFSET('COM Techs T15'!$F33,0,MATCH(VLOOKUP('COM Veda input'!G$3,'RES Assumptions T15'!$V$3:$W$35,2,FALSE),'COM Techs T15'!$G$3:$U$3,0))</f>
        <v>0.65</v>
      </c>
      <c r="H32" s="11">
        <f ca="1">OFFSET('COM Techs T15'!$F33,0,MATCH(VLOOKUP('COM Veda input'!H$3,'RES Assumptions T15'!$V$3:$W$35,2,FALSE),'COM Techs T15'!$G$3:$U$3,0))</f>
        <v>0.65</v>
      </c>
      <c r="I32" s="11">
        <f ca="1">OFFSET('COM Techs T15'!$F33,0,MATCH(VLOOKUP('COM Veda input'!I$3,'RES Assumptions T15'!$V$3:$W$35,2,FALSE),'COM Techs T15'!$G$3:$U$3,0))</f>
        <v>0.65</v>
      </c>
      <c r="J32" s="11">
        <f ca="1">OFFSET('COM Techs T15'!$F33,0,MATCH(VLOOKUP('COM Veda input'!J$3,'RES Assumptions T15'!$V$3:$W$35,2,FALSE),'COM Techs T15'!$G$3:$U$3,0))</f>
        <v>0.65</v>
      </c>
      <c r="K32" s="11">
        <f ca="1">OFFSET('COM Techs T15'!$F33,0,MATCH(VLOOKUP('COM Veda input'!K$3,'RES Assumptions T15'!$V$3:$W$35,2,FALSE),'COM Techs T15'!$G$3:$U$3,0))</f>
        <v>0.65</v>
      </c>
      <c r="L32" s="11">
        <f ca="1">OFFSET('COM Techs T15'!$F33,0,MATCH(VLOOKUP('COM Veda input'!L$3,'RES Assumptions T15'!$V$3:$W$35,2,FALSE),'COM Techs T15'!$G$3:$U$3,0))</f>
        <v>0.65</v>
      </c>
      <c r="M32" s="11">
        <f ca="1">OFFSET('COM Techs T15'!$F33,0,MATCH(VLOOKUP('COM Veda input'!M$3,'RES Assumptions T15'!$V$3:$W$35,2,FALSE),'COM Techs T15'!$G$3:$U$3,0))</f>
        <v>0.65</v>
      </c>
      <c r="N32" s="11">
        <f ca="1">OFFSET('COM Techs T15'!$F33,0,MATCH(VLOOKUP('COM Veda input'!N$3,'RES Assumptions T15'!$V$3:$W$35,2,FALSE),'COM Techs T15'!$G$3:$U$3,0))</f>
        <v>0.65</v>
      </c>
      <c r="O32" s="11">
        <f ca="1">OFFSET('COM Techs T15'!$F33,0,MATCH(VLOOKUP('COM Veda input'!O$3,'RES Assumptions T15'!$V$3:$W$35,2,FALSE),'COM Techs T15'!$G$3:$U$3,0))</f>
        <v>0.65</v>
      </c>
      <c r="P32" s="11">
        <f ca="1">OFFSET('COM Techs T15'!$F33,0,MATCH(VLOOKUP('COM Veda input'!P$3,'RES Assumptions T15'!$V$3:$W$35,2,FALSE),'COM Techs T15'!$G$3:$U$3,0))</f>
        <v>0.65</v>
      </c>
      <c r="Q32" s="11">
        <f ca="1">OFFSET('COM Techs T15'!$F33,0,MATCH(VLOOKUP('COM Veda input'!Q$3,'RES Assumptions T15'!$V$3:$W$35,2,FALSE),'COM Techs T15'!$G$3:$U$3,0))</f>
        <v>0.65</v>
      </c>
      <c r="R32" s="11">
        <f ca="1">OFFSET('COM Techs T15'!$F33,0,MATCH(VLOOKUP('COM Veda input'!R$3,'RES Assumptions T15'!$V$3:$W$35,2,FALSE),'COM Techs T15'!$G$3:$U$3,0))</f>
        <v>0.65</v>
      </c>
      <c r="S32" s="11">
        <f ca="1">OFFSET('COM Techs T15'!$F33,0,MATCH(VLOOKUP('COM Veda input'!S$3,'RES Assumptions T15'!$V$3:$W$35,2,FALSE),'COM Techs T15'!$G$3:$U$3,0))</f>
        <v>0.65</v>
      </c>
      <c r="T32" s="11">
        <f ca="1">OFFSET('COM Techs T15'!$F33,0,MATCH(VLOOKUP('COM Veda input'!T$3,'RES Assumptions T15'!$V$3:$W$35,2,FALSE),'COM Techs T15'!$G$3:$U$3,0))</f>
        <v>0.65</v>
      </c>
      <c r="U32" s="11">
        <f ca="1">OFFSET('COM Techs T15'!$F33,0,MATCH(VLOOKUP('COM Veda input'!U$3,'RES Assumptions T15'!$V$3:$W$35,2,FALSE),'COM Techs T15'!$G$3:$U$3,0))</f>
        <v>0.65</v>
      </c>
      <c r="V32" s="11">
        <f ca="1">OFFSET('COM Techs T15'!$F33,0,MATCH(VLOOKUP('COM Veda input'!V$3,'RES Assumptions T15'!$V$3:$W$35,2,FALSE),'COM Techs T15'!$G$3:$U$3,0))</f>
        <v>0.65</v>
      </c>
      <c r="W32" s="11">
        <f ca="1">OFFSET('COM Techs T15'!$F33,0,MATCH(VLOOKUP('COM Veda input'!W$3,'RES Assumptions T15'!$V$3:$W$35,2,FALSE),'COM Techs T15'!$G$3:$U$3,0))</f>
        <v>0.65</v>
      </c>
      <c r="X32" s="11">
        <f ca="1">OFFSET('COM Techs T15'!$F33,0,MATCH(VLOOKUP('COM Veda input'!X$3,'RES Assumptions T15'!$V$3:$W$35,2,FALSE),'COM Techs T15'!$G$3:$U$3,0))</f>
        <v>0.65</v>
      </c>
      <c r="Y32" s="11">
        <f ca="1">OFFSET('COM Techs T15'!$F33,0,MATCH(VLOOKUP('COM Veda input'!Y$3,'RES Assumptions T15'!$V$3:$W$35,2,FALSE),'COM Techs T15'!$G$3:$U$3,0))</f>
        <v>0.65</v>
      </c>
      <c r="Z32" s="11">
        <f ca="1">OFFSET('COM Techs T15'!$F33,0,MATCH(VLOOKUP('COM Veda input'!Z$3,'RES Assumptions T15'!$V$3:$W$35,2,FALSE),'COM Techs T15'!$G$3:$U$3,0))</f>
        <v>0.65</v>
      </c>
      <c r="AA32" s="11">
        <f ca="1">OFFSET('COM Techs T15'!$F33,0,MATCH(VLOOKUP('COM Veda input'!AA$3,'RES Assumptions T15'!$V$3:$W$35,2,FALSE),'COM Techs T15'!$G$3:$U$3,0))</f>
        <v>0.65</v>
      </c>
      <c r="AB32" s="11">
        <f ca="1">OFFSET('COM Techs T15'!$F33,0,MATCH(VLOOKUP('COM Veda input'!AB$3,'RES Assumptions T15'!$V$3:$W$35,2,FALSE),'COM Techs T15'!$G$3:$U$3,0))</f>
        <v>0.65</v>
      </c>
      <c r="AC32" s="11">
        <f ca="1">OFFSET('COM Techs T15'!$F33,0,MATCH(VLOOKUP('COM Veda input'!AC$3,'RES Assumptions T15'!$V$3:$W$35,2,FALSE),'COM Techs T15'!$G$3:$U$3,0))</f>
        <v>0.65</v>
      </c>
      <c r="AD32" s="11">
        <f ca="1">OFFSET('COM Techs T15'!$F33,0,MATCH(VLOOKUP('COM Veda input'!AD$3,'RES Assumptions T15'!$V$3:$W$35,2,FALSE),'COM Techs T15'!$G$3:$U$3,0))</f>
        <v>0.65</v>
      </c>
      <c r="AE32" s="11">
        <f ca="1">OFFSET('COM Techs T15'!$F33,0,MATCH(VLOOKUP('COM Veda input'!AE$3,'RES Assumptions T15'!$V$3:$W$35,2,FALSE),'COM Techs T15'!$G$3:$U$3,0))</f>
        <v>0.65</v>
      </c>
      <c r="AF32" s="11">
        <f ca="1">OFFSET('COM Techs T15'!$F33,0,MATCH(VLOOKUP('COM Veda input'!AF$3,'RES Assumptions T15'!$V$3:$W$35,2,FALSE),'COM Techs T15'!$G$3:$U$3,0))</f>
        <v>0.65</v>
      </c>
      <c r="AG32" s="11">
        <f ca="1">OFFSET('COM Techs T15'!$F33,0,MATCH(VLOOKUP('COM Veda input'!AG$3,'RES Assumptions T15'!$V$3:$W$35,2,FALSE),'COM Techs T15'!$G$3:$U$3,0))</f>
        <v>0.65</v>
      </c>
      <c r="AH32" s="11">
        <f ca="1">OFFSET('COM Techs T15'!$F33,0,MATCH(VLOOKUP('COM Veda input'!AH$3,'RES Assumptions T15'!$V$3:$W$35,2,FALSE),'COM Techs T15'!$G$3:$U$3,0))</f>
        <v>0.65</v>
      </c>
      <c r="AI32" s="11">
        <f ca="1">OFFSET('COM Techs T15'!$F33,0,MATCH(VLOOKUP('COM Veda input'!AI$3,'RES Assumptions T15'!$V$3:$W$35,2,FALSE),'COM Techs T15'!$G$3:$U$3,0))</f>
        <v>0.65</v>
      </c>
      <c r="AJ32" s="11">
        <f ca="1">OFFSET('COM Techs T15'!$F33,0,MATCH(VLOOKUP('COM Veda input'!AJ$3,'RES Assumptions T15'!$V$3:$W$35,2,FALSE),'COM Techs T15'!$G$3:$U$3,0))</f>
        <v>0.65</v>
      </c>
      <c r="AL32" s="8" t="str">
        <f t="shared" si="19"/>
        <v>CHWDST000</v>
      </c>
      <c r="AM32" s="11">
        <f ca="1">OFFSET('COM Techs T15'!$W33,0,MATCH(VLOOKUP('COM Veda input'!AM$3,'RES Assumptions T15'!$V$3:$W$35,2,FALSE),'COM Techs T15'!$G$3:$U$3,0))</f>
        <v>0.1</v>
      </c>
      <c r="AN32" s="11">
        <f ca="1">OFFSET('COM Techs T15'!$W33,0,MATCH(VLOOKUP('COM Veda input'!AN$3,'RES Assumptions T15'!$V$3:$W$35,2,FALSE),'COM Techs T15'!$G$3:$U$3,0))</f>
        <v>0.1</v>
      </c>
      <c r="AO32" s="11">
        <f ca="1">OFFSET('COM Techs T15'!$W33,0,MATCH(VLOOKUP('COM Veda input'!AO$3,'RES Assumptions T15'!$V$3:$W$35,2,FALSE),'COM Techs T15'!$G$3:$U$3,0))</f>
        <v>0.1</v>
      </c>
      <c r="AP32" s="11">
        <f ca="1">OFFSET('COM Techs T15'!$W33,0,MATCH(VLOOKUP('COM Veda input'!AP$3,'RES Assumptions T15'!$V$3:$W$35,2,FALSE),'COM Techs T15'!$G$3:$U$3,0))</f>
        <v>0.1</v>
      </c>
      <c r="AQ32" s="11">
        <f ca="1">OFFSET('COM Techs T15'!$W33,0,MATCH(VLOOKUP('COM Veda input'!AQ$3,'RES Assumptions T15'!$V$3:$W$35,2,FALSE),'COM Techs T15'!$G$3:$U$3,0))</f>
        <v>0.1</v>
      </c>
      <c r="AR32" s="11">
        <f ca="1">OFFSET('COM Techs T15'!$W33,0,MATCH(VLOOKUP('COM Veda input'!AR$3,'RES Assumptions T15'!$V$3:$W$35,2,FALSE),'COM Techs T15'!$G$3:$U$3,0))</f>
        <v>0.1</v>
      </c>
      <c r="AS32" s="11">
        <f ca="1">OFFSET('COM Techs T15'!$W33,0,MATCH(VLOOKUP('COM Veda input'!AS$3,'RES Assumptions T15'!$V$3:$W$35,2,FALSE),'COM Techs T15'!$G$3:$U$3,0))</f>
        <v>0.13</v>
      </c>
      <c r="AT32" s="11">
        <f ca="1">OFFSET('COM Techs T15'!$W33,0,MATCH(VLOOKUP('COM Veda input'!AT$3,'RES Assumptions T15'!$V$3:$W$35,2,FALSE),'COM Techs T15'!$G$3:$U$3,0))</f>
        <v>0.1</v>
      </c>
      <c r="AU32" s="11">
        <f ca="1">OFFSET('COM Techs T15'!$W33,0,MATCH(VLOOKUP('COM Veda input'!AU$3,'RES Assumptions T15'!$V$3:$W$35,2,FALSE),'COM Techs T15'!$G$3:$U$3,0))</f>
        <v>0.13</v>
      </c>
      <c r="AV32" s="11">
        <f ca="1">OFFSET('COM Techs T15'!$W33,0,MATCH(VLOOKUP('COM Veda input'!AV$3,'RES Assumptions T15'!$V$3:$W$35,2,FALSE),'COM Techs T15'!$G$3:$U$3,0))</f>
        <v>0.1</v>
      </c>
      <c r="AW32" s="11">
        <f ca="1">OFFSET('COM Techs T15'!$W33,0,MATCH(VLOOKUP('COM Veda input'!AW$3,'RES Assumptions T15'!$V$3:$W$35,2,FALSE),'COM Techs T15'!$G$3:$U$3,0))</f>
        <v>0.1</v>
      </c>
      <c r="AX32" s="11">
        <f ca="1">OFFSET('COM Techs T15'!$W33,0,MATCH(VLOOKUP('COM Veda input'!AX$3,'RES Assumptions T15'!$V$3:$W$35,2,FALSE),'COM Techs T15'!$G$3:$U$3,0))</f>
        <v>0.1</v>
      </c>
      <c r="AY32" s="11">
        <f ca="1">OFFSET('COM Techs T15'!$W33,0,MATCH(VLOOKUP('COM Veda input'!AY$3,'RES Assumptions T15'!$V$3:$W$35,2,FALSE),'COM Techs T15'!$G$3:$U$3,0))</f>
        <v>0.1</v>
      </c>
      <c r="AZ32" s="11">
        <f ca="1">OFFSET('COM Techs T15'!$W33,0,MATCH(VLOOKUP('COM Veda input'!AZ$3,'RES Assumptions T15'!$V$3:$W$35,2,FALSE),'COM Techs T15'!$G$3:$U$3,0))</f>
        <v>0.1</v>
      </c>
      <c r="BA32" s="11">
        <f ca="1">OFFSET('COM Techs T15'!$W33,0,MATCH(VLOOKUP('COM Veda input'!BA$3,'RES Assumptions T15'!$V$3:$W$35,2,FALSE),'COM Techs T15'!$G$3:$U$3,0))</f>
        <v>0.1</v>
      </c>
      <c r="BB32" s="11">
        <f ca="1">OFFSET('COM Techs T15'!$W33,0,MATCH(VLOOKUP('COM Veda input'!BB$3,'RES Assumptions T15'!$V$3:$W$35,2,FALSE),'COM Techs T15'!$G$3:$U$3,0))</f>
        <v>0.1</v>
      </c>
      <c r="BC32" s="11">
        <f ca="1">OFFSET('COM Techs T15'!$W33,0,MATCH(VLOOKUP('COM Veda input'!BC$3,'RES Assumptions T15'!$V$3:$W$35,2,FALSE),'COM Techs T15'!$G$3:$U$3,0))</f>
        <v>0.1</v>
      </c>
      <c r="BD32" s="11">
        <f ca="1">OFFSET('COM Techs T15'!$W33,0,MATCH(VLOOKUP('COM Veda input'!BD$3,'RES Assumptions T15'!$V$3:$W$35,2,FALSE),'COM Techs T15'!$G$3:$U$3,0))</f>
        <v>0.1</v>
      </c>
      <c r="BE32" s="11">
        <f ca="1">OFFSET('COM Techs T15'!$W33,0,MATCH(VLOOKUP('COM Veda input'!BE$3,'RES Assumptions T15'!$V$3:$W$35,2,FALSE),'COM Techs T15'!$G$3:$U$3,0))</f>
        <v>0.1</v>
      </c>
      <c r="BF32" s="11">
        <f ca="1">OFFSET('COM Techs T15'!$W33,0,MATCH(VLOOKUP('COM Veda input'!BF$3,'RES Assumptions T15'!$V$3:$W$35,2,FALSE),'COM Techs T15'!$G$3:$U$3,0))</f>
        <v>0.1</v>
      </c>
      <c r="BG32" s="11">
        <f ca="1">OFFSET('COM Techs T15'!$W33,0,MATCH(VLOOKUP('COM Veda input'!BG$3,'RES Assumptions T15'!$V$3:$W$35,2,FALSE),'COM Techs T15'!$G$3:$U$3,0))</f>
        <v>0.1</v>
      </c>
      <c r="BH32" s="11">
        <f ca="1">OFFSET('COM Techs T15'!$W33,0,MATCH(VLOOKUP('COM Veda input'!BH$3,'RES Assumptions T15'!$V$3:$W$35,2,FALSE),'COM Techs T15'!$G$3:$U$3,0))</f>
        <v>0.1</v>
      </c>
      <c r="BI32" s="11">
        <f ca="1">OFFSET('COM Techs T15'!$W33,0,MATCH(VLOOKUP('COM Veda input'!BI$3,'RES Assumptions T15'!$V$3:$W$35,2,FALSE),'COM Techs T15'!$G$3:$U$3,0))</f>
        <v>0.1</v>
      </c>
      <c r="BJ32" s="11">
        <f ca="1">OFFSET('COM Techs T15'!$W33,0,MATCH(VLOOKUP('COM Veda input'!BJ$3,'RES Assumptions T15'!$V$3:$W$35,2,FALSE),'COM Techs T15'!$G$3:$U$3,0))</f>
        <v>0.1</v>
      </c>
      <c r="BK32" s="11">
        <f ca="1">OFFSET('COM Techs T15'!$W33,0,MATCH(VLOOKUP('COM Veda input'!BK$3,'RES Assumptions T15'!$V$3:$W$35,2,FALSE),'COM Techs T15'!$G$3:$U$3,0))</f>
        <v>0.1</v>
      </c>
      <c r="BL32" s="11">
        <f ca="1">OFFSET('COM Techs T15'!$W33,0,MATCH(VLOOKUP('COM Veda input'!BL$3,'RES Assumptions T15'!$V$3:$W$35,2,FALSE),'COM Techs T15'!$G$3:$U$3,0))</f>
        <v>0.1</v>
      </c>
      <c r="BM32" s="11">
        <f ca="1">OFFSET('COM Techs T15'!$W33,0,MATCH(VLOOKUP('COM Veda input'!BM$3,'RES Assumptions T15'!$V$3:$W$35,2,FALSE),'COM Techs T15'!$G$3:$U$3,0))</f>
        <v>0.1</v>
      </c>
      <c r="BN32" s="11">
        <f ca="1">OFFSET('COM Techs T15'!$W33,0,MATCH(VLOOKUP('COM Veda input'!BN$3,'RES Assumptions T15'!$V$3:$W$35,2,FALSE),'COM Techs T15'!$G$3:$U$3,0))</f>
        <v>0.1</v>
      </c>
      <c r="BO32" s="11">
        <f ca="1">OFFSET('COM Techs T15'!$W33,0,MATCH(VLOOKUP('COM Veda input'!BO$3,'RES Assumptions T15'!$V$3:$W$35,2,FALSE),'COM Techs T15'!$G$3:$U$3,0))</f>
        <v>0.25</v>
      </c>
      <c r="BP32" s="11">
        <f ca="1">OFFSET('COM Techs T15'!$W33,0,MATCH(VLOOKUP('COM Veda input'!BP$3,'RES Assumptions T15'!$V$3:$W$35,2,FALSE),'COM Techs T15'!$G$3:$U$3,0))</f>
        <v>0.25</v>
      </c>
      <c r="BQ32">
        <v>3</v>
      </c>
      <c r="BS32" s="8" t="str">
        <f t="shared" si="20"/>
        <v>CHWDST000</v>
      </c>
      <c r="BT32" s="11">
        <f t="shared" ca="1" si="21"/>
        <v>0.6</v>
      </c>
      <c r="BU32" s="11" t="str">
        <f ca="1">OFFSET('COM Techs T15'!$AO33,0,MATCH(VLOOKUP('COM Veda input'!BU$3,'RES Assumptions T15'!$V$3:$W$35,2,FALSE),'COM Techs T15'!$G$3:$U$3,0))</f>
        <v/>
      </c>
      <c r="BV32" s="11" t="str">
        <f ca="1">OFFSET('COM Techs T15'!$AO33,0,MATCH(VLOOKUP('COM Veda input'!BV$3,'RES Assumptions T15'!$V$3:$W$35,2,FALSE),'COM Techs T15'!$G$3:$U$3,0))</f>
        <v/>
      </c>
      <c r="BW32" s="11">
        <f ca="1">OFFSET('COM Techs T15'!$AO33,0,MATCH(VLOOKUP('COM Veda input'!BW$3,'RES Assumptions T15'!$V$3:$W$35,2,FALSE),'COM Techs T15'!$G$3:$U$3,0))</f>
        <v>0.7</v>
      </c>
      <c r="BX32" s="11" t="str">
        <f ca="1">OFFSET('COM Techs T15'!$AO33,0,MATCH(VLOOKUP('COM Veda input'!BX$3,'RES Assumptions T15'!$V$3:$W$35,2,FALSE),'COM Techs T15'!$G$3:$U$3,0))</f>
        <v/>
      </c>
      <c r="BY32" s="11">
        <f ca="1">OFFSET('COM Techs T15'!$AO33,0,MATCH(VLOOKUP('COM Veda input'!BY$3,'RES Assumptions T15'!$V$3:$W$35,2,FALSE),'COM Techs T15'!$G$3:$U$3,0))</f>
        <v>1</v>
      </c>
      <c r="BZ32" s="11">
        <f ca="1">OFFSET('COM Techs T15'!$AO33,0,MATCH(VLOOKUP('COM Veda input'!BZ$3,'RES Assumptions T15'!$V$3:$W$35,2,FALSE),'COM Techs T15'!$G$3:$U$3,0))</f>
        <v>0.6</v>
      </c>
      <c r="CA32" s="11" t="str">
        <f ca="1">OFFSET('COM Techs T15'!$AO33,0,MATCH(VLOOKUP('COM Veda input'!CA$3,'RES Assumptions T15'!$V$3:$W$35,2,FALSE),'COM Techs T15'!$G$3:$U$3,0))</f>
        <v/>
      </c>
      <c r="CB32" s="11">
        <f ca="1">OFFSET('COM Techs T15'!$AO33,0,MATCH(VLOOKUP('COM Veda input'!CB$3,'RES Assumptions T15'!$V$3:$W$35,2,FALSE),'COM Techs T15'!$G$3:$U$3,0))</f>
        <v>0.7</v>
      </c>
      <c r="CC32" s="11" t="str">
        <f ca="1">OFFSET('COM Techs T15'!$AO33,0,MATCH(VLOOKUP('COM Veda input'!CC$3,'RES Assumptions T15'!$V$3:$W$35,2,FALSE),'COM Techs T15'!$G$3:$U$3,0))</f>
        <v/>
      </c>
      <c r="CD32" s="11">
        <f ca="1">OFFSET('COM Techs T15'!$AO33,0,MATCH(VLOOKUP('COM Veda input'!CD$3,'RES Assumptions T15'!$V$3:$W$35,2,FALSE),'COM Techs T15'!$G$3:$U$3,0))</f>
        <v>0.6</v>
      </c>
      <c r="CE32" s="11" t="str">
        <f ca="1">OFFSET('COM Techs T15'!$AO33,0,MATCH(VLOOKUP('COM Veda input'!CE$3,'RES Assumptions T15'!$V$3:$W$35,2,FALSE),'COM Techs T15'!$G$3:$U$3,0))</f>
        <v/>
      </c>
      <c r="CF32" s="11" t="str">
        <f ca="1">OFFSET('COM Techs T15'!$AO33,0,MATCH(VLOOKUP('COM Veda input'!CF$3,'RES Assumptions T15'!$V$3:$W$35,2,FALSE),'COM Techs T15'!$G$3:$U$3,0))</f>
        <v/>
      </c>
      <c r="CG32" s="11" t="str">
        <f ca="1">OFFSET('COM Techs T15'!$AO33,0,MATCH(VLOOKUP('COM Veda input'!CG$3,'RES Assumptions T15'!$V$3:$W$35,2,FALSE),'COM Techs T15'!$G$3:$U$3,0))</f>
        <v/>
      </c>
      <c r="CH32" s="11" t="str">
        <f ca="1">OFFSET('COM Techs T15'!$AO33,0,MATCH(VLOOKUP('COM Veda input'!CH$3,'RES Assumptions T15'!$V$3:$W$35,2,FALSE),'COM Techs T15'!$G$3:$U$3,0))</f>
        <v/>
      </c>
      <c r="CI32" s="11" t="str">
        <f ca="1">OFFSET('COM Techs T15'!$AO33,0,MATCH(VLOOKUP('COM Veda input'!CI$3,'RES Assumptions T15'!$V$3:$W$35,2,FALSE),'COM Techs T15'!$G$3:$U$3,0))</f>
        <v/>
      </c>
      <c r="CJ32" s="11" t="str">
        <f ca="1">OFFSET('COM Techs T15'!$AO33,0,MATCH(VLOOKUP('COM Veda input'!CJ$3,'RES Assumptions T15'!$V$3:$W$35,2,FALSE),'COM Techs T15'!$G$3:$U$3,0))</f>
        <v/>
      </c>
      <c r="CK32" s="11">
        <f ca="1">OFFSET('COM Techs T15'!$AO33,0,MATCH(VLOOKUP('COM Veda input'!CK$3,'RES Assumptions T15'!$V$3:$W$35,2,FALSE),'COM Techs T15'!$G$3:$U$3,0))</f>
        <v>0.7</v>
      </c>
      <c r="CL32" s="11" t="str">
        <f ca="1">OFFSET('COM Techs T15'!$AO33,0,MATCH(VLOOKUP('COM Veda input'!CL$3,'RES Assumptions T15'!$V$3:$W$35,2,FALSE),'COM Techs T15'!$G$3:$U$3,0))</f>
        <v/>
      </c>
      <c r="CM32" s="11" t="str">
        <f ca="1">OFFSET('COM Techs T15'!$AO33,0,MATCH(VLOOKUP('COM Veda input'!CM$3,'RES Assumptions T15'!$V$3:$W$35,2,FALSE),'COM Techs T15'!$G$3:$U$3,0))</f>
        <v/>
      </c>
      <c r="CN32" s="11">
        <f ca="1">OFFSET('COM Techs T15'!$AO33,0,MATCH(VLOOKUP('COM Veda input'!CN$3,'RES Assumptions T15'!$V$3:$W$35,2,FALSE),'COM Techs T15'!$G$3:$U$3,0))</f>
        <v>0.6</v>
      </c>
      <c r="CO32" s="11">
        <f ca="1">OFFSET('COM Techs T15'!$AO33,0,MATCH(VLOOKUP('COM Veda input'!CO$3,'RES Assumptions T15'!$V$3:$W$35,2,FALSE),'COM Techs T15'!$G$3:$U$3,0))</f>
        <v>0.7</v>
      </c>
      <c r="CP32" s="11">
        <f ca="1">OFFSET('COM Techs T15'!$AO33,0,MATCH(VLOOKUP('COM Veda input'!CP$3,'RES Assumptions T15'!$V$3:$W$35,2,FALSE),'COM Techs T15'!$G$3:$U$3,0))</f>
        <v>0.8</v>
      </c>
      <c r="CQ32" s="11">
        <f ca="1">OFFSET('COM Techs T15'!$AO33,0,MATCH(VLOOKUP('COM Veda input'!CQ$3,'RES Assumptions T15'!$V$3:$W$35,2,FALSE),'COM Techs T15'!$G$3:$U$3,0))</f>
        <v>0.7</v>
      </c>
      <c r="CR32" s="11" t="str">
        <f ca="1">OFFSET('COM Techs T15'!$AO33,0,MATCH(VLOOKUP('COM Veda input'!CR$3,'RES Assumptions T15'!$V$3:$W$35,2,FALSE),'COM Techs T15'!$G$3:$U$3,0))</f>
        <v/>
      </c>
      <c r="CS32" s="11" t="str">
        <f ca="1">OFFSET('COM Techs T15'!$AO33,0,MATCH(VLOOKUP('COM Veda input'!CS$3,'RES Assumptions T15'!$V$3:$W$35,2,FALSE),'COM Techs T15'!$G$3:$U$3,0))</f>
        <v/>
      </c>
      <c r="CT32" s="11">
        <f ca="1">OFFSET('COM Techs T15'!$AO33,0,MATCH(VLOOKUP('COM Veda input'!CT$3,'RES Assumptions T15'!$V$3:$W$35,2,FALSE),'COM Techs T15'!$G$3:$U$3,0))</f>
        <v>0.7</v>
      </c>
      <c r="CU32" s="11" t="str">
        <f ca="1">OFFSET('COM Techs T15'!$AO33,0,MATCH(VLOOKUP('COM Veda input'!CU$3,'RES Assumptions T15'!$V$3:$W$35,2,FALSE),'COM Techs T15'!$G$3:$U$3,0))</f>
        <v/>
      </c>
      <c r="CV32" s="11" t="str">
        <f ca="1">OFFSET('COM Techs T15'!$AO33,0,MATCH(VLOOKUP('COM Veda input'!CV$3,'RES Assumptions T15'!$V$3:$W$35,2,FALSE),'COM Techs T15'!$G$3:$U$3,0))</f>
        <v/>
      </c>
      <c r="CW32" s="11" t="str">
        <f ca="1">OFFSET('COM Techs T15'!$AO33,0,MATCH(VLOOKUP('COM Veda input'!CW$3,'RES Assumptions T15'!$V$3:$W$35,2,FALSE),'COM Techs T15'!$G$3:$U$3,0))</f>
        <v/>
      </c>
      <c r="CX32" s="11" t="str">
        <f ca="1">OFFSET('COM Techs T15'!$AO33,0,MATCH(VLOOKUP('COM Veda input'!CX$3,'RES Assumptions T15'!$V$3:$W$35,2,FALSE),'COM Techs T15'!$G$3:$U$3,0))</f>
        <v/>
      </c>
      <c r="CZ32" s="8" t="str">
        <f t="shared" si="22"/>
        <v>CHWDST000</v>
      </c>
      <c r="DA32" s="10">
        <f ca="1">'COM Assumptions'!E109*G32/'COM Veda input'!AM32</f>
        <v>21.28426936272</v>
      </c>
      <c r="DB32" s="10">
        <f ca="1">'COM Assumptions'!F109*H32/'COM Veda input'!AN32</f>
        <v>188.80292664323997</v>
      </c>
      <c r="DC32" s="10">
        <f ca="1">'COM Assumptions'!G109*I32/'COM Veda input'!AO32</f>
        <v>64.49009933808</v>
      </c>
      <c r="DD32" s="10">
        <f ca="1">'COM Assumptions'!H109*J32/'COM Veda input'!AP32</f>
        <v>42.177165872399996</v>
      </c>
      <c r="DE32" s="10">
        <f ca="1">'COM Assumptions'!I109*K32/'COM Veda input'!AQ32</f>
        <v>631.78890797669396</v>
      </c>
      <c r="DF32" s="10">
        <f ca="1">'COM Assumptions'!J109*L32/'COM Veda input'!AR32</f>
        <v>487.00314362700004</v>
      </c>
      <c r="DG32" s="10">
        <f ca="1">'COM Assumptions'!K109*M32/'COM Veda input'!AS32</f>
        <v>31.706904355199999</v>
      </c>
      <c r="DH32" s="10">
        <f ca="1">'COM Assumptions'!L109*N32/'COM Veda input'!AT32</f>
        <v>5.6543705337600008</v>
      </c>
      <c r="DI32" s="10">
        <f ca="1">'COM Assumptions'!M109*O32/'COM Veda input'!AU32</f>
        <v>8.2331998488</v>
      </c>
      <c r="DJ32" s="10">
        <f ca="1">'COM Assumptions'!N109*P32/'COM Veda input'!AV32</f>
        <v>993.05168384330989</v>
      </c>
      <c r="DK32" s="10">
        <f ca="1">'COM Assumptions'!O109*Q32/'COM Veda input'!AW32</f>
        <v>39.602630842982997</v>
      </c>
      <c r="DL32" s="10">
        <f ca="1">'COM Assumptions'!P109*R32/'COM Veda input'!AX32</f>
        <v>37.932492259349999</v>
      </c>
      <c r="DM32" s="10">
        <f ca="1">'COM Assumptions'!Q109*S32/'COM Veda input'!AY32</f>
        <v>85.170198084776999</v>
      </c>
      <c r="DN32" s="10">
        <f ca="1">'COM Assumptions'!R109*T32/'COM Veda input'!AZ32</f>
        <v>14.332356525005997</v>
      </c>
      <c r="DO32" s="10">
        <f ca="1">'COM Assumptions'!S109*U32/'COM Veda input'!BA32</f>
        <v>13.94336545875</v>
      </c>
      <c r="DP32" s="10">
        <f ca="1">'COM Assumptions'!T109*V32/'COM Veda input'!BB32</f>
        <v>90.349913373875992</v>
      </c>
      <c r="DQ32" s="10">
        <f ca="1">'COM Assumptions'!U109*W32/'COM Veda input'!BC32</f>
        <v>102.36169574279999</v>
      </c>
      <c r="DR32" s="10">
        <f ca="1">'COM Assumptions'!V109*X32/'COM Veda input'!BD32</f>
        <v>164.15101569087</v>
      </c>
      <c r="DS32" s="10">
        <f ca="1">'COM Assumptions'!W109*Y32/'COM Veda input'!BE32</f>
        <v>252.06342637694399</v>
      </c>
      <c r="DT32" s="10">
        <f ca="1">'COM Assumptions'!X109*Z32/'COM Veda input'!BF32</f>
        <v>0</v>
      </c>
      <c r="DU32" s="10">
        <f ca="1">'COM Assumptions'!Y109*AA32/'COM Veda input'!BG32</f>
        <v>77.494589864640005</v>
      </c>
      <c r="DV32" s="10">
        <f ca="1">'COM Assumptions'!Z109*AB32/'COM Veda input'!BH32</f>
        <v>2.6032477793399997</v>
      </c>
      <c r="DW32" s="10">
        <f ca="1">'COM Assumptions'!AA109*AC32/'COM Veda input'!BI32</f>
        <v>81.555209760960011</v>
      </c>
      <c r="DX32" s="10">
        <f ca="1">'COM Assumptions'!AB109*AD32/'COM Veda input'!BJ32</f>
        <v>22.790238284852997</v>
      </c>
      <c r="DY32" s="10">
        <f ca="1">'COM Assumptions'!AC109*AE32/'COM Veda input'!BK32</f>
        <v>98.874733493250005</v>
      </c>
      <c r="DZ32" s="10">
        <f ca="1">'COM Assumptions'!AD109*AF32/'COM Veda input'!BL32</f>
        <v>0</v>
      </c>
      <c r="EA32" s="10">
        <f ca="1">'COM Assumptions'!AE109*AG32/'COM Veda input'!BM32</f>
        <v>11.35620263232</v>
      </c>
      <c r="EB32" s="10">
        <f ca="1">'COM Assumptions'!AF109*AH32/'COM Veda input'!BN32</f>
        <v>74.186423276238003</v>
      </c>
      <c r="EC32" s="10">
        <f ca="1">'COM Assumptions'!AG109*AI32/'COM Veda input'!BO32</f>
        <v>269.83252685227347</v>
      </c>
      <c r="ED32" s="10">
        <f ca="1">'COM Assumptions'!AH109*AJ32/'COM Veda input'!BP32</f>
        <v>0</v>
      </c>
      <c r="EE32" s="8">
        <v>15</v>
      </c>
      <c r="EI32" s="8" t="str">
        <f t="shared" si="23"/>
        <v>CHWDST000</v>
      </c>
      <c r="EK32" t="s">
        <v>282</v>
      </c>
      <c r="EL32" t="s">
        <v>283</v>
      </c>
    </row>
    <row r="33" spans="1:142" x14ac:dyDescent="0.45">
      <c r="A33" s="37" t="str">
        <f>'COM Assumptions'!B110</f>
        <v>CHW</v>
      </c>
      <c r="B33" s="37" t="s">
        <v>239</v>
      </c>
      <c r="D33" t="s">
        <v>239</v>
      </c>
      <c r="E33" s="8" t="str">
        <f>'COM Assumptions'!A110</f>
        <v>COMELC</v>
      </c>
      <c r="F33" t="str">
        <f>VLOOKUP('COM Assumptions'!B110,'COM Assumptions'!$AP$81:$AQ$88,2,FALSE)</f>
        <v>CHW</v>
      </c>
      <c r="G33" s="11">
        <f ca="1">OFFSET('COM Techs T15'!$F34,0,MATCH(VLOOKUP('COM Veda input'!G$3,'RES Assumptions T15'!$V$3:$W$35,2,FALSE),'COM Techs T15'!$G$3:$U$3,0))</f>
        <v>0.91</v>
      </c>
      <c r="H33" s="11">
        <f ca="1">OFFSET('COM Techs T15'!$F34,0,MATCH(VLOOKUP('COM Veda input'!H$3,'RES Assumptions T15'!$V$3:$W$35,2,FALSE),'COM Techs T15'!$G$3:$U$3,0))</f>
        <v>0.91</v>
      </c>
      <c r="I33" s="11">
        <f ca="1">OFFSET('COM Techs T15'!$F34,0,MATCH(VLOOKUP('COM Veda input'!I$3,'RES Assumptions T15'!$V$3:$W$35,2,FALSE),'COM Techs T15'!$G$3:$U$3,0))</f>
        <v>0.91</v>
      </c>
      <c r="J33" s="11">
        <f ca="1">OFFSET('COM Techs T15'!$F34,0,MATCH(VLOOKUP('COM Veda input'!J$3,'RES Assumptions T15'!$V$3:$W$35,2,FALSE),'COM Techs T15'!$G$3:$U$3,0))</f>
        <v>0.91</v>
      </c>
      <c r="K33" s="11">
        <f ca="1">OFFSET('COM Techs T15'!$F34,0,MATCH(VLOOKUP('COM Veda input'!K$3,'RES Assumptions T15'!$V$3:$W$35,2,FALSE),'COM Techs T15'!$G$3:$U$3,0))</f>
        <v>0.91</v>
      </c>
      <c r="L33" s="11">
        <f ca="1">OFFSET('COM Techs T15'!$F34,0,MATCH(VLOOKUP('COM Veda input'!L$3,'RES Assumptions T15'!$V$3:$W$35,2,FALSE),'COM Techs T15'!$G$3:$U$3,0))</f>
        <v>0.91</v>
      </c>
      <c r="M33" s="11">
        <f ca="1">OFFSET('COM Techs T15'!$F34,0,MATCH(VLOOKUP('COM Veda input'!M$3,'RES Assumptions T15'!$V$3:$W$35,2,FALSE),'COM Techs T15'!$G$3:$U$3,0))</f>
        <v>0.91</v>
      </c>
      <c r="N33" s="11">
        <f ca="1">OFFSET('COM Techs T15'!$F34,0,MATCH(VLOOKUP('COM Veda input'!N$3,'RES Assumptions T15'!$V$3:$W$35,2,FALSE),'COM Techs T15'!$G$3:$U$3,0))</f>
        <v>0.91</v>
      </c>
      <c r="O33" s="11">
        <f ca="1">OFFSET('COM Techs T15'!$F34,0,MATCH(VLOOKUP('COM Veda input'!O$3,'RES Assumptions T15'!$V$3:$W$35,2,FALSE),'COM Techs T15'!$G$3:$U$3,0))</f>
        <v>0.91</v>
      </c>
      <c r="P33" s="11">
        <f ca="1">OFFSET('COM Techs T15'!$F34,0,MATCH(VLOOKUP('COM Veda input'!P$3,'RES Assumptions T15'!$V$3:$W$35,2,FALSE),'COM Techs T15'!$G$3:$U$3,0))</f>
        <v>0.91</v>
      </c>
      <c r="Q33" s="11">
        <f ca="1">OFFSET('COM Techs T15'!$F34,0,MATCH(VLOOKUP('COM Veda input'!Q$3,'RES Assumptions T15'!$V$3:$W$35,2,FALSE),'COM Techs T15'!$G$3:$U$3,0))</f>
        <v>0.91</v>
      </c>
      <c r="R33" s="11">
        <f ca="1">OFFSET('COM Techs T15'!$F34,0,MATCH(VLOOKUP('COM Veda input'!R$3,'RES Assumptions T15'!$V$3:$W$35,2,FALSE),'COM Techs T15'!$G$3:$U$3,0))</f>
        <v>0.91</v>
      </c>
      <c r="S33" s="11">
        <f ca="1">OFFSET('COM Techs T15'!$F34,0,MATCH(VLOOKUP('COM Veda input'!S$3,'RES Assumptions T15'!$V$3:$W$35,2,FALSE),'COM Techs T15'!$G$3:$U$3,0))</f>
        <v>0.91</v>
      </c>
      <c r="T33" s="11">
        <f ca="1">OFFSET('COM Techs T15'!$F34,0,MATCH(VLOOKUP('COM Veda input'!T$3,'RES Assumptions T15'!$V$3:$W$35,2,FALSE),'COM Techs T15'!$G$3:$U$3,0))</f>
        <v>0.91</v>
      </c>
      <c r="U33" s="11">
        <f ca="1">OFFSET('COM Techs T15'!$F34,0,MATCH(VLOOKUP('COM Veda input'!U$3,'RES Assumptions T15'!$V$3:$W$35,2,FALSE),'COM Techs T15'!$G$3:$U$3,0))</f>
        <v>0.91</v>
      </c>
      <c r="V33" s="11">
        <f ca="1">OFFSET('COM Techs T15'!$F34,0,MATCH(VLOOKUP('COM Veda input'!V$3,'RES Assumptions T15'!$V$3:$W$35,2,FALSE),'COM Techs T15'!$G$3:$U$3,0))</f>
        <v>0.91</v>
      </c>
      <c r="W33" s="11">
        <f ca="1">OFFSET('COM Techs T15'!$F34,0,MATCH(VLOOKUP('COM Veda input'!W$3,'RES Assumptions T15'!$V$3:$W$35,2,FALSE),'COM Techs T15'!$G$3:$U$3,0))</f>
        <v>0.91</v>
      </c>
      <c r="X33" s="11">
        <f ca="1">OFFSET('COM Techs T15'!$F34,0,MATCH(VLOOKUP('COM Veda input'!X$3,'RES Assumptions T15'!$V$3:$W$35,2,FALSE),'COM Techs T15'!$G$3:$U$3,0))</f>
        <v>0.91</v>
      </c>
      <c r="Y33" s="11">
        <f ca="1">OFFSET('COM Techs T15'!$F34,0,MATCH(VLOOKUP('COM Veda input'!Y$3,'RES Assumptions T15'!$V$3:$W$35,2,FALSE),'COM Techs T15'!$G$3:$U$3,0))</f>
        <v>0.91</v>
      </c>
      <c r="Z33" s="11">
        <f ca="1">OFFSET('COM Techs T15'!$F34,0,MATCH(VLOOKUP('COM Veda input'!Z$3,'RES Assumptions T15'!$V$3:$W$35,2,FALSE),'COM Techs T15'!$G$3:$U$3,0))</f>
        <v>0.91</v>
      </c>
      <c r="AA33" s="11">
        <f ca="1">OFFSET('COM Techs T15'!$F34,0,MATCH(VLOOKUP('COM Veda input'!AA$3,'RES Assumptions T15'!$V$3:$W$35,2,FALSE),'COM Techs T15'!$G$3:$U$3,0))</f>
        <v>0.91</v>
      </c>
      <c r="AB33" s="11">
        <f ca="1">OFFSET('COM Techs T15'!$F34,0,MATCH(VLOOKUP('COM Veda input'!AB$3,'RES Assumptions T15'!$V$3:$W$35,2,FALSE),'COM Techs T15'!$G$3:$U$3,0))</f>
        <v>0.91</v>
      </c>
      <c r="AC33" s="11">
        <f ca="1">OFFSET('COM Techs T15'!$F34,0,MATCH(VLOOKUP('COM Veda input'!AC$3,'RES Assumptions T15'!$V$3:$W$35,2,FALSE),'COM Techs T15'!$G$3:$U$3,0))</f>
        <v>0.91</v>
      </c>
      <c r="AD33" s="11">
        <f ca="1">OFFSET('COM Techs T15'!$F34,0,MATCH(VLOOKUP('COM Veda input'!AD$3,'RES Assumptions T15'!$V$3:$W$35,2,FALSE),'COM Techs T15'!$G$3:$U$3,0))</f>
        <v>0.91</v>
      </c>
      <c r="AE33" s="11">
        <f ca="1">OFFSET('COM Techs T15'!$F34,0,MATCH(VLOOKUP('COM Veda input'!AE$3,'RES Assumptions T15'!$V$3:$W$35,2,FALSE),'COM Techs T15'!$G$3:$U$3,0))</f>
        <v>0.91</v>
      </c>
      <c r="AF33" s="11">
        <f ca="1">OFFSET('COM Techs T15'!$F34,0,MATCH(VLOOKUP('COM Veda input'!AF$3,'RES Assumptions T15'!$V$3:$W$35,2,FALSE),'COM Techs T15'!$G$3:$U$3,0))</f>
        <v>0.91</v>
      </c>
      <c r="AG33" s="11">
        <f ca="1">OFFSET('COM Techs T15'!$F34,0,MATCH(VLOOKUP('COM Veda input'!AG$3,'RES Assumptions T15'!$V$3:$W$35,2,FALSE),'COM Techs T15'!$G$3:$U$3,0))</f>
        <v>0.91</v>
      </c>
      <c r="AH33" s="11">
        <f ca="1">OFFSET('COM Techs T15'!$F34,0,MATCH(VLOOKUP('COM Veda input'!AH$3,'RES Assumptions T15'!$V$3:$W$35,2,FALSE),'COM Techs T15'!$G$3:$U$3,0))</f>
        <v>0.91</v>
      </c>
      <c r="AI33" s="11">
        <f ca="1">OFFSET('COM Techs T15'!$F34,0,MATCH(VLOOKUP('COM Veda input'!AI$3,'RES Assumptions T15'!$V$3:$W$35,2,FALSE),'COM Techs T15'!$G$3:$U$3,0))</f>
        <v>0.91</v>
      </c>
      <c r="AJ33" s="11">
        <f ca="1">OFFSET('COM Techs T15'!$F34,0,MATCH(VLOOKUP('COM Veda input'!AJ$3,'RES Assumptions T15'!$V$3:$W$35,2,FALSE),'COM Techs T15'!$G$3:$U$3,0))</f>
        <v>0.91</v>
      </c>
      <c r="AL33" s="8" t="str">
        <f t="shared" si="19"/>
        <v>CHWELC000</v>
      </c>
      <c r="AM33" s="11">
        <f ca="1">OFFSET('COM Techs T15'!$W34,0,MATCH(VLOOKUP('COM Veda input'!AM$3,'RES Assumptions T15'!$V$3:$W$35,2,FALSE),'COM Techs T15'!$G$3:$U$3,0))</f>
        <v>0.1</v>
      </c>
      <c r="AN33" s="11">
        <f ca="1">OFFSET('COM Techs T15'!$W34,0,MATCH(VLOOKUP('COM Veda input'!AN$3,'RES Assumptions T15'!$V$3:$W$35,2,FALSE),'COM Techs T15'!$G$3:$U$3,0))</f>
        <v>0.1</v>
      </c>
      <c r="AO33" s="11">
        <f ca="1">OFFSET('COM Techs T15'!$W34,0,MATCH(VLOOKUP('COM Veda input'!AO$3,'RES Assumptions T15'!$V$3:$W$35,2,FALSE),'COM Techs T15'!$G$3:$U$3,0))</f>
        <v>0.1</v>
      </c>
      <c r="AP33" s="11">
        <f ca="1">OFFSET('COM Techs T15'!$W34,0,MATCH(VLOOKUP('COM Veda input'!AP$3,'RES Assumptions T15'!$V$3:$W$35,2,FALSE),'COM Techs T15'!$G$3:$U$3,0))</f>
        <v>0.1</v>
      </c>
      <c r="AQ33" s="11">
        <f ca="1">OFFSET('COM Techs T15'!$W34,0,MATCH(VLOOKUP('COM Veda input'!AQ$3,'RES Assumptions T15'!$V$3:$W$35,2,FALSE),'COM Techs T15'!$G$3:$U$3,0))</f>
        <v>0.1</v>
      </c>
      <c r="AR33" s="11">
        <f ca="1">OFFSET('COM Techs T15'!$W34,0,MATCH(VLOOKUP('COM Veda input'!AR$3,'RES Assumptions T15'!$V$3:$W$35,2,FALSE),'COM Techs T15'!$G$3:$U$3,0))</f>
        <v>0.1</v>
      </c>
      <c r="AS33" s="11">
        <f ca="1">OFFSET('COM Techs T15'!$W34,0,MATCH(VLOOKUP('COM Veda input'!AS$3,'RES Assumptions T15'!$V$3:$W$35,2,FALSE),'COM Techs T15'!$G$3:$U$3,0))</f>
        <v>0.13</v>
      </c>
      <c r="AT33" s="11">
        <f ca="1">OFFSET('COM Techs T15'!$W34,0,MATCH(VLOOKUP('COM Veda input'!AT$3,'RES Assumptions T15'!$V$3:$W$35,2,FALSE),'COM Techs T15'!$G$3:$U$3,0))</f>
        <v>0.1</v>
      </c>
      <c r="AU33" s="11">
        <f ca="1">OFFSET('COM Techs T15'!$W34,0,MATCH(VLOOKUP('COM Veda input'!AU$3,'RES Assumptions T15'!$V$3:$W$35,2,FALSE),'COM Techs T15'!$G$3:$U$3,0))</f>
        <v>0.13</v>
      </c>
      <c r="AV33" s="11">
        <f ca="1">OFFSET('COM Techs T15'!$W34,0,MATCH(VLOOKUP('COM Veda input'!AV$3,'RES Assumptions T15'!$V$3:$W$35,2,FALSE),'COM Techs T15'!$G$3:$U$3,0))</f>
        <v>0.1</v>
      </c>
      <c r="AW33" s="11">
        <f ca="1">OFFSET('COM Techs T15'!$W34,0,MATCH(VLOOKUP('COM Veda input'!AW$3,'RES Assumptions T15'!$V$3:$W$35,2,FALSE),'COM Techs T15'!$G$3:$U$3,0))</f>
        <v>0.1</v>
      </c>
      <c r="AX33" s="11">
        <f ca="1">OFFSET('COM Techs T15'!$W34,0,MATCH(VLOOKUP('COM Veda input'!AX$3,'RES Assumptions T15'!$V$3:$W$35,2,FALSE),'COM Techs T15'!$G$3:$U$3,0))</f>
        <v>0.1</v>
      </c>
      <c r="AY33" s="11">
        <f ca="1">OFFSET('COM Techs T15'!$W34,0,MATCH(VLOOKUP('COM Veda input'!AY$3,'RES Assumptions T15'!$V$3:$W$35,2,FALSE),'COM Techs T15'!$G$3:$U$3,0))</f>
        <v>0.1</v>
      </c>
      <c r="AZ33" s="11">
        <f ca="1">OFFSET('COM Techs T15'!$W34,0,MATCH(VLOOKUP('COM Veda input'!AZ$3,'RES Assumptions T15'!$V$3:$W$35,2,FALSE),'COM Techs T15'!$G$3:$U$3,0))</f>
        <v>0.1</v>
      </c>
      <c r="BA33" s="11">
        <f ca="1">OFFSET('COM Techs T15'!$W34,0,MATCH(VLOOKUP('COM Veda input'!BA$3,'RES Assumptions T15'!$V$3:$W$35,2,FALSE),'COM Techs T15'!$G$3:$U$3,0))</f>
        <v>0.1</v>
      </c>
      <c r="BB33" s="11">
        <f ca="1">OFFSET('COM Techs T15'!$W34,0,MATCH(VLOOKUP('COM Veda input'!BB$3,'RES Assumptions T15'!$V$3:$W$35,2,FALSE),'COM Techs T15'!$G$3:$U$3,0))</f>
        <v>0.1</v>
      </c>
      <c r="BC33" s="11">
        <f ca="1">OFFSET('COM Techs T15'!$W34,0,MATCH(VLOOKUP('COM Veda input'!BC$3,'RES Assumptions T15'!$V$3:$W$35,2,FALSE),'COM Techs T15'!$G$3:$U$3,0))</f>
        <v>0.1</v>
      </c>
      <c r="BD33" s="11">
        <f ca="1">OFFSET('COM Techs T15'!$W34,0,MATCH(VLOOKUP('COM Veda input'!BD$3,'RES Assumptions T15'!$V$3:$W$35,2,FALSE),'COM Techs T15'!$G$3:$U$3,0))</f>
        <v>0.1</v>
      </c>
      <c r="BE33" s="11">
        <f ca="1">OFFSET('COM Techs T15'!$W34,0,MATCH(VLOOKUP('COM Veda input'!BE$3,'RES Assumptions T15'!$V$3:$W$35,2,FALSE),'COM Techs T15'!$G$3:$U$3,0))</f>
        <v>0.1</v>
      </c>
      <c r="BF33" s="11">
        <f ca="1">OFFSET('COM Techs T15'!$W34,0,MATCH(VLOOKUP('COM Veda input'!BF$3,'RES Assumptions T15'!$V$3:$W$35,2,FALSE),'COM Techs T15'!$G$3:$U$3,0))</f>
        <v>0.1</v>
      </c>
      <c r="BG33" s="11">
        <f ca="1">OFFSET('COM Techs T15'!$W34,0,MATCH(VLOOKUP('COM Veda input'!BG$3,'RES Assumptions T15'!$V$3:$W$35,2,FALSE),'COM Techs T15'!$G$3:$U$3,0))</f>
        <v>0.1</v>
      </c>
      <c r="BH33" s="11">
        <f ca="1">OFFSET('COM Techs T15'!$W34,0,MATCH(VLOOKUP('COM Veda input'!BH$3,'RES Assumptions T15'!$V$3:$W$35,2,FALSE),'COM Techs T15'!$G$3:$U$3,0))</f>
        <v>0.1</v>
      </c>
      <c r="BI33" s="11">
        <f ca="1">OFFSET('COM Techs T15'!$W34,0,MATCH(VLOOKUP('COM Veda input'!BI$3,'RES Assumptions T15'!$V$3:$W$35,2,FALSE),'COM Techs T15'!$G$3:$U$3,0))</f>
        <v>0.1</v>
      </c>
      <c r="BJ33" s="11">
        <f ca="1">OFFSET('COM Techs T15'!$W34,0,MATCH(VLOOKUP('COM Veda input'!BJ$3,'RES Assumptions T15'!$V$3:$W$35,2,FALSE),'COM Techs T15'!$G$3:$U$3,0))</f>
        <v>0.1</v>
      </c>
      <c r="BK33" s="11">
        <f ca="1">OFFSET('COM Techs T15'!$W34,0,MATCH(VLOOKUP('COM Veda input'!BK$3,'RES Assumptions T15'!$V$3:$W$35,2,FALSE),'COM Techs T15'!$G$3:$U$3,0))</f>
        <v>0.1</v>
      </c>
      <c r="BL33" s="11">
        <f ca="1">OFFSET('COM Techs T15'!$W34,0,MATCH(VLOOKUP('COM Veda input'!BL$3,'RES Assumptions T15'!$V$3:$W$35,2,FALSE),'COM Techs T15'!$G$3:$U$3,0))</f>
        <v>0.1</v>
      </c>
      <c r="BM33" s="11">
        <f ca="1">OFFSET('COM Techs T15'!$W34,0,MATCH(VLOOKUP('COM Veda input'!BM$3,'RES Assumptions T15'!$V$3:$W$35,2,FALSE),'COM Techs T15'!$G$3:$U$3,0))</f>
        <v>0.1</v>
      </c>
      <c r="BN33" s="11">
        <f ca="1">OFFSET('COM Techs T15'!$W34,0,MATCH(VLOOKUP('COM Veda input'!BN$3,'RES Assumptions T15'!$V$3:$W$35,2,FALSE),'COM Techs T15'!$G$3:$U$3,0))</f>
        <v>0.1</v>
      </c>
      <c r="BO33" s="11">
        <f ca="1">OFFSET('COM Techs T15'!$W34,0,MATCH(VLOOKUP('COM Veda input'!BO$3,'RES Assumptions T15'!$V$3:$W$35,2,FALSE),'COM Techs T15'!$G$3:$U$3,0))</f>
        <v>0.25</v>
      </c>
      <c r="BP33" s="11">
        <f ca="1">OFFSET('COM Techs T15'!$W34,0,MATCH(VLOOKUP('COM Veda input'!BP$3,'RES Assumptions T15'!$V$3:$W$35,2,FALSE),'COM Techs T15'!$G$3:$U$3,0))</f>
        <v>0.25</v>
      </c>
      <c r="BQ33">
        <v>3</v>
      </c>
      <c r="BS33" s="8" t="str">
        <f t="shared" si="20"/>
        <v>CHWELC000</v>
      </c>
      <c r="BT33" s="11">
        <f t="shared" ca="1" si="21"/>
        <v>3.6</v>
      </c>
      <c r="BU33" s="11" t="str">
        <f ca="1">OFFSET('COM Techs T15'!$AO34,0,MATCH(VLOOKUP('COM Veda input'!BU$3,'RES Assumptions T15'!$V$3:$W$35,2,FALSE),'COM Techs T15'!$G$3:$U$3,0))</f>
        <v/>
      </c>
      <c r="BV33" s="11" t="str">
        <f ca="1">OFFSET('COM Techs T15'!$AO34,0,MATCH(VLOOKUP('COM Veda input'!BV$3,'RES Assumptions T15'!$V$3:$W$35,2,FALSE),'COM Techs T15'!$G$3:$U$3,0))</f>
        <v/>
      </c>
      <c r="BW33" s="11">
        <f ca="1">OFFSET('COM Techs T15'!$AO34,0,MATCH(VLOOKUP('COM Veda input'!BW$3,'RES Assumptions T15'!$V$3:$W$35,2,FALSE),'COM Techs T15'!$G$3:$U$3,0))</f>
        <v>4.2</v>
      </c>
      <c r="BX33" s="11" t="str">
        <f ca="1">OFFSET('COM Techs T15'!$AO34,0,MATCH(VLOOKUP('COM Veda input'!BX$3,'RES Assumptions T15'!$V$3:$W$35,2,FALSE),'COM Techs T15'!$G$3:$U$3,0))</f>
        <v/>
      </c>
      <c r="BY33" s="11">
        <f ca="1">OFFSET('COM Techs T15'!$AO34,0,MATCH(VLOOKUP('COM Veda input'!BY$3,'RES Assumptions T15'!$V$3:$W$35,2,FALSE),'COM Techs T15'!$G$3:$U$3,0))</f>
        <v>6</v>
      </c>
      <c r="BZ33" s="11">
        <f ca="1">OFFSET('COM Techs T15'!$AO34,0,MATCH(VLOOKUP('COM Veda input'!BZ$3,'RES Assumptions T15'!$V$3:$W$35,2,FALSE),'COM Techs T15'!$G$3:$U$3,0))</f>
        <v>3.6</v>
      </c>
      <c r="CA33" s="11" t="str">
        <f ca="1">OFFSET('COM Techs T15'!$AO34,0,MATCH(VLOOKUP('COM Veda input'!CA$3,'RES Assumptions T15'!$V$3:$W$35,2,FALSE),'COM Techs T15'!$G$3:$U$3,0))</f>
        <v/>
      </c>
      <c r="CB33" s="11">
        <f ca="1">OFFSET('COM Techs T15'!$AO34,0,MATCH(VLOOKUP('COM Veda input'!CB$3,'RES Assumptions T15'!$V$3:$W$35,2,FALSE),'COM Techs T15'!$G$3:$U$3,0))</f>
        <v>4.2</v>
      </c>
      <c r="CC33" s="11" t="str">
        <f ca="1">OFFSET('COM Techs T15'!$AO34,0,MATCH(VLOOKUP('COM Veda input'!CC$3,'RES Assumptions T15'!$V$3:$W$35,2,FALSE),'COM Techs T15'!$G$3:$U$3,0))</f>
        <v/>
      </c>
      <c r="CD33" s="11">
        <f ca="1">OFFSET('COM Techs T15'!$AO34,0,MATCH(VLOOKUP('COM Veda input'!CD$3,'RES Assumptions T15'!$V$3:$W$35,2,FALSE),'COM Techs T15'!$G$3:$U$3,0))</f>
        <v>3.6</v>
      </c>
      <c r="CE33" s="11" t="str">
        <f ca="1">OFFSET('COM Techs T15'!$AO34,0,MATCH(VLOOKUP('COM Veda input'!CE$3,'RES Assumptions T15'!$V$3:$W$35,2,FALSE),'COM Techs T15'!$G$3:$U$3,0))</f>
        <v/>
      </c>
      <c r="CF33" s="11" t="str">
        <f ca="1">OFFSET('COM Techs T15'!$AO34,0,MATCH(VLOOKUP('COM Veda input'!CF$3,'RES Assumptions T15'!$V$3:$W$35,2,FALSE),'COM Techs T15'!$G$3:$U$3,0))</f>
        <v/>
      </c>
      <c r="CG33" s="11" t="str">
        <f ca="1">OFFSET('COM Techs T15'!$AO34,0,MATCH(VLOOKUP('COM Veda input'!CG$3,'RES Assumptions T15'!$V$3:$W$35,2,FALSE),'COM Techs T15'!$G$3:$U$3,0))</f>
        <v/>
      </c>
      <c r="CH33" s="11" t="str">
        <f ca="1">OFFSET('COM Techs T15'!$AO34,0,MATCH(VLOOKUP('COM Veda input'!CH$3,'RES Assumptions T15'!$V$3:$W$35,2,FALSE),'COM Techs T15'!$G$3:$U$3,0))</f>
        <v/>
      </c>
      <c r="CI33" s="11" t="str">
        <f ca="1">OFFSET('COM Techs T15'!$AO34,0,MATCH(VLOOKUP('COM Veda input'!CI$3,'RES Assumptions T15'!$V$3:$W$35,2,FALSE),'COM Techs T15'!$G$3:$U$3,0))</f>
        <v/>
      </c>
      <c r="CJ33" s="11" t="str">
        <f ca="1">OFFSET('COM Techs T15'!$AO34,0,MATCH(VLOOKUP('COM Veda input'!CJ$3,'RES Assumptions T15'!$V$3:$W$35,2,FALSE),'COM Techs T15'!$G$3:$U$3,0))</f>
        <v/>
      </c>
      <c r="CK33" s="11">
        <f ca="1">OFFSET('COM Techs T15'!$AO34,0,MATCH(VLOOKUP('COM Veda input'!CK$3,'RES Assumptions T15'!$V$3:$W$35,2,FALSE),'COM Techs T15'!$G$3:$U$3,0))</f>
        <v>4.2</v>
      </c>
      <c r="CL33" s="11" t="str">
        <f ca="1">OFFSET('COM Techs T15'!$AO34,0,MATCH(VLOOKUP('COM Veda input'!CL$3,'RES Assumptions T15'!$V$3:$W$35,2,FALSE),'COM Techs T15'!$G$3:$U$3,0))</f>
        <v/>
      </c>
      <c r="CM33" s="11" t="str">
        <f ca="1">OFFSET('COM Techs T15'!$AO34,0,MATCH(VLOOKUP('COM Veda input'!CM$3,'RES Assumptions T15'!$V$3:$W$35,2,FALSE),'COM Techs T15'!$G$3:$U$3,0))</f>
        <v/>
      </c>
      <c r="CN33" s="11">
        <f ca="1">OFFSET('COM Techs T15'!$AO34,0,MATCH(VLOOKUP('COM Veda input'!CN$3,'RES Assumptions T15'!$V$3:$W$35,2,FALSE),'COM Techs T15'!$G$3:$U$3,0))</f>
        <v>3.6</v>
      </c>
      <c r="CO33" s="11">
        <f ca="1">OFFSET('COM Techs T15'!$AO34,0,MATCH(VLOOKUP('COM Veda input'!CO$3,'RES Assumptions T15'!$V$3:$W$35,2,FALSE),'COM Techs T15'!$G$3:$U$3,0))</f>
        <v>4.2</v>
      </c>
      <c r="CP33" s="11">
        <f ca="1">OFFSET('COM Techs T15'!$AO34,0,MATCH(VLOOKUP('COM Veda input'!CP$3,'RES Assumptions T15'!$V$3:$W$35,2,FALSE),'COM Techs T15'!$G$3:$U$3,0))</f>
        <v>4.8</v>
      </c>
      <c r="CQ33" s="11">
        <f ca="1">OFFSET('COM Techs T15'!$AO34,0,MATCH(VLOOKUP('COM Veda input'!CQ$3,'RES Assumptions T15'!$V$3:$W$35,2,FALSE),'COM Techs T15'!$G$3:$U$3,0))</f>
        <v>4.2</v>
      </c>
      <c r="CR33" s="11" t="str">
        <f ca="1">OFFSET('COM Techs T15'!$AO34,0,MATCH(VLOOKUP('COM Veda input'!CR$3,'RES Assumptions T15'!$V$3:$W$35,2,FALSE),'COM Techs T15'!$G$3:$U$3,0))</f>
        <v/>
      </c>
      <c r="CS33" s="11" t="str">
        <f ca="1">OFFSET('COM Techs T15'!$AO34,0,MATCH(VLOOKUP('COM Veda input'!CS$3,'RES Assumptions T15'!$V$3:$W$35,2,FALSE),'COM Techs T15'!$G$3:$U$3,0))</f>
        <v/>
      </c>
      <c r="CT33" s="11">
        <f ca="1">OFFSET('COM Techs T15'!$AO34,0,MATCH(VLOOKUP('COM Veda input'!CT$3,'RES Assumptions T15'!$V$3:$W$35,2,FALSE),'COM Techs T15'!$G$3:$U$3,0))</f>
        <v>4.2</v>
      </c>
      <c r="CU33" s="11" t="str">
        <f ca="1">OFFSET('COM Techs T15'!$AO34,0,MATCH(VLOOKUP('COM Veda input'!CU$3,'RES Assumptions T15'!$V$3:$W$35,2,FALSE),'COM Techs T15'!$G$3:$U$3,0))</f>
        <v/>
      </c>
      <c r="CV33" s="11" t="str">
        <f ca="1">OFFSET('COM Techs T15'!$AO34,0,MATCH(VLOOKUP('COM Veda input'!CV$3,'RES Assumptions T15'!$V$3:$W$35,2,FALSE),'COM Techs T15'!$G$3:$U$3,0))</f>
        <v/>
      </c>
      <c r="CW33" s="11" t="str">
        <f ca="1">OFFSET('COM Techs T15'!$AO34,0,MATCH(VLOOKUP('COM Veda input'!CW$3,'RES Assumptions T15'!$V$3:$W$35,2,FALSE),'COM Techs T15'!$G$3:$U$3,0))</f>
        <v/>
      </c>
      <c r="CX33" s="11" t="str">
        <f ca="1">OFFSET('COM Techs T15'!$AO34,0,MATCH(VLOOKUP('COM Veda input'!CX$3,'RES Assumptions T15'!$V$3:$W$35,2,FALSE),'COM Techs T15'!$G$3:$U$3,0))</f>
        <v/>
      </c>
      <c r="CZ33" s="8" t="str">
        <f t="shared" si="22"/>
        <v>CHWELC000</v>
      </c>
      <c r="DA33" s="10">
        <f ca="1">'COM Assumptions'!E110*G33/'COM Veda input'!AM33</f>
        <v>87.091214581098001</v>
      </c>
      <c r="DB33" s="10">
        <f ca="1">'COM Assumptions'!F110*H33/'COM Veda input'!AN33</f>
        <v>53.689973707188003</v>
      </c>
      <c r="DC33" s="10">
        <f ca="1">'COM Assumptions'!G110*I33/'COM Veda input'!AO33</f>
        <v>28.445092278876</v>
      </c>
      <c r="DD33" s="10">
        <f ca="1">'COM Assumptions'!H110*J33/'COM Veda input'!AP33</f>
        <v>88.865505037763995</v>
      </c>
      <c r="DE33" s="10">
        <f ca="1">'COM Assumptions'!I110*K33/'COM Veda input'!AQ33</f>
        <v>0</v>
      </c>
      <c r="DF33" s="10">
        <f ca="1">'COM Assumptions'!J110*L33/'COM Veda input'!AR33</f>
        <v>636.69556961730711</v>
      </c>
      <c r="DG33" s="10">
        <f ca="1">'COM Assumptions'!K110*M33/'COM Veda input'!AS33</f>
        <v>203.64326951724001</v>
      </c>
      <c r="DH33" s="10">
        <f ca="1">'COM Assumptions'!L110*N33/'COM Veda input'!AT33</f>
        <v>92.410847461295987</v>
      </c>
      <c r="DI33" s="10">
        <f ca="1">'COM Assumptions'!M110*O33/'COM Veda input'!AU33</f>
        <v>114.417576127008</v>
      </c>
      <c r="DJ33" s="10">
        <f ca="1">'COM Assumptions'!N110*P33/'COM Veda input'!AV33</f>
        <v>319.29513603886079</v>
      </c>
      <c r="DK33" s="10">
        <f ca="1">'COM Assumptions'!O110*Q33/'COM Veda input'!AW33</f>
        <v>108.7507193749704</v>
      </c>
      <c r="DL33" s="10">
        <f ca="1">'COM Assumptions'!P110*R33/'COM Veda input'!AX33</f>
        <v>307.22616237549602</v>
      </c>
      <c r="DM33" s="10">
        <f ca="1">'COM Assumptions'!Q110*S33/'COM Veda input'!AY33</f>
        <v>143.84571060721677</v>
      </c>
      <c r="DN33" s="10">
        <f ca="1">'COM Assumptions'!R110*T33/'COM Veda input'!AZ33</f>
        <v>216.98399284969676</v>
      </c>
      <c r="DO33" s="10">
        <f ca="1">'COM Assumptions'!S110*U33/'COM Veda input'!BA33</f>
        <v>116.540644461696</v>
      </c>
      <c r="DP33" s="10">
        <f ca="1">'COM Assumptions'!T110*V33/'COM Veda input'!BB33</f>
        <v>179.00665958972161</v>
      </c>
      <c r="DQ33" s="10">
        <f ca="1">'COM Assumptions'!U110*W33/'COM Veda input'!BC33</f>
        <v>223.19369379052199</v>
      </c>
      <c r="DR33" s="10">
        <f ca="1">'COM Assumptions'!V110*X33/'COM Veda input'!BD33</f>
        <v>268.51879731484081</v>
      </c>
      <c r="DS33" s="10">
        <f ca="1">'COM Assumptions'!W110*Y33/'COM Veda input'!BE33</f>
        <v>255.47689520982718</v>
      </c>
      <c r="DT33" s="10">
        <f ca="1">'COM Assumptions'!X110*Z33/'COM Veda input'!BF33</f>
        <v>37.234849275514797</v>
      </c>
      <c r="DU33" s="10">
        <f ca="1">'COM Assumptions'!Y110*AA33/'COM Veda input'!BG33</f>
        <v>58.5450978034104</v>
      </c>
      <c r="DV33" s="10">
        <f ca="1">'COM Assumptions'!Z110*AB33/'COM Veda input'!BH33</f>
        <v>47.037626074529996</v>
      </c>
      <c r="DW33" s="10">
        <f ca="1">'COM Assumptions'!AA110*AC33/'COM Veda input'!BI33</f>
        <v>253.70113638378601</v>
      </c>
      <c r="DX33" s="10">
        <f ca="1">'COM Assumptions'!AB110*AD33/'COM Veda input'!BJ33</f>
        <v>54.164169385653594</v>
      </c>
      <c r="DY33" s="10">
        <f ca="1">'COM Assumptions'!AC110*AE33/'COM Veda input'!BK33</f>
        <v>500.79851581687205</v>
      </c>
      <c r="DZ33" s="10">
        <f ca="1">'COM Assumptions'!AD110*AF33/'COM Veda input'!BL33</f>
        <v>200.48227531277405</v>
      </c>
      <c r="EA33" s="10">
        <f ca="1">'COM Assumptions'!AE110*AG33/'COM Veda input'!BM33</f>
        <v>60.782254939224003</v>
      </c>
      <c r="EB33" s="10">
        <f ca="1">'COM Assumptions'!AF110*AH33/'COM Veda input'!BN33</f>
        <v>177.14111801546159</v>
      </c>
      <c r="EC33" s="10">
        <f ca="1">'COM Assumptions'!AG110*AI33/'COM Veda input'!BO33</f>
        <v>844.56440864188414</v>
      </c>
      <c r="ED33" s="10">
        <f ca="1">'COM Assumptions'!AH110*AJ33/'COM Veda input'!BP33</f>
        <v>0</v>
      </c>
      <c r="EE33" s="8">
        <v>15</v>
      </c>
      <c r="EI33" s="8" t="str">
        <f t="shared" si="23"/>
        <v>CHWELC000</v>
      </c>
      <c r="EK33" t="s">
        <v>282</v>
      </c>
      <c r="EL33" t="s">
        <v>283</v>
      </c>
    </row>
    <row r="34" spans="1:142" x14ac:dyDescent="0.45">
      <c r="A34" s="37" t="str">
        <f>'COM Assumptions'!B111</f>
        <v>CHW</v>
      </c>
      <c r="B34" s="37" t="s">
        <v>240</v>
      </c>
      <c r="D34" t="s">
        <v>240</v>
      </c>
      <c r="E34" s="8" t="str">
        <f>'COM Assumptions'!A111</f>
        <v>COMGEO</v>
      </c>
      <c r="F34" t="str">
        <f>VLOOKUP('COM Assumptions'!B111,'COM Assumptions'!$AP$81:$AQ$88,2,FALSE)</f>
        <v>CHW</v>
      </c>
      <c r="G34" s="11">
        <f ca="1">OFFSET('COM Techs T15'!$F35,0,MATCH(VLOOKUP('COM Veda input'!G$3,'RES Assumptions T15'!$V$3:$W$35,2,FALSE),'COM Techs T15'!$G$3:$U$3,0))</f>
        <v>1</v>
      </c>
      <c r="H34" s="11">
        <f ca="1">OFFSET('COM Techs T15'!$F35,0,MATCH(VLOOKUP('COM Veda input'!H$3,'RES Assumptions T15'!$V$3:$W$35,2,FALSE),'COM Techs T15'!$G$3:$U$3,0))</f>
        <v>1</v>
      </c>
      <c r="I34" s="11">
        <f ca="1">OFFSET('COM Techs T15'!$F35,0,MATCH(VLOOKUP('COM Veda input'!I$3,'RES Assumptions T15'!$V$3:$W$35,2,FALSE),'COM Techs T15'!$G$3:$U$3,0))</f>
        <v>1</v>
      </c>
      <c r="J34" s="11">
        <f ca="1">OFFSET('COM Techs T15'!$F35,0,MATCH(VLOOKUP('COM Veda input'!J$3,'RES Assumptions T15'!$V$3:$W$35,2,FALSE),'COM Techs T15'!$G$3:$U$3,0))</f>
        <v>1</v>
      </c>
      <c r="K34" s="11">
        <f ca="1">OFFSET('COM Techs T15'!$F35,0,MATCH(VLOOKUP('COM Veda input'!K$3,'RES Assumptions T15'!$V$3:$W$35,2,FALSE),'COM Techs T15'!$G$3:$U$3,0))</f>
        <v>1</v>
      </c>
      <c r="L34" s="11">
        <f ca="1">OFFSET('COM Techs T15'!$F35,0,MATCH(VLOOKUP('COM Veda input'!L$3,'RES Assumptions T15'!$V$3:$W$35,2,FALSE),'COM Techs T15'!$G$3:$U$3,0))</f>
        <v>1</v>
      </c>
      <c r="M34" s="11">
        <f ca="1">OFFSET('COM Techs T15'!$F35,0,MATCH(VLOOKUP('COM Veda input'!M$3,'RES Assumptions T15'!$V$3:$W$35,2,FALSE),'COM Techs T15'!$G$3:$U$3,0))</f>
        <v>1</v>
      </c>
      <c r="N34" s="11">
        <f ca="1">OFFSET('COM Techs T15'!$F35,0,MATCH(VLOOKUP('COM Veda input'!N$3,'RES Assumptions T15'!$V$3:$W$35,2,FALSE),'COM Techs T15'!$G$3:$U$3,0))</f>
        <v>1</v>
      </c>
      <c r="O34" s="11">
        <f ca="1">OFFSET('COM Techs T15'!$F35,0,MATCH(VLOOKUP('COM Veda input'!O$3,'RES Assumptions T15'!$V$3:$W$35,2,FALSE),'COM Techs T15'!$G$3:$U$3,0))</f>
        <v>1</v>
      </c>
      <c r="P34" s="11">
        <f ca="1">OFFSET('COM Techs T15'!$F35,0,MATCH(VLOOKUP('COM Veda input'!P$3,'RES Assumptions T15'!$V$3:$W$35,2,FALSE),'COM Techs T15'!$G$3:$U$3,0))</f>
        <v>1</v>
      </c>
      <c r="Q34" s="11">
        <f ca="1">OFFSET('COM Techs T15'!$F35,0,MATCH(VLOOKUP('COM Veda input'!Q$3,'RES Assumptions T15'!$V$3:$W$35,2,FALSE),'COM Techs T15'!$G$3:$U$3,0))</f>
        <v>1</v>
      </c>
      <c r="R34" s="11">
        <f ca="1">OFFSET('COM Techs T15'!$F35,0,MATCH(VLOOKUP('COM Veda input'!R$3,'RES Assumptions T15'!$V$3:$W$35,2,FALSE),'COM Techs T15'!$G$3:$U$3,0))</f>
        <v>1</v>
      </c>
      <c r="S34" s="11">
        <f ca="1">OFFSET('COM Techs T15'!$F35,0,MATCH(VLOOKUP('COM Veda input'!S$3,'RES Assumptions T15'!$V$3:$W$35,2,FALSE),'COM Techs T15'!$G$3:$U$3,0))</f>
        <v>1</v>
      </c>
      <c r="T34" s="11">
        <f ca="1">OFFSET('COM Techs T15'!$F35,0,MATCH(VLOOKUP('COM Veda input'!T$3,'RES Assumptions T15'!$V$3:$W$35,2,FALSE),'COM Techs T15'!$G$3:$U$3,0))</f>
        <v>1</v>
      </c>
      <c r="U34" s="11">
        <f ca="1">OFFSET('COM Techs T15'!$F35,0,MATCH(VLOOKUP('COM Veda input'!U$3,'RES Assumptions T15'!$V$3:$W$35,2,FALSE),'COM Techs T15'!$G$3:$U$3,0))</f>
        <v>1</v>
      </c>
      <c r="V34" s="11">
        <f ca="1">OFFSET('COM Techs T15'!$F35,0,MATCH(VLOOKUP('COM Veda input'!V$3,'RES Assumptions T15'!$V$3:$W$35,2,FALSE),'COM Techs T15'!$G$3:$U$3,0))</f>
        <v>1</v>
      </c>
      <c r="W34" s="11">
        <f ca="1">OFFSET('COM Techs T15'!$F35,0,MATCH(VLOOKUP('COM Veda input'!W$3,'RES Assumptions T15'!$V$3:$W$35,2,FALSE),'COM Techs T15'!$G$3:$U$3,0))</f>
        <v>1</v>
      </c>
      <c r="X34" s="11">
        <f ca="1">OFFSET('COM Techs T15'!$F35,0,MATCH(VLOOKUP('COM Veda input'!X$3,'RES Assumptions T15'!$V$3:$W$35,2,FALSE),'COM Techs T15'!$G$3:$U$3,0))</f>
        <v>1</v>
      </c>
      <c r="Y34" s="11">
        <f ca="1">OFFSET('COM Techs T15'!$F35,0,MATCH(VLOOKUP('COM Veda input'!Y$3,'RES Assumptions T15'!$V$3:$W$35,2,FALSE),'COM Techs T15'!$G$3:$U$3,0))</f>
        <v>1</v>
      </c>
      <c r="Z34" s="11">
        <f ca="1">OFFSET('COM Techs T15'!$F35,0,MATCH(VLOOKUP('COM Veda input'!Z$3,'RES Assumptions T15'!$V$3:$W$35,2,FALSE),'COM Techs T15'!$G$3:$U$3,0))</f>
        <v>1</v>
      </c>
      <c r="AA34" s="11">
        <f ca="1">OFFSET('COM Techs T15'!$F35,0,MATCH(VLOOKUP('COM Veda input'!AA$3,'RES Assumptions T15'!$V$3:$W$35,2,FALSE),'COM Techs T15'!$G$3:$U$3,0))</f>
        <v>1</v>
      </c>
      <c r="AB34" s="11">
        <f ca="1">OFFSET('COM Techs T15'!$F35,0,MATCH(VLOOKUP('COM Veda input'!AB$3,'RES Assumptions T15'!$V$3:$W$35,2,FALSE),'COM Techs T15'!$G$3:$U$3,0))</f>
        <v>1</v>
      </c>
      <c r="AC34" s="11">
        <f ca="1">OFFSET('COM Techs T15'!$F35,0,MATCH(VLOOKUP('COM Veda input'!AC$3,'RES Assumptions T15'!$V$3:$W$35,2,FALSE),'COM Techs T15'!$G$3:$U$3,0))</f>
        <v>1</v>
      </c>
      <c r="AD34" s="11">
        <f ca="1">OFFSET('COM Techs T15'!$F35,0,MATCH(VLOOKUP('COM Veda input'!AD$3,'RES Assumptions T15'!$V$3:$W$35,2,FALSE),'COM Techs T15'!$G$3:$U$3,0))</f>
        <v>1</v>
      </c>
      <c r="AE34" s="11">
        <f ca="1">OFFSET('COM Techs T15'!$F35,0,MATCH(VLOOKUP('COM Veda input'!AE$3,'RES Assumptions T15'!$V$3:$W$35,2,FALSE),'COM Techs T15'!$G$3:$U$3,0))</f>
        <v>1</v>
      </c>
      <c r="AF34" s="11">
        <f ca="1">OFFSET('COM Techs T15'!$F35,0,MATCH(VLOOKUP('COM Veda input'!AF$3,'RES Assumptions T15'!$V$3:$W$35,2,FALSE),'COM Techs T15'!$G$3:$U$3,0))</f>
        <v>1</v>
      </c>
      <c r="AG34" s="11">
        <f ca="1">OFFSET('COM Techs T15'!$F35,0,MATCH(VLOOKUP('COM Veda input'!AG$3,'RES Assumptions T15'!$V$3:$W$35,2,FALSE),'COM Techs T15'!$G$3:$U$3,0))</f>
        <v>1</v>
      </c>
      <c r="AH34" s="11">
        <f ca="1">OFFSET('COM Techs T15'!$F35,0,MATCH(VLOOKUP('COM Veda input'!AH$3,'RES Assumptions T15'!$V$3:$W$35,2,FALSE),'COM Techs T15'!$G$3:$U$3,0))</f>
        <v>1</v>
      </c>
      <c r="AI34" s="11">
        <f ca="1">OFFSET('COM Techs T15'!$F35,0,MATCH(VLOOKUP('COM Veda input'!AI$3,'RES Assumptions T15'!$V$3:$W$35,2,FALSE),'COM Techs T15'!$G$3:$U$3,0))</f>
        <v>1</v>
      </c>
      <c r="AJ34" s="11">
        <f ca="1">OFFSET('COM Techs T15'!$F35,0,MATCH(VLOOKUP('COM Veda input'!AJ$3,'RES Assumptions T15'!$V$3:$W$35,2,FALSE),'COM Techs T15'!$G$3:$U$3,0))</f>
        <v>1</v>
      </c>
      <c r="AL34" s="8" t="str">
        <f t="shared" si="19"/>
        <v>CHWGEO000</v>
      </c>
      <c r="AM34" s="11">
        <f ca="1">OFFSET('COM Techs T15'!$W35,0,MATCH(VLOOKUP('COM Veda input'!AM$3,'RES Assumptions T15'!$V$3:$W$35,2,FALSE),'COM Techs T15'!$G$3:$U$3,0))</f>
        <v>0.25</v>
      </c>
      <c r="AN34" s="11">
        <f ca="1">OFFSET('COM Techs T15'!$W35,0,MATCH(VLOOKUP('COM Veda input'!AN$3,'RES Assumptions T15'!$V$3:$W$35,2,FALSE),'COM Techs T15'!$G$3:$U$3,0))</f>
        <v>0.25</v>
      </c>
      <c r="AO34" s="11">
        <f ca="1">OFFSET('COM Techs T15'!$W35,0,MATCH(VLOOKUP('COM Veda input'!AO$3,'RES Assumptions T15'!$V$3:$W$35,2,FALSE),'COM Techs T15'!$G$3:$U$3,0))</f>
        <v>0.25</v>
      </c>
      <c r="AP34" s="11">
        <f ca="1">OFFSET('COM Techs T15'!$W35,0,MATCH(VLOOKUP('COM Veda input'!AP$3,'RES Assumptions T15'!$V$3:$W$35,2,FALSE),'COM Techs T15'!$G$3:$U$3,0))</f>
        <v>0.25</v>
      </c>
      <c r="AQ34" s="11">
        <f ca="1">OFFSET('COM Techs T15'!$W35,0,MATCH(VLOOKUP('COM Veda input'!AQ$3,'RES Assumptions T15'!$V$3:$W$35,2,FALSE),'COM Techs T15'!$G$3:$U$3,0))</f>
        <v>0.25</v>
      </c>
      <c r="AR34" s="11">
        <f ca="1">OFFSET('COM Techs T15'!$W35,0,MATCH(VLOOKUP('COM Veda input'!AR$3,'RES Assumptions T15'!$V$3:$W$35,2,FALSE),'COM Techs T15'!$G$3:$U$3,0))</f>
        <v>0.25</v>
      </c>
      <c r="AS34" s="11">
        <f ca="1">OFFSET('COM Techs T15'!$W35,0,MATCH(VLOOKUP('COM Veda input'!AS$3,'RES Assumptions T15'!$V$3:$W$35,2,FALSE),'COM Techs T15'!$G$3:$U$3,0))</f>
        <v>0.25</v>
      </c>
      <c r="AT34" s="11">
        <f ca="1">OFFSET('COM Techs T15'!$W35,0,MATCH(VLOOKUP('COM Veda input'!AT$3,'RES Assumptions T15'!$V$3:$W$35,2,FALSE),'COM Techs T15'!$G$3:$U$3,0))</f>
        <v>0.25</v>
      </c>
      <c r="AU34" s="11">
        <f ca="1">OFFSET('COM Techs T15'!$W35,0,MATCH(VLOOKUP('COM Veda input'!AU$3,'RES Assumptions T15'!$V$3:$W$35,2,FALSE),'COM Techs T15'!$G$3:$U$3,0))</f>
        <v>0.25</v>
      </c>
      <c r="AV34" s="11">
        <f ca="1">OFFSET('COM Techs T15'!$W35,0,MATCH(VLOOKUP('COM Veda input'!AV$3,'RES Assumptions T15'!$V$3:$W$35,2,FALSE),'COM Techs T15'!$G$3:$U$3,0))</f>
        <v>0.25</v>
      </c>
      <c r="AW34" s="11">
        <f ca="1">OFFSET('COM Techs T15'!$W35,0,MATCH(VLOOKUP('COM Veda input'!AW$3,'RES Assumptions T15'!$V$3:$W$35,2,FALSE),'COM Techs T15'!$G$3:$U$3,0))</f>
        <v>0.25</v>
      </c>
      <c r="AX34" s="11">
        <f ca="1">OFFSET('COM Techs T15'!$W35,0,MATCH(VLOOKUP('COM Veda input'!AX$3,'RES Assumptions T15'!$V$3:$W$35,2,FALSE),'COM Techs T15'!$G$3:$U$3,0))</f>
        <v>0.25</v>
      </c>
      <c r="AY34" s="11">
        <f ca="1">OFFSET('COM Techs T15'!$W35,0,MATCH(VLOOKUP('COM Veda input'!AY$3,'RES Assumptions T15'!$V$3:$W$35,2,FALSE),'COM Techs T15'!$G$3:$U$3,0))</f>
        <v>0.25</v>
      </c>
      <c r="AZ34" s="11">
        <f ca="1">OFFSET('COM Techs T15'!$W35,0,MATCH(VLOOKUP('COM Veda input'!AZ$3,'RES Assumptions T15'!$V$3:$W$35,2,FALSE),'COM Techs T15'!$G$3:$U$3,0))</f>
        <v>0.25</v>
      </c>
      <c r="BA34" s="11">
        <f ca="1">OFFSET('COM Techs T15'!$W35,0,MATCH(VLOOKUP('COM Veda input'!BA$3,'RES Assumptions T15'!$V$3:$W$35,2,FALSE),'COM Techs T15'!$G$3:$U$3,0))</f>
        <v>0.25</v>
      </c>
      <c r="BB34" s="11">
        <f ca="1">OFFSET('COM Techs T15'!$W35,0,MATCH(VLOOKUP('COM Veda input'!BB$3,'RES Assumptions T15'!$V$3:$W$35,2,FALSE),'COM Techs T15'!$G$3:$U$3,0))</f>
        <v>0.25</v>
      </c>
      <c r="BC34" s="11">
        <f ca="1">OFFSET('COM Techs T15'!$W35,0,MATCH(VLOOKUP('COM Veda input'!BC$3,'RES Assumptions T15'!$V$3:$W$35,2,FALSE),'COM Techs T15'!$G$3:$U$3,0))</f>
        <v>0.25</v>
      </c>
      <c r="BD34" s="11">
        <f ca="1">OFFSET('COM Techs T15'!$W35,0,MATCH(VLOOKUP('COM Veda input'!BD$3,'RES Assumptions T15'!$V$3:$W$35,2,FALSE),'COM Techs T15'!$G$3:$U$3,0))</f>
        <v>0.25</v>
      </c>
      <c r="BE34" s="11">
        <f ca="1">OFFSET('COM Techs T15'!$W35,0,MATCH(VLOOKUP('COM Veda input'!BE$3,'RES Assumptions T15'!$V$3:$W$35,2,FALSE),'COM Techs T15'!$G$3:$U$3,0))</f>
        <v>0.25</v>
      </c>
      <c r="BF34" s="11">
        <f ca="1">OFFSET('COM Techs T15'!$W35,0,MATCH(VLOOKUP('COM Veda input'!BF$3,'RES Assumptions T15'!$V$3:$W$35,2,FALSE),'COM Techs T15'!$G$3:$U$3,0))</f>
        <v>0.25</v>
      </c>
      <c r="BG34" s="11">
        <f ca="1">OFFSET('COM Techs T15'!$W35,0,MATCH(VLOOKUP('COM Veda input'!BG$3,'RES Assumptions T15'!$V$3:$W$35,2,FALSE),'COM Techs T15'!$G$3:$U$3,0))</f>
        <v>0.25</v>
      </c>
      <c r="BH34" s="11">
        <f ca="1">OFFSET('COM Techs T15'!$W35,0,MATCH(VLOOKUP('COM Veda input'!BH$3,'RES Assumptions T15'!$V$3:$W$35,2,FALSE),'COM Techs T15'!$G$3:$U$3,0))</f>
        <v>0.25</v>
      </c>
      <c r="BI34" s="11">
        <f ca="1">OFFSET('COM Techs T15'!$W35,0,MATCH(VLOOKUP('COM Veda input'!BI$3,'RES Assumptions T15'!$V$3:$W$35,2,FALSE),'COM Techs T15'!$G$3:$U$3,0))</f>
        <v>0.25</v>
      </c>
      <c r="BJ34" s="11">
        <f ca="1">OFFSET('COM Techs T15'!$W35,0,MATCH(VLOOKUP('COM Veda input'!BJ$3,'RES Assumptions T15'!$V$3:$W$35,2,FALSE),'COM Techs T15'!$G$3:$U$3,0))</f>
        <v>0.25</v>
      </c>
      <c r="BK34" s="11">
        <f ca="1">OFFSET('COM Techs T15'!$W35,0,MATCH(VLOOKUP('COM Veda input'!BK$3,'RES Assumptions T15'!$V$3:$W$35,2,FALSE),'COM Techs T15'!$G$3:$U$3,0))</f>
        <v>0.25</v>
      </c>
      <c r="BL34" s="11">
        <f ca="1">OFFSET('COM Techs T15'!$W35,0,MATCH(VLOOKUP('COM Veda input'!BL$3,'RES Assumptions T15'!$V$3:$W$35,2,FALSE),'COM Techs T15'!$G$3:$U$3,0))</f>
        <v>0.25</v>
      </c>
      <c r="BM34" s="11">
        <f ca="1">OFFSET('COM Techs T15'!$W35,0,MATCH(VLOOKUP('COM Veda input'!BM$3,'RES Assumptions T15'!$V$3:$W$35,2,FALSE),'COM Techs T15'!$G$3:$U$3,0))</f>
        <v>0.25</v>
      </c>
      <c r="BN34" s="11">
        <f ca="1">OFFSET('COM Techs T15'!$W35,0,MATCH(VLOOKUP('COM Veda input'!BN$3,'RES Assumptions T15'!$V$3:$W$35,2,FALSE),'COM Techs T15'!$G$3:$U$3,0))</f>
        <v>0.25</v>
      </c>
      <c r="BO34" s="11">
        <f ca="1">OFFSET('COM Techs T15'!$W35,0,MATCH(VLOOKUP('COM Veda input'!BO$3,'RES Assumptions T15'!$V$3:$W$35,2,FALSE),'COM Techs T15'!$G$3:$U$3,0))</f>
        <v>0.25</v>
      </c>
      <c r="BP34" s="11">
        <f ca="1">OFFSET('COM Techs T15'!$W35,0,MATCH(VLOOKUP('COM Veda input'!BP$3,'RES Assumptions T15'!$V$3:$W$35,2,FALSE),'COM Techs T15'!$G$3:$U$3,0))</f>
        <v>0.25</v>
      </c>
      <c r="BQ34">
        <v>3</v>
      </c>
      <c r="BS34" s="8" t="str">
        <f t="shared" si="20"/>
        <v>CHWGEO000</v>
      </c>
      <c r="BT34" s="11">
        <f t="shared" ca="1" si="21"/>
        <v>0</v>
      </c>
      <c r="BU34" s="11" t="str">
        <f ca="1">OFFSET('COM Techs T15'!$AO35,0,MATCH(VLOOKUP('COM Veda input'!BU$3,'RES Assumptions T15'!$V$3:$W$35,2,FALSE),'COM Techs T15'!$G$3:$U$3,0))</f>
        <v/>
      </c>
      <c r="BV34" s="11" t="str">
        <f ca="1">OFFSET('COM Techs T15'!$AO35,0,MATCH(VLOOKUP('COM Veda input'!BV$3,'RES Assumptions T15'!$V$3:$W$35,2,FALSE),'COM Techs T15'!$G$3:$U$3,0))</f>
        <v/>
      </c>
      <c r="BW34" s="11" t="str">
        <f ca="1">OFFSET('COM Techs T15'!$AO35,0,MATCH(VLOOKUP('COM Veda input'!BW$3,'RES Assumptions T15'!$V$3:$W$35,2,FALSE),'COM Techs T15'!$G$3:$U$3,0))</f>
        <v/>
      </c>
      <c r="BX34" s="11" t="str">
        <f ca="1">OFFSET('COM Techs T15'!$AO35,0,MATCH(VLOOKUP('COM Veda input'!BX$3,'RES Assumptions T15'!$V$3:$W$35,2,FALSE),'COM Techs T15'!$G$3:$U$3,0))</f>
        <v/>
      </c>
      <c r="BY34" s="11" t="str">
        <f ca="1">OFFSET('COM Techs T15'!$AO35,0,MATCH(VLOOKUP('COM Veda input'!BY$3,'RES Assumptions T15'!$V$3:$W$35,2,FALSE),'COM Techs T15'!$G$3:$U$3,0))</f>
        <v/>
      </c>
      <c r="BZ34" s="11" t="str">
        <f ca="1">OFFSET('COM Techs T15'!$AO35,0,MATCH(VLOOKUP('COM Veda input'!BZ$3,'RES Assumptions T15'!$V$3:$W$35,2,FALSE),'COM Techs T15'!$G$3:$U$3,0))</f>
        <v/>
      </c>
      <c r="CA34" s="11" t="str">
        <f ca="1">OFFSET('COM Techs T15'!$AO35,0,MATCH(VLOOKUP('COM Veda input'!CA$3,'RES Assumptions T15'!$V$3:$W$35,2,FALSE),'COM Techs T15'!$G$3:$U$3,0))</f>
        <v/>
      </c>
      <c r="CB34" s="11" t="str">
        <f ca="1">OFFSET('COM Techs T15'!$AO35,0,MATCH(VLOOKUP('COM Veda input'!CB$3,'RES Assumptions T15'!$V$3:$W$35,2,FALSE),'COM Techs T15'!$G$3:$U$3,0))</f>
        <v/>
      </c>
      <c r="CC34" s="11" t="str">
        <f ca="1">OFFSET('COM Techs T15'!$AO35,0,MATCH(VLOOKUP('COM Veda input'!CC$3,'RES Assumptions T15'!$V$3:$W$35,2,FALSE),'COM Techs T15'!$G$3:$U$3,0))</f>
        <v/>
      </c>
      <c r="CD34" s="11" t="str">
        <f ca="1">OFFSET('COM Techs T15'!$AO35,0,MATCH(VLOOKUP('COM Veda input'!CD$3,'RES Assumptions T15'!$V$3:$W$35,2,FALSE),'COM Techs T15'!$G$3:$U$3,0))</f>
        <v/>
      </c>
      <c r="CE34" s="11" t="str">
        <f ca="1">OFFSET('COM Techs T15'!$AO35,0,MATCH(VLOOKUP('COM Veda input'!CE$3,'RES Assumptions T15'!$V$3:$W$35,2,FALSE),'COM Techs T15'!$G$3:$U$3,0))</f>
        <v/>
      </c>
      <c r="CF34" s="11" t="str">
        <f ca="1">OFFSET('COM Techs T15'!$AO35,0,MATCH(VLOOKUP('COM Veda input'!CF$3,'RES Assumptions T15'!$V$3:$W$35,2,FALSE),'COM Techs T15'!$G$3:$U$3,0))</f>
        <v/>
      </c>
      <c r="CG34" s="11" t="str">
        <f ca="1">OFFSET('COM Techs T15'!$AO35,0,MATCH(VLOOKUP('COM Veda input'!CG$3,'RES Assumptions T15'!$V$3:$W$35,2,FALSE),'COM Techs T15'!$G$3:$U$3,0))</f>
        <v/>
      </c>
      <c r="CH34" s="11" t="str">
        <f ca="1">OFFSET('COM Techs T15'!$AO35,0,MATCH(VLOOKUP('COM Veda input'!CH$3,'RES Assumptions T15'!$V$3:$W$35,2,FALSE),'COM Techs T15'!$G$3:$U$3,0))</f>
        <v/>
      </c>
      <c r="CI34" s="11" t="str">
        <f ca="1">OFFSET('COM Techs T15'!$AO35,0,MATCH(VLOOKUP('COM Veda input'!CI$3,'RES Assumptions T15'!$V$3:$W$35,2,FALSE),'COM Techs T15'!$G$3:$U$3,0))</f>
        <v/>
      </c>
      <c r="CJ34" s="11" t="str">
        <f ca="1">OFFSET('COM Techs T15'!$AO35,0,MATCH(VLOOKUP('COM Veda input'!CJ$3,'RES Assumptions T15'!$V$3:$W$35,2,FALSE),'COM Techs T15'!$G$3:$U$3,0))</f>
        <v/>
      </c>
      <c r="CK34" s="11" t="str">
        <f ca="1">OFFSET('COM Techs T15'!$AO35,0,MATCH(VLOOKUP('COM Veda input'!CK$3,'RES Assumptions T15'!$V$3:$W$35,2,FALSE),'COM Techs T15'!$G$3:$U$3,0))</f>
        <v/>
      </c>
      <c r="CL34" s="11" t="str">
        <f ca="1">OFFSET('COM Techs T15'!$AO35,0,MATCH(VLOOKUP('COM Veda input'!CL$3,'RES Assumptions T15'!$V$3:$W$35,2,FALSE),'COM Techs T15'!$G$3:$U$3,0))</f>
        <v/>
      </c>
      <c r="CM34" s="11" t="str">
        <f ca="1">OFFSET('COM Techs T15'!$AO35,0,MATCH(VLOOKUP('COM Veda input'!CM$3,'RES Assumptions T15'!$V$3:$W$35,2,FALSE),'COM Techs T15'!$G$3:$U$3,0))</f>
        <v/>
      </c>
      <c r="CN34" s="11" t="str">
        <f ca="1">OFFSET('COM Techs T15'!$AO35,0,MATCH(VLOOKUP('COM Veda input'!CN$3,'RES Assumptions T15'!$V$3:$W$35,2,FALSE),'COM Techs T15'!$G$3:$U$3,0))</f>
        <v/>
      </c>
      <c r="CO34" s="11" t="str">
        <f ca="1">OFFSET('COM Techs T15'!$AO35,0,MATCH(VLOOKUP('COM Veda input'!CO$3,'RES Assumptions T15'!$V$3:$W$35,2,FALSE),'COM Techs T15'!$G$3:$U$3,0))</f>
        <v/>
      </c>
      <c r="CP34" s="11" t="str">
        <f ca="1">OFFSET('COM Techs T15'!$AO35,0,MATCH(VLOOKUP('COM Veda input'!CP$3,'RES Assumptions T15'!$V$3:$W$35,2,FALSE),'COM Techs T15'!$G$3:$U$3,0))</f>
        <v/>
      </c>
      <c r="CQ34" s="11" t="str">
        <f ca="1">OFFSET('COM Techs T15'!$AO35,0,MATCH(VLOOKUP('COM Veda input'!CQ$3,'RES Assumptions T15'!$V$3:$W$35,2,FALSE),'COM Techs T15'!$G$3:$U$3,0))</f>
        <v/>
      </c>
      <c r="CR34" s="11" t="str">
        <f ca="1">OFFSET('COM Techs T15'!$AO35,0,MATCH(VLOOKUP('COM Veda input'!CR$3,'RES Assumptions T15'!$V$3:$W$35,2,FALSE),'COM Techs T15'!$G$3:$U$3,0))</f>
        <v/>
      </c>
      <c r="CS34" s="11" t="str">
        <f ca="1">OFFSET('COM Techs T15'!$AO35,0,MATCH(VLOOKUP('COM Veda input'!CS$3,'RES Assumptions T15'!$V$3:$W$35,2,FALSE),'COM Techs T15'!$G$3:$U$3,0))</f>
        <v/>
      </c>
      <c r="CT34" s="11" t="str">
        <f ca="1">OFFSET('COM Techs T15'!$AO35,0,MATCH(VLOOKUP('COM Veda input'!CT$3,'RES Assumptions T15'!$V$3:$W$35,2,FALSE),'COM Techs T15'!$G$3:$U$3,0))</f>
        <v/>
      </c>
      <c r="CU34" s="11" t="str">
        <f ca="1">OFFSET('COM Techs T15'!$AO35,0,MATCH(VLOOKUP('COM Veda input'!CU$3,'RES Assumptions T15'!$V$3:$W$35,2,FALSE),'COM Techs T15'!$G$3:$U$3,0))</f>
        <v/>
      </c>
      <c r="CV34" s="11" t="str">
        <f ca="1">OFFSET('COM Techs T15'!$AO35,0,MATCH(VLOOKUP('COM Veda input'!CV$3,'RES Assumptions T15'!$V$3:$W$35,2,FALSE),'COM Techs T15'!$G$3:$U$3,0))</f>
        <v/>
      </c>
      <c r="CW34" s="11" t="str">
        <f ca="1">OFFSET('COM Techs T15'!$AO35,0,MATCH(VLOOKUP('COM Veda input'!CW$3,'RES Assumptions T15'!$V$3:$W$35,2,FALSE),'COM Techs T15'!$G$3:$U$3,0))</f>
        <v/>
      </c>
      <c r="CX34" s="11" t="str">
        <f ca="1">OFFSET('COM Techs T15'!$AO35,0,MATCH(VLOOKUP('COM Veda input'!CX$3,'RES Assumptions T15'!$V$3:$W$35,2,FALSE),'COM Techs T15'!$G$3:$U$3,0))</f>
        <v/>
      </c>
      <c r="CZ34" s="8" t="str">
        <f t="shared" si="22"/>
        <v>CHWGEO000</v>
      </c>
      <c r="DA34" s="10">
        <f ca="1">'COM Assumptions'!E111*G34/'COM Veda input'!AM34</f>
        <v>0</v>
      </c>
      <c r="DB34" s="10">
        <f ca="1">'COM Assumptions'!F111*H34/'COM Veda input'!AN34</f>
        <v>0</v>
      </c>
      <c r="DC34" s="10">
        <f ca="1">'COM Assumptions'!G111*I34/'COM Veda input'!AO34</f>
        <v>0</v>
      </c>
      <c r="DD34" s="10">
        <f ca="1">'COM Assumptions'!H111*J34/'COM Veda input'!AP34</f>
        <v>0</v>
      </c>
      <c r="DE34" s="10">
        <f ca="1">'COM Assumptions'!I111*K34/'COM Veda input'!AQ34</f>
        <v>0</v>
      </c>
      <c r="DF34" s="10">
        <f ca="1">'COM Assumptions'!J111*L34/'COM Veda input'!AR34</f>
        <v>0</v>
      </c>
      <c r="DG34" s="10">
        <f ca="1">'COM Assumptions'!K111*M34/'COM Veda input'!AS34</f>
        <v>0</v>
      </c>
      <c r="DH34" s="10">
        <f ca="1">'COM Assumptions'!L111*N34/'COM Veda input'!AT34</f>
        <v>0</v>
      </c>
      <c r="DI34" s="10">
        <f ca="1">'COM Assumptions'!M111*O34/'COM Veda input'!AU34</f>
        <v>0</v>
      </c>
      <c r="DJ34" s="10">
        <f ca="1">'COM Assumptions'!N111*P34/'COM Veda input'!AV34</f>
        <v>0</v>
      </c>
      <c r="DK34" s="10">
        <f ca="1">'COM Assumptions'!O111*Q34/'COM Veda input'!AW34</f>
        <v>0</v>
      </c>
      <c r="DL34" s="10">
        <f ca="1">'COM Assumptions'!P111*R34/'COM Veda input'!AX34</f>
        <v>0.61317528192000004</v>
      </c>
      <c r="DM34" s="10">
        <f ca="1">'COM Assumptions'!Q111*S34/'COM Veda input'!AY34</f>
        <v>0</v>
      </c>
      <c r="DN34" s="10">
        <f ca="1">'COM Assumptions'!R111*T34/'COM Veda input'!AZ34</f>
        <v>0</v>
      </c>
      <c r="DO34" s="10">
        <f ca="1">'COM Assumptions'!S111*U34/'COM Veda input'!BA34</f>
        <v>3.2156533180799998</v>
      </c>
      <c r="DP34" s="10">
        <f ca="1">'COM Assumptions'!T111*V34/'COM Veda input'!BB34</f>
        <v>0</v>
      </c>
      <c r="DQ34" s="10">
        <f ca="1">'COM Assumptions'!U111*W34/'COM Veda input'!BC34</f>
        <v>0.10343405664000001</v>
      </c>
      <c r="DR34" s="10">
        <f ca="1">'COM Assumptions'!V111*X34/'COM Veda input'!BD34</f>
        <v>0</v>
      </c>
      <c r="DS34" s="10">
        <f ca="1">'COM Assumptions'!W111*Y34/'COM Veda input'!BE34</f>
        <v>0</v>
      </c>
      <c r="DT34" s="10">
        <f ca="1">'COM Assumptions'!X111*Z34/'COM Veda input'!BF34</f>
        <v>0</v>
      </c>
      <c r="DU34" s="10">
        <f ca="1">'COM Assumptions'!Y111*AA34/'COM Veda input'!BG34</f>
        <v>0</v>
      </c>
      <c r="DV34" s="10">
        <f ca="1">'COM Assumptions'!Z111*AB34/'COM Veda input'!BH34</f>
        <v>0</v>
      </c>
      <c r="DW34" s="10">
        <f ca="1">'COM Assumptions'!AA111*AC34/'COM Veda input'!BI34</f>
        <v>0</v>
      </c>
      <c r="DX34" s="10">
        <f ca="1">'COM Assumptions'!AB111*AD34/'COM Veda input'!BJ34</f>
        <v>0</v>
      </c>
      <c r="DY34" s="10">
        <f ca="1">'COM Assumptions'!AC111*AE34/'COM Veda input'!BK34</f>
        <v>0</v>
      </c>
      <c r="DZ34" s="10">
        <f ca="1">'COM Assumptions'!AD111*AF34/'COM Veda input'!BL34</f>
        <v>0</v>
      </c>
      <c r="EA34" s="10">
        <f ca="1">'COM Assumptions'!AE111*AG34/'COM Veda input'!BM34</f>
        <v>0</v>
      </c>
      <c r="EB34" s="10">
        <f ca="1">'COM Assumptions'!AF111*AH34/'COM Veda input'!BN34</f>
        <v>0</v>
      </c>
      <c r="EC34" s="10">
        <f ca="1">'COM Assumptions'!AG111*AI34/'COM Veda input'!BO34</f>
        <v>0</v>
      </c>
      <c r="ED34" s="10">
        <f ca="1">'COM Assumptions'!AH111*AJ34/'COM Veda input'!BP34</f>
        <v>0</v>
      </c>
      <c r="EE34" s="8">
        <v>15</v>
      </c>
      <c r="EI34" s="8" t="str">
        <f t="shared" si="23"/>
        <v>CHWGEO000</v>
      </c>
      <c r="EK34" t="s">
        <v>282</v>
      </c>
      <c r="EL34" t="s">
        <v>283</v>
      </c>
    </row>
    <row r="35" spans="1:142" x14ac:dyDescent="0.45">
      <c r="A35" s="37" t="str">
        <f>'COM Assumptions'!B112</f>
        <v>CHW</v>
      </c>
      <c r="B35" s="37" t="s">
        <v>241</v>
      </c>
      <c r="D35" t="s">
        <v>241</v>
      </c>
      <c r="E35" s="8" t="str">
        <f>'COM Assumptions'!A112</f>
        <v>COMHET</v>
      </c>
      <c r="F35" t="str">
        <f>VLOOKUP('COM Assumptions'!B112,'COM Assumptions'!$AP$81:$AQ$88,2,FALSE)</f>
        <v>CHW</v>
      </c>
      <c r="G35" s="11">
        <f ca="1">OFFSET('COM Techs T15'!$F36,0,MATCH(VLOOKUP('COM Veda input'!G$3,'RES Assumptions T15'!$V$3:$W$35,2,FALSE),'COM Techs T15'!$G$3:$U$3,0))</f>
        <v>1</v>
      </c>
      <c r="H35" s="11">
        <f ca="1">OFFSET('COM Techs T15'!$F36,0,MATCH(VLOOKUP('COM Veda input'!H$3,'RES Assumptions T15'!$V$3:$W$35,2,FALSE),'COM Techs T15'!$G$3:$U$3,0))</f>
        <v>1</v>
      </c>
      <c r="I35" s="11">
        <f ca="1">OFFSET('COM Techs T15'!$F36,0,MATCH(VLOOKUP('COM Veda input'!I$3,'RES Assumptions T15'!$V$3:$W$35,2,FALSE),'COM Techs T15'!$G$3:$U$3,0))</f>
        <v>1</v>
      </c>
      <c r="J35" s="11">
        <f ca="1">OFFSET('COM Techs T15'!$F36,0,MATCH(VLOOKUP('COM Veda input'!J$3,'RES Assumptions T15'!$V$3:$W$35,2,FALSE),'COM Techs T15'!$G$3:$U$3,0))</f>
        <v>1</v>
      </c>
      <c r="K35" s="11">
        <f ca="1">OFFSET('COM Techs T15'!$F36,0,MATCH(VLOOKUP('COM Veda input'!K$3,'RES Assumptions T15'!$V$3:$W$35,2,FALSE),'COM Techs T15'!$G$3:$U$3,0))</f>
        <v>1</v>
      </c>
      <c r="L35" s="11">
        <f ca="1">OFFSET('COM Techs T15'!$F36,0,MATCH(VLOOKUP('COM Veda input'!L$3,'RES Assumptions T15'!$V$3:$W$35,2,FALSE),'COM Techs T15'!$G$3:$U$3,0))</f>
        <v>1</v>
      </c>
      <c r="M35" s="11">
        <f ca="1">OFFSET('COM Techs T15'!$F36,0,MATCH(VLOOKUP('COM Veda input'!M$3,'RES Assumptions T15'!$V$3:$W$35,2,FALSE),'COM Techs T15'!$G$3:$U$3,0))</f>
        <v>1</v>
      </c>
      <c r="N35" s="11">
        <f ca="1">OFFSET('COM Techs T15'!$F36,0,MATCH(VLOOKUP('COM Veda input'!N$3,'RES Assumptions T15'!$V$3:$W$35,2,FALSE),'COM Techs T15'!$G$3:$U$3,0))</f>
        <v>1</v>
      </c>
      <c r="O35" s="11">
        <f ca="1">OFFSET('COM Techs T15'!$F36,0,MATCH(VLOOKUP('COM Veda input'!O$3,'RES Assumptions T15'!$V$3:$W$35,2,FALSE),'COM Techs T15'!$G$3:$U$3,0))</f>
        <v>1</v>
      </c>
      <c r="P35" s="11">
        <f ca="1">OFFSET('COM Techs T15'!$F36,0,MATCH(VLOOKUP('COM Veda input'!P$3,'RES Assumptions T15'!$V$3:$W$35,2,FALSE),'COM Techs T15'!$G$3:$U$3,0))</f>
        <v>1</v>
      </c>
      <c r="Q35" s="11">
        <f ca="1">OFFSET('COM Techs T15'!$F36,0,MATCH(VLOOKUP('COM Veda input'!Q$3,'RES Assumptions T15'!$V$3:$W$35,2,FALSE),'COM Techs T15'!$G$3:$U$3,0))</f>
        <v>1</v>
      </c>
      <c r="R35" s="11">
        <f ca="1">OFFSET('COM Techs T15'!$F36,0,MATCH(VLOOKUP('COM Veda input'!R$3,'RES Assumptions T15'!$V$3:$W$35,2,FALSE),'COM Techs T15'!$G$3:$U$3,0))</f>
        <v>1</v>
      </c>
      <c r="S35" s="11">
        <f ca="1">OFFSET('COM Techs T15'!$F36,0,MATCH(VLOOKUP('COM Veda input'!S$3,'RES Assumptions T15'!$V$3:$W$35,2,FALSE),'COM Techs T15'!$G$3:$U$3,0))</f>
        <v>1</v>
      </c>
      <c r="T35" s="11">
        <f ca="1">OFFSET('COM Techs T15'!$F36,0,MATCH(VLOOKUP('COM Veda input'!T$3,'RES Assumptions T15'!$V$3:$W$35,2,FALSE),'COM Techs T15'!$G$3:$U$3,0))</f>
        <v>1</v>
      </c>
      <c r="U35" s="11">
        <f ca="1">OFFSET('COM Techs T15'!$F36,0,MATCH(VLOOKUP('COM Veda input'!U$3,'RES Assumptions T15'!$V$3:$W$35,2,FALSE),'COM Techs T15'!$G$3:$U$3,0))</f>
        <v>1</v>
      </c>
      <c r="V35" s="11">
        <f ca="1">OFFSET('COM Techs T15'!$F36,0,MATCH(VLOOKUP('COM Veda input'!V$3,'RES Assumptions T15'!$V$3:$W$35,2,FALSE),'COM Techs T15'!$G$3:$U$3,0))</f>
        <v>1</v>
      </c>
      <c r="W35" s="11">
        <f ca="1">OFFSET('COM Techs T15'!$F36,0,MATCH(VLOOKUP('COM Veda input'!W$3,'RES Assumptions T15'!$V$3:$W$35,2,FALSE),'COM Techs T15'!$G$3:$U$3,0))</f>
        <v>1</v>
      </c>
      <c r="X35" s="11">
        <f ca="1">OFFSET('COM Techs T15'!$F36,0,MATCH(VLOOKUP('COM Veda input'!X$3,'RES Assumptions T15'!$V$3:$W$35,2,FALSE),'COM Techs T15'!$G$3:$U$3,0))</f>
        <v>1</v>
      </c>
      <c r="Y35" s="11">
        <f ca="1">OFFSET('COM Techs T15'!$F36,0,MATCH(VLOOKUP('COM Veda input'!Y$3,'RES Assumptions T15'!$V$3:$W$35,2,FALSE),'COM Techs T15'!$G$3:$U$3,0))</f>
        <v>1</v>
      </c>
      <c r="Z35" s="11">
        <f ca="1">OFFSET('COM Techs T15'!$F36,0,MATCH(VLOOKUP('COM Veda input'!Z$3,'RES Assumptions T15'!$V$3:$W$35,2,FALSE),'COM Techs T15'!$G$3:$U$3,0))</f>
        <v>1</v>
      </c>
      <c r="AA35" s="11">
        <f ca="1">OFFSET('COM Techs T15'!$F36,0,MATCH(VLOOKUP('COM Veda input'!AA$3,'RES Assumptions T15'!$V$3:$W$35,2,FALSE),'COM Techs T15'!$G$3:$U$3,0))</f>
        <v>1</v>
      </c>
      <c r="AB35" s="11">
        <f ca="1">OFFSET('COM Techs T15'!$F36,0,MATCH(VLOOKUP('COM Veda input'!AB$3,'RES Assumptions T15'!$V$3:$W$35,2,FALSE),'COM Techs T15'!$G$3:$U$3,0))</f>
        <v>1</v>
      </c>
      <c r="AC35" s="11">
        <f ca="1">OFFSET('COM Techs T15'!$F36,0,MATCH(VLOOKUP('COM Veda input'!AC$3,'RES Assumptions T15'!$V$3:$W$35,2,FALSE),'COM Techs T15'!$G$3:$U$3,0))</f>
        <v>1</v>
      </c>
      <c r="AD35" s="11">
        <f ca="1">OFFSET('COM Techs T15'!$F36,0,MATCH(VLOOKUP('COM Veda input'!AD$3,'RES Assumptions T15'!$V$3:$W$35,2,FALSE),'COM Techs T15'!$G$3:$U$3,0))</f>
        <v>1</v>
      </c>
      <c r="AE35" s="11">
        <f ca="1">OFFSET('COM Techs T15'!$F36,0,MATCH(VLOOKUP('COM Veda input'!AE$3,'RES Assumptions T15'!$V$3:$W$35,2,FALSE),'COM Techs T15'!$G$3:$U$3,0))</f>
        <v>1</v>
      </c>
      <c r="AF35" s="11">
        <f ca="1">OFFSET('COM Techs T15'!$F36,0,MATCH(VLOOKUP('COM Veda input'!AF$3,'RES Assumptions T15'!$V$3:$W$35,2,FALSE),'COM Techs T15'!$G$3:$U$3,0))</f>
        <v>1</v>
      </c>
      <c r="AG35" s="11">
        <f ca="1">OFFSET('COM Techs T15'!$F36,0,MATCH(VLOOKUP('COM Veda input'!AG$3,'RES Assumptions T15'!$V$3:$W$35,2,FALSE),'COM Techs T15'!$G$3:$U$3,0))</f>
        <v>1</v>
      </c>
      <c r="AH35" s="11">
        <f ca="1">OFFSET('COM Techs T15'!$F36,0,MATCH(VLOOKUP('COM Veda input'!AH$3,'RES Assumptions T15'!$V$3:$W$35,2,FALSE),'COM Techs T15'!$G$3:$U$3,0))</f>
        <v>1</v>
      </c>
      <c r="AI35" s="11">
        <f ca="1">OFFSET('COM Techs T15'!$F36,0,MATCH(VLOOKUP('COM Veda input'!AI$3,'RES Assumptions T15'!$V$3:$W$35,2,FALSE),'COM Techs T15'!$G$3:$U$3,0))</f>
        <v>1</v>
      </c>
      <c r="AJ35" s="11">
        <f ca="1">OFFSET('COM Techs T15'!$F36,0,MATCH(VLOOKUP('COM Veda input'!AJ$3,'RES Assumptions T15'!$V$3:$W$35,2,FALSE),'COM Techs T15'!$G$3:$U$3,0))</f>
        <v>1</v>
      </c>
      <c r="AL35" s="8" t="str">
        <f t="shared" si="19"/>
        <v>CHWHET000</v>
      </c>
      <c r="AM35" s="11">
        <f ca="1">OFFSET('COM Techs T15'!$W36,0,MATCH(VLOOKUP('COM Veda input'!AM$3,'RES Assumptions T15'!$V$3:$W$35,2,FALSE),'COM Techs T15'!$G$3:$U$3,0))</f>
        <v>0.25</v>
      </c>
      <c r="AN35" s="11">
        <f ca="1">OFFSET('COM Techs T15'!$W36,0,MATCH(VLOOKUP('COM Veda input'!AN$3,'RES Assumptions T15'!$V$3:$W$35,2,FALSE),'COM Techs T15'!$G$3:$U$3,0))</f>
        <v>0.25</v>
      </c>
      <c r="AO35" s="11">
        <f ca="1">OFFSET('COM Techs T15'!$W36,0,MATCH(VLOOKUP('COM Veda input'!AO$3,'RES Assumptions T15'!$V$3:$W$35,2,FALSE),'COM Techs T15'!$G$3:$U$3,0))</f>
        <v>0.25</v>
      </c>
      <c r="AP35" s="11">
        <f ca="1">OFFSET('COM Techs T15'!$W36,0,MATCH(VLOOKUP('COM Veda input'!AP$3,'RES Assumptions T15'!$V$3:$W$35,2,FALSE),'COM Techs T15'!$G$3:$U$3,0))</f>
        <v>0.25</v>
      </c>
      <c r="AQ35" s="11">
        <f ca="1">OFFSET('COM Techs T15'!$W36,0,MATCH(VLOOKUP('COM Veda input'!AQ$3,'RES Assumptions T15'!$V$3:$W$35,2,FALSE),'COM Techs T15'!$G$3:$U$3,0))</f>
        <v>0.25</v>
      </c>
      <c r="AR35" s="11">
        <f ca="1">OFFSET('COM Techs T15'!$W36,0,MATCH(VLOOKUP('COM Veda input'!AR$3,'RES Assumptions T15'!$V$3:$W$35,2,FALSE),'COM Techs T15'!$G$3:$U$3,0))</f>
        <v>0.25</v>
      </c>
      <c r="AS35" s="11">
        <f ca="1">OFFSET('COM Techs T15'!$W36,0,MATCH(VLOOKUP('COM Veda input'!AS$3,'RES Assumptions T15'!$V$3:$W$35,2,FALSE),'COM Techs T15'!$G$3:$U$3,0))</f>
        <v>0.25</v>
      </c>
      <c r="AT35" s="11">
        <f ca="1">OFFSET('COM Techs T15'!$W36,0,MATCH(VLOOKUP('COM Veda input'!AT$3,'RES Assumptions T15'!$V$3:$W$35,2,FALSE),'COM Techs T15'!$G$3:$U$3,0))</f>
        <v>0.25</v>
      </c>
      <c r="AU35" s="11">
        <f ca="1">OFFSET('COM Techs T15'!$W36,0,MATCH(VLOOKUP('COM Veda input'!AU$3,'RES Assumptions T15'!$V$3:$W$35,2,FALSE),'COM Techs T15'!$G$3:$U$3,0))</f>
        <v>0.25</v>
      </c>
      <c r="AV35" s="11">
        <f ca="1">OFFSET('COM Techs T15'!$W36,0,MATCH(VLOOKUP('COM Veda input'!AV$3,'RES Assumptions T15'!$V$3:$W$35,2,FALSE),'COM Techs T15'!$G$3:$U$3,0))</f>
        <v>0.25</v>
      </c>
      <c r="AW35" s="11">
        <f ca="1">OFFSET('COM Techs T15'!$W36,0,MATCH(VLOOKUP('COM Veda input'!AW$3,'RES Assumptions T15'!$V$3:$W$35,2,FALSE),'COM Techs T15'!$G$3:$U$3,0))</f>
        <v>0.25</v>
      </c>
      <c r="AX35" s="11">
        <f ca="1">OFFSET('COM Techs T15'!$W36,0,MATCH(VLOOKUP('COM Veda input'!AX$3,'RES Assumptions T15'!$V$3:$W$35,2,FALSE),'COM Techs T15'!$G$3:$U$3,0))</f>
        <v>0.25</v>
      </c>
      <c r="AY35" s="11">
        <f ca="1">OFFSET('COM Techs T15'!$W36,0,MATCH(VLOOKUP('COM Veda input'!AY$3,'RES Assumptions T15'!$V$3:$W$35,2,FALSE),'COM Techs T15'!$G$3:$U$3,0))</f>
        <v>0.25</v>
      </c>
      <c r="AZ35" s="11">
        <f ca="1">OFFSET('COM Techs T15'!$W36,0,MATCH(VLOOKUP('COM Veda input'!AZ$3,'RES Assumptions T15'!$V$3:$W$35,2,FALSE),'COM Techs T15'!$G$3:$U$3,0))</f>
        <v>0.25</v>
      </c>
      <c r="BA35" s="11">
        <f ca="1">OFFSET('COM Techs T15'!$W36,0,MATCH(VLOOKUP('COM Veda input'!BA$3,'RES Assumptions T15'!$V$3:$W$35,2,FALSE),'COM Techs T15'!$G$3:$U$3,0))</f>
        <v>0.25</v>
      </c>
      <c r="BB35" s="11">
        <f ca="1">OFFSET('COM Techs T15'!$W36,0,MATCH(VLOOKUP('COM Veda input'!BB$3,'RES Assumptions T15'!$V$3:$W$35,2,FALSE),'COM Techs T15'!$G$3:$U$3,0))</f>
        <v>0.25</v>
      </c>
      <c r="BC35" s="11">
        <f ca="1">OFFSET('COM Techs T15'!$W36,0,MATCH(VLOOKUP('COM Veda input'!BC$3,'RES Assumptions T15'!$V$3:$W$35,2,FALSE),'COM Techs T15'!$G$3:$U$3,0))</f>
        <v>0.25</v>
      </c>
      <c r="BD35" s="11">
        <f ca="1">OFFSET('COM Techs T15'!$W36,0,MATCH(VLOOKUP('COM Veda input'!BD$3,'RES Assumptions T15'!$V$3:$W$35,2,FALSE),'COM Techs T15'!$G$3:$U$3,0))</f>
        <v>0.25</v>
      </c>
      <c r="BE35" s="11">
        <f ca="1">OFFSET('COM Techs T15'!$W36,0,MATCH(VLOOKUP('COM Veda input'!BE$3,'RES Assumptions T15'!$V$3:$W$35,2,FALSE),'COM Techs T15'!$G$3:$U$3,0))</f>
        <v>0.25</v>
      </c>
      <c r="BF35" s="11">
        <f ca="1">OFFSET('COM Techs T15'!$W36,0,MATCH(VLOOKUP('COM Veda input'!BF$3,'RES Assumptions T15'!$V$3:$W$35,2,FALSE),'COM Techs T15'!$G$3:$U$3,0))</f>
        <v>0.25</v>
      </c>
      <c r="BG35" s="11">
        <f ca="1">OFFSET('COM Techs T15'!$W36,0,MATCH(VLOOKUP('COM Veda input'!BG$3,'RES Assumptions T15'!$V$3:$W$35,2,FALSE),'COM Techs T15'!$G$3:$U$3,0))</f>
        <v>0.25</v>
      </c>
      <c r="BH35" s="11">
        <f ca="1">OFFSET('COM Techs T15'!$W36,0,MATCH(VLOOKUP('COM Veda input'!BH$3,'RES Assumptions T15'!$V$3:$W$35,2,FALSE),'COM Techs T15'!$G$3:$U$3,0))</f>
        <v>0.25</v>
      </c>
      <c r="BI35" s="11">
        <f ca="1">OFFSET('COM Techs T15'!$W36,0,MATCH(VLOOKUP('COM Veda input'!BI$3,'RES Assumptions T15'!$V$3:$W$35,2,FALSE),'COM Techs T15'!$G$3:$U$3,0))</f>
        <v>0.25</v>
      </c>
      <c r="BJ35" s="11">
        <f ca="1">OFFSET('COM Techs T15'!$W36,0,MATCH(VLOOKUP('COM Veda input'!BJ$3,'RES Assumptions T15'!$V$3:$W$35,2,FALSE),'COM Techs T15'!$G$3:$U$3,0))</f>
        <v>0.25</v>
      </c>
      <c r="BK35" s="11">
        <f ca="1">OFFSET('COM Techs T15'!$W36,0,MATCH(VLOOKUP('COM Veda input'!BK$3,'RES Assumptions T15'!$V$3:$W$35,2,FALSE),'COM Techs T15'!$G$3:$U$3,0))</f>
        <v>0.25</v>
      </c>
      <c r="BL35" s="11">
        <f ca="1">OFFSET('COM Techs T15'!$W36,0,MATCH(VLOOKUP('COM Veda input'!BL$3,'RES Assumptions T15'!$V$3:$W$35,2,FALSE),'COM Techs T15'!$G$3:$U$3,0))</f>
        <v>0.25</v>
      </c>
      <c r="BM35" s="11">
        <f ca="1">OFFSET('COM Techs T15'!$W36,0,MATCH(VLOOKUP('COM Veda input'!BM$3,'RES Assumptions T15'!$V$3:$W$35,2,FALSE),'COM Techs T15'!$G$3:$U$3,0))</f>
        <v>0.25</v>
      </c>
      <c r="BN35" s="11">
        <f ca="1">OFFSET('COM Techs T15'!$W36,0,MATCH(VLOOKUP('COM Veda input'!BN$3,'RES Assumptions T15'!$V$3:$W$35,2,FALSE),'COM Techs T15'!$G$3:$U$3,0))</f>
        <v>0.25</v>
      </c>
      <c r="BO35" s="11">
        <f ca="1">OFFSET('COM Techs T15'!$W36,0,MATCH(VLOOKUP('COM Veda input'!BO$3,'RES Assumptions T15'!$V$3:$W$35,2,FALSE),'COM Techs T15'!$G$3:$U$3,0))</f>
        <v>0.25</v>
      </c>
      <c r="BP35" s="11">
        <f ca="1">OFFSET('COM Techs T15'!$W36,0,MATCH(VLOOKUP('COM Veda input'!BP$3,'RES Assumptions T15'!$V$3:$W$35,2,FALSE),'COM Techs T15'!$G$3:$U$3,0))</f>
        <v>0.25</v>
      </c>
      <c r="BQ35">
        <v>3</v>
      </c>
      <c r="BS35" s="8" t="str">
        <f t="shared" si="20"/>
        <v>CHWHET000</v>
      </c>
      <c r="BT35" s="11">
        <f t="shared" ca="1" si="21"/>
        <v>0</v>
      </c>
      <c r="BU35" s="11" t="str">
        <f ca="1">OFFSET('COM Techs T15'!$AO36,0,MATCH(VLOOKUP('COM Veda input'!BU$3,'RES Assumptions T15'!$V$3:$W$35,2,FALSE),'COM Techs T15'!$G$3:$U$3,0))</f>
        <v/>
      </c>
      <c r="BV35" s="11" t="str">
        <f ca="1">OFFSET('COM Techs T15'!$AO36,0,MATCH(VLOOKUP('COM Veda input'!BV$3,'RES Assumptions T15'!$V$3:$W$35,2,FALSE),'COM Techs T15'!$G$3:$U$3,0))</f>
        <v/>
      </c>
      <c r="BW35" s="11" t="str">
        <f ca="1">OFFSET('COM Techs T15'!$AO36,0,MATCH(VLOOKUP('COM Veda input'!BW$3,'RES Assumptions T15'!$V$3:$W$35,2,FALSE),'COM Techs T15'!$G$3:$U$3,0))</f>
        <v/>
      </c>
      <c r="BX35" s="11" t="str">
        <f ca="1">OFFSET('COM Techs T15'!$AO36,0,MATCH(VLOOKUP('COM Veda input'!BX$3,'RES Assumptions T15'!$V$3:$W$35,2,FALSE),'COM Techs T15'!$G$3:$U$3,0))</f>
        <v/>
      </c>
      <c r="BY35" s="11" t="str">
        <f ca="1">OFFSET('COM Techs T15'!$AO36,0,MATCH(VLOOKUP('COM Veda input'!BY$3,'RES Assumptions T15'!$V$3:$W$35,2,FALSE),'COM Techs T15'!$G$3:$U$3,0))</f>
        <v/>
      </c>
      <c r="BZ35" s="11" t="str">
        <f ca="1">OFFSET('COM Techs T15'!$AO36,0,MATCH(VLOOKUP('COM Veda input'!BZ$3,'RES Assumptions T15'!$V$3:$W$35,2,FALSE),'COM Techs T15'!$G$3:$U$3,0))</f>
        <v/>
      </c>
      <c r="CA35" s="11" t="str">
        <f ca="1">OFFSET('COM Techs T15'!$AO36,0,MATCH(VLOOKUP('COM Veda input'!CA$3,'RES Assumptions T15'!$V$3:$W$35,2,FALSE),'COM Techs T15'!$G$3:$U$3,0))</f>
        <v/>
      </c>
      <c r="CB35" s="11" t="str">
        <f ca="1">OFFSET('COM Techs T15'!$AO36,0,MATCH(VLOOKUP('COM Veda input'!CB$3,'RES Assumptions T15'!$V$3:$W$35,2,FALSE),'COM Techs T15'!$G$3:$U$3,0))</f>
        <v/>
      </c>
      <c r="CC35" s="11" t="str">
        <f ca="1">OFFSET('COM Techs T15'!$AO36,0,MATCH(VLOOKUP('COM Veda input'!CC$3,'RES Assumptions T15'!$V$3:$W$35,2,FALSE),'COM Techs T15'!$G$3:$U$3,0))</f>
        <v/>
      </c>
      <c r="CD35" s="11" t="str">
        <f ca="1">OFFSET('COM Techs T15'!$AO36,0,MATCH(VLOOKUP('COM Veda input'!CD$3,'RES Assumptions T15'!$V$3:$W$35,2,FALSE),'COM Techs T15'!$G$3:$U$3,0))</f>
        <v/>
      </c>
      <c r="CE35" s="11" t="str">
        <f ca="1">OFFSET('COM Techs T15'!$AO36,0,MATCH(VLOOKUP('COM Veda input'!CE$3,'RES Assumptions T15'!$V$3:$W$35,2,FALSE),'COM Techs T15'!$G$3:$U$3,0))</f>
        <v/>
      </c>
      <c r="CF35" s="11" t="str">
        <f ca="1">OFFSET('COM Techs T15'!$AO36,0,MATCH(VLOOKUP('COM Veda input'!CF$3,'RES Assumptions T15'!$V$3:$W$35,2,FALSE),'COM Techs T15'!$G$3:$U$3,0))</f>
        <v/>
      </c>
      <c r="CG35" s="11" t="str">
        <f ca="1">OFFSET('COM Techs T15'!$AO36,0,MATCH(VLOOKUP('COM Veda input'!CG$3,'RES Assumptions T15'!$V$3:$W$35,2,FALSE),'COM Techs T15'!$G$3:$U$3,0))</f>
        <v/>
      </c>
      <c r="CH35" s="11" t="str">
        <f ca="1">OFFSET('COM Techs T15'!$AO36,0,MATCH(VLOOKUP('COM Veda input'!CH$3,'RES Assumptions T15'!$V$3:$W$35,2,FALSE),'COM Techs T15'!$G$3:$U$3,0))</f>
        <v/>
      </c>
      <c r="CI35" s="11" t="str">
        <f ca="1">OFFSET('COM Techs T15'!$AO36,0,MATCH(VLOOKUP('COM Veda input'!CI$3,'RES Assumptions T15'!$V$3:$W$35,2,FALSE),'COM Techs T15'!$G$3:$U$3,0))</f>
        <v/>
      </c>
      <c r="CJ35" s="11" t="str">
        <f ca="1">OFFSET('COM Techs T15'!$AO36,0,MATCH(VLOOKUP('COM Veda input'!CJ$3,'RES Assumptions T15'!$V$3:$W$35,2,FALSE),'COM Techs T15'!$G$3:$U$3,0))</f>
        <v/>
      </c>
      <c r="CK35" s="11" t="str">
        <f ca="1">OFFSET('COM Techs T15'!$AO36,0,MATCH(VLOOKUP('COM Veda input'!CK$3,'RES Assumptions T15'!$V$3:$W$35,2,FALSE),'COM Techs T15'!$G$3:$U$3,0))</f>
        <v/>
      </c>
      <c r="CL35" s="11" t="str">
        <f ca="1">OFFSET('COM Techs T15'!$AO36,0,MATCH(VLOOKUP('COM Veda input'!CL$3,'RES Assumptions T15'!$V$3:$W$35,2,FALSE),'COM Techs T15'!$G$3:$U$3,0))</f>
        <v/>
      </c>
      <c r="CM35" s="11" t="str">
        <f ca="1">OFFSET('COM Techs T15'!$AO36,0,MATCH(VLOOKUP('COM Veda input'!CM$3,'RES Assumptions T15'!$V$3:$W$35,2,FALSE),'COM Techs T15'!$G$3:$U$3,0))</f>
        <v/>
      </c>
      <c r="CN35" s="11" t="str">
        <f ca="1">OFFSET('COM Techs T15'!$AO36,0,MATCH(VLOOKUP('COM Veda input'!CN$3,'RES Assumptions T15'!$V$3:$W$35,2,FALSE),'COM Techs T15'!$G$3:$U$3,0))</f>
        <v/>
      </c>
      <c r="CO35" s="11" t="str">
        <f ca="1">OFFSET('COM Techs T15'!$AO36,0,MATCH(VLOOKUP('COM Veda input'!CO$3,'RES Assumptions T15'!$V$3:$W$35,2,FALSE),'COM Techs T15'!$G$3:$U$3,0))</f>
        <v/>
      </c>
      <c r="CP35" s="11" t="str">
        <f ca="1">OFFSET('COM Techs T15'!$AO36,0,MATCH(VLOOKUP('COM Veda input'!CP$3,'RES Assumptions T15'!$V$3:$W$35,2,FALSE),'COM Techs T15'!$G$3:$U$3,0))</f>
        <v/>
      </c>
      <c r="CQ35" s="11" t="str">
        <f ca="1">OFFSET('COM Techs T15'!$AO36,0,MATCH(VLOOKUP('COM Veda input'!CQ$3,'RES Assumptions T15'!$V$3:$W$35,2,FALSE),'COM Techs T15'!$G$3:$U$3,0))</f>
        <v/>
      </c>
      <c r="CR35" s="11" t="str">
        <f ca="1">OFFSET('COM Techs T15'!$AO36,0,MATCH(VLOOKUP('COM Veda input'!CR$3,'RES Assumptions T15'!$V$3:$W$35,2,FALSE),'COM Techs T15'!$G$3:$U$3,0))</f>
        <v/>
      </c>
      <c r="CS35" s="11" t="str">
        <f ca="1">OFFSET('COM Techs T15'!$AO36,0,MATCH(VLOOKUP('COM Veda input'!CS$3,'RES Assumptions T15'!$V$3:$W$35,2,FALSE),'COM Techs T15'!$G$3:$U$3,0))</f>
        <v/>
      </c>
      <c r="CT35" s="11" t="str">
        <f ca="1">OFFSET('COM Techs T15'!$AO36,0,MATCH(VLOOKUP('COM Veda input'!CT$3,'RES Assumptions T15'!$V$3:$W$35,2,FALSE),'COM Techs T15'!$G$3:$U$3,0))</f>
        <v/>
      </c>
      <c r="CU35" s="11" t="str">
        <f ca="1">OFFSET('COM Techs T15'!$AO36,0,MATCH(VLOOKUP('COM Veda input'!CU$3,'RES Assumptions T15'!$V$3:$W$35,2,FALSE),'COM Techs T15'!$G$3:$U$3,0))</f>
        <v/>
      </c>
      <c r="CV35" s="11" t="str">
        <f ca="1">OFFSET('COM Techs T15'!$AO36,0,MATCH(VLOOKUP('COM Veda input'!CV$3,'RES Assumptions T15'!$V$3:$W$35,2,FALSE),'COM Techs T15'!$G$3:$U$3,0))</f>
        <v/>
      </c>
      <c r="CW35" s="11" t="str">
        <f ca="1">OFFSET('COM Techs T15'!$AO36,0,MATCH(VLOOKUP('COM Veda input'!CW$3,'RES Assumptions T15'!$V$3:$W$35,2,FALSE),'COM Techs T15'!$G$3:$U$3,0))</f>
        <v/>
      </c>
      <c r="CX35" s="11" t="str">
        <f ca="1">OFFSET('COM Techs T15'!$AO36,0,MATCH(VLOOKUP('COM Veda input'!CX$3,'RES Assumptions T15'!$V$3:$W$35,2,FALSE),'COM Techs T15'!$G$3:$U$3,0))</f>
        <v/>
      </c>
      <c r="CZ35" s="8" t="str">
        <f t="shared" si="22"/>
        <v>CHWHET000</v>
      </c>
      <c r="DA35" s="10">
        <f ca="1">'COM Assumptions'!E112*G35/'COM Veda input'!AM35</f>
        <v>0</v>
      </c>
      <c r="DB35" s="10">
        <f ca="1">'COM Assumptions'!F112*H35/'COM Veda input'!AN35</f>
        <v>0</v>
      </c>
      <c r="DC35" s="10">
        <f ca="1">'COM Assumptions'!G112*I35/'COM Veda input'!AO35</f>
        <v>0</v>
      </c>
      <c r="DD35" s="10">
        <f ca="1">'COM Assumptions'!H112*J35/'COM Veda input'!AP35</f>
        <v>0</v>
      </c>
      <c r="DE35" s="10">
        <f ca="1">'COM Assumptions'!I112*K35/'COM Veda input'!AQ35</f>
        <v>0</v>
      </c>
      <c r="DF35" s="10">
        <f ca="1">'COM Assumptions'!J112*L35/'COM Veda input'!AR35</f>
        <v>12.551088556800002</v>
      </c>
      <c r="DG35" s="10">
        <f ca="1">'COM Assumptions'!K112*M35/'COM Veda input'!AS35</f>
        <v>0</v>
      </c>
      <c r="DH35" s="10">
        <f ca="1">'COM Assumptions'!L112*N35/'COM Veda input'!AT35</f>
        <v>0</v>
      </c>
      <c r="DI35" s="10">
        <f ca="1">'COM Assumptions'!M112*O35/'COM Veda input'!AU35</f>
        <v>0</v>
      </c>
      <c r="DJ35" s="10">
        <f ca="1">'COM Assumptions'!N112*P35/'COM Veda input'!AV35</f>
        <v>0</v>
      </c>
      <c r="DK35" s="10">
        <f ca="1">'COM Assumptions'!O112*Q35/'COM Veda input'!AW35</f>
        <v>0</v>
      </c>
      <c r="DL35" s="10">
        <f ca="1">'COM Assumptions'!P112*R35/'COM Veda input'!AX35</f>
        <v>0</v>
      </c>
      <c r="DM35" s="10">
        <f ca="1">'COM Assumptions'!Q112*S35/'COM Veda input'!AY35</f>
        <v>0</v>
      </c>
      <c r="DN35" s="10">
        <f ca="1">'COM Assumptions'!R112*T35/'COM Veda input'!AZ35</f>
        <v>0</v>
      </c>
      <c r="DO35" s="10">
        <f ca="1">'COM Assumptions'!S112*U35/'COM Veda input'!BA35</f>
        <v>0</v>
      </c>
      <c r="DP35" s="10">
        <f ca="1">'COM Assumptions'!T112*V35/'COM Veda input'!BB35</f>
        <v>0</v>
      </c>
      <c r="DQ35" s="10">
        <f ca="1">'COM Assumptions'!U112*W35/'COM Veda input'!BC35</f>
        <v>0</v>
      </c>
      <c r="DR35" s="10">
        <f ca="1">'COM Assumptions'!V112*X35/'COM Veda input'!BD35</f>
        <v>0</v>
      </c>
      <c r="DS35" s="10">
        <f ca="1">'COM Assumptions'!W112*Y35/'COM Veda input'!BE35</f>
        <v>0</v>
      </c>
      <c r="DT35" s="10">
        <f ca="1">'COM Assumptions'!X112*Z35/'COM Veda input'!BF35</f>
        <v>0</v>
      </c>
      <c r="DU35" s="10">
        <f ca="1">'COM Assumptions'!Y112*AA35/'COM Veda input'!BG35</f>
        <v>0</v>
      </c>
      <c r="DV35" s="10">
        <f ca="1">'COM Assumptions'!Z112*AB35/'COM Veda input'!BH35</f>
        <v>0</v>
      </c>
      <c r="DW35" s="10">
        <f ca="1">'COM Assumptions'!AA112*AC35/'COM Veda input'!BI35</f>
        <v>0</v>
      </c>
      <c r="DX35" s="10">
        <f ca="1">'COM Assumptions'!AB112*AD35/'COM Veda input'!BJ35</f>
        <v>0</v>
      </c>
      <c r="DY35" s="10">
        <f ca="1">'COM Assumptions'!AC112*AE35/'COM Veda input'!BK35</f>
        <v>0</v>
      </c>
      <c r="DZ35" s="10">
        <f ca="1">'COM Assumptions'!AD112*AF35/'COM Veda input'!BL35</f>
        <v>0</v>
      </c>
      <c r="EA35" s="10">
        <f ca="1">'COM Assumptions'!AE112*AG35/'COM Veda input'!BM35</f>
        <v>0</v>
      </c>
      <c r="EB35" s="10">
        <f ca="1">'COM Assumptions'!AF112*AH35/'COM Veda input'!BN35</f>
        <v>0</v>
      </c>
      <c r="EC35" s="10">
        <f ca="1">'COM Assumptions'!AG112*AI35/'COM Veda input'!BO35</f>
        <v>0</v>
      </c>
      <c r="ED35" s="10">
        <f ca="1">'COM Assumptions'!AH112*AJ35/'COM Veda input'!BP35</f>
        <v>0</v>
      </c>
      <c r="EE35" s="8">
        <v>15</v>
      </c>
      <c r="EI35" s="8" t="str">
        <f t="shared" si="23"/>
        <v>CHWHET000</v>
      </c>
      <c r="EK35" t="s">
        <v>282</v>
      </c>
      <c r="EL35" t="s">
        <v>283</v>
      </c>
    </row>
    <row r="36" spans="1:142" x14ac:dyDescent="0.45">
      <c r="A36" s="37" t="str">
        <f>'COM Assumptions'!B113</f>
        <v>CHW</v>
      </c>
      <c r="B36" s="37" t="s">
        <v>243</v>
      </c>
      <c r="D36" t="s">
        <v>243</v>
      </c>
      <c r="E36" s="8" t="str">
        <f>'COM Assumptions'!A113</f>
        <v>COMKER</v>
      </c>
      <c r="F36" t="str">
        <f>VLOOKUP('COM Assumptions'!B113,'COM Assumptions'!$AP$81:$AQ$88,2,FALSE)</f>
        <v>CHW</v>
      </c>
      <c r="G36" s="11">
        <f ca="1">OFFSET('COM Techs T15'!$F38,0,MATCH(VLOOKUP('COM Veda input'!G$3,'RES Assumptions T15'!$V$3:$W$35,2,FALSE),'COM Techs T15'!$G$3:$U$3,0))</f>
        <v>0.6</v>
      </c>
      <c r="H36" s="11">
        <f ca="1">OFFSET('COM Techs T15'!$F38,0,MATCH(VLOOKUP('COM Veda input'!H$3,'RES Assumptions T15'!$V$3:$W$35,2,FALSE),'COM Techs T15'!$G$3:$U$3,0))</f>
        <v>0.6</v>
      </c>
      <c r="I36" s="11">
        <f ca="1">OFFSET('COM Techs T15'!$F38,0,MATCH(VLOOKUP('COM Veda input'!I$3,'RES Assumptions T15'!$V$3:$W$35,2,FALSE),'COM Techs T15'!$G$3:$U$3,0))</f>
        <v>0.6</v>
      </c>
      <c r="J36" s="11">
        <f ca="1">OFFSET('COM Techs T15'!$F38,0,MATCH(VLOOKUP('COM Veda input'!J$3,'RES Assumptions T15'!$V$3:$W$35,2,FALSE),'COM Techs T15'!$G$3:$U$3,0))</f>
        <v>0.6</v>
      </c>
      <c r="K36" s="11">
        <f ca="1">OFFSET('COM Techs T15'!$F38,0,MATCH(VLOOKUP('COM Veda input'!K$3,'RES Assumptions T15'!$V$3:$W$35,2,FALSE),'COM Techs T15'!$G$3:$U$3,0))</f>
        <v>0.6</v>
      </c>
      <c r="L36" s="11">
        <f ca="1">OFFSET('COM Techs T15'!$F38,0,MATCH(VLOOKUP('COM Veda input'!L$3,'RES Assumptions T15'!$V$3:$W$35,2,FALSE),'COM Techs T15'!$G$3:$U$3,0))</f>
        <v>0.6</v>
      </c>
      <c r="M36" s="11">
        <f ca="1">OFFSET('COM Techs T15'!$F38,0,MATCH(VLOOKUP('COM Veda input'!M$3,'RES Assumptions T15'!$V$3:$W$35,2,FALSE),'COM Techs T15'!$G$3:$U$3,0))</f>
        <v>0.6</v>
      </c>
      <c r="N36" s="11">
        <f ca="1">OFFSET('COM Techs T15'!$F38,0,MATCH(VLOOKUP('COM Veda input'!N$3,'RES Assumptions T15'!$V$3:$W$35,2,FALSE),'COM Techs T15'!$G$3:$U$3,0))</f>
        <v>0.6</v>
      </c>
      <c r="O36" s="11">
        <f ca="1">OFFSET('COM Techs T15'!$F38,0,MATCH(VLOOKUP('COM Veda input'!O$3,'RES Assumptions T15'!$V$3:$W$35,2,FALSE),'COM Techs T15'!$G$3:$U$3,0))</f>
        <v>0.6</v>
      </c>
      <c r="P36" s="11">
        <f ca="1">OFFSET('COM Techs T15'!$F38,0,MATCH(VLOOKUP('COM Veda input'!P$3,'RES Assumptions T15'!$V$3:$W$35,2,FALSE),'COM Techs T15'!$G$3:$U$3,0))</f>
        <v>0.6</v>
      </c>
      <c r="Q36" s="11">
        <f ca="1">OFFSET('COM Techs T15'!$F38,0,MATCH(VLOOKUP('COM Veda input'!Q$3,'RES Assumptions T15'!$V$3:$W$35,2,FALSE),'COM Techs T15'!$G$3:$U$3,0))</f>
        <v>0.6</v>
      </c>
      <c r="R36" s="11">
        <f ca="1">OFFSET('COM Techs T15'!$F38,0,MATCH(VLOOKUP('COM Veda input'!R$3,'RES Assumptions T15'!$V$3:$W$35,2,FALSE),'COM Techs T15'!$G$3:$U$3,0))</f>
        <v>0.6</v>
      </c>
      <c r="S36" s="11">
        <f ca="1">OFFSET('COM Techs T15'!$F38,0,MATCH(VLOOKUP('COM Veda input'!S$3,'RES Assumptions T15'!$V$3:$W$35,2,FALSE),'COM Techs T15'!$G$3:$U$3,0))</f>
        <v>0.6</v>
      </c>
      <c r="T36" s="11">
        <f ca="1">OFFSET('COM Techs T15'!$F38,0,MATCH(VLOOKUP('COM Veda input'!T$3,'RES Assumptions T15'!$V$3:$W$35,2,FALSE),'COM Techs T15'!$G$3:$U$3,0))</f>
        <v>0.6</v>
      </c>
      <c r="U36" s="11">
        <f ca="1">OFFSET('COM Techs T15'!$F38,0,MATCH(VLOOKUP('COM Veda input'!U$3,'RES Assumptions T15'!$V$3:$W$35,2,FALSE),'COM Techs T15'!$G$3:$U$3,0))</f>
        <v>0.6</v>
      </c>
      <c r="V36" s="11">
        <f ca="1">OFFSET('COM Techs T15'!$F38,0,MATCH(VLOOKUP('COM Veda input'!V$3,'RES Assumptions T15'!$V$3:$W$35,2,FALSE),'COM Techs T15'!$G$3:$U$3,0))</f>
        <v>0.6</v>
      </c>
      <c r="W36" s="11">
        <f ca="1">OFFSET('COM Techs T15'!$F38,0,MATCH(VLOOKUP('COM Veda input'!W$3,'RES Assumptions T15'!$V$3:$W$35,2,FALSE),'COM Techs T15'!$G$3:$U$3,0))</f>
        <v>0.6</v>
      </c>
      <c r="X36" s="11">
        <f ca="1">OFFSET('COM Techs T15'!$F38,0,MATCH(VLOOKUP('COM Veda input'!X$3,'RES Assumptions T15'!$V$3:$W$35,2,FALSE),'COM Techs T15'!$G$3:$U$3,0))</f>
        <v>0.6</v>
      </c>
      <c r="Y36" s="11">
        <f ca="1">OFFSET('COM Techs T15'!$F38,0,MATCH(VLOOKUP('COM Veda input'!Y$3,'RES Assumptions T15'!$V$3:$W$35,2,FALSE),'COM Techs T15'!$G$3:$U$3,0))</f>
        <v>0.6</v>
      </c>
      <c r="Z36" s="11">
        <f ca="1">OFFSET('COM Techs T15'!$F38,0,MATCH(VLOOKUP('COM Veda input'!Z$3,'RES Assumptions T15'!$V$3:$W$35,2,FALSE),'COM Techs T15'!$G$3:$U$3,0))</f>
        <v>0.6</v>
      </c>
      <c r="AA36" s="11">
        <f ca="1">OFFSET('COM Techs T15'!$F38,0,MATCH(VLOOKUP('COM Veda input'!AA$3,'RES Assumptions T15'!$V$3:$W$35,2,FALSE),'COM Techs T15'!$G$3:$U$3,0))</f>
        <v>0.6</v>
      </c>
      <c r="AB36" s="11">
        <f ca="1">OFFSET('COM Techs T15'!$F38,0,MATCH(VLOOKUP('COM Veda input'!AB$3,'RES Assumptions T15'!$V$3:$W$35,2,FALSE),'COM Techs T15'!$G$3:$U$3,0))</f>
        <v>0.6</v>
      </c>
      <c r="AC36" s="11">
        <f ca="1">OFFSET('COM Techs T15'!$F38,0,MATCH(VLOOKUP('COM Veda input'!AC$3,'RES Assumptions T15'!$V$3:$W$35,2,FALSE),'COM Techs T15'!$G$3:$U$3,0))</f>
        <v>0.6</v>
      </c>
      <c r="AD36" s="11">
        <f ca="1">OFFSET('COM Techs T15'!$F38,0,MATCH(VLOOKUP('COM Veda input'!AD$3,'RES Assumptions T15'!$V$3:$W$35,2,FALSE),'COM Techs T15'!$G$3:$U$3,0))</f>
        <v>0.6</v>
      </c>
      <c r="AE36" s="11">
        <f ca="1">OFFSET('COM Techs T15'!$F38,0,MATCH(VLOOKUP('COM Veda input'!AE$3,'RES Assumptions T15'!$V$3:$W$35,2,FALSE),'COM Techs T15'!$G$3:$U$3,0))</f>
        <v>0.6</v>
      </c>
      <c r="AF36" s="11">
        <f ca="1">OFFSET('COM Techs T15'!$F38,0,MATCH(VLOOKUP('COM Veda input'!AF$3,'RES Assumptions T15'!$V$3:$W$35,2,FALSE),'COM Techs T15'!$G$3:$U$3,0))</f>
        <v>0.6</v>
      </c>
      <c r="AG36" s="11">
        <f ca="1">OFFSET('COM Techs T15'!$F38,0,MATCH(VLOOKUP('COM Veda input'!AG$3,'RES Assumptions T15'!$V$3:$W$35,2,FALSE),'COM Techs T15'!$G$3:$U$3,0))</f>
        <v>0.6</v>
      </c>
      <c r="AH36" s="11">
        <f ca="1">OFFSET('COM Techs T15'!$F38,0,MATCH(VLOOKUP('COM Veda input'!AH$3,'RES Assumptions T15'!$V$3:$W$35,2,FALSE),'COM Techs T15'!$G$3:$U$3,0))</f>
        <v>0.6</v>
      </c>
      <c r="AI36" s="11">
        <f ca="1">OFFSET('COM Techs T15'!$F38,0,MATCH(VLOOKUP('COM Veda input'!AI$3,'RES Assumptions T15'!$V$3:$W$35,2,FALSE),'COM Techs T15'!$G$3:$U$3,0))</f>
        <v>0.6</v>
      </c>
      <c r="AJ36" s="11">
        <f ca="1">OFFSET('COM Techs T15'!$F38,0,MATCH(VLOOKUP('COM Veda input'!AJ$3,'RES Assumptions T15'!$V$3:$W$35,2,FALSE),'COM Techs T15'!$G$3:$U$3,0))</f>
        <v>0.6</v>
      </c>
      <c r="AL36" s="8" t="str">
        <f t="shared" si="19"/>
        <v>CHWKER000</v>
      </c>
      <c r="AM36" s="11">
        <f ca="1">OFFSET('COM Techs T15'!$W38,0,MATCH(VLOOKUP('COM Veda input'!AM$3,'RES Assumptions T15'!$V$3:$W$35,2,FALSE),'COM Techs T15'!$G$3:$U$3,0))</f>
        <v>0.1</v>
      </c>
      <c r="AN36" s="11">
        <f ca="1">OFFSET('COM Techs T15'!$W38,0,MATCH(VLOOKUP('COM Veda input'!AN$3,'RES Assumptions T15'!$V$3:$W$35,2,FALSE),'COM Techs T15'!$G$3:$U$3,0))</f>
        <v>0.1</v>
      </c>
      <c r="AO36" s="11">
        <f ca="1">OFFSET('COM Techs T15'!$W38,0,MATCH(VLOOKUP('COM Veda input'!AO$3,'RES Assumptions T15'!$V$3:$W$35,2,FALSE),'COM Techs T15'!$G$3:$U$3,0))</f>
        <v>0.1</v>
      </c>
      <c r="AP36" s="11">
        <f ca="1">OFFSET('COM Techs T15'!$W38,0,MATCH(VLOOKUP('COM Veda input'!AP$3,'RES Assumptions T15'!$V$3:$W$35,2,FALSE),'COM Techs T15'!$G$3:$U$3,0))</f>
        <v>0.1</v>
      </c>
      <c r="AQ36" s="11">
        <f ca="1">OFFSET('COM Techs T15'!$W38,0,MATCH(VLOOKUP('COM Veda input'!AQ$3,'RES Assumptions T15'!$V$3:$W$35,2,FALSE),'COM Techs T15'!$G$3:$U$3,0))</f>
        <v>0.1</v>
      </c>
      <c r="AR36" s="11">
        <f ca="1">OFFSET('COM Techs T15'!$W38,0,MATCH(VLOOKUP('COM Veda input'!AR$3,'RES Assumptions T15'!$V$3:$W$35,2,FALSE),'COM Techs T15'!$G$3:$U$3,0))</f>
        <v>0.1</v>
      </c>
      <c r="AS36" s="11">
        <f ca="1">OFFSET('COM Techs T15'!$W38,0,MATCH(VLOOKUP('COM Veda input'!AS$3,'RES Assumptions T15'!$V$3:$W$35,2,FALSE),'COM Techs T15'!$G$3:$U$3,0))</f>
        <v>0.13</v>
      </c>
      <c r="AT36" s="11">
        <f ca="1">OFFSET('COM Techs T15'!$W38,0,MATCH(VLOOKUP('COM Veda input'!AT$3,'RES Assumptions T15'!$V$3:$W$35,2,FALSE),'COM Techs T15'!$G$3:$U$3,0))</f>
        <v>0.1</v>
      </c>
      <c r="AU36" s="11">
        <f ca="1">OFFSET('COM Techs T15'!$W38,0,MATCH(VLOOKUP('COM Veda input'!AU$3,'RES Assumptions T15'!$V$3:$W$35,2,FALSE),'COM Techs T15'!$G$3:$U$3,0))</f>
        <v>0.13</v>
      </c>
      <c r="AV36" s="11">
        <f ca="1">OFFSET('COM Techs T15'!$W38,0,MATCH(VLOOKUP('COM Veda input'!AV$3,'RES Assumptions T15'!$V$3:$W$35,2,FALSE),'COM Techs T15'!$G$3:$U$3,0))</f>
        <v>0.1</v>
      </c>
      <c r="AW36" s="11">
        <f ca="1">OFFSET('COM Techs T15'!$W38,0,MATCH(VLOOKUP('COM Veda input'!AW$3,'RES Assumptions T15'!$V$3:$W$35,2,FALSE),'COM Techs T15'!$G$3:$U$3,0))</f>
        <v>0.1</v>
      </c>
      <c r="AX36" s="11">
        <f ca="1">OFFSET('COM Techs T15'!$W38,0,MATCH(VLOOKUP('COM Veda input'!AX$3,'RES Assumptions T15'!$V$3:$W$35,2,FALSE),'COM Techs T15'!$G$3:$U$3,0))</f>
        <v>0.1</v>
      </c>
      <c r="AY36" s="11">
        <f ca="1">OFFSET('COM Techs T15'!$W38,0,MATCH(VLOOKUP('COM Veda input'!AY$3,'RES Assumptions T15'!$V$3:$W$35,2,FALSE),'COM Techs T15'!$G$3:$U$3,0))</f>
        <v>0.1</v>
      </c>
      <c r="AZ36" s="11">
        <f ca="1">OFFSET('COM Techs T15'!$W38,0,MATCH(VLOOKUP('COM Veda input'!AZ$3,'RES Assumptions T15'!$V$3:$W$35,2,FALSE),'COM Techs T15'!$G$3:$U$3,0))</f>
        <v>0.1</v>
      </c>
      <c r="BA36" s="11">
        <f ca="1">OFFSET('COM Techs T15'!$W38,0,MATCH(VLOOKUP('COM Veda input'!BA$3,'RES Assumptions T15'!$V$3:$W$35,2,FALSE),'COM Techs T15'!$G$3:$U$3,0))</f>
        <v>0.1</v>
      </c>
      <c r="BB36" s="11">
        <f ca="1">OFFSET('COM Techs T15'!$W38,0,MATCH(VLOOKUP('COM Veda input'!BB$3,'RES Assumptions T15'!$V$3:$W$35,2,FALSE),'COM Techs T15'!$G$3:$U$3,0))</f>
        <v>0.1</v>
      </c>
      <c r="BC36" s="11">
        <f ca="1">OFFSET('COM Techs T15'!$W38,0,MATCH(VLOOKUP('COM Veda input'!BC$3,'RES Assumptions T15'!$V$3:$W$35,2,FALSE),'COM Techs T15'!$G$3:$U$3,0))</f>
        <v>0.1</v>
      </c>
      <c r="BD36" s="11">
        <f ca="1">OFFSET('COM Techs T15'!$W38,0,MATCH(VLOOKUP('COM Veda input'!BD$3,'RES Assumptions T15'!$V$3:$W$35,2,FALSE),'COM Techs T15'!$G$3:$U$3,0))</f>
        <v>0.1</v>
      </c>
      <c r="BE36" s="11">
        <f ca="1">OFFSET('COM Techs T15'!$W38,0,MATCH(VLOOKUP('COM Veda input'!BE$3,'RES Assumptions T15'!$V$3:$W$35,2,FALSE),'COM Techs T15'!$G$3:$U$3,0))</f>
        <v>0.1</v>
      </c>
      <c r="BF36" s="11">
        <f ca="1">OFFSET('COM Techs T15'!$W38,0,MATCH(VLOOKUP('COM Veda input'!BF$3,'RES Assumptions T15'!$V$3:$W$35,2,FALSE),'COM Techs T15'!$G$3:$U$3,0))</f>
        <v>0.1</v>
      </c>
      <c r="BG36" s="11">
        <f ca="1">OFFSET('COM Techs T15'!$W38,0,MATCH(VLOOKUP('COM Veda input'!BG$3,'RES Assumptions T15'!$V$3:$W$35,2,FALSE),'COM Techs T15'!$G$3:$U$3,0))</f>
        <v>0.1</v>
      </c>
      <c r="BH36" s="11">
        <f ca="1">OFFSET('COM Techs T15'!$W38,0,MATCH(VLOOKUP('COM Veda input'!BH$3,'RES Assumptions T15'!$V$3:$W$35,2,FALSE),'COM Techs T15'!$G$3:$U$3,0))</f>
        <v>0.1</v>
      </c>
      <c r="BI36" s="11">
        <f ca="1">OFFSET('COM Techs T15'!$W38,0,MATCH(VLOOKUP('COM Veda input'!BI$3,'RES Assumptions T15'!$V$3:$W$35,2,FALSE),'COM Techs T15'!$G$3:$U$3,0))</f>
        <v>0.1</v>
      </c>
      <c r="BJ36" s="11">
        <f ca="1">OFFSET('COM Techs T15'!$W38,0,MATCH(VLOOKUP('COM Veda input'!BJ$3,'RES Assumptions T15'!$V$3:$W$35,2,FALSE),'COM Techs T15'!$G$3:$U$3,0))</f>
        <v>0.1</v>
      </c>
      <c r="BK36" s="11">
        <f ca="1">OFFSET('COM Techs T15'!$W38,0,MATCH(VLOOKUP('COM Veda input'!BK$3,'RES Assumptions T15'!$V$3:$W$35,2,FALSE),'COM Techs T15'!$G$3:$U$3,0))</f>
        <v>0.1</v>
      </c>
      <c r="BL36" s="11">
        <f ca="1">OFFSET('COM Techs T15'!$W38,0,MATCH(VLOOKUP('COM Veda input'!BL$3,'RES Assumptions T15'!$V$3:$W$35,2,FALSE),'COM Techs T15'!$G$3:$U$3,0))</f>
        <v>0.1</v>
      </c>
      <c r="BM36" s="11">
        <f ca="1">OFFSET('COM Techs T15'!$W38,0,MATCH(VLOOKUP('COM Veda input'!BM$3,'RES Assumptions T15'!$V$3:$W$35,2,FALSE),'COM Techs T15'!$G$3:$U$3,0))</f>
        <v>0.1</v>
      </c>
      <c r="BN36" s="11">
        <f ca="1">OFFSET('COM Techs T15'!$W38,0,MATCH(VLOOKUP('COM Veda input'!BN$3,'RES Assumptions T15'!$V$3:$W$35,2,FALSE),'COM Techs T15'!$G$3:$U$3,0))</f>
        <v>0.1</v>
      </c>
      <c r="BO36" s="11">
        <f ca="1">OFFSET('COM Techs T15'!$W38,0,MATCH(VLOOKUP('COM Veda input'!BO$3,'RES Assumptions T15'!$V$3:$W$35,2,FALSE),'COM Techs T15'!$G$3:$U$3,0))</f>
        <v>0.25</v>
      </c>
      <c r="BP36" s="11">
        <f ca="1">OFFSET('COM Techs T15'!$W38,0,MATCH(VLOOKUP('COM Veda input'!BP$3,'RES Assumptions T15'!$V$3:$W$35,2,FALSE),'COM Techs T15'!$G$3:$U$3,0))</f>
        <v>0.25</v>
      </c>
      <c r="BQ36">
        <v>3</v>
      </c>
      <c r="BS36" s="8" t="str">
        <f t="shared" si="20"/>
        <v>CHWKER000</v>
      </c>
      <c r="BT36" s="11">
        <f t="shared" ca="1" si="21"/>
        <v>0.6</v>
      </c>
      <c r="BU36" s="11" t="str">
        <f ca="1">OFFSET('COM Techs T15'!$AO38,0,MATCH(VLOOKUP('COM Veda input'!BU$3,'RES Assumptions T15'!$V$3:$W$35,2,FALSE),'COM Techs T15'!$G$3:$U$3,0))</f>
        <v/>
      </c>
      <c r="BV36" s="11" t="str">
        <f ca="1">OFFSET('COM Techs T15'!$AO38,0,MATCH(VLOOKUP('COM Veda input'!BV$3,'RES Assumptions T15'!$V$3:$W$35,2,FALSE),'COM Techs T15'!$G$3:$U$3,0))</f>
        <v/>
      </c>
      <c r="BW36" s="11">
        <f ca="1">OFFSET('COM Techs T15'!$AO38,0,MATCH(VLOOKUP('COM Veda input'!BW$3,'RES Assumptions T15'!$V$3:$W$35,2,FALSE),'COM Techs T15'!$G$3:$U$3,0))</f>
        <v>2.8</v>
      </c>
      <c r="BX36" s="11" t="str">
        <f ca="1">OFFSET('COM Techs T15'!$AO38,0,MATCH(VLOOKUP('COM Veda input'!BX$3,'RES Assumptions T15'!$V$3:$W$35,2,FALSE),'COM Techs T15'!$G$3:$U$3,0))</f>
        <v/>
      </c>
      <c r="BY36" s="11">
        <f ca="1">OFFSET('COM Techs T15'!$AO38,0,MATCH(VLOOKUP('COM Veda input'!BY$3,'RES Assumptions T15'!$V$3:$W$35,2,FALSE),'COM Techs T15'!$G$3:$U$3,0))</f>
        <v>4</v>
      </c>
      <c r="BZ36" s="11">
        <f ca="1">OFFSET('COM Techs T15'!$AO38,0,MATCH(VLOOKUP('COM Veda input'!BZ$3,'RES Assumptions T15'!$V$3:$W$35,2,FALSE),'COM Techs T15'!$G$3:$U$3,0))</f>
        <v>2.4</v>
      </c>
      <c r="CA36" s="11" t="str">
        <f ca="1">OFFSET('COM Techs T15'!$AO38,0,MATCH(VLOOKUP('COM Veda input'!CA$3,'RES Assumptions T15'!$V$3:$W$35,2,FALSE),'COM Techs T15'!$G$3:$U$3,0))</f>
        <v/>
      </c>
      <c r="CB36" s="11">
        <f ca="1">OFFSET('COM Techs T15'!$AO38,0,MATCH(VLOOKUP('COM Veda input'!CB$3,'RES Assumptions T15'!$V$3:$W$35,2,FALSE),'COM Techs T15'!$G$3:$U$3,0))</f>
        <v>2.8</v>
      </c>
      <c r="CC36" s="11" t="str">
        <f ca="1">OFFSET('COM Techs T15'!$AO38,0,MATCH(VLOOKUP('COM Veda input'!CC$3,'RES Assumptions T15'!$V$3:$W$35,2,FALSE),'COM Techs T15'!$G$3:$U$3,0))</f>
        <v/>
      </c>
      <c r="CD36" s="11">
        <f ca="1">OFFSET('COM Techs T15'!$AO38,0,MATCH(VLOOKUP('COM Veda input'!CD$3,'RES Assumptions T15'!$V$3:$W$35,2,FALSE),'COM Techs T15'!$G$3:$U$3,0))</f>
        <v>0.6</v>
      </c>
      <c r="CE36" s="11" t="str">
        <f ca="1">OFFSET('COM Techs T15'!$AO38,0,MATCH(VLOOKUP('COM Veda input'!CE$3,'RES Assumptions T15'!$V$3:$W$35,2,FALSE),'COM Techs T15'!$G$3:$U$3,0))</f>
        <v/>
      </c>
      <c r="CF36" s="11" t="str">
        <f ca="1">OFFSET('COM Techs T15'!$AO38,0,MATCH(VLOOKUP('COM Veda input'!CF$3,'RES Assumptions T15'!$V$3:$W$35,2,FALSE),'COM Techs T15'!$G$3:$U$3,0))</f>
        <v/>
      </c>
      <c r="CG36" s="11" t="str">
        <f ca="1">OFFSET('COM Techs T15'!$AO38,0,MATCH(VLOOKUP('COM Veda input'!CG$3,'RES Assumptions T15'!$V$3:$W$35,2,FALSE),'COM Techs T15'!$G$3:$U$3,0))</f>
        <v/>
      </c>
      <c r="CH36" s="11" t="str">
        <f ca="1">OFFSET('COM Techs T15'!$AO38,0,MATCH(VLOOKUP('COM Veda input'!CH$3,'RES Assumptions T15'!$V$3:$W$35,2,FALSE),'COM Techs T15'!$G$3:$U$3,0))</f>
        <v/>
      </c>
      <c r="CI36" s="11" t="str">
        <f ca="1">OFFSET('COM Techs T15'!$AO38,0,MATCH(VLOOKUP('COM Veda input'!CI$3,'RES Assumptions T15'!$V$3:$W$35,2,FALSE),'COM Techs T15'!$G$3:$U$3,0))</f>
        <v/>
      </c>
      <c r="CJ36" s="11" t="str">
        <f ca="1">OFFSET('COM Techs T15'!$AO38,0,MATCH(VLOOKUP('COM Veda input'!CJ$3,'RES Assumptions T15'!$V$3:$W$35,2,FALSE),'COM Techs T15'!$G$3:$U$3,0))</f>
        <v/>
      </c>
      <c r="CK36" s="11">
        <f ca="1">OFFSET('COM Techs T15'!$AO38,0,MATCH(VLOOKUP('COM Veda input'!CK$3,'RES Assumptions T15'!$V$3:$W$35,2,FALSE),'COM Techs T15'!$G$3:$U$3,0))</f>
        <v>2.8</v>
      </c>
      <c r="CL36" s="11" t="str">
        <f ca="1">OFFSET('COM Techs T15'!$AO38,0,MATCH(VLOOKUP('COM Veda input'!CL$3,'RES Assumptions T15'!$V$3:$W$35,2,FALSE),'COM Techs T15'!$G$3:$U$3,0))</f>
        <v/>
      </c>
      <c r="CM36" s="11" t="str">
        <f ca="1">OFFSET('COM Techs T15'!$AO38,0,MATCH(VLOOKUP('COM Veda input'!CM$3,'RES Assumptions T15'!$V$3:$W$35,2,FALSE),'COM Techs T15'!$G$3:$U$3,0))</f>
        <v/>
      </c>
      <c r="CN36" s="11">
        <f ca="1">OFFSET('COM Techs T15'!$AO38,0,MATCH(VLOOKUP('COM Veda input'!CN$3,'RES Assumptions T15'!$V$3:$W$35,2,FALSE),'COM Techs T15'!$G$3:$U$3,0))</f>
        <v>2.4</v>
      </c>
      <c r="CO36" s="11">
        <f ca="1">OFFSET('COM Techs T15'!$AO38,0,MATCH(VLOOKUP('COM Veda input'!CO$3,'RES Assumptions T15'!$V$3:$W$35,2,FALSE),'COM Techs T15'!$G$3:$U$3,0))</f>
        <v>2.8</v>
      </c>
      <c r="CP36" s="11">
        <f ca="1">OFFSET('COM Techs T15'!$AO38,0,MATCH(VLOOKUP('COM Veda input'!CP$3,'RES Assumptions T15'!$V$3:$W$35,2,FALSE),'COM Techs T15'!$G$3:$U$3,0))</f>
        <v>3.2</v>
      </c>
      <c r="CQ36" s="11">
        <f ca="1">OFFSET('COM Techs T15'!$AO38,0,MATCH(VLOOKUP('COM Veda input'!CQ$3,'RES Assumptions T15'!$V$3:$W$35,2,FALSE),'COM Techs T15'!$G$3:$U$3,0))</f>
        <v>2.8</v>
      </c>
      <c r="CR36" s="11" t="str">
        <f ca="1">OFFSET('COM Techs T15'!$AO38,0,MATCH(VLOOKUP('COM Veda input'!CR$3,'RES Assumptions T15'!$V$3:$W$35,2,FALSE),'COM Techs T15'!$G$3:$U$3,0))</f>
        <v/>
      </c>
      <c r="CS36" s="11" t="str">
        <f ca="1">OFFSET('COM Techs T15'!$AO38,0,MATCH(VLOOKUP('COM Veda input'!CS$3,'RES Assumptions T15'!$V$3:$W$35,2,FALSE),'COM Techs T15'!$G$3:$U$3,0))</f>
        <v/>
      </c>
      <c r="CT36" s="11">
        <f ca="1">OFFSET('COM Techs T15'!$AO38,0,MATCH(VLOOKUP('COM Veda input'!CT$3,'RES Assumptions T15'!$V$3:$W$35,2,FALSE),'COM Techs T15'!$G$3:$U$3,0))</f>
        <v>2.8</v>
      </c>
      <c r="CU36" s="11" t="str">
        <f ca="1">OFFSET('COM Techs T15'!$AO38,0,MATCH(VLOOKUP('COM Veda input'!CU$3,'RES Assumptions T15'!$V$3:$W$35,2,FALSE),'COM Techs T15'!$G$3:$U$3,0))</f>
        <v/>
      </c>
      <c r="CV36" s="11" t="str">
        <f ca="1">OFFSET('COM Techs T15'!$AO38,0,MATCH(VLOOKUP('COM Veda input'!CV$3,'RES Assumptions T15'!$V$3:$W$35,2,FALSE),'COM Techs T15'!$G$3:$U$3,0))</f>
        <v/>
      </c>
      <c r="CW36" s="11" t="str">
        <f ca="1">OFFSET('COM Techs T15'!$AO38,0,MATCH(VLOOKUP('COM Veda input'!CW$3,'RES Assumptions T15'!$V$3:$W$35,2,FALSE),'COM Techs T15'!$G$3:$U$3,0))</f>
        <v/>
      </c>
      <c r="CX36" s="11" t="str">
        <f ca="1">OFFSET('COM Techs T15'!$AO38,0,MATCH(VLOOKUP('COM Veda input'!CX$3,'RES Assumptions T15'!$V$3:$W$35,2,FALSE),'COM Techs T15'!$G$3:$U$3,0))</f>
        <v/>
      </c>
      <c r="CZ36" s="8" t="str">
        <f t="shared" si="22"/>
        <v>CHWKER000</v>
      </c>
      <c r="DA36" s="10">
        <f ca="1">'COM Assumptions'!E113*G36/'COM Veda input'!AM36</f>
        <v>0</v>
      </c>
      <c r="DB36" s="10">
        <f ca="1">'COM Assumptions'!F113*H36/'COM Veda input'!AN36</f>
        <v>0</v>
      </c>
      <c r="DC36" s="10">
        <f ca="1">'COM Assumptions'!G113*I36/'COM Veda input'!AO36</f>
        <v>0</v>
      </c>
      <c r="DD36" s="10">
        <f ca="1">'COM Assumptions'!H113*J36/'COM Veda input'!AP36</f>
        <v>2.62009944E-2</v>
      </c>
      <c r="DE36" s="10">
        <f ca="1">'COM Assumptions'!I113*K36/'COM Veda input'!AQ36</f>
        <v>363.91987481184003</v>
      </c>
      <c r="DF36" s="10">
        <f ca="1">'COM Assumptions'!J113*L36/'COM Veda input'!AR36</f>
        <v>0</v>
      </c>
      <c r="DG36" s="10">
        <f ca="1">'COM Assumptions'!K113*M36/'COM Veda input'!AS36</f>
        <v>0</v>
      </c>
      <c r="DH36" s="10">
        <f ca="1">'COM Assumptions'!L113*N36/'COM Veda input'!AT36</f>
        <v>0</v>
      </c>
      <c r="DI36" s="10">
        <f ca="1">'COM Assumptions'!M113*O36/'COM Veda input'!AU36</f>
        <v>5.6926515411692309</v>
      </c>
      <c r="DJ36" s="10">
        <f ca="1">'COM Assumptions'!N113*P36/'COM Veda input'!AV36</f>
        <v>76.448269188720005</v>
      </c>
      <c r="DK36" s="10">
        <f ca="1">'COM Assumptions'!O113*Q36/'COM Veda input'!AW36</f>
        <v>6.1458037199999996E-2</v>
      </c>
      <c r="DL36" s="10">
        <f ca="1">'COM Assumptions'!P113*R36/'COM Veda input'!AX36</f>
        <v>8.5159511999999998E-4</v>
      </c>
      <c r="DM36" s="10">
        <f ca="1">'COM Assumptions'!Q113*S36/'COM Veda input'!AY36</f>
        <v>6.4071755956799992</v>
      </c>
      <c r="DN36" s="10">
        <f ca="1">'COM Assumptions'!R113*T36/'COM Veda input'!AZ36</f>
        <v>0.1815103404</v>
      </c>
      <c r="DO36" s="10">
        <f ca="1">'COM Assumptions'!S113*U36/'COM Veda input'!BA36</f>
        <v>7.6693802399999999E-3</v>
      </c>
      <c r="DP36" s="10">
        <f ca="1">'COM Assumptions'!T113*V36/'COM Veda input'!BB36</f>
        <v>1.5826103999999998E-4</v>
      </c>
      <c r="DQ36" s="10">
        <f ca="1">'COM Assumptions'!U113*W36/'COM Veda input'!BC36</f>
        <v>0</v>
      </c>
      <c r="DR36" s="10">
        <f ca="1">'COM Assumptions'!V113*X36/'COM Veda input'!BD36</f>
        <v>0</v>
      </c>
      <c r="DS36" s="10">
        <f ca="1">'COM Assumptions'!W113*Y36/'COM Veda input'!BE36</f>
        <v>0</v>
      </c>
      <c r="DT36" s="10">
        <f ca="1">'COM Assumptions'!X113*Z36/'COM Veda input'!BF36</f>
        <v>0</v>
      </c>
      <c r="DU36" s="10">
        <f ca="1">'COM Assumptions'!Y113*AA36/'COM Veda input'!BG36</f>
        <v>0</v>
      </c>
      <c r="DV36" s="10">
        <f ca="1">'COM Assumptions'!Z113*AB36/'COM Veda input'!BH36</f>
        <v>0</v>
      </c>
      <c r="DW36" s="10">
        <f ca="1">'COM Assumptions'!AA113*AC36/'COM Veda input'!BI36</f>
        <v>0</v>
      </c>
      <c r="DX36" s="10">
        <f ca="1">'COM Assumptions'!AB113*AD36/'COM Veda input'!BJ36</f>
        <v>1.2359433599999998E-3</v>
      </c>
      <c r="DY36" s="10">
        <f ca="1">'COM Assumptions'!AC113*AE36/'COM Veda input'!BK36</f>
        <v>0</v>
      </c>
      <c r="DZ36" s="10">
        <f ca="1">'COM Assumptions'!AD113*AF36/'COM Veda input'!BL36</f>
        <v>0</v>
      </c>
      <c r="EA36" s="10">
        <f ca="1">'COM Assumptions'!AE113*AG36/'COM Veda input'!BM36</f>
        <v>0</v>
      </c>
      <c r="EB36" s="10">
        <f ca="1">'COM Assumptions'!AF113*AH36/'COM Veda input'!BN36</f>
        <v>61.455602994479989</v>
      </c>
      <c r="EC36" s="10">
        <f ca="1">'COM Assumptions'!AG113*AI36/'COM Veda input'!BO36</f>
        <v>0</v>
      </c>
      <c r="ED36" s="10">
        <f ca="1">'COM Assumptions'!AH113*AJ36/'COM Veda input'!BP36</f>
        <v>0</v>
      </c>
      <c r="EE36" s="8">
        <v>15</v>
      </c>
      <c r="EI36" s="8" t="str">
        <f t="shared" si="23"/>
        <v>CHWKER000</v>
      </c>
      <c r="EK36" t="s">
        <v>282</v>
      </c>
      <c r="EL36" t="s">
        <v>283</v>
      </c>
    </row>
    <row r="37" spans="1:142" x14ac:dyDescent="0.45">
      <c r="A37" s="37" t="str">
        <f>'COM Assumptions'!B114</f>
        <v>CHW</v>
      </c>
      <c r="B37" s="37" t="s">
        <v>244</v>
      </c>
      <c r="D37" t="s">
        <v>244</v>
      </c>
      <c r="E37" s="8" t="str">
        <f>'COM Assumptions'!A114</f>
        <v>COMLPG</v>
      </c>
      <c r="F37" t="str">
        <f>VLOOKUP('COM Assumptions'!B114,'COM Assumptions'!$AP$81:$AQ$88,2,FALSE)</f>
        <v>CHW</v>
      </c>
      <c r="G37" s="11">
        <f ca="1">OFFSET('COM Techs T15'!$F39,0,MATCH(VLOOKUP('COM Veda input'!G$3,'RES Assumptions T15'!$V$3:$W$35,2,FALSE),'COM Techs T15'!$G$3:$U$3,0))</f>
        <v>0.6</v>
      </c>
      <c r="H37" s="11">
        <f ca="1">OFFSET('COM Techs T15'!$F39,0,MATCH(VLOOKUP('COM Veda input'!H$3,'RES Assumptions T15'!$V$3:$W$35,2,FALSE),'COM Techs T15'!$G$3:$U$3,0))</f>
        <v>0.6</v>
      </c>
      <c r="I37" s="11">
        <f ca="1">OFFSET('COM Techs T15'!$F39,0,MATCH(VLOOKUP('COM Veda input'!I$3,'RES Assumptions T15'!$V$3:$W$35,2,FALSE),'COM Techs T15'!$G$3:$U$3,0))</f>
        <v>0.6</v>
      </c>
      <c r="J37" s="11">
        <f ca="1">OFFSET('COM Techs T15'!$F39,0,MATCH(VLOOKUP('COM Veda input'!J$3,'RES Assumptions T15'!$V$3:$W$35,2,FALSE),'COM Techs T15'!$G$3:$U$3,0))</f>
        <v>0.6</v>
      </c>
      <c r="K37" s="11">
        <f ca="1">OFFSET('COM Techs T15'!$F39,0,MATCH(VLOOKUP('COM Veda input'!K$3,'RES Assumptions T15'!$V$3:$W$35,2,FALSE),'COM Techs T15'!$G$3:$U$3,0))</f>
        <v>0.6</v>
      </c>
      <c r="L37" s="11">
        <f ca="1">OFFSET('COM Techs T15'!$F39,0,MATCH(VLOOKUP('COM Veda input'!L$3,'RES Assumptions T15'!$V$3:$W$35,2,FALSE),'COM Techs T15'!$G$3:$U$3,0))</f>
        <v>0.6</v>
      </c>
      <c r="M37" s="11">
        <f ca="1">OFFSET('COM Techs T15'!$F39,0,MATCH(VLOOKUP('COM Veda input'!M$3,'RES Assumptions T15'!$V$3:$W$35,2,FALSE),'COM Techs T15'!$G$3:$U$3,0))</f>
        <v>0.6</v>
      </c>
      <c r="N37" s="11">
        <f ca="1">OFFSET('COM Techs T15'!$F39,0,MATCH(VLOOKUP('COM Veda input'!N$3,'RES Assumptions T15'!$V$3:$W$35,2,FALSE),'COM Techs T15'!$G$3:$U$3,0))</f>
        <v>0.6</v>
      </c>
      <c r="O37" s="11">
        <f ca="1">OFFSET('COM Techs T15'!$F39,0,MATCH(VLOOKUP('COM Veda input'!O$3,'RES Assumptions T15'!$V$3:$W$35,2,FALSE),'COM Techs T15'!$G$3:$U$3,0))</f>
        <v>0.6</v>
      </c>
      <c r="P37" s="11">
        <f ca="1">OFFSET('COM Techs T15'!$F39,0,MATCH(VLOOKUP('COM Veda input'!P$3,'RES Assumptions T15'!$V$3:$W$35,2,FALSE),'COM Techs T15'!$G$3:$U$3,0))</f>
        <v>0.6</v>
      </c>
      <c r="Q37" s="11">
        <f ca="1">OFFSET('COM Techs T15'!$F39,0,MATCH(VLOOKUP('COM Veda input'!Q$3,'RES Assumptions T15'!$V$3:$W$35,2,FALSE),'COM Techs T15'!$G$3:$U$3,0))</f>
        <v>0.6</v>
      </c>
      <c r="R37" s="11">
        <f ca="1">OFFSET('COM Techs T15'!$F39,0,MATCH(VLOOKUP('COM Veda input'!R$3,'RES Assumptions T15'!$V$3:$W$35,2,FALSE),'COM Techs T15'!$G$3:$U$3,0))</f>
        <v>0.6</v>
      </c>
      <c r="S37" s="11">
        <f ca="1">OFFSET('COM Techs T15'!$F39,0,MATCH(VLOOKUP('COM Veda input'!S$3,'RES Assumptions T15'!$V$3:$W$35,2,FALSE),'COM Techs T15'!$G$3:$U$3,0))</f>
        <v>0.6</v>
      </c>
      <c r="T37" s="11">
        <f ca="1">OFFSET('COM Techs T15'!$F39,0,MATCH(VLOOKUP('COM Veda input'!T$3,'RES Assumptions T15'!$V$3:$W$35,2,FALSE),'COM Techs T15'!$G$3:$U$3,0))</f>
        <v>0.6</v>
      </c>
      <c r="U37" s="11">
        <f ca="1">OFFSET('COM Techs T15'!$F39,0,MATCH(VLOOKUP('COM Veda input'!U$3,'RES Assumptions T15'!$V$3:$W$35,2,FALSE),'COM Techs T15'!$G$3:$U$3,0))</f>
        <v>0.6</v>
      </c>
      <c r="V37" s="11">
        <f ca="1">OFFSET('COM Techs T15'!$F39,0,MATCH(VLOOKUP('COM Veda input'!V$3,'RES Assumptions T15'!$V$3:$W$35,2,FALSE),'COM Techs T15'!$G$3:$U$3,0))</f>
        <v>0.6</v>
      </c>
      <c r="W37" s="11">
        <f ca="1">OFFSET('COM Techs T15'!$F39,0,MATCH(VLOOKUP('COM Veda input'!W$3,'RES Assumptions T15'!$V$3:$W$35,2,FALSE),'COM Techs T15'!$G$3:$U$3,0))</f>
        <v>0.6</v>
      </c>
      <c r="X37" s="11">
        <f ca="1">OFFSET('COM Techs T15'!$F39,0,MATCH(VLOOKUP('COM Veda input'!X$3,'RES Assumptions T15'!$V$3:$W$35,2,FALSE),'COM Techs T15'!$G$3:$U$3,0))</f>
        <v>0.6</v>
      </c>
      <c r="Y37" s="11">
        <f ca="1">OFFSET('COM Techs T15'!$F39,0,MATCH(VLOOKUP('COM Veda input'!Y$3,'RES Assumptions T15'!$V$3:$W$35,2,FALSE),'COM Techs T15'!$G$3:$U$3,0))</f>
        <v>0.6</v>
      </c>
      <c r="Z37" s="11">
        <f ca="1">OFFSET('COM Techs T15'!$F39,0,MATCH(VLOOKUP('COM Veda input'!Z$3,'RES Assumptions T15'!$V$3:$W$35,2,FALSE),'COM Techs T15'!$G$3:$U$3,0))</f>
        <v>0.6</v>
      </c>
      <c r="AA37" s="11">
        <f ca="1">OFFSET('COM Techs T15'!$F39,0,MATCH(VLOOKUP('COM Veda input'!AA$3,'RES Assumptions T15'!$V$3:$W$35,2,FALSE),'COM Techs T15'!$G$3:$U$3,0))</f>
        <v>0.6</v>
      </c>
      <c r="AB37" s="11">
        <f ca="1">OFFSET('COM Techs T15'!$F39,0,MATCH(VLOOKUP('COM Veda input'!AB$3,'RES Assumptions T15'!$V$3:$W$35,2,FALSE),'COM Techs T15'!$G$3:$U$3,0))</f>
        <v>0.6</v>
      </c>
      <c r="AC37" s="11">
        <f ca="1">OFFSET('COM Techs T15'!$F39,0,MATCH(VLOOKUP('COM Veda input'!AC$3,'RES Assumptions T15'!$V$3:$W$35,2,FALSE),'COM Techs T15'!$G$3:$U$3,0))</f>
        <v>0.6</v>
      </c>
      <c r="AD37" s="11">
        <f ca="1">OFFSET('COM Techs T15'!$F39,0,MATCH(VLOOKUP('COM Veda input'!AD$3,'RES Assumptions T15'!$V$3:$W$35,2,FALSE),'COM Techs T15'!$G$3:$U$3,0))</f>
        <v>0.6</v>
      </c>
      <c r="AE37" s="11">
        <f ca="1">OFFSET('COM Techs T15'!$F39,0,MATCH(VLOOKUP('COM Veda input'!AE$3,'RES Assumptions T15'!$V$3:$W$35,2,FALSE),'COM Techs T15'!$G$3:$U$3,0))</f>
        <v>0.6</v>
      </c>
      <c r="AF37" s="11">
        <f ca="1">OFFSET('COM Techs T15'!$F39,0,MATCH(VLOOKUP('COM Veda input'!AF$3,'RES Assumptions T15'!$V$3:$W$35,2,FALSE),'COM Techs T15'!$G$3:$U$3,0))</f>
        <v>0.6</v>
      </c>
      <c r="AG37" s="11">
        <f ca="1">OFFSET('COM Techs T15'!$F39,0,MATCH(VLOOKUP('COM Veda input'!AG$3,'RES Assumptions T15'!$V$3:$W$35,2,FALSE),'COM Techs T15'!$G$3:$U$3,0))</f>
        <v>0.6</v>
      </c>
      <c r="AH37" s="11">
        <f ca="1">OFFSET('COM Techs T15'!$F39,0,MATCH(VLOOKUP('COM Veda input'!AH$3,'RES Assumptions T15'!$V$3:$W$35,2,FALSE),'COM Techs T15'!$G$3:$U$3,0))</f>
        <v>0.6</v>
      </c>
      <c r="AI37" s="11">
        <f ca="1">OFFSET('COM Techs T15'!$F39,0,MATCH(VLOOKUP('COM Veda input'!AI$3,'RES Assumptions T15'!$V$3:$W$35,2,FALSE),'COM Techs T15'!$G$3:$U$3,0))</f>
        <v>0.6</v>
      </c>
      <c r="AJ37" s="11">
        <f ca="1">OFFSET('COM Techs T15'!$F39,0,MATCH(VLOOKUP('COM Veda input'!AJ$3,'RES Assumptions T15'!$V$3:$W$35,2,FALSE),'COM Techs T15'!$G$3:$U$3,0))</f>
        <v>0.6</v>
      </c>
      <c r="AL37" s="8" t="str">
        <f t="shared" si="19"/>
        <v>CHWLPG000</v>
      </c>
      <c r="AM37" s="11">
        <f ca="1">OFFSET('COM Techs T15'!$W39,0,MATCH(VLOOKUP('COM Veda input'!AM$3,'RES Assumptions T15'!$V$3:$W$35,2,FALSE),'COM Techs T15'!$G$3:$U$3,0))</f>
        <v>0.1</v>
      </c>
      <c r="AN37" s="11">
        <f ca="1">OFFSET('COM Techs T15'!$W39,0,MATCH(VLOOKUP('COM Veda input'!AN$3,'RES Assumptions T15'!$V$3:$W$35,2,FALSE),'COM Techs T15'!$G$3:$U$3,0))</f>
        <v>0.1</v>
      </c>
      <c r="AO37" s="11">
        <f ca="1">OFFSET('COM Techs T15'!$W39,0,MATCH(VLOOKUP('COM Veda input'!AO$3,'RES Assumptions T15'!$V$3:$W$35,2,FALSE),'COM Techs T15'!$G$3:$U$3,0))</f>
        <v>0.1</v>
      </c>
      <c r="AP37" s="11">
        <f ca="1">OFFSET('COM Techs T15'!$W39,0,MATCH(VLOOKUP('COM Veda input'!AP$3,'RES Assumptions T15'!$V$3:$W$35,2,FALSE),'COM Techs T15'!$G$3:$U$3,0))</f>
        <v>0.1</v>
      </c>
      <c r="AQ37" s="11">
        <f ca="1">OFFSET('COM Techs T15'!$W39,0,MATCH(VLOOKUP('COM Veda input'!AQ$3,'RES Assumptions T15'!$V$3:$W$35,2,FALSE),'COM Techs T15'!$G$3:$U$3,0))</f>
        <v>0.1</v>
      </c>
      <c r="AR37" s="11">
        <f ca="1">OFFSET('COM Techs T15'!$W39,0,MATCH(VLOOKUP('COM Veda input'!AR$3,'RES Assumptions T15'!$V$3:$W$35,2,FALSE),'COM Techs T15'!$G$3:$U$3,0))</f>
        <v>0.1</v>
      </c>
      <c r="AS37" s="11">
        <f ca="1">OFFSET('COM Techs T15'!$W39,0,MATCH(VLOOKUP('COM Veda input'!AS$3,'RES Assumptions T15'!$V$3:$W$35,2,FALSE),'COM Techs T15'!$G$3:$U$3,0))</f>
        <v>0.13</v>
      </c>
      <c r="AT37" s="11">
        <f ca="1">OFFSET('COM Techs T15'!$W39,0,MATCH(VLOOKUP('COM Veda input'!AT$3,'RES Assumptions T15'!$V$3:$W$35,2,FALSE),'COM Techs T15'!$G$3:$U$3,0))</f>
        <v>0.1</v>
      </c>
      <c r="AU37" s="11">
        <f ca="1">OFFSET('COM Techs T15'!$W39,0,MATCH(VLOOKUP('COM Veda input'!AU$3,'RES Assumptions T15'!$V$3:$W$35,2,FALSE),'COM Techs T15'!$G$3:$U$3,0))</f>
        <v>0.13</v>
      </c>
      <c r="AV37" s="11">
        <f ca="1">OFFSET('COM Techs T15'!$W39,0,MATCH(VLOOKUP('COM Veda input'!AV$3,'RES Assumptions T15'!$V$3:$W$35,2,FALSE),'COM Techs T15'!$G$3:$U$3,0))</f>
        <v>0.1</v>
      </c>
      <c r="AW37" s="11">
        <f ca="1">OFFSET('COM Techs T15'!$W39,0,MATCH(VLOOKUP('COM Veda input'!AW$3,'RES Assumptions T15'!$V$3:$W$35,2,FALSE),'COM Techs T15'!$G$3:$U$3,0))</f>
        <v>0.1</v>
      </c>
      <c r="AX37" s="11">
        <f ca="1">OFFSET('COM Techs T15'!$W39,0,MATCH(VLOOKUP('COM Veda input'!AX$3,'RES Assumptions T15'!$V$3:$W$35,2,FALSE),'COM Techs T15'!$G$3:$U$3,0))</f>
        <v>0.1</v>
      </c>
      <c r="AY37" s="11">
        <f ca="1">OFFSET('COM Techs T15'!$W39,0,MATCH(VLOOKUP('COM Veda input'!AY$3,'RES Assumptions T15'!$V$3:$W$35,2,FALSE),'COM Techs T15'!$G$3:$U$3,0))</f>
        <v>0.1</v>
      </c>
      <c r="AZ37" s="11">
        <f ca="1">OFFSET('COM Techs T15'!$W39,0,MATCH(VLOOKUP('COM Veda input'!AZ$3,'RES Assumptions T15'!$V$3:$W$35,2,FALSE),'COM Techs T15'!$G$3:$U$3,0))</f>
        <v>0.1</v>
      </c>
      <c r="BA37" s="11">
        <f ca="1">OFFSET('COM Techs T15'!$W39,0,MATCH(VLOOKUP('COM Veda input'!BA$3,'RES Assumptions T15'!$V$3:$W$35,2,FALSE),'COM Techs T15'!$G$3:$U$3,0))</f>
        <v>0.1</v>
      </c>
      <c r="BB37" s="11">
        <f ca="1">OFFSET('COM Techs T15'!$W39,0,MATCH(VLOOKUP('COM Veda input'!BB$3,'RES Assumptions T15'!$V$3:$W$35,2,FALSE),'COM Techs T15'!$G$3:$U$3,0))</f>
        <v>0.1</v>
      </c>
      <c r="BC37" s="11">
        <f ca="1">OFFSET('COM Techs T15'!$W39,0,MATCH(VLOOKUP('COM Veda input'!BC$3,'RES Assumptions T15'!$V$3:$W$35,2,FALSE),'COM Techs T15'!$G$3:$U$3,0))</f>
        <v>0.1</v>
      </c>
      <c r="BD37" s="11">
        <f ca="1">OFFSET('COM Techs T15'!$W39,0,MATCH(VLOOKUP('COM Veda input'!BD$3,'RES Assumptions T15'!$V$3:$W$35,2,FALSE),'COM Techs T15'!$G$3:$U$3,0))</f>
        <v>0.1</v>
      </c>
      <c r="BE37" s="11">
        <f ca="1">OFFSET('COM Techs T15'!$W39,0,MATCH(VLOOKUP('COM Veda input'!BE$3,'RES Assumptions T15'!$V$3:$W$35,2,FALSE),'COM Techs T15'!$G$3:$U$3,0))</f>
        <v>0.1</v>
      </c>
      <c r="BF37" s="11">
        <f ca="1">OFFSET('COM Techs T15'!$W39,0,MATCH(VLOOKUP('COM Veda input'!BF$3,'RES Assumptions T15'!$V$3:$W$35,2,FALSE),'COM Techs T15'!$G$3:$U$3,0))</f>
        <v>0.1</v>
      </c>
      <c r="BG37" s="11">
        <f ca="1">OFFSET('COM Techs T15'!$W39,0,MATCH(VLOOKUP('COM Veda input'!BG$3,'RES Assumptions T15'!$V$3:$W$35,2,FALSE),'COM Techs T15'!$G$3:$U$3,0))</f>
        <v>0.1</v>
      </c>
      <c r="BH37" s="11">
        <f ca="1">OFFSET('COM Techs T15'!$W39,0,MATCH(VLOOKUP('COM Veda input'!BH$3,'RES Assumptions T15'!$V$3:$W$35,2,FALSE),'COM Techs T15'!$G$3:$U$3,0))</f>
        <v>0.1</v>
      </c>
      <c r="BI37" s="11">
        <f ca="1">OFFSET('COM Techs T15'!$W39,0,MATCH(VLOOKUP('COM Veda input'!BI$3,'RES Assumptions T15'!$V$3:$W$35,2,FALSE),'COM Techs T15'!$G$3:$U$3,0))</f>
        <v>0.1</v>
      </c>
      <c r="BJ37" s="11">
        <f ca="1">OFFSET('COM Techs T15'!$W39,0,MATCH(VLOOKUP('COM Veda input'!BJ$3,'RES Assumptions T15'!$V$3:$W$35,2,FALSE),'COM Techs T15'!$G$3:$U$3,0))</f>
        <v>0.1</v>
      </c>
      <c r="BK37" s="11">
        <f ca="1">OFFSET('COM Techs T15'!$W39,0,MATCH(VLOOKUP('COM Veda input'!BK$3,'RES Assumptions T15'!$V$3:$W$35,2,FALSE),'COM Techs T15'!$G$3:$U$3,0))</f>
        <v>0.1</v>
      </c>
      <c r="BL37" s="11">
        <f ca="1">OFFSET('COM Techs T15'!$W39,0,MATCH(VLOOKUP('COM Veda input'!BL$3,'RES Assumptions T15'!$V$3:$W$35,2,FALSE),'COM Techs T15'!$G$3:$U$3,0))</f>
        <v>0.1</v>
      </c>
      <c r="BM37" s="11">
        <f ca="1">OFFSET('COM Techs T15'!$W39,0,MATCH(VLOOKUP('COM Veda input'!BM$3,'RES Assumptions T15'!$V$3:$W$35,2,FALSE),'COM Techs T15'!$G$3:$U$3,0))</f>
        <v>0.1</v>
      </c>
      <c r="BN37" s="11">
        <f ca="1">OFFSET('COM Techs T15'!$W39,0,MATCH(VLOOKUP('COM Veda input'!BN$3,'RES Assumptions T15'!$V$3:$W$35,2,FALSE),'COM Techs T15'!$G$3:$U$3,0))</f>
        <v>0.1</v>
      </c>
      <c r="BO37" s="11">
        <f ca="1">OFFSET('COM Techs T15'!$W39,0,MATCH(VLOOKUP('COM Veda input'!BO$3,'RES Assumptions T15'!$V$3:$W$35,2,FALSE),'COM Techs T15'!$G$3:$U$3,0))</f>
        <v>0.25</v>
      </c>
      <c r="BP37" s="11">
        <f ca="1">OFFSET('COM Techs T15'!$W39,0,MATCH(VLOOKUP('COM Veda input'!BP$3,'RES Assumptions T15'!$V$3:$W$35,2,FALSE),'COM Techs T15'!$G$3:$U$3,0))</f>
        <v>0.25</v>
      </c>
      <c r="BQ37">
        <v>3</v>
      </c>
      <c r="BS37" s="8" t="str">
        <f t="shared" si="20"/>
        <v>CHWLPG000</v>
      </c>
      <c r="BT37" s="11">
        <f t="shared" ca="1" si="21"/>
        <v>1.2</v>
      </c>
      <c r="BU37" s="11" t="str">
        <f ca="1">OFFSET('COM Techs T15'!$AO39,0,MATCH(VLOOKUP('COM Veda input'!BU$3,'RES Assumptions T15'!$V$3:$W$35,2,FALSE),'COM Techs T15'!$G$3:$U$3,0))</f>
        <v/>
      </c>
      <c r="BV37" s="11" t="str">
        <f ca="1">OFFSET('COM Techs T15'!$AO39,0,MATCH(VLOOKUP('COM Veda input'!BV$3,'RES Assumptions T15'!$V$3:$W$35,2,FALSE),'COM Techs T15'!$G$3:$U$3,0))</f>
        <v/>
      </c>
      <c r="BW37" s="11">
        <f ca="1">OFFSET('COM Techs T15'!$AO39,0,MATCH(VLOOKUP('COM Veda input'!BW$3,'RES Assumptions T15'!$V$3:$W$35,2,FALSE),'COM Techs T15'!$G$3:$U$3,0))</f>
        <v>6.3</v>
      </c>
      <c r="BX37" s="11" t="str">
        <f ca="1">OFFSET('COM Techs T15'!$AO39,0,MATCH(VLOOKUP('COM Veda input'!BX$3,'RES Assumptions T15'!$V$3:$W$35,2,FALSE),'COM Techs T15'!$G$3:$U$3,0))</f>
        <v/>
      </c>
      <c r="BY37" s="11">
        <f ca="1">OFFSET('COM Techs T15'!$AO39,0,MATCH(VLOOKUP('COM Veda input'!BY$3,'RES Assumptions T15'!$V$3:$W$35,2,FALSE),'COM Techs T15'!$G$3:$U$3,0))</f>
        <v>9</v>
      </c>
      <c r="BZ37" s="11">
        <f ca="1">OFFSET('COM Techs T15'!$AO39,0,MATCH(VLOOKUP('COM Veda input'!BZ$3,'RES Assumptions T15'!$V$3:$W$35,2,FALSE),'COM Techs T15'!$G$3:$U$3,0))</f>
        <v>5.4</v>
      </c>
      <c r="CA37" s="11" t="str">
        <f ca="1">OFFSET('COM Techs T15'!$AO39,0,MATCH(VLOOKUP('COM Veda input'!CA$3,'RES Assumptions T15'!$V$3:$W$35,2,FALSE),'COM Techs T15'!$G$3:$U$3,0))</f>
        <v/>
      </c>
      <c r="CB37" s="11">
        <f ca="1">OFFSET('COM Techs T15'!$AO39,0,MATCH(VLOOKUP('COM Veda input'!CB$3,'RES Assumptions T15'!$V$3:$W$35,2,FALSE),'COM Techs T15'!$G$3:$U$3,0))</f>
        <v>6.3</v>
      </c>
      <c r="CC37" s="11" t="str">
        <f ca="1">OFFSET('COM Techs T15'!$AO39,0,MATCH(VLOOKUP('COM Veda input'!CC$3,'RES Assumptions T15'!$V$3:$W$35,2,FALSE),'COM Techs T15'!$G$3:$U$3,0))</f>
        <v/>
      </c>
      <c r="CD37" s="11">
        <f ca="1">OFFSET('COM Techs T15'!$AO39,0,MATCH(VLOOKUP('COM Veda input'!CD$3,'RES Assumptions T15'!$V$3:$W$35,2,FALSE),'COM Techs T15'!$G$3:$U$3,0))</f>
        <v>1.2</v>
      </c>
      <c r="CE37" s="11" t="str">
        <f ca="1">OFFSET('COM Techs T15'!$AO39,0,MATCH(VLOOKUP('COM Veda input'!CE$3,'RES Assumptions T15'!$V$3:$W$35,2,FALSE),'COM Techs T15'!$G$3:$U$3,0))</f>
        <v/>
      </c>
      <c r="CF37" s="11" t="str">
        <f ca="1">OFFSET('COM Techs T15'!$AO39,0,MATCH(VLOOKUP('COM Veda input'!CF$3,'RES Assumptions T15'!$V$3:$W$35,2,FALSE),'COM Techs T15'!$G$3:$U$3,0))</f>
        <v/>
      </c>
      <c r="CG37" s="11" t="str">
        <f ca="1">OFFSET('COM Techs T15'!$AO39,0,MATCH(VLOOKUP('COM Veda input'!CG$3,'RES Assumptions T15'!$V$3:$W$35,2,FALSE),'COM Techs T15'!$G$3:$U$3,0))</f>
        <v/>
      </c>
      <c r="CH37" s="11" t="str">
        <f ca="1">OFFSET('COM Techs T15'!$AO39,0,MATCH(VLOOKUP('COM Veda input'!CH$3,'RES Assumptions T15'!$V$3:$W$35,2,FALSE),'COM Techs T15'!$G$3:$U$3,0))</f>
        <v/>
      </c>
      <c r="CI37" s="11" t="str">
        <f ca="1">OFFSET('COM Techs T15'!$AO39,0,MATCH(VLOOKUP('COM Veda input'!CI$3,'RES Assumptions T15'!$V$3:$W$35,2,FALSE),'COM Techs T15'!$G$3:$U$3,0))</f>
        <v/>
      </c>
      <c r="CJ37" s="11" t="str">
        <f ca="1">OFFSET('COM Techs T15'!$AO39,0,MATCH(VLOOKUP('COM Veda input'!CJ$3,'RES Assumptions T15'!$V$3:$W$35,2,FALSE),'COM Techs T15'!$G$3:$U$3,0))</f>
        <v/>
      </c>
      <c r="CK37" s="11">
        <f ca="1">OFFSET('COM Techs T15'!$AO39,0,MATCH(VLOOKUP('COM Veda input'!CK$3,'RES Assumptions T15'!$V$3:$W$35,2,FALSE),'COM Techs T15'!$G$3:$U$3,0))</f>
        <v>6.3</v>
      </c>
      <c r="CL37" s="11" t="str">
        <f ca="1">OFFSET('COM Techs T15'!$AO39,0,MATCH(VLOOKUP('COM Veda input'!CL$3,'RES Assumptions T15'!$V$3:$W$35,2,FALSE),'COM Techs T15'!$G$3:$U$3,0))</f>
        <v/>
      </c>
      <c r="CM37" s="11" t="str">
        <f ca="1">OFFSET('COM Techs T15'!$AO39,0,MATCH(VLOOKUP('COM Veda input'!CM$3,'RES Assumptions T15'!$V$3:$W$35,2,FALSE),'COM Techs T15'!$G$3:$U$3,0))</f>
        <v/>
      </c>
      <c r="CN37" s="11">
        <f ca="1">OFFSET('COM Techs T15'!$AO39,0,MATCH(VLOOKUP('COM Veda input'!CN$3,'RES Assumptions T15'!$V$3:$W$35,2,FALSE),'COM Techs T15'!$G$3:$U$3,0))</f>
        <v>5.4</v>
      </c>
      <c r="CO37" s="11">
        <f ca="1">OFFSET('COM Techs T15'!$AO39,0,MATCH(VLOOKUP('COM Veda input'!CO$3,'RES Assumptions T15'!$V$3:$W$35,2,FALSE),'COM Techs T15'!$G$3:$U$3,0))</f>
        <v>6.3</v>
      </c>
      <c r="CP37" s="11">
        <f ca="1">OFFSET('COM Techs T15'!$AO39,0,MATCH(VLOOKUP('COM Veda input'!CP$3,'RES Assumptions T15'!$V$3:$W$35,2,FALSE),'COM Techs T15'!$G$3:$U$3,0))</f>
        <v>7.2</v>
      </c>
      <c r="CQ37" s="11">
        <f ca="1">OFFSET('COM Techs T15'!$AO39,0,MATCH(VLOOKUP('COM Veda input'!CQ$3,'RES Assumptions T15'!$V$3:$W$35,2,FALSE),'COM Techs T15'!$G$3:$U$3,0))</f>
        <v>6.3</v>
      </c>
      <c r="CR37" s="11" t="str">
        <f ca="1">OFFSET('COM Techs T15'!$AO39,0,MATCH(VLOOKUP('COM Veda input'!CR$3,'RES Assumptions T15'!$V$3:$W$35,2,FALSE),'COM Techs T15'!$G$3:$U$3,0))</f>
        <v/>
      </c>
      <c r="CS37" s="11" t="str">
        <f ca="1">OFFSET('COM Techs T15'!$AO39,0,MATCH(VLOOKUP('COM Veda input'!CS$3,'RES Assumptions T15'!$V$3:$W$35,2,FALSE),'COM Techs T15'!$G$3:$U$3,0))</f>
        <v/>
      </c>
      <c r="CT37" s="11">
        <f ca="1">OFFSET('COM Techs T15'!$AO39,0,MATCH(VLOOKUP('COM Veda input'!CT$3,'RES Assumptions T15'!$V$3:$W$35,2,FALSE),'COM Techs T15'!$G$3:$U$3,0))</f>
        <v>6.3</v>
      </c>
      <c r="CU37" s="11" t="str">
        <f ca="1">OFFSET('COM Techs T15'!$AO39,0,MATCH(VLOOKUP('COM Veda input'!CU$3,'RES Assumptions T15'!$V$3:$W$35,2,FALSE),'COM Techs T15'!$G$3:$U$3,0))</f>
        <v/>
      </c>
      <c r="CV37" s="11" t="str">
        <f ca="1">OFFSET('COM Techs T15'!$AO39,0,MATCH(VLOOKUP('COM Veda input'!CV$3,'RES Assumptions T15'!$V$3:$W$35,2,FALSE),'COM Techs T15'!$G$3:$U$3,0))</f>
        <v/>
      </c>
      <c r="CW37" s="11" t="str">
        <f ca="1">OFFSET('COM Techs T15'!$AO39,0,MATCH(VLOOKUP('COM Veda input'!CW$3,'RES Assumptions T15'!$V$3:$W$35,2,FALSE),'COM Techs T15'!$G$3:$U$3,0))</f>
        <v/>
      </c>
      <c r="CX37" s="11" t="str">
        <f ca="1">OFFSET('COM Techs T15'!$AO39,0,MATCH(VLOOKUP('COM Veda input'!CX$3,'RES Assumptions T15'!$V$3:$W$35,2,FALSE),'COM Techs T15'!$G$3:$U$3,0))</f>
        <v/>
      </c>
      <c r="CZ37" s="8" t="str">
        <f t="shared" si="22"/>
        <v>CHWLPG000</v>
      </c>
      <c r="DA37" s="10">
        <f ca="1">'COM Assumptions'!E114*G37/'COM Veda input'!AM37</f>
        <v>3.8202833411999997</v>
      </c>
      <c r="DB37" s="10">
        <f ca="1">'COM Assumptions'!F114*H37/'COM Veda input'!AN37</f>
        <v>9.3068042255999988</v>
      </c>
      <c r="DC37" s="10">
        <f ca="1">'COM Assumptions'!G114*I37/'COM Veda input'!AO37</f>
        <v>10.50650329536</v>
      </c>
      <c r="DD37" s="10">
        <f ca="1">'COM Assumptions'!H114*J37/'COM Veda input'!AP37</f>
        <v>2.4275918780953094</v>
      </c>
      <c r="DE37" s="10">
        <f ca="1">'COM Assumptions'!I114*K37/'COM Veda input'!AQ37</f>
        <v>224.47455517152002</v>
      </c>
      <c r="DF37" s="10">
        <f ca="1">'COM Assumptions'!J114*L37/'COM Veda input'!AR37</f>
        <v>165.66209995103998</v>
      </c>
      <c r="DG37" s="10">
        <f ca="1">'COM Assumptions'!K114*M37/'COM Veda input'!AS37</f>
        <v>3.1451222276307687</v>
      </c>
      <c r="DH37" s="10">
        <f ca="1">'COM Assumptions'!L114*N37/'COM Veda input'!AT37</f>
        <v>16.388619001919999</v>
      </c>
      <c r="DI37" s="10">
        <f ca="1">'COM Assumptions'!M114*O37/'COM Veda input'!AU37</f>
        <v>16.613215958769228</v>
      </c>
      <c r="DJ37" s="10">
        <f ca="1">'COM Assumptions'!N114*P37/'COM Veda input'!AV37</f>
        <v>127.51868853539999</v>
      </c>
      <c r="DK37" s="10">
        <f ca="1">'COM Assumptions'!O114*Q37/'COM Veda input'!AW37</f>
        <v>1.6280991446399997</v>
      </c>
      <c r="DL37" s="10">
        <f ca="1">'COM Assumptions'!P114*R37/'COM Veda input'!AX37</f>
        <v>6.0656203519415079</v>
      </c>
      <c r="DM37" s="10">
        <f ca="1">'COM Assumptions'!Q114*S37/'COM Veda input'!AY37</f>
        <v>15.266914991999997</v>
      </c>
      <c r="DN37" s="10">
        <f ca="1">'COM Assumptions'!R114*T37/'COM Veda input'!AZ37</f>
        <v>40.183585883279996</v>
      </c>
      <c r="DO37" s="10">
        <f ca="1">'COM Assumptions'!S114*U37/'COM Veda input'!BA37</f>
        <v>3.6321516865555434</v>
      </c>
      <c r="DP37" s="10">
        <f ca="1">'COM Assumptions'!T114*V37/'COM Veda input'!BB37</f>
        <v>20.61637176744</v>
      </c>
      <c r="DQ37" s="10">
        <f ca="1">'COM Assumptions'!U114*W37/'COM Veda input'!BC37</f>
        <v>17.475573409200003</v>
      </c>
      <c r="DR37" s="10">
        <f ca="1">'COM Assumptions'!V114*X37/'COM Veda input'!BD37</f>
        <v>24.792556554719997</v>
      </c>
      <c r="DS37" s="10">
        <f ca="1">'COM Assumptions'!W114*Y37/'COM Veda input'!BE37</f>
        <v>14.986800487439998</v>
      </c>
      <c r="DT37" s="10">
        <f ca="1">'COM Assumptions'!X114*Z37/'COM Veda input'!BF37</f>
        <v>74.19667178808001</v>
      </c>
      <c r="DU37" s="10">
        <f ca="1">'COM Assumptions'!Y114*AA37/'COM Veda input'!BG37</f>
        <v>16.268448630960002</v>
      </c>
      <c r="DV37" s="10">
        <f ca="1">'COM Assumptions'!Z114*AB37/'COM Veda input'!BH37</f>
        <v>36.309315430799998</v>
      </c>
      <c r="DW37" s="10">
        <f ca="1">'COM Assumptions'!AA114*AC37/'COM Veda input'!BI37</f>
        <v>6.6808893203999995</v>
      </c>
      <c r="DX37" s="10">
        <f ca="1">'COM Assumptions'!AB114*AD37/'COM Veda input'!BJ37</f>
        <v>2.2185409399199996</v>
      </c>
      <c r="DY37" s="10">
        <f ca="1">'COM Assumptions'!AC114*AE37/'COM Veda input'!BK37</f>
        <v>1.2949841956768466</v>
      </c>
      <c r="DZ37" s="10">
        <f ca="1">'COM Assumptions'!AD114*AF37/'COM Veda input'!BL37</f>
        <v>0</v>
      </c>
      <c r="EA37" s="10">
        <f ca="1">'COM Assumptions'!AE114*AG37/'COM Veda input'!BM37</f>
        <v>0.90407247120000001</v>
      </c>
      <c r="EB37" s="10">
        <f ca="1">'COM Assumptions'!AF114*AH37/'COM Veda input'!BN37</f>
        <v>29.372472791279993</v>
      </c>
      <c r="EC37" s="10">
        <f ca="1">'COM Assumptions'!AG114*AI37/'COM Veda input'!BO37</f>
        <v>36.428833164405809</v>
      </c>
      <c r="ED37" s="10">
        <f ca="1">'COM Assumptions'!AH114*AJ37/'COM Veda input'!BP37</f>
        <v>0</v>
      </c>
      <c r="EE37" s="8">
        <v>15</v>
      </c>
      <c r="EI37" s="8" t="str">
        <f t="shared" si="23"/>
        <v>CHWLPG000</v>
      </c>
      <c r="EK37" t="s">
        <v>282</v>
      </c>
      <c r="EL37" t="s">
        <v>283</v>
      </c>
    </row>
    <row r="38" spans="1:142" x14ac:dyDescent="0.45">
      <c r="A38" s="37" t="str">
        <f>'COM Assumptions'!B115</f>
        <v>CHW</v>
      </c>
      <c r="B38" s="37" t="s">
        <v>245</v>
      </c>
      <c r="D38" t="s">
        <v>245</v>
      </c>
      <c r="E38" s="8" t="str">
        <f>'COM Assumptions'!A115</f>
        <v>COMNGA</v>
      </c>
      <c r="F38" t="str">
        <f>VLOOKUP('COM Assumptions'!B115,'COM Assumptions'!$AP$81:$AQ$88,2,FALSE)</f>
        <v>CHW</v>
      </c>
      <c r="G38" s="11">
        <f ca="1">OFFSET('COM Techs T15'!$F40,0,MATCH(VLOOKUP('COM Veda input'!G$3,'RES Assumptions T15'!$V$3:$W$35,2,FALSE),'COM Techs T15'!$G$3:$U$3,0))</f>
        <v>0.65</v>
      </c>
      <c r="H38" s="11">
        <f ca="1">OFFSET('COM Techs T15'!$F40,0,MATCH(VLOOKUP('COM Veda input'!H$3,'RES Assumptions T15'!$V$3:$W$35,2,FALSE),'COM Techs T15'!$G$3:$U$3,0))</f>
        <v>0.65</v>
      </c>
      <c r="I38" s="11">
        <f ca="1">OFFSET('COM Techs T15'!$F40,0,MATCH(VLOOKUP('COM Veda input'!I$3,'RES Assumptions T15'!$V$3:$W$35,2,FALSE),'COM Techs T15'!$G$3:$U$3,0))</f>
        <v>0.65</v>
      </c>
      <c r="J38" s="11">
        <f ca="1">OFFSET('COM Techs T15'!$F40,0,MATCH(VLOOKUP('COM Veda input'!J$3,'RES Assumptions T15'!$V$3:$W$35,2,FALSE),'COM Techs T15'!$G$3:$U$3,0))</f>
        <v>0.65</v>
      </c>
      <c r="K38" s="11">
        <f ca="1">OFFSET('COM Techs T15'!$F40,0,MATCH(VLOOKUP('COM Veda input'!K$3,'RES Assumptions T15'!$V$3:$W$35,2,FALSE),'COM Techs T15'!$G$3:$U$3,0))</f>
        <v>0.65</v>
      </c>
      <c r="L38" s="11">
        <f ca="1">OFFSET('COM Techs T15'!$F40,0,MATCH(VLOOKUP('COM Veda input'!L$3,'RES Assumptions T15'!$V$3:$W$35,2,FALSE),'COM Techs T15'!$G$3:$U$3,0))</f>
        <v>0.65</v>
      </c>
      <c r="M38" s="11">
        <f ca="1">OFFSET('COM Techs T15'!$F40,0,MATCH(VLOOKUP('COM Veda input'!M$3,'RES Assumptions T15'!$V$3:$W$35,2,FALSE),'COM Techs T15'!$G$3:$U$3,0))</f>
        <v>0.65</v>
      </c>
      <c r="N38" s="11">
        <f ca="1">OFFSET('COM Techs T15'!$F40,0,MATCH(VLOOKUP('COM Veda input'!N$3,'RES Assumptions T15'!$V$3:$W$35,2,FALSE),'COM Techs T15'!$G$3:$U$3,0))</f>
        <v>0.65</v>
      </c>
      <c r="O38" s="11">
        <f ca="1">OFFSET('COM Techs T15'!$F40,0,MATCH(VLOOKUP('COM Veda input'!O$3,'RES Assumptions T15'!$V$3:$W$35,2,FALSE),'COM Techs T15'!$G$3:$U$3,0))</f>
        <v>0.65</v>
      </c>
      <c r="P38" s="11">
        <f ca="1">OFFSET('COM Techs T15'!$F40,0,MATCH(VLOOKUP('COM Veda input'!P$3,'RES Assumptions T15'!$V$3:$W$35,2,FALSE),'COM Techs T15'!$G$3:$U$3,0))</f>
        <v>0.65</v>
      </c>
      <c r="Q38" s="11">
        <f ca="1">OFFSET('COM Techs T15'!$F40,0,MATCH(VLOOKUP('COM Veda input'!Q$3,'RES Assumptions T15'!$V$3:$W$35,2,FALSE),'COM Techs T15'!$G$3:$U$3,0))</f>
        <v>0.65</v>
      </c>
      <c r="R38" s="11">
        <f ca="1">OFFSET('COM Techs T15'!$F40,0,MATCH(VLOOKUP('COM Veda input'!R$3,'RES Assumptions T15'!$V$3:$W$35,2,FALSE),'COM Techs T15'!$G$3:$U$3,0))</f>
        <v>0.65</v>
      </c>
      <c r="S38" s="11">
        <f ca="1">OFFSET('COM Techs T15'!$F40,0,MATCH(VLOOKUP('COM Veda input'!S$3,'RES Assumptions T15'!$V$3:$W$35,2,FALSE),'COM Techs T15'!$G$3:$U$3,0))</f>
        <v>0.65</v>
      </c>
      <c r="T38" s="11">
        <f ca="1">OFFSET('COM Techs T15'!$F40,0,MATCH(VLOOKUP('COM Veda input'!T$3,'RES Assumptions T15'!$V$3:$W$35,2,FALSE),'COM Techs T15'!$G$3:$U$3,0))</f>
        <v>0.65</v>
      </c>
      <c r="U38" s="11">
        <f ca="1">OFFSET('COM Techs T15'!$F40,0,MATCH(VLOOKUP('COM Veda input'!U$3,'RES Assumptions T15'!$V$3:$W$35,2,FALSE),'COM Techs T15'!$G$3:$U$3,0))</f>
        <v>0.65</v>
      </c>
      <c r="V38" s="11">
        <f ca="1">OFFSET('COM Techs T15'!$F40,0,MATCH(VLOOKUP('COM Veda input'!V$3,'RES Assumptions T15'!$V$3:$W$35,2,FALSE),'COM Techs T15'!$G$3:$U$3,0))</f>
        <v>0.65</v>
      </c>
      <c r="W38" s="11">
        <f ca="1">OFFSET('COM Techs T15'!$F40,0,MATCH(VLOOKUP('COM Veda input'!W$3,'RES Assumptions T15'!$V$3:$W$35,2,FALSE),'COM Techs T15'!$G$3:$U$3,0))</f>
        <v>0.65</v>
      </c>
      <c r="X38" s="11">
        <f ca="1">OFFSET('COM Techs T15'!$F40,0,MATCH(VLOOKUP('COM Veda input'!X$3,'RES Assumptions T15'!$V$3:$W$35,2,FALSE),'COM Techs T15'!$G$3:$U$3,0))</f>
        <v>0.65</v>
      </c>
      <c r="Y38" s="11">
        <f ca="1">OFFSET('COM Techs T15'!$F40,0,MATCH(VLOOKUP('COM Veda input'!Y$3,'RES Assumptions T15'!$V$3:$W$35,2,FALSE),'COM Techs T15'!$G$3:$U$3,0))</f>
        <v>0.65</v>
      </c>
      <c r="Z38" s="11">
        <f ca="1">OFFSET('COM Techs T15'!$F40,0,MATCH(VLOOKUP('COM Veda input'!Z$3,'RES Assumptions T15'!$V$3:$W$35,2,FALSE),'COM Techs T15'!$G$3:$U$3,0))</f>
        <v>0.65</v>
      </c>
      <c r="AA38" s="11">
        <f ca="1">OFFSET('COM Techs T15'!$F40,0,MATCH(VLOOKUP('COM Veda input'!AA$3,'RES Assumptions T15'!$V$3:$W$35,2,FALSE),'COM Techs T15'!$G$3:$U$3,0))</f>
        <v>0.65</v>
      </c>
      <c r="AB38" s="11">
        <f ca="1">OFFSET('COM Techs T15'!$F40,0,MATCH(VLOOKUP('COM Veda input'!AB$3,'RES Assumptions T15'!$V$3:$W$35,2,FALSE),'COM Techs T15'!$G$3:$U$3,0))</f>
        <v>0.65</v>
      </c>
      <c r="AC38" s="11">
        <f ca="1">OFFSET('COM Techs T15'!$F40,0,MATCH(VLOOKUP('COM Veda input'!AC$3,'RES Assumptions T15'!$V$3:$W$35,2,FALSE),'COM Techs T15'!$G$3:$U$3,0))</f>
        <v>0.65</v>
      </c>
      <c r="AD38" s="11">
        <f ca="1">OFFSET('COM Techs T15'!$F40,0,MATCH(VLOOKUP('COM Veda input'!AD$3,'RES Assumptions T15'!$V$3:$W$35,2,FALSE),'COM Techs T15'!$G$3:$U$3,0))</f>
        <v>0.65</v>
      </c>
      <c r="AE38" s="11">
        <f ca="1">OFFSET('COM Techs T15'!$F40,0,MATCH(VLOOKUP('COM Veda input'!AE$3,'RES Assumptions T15'!$V$3:$W$35,2,FALSE),'COM Techs T15'!$G$3:$U$3,0))</f>
        <v>0.65</v>
      </c>
      <c r="AF38" s="11">
        <f ca="1">OFFSET('COM Techs T15'!$F40,0,MATCH(VLOOKUP('COM Veda input'!AF$3,'RES Assumptions T15'!$V$3:$W$35,2,FALSE),'COM Techs T15'!$G$3:$U$3,0))</f>
        <v>0.65</v>
      </c>
      <c r="AG38" s="11">
        <f ca="1">OFFSET('COM Techs T15'!$F40,0,MATCH(VLOOKUP('COM Veda input'!AG$3,'RES Assumptions T15'!$V$3:$W$35,2,FALSE),'COM Techs T15'!$G$3:$U$3,0))</f>
        <v>0.65</v>
      </c>
      <c r="AH38" s="11">
        <f ca="1">OFFSET('COM Techs T15'!$F40,0,MATCH(VLOOKUP('COM Veda input'!AH$3,'RES Assumptions T15'!$V$3:$W$35,2,FALSE),'COM Techs T15'!$G$3:$U$3,0))</f>
        <v>0.65</v>
      </c>
      <c r="AI38" s="11">
        <f ca="1">OFFSET('COM Techs T15'!$F40,0,MATCH(VLOOKUP('COM Veda input'!AI$3,'RES Assumptions T15'!$V$3:$W$35,2,FALSE),'COM Techs T15'!$G$3:$U$3,0))</f>
        <v>0.65</v>
      </c>
      <c r="AJ38" s="11">
        <f ca="1">OFFSET('COM Techs T15'!$F40,0,MATCH(VLOOKUP('COM Veda input'!AJ$3,'RES Assumptions T15'!$V$3:$W$35,2,FALSE),'COM Techs T15'!$G$3:$U$3,0))</f>
        <v>0.65</v>
      </c>
      <c r="AL38" s="8" t="str">
        <f t="shared" si="19"/>
        <v>CHWNGA000</v>
      </c>
      <c r="AM38" s="11">
        <f ca="1">OFFSET('COM Techs T15'!$W40,0,MATCH(VLOOKUP('COM Veda input'!AM$3,'RES Assumptions T15'!$V$3:$W$35,2,FALSE),'COM Techs T15'!$G$3:$U$3,0))</f>
        <v>0.1</v>
      </c>
      <c r="AN38" s="11">
        <f ca="1">OFFSET('COM Techs T15'!$W40,0,MATCH(VLOOKUP('COM Veda input'!AN$3,'RES Assumptions T15'!$V$3:$W$35,2,FALSE),'COM Techs T15'!$G$3:$U$3,0))</f>
        <v>0.1</v>
      </c>
      <c r="AO38" s="11">
        <f ca="1">OFFSET('COM Techs T15'!$W40,0,MATCH(VLOOKUP('COM Veda input'!AO$3,'RES Assumptions T15'!$V$3:$W$35,2,FALSE),'COM Techs T15'!$G$3:$U$3,0))</f>
        <v>0.1</v>
      </c>
      <c r="AP38" s="11">
        <f ca="1">OFFSET('COM Techs T15'!$W40,0,MATCH(VLOOKUP('COM Veda input'!AP$3,'RES Assumptions T15'!$V$3:$W$35,2,FALSE),'COM Techs T15'!$G$3:$U$3,0))</f>
        <v>0.1</v>
      </c>
      <c r="AQ38" s="11">
        <f ca="1">OFFSET('COM Techs T15'!$W40,0,MATCH(VLOOKUP('COM Veda input'!AQ$3,'RES Assumptions T15'!$V$3:$W$35,2,FALSE),'COM Techs T15'!$G$3:$U$3,0))</f>
        <v>0.1</v>
      </c>
      <c r="AR38" s="11">
        <f ca="1">OFFSET('COM Techs T15'!$W40,0,MATCH(VLOOKUP('COM Veda input'!AR$3,'RES Assumptions T15'!$V$3:$W$35,2,FALSE),'COM Techs T15'!$G$3:$U$3,0))</f>
        <v>0.1</v>
      </c>
      <c r="AS38" s="11">
        <f ca="1">OFFSET('COM Techs T15'!$W40,0,MATCH(VLOOKUP('COM Veda input'!AS$3,'RES Assumptions T15'!$V$3:$W$35,2,FALSE),'COM Techs T15'!$G$3:$U$3,0))</f>
        <v>0.13</v>
      </c>
      <c r="AT38" s="11">
        <f ca="1">OFFSET('COM Techs T15'!$W40,0,MATCH(VLOOKUP('COM Veda input'!AT$3,'RES Assumptions T15'!$V$3:$W$35,2,FALSE),'COM Techs T15'!$G$3:$U$3,0))</f>
        <v>0.1</v>
      </c>
      <c r="AU38" s="11">
        <f ca="1">OFFSET('COM Techs T15'!$W40,0,MATCH(VLOOKUP('COM Veda input'!AU$3,'RES Assumptions T15'!$V$3:$W$35,2,FALSE),'COM Techs T15'!$G$3:$U$3,0))</f>
        <v>0.13</v>
      </c>
      <c r="AV38" s="11">
        <f ca="1">OFFSET('COM Techs T15'!$W40,0,MATCH(VLOOKUP('COM Veda input'!AV$3,'RES Assumptions T15'!$V$3:$W$35,2,FALSE),'COM Techs T15'!$G$3:$U$3,0))</f>
        <v>0.1</v>
      </c>
      <c r="AW38" s="11">
        <f ca="1">OFFSET('COM Techs T15'!$W40,0,MATCH(VLOOKUP('COM Veda input'!AW$3,'RES Assumptions T15'!$V$3:$W$35,2,FALSE),'COM Techs T15'!$G$3:$U$3,0))</f>
        <v>0.1</v>
      </c>
      <c r="AX38" s="11">
        <f ca="1">OFFSET('COM Techs T15'!$W40,0,MATCH(VLOOKUP('COM Veda input'!AX$3,'RES Assumptions T15'!$V$3:$W$35,2,FALSE),'COM Techs T15'!$G$3:$U$3,0))</f>
        <v>0.1</v>
      </c>
      <c r="AY38" s="11">
        <f ca="1">OFFSET('COM Techs T15'!$W40,0,MATCH(VLOOKUP('COM Veda input'!AY$3,'RES Assumptions T15'!$V$3:$W$35,2,FALSE),'COM Techs T15'!$G$3:$U$3,0))</f>
        <v>0.1</v>
      </c>
      <c r="AZ38" s="11">
        <f ca="1">OFFSET('COM Techs T15'!$W40,0,MATCH(VLOOKUP('COM Veda input'!AZ$3,'RES Assumptions T15'!$V$3:$W$35,2,FALSE),'COM Techs T15'!$G$3:$U$3,0))</f>
        <v>0.1</v>
      </c>
      <c r="BA38" s="11">
        <f ca="1">OFFSET('COM Techs T15'!$W40,0,MATCH(VLOOKUP('COM Veda input'!BA$3,'RES Assumptions T15'!$V$3:$W$35,2,FALSE),'COM Techs T15'!$G$3:$U$3,0))</f>
        <v>0.1</v>
      </c>
      <c r="BB38" s="11">
        <f ca="1">OFFSET('COM Techs T15'!$W40,0,MATCH(VLOOKUP('COM Veda input'!BB$3,'RES Assumptions T15'!$V$3:$W$35,2,FALSE),'COM Techs T15'!$G$3:$U$3,0))</f>
        <v>0.1</v>
      </c>
      <c r="BC38" s="11">
        <f ca="1">OFFSET('COM Techs T15'!$W40,0,MATCH(VLOOKUP('COM Veda input'!BC$3,'RES Assumptions T15'!$V$3:$W$35,2,FALSE),'COM Techs T15'!$G$3:$U$3,0))</f>
        <v>0.1</v>
      </c>
      <c r="BD38" s="11">
        <f ca="1">OFFSET('COM Techs T15'!$W40,0,MATCH(VLOOKUP('COM Veda input'!BD$3,'RES Assumptions T15'!$V$3:$W$35,2,FALSE),'COM Techs T15'!$G$3:$U$3,0))</f>
        <v>0.1</v>
      </c>
      <c r="BE38" s="11">
        <f ca="1">OFFSET('COM Techs T15'!$W40,0,MATCH(VLOOKUP('COM Veda input'!BE$3,'RES Assumptions T15'!$V$3:$W$35,2,FALSE),'COM Techs T15'!$G$3:$U$3,0))</f>
        <v>0.1</v>
      </c>
      <c r="BF38" s="11">
        <f ca="1">OFFSET('COM Techs T15'!$W40,0,MATCH(VLOOKUP('COM Veda input'!BF$3,'RES Assumptions T15'!$V$3:$W$35,2,FALSE),'COM Techs T15'!$G$3:$U$3,0))</f>
        <v>0.1</v>
      </c>
      <c r="BG38" s="11">
        <f ca="1">OFFSET('COM Techs T15'!$W40,0,MATCH(VLOOKUP('COM Veda input'!BG$3,'RES Assumptions T15'!$V$3:$W$35,2,FALSE),'COM Techs T15'!$G$3:$U$3,0))</f>
        <v>0.1</v>
      </c>
      <c r="BH38" s="11">
        <f ca="1">OFFSET('COM Techs T15'!$W40,0,MATCH(VLOOKUP('COM Veda input'!BH$3,'RES Assumptions T15'!$V$3:$W$35,2,FALSE),'COM Techs T15'!$G$3:$U$3,0))</f>
        <v>0.1</v>
      </c>
      <c r="BI38" s="11">
        <f ca="1">OFFSET('COM Techs T15'!$W40,0,MATCH(VLOOKUP('COM Veda input'!BI$3,'RES Assumptions T15'!$V$3:$W$35,2,FALSE),'COM Techs T15'!$G$3:$U$3,0))</f>
        <v>0.1</v>
      </c>
      <c r="BJ38" s="11">
        <f ca="1">OFFSET('COM Techs T15'!$W40,0,MATCH(VLOOKUP('COM Veda input'!BJ$3,'RES Assumptions T15'!$V$3:$W$35,2,FALSE),'COM Techs T15'!$G$3:$U$3,0))</f>
        <v>0.1</v>
      </c>
      <c r="BK38" s="11">
        <f ca="1">OFFSET('COM Techs T15'!$W40,0,MATCH(VLOOKUP('COM Veda input'!BK$3,'RES Assumptions T15'!$V$3:$W$35,2,FALSE),'COM Techs T15'!$G$3:$U$3,0))</f>
        <v>0.1</v>
      </c>
      <c r="BL38" s="11">
        <f ca="1">OFFSET('COM Techs T15'!$W40,0,MATCH(VLOOKUP('COM Veda input'!BL$3,'RES Assumptions T15'!$V$3:$W$35,2,FALSE),'COM Techs T15'!$G$3:$U$3,0))</f>
        <v>0.1</v>
      </c>
      <c r="BM38" s="11">
        <f ca="1">OFFSET('COM Techs T15'!$W40,0,MATCH(VLOOKUP('COM Veda input'!BM$3,'RES Assumptions T15'!$V$3:$W$35,2,FALSE),'COM Techs T15'!$G$3:$U$3,0))</f>
        <v>0.1</v>
      </c>
      <c r="BN38" s="11">
        <f ca="1">OFFSET('COM Techs T15'!$W40,0,MATCH(VLOOKUP('COM Veda input'!BN$3,'RES Assumptions T15'!$V$3:$W$35,2,FALSE),'COM Techs T15'!$G$3:$U$3,0))</f>
        <v>0.1</v>
      </c>
      <c r="BO38" s="11">
        <f ca="1">OFFSET('COM Techs T15'!$W40,0,MATCH(VLOOKUP('COM Veda input'!BO$3,'RES Assumptions T15'!$V$3:$W$35,2,FALSE),'COM Techs T15'!$G$3:$U$3,0))</f>
        <v>0.25</v>
      </c>
      <c r="BP38" s="11">
        <f ca="1">OFFSET('COM Techs T15'!$W40,0,MATCH(VLOOKUP('COM Veda input'!BP$3,'RES Assumptions T15'!$V$3:$W$35,2,FALSE),'COM Techs T15'!$G$3:$U$3,0))</f>
        <v>0.25</v>
      </c>
      <c r="BQ38">
        <v>3</v>
      </c>
      <c r="BS38" s="8" t="str">
        <f t="shared" si="20"/>
        <v>CHWNGA000</v>
      </c>
      <c r="BT38" s="11">
        <f t="shared" ca="1" si="21"/>
        <v>1.8</v>
      </c>
      <c r="BU38" s="11" t="str">
        <f ca="1">OFFSET('COM Techs T15'!$AO40,0,MATCH(VLOOKUP('COM Veda input'!BU$3,'RES Assumptions T15'!$V$3:$W$35,2,FALSE),'COM Techs T15'!$G$3:$U$3,0))</f>
        <v/>
      </c>
      <c r="BV38" s="11" t="str">
        <f ca="1">OFFSET('COM Techs T15'!$AO40,0,MATCH(VLOOKUP('COM Veda input'!BV$3,'RES Assumptions T15'!$V$3:$W$35,2,FALSE),'COM Techs T15'!$G$3:$U$3,0))</f>
        <v/>
      </c>
      <c r="BW38" s="11">
        <f ca="1">OFFSET('COM Techs T15'!$AO40,0,MATCH(VLOOKUP('COM Veda input'!BW$3,'RES Assumptions T15'!$V$3:$W$35,2,FALSE),'COM Techs T15'!$G$3:$U$3,0))</f>
        <v>2.1</v>
      </c>
      <c r="BX38" s="11" t="str">
        <f ca="1">OFFSET('COM Techs T15'!$AO40,0,MATCH(VLOOKUP('COM Veda input'!BX$3,'RES Assumptions T15'!$V$3:$W$35,2,FALSE),'COM Techs T15'!$G$3:$U$3,0))</f>
        <v/>
      </c>
      <c r="BY38" s="11">
        <f ca="1">OFFSET('COM Techs T15'!$AO40,0,MATCH(VLOOKUP('COM Veda input'!BY$3,'RES Assumptions T15'!$V$3:$W$35,2,FALSE),'COM Techs T15'!$G$3:$U$3,0))</f>
        <v>3</v>
      </c>
      <c r="BZ38" s="11">
        <f ca="1">OFFSET('COM Techs T15'!$AO40,0,MATCH(VLOOKUP('COM Veda input'!BZ$3,'RES Assumptions T15'!$V$3:$W$35,2,FALSE),'COM Techs T15'!$G$3:$U$3,0))</f>
        <v>1.8</v>
      </c>
      <c r="CA38" s="11" t="str">
        <f ca="1">OFFSET('COM Techs T15'!$AO40,0,MATCH(VLOOKUP('COM Veda input'!CA$3,'RES Assumptions T15'!$V$3:$W$35,2,FALSE),'COM Techs T15'!$G$3:$U$3,0))</f>
        <v/>
      </c>
      <c r="CB38" s="11">
        <f ca="1">OFFSET('COM Techs T15'!$AO40,0,MATCH(VLOOKUP('COM Veda input'!CB$3,'RES Assumptions T15'!$V$3:$W$35,2,FALSE),'COM Techs T15'!$G$3:$U$3,0))</f>
        <v>2.1</v>
      </c>
      <c r="CC38" s="11" t="str">
        <f ca="1">OFFSET('COM Techs T15'!$AO40,0,MATCH(VLOOKUP('COM Veda input'!CC$3,'RES Assumptions T15'!$V$3:$W$35,2,FALSE),'COM Techs T15'!$G$3:$U$3,0))</f>
        <v/>
      </c>
      <c r="CD38" s="11">
        <f ca="1">OFFSET('COM Techs T15'!$AO40,0,MATCH(VLOOKUP('COM Veda input'!CD$3,'RES Assumptions T15'!$V$3:$W$35,2,FALSE),'COM Techs T15'!$G$3:$U$3,0))</f>
        <v>1.8</v>
      </c>
      <c r="CE38" s="11" t="str">
        <f ca="1">OFFSET('COM Techs T15'!$AO40,0,MATCH(VLOOKUP('COM Veda input'!CE$3,'RES Assumptions T15'!$V$3:$W$35,2,FALSE),'COM Techs T15'!$G$3:$U$3,0))</f>
        <v/>
      </c>
      <c r="CF38" s="11" t="str">
        <f ca="1">OFFSET('COM Techs T15'!$AO40,0,MATCH(VLOOKUP('COM Veda input'!CF$3,'RES Assumptions T15'!$V$3:$W$35,2,FALSE),'COM Techs T15'!$G$3:$U$3,0))</f>
        <v/>
      </c>
      <c r="CG38" s="11" t="str">
        <f ca="1">OFFSET('COM Techs T15'!$AO40,0,MATCH(VLOOKUP('COM Veda input'!CG$3,'RES Assumptions T15'!$V$3:$W$35,2,FALSE),'COM Techs T15'!$G$3:$U$3,0))</f>
        <v/>
      </c>
      <c r="CH38" s="11" t="str">
        <f ca="1">OFFSET('COM Techs T15'!$AO40,0,MATCH(VLOOKUP('COM Veda input'!CH$3,'RES Assumptions T15'!$V$3:$W$35,2,FALSE),'COM Techs T15'!$G$3:$U$3,0))</f>
        <v/>
      </c>
      <c r="CI38" s="11" t="str">
        <f ca="1">OFFSET('COM Techs T15'!$AO40,0,MATCH(VLOOKUP('COM Veda input'!CI$3,'RES Assumptions T15'!$V$3:$W$35,2,FALSE),'COM Techs T15'!$G$3:$U$3,0))</f>
        <v/>
      </c>
      <c r="CJ38" s="11" t="str">
        <f ca="1">OFFSET('COM Techs T15'!$AO40,0,MATCH(VLOOKUP('COM Veda input'!CJ$3,'RES Assumptions T15'!$V$3:$W$35,2,FALSE),'COM Techs T15'!$G$3:$U$3,0))</f>
        <v/>
      </c>
      <c r="CK38" s="11">
        <f ca="1">OFFSET('COM Techs T15'!$AO40,0,MATCH(VLOOKUP('COM Veda input'!CK$3,'RES Assumptions T15'!$V$3:$W$35,2,FALSE),'COM Techs T15'!$G$3:$U$3,0))</f>
        <v>2.1</v>
      </c>
      <c r="CL38" s="11" t="str">
        <f ca="1">OFFSET('COM Techs T15'!$AO40,0,MATCH(VLOOKUP('COM Veda input'!CL$3,'RES Assumptions T15'!$V$3:$W$35,2,FALSE),'COM Techs T15'!$G$3:$U$3,0))</f>
        <v/>
      </c>
      <c r="CM38" s="11" t="str">
        <f ca="1">OFFSET('COM Techs T15'!$AO40,0,MATCH(VLOOKUP('COM Veda input'!CM$3,'RES Assumptions T15'!$V$3:$W$35,2,FALSE),'COM Techs T15'!$G$3:$U$3,0))</f>
        <v/>
      </c>
      <c r="CN38" s="11">
        <f ca="1">OFFSET('COM Techs T15'!$AO40,0,MATCH(VLOOKUP('COM Veda input'!CN$3,'RES Assumptions T15'!$V$3:$W$35,2,FALSE),'COM Techs T15'!$G$3:$U$3,0))</f>
        <v>1.8</v>
      </c>
      <c r="CO38" s="11">
        <f ca="1">OFFSET('COM Techs T15'!$AO40,0,MATCH(VLOOKUP('COM Veda input'!CO$3,'RES Assumptions T15'!$V$3:$W$35,2,FALSE),'COM Techs T15'!$G$3:$U$3,0))</f>
        <v>2.1</v>
      </c>
      <c r="CP38" s="11">
        <f ca="1">OFFSET('COM Techs T15'!$AO40,0,MATCH(VLOOKUP('COM Veda input'!CP$3,'RES Assumptions T15'!$V$3:$W$35,2,FALSE),'COM Techs T15'!$G$3:$U$3,0))</f>
        <v>2.4</v>
      </c>
      <c r="CQ38" s="11">
        <f ca="1">OFFSET('COM Techs T15'!$AO40,0,MATCH(VLOOKUP('COM Veda input'!CQ$3,'RES Assumptions T15'!$V$3:$W$35,2,FALSE),'COM Techs T15'!$G$3:$U$3,0))</f>
        <v>2.1</v>
      </c>
      <c r="CR38" s="11" t="str">
        <f ca="1">OFFSET('COM Techs T15'!$AO40,0,MATCH(VLOOKUP('COM Veda input'!CR$3,'RES Assumptions T15'!$V$3:$W$35,2,FALSE),'COM Techs T15'!$G$3:$U$3,0))</f>
        <v/>
      </c>
      <c r="CS38" s="11" t="str">
        <f ca="1">OFFSET('COM Techs T15'!$AO40,0,MATCH(VLOOKUP('COM Veda input'!CS$3,'RES Assumptions T15'!$V$3:$W$35,2,FALSE),'COM Techs T15'!$G$3:$U$3,0))</f>
        <v/>
      </c>
      <c r="CT38" s="11">
        <f ca="1">OFFSET('COM Techs T15'!$AO40,0,MATCH(VLOOKUP('COM Veda input'!CT$3,'RES Assumptions T15'!$V$3:$W$35,2,FALSE),'COM Techs T15'!$G$3:$U$3,0))</f>
        <v>2.1</v>
      </c>
      <c r="CU38" s="11" t="str">
        <f ca="1">OFFSET('COM Techs T15'!$AO40,0,MATCH(VLOOKUP('COM Veda input'!CU$3,'RES Assumptions T15'!$V$3:$W$35,2,FALSE),'COM Techs T15'!$G$3:$U$3,0))</f>
        <v/>
      </c>
      <c r="CV38" s="11" t="str">
        <f ca="1">OFFSET('COM Techs T15'!$AO40,0,MATCH(VLOOKUP('COM Veda input'!CV$3,'RES Assumptions T15'!$V$3:$W$35,2,FALSE),'COM Techs T15'!$G$3:$U$3,0))</f>
        <v/>
      </c>
      <c r="CW38" s="11" t="str">
        <f ca="1">OFFSET('COM Techs T15'!$AO40,0,MATCH(VLOOKUP('COM Veda input'!CW$3,'RES Assumptions T15'!$V$3:$W$35,2,FALSE),'COM Techs T15'!$G$3:$U$3,0))</f>
        <v/>
      </c>
      <c r="CX38" s="11" t="str">
        <f ca="1">OFFSET('COM Techs T15'!$AO40,0,MATCH(VLOOKUP('COM Veda input'!CX$3,'RES Assumptions T15'!$V$3:$W$35,2,FALSE),'COM Techs T15'!$G$3:$U$3,0))</f>
        <v/>
      </c>
      <c r="CZ38" s="8" t="str">
        <f t="shared" si="22"/>
        <v>CHWNGA000</v>
      </c>
      <c r="DA38" s="10">
        <f ca="1">'COM Assumptions'!E115*G38/'COM Veda input'!AM38</f>
        <v>41.599002914820005</v>
      </c>
      <c r="DB38" s="10">
        <f ca="1">'COM Assumptions'!F115*H38/'COM Veda input'!AN38</f>
        <v>0.13080777371999999</v>
      </c>
      <c r="DC38" s="10">
        <f ca="1">'COM Assumptions'!G115*I38/'COM Veda input'!AO38</f>
        <v>74.390559984000006</v>
      </c>
      <c r="DD38" s="10">
        <f ca="1">'COM Assumptions'!H115*J38/'COM Veda input'!AP38</f>
        <v>255.69976002246003</v>
      </c>
      <c r="DE38" s="10">
        <f ca="1">'COM Assumptions'!I115*K38/'COM Veda input'!AQ38</f>
        <v>1400.6714118340319</v>
      </c>
      <c r="DF38" s="10">
        <f ca="1">'COM Assumptions'!J115*L38/'COM Veda input'!AR38</f>
        <v>157.15671455952</v>
      </c>
      <c r="DG38" s="10">
        <f ca="1">'COM Assumptions'!K115*M38/'COM Veda input'!AS38</f>
        <v>108.13342353659999</v>
      </c>
      <c r="DH38" s="10">
        <f ca="1">'COM Assumptions'!L115*N38/'COM Veda input'!AT38</f>
        <v>8.0027654943600002</v>
      </c>
      <c r="DI38" s="10">
        <f ca="1">'COM Assumptions'!M115*O38/'COM Veda input'!AU38</f>
        <v>444.44827501290001</v>
      </c>
      <c r="DJ38" s="10">
        <f ca="1">'COM Assumptions'!N115*P38/'COM Veda input'!AV38</f>
        <v>865.41049184265</v>
      </c>
      <c r="DK38" s="10">
        <f ca="1">'COM Assumptions'!O115*Q38/'COM Veda input'!AW38</f>
        <v>25.752997212228003</v>
      </c>
      <c r="DL38" s="10">
        <f ca="1">'COM Assumptions'!P115*R38/'COM Veda input'!AX38</f>
        <v>99.13461141402</v>
      </c>
      <c r="DM38" s="10">
        <f ca="1">'COM Assumptions'!Q115*S38/'COM Veda input'!AY38</f>
        <v>387.08776008068401</v>
      </c>
      <c r="DN38" s="10">
        <f ca="1">'COM Assumptions'!R115*T38/'COM Veda input'!AZ38</f>
        <v>534.98246456912398</v>
      </c>
      <c r="DO38" s="10">
        <f ca="1">'COM Assumptions'!S115*U38/'COM Veda input'!BA38</f>
        <v>60.089546869559996</v>
      </c>
      <c r="DP38" s="10">
        <f ca="1">'COM Assumptions'!T115*V38/'COM Veda input'!BB38</f>
        <v>164.988801027882</v>
      </c>
      <c r="DQ38" s="10">
        <f ca="1">'COM Assumptions'!U115*W38/'COM Veda input'!BC38</f>
        <v>228.84682444533001</v>
      </c>
      <c r="DR38" s="10">
        <f ca="1">'COM Assumptions'!V115*X38/'COM Veda input'!BD38</f>
        <v>448.76837372328004</v>
      </c>
      <c r="DS38" s="10">
        <f ca="1">'COM Assumptions'!W115*Y38/'COM Veda input'!BE38</f>
        <v>725.26860157939188</v>
      </c>
      <c r="DT38" s="10">
        <f ca="1">'COM Assumptions'!X115*Z38/'COM Veda input'!BF38</f>
        <v>158.10543286785</v>
      </c>
      <c r="DU38" s="10">
        <f ca="1">'COM Assumptions'!Y115*AA38/'COM Veda input'!BG38</f>
        <v>47.191741449840002</v>
      </c>
      <c r="DV38" s="10">
        <f ca="1">'COM Assumptions'!Z115*AB38/'COM Veda input'!BH38</f>
        <v>12.82554083304</v>
      </c>
      <c r="DW38" s="10">
        <f ca="1">'COM Assumptions'!AA115*AC38/'COM Veda input'!BI38</f>
        <v>527.28092706743996</v>
      </c>
      <c r="DX38" s="10">
        <f ca="1">'COM Assumptions'!AB115*AD38/'COM Veda input'!BJ38</f>
        <v>5.0897490899579996</v>
      </c>
      <c r="DY38" s="10">
        <f ca="1">'COM Assumptions'!AC115*AE38/'COM Veda input'!BK38</f>
        <v>153.44854576739999</v>
      </c>
      <c r="DZ38" s="10">
        <f ca="1">'COM Assumptions'!AD115*AF38/'COM Veda input'!BL38</f>
        <v>0</v>
      </c>
      <c r="EA38" s="10">
        <f ca="1">'COM Assumptions'!AE115*AG38/'COM Veda input'!BM38</f>
        <v>2.1656679361199997</v>
      </c>
      <c r="EB38" s="10">
        <f ca="1">'COM Assumptions'!AF115*AH38/'COM Veda input'!BN38</f>
        <v>468.66274449578998</v>
      </c>
      <c r="EC38" s="10">
        <f ca="1">'COM Assumptions'!AG115*AI38/'COM Veda input'!BO38</f>
        <v>2385.0519076762271</v>
      </c>
      <c r="ED38" s="10">
        <f ca="1">'COM Assumptions'!AH115*AJ38/'COM Veda input'!BP38</f>
        <v>0</v>
      </c>
      <c r="EE38" s="8">
        <v>15</v>
      </c>
      <c r="EI38" s="8" t="str">
        <f t="shared" si="23"/>
        <v>CHWNGA000</v>
      </c>
      <c r="EK38" t="s">
        <v>282</v>
      </c>
      <c r="EL38" t="s">
        <v>283</v>
      </c>
    </row>
    <row r="39" spans="1:142" x14ac:dyDescent="0.45">
      <c r="A39" s="37" t="str">
        <f>'COM Assumptions'!B116</f>
        <v>CHW</v>
      </c>
      <c r="B39" s="37" t="s">
        <v>377</v>
      </c>
      <c r="D39" t="s">
        <v>377</v>
      </c>
      <c r="E39" s="8" t="str">
        <f>'COM Assumptions'!A116</f>
        <v>COMSTH</v>
      </c>
      <c r="F39" t="str">
        <f>VLOOKUP('COM Assumptions'!B116,'COM Assumptions'!$AP$81:$AQ$88,2,FALSE)</f>
        <v>CHW</v>
      </c>
      <c r="G39" s="11">
        <f ca="1">OFFSET('COM Techs T15'!$F41,0,MATCH(VLOOKUP('COM Veda input'!G$3,'RES Assumptions T15'!$V$3:$W$35,2,FALSE),'COM Techs T15'!$G$3:$U$3,0))</f>
        <v>1</v>
      </c>
      <c r="H39" s="11">
        <f ca="1">OFFSET('COM Techs T15'!$F41,0,MATCH(VLOOKUP('COM Veda input'!H$3,'RES Assumptions T15'!$V$3:$W$35,2,FALSE),'COM Techs T15'!$G$3:$U$3,0))</f>
        <v>1</v>
      </c>
      <c r="I39" s="11">
        <f ca="1">OFFSET('COM Techs T15'!$F41,0,MATCH(VLOOKUP('COM Veda input'!I$3,'RES Assumptions T15'!$V$3:$W$35,2,FALSE),'COM Techs T15'!$G$3:$U$3,0))</f>
        <v>1</v>
      </c>
      <c r="J39" s="11">
        <f ca="1">OFFSET('COM Techs T15'!$F41,0,MATCH(VLOOKUP('COM Veda input'!J$3,'RES Assumptions T15'!$V$3:$W$35,2,FALSE),'COM Techs T15'!$G$3:$U$3,0))</f>
        <v>1</v>
      </c>
      <c r="K39" s="11">
        <f ca="1">OFFSET('COM Techs T15'!$F41,0,MATCH(VLOOKUP('COM Veda input'!K$3,'RES Assumptions T15'!$V$3:$W$35,2,FALSE),'COM Techs T15'!$G$3:$U$3,0))</f>
        <v>1</v>
      </c>
      <c r="L39" s="11">
        <f ca="1">OFFSET('COM Techs T15'!$F41,0,MATCH(VLOOKUP('COM Veda input'!L$3,'RES Assumptions T15'!$V$3:$W$35,2,FALSE),'COM Techs T15'!$G$3:$U$3,0))</f>
        <v>1</v>
      </c>
      <c r="M39" s="11">
        <f ca="1">OFFSET('COM Techs T15'!$F41,0,MATCH(VLOOKUP('COM Veda input'!M$3,'RES Assumptions T15'!$V$3:$W$35,2,FALSE),'COM Techs T15'!$G$3:$U$3,0))</f>
        <v>1</v>
      </c>
      <c r="N39" s="11">
        <f ca="1">OFFSET('COM Techs T15'!$F41,0,MATCH(VLOOKUP('COM Veda input'!N$3,'RES Assumptions T15'!$V$3:$W$35,2,FALSE),'COM Techs T15'!$G$3:$U$3,0))</f>
        <v>1</v>
      </c>
      <c r="O39" s="11">
        <f ca="1">OFFSET('COM Techs T15'!$F41,0,MATCH(VLOOKUP('COM Veda input'!O$3,'RES Assumptions T15'!$V$3:$W$35,2,FALSE),'COM Techs T15'!$G$3:$U$3,0))</f>
        <v>1</v>
      </c>
      <c r="P39" s="11">
        <f ca="1">OFFSET('COM Techs T15'!$F41,0,MATCH(VLOOKUP('COM Veda input'!P$3,'RES Assumptions T15'!$V$3:$W$35,2,FALSE),'COM Techs T15'!$G$3:$U$3,0))</f>
        <v>1</v>
      </c>
      <c r="Q39" s="11">
        <f ca="1">OFFSET('COM Techs T15'!$F41,0,MATCH(VLOOKUP('COM Veda input'!Q$3,'RES Assumptions T15'!$V$3:$W$35,2,FALSE),'COM Techs T15'!$G$3:$U$3,0))</f>
        <v>1</v>
      </c>
      <c r="R39" s="11">
        <f ca="1">OFFSET('COM Techs T15'!$F41,0,MATCH(VLOOKUP('COM Veda input'!R$3,'RES Assumptions T15'!$V$3:$W$35,2,FALSE),'COM Techs T15'!$G$3:$U$3,0))</f>
        <v>1</v>
      </c>
      <c r="S39" s="11">
        <f ca="1">OFFSET('COM Techs T15'!$F41,0,MATCH(VLOOKUP('COM Veda input'!S$3,'RES Assumptions T15'!$V$3:$W$35,2,FALSE),'COM Techs T15'!$G$3:$U$3,0))</f>
        <v>1</v>
      </c>
      <c r="T39" s="11">
        <f ca="1">OFFSET('COM Techs T15'!$F41,0,MATCH(VLOOKUP('COM Veda input'!T$3,'RES Assumptions T15'!$V$3:$W$35,2,FALSE),'COM Techs T15'!$G$3:$U$3,0))</f>
        <v>1</v>
      </c>
      <c r="U39" s="11">
        <f ca="1">OFFSET('COM Techs T15'!$F41,0,MATCH(VLOOKUP('COM Veda input'!U$3,'RES Assumptions T15'!$V$3:$W$35,2,FALSE),'COM Techs T15'!$G$3:$U$3,0))</f>
        <v>1</v>
      </c>
      <c r="V39" s="11">
        <f ca="1">OFFSET('COM Techs T15'!$F41,0,MATCH(VLOOKUP('COM Veda input'!V$3,'RES Assumptions T15'!$V$3:$W$35,2,FALSE),'COM Techs T15'!$G$3:$U$3,0))</f>
        <v>1</v>
      </c>
      <c r="W39" s="11">
        <f ca="1">OFFSET('COM Techs T15'!$F41,0,MATCH(VLOOKUP('COM Veda input'!W$3,'RES Assumptions T15'!$V$3:$W$35,2,FALSE),'COM Techs T15'!$G$3:$U$3,0))</f>
        <v>1</v>
      </c>
      <c r="X39" s="11">
        <f ca="1">OFFSET('COM Techs T15'!$F41,0,MATCH(VLOOKUP('COM Veda input'!X$3,'RES Assumptions T15'!$V$3:$W$35,2,FALSE),'COM Techs T15'!$G$3:$U$3,0))</f>
        <v>1</v>
      </c>
      <c r="Y39" s="11">
        <f ca="1">OFFSET('COM Techs T15'!$F41,0,MATCH(VLOOKUP('COM Veda input'!Y$3,'RES Assumptions T15'!$V$3:$W$35,2,FALSE),'COM Techs T15'!$G$3:$U$3,0))</f>
        <v>1</v>
      </c>
      <c r="Z39" s="11">
        <f ca="1">OFFSET('COM Techs T15'!$F41,0,MATCH(VLOOKUP('COM Veda input'!Z$3,'RES Assumptions T15'!$V$3:$W$35,2,FALSE),'COM Techs T15'!$G$3:$U$3,0))</f>
        <v>1</v>
      </c>
      <c r="AA39" s="11">
        <f ca="1">OFFSET('COM Techs T15'!$F41,0,MATCH(VLOOKUP('COM Veda input'!AA$3,'RES Assumptions T15'!$V$3:$W$35,2,FALSE),'COM Techs T15'!$G$3:$U$3,0))</f>
        <v>1</v>
      </c>
      <c r="AB39" s="11">
        <f ca="1">OFFSET('COM Techs T15'!$F41,0,MATCH(VLOOKUP('COM Veda input'!AB$3,'RES Assumptions T15'!$V$3:$W$35,2,FALSE),'COM Techs T15'!$G$3:$U$3,0))</f>
        <v>1</v>
      </c>
      <c r="AC39" s="11">
        <f ca="1">OFFSET('COM Techs T15'!$F41,0,MATCH(VLOOKUP('COM Veda input'!AC$3,'RES Assumptions T15'!$V$3:$W$35,2,FALSE),'COM Techs T15'!$G$3:$U$3,0))</f>
        <v>1</v>
      </c>
      <c r="AD39" s="11">
        <f ca="1">OFFSET('COM Techs T15'!$F41,0,MATCH(VLOOKUP('COM Veda input'!AD$3,'RES Assumptions T15'!$V$3:$W$35,2,FALSE),'COM Techs T15'!$G$3:$U$3,0))</f>
        <v>1</v>
      </c>
      <c r="AE39" s="11">
        <f ca="1">OFFSET('COM Techs T15'!$F41,0,MATCH(VLOOKUP('COM Veda input'!AE$3,'RES Assumptions T15'!$V$3:$W$35,2,FALSE),'COM Techs T15'!$G$3:$U$3,0))</f>
        <v>1</v>
      </c>
      <c r="AF39" s="11">
        <f ca="1">OFFSET('COM Techs T15'!$F41,0,MATCH(VLOOKUP('COM Veda input'!AF$3,'RES Assumptions T15'!$V$3:$W$35,2,FALSE),'COM Techs T15'!$G$3:$U$3,0))</f>
        <v>1</v>
      </c>
      <c r="AG39" s="11">
        <f ca="1">OFFSET('COM Techs T15'!$F41,0,MATCH(VLOOKUP('COM Veda input'!AG$3,'RES Assumptions T15'!$V$3:$W$35,2,FALSE),'COM Techs T15'!$G$3:$U$3,0))</f>
        <v>1</v>
      </c>
      <c r="AH39" s="11">
        <f ca="1">OFFSET('COM Techs T15'!$F41,0,MATCH(VLOOKUP('COM Veda input'!AH$3,'RES Assumptions T15'!$V$3:$W$35,2,FALSE),'COM Techs T15'!$G$3:$U$3,0))</f>
        <v>1</v>
      </c>
      <c r="AI39" s="11">
        <f ca="1">OFFSET('COM Techs T15'!$F41,0,MATCH(VLOOKUP('COM Veda input'!AI$3,'RES Assumptions T15'!$V$3:$W$35,2,FALSE),'COM Techs T15'!$G$3:$U$3,0))</f>
        <v>1</v>
      </c>
      <c r="AJ39" s="11">
        <f ca="1">OFFSET('COM Techs T15'!$F41,0,MATCH(VLOOKUP('COM Veda input'!AJ$3,'RES Assumptions T15'!$V$3:$W$35,2,FALSE),'COM Techs T15'!$G$3:$U$3,0))</f>
        <v>1</v>
      </c>
      <c r="AL39" s="8" t="str">
        <f t="shared" si="19"/>
        <v>CHWSTH000</v>
      </c>
      <c r="AM39" s="11">
        <f ca="1">OFFSET('COM Techs T15'!$W41,0,MATCH(VLOOKUP('COM Veda input'!AM$3,'RES Assumptions T15'!$V$3:$W$35,2,FALSE),'COM Techs T15'!$G$3:$U$3,0))</f>
        <v>0.1</v>
      </c>
      <c r="AN39" s="11">
        <f ca="1">OFFSET('COM Techs T15'!$W41,0,MATCH(VLOOKUP('COM Veda input'!AN$3,'RES Assumptions T15'!$V$3:$W$35,2,FALSE),'COM Techs T15'!$G$3:$U$3,0))</f>
        <v>0.1</v>
      </c>
      <c r="AO39" s="11">
        <f ca="1">OFFSET('COM Techs T15'!$W41,0,MATCH(VLOOKUP('COM Veda input'!AO$3,'RES Assumptions T15'!$V$3:$W$35,2,FALSE),'COM Techs T15'!$G$3:$U$3,0))</f>
        <v>0.1</v>
      </c>
      <c r="AP39" s="11">
        <f ca="1">OFFSET('COM Techs T15'!$W41,0,MATCH(VLOOKUP('COM Veda input'!AP$3,'RES Assumptions T15'!$V$3:$W$35,2,FALSE),'COM Techs T15'!$G$3:$U$3,0))</f>
        <v>0.1</v>
      </c>
      <c r="AQ39" s="11">
        <f ca="1">OFFSET('COM Techs T15'!$W41,0,MATCH(VLOOKUP('COM Veda input'!AQ$3,'RES Assumptions T15'!$V$3:$W$35,2,FALSE),'COM Techs T15'!$G$3:$U$3,0))</f>
        <v>0.1</v>
      </c>
      <c r="AR39" s="11">
        <f ca="1">OFFSET('COM Techs T15'!$W41,0,MATCH(VLOOKUP('COM Veda input'!AR$3,'RES Assumptions T15'!$V$3:$W$35,2,FALSE),'COM Techs T15'!$G$3:$U$3,0))</f>
        <v>0.1</v>
      </c>
      <c r="AS39" s="11">
        <f ca="1">OFFSET('COM Techs T15'!$W41,0,MATCH(VLOOKUP('COM Veda input'!AS$3,'RES Assumptions T15'!$V$3:$W$35,2,FALSE),'COM Techs T15'!$G$3:$U$3,0))</f>
        <v>0.13</v>
      </c>
      <c r="AT39" s="11">
        <f ca="1">OFFSET('COM Techs T15'!$W41,0,MATCH(VLOOKUP('COM Veda input'!AT$3,'RES Assumptions T15'!$V$3:$W$35,2,FALSE),'COM Techs T15'!$G$3:$U$3,0))</f>
        <v>0.1</v>
      </c>
      <c r="AU39" s="11">
        <f ca="1">OFFSET('COM Techs T15'!$W41,0,MATCH(VLOOKUP('COM Veda input'!AU$3,'RES Assumptions T15'!$V$3:$W$35,2,FALSE),'COM Techs T15'!$G$3:$U$3,0))</f>
        <v>0.13</v>
      </c>
      <c r="AV39" s="11">
        <f ca="1">OFFSET('COM Techs T15'!$W41,0,MATCH(VLOOKUP('COM Veda input'!AV$3,'RES Assumptions T15'!$V$3:$W$35,2,FALSE),'COM Techs T15'!$G$3:$U$3,0))</f>
        <v>0.1</v>
      </c>
      <c r="AW39" s="11">
        <f ca="1">OFFSET('COM Techs T15'!$W41,0,MATCH(VLOOKUP('COM Veda input'!AW$3,'RES Assumptions T15'!$V$3:$W$35,2,FALSE),'COM Techs T15'!$G$3:$U$3,0))</f>
        <v>0.1</v>
      </c>
      <c r="AX39" s="11">
        <f ca="1">OFFSET('COM Techs T15'!$W41,0,MATCH(VLOOKUP('COM Veda input'!AX$3,'RES Assumptions T15'!$V$3:$W$35,2,FALSE),'COM Techs T15'!$G$3:$U$3,0))</f>
        <v>0.1</v>
      </c>
      <c r="AY39" s="11">
        <f ca="1">OFFSET('COM Techs T15'!$W41,0,MATCH(VLOOKUP('COM Veda input'!AY$3,'RES Assumptions T15'!$V$3:$W$35,2,FALSE),'COM Techs T15'!$G$3:$U$3,0))</f>
        <v>0.1</v>
      </c>
      <c r="AZ39" s="11">
        <f ca="1">OFFSET('COM Techs T15'!$W41,0,MATCH(VLOOKUP('COM Veda input'!AZ$3,'RES Assumptions T15'!$V$3:$W$35,2,FALSE),'COM Techs T15'!$G$3:$U$3,0))</f>
        <v>0.1</v>
      </c>
      <c r="BA39" s="11">
        <f ca="1">OFFSET('COM Techs T15'!$W41,0,MATCH(VLOOKUP('COM Veda input'!BA$3,'RES Assumptions T15'!$V$3:$W$35,2,FALSE),'COM Techs T15'!$G$3:$U$3,0))</f>
        <v>0.1</v>
      </c>
      <c r="BB39" s="11">
        <f ca="1">OFFSET('COM Techs T15'!$W41,0,MATCH(VLOOKUP('COM Veda input'!BB$3,'RES Assumptions T15'!$V$3:$W$35,2,FALSE),'COM Techs T15'!$G$3:$U$3,0))</f>
        <v>0.1</v>
      </c>
      <c r="BC39" s="11">
        <f ca="1">OFFSET('COM Techs T15'!$W41,0,MATCH(VLOOKUP('COM Veda input'!BC$3,'RES Assumptions T15'!$V$3:$W$35,2,FALSE),'COM Techs T15'!$G$3:$U$3,0))</f>
        <v>0.1</v>
      </c>
      <c r="BD39" s="11">
        <f ca="1">OFFSET('COM Techs T15'!$W41,0,MATCH(VLOOKUP('COM Veda input'!BD$3,'RES Assumptions T15'!$V$3:$W$35,2,FALSE),'COM Techs T15'!$G$3:$U$3,0))</f>
        <v>0.1</v>
      </c>
      <c r="BE39" s="11">
        <f ca="1">OFFSET('COM Techs T15'!$W41,0,MATCH(VLOOKUP('COM Veda input'!BE$3,'RES Assumptions T15'!$V$3:$W$35,2,FALSE),'COM Techs T15'!$G$3:$U$3,0))</f>
        <v>0.1</v>
      </c>
      <c r="BF39" s="11">
        <f ca="1">OFFSET('COM Techs T15'!$W41,0,MATCH(VLOOKUP('COM Veda input'!BF$3,'RES Assumptions T15'!$V$3:$W$35,2,FALSE),'COM Techs T15'!$G$3:$U$3,0))</f>
        <v>0.1</v>
      </c>
      <c r="BG39" s="11">
        <f ca="1">OFFSET('COM Techs T15'!$W41,0,MATCH(VLOOKUP('COM Veda input'!BG$3,'RES Assumptions T15'!$V$3:$W$35,2,FALSE),'COM Techs T15'!$G$3:$U$3,0))</f>
        <v>0.1</v>
      </c>
      <c r="BH39" s="11">
        <f ca="1">OFFSET('COM Techs T15'!$W41,0,MATCH(VLOOKUP('COM Veda input'!BH$3,'RES Assumptions T15'!$V$3:$W$35,2,FALSE),'COM Techs T15'!$G$3:$U$3,0))</f>
        <v>0.1</v>
      </c>
      <c r="BI39" s="11">
        <f ca="1">OFFSET('COM Techs T15'!$W41,0,MATCH(VLOOKUP('COM Veda input'!BI$3,'RES Assumptions T15'!$V$3:$W$35,2,FALSE),'COM Techs T15'!$G$3:$U$3,0))</f>
        <v>0.1</v>
      </c>
      <c r="BJ39" s="11">
        <f ca="1">OFFSET('COM Techs T15'!$W41,0,MATCH(VLOOKUP('COM Veda input'!BJ$3,'RES Assumptions T15'!$V$3:$W$35,2,FALSE),'COM Techs T15'!$G$3:$U$3,0))</f>
        <v>0.1</v>
      </c>
      <c r="BK39" s="11">
        <f ca="1">OFFSET('COM Techs T15'!$W41,0,MATCH(VLOOKUP('COM Veda input'!BK$3,'RES Assumptions T15'!$V$3:$W$35,2,FALSE),'COM Techs T15'!$G$3:$U$3,0))</f>
        <v>0.1</v>
      </c>
      <c r="BL39" s="11">
        <f ca="1">OFFSET('COM Techs T15'!$W41,0,MATCH(VLOOKUP('COM Veda input'!BL$3,'RES Assumptions T15'!$V$3:$W$35,2,FALSE),'COM Techs T15'!$G$3:$U$3,0))</f>
        <v>0.1</v>
      </c>
      <c r="BM39" s="11">
        <f ca="1">OFFSET('COM Techs T15'!$W41,0,MATCH(VLOOKUP('COM Veda input'!BM$3,'RES Assumptions T15'!$V$3:$W$35,2,FALSE),'COM Techs T15'!$G$3:$U$3,0))</f>
        <v>0.1</v>
      </c>
      <c r="BN39" s="11">
        <f ca="1">OFFSET('COM Techs T15'!$W41,0,MATCH(VLOOKUP('COM Veda input'!BN$3,'RES Assumptions T15'!$V$3:$W$35,2,FALSE),'COM Techs T15'!$G$3:$U$3,0))</f>
        <v>0.1</v>
      </c>
      <c r="BO39" s="11">
        <f ca="1">OFFSET('COM Techs T15'!$W41,0,MATCH(VLOOKUP('COM Veda input'!BO$3,'RES Assumptions T15'!$V$3:$W$35,2,FALSE),'COM Techs T15'!$G$3:$U$3,0))</f>
        <v>0.25</v>
      </c>
      <c r="BP39" s="11">
        <f ca="1">OFFSET('COM Techs T15'!$W41,0,MATCH(VLOOKUP('COM Veda input'!BP$3,'RES Assumptions T15'!$V$3:$W$35,2,FALSE),'COM Techs T15'!$G$3:$U$3,0))</f>
        <v>0.25</v>
      </c>
      <c r="BQ39">
        <v>3</v>
      </c>
      <c r="BS39" s="8" t="str">
        <f t="shared" si="20"/>
        <v>CHWSTH000</v>
      </c>
      <c r="BT39" s="11">
        <f t="shared" ca="1" si="21"/>
        <v>5.4</v>
      </c>
      <c r="BU39" s="11" t="str">
        <f ca="1">OFFSET('COM Techs T15'!$AO41,0,MATCH(VLOOKUP('COM Veda input'!BU$3,'RES Assumptions T15'!$V$3:$W$35,2,FALSE),'COM Techs T15'!$G$3:$U$3,0))</f>
        <v/>
      </c>
      <c r="BV39" s="11" t="str">
        <f ca="1">OFFSET('COM Techs T15'!$AO41,0,MATCH(VLOOKUP('COM Veda input'!BV$3,'RES Assumptions T15'!$V$3:$W$35,2,FALSE),'COM Techs T15'!$G$3:$U$3,0))</f>
        <v/>
      </c>
      <c r="BW39" s="11">
        <f ca="1">OFFSET('COM Techs T15'!$AO41,0,MATCH(VLOOKUP('COM Veda input'!BW$3,'RES Assumptions T15'!$V$3:$W$35,2,FALSE),'COM Techs T15'!$G$3:$U$3,0))</f>
        <v>6.3</v>
      </c>
      <c r="BX39" s="11" t="str">
        <f ca="1">OFFSET('COM Techs T15'!$AO41,0,MATCH(VLOOKUP('COM Veda input'!BX$3,'RES Assumptions T15'!$V$3:$W$35,2,FALSE),'COM Techs T15'!$G$3:$U$3,0))</f>
        <v/>
      </c>
      <c r="BY39" s="11">
        <f ca="1">OFFSET('COM Techs T15'!$AO41,0,MATCH(VLOOKUP('COM Veda input'!BY$3,'RES Assumptions T15'!$V$3:$W$35,2,FALSE),'COM Techs T15'!$G$3:$U$3,0))</f>
        <v>9</v>
      </c>
      <c r="BZ39" s="11">
        <f ca="1">OFFSET('COM Techs T15'!$AO41,0,MATCH(VLOOKUP('COM Veda input'!BZ$3,'RES Assumptions T15'!$V$3:$W$35,2,FALSE),'COM Techs T15'!$G$3:$U$3,0))</f>
        <v>5.4</v>
      </c>
      <c r="CA39" s="11" t="str">
        <f ca="1">OFFSET('COM Techs T15'!$AO41,0,MATCH(VLOOKUP('COM Veda input'!CA$3,'RES Assumptions T15'!$V$3:$W$35,2,FALSE),'COM Techs T15'!$G$3:$U$3,0))</f>
        <v/>
      </c>
      <c r="CB39" s="11">
        <f ca="1">OFFSET('COM Techs T15'!$AO41,0,MATCH(VLOOKUP('COM Veda input'!CB$3,'RES Assumptions T15'!$V$3:$W$35,2,FALSE),'COM Techs T15'!$G$3:$U$3,0))</f>
        <v>6.3</v>
      </c>
      <c r="CC39" s="11" t="str">
        <f ca="1">OFFSET('COM Techs T15'!$AO41,0,MATCH(VLOOKUP('COM Veda input'!CC$3,'RES Assumptions T15'!$V$3:$W$35,2,FALSE),'COM Techs T15'!$G$3:$U$3,0))</f>
        <v/>
      </c>
      <c r="CD39" s="11">
        <f ca="1">OFFSET('COM Techs T15'!$AO41,0,MATCH(VLOOKUP('COM Veda input'!CD$3,'RES Assumptions T15'!$V$3:$W$35,2,FALSE),'COM Techs T15'!$G$3:$U$3,0))</f>
        <v>5.4</v>
      </c>
      <c r="CE39" s="11" t="str">
        <f ca="1">OFFSET('COM Techs T15'!$AO41,0,MATCH(VLOOKUP('COM Veda input'!CE$3,'RES Assumptions T15'!$V$3:$W$35,2,FALSE),'COM Techs T15'!$G$3:$U$3,0))</f>
        <v/>
      </c>
      <c r="CF39" s="11" t="str">
        <f ca="1">OFFSET('COM Techs T15'!$AO41,0,MATCH(VLOOKUP('COM Veda input'!CF$3,'RES Assumptions T15'!$V$3:$W$35,2,FALSE),'COM Techs T15'!$G$3:$U$3,0))</f>
        <v/>
      </c>
      <c r="CG39" s="11" t="str">
        <f ca="1">OFFSET('COM Techs T15'!$AO41,0,MATCH(VLOOKUP('COM Veda input'!CG$3,'RES Assumptions T15'!$V$3:$W$35,2,FALSE),'COM Techs T15'!$G$3:$U$3,0))</f>
        <v/>
      </c>
      <c r="CH39" s="11" t="str">
        <f ca="1">OFFSET('COM Techs T15'!$AO41,0,MATCH(VLOOKUP('COM Veda input'!CH$3,'RES Assumptions T15'!$V$3:$W$35,2,FALSE),'COM Techs T15'!$G$3:$U$3,0))</f>
        <v/>
      </c>
      <c r="CI39" s="11" t="str">
        <f ca="1">OFFSET('COM Techs T15'!$AO41,0,MATCH(VLOOKUP('COM Veda input'!CI$3,'RES Assumptions T15'!$V$3:$W$35,2,FALSE),'COM Techs T15'!$G$3:$U$3,0))</f>
        <v/>
      </c>
      <c r="CJ39" s="11" t="str">
        <f ca="1">OFFSET('COM Techs T15'!$AO41,0,MATCH(VLOOKUP('COM Veda input'!CJ$3,'RES Assumptions T15'!$V$3:$W$35,2,FALSE),'COM Techs T15'!$G$3:$U$3,0))</f>
        <v/>
      </c>
      <c r="CK39" s="11">
        <f ca="1">OFFSET('COM Techs T15'!$AO41,0,MATCH(VLOOKUP('COM Veda input'!CK$3,'RES Assumptions T15'!$V$3:$W$35,2,FALSE),'COM Techs T15'!$G$3:$U$3,0))</f>
        <v>6.3</v>
      </c>
      <c r="CL39" s="11" t="str">
        <f ca="1">OFFSET('COM Techs T15'!$AO41,0,MATCH(VLOOKUP('COM Veda input'!CL$3,'RES Assumptions T15'!$V$3:$W$35,2,FALSE),'COM Techs T15'!$G$3:$U$3,0))</f>
        <v/>
      </c>
      <c r="CM39" s="11" t="str">
        <f ca="1">OFFSET('COM Techs T15'!$AO41,0,MATCH(VLOOKUP('COM Veda input'!CM$3,'RES Assumptions T15'!$V$3:$W$35,2,FALSE),'COM Techs T15'!$G$3:$U$3,0))</f>
        <v/>
      </c>
      <c r="CN39" s="11">
        <f ca="1">OFFSET('COM Techs T15'!$AO41,0,MATCH(VLOOKUP('COM Veda input'!CN$3,'RES Assumptions T15'!$V$3:$W$35,2,FALSE),'COM Techs T15'!$G$3:$U$3,0))</f>
        <v>5.4</v>
      </c>
      <c r="CO39" s="11">
        <f ca="1">OFFSET('COM Techs T15'!$AO41,0,MATCH(VLOOKUP('COM Veda input'!CO$3,'RES Assumptions T15'!$V$3:$W$35,2,FALSE),'COM Techs T15'!$G$3:$U$3,0))</f>
        <v>6.3</v>
      </c>
      <c r="CP39" s="11">
        <f ca="1">OFFSET('COM Techs T15'!$AO41,0,MATCH(VLOOKUP('COM Veda input'!CP$3,'RES Assumptions T15'!$V$3:$W$35,2,FALSE),'COM Techs T15'!$G$3:$U$3,0))</f>
        <v>7.2</v>
      </c>
      <c r="CQ39" s="11">
        <f ca="1">OFFSET('COM Techs T15'!$AO41,0,MATCH(VLOOKUP('COM Veda input'!CQ$3,'RES Assumptions T15'!$V$3:$W$35,2,FALSE),'COM Techs T15'!$G$3:$U$3,0))</f>
        <v>6.3</v>
      </c>
      <c r="CR39" s="11" t="str">
        <f ca="1">OFFSET('COM Techs T15'!$AO41,0,MATCH(VLOOKUP('COM Veda input'!CR$3,'RES Assumptions T15'!$V$3:$W$35,2,FALSE),'COM Techs T15'!$G$3:$U$3,0))</f>
        <v/>
      </c>
      <c r="CS39" s="11" t="str">
        <f ca="1">OFFSET('COM Techs T15'!$AO41,0,MATCH(VLOOKUP('COM Veda input'!CS$3,'RES Assumptions T15'!$V$3:$W$35,2,FALSE),'COM Techs T15'!$G$3:$U$3,0))</f>
        <v/>
      </c>
      <c r="CT39" s="11">
        <f ca="1">OFFSET('COM Techs T15'!$AO41,0,MATCH(VLOOKUP('COM Veda input'!CT$3,'RES Assumptions T15'!$V$3:$W$35,2,FALSE),'COM Techs T15'!$G$3:$U$3,0))</f>
        <v>6.3</v>
      </c>
      <c r="CU39" s="11" t="str">
        <f ca="1">OFFSET('COM Techs T15'!$AO41,0,MATCH(VLOOKUP('COM Veda input'!CU$3,'RES Assumptions T15'!$V$3:$W$35,2,FALSE),'COM Techs T15'!$G$3:$U$3,0))</f>
        <v/>
      </c>
      <c r="CV39" s="11" t="str">
        <f ca="1">OFFSET('COM Techs T15'!$AO41,0,MATCH(VLOOKUP('COM Veda input'!CV$3,'RES Assumptions T15'!$V$3:$W$35,2,FALSE),'COM Techs T15'!$G$3:$U$3,0))</f>
        <v/>
      </c>
      <c r="CW39" s="11" t="str">
        <f ca="1">OFFSET('COM Techs T15'!$AO41,0,MATCH(VLOOKUP('COM Veda input'!CW$3,'RES Assumptions T15'!$V$3:$W$35,2,FALSE),'COM Techs T15'!$G$3:$U$3,0))</f>
        <v/>
      </c>
      <c r="CX39" s="11" t="str">
        <f ca="1">OFFSET('COM Techs T15'!$AO41,0,MATCH(VLOOKUP('COM Veda input'!CX$3,'RES Assumptions T15'!$V$3:$W$35,2,FALSE),'COM Techs T15'!$G$3:$U$3,0))</f>
        <v/>
      </c>
      <c r="CZ39" s="8" t="str">
        <f t="shared" si="22"/>
        <v>CHWSTH000</v>
      </c>
      <c r="DA39" s="10">
        <f ca="1">'COM Assumptions'!E116*G39/'COM Veda input'!AM39</f>
        <v>1.10698992</v>
      </c>
      <c r="DB39" s="10">
        <f ca="1">'COM Assumptions'!F116*H39/'COM Veda input'!AN39</f>
        <v>0</v>
      </c>
      <c r="DC39" s="10">
        <f ca="1">'COM Assumptions'!G116*I39/'COM Veda input'!AO39</f>
        <v>0</v>
      </c>
      <c r="DD39" s="10">
        <f ca="1">'COM Assumptions'!H116*J39/'COM Veda input'!AP39</f>
        <v>3.0489114960000001</v>
      </c>
      <c r="DE39" s="10">
        <f ca="1">'COM Assumptions'!I116*K39/'COM Veda input'!AQ39</f>
        <v>16.86170898</v>
      </c>
      <c r="DF39" s="10">
        <f ca="1">'COM Assumptions'!J116*L39/'COM Veda input'!AR39</f>
        <v>5.371078247999999</v>
      </c>
      <c r="DG39" s="10">
        <f ca="1">'COM Assumptions'!K116*M39/'COM Veda input'!AS39</f>
        <v>3.6231278953846155</v>
      </c>
      <c r="DH39" s="10">
        <f ca="1">'COM Assumptions'!L116*N39/'COM Veda input'!AT39</f>
        <v>0</v>
      </c>
      <c r="DI39" s="10">
        <f ca="1">'COM Assumptions'!M116*O39/'COM Veda input'!AU39</f>
        <v>0</v>
      </c>
      <c r="DJ39" s="10">
        <f ca="1">'COM Assumptions'!N116*P39/'COM Veda input'!AV39</f>
        <v>976.32001760399999</v>
      </c>
      <c r="DK39" s="10">
        <f ca="1">'COM Assumptions'!O116*Q39/'COM Veda input'!AW39</f>
        <v>0.91649051999999986</v>
      </c>
      <c r="DL39" s="10">
        <f ca="1">'COM Assumptions'!P116*R39/'COM Veda input'!AX39</f>
        <v>30.579089291999999</v>
      </c>
      <c r="DM39" s="10">
        <f ca="1">'COM Assumptions'!Q116*S39/'COM Veda input'!AY39</f>
        <v>3.0587086079999994</v>
      </c>
      <c r="DN39" s="10">
        <f ca="1">'COM Assumptions'!R116*T39/'COM Veda input'!AZ39</f>
        <v>28.025559971999996</v>
      </c>
      <c r="DO39" s="10">
        <f ca="1">'COM Assumptions'!S116*U39/'COM Veda input'!BA39</f>
        <v>8.410946255999999</v>
      </c>
      <c r="DP39" s="10">
        <f ca="1">'COM Assumptions'!T116*V39/'COM Veda input'!BB39</f>
        <v>36.9139689</v>
      </c>
      <c r="DQ39" s="10">
        <f ca="1">'COM Assumptions'!U116*W39/'COM Veda input'!BC39</f>
        <v>6.3914432759999995</v>
      </c>
      <c r="DR39" s="10">
        <f ca="1">'COM Assumptions'!V116*X39/'COM Veda input'!BD39</f>
        <v>5.6816969399999993</v>
      </c>
      <c r="DS39" s="10">
        <f ca="1">'COM Assumptions'!W116*Y39/'COM Veda input'!BE39</f>
        <v>12.639991068</v>
      </c>
      <c r="DT39" s="10">
        <f ca="1">'COM Assumptions'!X116*Z39/'COM Veda input'!BF39</f>
        <v>39.560453553599999</v>
      </c>
      <c r="DU39" s="10">
        <f ca="1">'COM Assumptions'!Y116*AA39/'COM Veda input'!BG39</f>
        <v>5.9198839919999999</v>
      </c>
      <c r="DV39" s="10">
        <f ca="1">'COM Assumptions'!Z116*AB39/'COM Veda input'!BH39</f>
        <v>51.750020303999996</v>
      </c>
      <c r="DW39" s="10">
        <f ca="1">'COM Assumptions'!AA116*AC39/'COM Veda input'!BI39</f>
        <v>29.220472692000001</v>
      </c>
      <c r="DX39" s="10">
        <f ca="1">'COM Assumptions'!AB116*AD39/'COM Veda input'!BJ39</f>
        <v>0</v>
      </c>
      <c r="DY39" s="10">
        <f ca="1">'COM Assumptions'!AC116*AE39/'COM Veda input'!BK39</f>
        <v>0</v>
      </c>
      <c r="DZ39" s="10">
        <f ca="1">'COM Assumptions'!AD116*AF39/'COM Veda input'!BL39</f>
        <v>0</v>
      </c>
      <c r="EA39" s="10">
        <f ca="1">'COM Assumptions'!AE116*AG39/'COM Veda input'!BM39</f>
        <v>0</v>
      </c>
      <c r="EB39" s="10">
        <f ca="1">'COM Assumptions'!AF116*AH39/'COM Veda input'!BN39</f>
        <v>7.1899916399999997</v>
      </c>
      <c r="EC39" s="10">
        <f ca="1">'COM Assumptions'!AG116*AI39/'COM Veda input'!BO39</f>
        <v>302.1302229552</v>
      </c>
      <c r="ED39" s="10">
        <f ca="1">'COM Assumptions'!AH116*AJ39/'COM Veda input'!BP39</f>
        <v>0</v>
      </c>
      <c r="EE39" s="8">
        <v>15</v>
      </c>
      <c r="EI39" s="8" t="str">
        <f t="shared" si="23"/>
        <v>CHWSTH000</v>
      </c>
      <c r="EK39" t="s">
        <v>282</v>
      </c>
      <c r="EL39" t="s">
        <v>283</v>
      </c>
    </row>
    <row r="40" spans="1:142" x14ac:dyDescent="0.45">
      <c r="A40" s="37" t="str">
        <f>'COM Assumptions'!B117</f>
        <v>CLA</v>
      </c>
      <c r="B40" s="37" t="s">
        <v>216</v>
      </c>
      <c r="D40" t="s">
        <v>216</v>
      </c>
      <c r="E40" s="8" t="str">
        <f>'COM Assumptions'!A117</f>
        <v>COMELC</v>
      </c>
      <c r="F40" t="str">
        <f>VLOOKUP('COM Assumptions'!B117,'COM Assumptions'!$AP$81:$AQ$88,2,FALSE)</f>
        <v>CLA</v>
      </c>
      <c r="G40" s="11">
        <f ca="1">OFFSET('COM Techs T15'!$F42,0,MATCH(VLOOKUP('COM Veda input'!G$3,'RES Assumptions T15'!$V$3:$W$35,2,FALSE),'COM Techs T15'!$G$3:$U$3,0))</f>
        <v>1.2</v>
      </c>
      <c r="H40" s="11">
        <f ca="1">OFFSET('COM Techs T15'!$F42,0,MATCH(VLOOKUP('COM Veda input'!H$3,'RES Assumptions T15'!$V$3:$W$35,2,FALSE),'COM Techs T15'!$G$3:$U$3,0))</f>
        <v>1.2</v>
      </c>
      <c r="I40" s="11">
        <f ca="1">OFFSET('COM Techs T15'!$F42,0,MATCH(VLOOKUP('COM Veda input'!I$3,'RES Assumptions T15'!$V$3:$W$35,2,FALSE),'COM Techs T15'!$G$3:$U$3,0))</f>
        <v>1.2</v>
      </c>
      <c r="J40" s="11">
        <f ca="1">OFFSET('COM Techs T15'!$F42,0,MATCH(VLOOKUP('COM Veda input'!J$3,'RES Assumptions T15'!$V$3:$W$35,2,FALSE),'COM Techs T15'!$G$3:$U$3,0))</f>
        <v>1.2</v>
      </c>
      <c r="K40" s="11">
        <f ca="1">OFFSET('COM Techs T15'!$F42,0,MATCH(VLOOKUP('COM Veda input'!K$3,'RES Assumptions T15'!$V$3:$W$35,2,FALSE),'COM Techs T15'!$G$3:$U$3,0))</f>
        <v>1.2</v>
      </c>
      <c r="L40" s="11">
        <f ca="1">OFFSET('COM Techs T15'!$F42,0,MATCH(VLOOKUP('COM Veda input'!L$3,'RES Assumptions T15'!$V$3:$W$35,2,FALSE),'COM Techs T15'!$G$3:$U$3,0))</f>
        <v>1.2</v>
      </c>
      <c r="M40" s="11">
        <f ca="1">OFFSET('COM Techs T15'!$F42,0,MATCH(VLOOKUP('COM Veda input'!M$3,'RES Assumptions T15'!$V$3:$W$35,2,FALSE),'COM Techs T15'!$G$3:$U$3,0))</f>
        <v>1.2</v>
      </c>
      <c r="N40" s="11">
        <f ca="1">OFFSET('COM Techs T15'!$F42,0,MATCH(VLOOKUP('COM Veda input'!N$3,'RES Assumptions T15'!$V$3:$W$35,2,FALSE),'COM Techs T15'!$G$3:$U$3,0))</f>
        <v>1.2</v>
      </c>
      <c r="O40" s="11">
        <f ca="1">OFFSET('COM Techs T15'!$F42,0,MATCH(VLOOKUP('COM Veda input'!O$3,'RES Assumptions T15'!$V$3:$W$35,2,FALSE),'COM Techs T15'!$G$3:$U$3,0))</f>
        <v>1.2</v>
      </c>
      <c r="P40" s="11">
        <f ca="1">OFFSET('COM Techs T15'!$F42,0,MATCH(VLOOKUP('COM Veda input'!P$3,'RES Assumptions T15'!$V$3:$W$35,2,FALSE),'COM Techs T15'!$G$3:$U$3,0))</f>
        <v>1.2</v>
      </c>
      <c r="Q40" s="11">
        <f ca="1">OFFSET('COM Techs T15'!$F42,0,MATCH(VLOOKUP('COM Veda input'!Q$3,'RES Assumptions T15'!$V$3:$W$35,2,FALSE),'COM Techs T15'!$G$3:$U$3,0))</f>
        <v>1.2</v>
      </c>
      <c r="R40" s="11">
        <f ca="1">OFFSET('COM Techs T15'!$F42,0,MATCH(VLOOKUP('COM Veda input'!R$3,'RES Assumptions T15'!$V$3:$W$35,2,FALSE),'COM Techs T15'!$G$3:$U$3,0))</f>
        <v>1.2</v>
      </c>
      <c r="S40" s="11">
        <f ca="1">OFFSET('COM Techs T15'!$F42,0,MATCH(VLOOKUP('COM Veda input'!S$3,'RES Assumptions T15'!$V$3:$W$35,2,FALSE),'COM Techs T15'!$G$3:$U$3,0))</f>
        <v>1.2</v>
      </c>
      <c r="T40" s="11">
        <f ca="1">OFFSET('COM Techs T15'!$F42,0,MATCH(VLOOKUP('COM Veda input'!T$3,'RES Assumptions T15'!$V$3:$W$35,2,FALSE),'COM Techs T15'!$G$3:$U$3,0))</f>
        <v>1.2</v>
      </c>
      <c r="U40" s="11">
        <f ca="1">OFFSET('COM Techs T15'!$F42,0,MATCH(VLOOKUP('COM Veda input'!U$3,'RES Assumptions T15'!$V$3:$W$35,2,FALSE),'COM Techs T15'!$G$3:$U$3,0))</f>
        <v>1.2</v>
      </c>
      <c r="V40" s="11">
        <f ca="1">OFFSET('COM Techs T15'!$F42,0,MATCH(VLOOKUP('COM Veda input'!V$3,'RES Assumptions T15'!$V$3:$W$35,2,FALSE),'COM Techs T15'!$G$3:$U$3,0))</f>
        <v>1.2</v>
      </c>
      <c r="W40" s="11">
        <f ca="1">OFFSET('COM Techs T15'!$F42,0,MATCH(VLOOKUP('COM Veda input'!W$3,'RES Assumptions T15'!$V$3:$W$35,2,FALSE),'COM Techs T15'!$G$3:$U$3,0))</f>
        <v>1.2</v>
      </c>
      <c r="X40" s="11">
        <f ca="1">OFFSET('COM Techs T15'!$F42,0,MATCH(VLOOKUP('COM Veda input'!X$3,'RES Assumptions T15'!$V$3:$W$35,2,FALSE),'COM Techs T15'!$G$3:$U$3,0))</f>
        <v>1.2</v>
      </c>
      <c r="Y40" s="11">
        <f ca="1">OFFSET('COM Techs T15'!$F42,0,MATCH(VLOOKUP('COM Veda input'!Y$3,'RES Assumptions T15'!$V$3:$W$35,2,FALSE),'COM Techs T15'!$G$3:$U$3,0))</f>
        <v>1.2</v>
      </c>
      <c r="Z40" s="11">
        <f ca="1">OFFSET('COM Techs T15'!$F42,0,MATCH(VLOOKUP('COM Veda input'!Z$3,'RES Assumptions T15'!$V$3:$W$35,2,FALSE),'COM Techs T15'!$G$3:$U$3,0))</f>
        <v>1.2</v>
      </c>
      <c r="AA40" s="11">
        <f ca="1">OFFSET('COM Techs T15'!$F42,0,MATCH(VLOOKUP('COM Veda input'!AA$3,'RES Assumptions T15'!$V$3:$W$35,2,FALSE),'COM Techs T15'!$G$3:$U$3,0))</f>
        <v>1.2</v>
      </c>
      <c r="AB40" s="11">
        <f ca="1">OFFSET('COM Techs T15'!$F42,0,MATCH(VLOOKUP('COM Veda input'!AB$3,'RES Assumptions T15'!$V$3:$W$35,2,FALSE),'COM Techs T15'!$G$3:$U$3,0))</f>
        <v>1.2</v>
      </c>
      <c r="AC40" s="11">
        <f ca="1">OFFSET('COM Techs T15'!$F42,0,MATCH(VLOOKUP('COM Veda input'!AC$3,'RES Assumptions T15'!$V$3:$W$35,2,FALSE),'COM Techs T15'!$G$3:$U$3,0))</f>
        <v>1.2</v>
      </c>
      <c r="AD40" s="11">
        <f ca="1">OFFSET('COM Techs T15'!$F42,0,MATCH(VLOOKUP('COM Veda input'!AD$3,'RES Assumptions T15'!$V$3:$W$35,2,FALSE),'COM Techs T15'!$G$3:$U$3,0))</f>
        <v>1.2</v>
      </c>
      <c r="AE40" s="11">
        <f ca="1">OFFSET('COM Techs T15'!$F42,0,MATCH(VLOOKUP('COM Veda input'!AE$3,'RES Assumptions T15'!$V$3:$W$35,2,FALSE),'COM Techs T15'!$G$3:$U$3,0))</f>
        <v>1.2</v>
      </c>
      <c r="AF40" s="11">
        <f ca="1">OFFSET('COM Techs T15'!$F42,0,MATCH(VLOOKUP('COM Veda input'!AF$3,'RES Assumptions T15'!$V$3:$W$35,2,FALSE),'COM Techs T15'!$G$3:$U$3,0))</f>
        <v>1.2</v>
      </c>
      <c r="AG40" s="11">
        <f ca="1">OFFSET('COM Techs T15'!$F42,0,MATCH(VLOOKUP('COM Veda input'!AG$3,'RES Assumptions T15'!$V$3:$W$35,2,FALSE),'COM Techs T15'!$G$3:$U$3,0))</f>
        <v>1.2</v>
      </c>
      <c r="AH40" s="11">
        <f ca="1">OFFSET('COM Techs T15'!$F42,0,MATCH(VLOOKUP('COM Veda input'!AH$3,'RES Assumptions T15'!$V$3:$W$35,2,FALSE),'COM Techs T15'!$G$3:$U$3,0))</f>
        <v>1.2</v>
      </c>
      <c r="AI40" s="11">
        <f ca="1">OFFSET('COM Techs T15'!$F42,0,MATCH(VLOOKUP('COM Veda input'!AI$3,'RES Assumptions T15'!$V$3:$W$35,2,FALSE),'COM Techs T15'!$G$3:$U$3,0))</f>
        <v>1.2</v>
      </c>
      <c r="AJ40" s="11">
        <f ca="1">OFFSET('COM Techs T15'!$F42,0,MATCH(VLOOKUP('COM Veda input'!AJ$3,'RES Assumptions T15'!$V$3:$W$35,2,FALSE),'COM Techs T15'!$G$3:$U$3,0))</f>
        <v>1.2</v>
      </c>
      <c r="AL40" s="8" t="str">
        <f t="shared" si="19"/>
        <v>CLACFL000</v>
      </c>
      <c r="AM40" s="11">
        <f ca="1">OFFSET('COM Techs T15'!$W42,0,MATCH(VLOOKUP('COM Veda input'!AM$3,'RES Assumptions T15'!$V$3:$W$35,2,FALSE),'COM Techs T15'!$G$3:$U$3,0))</f>
        <v>1</v>
      </c>
      <c r="AN40" s="11">
        <f ca="1">OFFSET('COM Techs T15'!$W42,0,MATCH(VLOOKUP('COM Veda input'!AN$3,'RES Assumptions T15'!$V$3:$W$35,2,FALSE),'COM Techs T15'!$G$3:$U$3,0))</f>
        <v>1</v>
      </c>
      <c r="AO40" s="11">
        <f ca="1">OFFSET('COM Techs T15'!$W42,0,MATCH(VLOOKUP('COM Veda input'!AO$3,'RES Assumptions T15'!$V$3:$W$35,2,FALSE),'COM Techs T15'!$G$3:$U$3,0))</f>
        <v>1</v>
      </c>
      <c r="AP40" s="11">
        <f ca="1">OFFSET('COM Techs T15'!$W42,0,MATCH(VLOOKUP('COM Veda input'!AP$3,'RES Assumptions T15'!$V$3:$W$35,2,FALSE),'COM Techs T15'!$G$3:$U$3,0))</f>
        <v>1</v>
      </c>
      <c r="AQ40" s="11">
        <f ca="1">OFFSET('COM Techs T15'!$W42,0,MATCH(VLOOKUP('COM Veda input'!AQ$3,'RES Assumptions T15'!$V$3:$W$35,2,FALSE),'COM Techs T15'!$G$3:$U$3,0))</f>
        <v>1</v>
      </c>
      <c r="AR40" s="11">
        <f ca="1">OFFSET('COM Techs T15'!$W42,0,MATCH(VLOOKUP('COM Veda input'!AR$3,'RES Assumptions T15'!$V$3:$W$35,2,FALSE),'COM Techs T15'!$G$3:$U$3,0))</f>
        <v>1</v>
      </c>
      <c r="AS40" s="11">
        <f ca="1">OFFSET('COM Techs T15'!$W42,0,MATCH(VLOOKUP('COM Veda input'!AS$3,'RES Assumptions T15'!$V$3:$W$35,2,FALSE),'COM Techs T15'!$G$3:$U$3,0))</f>
        <v>1</v>
      </c>
      <c r="AT40" s="11">
        <f ca="1">OFFSET('COM Techs T15'!$W42,0,MATCH(VLOOKUP('COM Veda input'!AT$3,'RES Assumptions T15'!$V$3:$W$35,2,FALSE),'COM Techs T15'!$G$3:$U$3,0))</f>
        <v>1</v>
      </c>
      <c r="AU40" s="11">
        <f ca="1">OFFSET('COM Techs T15'!$W42,0,MATCH(VLOOKUP('COM Veda input'!AU$3,'RES Assumptions T15'!$V$3:$W$35,2,FALSE),'COM Techs T15'!$G$3:$U$3,0))</f>
        <v>1</v>
      </c>
      <c r="AV40" s="11">
        <f ca="1">OFFSET('COM Techs T15'!$W42,0,MATCH(VLOOKUP('COM Veda input'!AV$3,'RES Assumptions T15'!$V$3:$W$35,2,FALSE),'COM Techs T15'!$G$3:$U$3,0))</f>
        <v>1</v>
      </c>
      <c r="AW40" s="11">
        <f ca="1">OFFSET('COM Techs T15'!$W42,0,MATCH(VLOOKUP('COM Veda input'!AW$3,'RES Assumptions T15'!$V$3:$W$35,2,FALSE),'COM Techs T15'!$G$3:$U$3,0))</f>
        <v>1</v>
      </c>
      <c r="AX40" s="11">
        <f ca="1">OFFSET('COM Techs T15'!$W42,0,MATCH(VLOOKUP('COM Veda input'!AX$3,'RES Assumptions T15'!$V$3:$W$35,2,FALSE),'COM Techs T15'!$G$3:$U$3,0))</f>
        <v>1</v>
      </c>
      <c r="AY40" s="11">
        <f ca="1">OFFSET('COM Techs T15'!$W42,0,MATCH(VLOOKUP('COM Veda input'!AY$3,'RES Assumptions T15'!$V$3:$W$35,2,FALSE),'COM Techs T15'!$G$3:$U$3,0))</f>
        <v>1</v>
      </c>
      <c r="AZ40" s="11">
        <f ca="1">OFFSET('COM Techs T15'!$W42,0,MATCH(VLOOKUP('COM Veda input'!AZ$3,'RES Assumptions T15'!$V$3:$W$35,2,FALSE),'COM Techs T15'!$G$3:$U$3,0))</f>
        <v>1</v>
      </c>
      <c r="BA40" s="11">
        <f ca="1">OFFSET('COM Techs T15'!$W42,0,MATCH(VLOOKUP('COM Veda input'!BA$3,'RES Assumptions T15'!$V$3:$W$35,2,FALSE),'COM Techs T15'!$G$3:$U$3,0))</f>
        <v>1</v>
      </c>
      <c r="BB40" s="11">
        <f ca="1">OFFSET('COM Techs T15'!$W42,0,MATCH(VLOOKUP('COM Veda input'!BB$3,'RES Assumptions T15'!$V$3:$W$35,2,FALSE),'COM Techs T15'!$G$3:$U$3,0))</f>
        <v>1</v>
      </c>
      <c r="BC40" s="11">
        <f ca="1">OFFSET('COM Techs T15'!$W42,0,MATCH(VLOOKUP('COM Veda input'!BC$3,'RES Assumptions T15'!$V$3:$W$35,2,FALSE),'COM Techs T15'!$G$3:$U$3,0))</f>
        <v>1</v>
      </c>
      <c r="BD40" s="11">
        <f ca="1">OFFSET('COM Techs T15'!$W42,0,MATCH(VLOOKUP('COM Veda input'!BD$3,'RES Assumptions T15'!$V$3:$W$35,2,FALSE),'COM Techs T15'!$G$3:$U$3,0))</f>
        <v>1</v>
      </c>
      <c r="BE40" s="11">
        <f ca="1">OFFSET('COM Techs T15'!$W42,0,MATCH(VLOOKUP('COM Veda input'!BE$3,'RES Assumptions T15'!$V$3:$W$35,2,FALSE),'COM Techs T15'!$G$3:$U$3,0))</f>
        <v>1</v>
      </c>
      <c r="BF40" s="11">
        <f ca="1">OFFSET('COM Techs T15'!$W42,0,MATCH(VLOOKUP('COM Veda input'!BF$3,'RES Assumptions T15'!$V$3:$W$35,2,FALSE),'COM Techs T15'!$G$3:$U$3,0))</f>
        <v>1</v>
      </c>
      <c r="BG40" s="11">
        <f ca="1">OFFSET('COM Techs T15'!$W42,0,MATCH(VLOOKUP('COM Veda input'!BG$3,'RES Assumptions T15'!$V$3:$W$35,2,FALSE),'COM Techs T15'!$G$3:$U$3,0))</f>
        <v>1</v>
      </c>
      <c r="BH40" s="11">
        <f ca="1">OFFSET('COM Techs T15'!$W42,0,MATCH(VLOOKUP('COM Veda input'!BH$3,'RES Assumptions T15'!$V$3:$W$35,2,FALSE),'COM Techs T15'!$G$3:$U$3,0))</f>
        <v>1</v>
      </c>
      <c r="BI40" s="11">
        <f ca="1">OFFSET('COM Techs T15'!$W42,0,MATCH(VLOOKUP('COM Veda input'!BI$3,'RES Assumptions T15'!$V$3:$W$35,2,FALSE),'COM Techs T15'!$G$3:$U$3,0))</f>
        <v>1</v>
      </c>
      <c r="BJ40" s="11">
        <f ca="1">OFFSET('COM Techs T15'!$W42,0,MATCH(VLOOKUP('COM Veda input'!BJ$3,'RES Assumptions T15'!$V$3:$W$35,2,FALSE),'COM Techs T15'!$G$3:$U$3,0))</f>
        <v>1</v>
      </c>
      <c r="BK40" s="11">
        <f ca="1">OFFSET('COM Techs T15'!$W42,0,MATCH(VLOOKUP('COM Veda input'!BK$3,'RES Assumptions T15'!$V$3:$W$35,2,FALSE),'COM Techs T15'!$G$3:$U$3,0))</f>
        <v>1</v>
      </c>
      <c r="BL40" s="11">
        <f ca="1">OFFSET('COM Techs T15'!$W42,0,MATCH(VLOOKUP('COM Veda input'!BL$3,'RES Assumptions T15'!$V$3:$W$35,2,FALSE),'COM Techs T15'!$G$3:$U$3,0))</f>
        <v>1</v>
      </c>
      <c r="BM40" s="11">
        <f ca="1">OFFSET('COM Techs T15'!$W42,0,MATCH(VLOOKUP('COM Veda input'!BM$3,'RES Assumptions T15'!$V$3:$W$35,2,FALSE),'COM Techs T15'!$G$3:$U$3,0))</f>
        <v>1</v>
      </c>
      <c r="BN40" s="11">
        <f ca="1">OFFSET('COM Techs T15'!$W42,0,MATCH(VLOOKUP('COM Veda input'!BN$3,'RES Assumptions T15'!$V$3:$W$35,2,FALSE),'COM Techs T15'!$G$3:$U$3,0))</f>
        <v>1</v>
      </c>
      <c r="BO40" s="11">
        <f ca="1">OFFSET('COM Techs T15'!$W42,0,MATCH(VLOOKUP('COM Veda input'!BO$3,'RES Assumptions T15'!$V$3:$W$35,2,FALSE),'COM Techs T15'!$G$3:$U$3,0))</f>
        <v>1</v>
      </c>
      <c r="BP40" s="11">
        <f ca="1">OFFSET('COM Techs T15'!$W42,0,MATCH(VLOOKUP('COM Veda input'!BP$3,'RES Assumptions T15'!$V$3:$W$35,2,FALSE),'COM Techs T15'!$G$3:$U$3,0))</f>
        <v>1</v>
      </c>
      <c r="BQ40">
        <v>3</v>
      </c>
      <c r="BS40" s="8" t="str">
        <f t="shared" si="20"/>
        <v>CLACFL000</v>
      </c>
      <c r="BT40" s="11">
        <f t="shared" ca="1" si="21"/>
        <v>4.2</v>
      </c>
      <c r="BU40" s="11" t="str">
        <f ca="1">OFFSET('COM Techs T15'!$AO42,0,MATCH(VLOOKUP('COM Veda input'!BU$3,'RES Assumptions T15'!$V$3:$W$35,2,FALSE),'COM Techs T15'!$G$3:$U$3,0))</f>
        <v/>
      </c>
      <c r="BV40" s="11" t="str">
        <f ca="1">OFFSET('COM Techs T15'!$AO42,0,MATCH(VLOOKUP('COM Veda input'!BV$3,'RES Assumptions T15'!$V$3:$W$35,2,FALSE),'COM Techs T15'!$G$3:$U$3,0))</f>
        <v/>
      </c>
      <c r="BW40" s="11" t="str">
        <f ca="1">OFFSET('COM Techs T15'!$AO42,0,MATCH(VLOOKUP('COM Veda input'!BW$3,'RES Assumptions T15'!$V$3:$W$35,2,FALSE),'COM Techs T15'!$G$3:$U$3,0))</f>
        <v/>
      </c>
      <c r="BX40" s="11" t="str">
        <f ca="1">OFFSET('COM Techs T15'!$AO42,0,MATCH(VLOOKUP('COM Veda input'!BX$3,'RES Assumptions T15'!$V$3:$W$35,2,FALSE),'COM Techs T15'!$G$3:$U$3,0))</f>
        <v/>
      </c>
      <c r="BY40" s="11">
        <f ca="1">OFFSET('COM Techs T15'!$AO42,0,MATCH(VLOOKUP('COM Veda input'!BY$3,'RES Assumptions T15'!$V$3:$W$35,2,FALSE),'COM Techs T15'!$G$3:$U$3,0))</f>
        <v>7</v>
      </c>
      <c r="BZ40" s="11">
        <f ca="1">OFFSET('COM Techs T15'!$AO42,0,MATCH(VLOOKUP('COM Veda input'!BZ$3,'RES Assumptions T15'!$V$3:$W$35,2,FALSE),'COM Techs T15'!$G$3:$U$3,0))</f>
        <v>4.2</v>
      </c>
      <c r="CA40" s="11" t="str">
        <f ca="1">OFFSET('COM Techs T15'!$AO42,0,MATCH(VLOOKUP('COM Veda input'!CA$3,'RES Assumptions T15'!$V$3:$W$35,2,FALSE),'COM Techs T15'!$G$3:$U$3,0))</f>
        <v/>
      </c>
      <c r="CB40" s="11" t="str">
        <f ca="1">OFFSET('COM Techs T15'!$AO42,0,MATCH(VLOOKUP('COM Veda input'!CB$3,'RES Assumptions T15'!$V$3:$W$35,2,FALSE),'COM Techs T15'!$G$3:$U$3,0))</f>
        <v/>
      </c>
      <c r="CC40" s="11" t="str">
        <f ca="1">OFFSET('COM Techs T15'!$AO42,0,MATCH(VLOOKUP('COM Veda input'!CC$3,'RES Assumptions T15'!$V$3:$W$35,2,FALSE),'COM Techs T15'!$G$3:$U$3,0))</f>
        <v/>
      </c>
      <c r="CD40" s="11">
        <f ca="1">OFFSET('COM Techs T15'!$AO42,0,MATCH(VLOOKUP('COM Veda input'!CD$3,'RES Assumptions T15'!$V$3:$W$35,2,FALSE),'COM Techs T15'!$G$3:$U$3,0))</f>
        <v>4.2</v>
      </c>
      <c r="CE40" s="11" t="str">
        <f ca="1">OFFSET('COM Techs T15'!$AO42,0,MATCH(VLOOKUP('COM Veda input'!CE$3,'RES Assumptions T15'!$V$3:$W$35,2,FALSE),'COM Techs T15'!$G$3:$U$3,0))</f>
        <v/>
      </c>
      <c r="CF40" s="11" t="str">
        <f ca="1">OFFSET('COM Techs T15'!$AO42,0,MATCH(VLOOKUP('COM Veda input'!CF$3,'RES Assumptions T15'!$V$3:$W$35,2,FALSE),'COM Techs T15'!$G$3:$U$3,0))</f>
        <v/>
      </c>
      <c r="CG40" s="11" t="str">
        <f ca="1">OFFSET('COM Techs T15'!$AO42,0,MATCH(VLOOKUP('COM Veda input'!CG$3,'RES Assumptions T15'!$V$3:$W$35,2,FALSE),'COM Techs T15'!$G$3:$U$3,0))</f>
        <v/>
      </c>
      <c r="CH40" s="11" t="str">
        <f ca="1">OFFSET('COM Techs T15'!$AO42,0,MATCH(VLOOKUP('COM Veda input'!CH$3,'RES Assumptions T15'!$V$3:$W$35,2,FALSE),'COM Techs T15'!$G$3:$U$3,0))</f>
        <v/>
      </c>
      <c r="CI40" s="11" t="str">
        <f ca="1">OFFSET('COM Techs T15'!$AO42,0,MATCH(VLOOKUP('COM Veda input'!CI$3,'RES Assumptions T15'!$V$3:$W$35,2,FALSE),'COM Techs T15'!$G$3:$U$3,0))</f>
        <v/>
      </c>
      <c r="CJ40" s="11" t="str">
        <f ca="1">OFFSET('COM Techs T15'!$AO42,0,MATCH(VLOOKUP('COM Veda input'!CJ$3,'RES Assumptions T15'!$V$3:$W$35,2,FALSE),'COM Techs T15'!$G$3:$U$3,0))</f>
        <v/>
      </c>
      <c r="CK40" s="11">
        <f ca="1">OFFSET('COM Techs T15'!$AO42,0,MATCH(VLOOKUP('COM Veda input'!CK$3,'RES Assumptions T15'!$V$3:$W$35,2,FALSE),'COM Techs T15'!$G$3:$U$3,0))</f>
        <v>4.9000000000000004</v>
      </c>
      <c r="CL40" s="11" t="str">
        <f ca="1">OFFSET('COM Techs T15'!$AO42,0,MATCH(VLOOKUP('COM Veda input'!CL$3,'RES Assumptions T15'!$V$3:$W$35,2,FALSE),'COM Techs T15'!$G$3:$U$3,0))</f>
        <v/>
      </c>
      <c r="CM40" s="11" t="str">
        <f ca="1">OFFSET('COM Techs T15'!$AO42,0,MATCH(VLOOKUP('COM Veda input'!CM$3,'RES Assumptions T15'!$V$3:$W$35,2,FALSE),'COM Techs T15'!$G$3:$U$3,0))</f>
        <v/>
      </c>
      <c r="CN40" s="11">
        <f ca="1">OFFSET('COM Techs T15'!$AO42,0,MATCH(VLOOKUP('COM Veda input'!CN$3,'RES Assumptions T15'!$V$3:$W$35,2,FALSE),'COM Techs T15'!$G$3:$U$3,0))</f>
        <v>4.2</v>
      </c>
      <c r="CO40" s="11" t="str">
        <f ca="1">OFFSET('COM Techs T15'!$AO42,0,MATCH(VLOOKUP('COM Veda input'!CO$3,'RES Assumptions T15'!$V$3:$W$35,2,FALSE),'COM Techs T15'!$G$3:$U$3,0))</f>
        <v/>
      </c>
      <c r="CP40" s="11">
        <f ca="1">OFFSET('COM Techs T15'!$AO42,0,MATCH(VLOOKUP('COM Veda input'!CP$3,'RES Assumptions T15'!$V$3:$W$35,2,FALSE),'COM Techs T15'!$G$3:$U$3,0))</f>
        <v>5.6</v>
      </c>
      <c r="CQ40" s="11">
        <f ca="1">OFFSET('COM Techs T15'!$AO42,0,MATCH(VLOOKUP('COM Veda input'!CQ$3,'RES Assumptions T15'!$V$3:$W$35,2,FALSE),'COM Techs T15'!$G$3:$U$3,0))</f>
        <v>4.9000000000000004</v>
      </c>
      <c r="CR40" s="11" t="str">
        <f ca="1">OFFSET('COM Techs T15'!$AO42,0,MATCH(VLOOKUP('COM Veda input'!CR$3,'RES Assumptions T15'!$V$3:$W$35,2,FALSE),'COM Techs T15'!$G$3:$U$3,0))</f>
        <v/>
      </c>
      <c r="CS40" s="11" t="str">
        <f ca="1">OFFSET('COM Techs T15'!$AO42,0,MATCH(VLOOKUP('COM Veda input'!CS$3,'RES Assumptions T15'!$V$3:$W$35,2,FALSE),'COM Techs T15'!$G$3:$U$3,0))</f>
        <v/>
      </c>
      <c r="CT40" s="11">
        <f ca="1">OFFSET('COM Techs T15'!$AO42,0,MATCH(VLOOKUP('COM Veda input'!CT$3,'RES Assumptions T15'!$V$3:$W$35,2,FALSE),'COM Techs T15'!$G$3:$U$3,0))</f>
        <v>4.9000000000000004</v>
      </c>
      <c r="CU40" s="11" t="str">
        <f ca="1">OFFSET('COM Techs T15'!$AO42,0,MATCH(VLOOKUP('COM Veda input'!CU$3,'RES Assumptions T15'!$V$3:$W$35,2,FALSE),'COM Techs T15'!$G$3:$U$3,0))</f>
        <v/>
      </c>
      <c r="CV40" s="11" t="str">
        <f ca="1">OFFSET('COM Techs T15'!$AO42,0,MATCH(VLOOKUP('COM Veda input'!CV$3,'RES Assumptions T15'!$V$3:$W$35,2,FALSE),'COM Techs T15'!$G$3:$U$3,0))</f>
        <v/>
      </c>
      <c r="CW40" s="11" t="str">
        <f ca="1">OFFSET('COM Techs T15'!$AO42,0,MATCH(VLOOKUP('COM Veda input'!CW$3,'RES Assumptions T15'!$V$3:$W$35,2,FALSE),'COM Techs T15'!$G$3:$U$3,0))</f>
        <v/>
      </c>
      <c r="CX40" s="11" t="str">
        <f ca="1">OFFSET('COM Techs T15'!$AO42,0,MATCH(VLOOKUP('COM Veda input'!CX$3,'RES Assumptions T15'!$V$3:$W$35,2,FALSE),'COM Techs T15'!$G$3:$U$3,0))</f>
        <v/>
      </c>
      <c r="CZ40" s="8" t="str">
        <f t="shared" si="22"/>
        <v>CLACFL000</v>
      </c>
      <c r="DA40" s="10">
        <f ca="1">'COM Assumptions'!E117*G40/'COM Veda input'!AM40</f>
        <v>2.7562933845446396</v>
      </c>
      <c r="DB40" s="10">
        <f ca="1">'COM Assumptions'!F117*H40/'COM Veda input'!AN40</f>
        <v>1.6991991678758398</v>
      </c>
      <c r="DC40" s="10">
        <f ca="1">'COM Assumptions'!G117*I40/'COM Veda input'!AO40</f>
        <v>3.9385512386136003</v>
      </c>
      <c r="DD40" s="10">
        <f ca="1">'COM Assumptions'!H117*J40/'COM Veda input'!AP40</f>
        <v>1.40622337642176</v>
      </c>
      <c r="DE40" s="10">
        <f ca="1">'COM Assumptions'!I117*K40/'COM Veda input'!AQ40</f>
        <v>0</v>
      </c>
      <c r="DF40" s="10">
        <f ca="1">'COM Assumptions'!J117*L40/'COM Veda input'!AR40</f>
        <v>24.488291139127202</v>
      </c>
      <c r="DG40" s="10">
        <f ca="1">'COM Assumptions'!K117*M40/'COM Veda input'!AS40</f>
        <v>10.4730824323152</v>
      </c>
      <c r="DH40" s="10">
        <f ca="1">'COM Assumptions'!L117*N40/'COM Veda input'!AT40</f>
        <v>12.7953481100256</v>
      </c>
      <c r="DI40" s="10">
        <f ca="1">'COM Assumptions'!M117*O40/'COM Veda input'!AU40</f>
        <v>24.844959387578882</v>
      </c>
      <c r="DJ40" s="10">
        <f ca="1">'COM Assumptions'!N117*P40/'COM Veda input'!AV40</f>
        <v>6.3157279656038403</v>
      </c>
      <c r="DK40" s="10">
        <f ca="1">'COM Assumptions'!O117*Q40/'COM Veda input'!AW40</f>
        <v>6.5250431624982248</v>
      </c>
      <c r="DL40" s="10">
        <f ca="1">'COM Assumptions'!P117*R40/'COM Veda input'!AX40</f>
        <v>4.8616008112166407</v>
      </c>
      <c r="DM40" s="10">
        <f ca="1">'COM Assumptions'!Q117*S40/'COM Veda input'!AY40</f>
        <v>8.6307426364330091</v>
      </c>
      <c r="DN40" s="10">
        <f ca="1">'COM Assumptions'!R117*T40/'COM Veda input'!AZ40</f>
        <v>13.019039570981809</v>
      </c>
      <c r="DO40" s="10">
        <f ca="1">'COM Assumptions'!S117*U40/'COM Veda input'!BA40</f>
        <v>1.8441596486246399</v>
      </c>
      <c r="DP40" s="10">
        <f ca="1">'COM Assumptions'!T117*V40/'COM Veda input'!BB40</f>
        <v>10.740399575383297</v>
      </c>
      <c r="DQ40" s="10">
        <f ca="1">'COM Assumptions'!U117*W40/'COM Veda input'!BC40</f>
        <v>6.3573412560992635</v>
      </c>
      <c r="DR40" s="10">
        <f ca="1">'COM Assumptions'!V117*X40/'COM Veda input'!BD40</f>
        <v>16.11112783889045</v>
      </c>
      <c r="DS40" s="10">
        <f ca="1">'COM Assumptions'!W117*Y40/'COM Veda input'!BE40</f>
        <v>15.328613712589634</v>
      </c>
      <c r="DT40" s="10">
        <f ca="1">'COM Assumptions'!X117*Z40/'COM Veda input'!BF40</f>
        <v>9.820180028707199</v>
      </c>
      <c r="DU40" s="10">
        <f ca="1">'COM Assumptions'!Y117*AA40/'COM Veda input'!BG40</f>
        <v>8.10624431124144</v>
      </c>
      <c r="DV40" s="10">
        <f ca="1">'COM Assumptions'!Z117*AB40/'COM Veda input'!BH40</f>
        <v>2.3570502736248002</v>
      </c>
      <c r="DW40" s="10">
        <f ca="1">'COM Assumptions'!AA117*AC40/'COM Veda input'!BI40</f>
        <v>7.2263005000744309</v>
      </c>
      <c r="DX40" s="10">
        <f ca="1">'COM Assumptions'!AB117*AD40/'COM Veda input'!BJ40</f>
        <v>3.2498501631392167</v>
      </c>
      <c r="DY40" s="10">
        <f ca="1">'COM Assumptions'!AC117*AE40/'COM Veda input'!BK40</f>
        <v>7.9247237667724804</v>
      </c>
      <c r="DZ40" s="10">
        <f ca="1">'COM Assumptions'!AD117*AF40/'COM Veda input'!BL40</f>
        <v>5.7104401935242866</v>
      </c>
      <c r="EA40" s="10">
        <f ca="1">'COM Assumptions'!AE117*AG40/'COM Veda input'!BM40</f>
        <v>1.9236581782963198</v>
      </c>
      <c r="EB40" s="10">
        <f ca="1">'COM Assumptions'!AF117*AH40/'COM Veda input'!BN40</f>
        <v>10.628467080927697</v>
      </c>
      <c r="EC40" s="10">
        <f ca="1">'COM Assumptions'!AG117*AI40/'COM Veda input'!BO40</f>
        <v>163.32315531089731</v>
      </c>
      <c r="ED40" s="10">
        <f ca="1">'COM Assumptions'!AH117*AJ40/'COM Veda input'!BP40</f>
        <v>0</v>
      </c>
      <c r="EE40" s="8">
        <v>15</v>
      </c>
      <c r="EI40" s="8" t="str">
        <f t="shared" si="23"/>
        <v>CLACFL000</v>
      </c>
      <c r="EK40" t="s">
        <v>282</v>
      </c>
      <c r="EL40" t="s">
        <v>283</v>
      </c>
    </row>
    <row r="41" spans="1:142" x14ac:dyDescent="0.45">
      <c r="A41" s="37" t="str">
        <f>'COM Assumptions'!B118</f>
        <v>CLA</v>
      </c>
      <c r="B41" s="37" t="s">
        <v>214</v>
      </c>
      <c r="D41" t="s">
        <v>214</v>
      </c>
      <c r="E41" s="8" t="str">
        <f>'COM Assumptions'!A118</f>
        <v>COMELC</v>
      </c>
      <c r="F41" t="str">
        <f>VLOOKUP('COM Assumptions'!B118,'COM Assumptions'!$AP$81:$AQ$88,2,FALSE)</f>
        <v>CLA</v>
      </c>
      <c r="G41" s="11">
        <f ca="1">OFFSET('COM Techs T15'!$F43,0,MATCH(VLOOKUP('COM Veda input'!G$3,'RES Assumptions T15'!$V$3:$W$35,2,FALSE),'COM Techs T15'!$G$3:$U$3,0))</f>
        <v>1.8</v>
      </c>
      <c r="H41" s="11">
        <f ca="1">OFFSET('COM Techs T15'!$F43,0,MATCH(VLOOKUP('COM Veda input'!H$3,'RES Assumptions T15'!$V$3:$W$35,2,FALSE),'COM Techs T15'!$G$3:$U$3,0))</f>
        <v>1.8</v>
      </c>
      <c r="I41" s="11">
        <f ca="1">OFFSET('COM Techs T15'!$F43,0,MATCH(VLOOKUP('COM Veda input'!I$3,'RES Assumptions T15'!$V$3:$W$35,2,FALSE),'COM Techs T15'!$G$3:$U$3,0))</f>
        <v>1.8</v>
      </c>
      <c r="J41" s="11">
        <f ca="1">OFFSET('COM Techs T15'!$F43,0,MATCH(VLOOKUP('COM Veda input'!J$3,'RES Assumptions T15'!$V$3:$W$35,2,FALSE),'COM Techs T15'!$G$3:$U$3,0))</f>
        <v>1.8</v>
      </c>
      <c r="K41" s="11">
        <f ca="1">OFFSET('COM Techs T15'!$F43,0,MATCH(VLOOKUP('COM Veda input'!K$3,'RES Assumptions T15'!$V$3:$W$35,2,FALSE),'COM Techs T15'!$G$3:$U$3,0))</f>
        <v>1.8</v>
      </c>
      <c r="L41" s="11">
        <f ca="1">OFFSET('COM Techs T15'!$F43,0,MATCH(VLOOKUP('COM Veda input'!L$3,'RES Assumptions T15'!$V$3:$W$35,2,FALSE),'COM Techs T15'!$G$3:$U$3,0))</f>
        <v>1.8</v>
      </c>
      <c r="M41" s="11">
        <f ca="1">OFFSET('COM Techs T15'!$F43,0,MATCH(VLOOKUP('COM Veda input'!M$3,'RES Assumptions T15'!$V$3:$W$35,2,FALSE),'COM Techs T15'!$G$3:$U$3,0))</f>
        <v>1.8</v>
      </c>
      <c r="N41" s="11">
        <f ca="1">OFFSET('COM Techs T15'!$F43,0,MATCH(VLOOKUP('COM Veda input'!N$3,'RES Assumptions T15'!$V$3:$W$35,2,FALSE),'COM Techs T15'!$G$3:$U$3,0))</f>
        <v>1.8</v>
      </c>
      <c r="O41" s="11">
        <f ca="1">OFFSET('COM Techs T15'!$F43,0,MATCH(VLOOKUP('COM Veda input'!O$3,'RES Assumptions T15'!$V$3:$W$35,2,FALSE),'COM Techs T15'!$G$3:$U$3,0))</f>
        <v>1.8</v>
      </c>
      <c r="P41" s="11">
        <f ca="1">OFFSET('COM Techs T15'!$F43,0,MATCH(VLOOKUP('COM Veda input'!P$3,'RES Assumptions T15'!$V$3:$W$35,2,FALSE),'COM Techs T15'!$G$3:$U$3,0))</f>
        <v>1.8</v>
      </c>
      <c r="Q41" s="11">
        <f ca="1">OFFSET('COM Techs T15'!$F43,0,MATCH(VLOOKUP('COM Veda input'!Q$3,'RES Assumptions T15'!$V$3:$W$35,2,FALSE),'COM Techs T15'!$G$3:$U$3,0))</f>
        <v>1.8</v>
      </c>
      <c r="R41" s="11">
        <f ca="1">OFFSET('COM Techs T15'!$F43,0,MATCH(VLOOKUP('COM Veda input'!R$3,'RES Assumptions T15'!$V$3:$W$35,2,FALSE),'COM Techs T15'!$G$3:$U$3,0))</f>
        <v>1.8</v>
      </c>
      <c r="S41" s="11">
        <f ca="1">OFFSET('COM Techs T15'!$F43,0,MATCH(VLOOKUP('COM Veda input'!S$3,'RES Assumptions T15'!$V$3:$W$35,2,FALSE),'COM Techs T15'!$G$3:$U$3,0))</f>
        <v>1.8</v>
      </c>
      <c r="T41" s="11">
        <f ca="1">OFFSET('COM Techs T15'!$F43,0,MATCH(VLOOKUP('COM Veda input'!T$3,'RES Assumptions T15'!$V$3:$W$35,2,FALSE),'COM Techs T15'!$G$3:$U$3,0))</f>
        <v>1.8</v>
      </c>
      <c r="U41" s="11">
        <f ca="1">OFFSET('COM Techs T15'!$F43,0,MATCH(VLOOKUP('COM Veda input'!U$3,'RES Assumptions T15'!$V$3:$W$35,2,FALSE),'COM Techs T15'!$G$3:$U$3,0))</f>
        <v>1.8</v>
      </c>
      <c r="V41" s="11">
        <f ca="1">OFFSET('COM Techs T15'!$F43,0,MATCH(VLOOKUP('COM Veda input'!V$3,'RES Assumptions T15'!$V$3:$W$35,2,FALSE),'COM Techs T15'!$G$3:$U$3,0))</f>
        <v>1.8</v>
      </c>
      <c r="W41" s="11">
        <f ca="1">OFFSET('COM Techs T15'!$F43,0,MATCH(VLOOKUP('COM Veda input'!W$3,'RES Assumptions T15'!$V$3:$W$35,2,FALSE),'COM Techs T15'!$G$3:$U$3,0))</f>
        <v>1.8</v>
      </c>
      <c r="X41" s="11">
        <f ca="1">OFFSET('COM Techs T15'!$F43,0,MATCH(VLOOKUP('COM Veda input'!X$3,'RES Assumptions T15'!$V$3:$W$35,2,FALSE),'COM Techs T15'!$G$3:$U$3,0))</f>
        <v>1.8</v>
      </c>
      <c r="Y41" s="11">
        <f ca="1">OFFSET('COM Techs T15'!$F43,0,MATCH(VLOOKUP('COM Veda input'!Y$3,'RES Assumptions T15'!$V$3:$W$35,2,FALSE),'COM Techs T15'!$G$3:$U$3,0))</f>
        <v>1.8</v>
      </c>
      <c r="Z41" s="11">
        <f ca="1">OFFSET('COM Techs T15'!$F43,0,MATCH(VLOOKUP('COM Veda input'!Z$3,'RES Assumptions T15'!$V$3:$W$35,2,FALSE),'COM Techs T15'!$G$3:$U$3,0))</f>
        <v>1.8</v>
      </c>
      <c r="AA41" s="11">
        <f ca="1">OFFSET('COM Techs T15'!$F43,0,MATCH(VLOOKUP('COM Veda input'!AA$3,'RES Assumptions T15'!$V$3:$W$35,2,FALSE),'COM Techs T15'!$G$3:$U$3,0))</f>
        <v>1.8</v>
      </c>
      <c r="AB41" s="11">
        <f ca="1">OFFSET('COM Techs T15'!$F43,0,MATCH(VLOOKUP('COM Veda input'!AB$3,'RES Assumptions T15'!$V$3:$W$35,2,FALSE),'COM Techs T15'!$G$3:$U$3,0))</f>
        <v>1.8</v>
      </c>
      <c r="AC41" s="11">
        <f ca="1">OFFSET('COM Techs T15'!$F43,0,MATCH(VLOOKUP('COM Veda input'!AC$3,'RES Assumptions T15'!$V$3:$W$35,2,FALSE),'COM Techs T15'!$G$3:$U$3,0))</f>
        <v>1.8</v>
      </c>
      <c r="AD41" s="11">
        <f ca="1">OFFSET('COM Techs T15'!$F43,0,MATCH(VLOOKUP('COM Veda input'!AD$3,'RES Assumptions T15'!$V$3:$W$35,2,FALSE),'COM Techs T15'!$G$3:$U$3,0))</f>
        <v>1.8</v>
      </c>
      <c r="AE41" s="11">
        <f ca="1">OFFSET('COM Techs T15'!$F43,0,MATCH(VLOOKUP('COM Veda input'!AE$3,'RES Assumptions T15'!$V$3:$W$35,2,FALSE),'COM Techs T15'!$G$3:$U$3,0))</f>
        <v>1.8</v>
      </c>
      <c r="AF41" s="11">
        <f ca="1">OFFSET('COM Techs T15'!$F43,0,MATCH(VLOOKUP('COM Veda input'!AF$3,'RES Assumptions T15'!$V$3:$W$35,2,FALSE),'COM Techs T15'!$G$3:$U$3,0))</f>
        <v>1.8</v>
      </c>
      <c r="AG41" s="11">
        <f ca="1">OFFSET('COM Techs T15'!$F43,0,MATCH(VLOOKUP('COM Veda input'!AG$3,'RES Assumptions T15'!$V$3:$W$35,2,FALSE),'COM Techs T15'!$G$3:$U$3,0))</f>
        <v>1.8</v>
      </c>
      <c r="AH41" s="11">
        <f ca="1">OFFSET('COM Techs T15'!$F43,0,MATCH(VLOOKUP('COM Veda input'!AH$3,'RES Assumptions T15'!$V$3:$W$35,2,FALSE),'COM Techs T15'!$G$3:$U$3,0))</f>
        <v>1.8</v>
      </c>
      <c r="AI41" s="11">
        <f ca="1">OFFSET('COM Techs T15'!$F43,0,MATCH(VLOOKUP('COM Veda input'!AI$3,'RES Assumptions T15'!$V$3:$W$35,2,FALSE),'COM Techs T15'!$G$3:$U$3,0))</f>
        <v>1.8</v>
      </c>
      <c r="AJ41" s="11">
        <f ca="1">OFFSET('COM Techs T15'!$F43,0,MATCH(VLOOKUP('COM Veda input'!AJ$3,'RES Assumptions T15'!$V$3:$W$35,2,FALSE),'COM Techs T15'!$G$3:$U$3,0))</f>
        <v>1.8</v>
      </c>
      <c r="AL41" s="8" t="str">
        <f t="shared" si="19"/>
        <v>CLAFLE000</v>
      </c>
      <c r="AM41" s="11">
        <f ca="1">OFFSET('COM Techs T15'!$W43,0,MATCH(VLOOKUP('COM Veda input'!AM$3,'RES Assumptions T15'!$V$3:$W$35,2,FALSE),'COM Techs T15'!$G$3:$U$3,0))</f>
        <v>1</v>
      </c>
      <c r="AN41" s="11">
        <f ca="1">OFFSET('COM Techs T15'!$W43,0,MATCH(VLOOKUP('COM Veda input'!AN$3,'RES Assumptions T15'!$V$3:$W$35,2,FALSE),'COM Techs T15'!$G$3:$U$3,0))</f>
        <v>1</v>
      </c>
      <c r="AO41" s="11">
        <f ca="1">OFFSET('COM Techs T15'!$W43,0,MATCH(VLOOKUP('COM Veda input'!AO$3,'RES Assumptions T15'!$V$3:$W$35,2,FALSE),'COM Techs T15'!$G$3:$U$3,0))</f>
        <v>1</v>
      </c>
      <c r="AP41" s="11">
        <f ca="1">OFFSET('COM Techs T15'!$W43,0,MATCH(VLOOKUP('COM Veda input'!AP$3,'RES Assumptions T15'!$V$3:$W$35,2,FALSE),'COM Techs T15'!$G$3:$U$3,0))</f>
        <v>1</v>
      </c>
      <c r="AQ41" s="11">
        <f ca="1">OFFSET('COM Techs T15'!$W43,0,MATCH(VLOOKUP('COM Veda input'!AQ$3,'RES Assumptions T15'!$V$3:$W$35,2,FALSE),'COM Techs T15'!$G$3:$U$3,0))</f>
        <v>1</v>
      </c>
      <c r="AR41" s="11">
        <f ca="1">OFFSET('COM Techs T15'!$W43,0,MATCH(VLOOKUP('COM Veda input'!AR$3,'RES Assumptions T15'!$V$3:$W$35,2,FALSE),'COM Techs T15'!$G$3:$U$3,0))</f>
        <v>1</v>
      </c>
      <c r="AS41" s="11">
        <f ca="1">OFFSET('COM Techs T15'!$W43,0,MATCH(VLOOKUP('COM Veda input'!AS$3,'RES Assumptions T15'!$V$3:$W$35,2,FALSE),'COM Techs T15'!$G$3:$U$3,0))</f>
        <v>1</v>
      </c>
      <c r="AT41" s="11">
        <f ca="1">OFFSET('COM Techs T15'!$W43,0,MATCH(VLOOKUP('COM Veda input'!AT$3,'RES Assumptions T15'!$V$3:$W$35,2,FALSE),'COM Techs T15'!$G$3:$U$3,0))</f>
        <v>1</v>
      </c>
      <c r="AU41" s="11">
        <f ca="1">OFFSET('COM Techs T15'!$W43,0,MATCH(VLOOKUP('COM Veda input'!AU$3,'RES Assumptions T15'!$V$3:$W$35,2,FALSE),'COM Techs T15'!$G$3:$U$3,0))</f>
        <v>1</v>
      </c>
      <c r="AV41" s="11">
        <f ca="1">OFFSET('COM Techs T15'!$W43,0,MATCH(VLOOKUP('COM Veda input'!AV$3,'RES Assumptions T15'!$V$3:$W$35,2,FALSE),'COM Techs T15'!$G$3:$U$3,0))</f>
        <v>1</v>
      </c>
      <c r="AW41" s="11">
        <f ca="1">OFFSET('COM Techs T15'!$W43,0,MATCH(VLOOKUP('COM Veda input'!AW$3,'RES Assumptions T15'!$V$3:$W$35,2,FALSE),'COM Techs T15'!$G$3:$U$3,0))</f>
        <v>1</v>
      </c>
      <c r="AX41" s="11">
        <f ca="1">OFFSET('COM Techs T15'!$W43,0,MATCH(VLOOKUP('COM Veda input'!AX$3,'RES Assumptions T15'!$V$3:$W$35,2,FALSE),'COM Techs T15'!$G$3:$U$3,0))</f>
        <v>1</v>
      </c>
      <c r="AY41" s="11">
        <f ca="1">OFFSET('COM Techs T15'!$W43,0,MATCH(VLOOKUP('COM Veda input'!AY$3,'RES Assumptions T15'!$V$3:$W$35,2,FALSE),'COM Techs T15'!$G$3:$U$3,0))</f>
        <v>1</v>
      </c>
      <c r="AZ41" s="11">
        <f ca="1">OFFSET('COM Techs T15'!$W43,0,MATCH(VLOOKUP('COM Veda input'!AZ$3,'RES Assumptions T15'!$V$3:$W$35,2,FALSE),'COM Techs T15'!$G$3:$U$3,0))</f>
        <v>1</v>
      </c>
      <c r="BA41" s="11">
        <f ca="1">OFFSET('COM Techs T15'!$W43,0,MATCH(VLOOKUP('COM Veda input'!BA$3,'RES Assumptions T15'!$V$3:$W$35,2,FALSE),'COM Techs T15'!$G$3:$U$3,0))</f>
        <v>1</v>
      </c>
      <c r="BB41" s="11">
        <f ca="1">OFFSET('COM Techs T15'!$W43,0,MATCH(VLOOKUP('COM Veda input'!BB$3,'RES Assumptions T15'!$V$3:$W$35,2,FALSE),'COM Techs T15'!$G$3:$U$3,0))</f>
        <v>1</v>
      </c>
      <c r="BC41" s="11">
        <f ca="1">OFFSET('COM Techs T15'!$W43,0,MATCH(VLOOKUP('COM Veda input'!BC$3,'RES Assumptions T15'!$V$3:$W$35,2,FALSE),'COM Techs T15'!$G$3:$U$3,0))</f>
        <v>1</v>
      </c>
      <c r="BD41" s="11">
        <f ca="1">OFFSET('COM Techs T15'!$W43,0,MATCH(VLOOKUP('COM Veda input'!BD$3,'RES Assumptions T15'!$V$3:$W$35,2,FALSE),'COM Techs T15'!$G$3:$U$3,0))</f>
        <v>1</v>
      </c>
      <c r="BE41" s="11">
        <f ca="1">OFFSET('COM Techs T15'!$W43,0,MATCH(VLOOKUP('COM Veda input'!BE$3,'RES Assumptions T15'!$V$3:$W$35,2,FALSE),'COM Techs T15'!$G$3:$U$3,0))</f>
        <v>1</v>
      </c>
      <c r="BF41" s="11">
        <f ca="1">OFFSET('COM Techs T15'!$W43,0,MATCH(VLOOKUP('COM Veda input'!BF$3,'RES Assumptions T15'!$V$3:$W$35,2,FALSE),'COM Techs T15'!$G$3:$U$3,0))</f>
        <v>1</v>
      </c>
      <c r="BG41" s="11">
        <f ca="1">OFFSET('COM Techs T15'!$W43,0,MATCH(VLOOKUP('COM Veda input'!BG$3,'RES Assumptions T15'!$V$3:$W$35,2,FALSE),'COM Techs T15'!$G$3:$U$3,0))</f>
        <v>1</v>
      </c>
      <c r="BH41" s="11">
        <f ca="1">OFFSET('COM Techs T15'!$W43,0,MATCH(VLOOKUP('COM Veda input'!BH$3,'RES Assumptions T15'!$V$3:$W$35,2,FALSE),'COM Techs T15'!$G$3:$U$3,0))</f>
        <v>1</v>
      </c>
      <c r="BI41" s="11">
        <f ca="1">OFFSET('COM Techs T15'!$W43,0,MATCH(VLOOKUP('COM Veda input'!BI$3,'RES Assumptions T15'!$V$3:$W$35,2,FALSE),'COM Techs T15'!$G$3:$U$3,0))</f>
        <v>1</v>
      </c>
      <c r="BJ41" s="11">
        <f ca="1">OFFSET('COM Techs T15'!$W43,0,MATCH(VLOOKUP('COM Veda input'!BJ$3,'RES Assumptions T15'!$V$3:$W$35,2,FALSE),'COM Techs T15'!$G$3:$U$3,0))</f>
        <v>1</v>
      </c>
      <c r="BK41" s="11">
        <f ca="1">OFFSET('COM Techs T15'!$W43,0,MATCH(VLOOKUP('COM Veda input'!BK$3,'RES Assumptions T15'!$V$3:$W$35,2,FALSE),'COM Techs T15'!$G$3:$U$3,0))</f>
        <v>1</v>
      </c>
      <c r="BL41" s="11">
        <f ca="1">OFFSET('COM Techs T15'!$W43,0,MATCH(VLOOKUP('COM Veda input'!BL$3,'RES Assumptions T15'!$V$3:$W$35,2,FALSE),'COM Techs T15'!$G$3:$U$3,0))</f>
        <v>1</v>
      </c>
      <c r="BM41" s="11">
        <f ca="1">OFFSET('COM Techs T15'!$W43,0,MATCH(VLOOKUP('COM Veda input'!BM$3,'RES Assumptions T15'!$V$3:$W$35,2,FALSE),'COM Techs T15'!$G$3:$U$3,0))</f>
        <v>1</v>
      </c>
      <c r="BN41" s="11">
        <f ca="1">OFFSET('COM Techs T15'!$W43,0,MATCH(VLOOKUP('COM Veda input'!BN$3,'RES Assumptions T15'!$V$3:$W$35,2,FALSE),'COM Techs T15'!$G$3:$U$3,0))</f>
        <v>1</v>
      </c>
      <c r="BO41" s="11">
        <f ca="1">OFFSET('COM Techs T15'!$W43,0,MATCH(VLOOKUP('COM Veda input'!BO$3,'RES Assumptions T15'!$V$3:$W$35,2,FALSE),'COM Techs T15'!$G$3:$U$3,0))</f>
        <v>1</v>
      </c>
      <c r="BP41" s="11">
        <f ca="1">OFFSET('COM Techs T15'!$W43,0,MATCH(VLOOKUP('COM Veda input'!BP$3,'RES Assumptions T15'!$V$3:$W$35,2,FALSE),'COM Techs T15'!$G$3:$U$3,0))</f>
        <v>1</v>
      </c>
      <c r="BQ41">
        <v>3</v>
      </c>
      <c r="BS41" s="8" t="str">
        <f t="shared" si="20"/>
        <v>CLAFLE000</v>
      </c>
      <c r="BT41" s="11">
        <f t="shared" ca="1" si="21"/>
        <v>4.2</v>
      </c>
      <c r="BU41" s="11" t="str">
        <f ca="1">OFFSET('COM Techs T15'!$AO43,0,MATCH(VLOOKUP('COM Veda input'!BU$3,'RES Assumptions T15'!$V$3:$W$35,2,FALSE),'COM Techs T15'!$G$3:$U$3,0))</f>
        <v/>
      </c>
      <c r="BV41" s="11" t="str">
        <f ca="1">OFFSET('COM Techs T15'!$AO43,0,MATCH(VLOOKUP('COM Veda input'!BV$3,'RES Assumptions T15'!$V$3:$W$35,2,FALSE),'COM Techs T15'!$G$3:$U$3,0))</f>
        <v/>
      </c>
      <c r="BW41" s="11" t="str">
        <f ca="1">OFFSET('COM Techs T15'!$AO43,0,MATCH(VLOOKUP('COM Veda input'!BW$3,'RES Assumptions T15'!$V$3:$W$35,2,FALSE),'COM Techs T15'!$G$3:$U$3,0))</f>
        <v/>
      </c>
      <c r="BX41" s="11" t="str">
        <f ca="1">OFFSET('COM Techs T15'!$AO43,0,MATCH(VLOOKUP('COM Veda input'!BX$3,'RES Assumptions T15'!$V$3:$W$35,2,FALSE),'COM Techs T15'!$G$3:$U$3,0))</f>
        <v/>
      </c>
      <c r="BY41" s="11">
        <f ca="1">OFFSET('COM Techs T15'!$AO43,0,MATCH(VLOOKUP('COM Veda input'!BY$3,'RES Assumptions T15'!$V$3:$W$35,2,FALSE),'COM Techs T15'!$G$3:$U$3,0))</f>
        <v>7</v>
      </c>
      <c r="BZ41" s="11">
        <f ca="1">OFFSET('COM Techs T15'!$AO43,0,MATCH(VLOOKUP('COM Veda input'!BZ$3,'RES Assumptions T15'!$V$3:$W$35,2,FALSE),'COM Techs T15'!$G$3:$U$3,0))</f>
        <v>4.2</v>
      </c>
      <c r="CA41" s="11" t="str">
        <f ca="1">OFFSET('COM Techs T15'!$AO43,0,MATCH(VLOOKUP('COM Veda input'!CA$3,'RES Assumptions T15'!$V$3:$W$35,2,FALSE),'COM Techs T15'!$G$3:$U$3,0))</f>
        <v/>
      </c>
      <c r="CB41" s="11" t="str">
        <f ca="1">OFFSET('COM Techs T15'!$AO43,0,MATCH(VLOOKUP('COM Veda input'!CB$3,'RES Assumptions T15'!$V$3:$W$35,2,FALSE),'COM Techs T15'!$G$3:$U$3,0))</f>
        <v/>
      </c>
      <c r="CC41" s="11" t="str">
        <f ca="1">OFFSET('COM Techs T15'!$AO43,0,MATCH(VLOOKUP('COM Veda input'!CC$3,'RES Assumptions T15'!$V$3:$W$35,2,FALSE),'COM Techs T15'!$G$3:$U$3,0))</f>
        <v/>
      </c>
      <c r="CD41" s="11">
        <f ca="1">OFFSET('COM Techs T15'!$AO43,0,MATCH(VLOOKUP('COM Veda input'!CD$3,'RES Assumptions T15'!$V$3:$W$35,2,FALSE),'COM Techs T15'!$G$3:$U$3,0))</f>
        <v>4.2</v>
      </c>
      <c r="CE41" s="11" t="str">
        <f ca="1">OFFSET('COM Techs T15'!$AO43,0,MATCH(VLOOKUP('COM Veda input'!CE$3,'RES Assumptions T15'!$V$3:$W$35,2,FALSE),'COM Techs T15'!$G$3:$U$3,0))</f>
        <v/>
      </c>
      <c r="CF41" s="11" t="str">
        <f ca="1">OFFSET('COM Techs T15'!$AO43,0,MATCH(VLOOKUP('COM Veda input'!CF$3,'RES Assumptions T15'!$V$3:$W$35,2,FALSE),'COM Techs T15'!$G$3:$U$3,0))</f>
        <v/>
      </c>
      <c r="CG41" s="11" t="str">
        <f ca="1">OFFSET('COM Techs T15'!$AO43,0,MATCH(VLOOKUP('COM Veda input'!CG$3,'RES Assumptions T15'!$V$3:$W$35,2,FALSE),'COM Techs T15'!$G$3:$U$3,0))</f>
        <v/>
      </c>
      <c r="CH41" s="11" t="str">
        <f ca="1">OFFSET('COM Techs T15'!$AO43,0,MATCH(VLOOKUP('COM Veda input'!CH$3,'RES Assumptions T15'!$V$3:$W$35,2,FALSE),'COM Techs T15'!$G$3:$U$3,0))</f>
        <v/>
      </c>
      <c r="CI41" s="11" t="str">
        <f ca="1">OFFSET('COM Techs T15'!$AO43,0,MATCH(VLOOKUP('COM Veda input'!CI$3,'RES Assumptions T15'!$V$3:$W$35,2,FALSE),'COM Techs T15'!$G$3:$U$3,0))</f>
        <v/>
      </c>
      <c r="CJ41" s="11" t="str">
        <f ca="1">OFFSET('COM Techs T15'!$AO43,0,MATCH(VLOOKUP('COM Veda input'!CJ$3,'RES Assumptions T15'!$V$3:$W$35,2,FALSE),'COM Techs T15'!$G$3:$U$3,0))</f>
        <v/>
      </c>
      <c r="CK41" s="11">
        <f ca="1">OFFSET('COM Techs T15'!$AO43,0,MATCH(VLOOKUP('COM Veda input'!CK$3,'RES Assumptions T15'!$V$3:$W$35,2,FALSE),'COM Techs T15'!$G$3:$U$3,0))</f>
        <v>4.9000000000000004</v>
      </c>
      <c r="CL41" s="11" t="str">
        <f ca="1">OFFSET('COM Techs T15'!$AO43,0,MATCH(VLOOKUP('COM Veda input'!CL$3,'RES Assumptions T15'!$V$3:$W$35,2,FALSE),'COM Techs T15'!$G$3:$U$3,0))</f>
        <v/>
      </c>
      <c r="CM41" s="11" t="str">
        <f ca="1">OFFSET('COM Techs T15'!$AO43,0,MATCH(VLOOKUP('COM Veda input'!CM$3,'RES Assumptions T15'!$V$3:$W$35,2,FALSE),'COM Techs T15'!$G$3:$U$3,0))</f>
        <v/>
      </c>
      <c r="CN41" s="11">
        <f ca="1">OFFSET('COM Techs T15'!$AO43,0,MATCH(VLOOKUP('COM Veda input'!CN$3,'RES Assumptions T15'!$V$3:$W$35,2,FALSE),'COM Techs T15'!$G$3:$U$3,0))</f>
        <v>4.2</v>
      </c>
      <c r="CO41" s="11" t="str">
        <f ca="1">OFFSET('COM Techs T15'!$AO43,0,MATCH(VLOOKUP('COM Veda input'!CO$3,'RES Assumptions T15'!$V$3:$W$35,2,FALSE),'COM Techs T15'!$G$3:$U$3,0))</f>
        <v/>
      </c>
      <c r="CP41" s="11">
        <f ca="1">OFFSET('COM Techs T15'!$AO43,0,MATCH(VLOOKUP('COM Veda input'!CP$3,'RES Assumptions T15'!$V$3:$W$35,2,FALSE),'COM Techs T15'!$G$3:$U$3,0))</f>
        <v>5.6</v>
      </c>
      <c r="CQ41" s="11">
        <f ca="1">OFFSET('COM Techs T15'!$AO43,0,MATCH(VLOOKUP('COM Veda input'!CQ$3,'RES Assumptions T15'!$V$3:$W$35,2,FALSE),'COM Techs T15'!$G$3:$U$3,0))</f>
        <v>4.9000000000000004</v>
      </c>
      <c r="CR41" s="11" t="str">
        <f ca="1">OFFSET('COM Techs T15'!$AO43,0,MATCH(VLOOKUP('COM Veda input'!CR$3,'RES Assumptions T15'!$V$3:$W$35,2,FALSE),'COM Techs T15'!$G$3:$U$3,0))</f>
        <v/>
      </c>
      <c r="CS41" s="11" t="str">
        <f ca="1">OFFSET('COM Techs T15'!$AO43,0,MATCH(VLOOKUP('COM Veda input'!CS$3,'RES Assumptions T15'!$V$3:$W$35,2,FALSE),'COM Techs T15'!$G$3:$U$3,0))</f>
        <v/>
      </c>
      <c r="CT41" s="11">
        <f ca="1">OFFSET('COM Techs T15'!$AO43,0,MATCH(VLOOKUP('COM Veda input'!CT$3,'RES Assumptions T15'!$V$3:$W$35,2,FALSE),'COM Techs T15'!$G$3:$U$3,0))</f>
        <v>4.9000000000000004</v>
      </c>
      <c r="CU41" s="11" t="str">
        <f ca="1">OFFSET('COM Techs T15'!$AO43,0,MATCH(VLOOKUP('COM Veda input'!CU$3,'RES Assumptions T15'!$V$3:$W$35,2,FALSE),'COM Techs T15'!$G$3:$U$3,0))</f>
        <v/>
      </c>
      <c r="CV41" s="11" t="str">
        <f ca="1">OFFSET('COM Techs T15'!$AO43,0,MATCH(VLOOKUP('COM Veda input'!CV$3,'RES Assumptions T15'!$V$3:$W$35,2,FALSE),'COM Techs T15'!$G$3:$U$3,0))</f>
        <v/>
      </c>
      <c r="CW41" s="11" t="str">
        <f ca="1">OFFSET('COM Techs T15'!$AO43,0,MATCH(VLOOKUP('COM Veda input'!CW$3,'RES Assumptions T15'!$V$3:$W$35,2,FALSE),'COM Techs T15'!$G$3:$U$3,0))</f>
        <v/>
      </c>
      <c r="CX41" s="11" t="str">
        <f ca="1">OFFSET('COM Techs T15'!$AO43,0,MATCH(VLOOKUP('COM Veda input'!CX$3,'RES Assumptions T15'!$V$3:$W$35,2,FALSE),'COM Techs T15'!$G$3:$U$3,0))</f>
        <v/>
      </c>
      <c r="CZ41" s="8" t="str">
        <f t="shared" si="22"/>
        <v>CLAFLE000</v>
      </c>
      <c r="DA41" s="10">
        <f ca="1">'COM Assumptions'!E118*G41/'COM Veda input'!AM41</f>
        <v>82.688801536339199</v>
      </c>
      <c r="DB41" s="10">
        <f ca="1">'COM Assumptions'!F118*H41/'COM Veda input'!AN41</f>
        <v>50.975975036275202</v>
      </c>
      <c r="DC41" s="10">
        <f ca="1">'COM Assumptions'!G118*I41/'COM Veda input'!AO41</f>
        <v>106.34088344256722</v>
      </c>
      <c r="DD41" s="10">
        <f ca="1">'COM Assumptions'!H118*J41/'COM Veda input'!AP41</f>
        <v>42.186701292652806</v>
      </c>
      <c r="DE41" s="10">
        <f ca="1">'COM Assumptions'!I118*K41/'COM Veda input'!AQ41</f>
        <v>909.84209780802678</v>
      </c>
      <c r="DF41" s="10">
        <f ca="1">'COM Assumptions'!J118*L41/'COM Veda input'!AR41</f>
        <v>220.39462025214479</v>
      </c>
      <c r="DG41" s="10">
        <f ca="1">'COM Assumptions'!K118*M41/'COM Veda input'!AS41</f>
        <v>78.548118242363998</v>
      </c>
      <c r="DH41" s="10">
        <f ca="1">'COM Assumptions'!L118*N41/'COM Veda input'!AT41</f>
        <v>345.4743989706912</v>
      </c>
      <c r="DI41" s="10">
        <f ca="1">'COM Assumptions'!M118*O41/'COM Veda input'!AU41</f>
        <v>74.534878162736646</v>
      </c>
      <c r="DJ41" s="10">
        <f ca="1">'COM Assumptions'!N118*P41/'COM Veda input'!AV41</f>
        <v>435.785229626665</v>
      </c>
      <c r="DK41" s="10">
        <f ca="1">'COM Assumptions'!O118*Q41/'COM Veda input'!AW41</f>
        <v>110.4596592508628</v>
      </c>
      <c r="DL41" s="10">
        <f ca="1">'COM Assumptions'!P118*R41/'COM Veda input'!AX41</f>
        <v>145.84802433649921</v>
      </c>
      <c r="DM41" s="10">
        <f ca="1">'COM Assumptions'!Q118*S41/'COM Veda input'!AY41</f>
        <v>146.10614320247308</v>
      </c>
      <c r="DN41" s="10">
        <f ca="1">'COM Assumptions'!R118*T41/'COM Veda input'!AZ41</f>
        <v>220.39374130876348</v>
      </c>
      <c r="DO41" s="10">
        <f ca="1">'COM Assumptions'!S118*U41/'COM Veda input'!BA41</f>
        <v>55.324789458739204</v>
      </c>
      <c r="DP41" s="10">
        <f ca="1">'COM Assumptions'!T118*V41/'COM Veda input'!BB41</f>
        <v>181.81962138327441</v>
      </c>
      <c r="DQ41" s="10">
        <f ca="1">'COM Assumptions'!U118*W41/'COM Veda input'!BC41</f>
        <v>190.72023768297794</v>
      </c>
      <c r="DR41" s="10">
        <f ca="1">'COM Assumptions'!V118*X41/'COM Veda input'!BD41</f>
        <v>272.73837841550267</v>
      </c>
      <c r="DS41" s="10">
        <f ca="1">'COM Assumptions'!W118*Y41/'COM Veda input'!BE41</f>
        <v>259.4915321345531</v>
      </c>
      <c r="DT41" s="10">
        <f ca="1">'COM Assumptions'!X118*Z41/'COM Veda input'!BF41</f>
        <v>147.30270043060801</v>
      </c>
      <c r="DU41" s="10">
        <f ca="1">'COM Assumptions'!Y118*AA41/'COM Veda input'!BG41</f>
        <v>218.86859640351889</v>
      </c>
      <c r="DV41" s="10">
        <f ca="1">'COM Assumptions'!Z118*AB41/'COM Veda input'!BH41</f>
        <v>47.37671049985849</v>
      </c>
      <c r="DW41" s="10">
        <f ca="1">'COM Assumptions'!AA118*AC41/'COM Veda input'!BI41</f>
        <v>216.78901500223296</v>
      </c>
      <c r="DX41" s="10">
        <f ca="1">'COM Assumptions'!AB118*AD41/'COM Veda input'!BJ41</f>
        <v>55.015320618856734</v>
      </c>
      <c r="DY41" s="10">
        <f ca="1">'COM Assumptions'!AC118*AE41/'COM Veda input'!BK41</f>
        <v>237.7417130031744</v>
      </c>
      <c r="DZ41" s="10">
        <f ca="1">'COM Assumptions'!AD118*AF41/'COM Veda input'!BL41</f>
        <v>171.31320580572861</v>
      </c>
      <c r="EA41" s="10">
        <f ca="1">'COM Assumptions'!AE118*AG41/'COM Veda input'!BM41</f>
        <v>57.709745348889598</v>
      </c>
      <c r="EB41" s="10">
        <f ca="1">'COM Assumptions'!AF118*AH41/'COM Veda input'!BN41</f>
        <v>179.92476415570459</v>
      </c>
      <c r="EC41" s="10">
        <f ca="1">'COM Assumptions'!AG118*AI41/'COM Veda input'!BO41</f>
        <v>2764.8277006201897</v>
      </c>
      <c r="ED41" s="10">
        <f ca="1">'COM Assumptions'!AH118*AJ41/'COM Veda input'!BP41</f>
        <v>0</v>
      </c>
      <c r="EE41" s="8">
        <v>15</v>
      </c>
      <c r="EI41" s="8" t="str">
        <f t="shared" si="23"/>
        <v>CLAFLE000</v>
      </c>
      <c r="EK41" t="s">
        <v>282</v>
      </c>
      <c r="EL41" t="s">
        <v>283</v>
      </c>
    </row>
    <row r="42" spans="1:142" x14ac:dyDescent="0.45">
      <c r="A42" s="37" t="str">
        <f>'COM Assumptions'!B119</f>
        <v>CLA</v>
      </c>
      <c r="B42" s="37" t="s">
        <v>210</v>
      </c>
      <c r="D42" t="s">
        <v>210</v>
      </c>
      <c r="E42" s="8" t="str">
        <f>'COM Assumptions'!A119</f>
        <v>COMELC</v>
      </c>
      <c r="F42" t="str">
        <f>VLOOKUP('COM Assumptions'!B119,'COM Assumptions'!$AP$81:$AQ$88,2,FALSE)</f>
        <v>CLA</v>
      </c>
      <c r="G42" s="11">
        <f ca="1">OFFSET('COM Techs T15'!$F44,0,MATCH(VLOOKUP('COM Veda input'!G$3,'RES Assumptions T15'!$V$3:$W$35,2,FALSE),'COM Techs T15'!$G$3:$U$3,0))</f>
        <v>1.2</v>
      </c>
      <c r="H42" s="11">
        <f ca="1">OFFSET('COM Techs T15'!$F44,0,MATCH(VLOOKUP('COM Veda input'!H$3,'RES Assumptions T15'!$V$3:$W$35,2,FALSE),'COM Techs T15'!$G$3:$U$3,0))</f>
        <v>1.2</v>
      </c>
      <c r="I42" s="11">
        <f ca="1">OFFSET('COM Techs T15'!$F44,0,MATCH(VLOOKUP('COM Veda input'!I$3,'RES Assumptions T15'!$V$3:$W$35,2,FALSE),'COM Techs T15'!$G$3:$U$3,0))</f>
        <v>1.2</v>
      </c>
      <c r="J42" s="11">
        <f ca="1">OFFSET('COM Techs T15'!$F44,0,MATCH(VLOOKUP('COM Veda input'!J$3,'RES Assumptions T15'!$V$3:$W$35,2,FALSE),'COM Techs T15'!$G$3:$U$3,0))</f>
        <v>1.2</v>
      </c>
      <c r="K42" s="11">
        <f ca="1">OFFSET('COM Techs T15'!$F44,0,MATCH(VLOOKUP('COM Veda input'!K$3,'RES Assumptions T15'!$V$3:$W$35,2,FALSE),'COM Techs T15'!$G$3:$U$3,0))</f>
        <v>1.2</v>
      </c>
      <c r="L42" s="11">
        <f ca="1">OFFSET('COM Techs T15'!$F44,0,MATCH(VLOOKUP('COM Veda input'!L$3,'RES Assumptions T15'!$V$3:$W$35,2,FALSE),'COM Techs T15'!$G$3:$U$3,0))</f>
        <v>1.2</v>
      </c>
      <c r="M42" s="11">
        <f ca="1">OFFSET('COM Techs T15'!$F44,0,MATCH(VLOOKUP('COM Veda input'!M$3,'RES Assumptions T15'!$V$3:$W$35,2,FALSE),'COM Techs T15'!$G$3:$U$3,0))</f>
        <v>1.2</v>
      </c>
      <c r="N42" s="11">
        <f ca="1">OFFSET('COM Techs T15'!$F44,0,MATCH(VLOOKUP('COM Veda input'!N$3,'RES Assumptions T15'!$V$3:$W$35,2,FALSE),'COM Techs T15'!$G$3:$U$3,0))</f>
        <v>1.2</v>
      </c>
      <c r="O42" s="11">
        <f ca="1">OFFSET('COM Techs T15'!$F44,0,MATCH(VLOOKUP('COM Veda input'!O$3,'RES Assumptions T15'!$V$3:$W$35,2,FALSE),'COM Techs T15'!$G$3:$U$3,0))</f>
        <v>1.2</v>
      </c>
      <c r="P42" s="11">
        <f ca="1">OFFSET('COM Techs T15'!$F44,0,MATCH(VLOOKUP('COM Veda input'!P$3,'RES Assumptions T15'!$V$3:$W$35,2,FALSE),'COM Techs T15'!$G$3:$U$3,0))</f>
        <v>1.2</v>
      </c>
      <c r="Q42" s="11">
        <f ca="1">OFFSET('COM Techs T15'!$F44,0,MATCH(VLOOKUP('COM Veda input'!Q$3,'RES Assumptions T15'!$V$3:$W$35,2,FALSE),'COM Techs T15'!$G$3:$U$3,0))</f>
        <v>1.2</v>
      </c>
      <c r="R42" s="11">
        <f ca="1">OFFSET('COM Techs T15'!$F44,0,MATCH(VLOOKUP('COM Veda input'!R$3,'RES Assumptions T15'!$V$3:$W$35,2,FALSE),'COM Techs T15'!$G$3:$U$3,0))</f>
        <v>1.2</v>
      </c>
      <c r="S42" s="11">
        <f ca="1">OFFSET('COM Techs T15'!$F44,0,MATCH(VLOOKUP('COM Veda input'!S$3,'RES Assumptions T15'!$V$3:$W$35,2,FALSE),'COM Techs T15'!$G$3:$U$3,0))</f>
        <v>1.2</v>
      </c>
      <c r="T42" s="11">
        <f ca="1">OFFSET('COM Techs T15'!$F44,0,MATCH(VLOOKUP('COM Veda input'!T$3,'RES Assumptions T15'!$V$3:$W$35,2,FALSE),'COM Techs T15'!$G$3:$U$3,0))</f>
        <v>1.2</v>
      </c>
      <c r="U42" s="11">
        <f ca="1">OFFSET('COM Techs T15'!$F44,0,MATCH(VLOOKUP('COM Veda input'!U$3,'RES Assumptions T15'!$V$3:$W$35,2,FALSE),'COM Techs T15'!$G$3:$U$3,0))</f>
        <v>1.2</v>
      </c>
      <c r="V42" s="11">
        <f ca="1">OFFSET('COM Techs T15'!$F44,0,MATCH(VLOOKUP('COM Veda input'!V$3,'RES Assumptions T15'!$V$3:$W$35,2,FALSE),'COM Techs T15'!$G$3:$U$3,0))</f>
        <v>1.2</v>
      </c>
      <c r="W42" s="11">
        <f ca="1">OFFSET('COM Techs T15'!$F44,0,MATCH(VLOOKUP('COM Veda input'!W$3,'RES Assumptions T15'!$V$3:$W$35,2,FALSE),'COM Techs T15'!$G$3:$U$3,0))</f>
        <v>1.2</v>
      </c>
      <c r="X42" s="11">
        <f ca="1">OFFSET('COM Techs T15'!$F44,0,MATCH(VLOOKUP('COM Veda input'!X$3,'RES Assumptions T15'!$V$3:$W$35,2,FALSE),'COM Techs T15'!$G$3:$U$3,0))</f>
        <v>1.2</v>
      </c>
      <c r="Y42" s="11">
        <f ca="1">OFFSET('COM Techs T15'!$F44,0,MATCH(VLOOKUP('COM Veda input'!Y$3,'RES Assumptions T15'!$V$3:$W$35,2,FALSE),'COM Techs T15'!$G$3:$U$3,0))</f>
        <v>1.2</v>
      </c>
      <c r="Z42" s="11">
        <f ca="1">OFFSET('COM Techs T15'!$F44,0,MATCH(VLOOKUP('COM Veda input'!Z$3,'RES Assumptions T15'!$V$3:$W$35,2,FALSE),'COM Techs T15'!$G$3:$U$3,0))</f>
        <v>1.2</v>
      </c>
      <c r="AA42" s="11">
        <f ca="1">OFFSET('COM Techs T15'!$F44,0,MATCH(VLOOKUP('COM Veda input'!AA$3,'RES Assumptions T15'!$V$3:$W$35,2,FALSE),'COM Techs T15'!$G$3:$U$3,0))</f>
        <v>1.2</v>
      </c>
      <c r="AB42" s="11">
        <f ca="1">OFFSET('COM Techs T15'!$F44,0,MATCH(VLOOKUP('COM Veda input'!AB$3,'RES Assumptions T15'!$V$3:$W$35,2,FALSE),'COM Techs T15'!$G$3:$U$3,0))</f>
        <v>1.2</v>
      </c>
      <c r="AC42" s="11">
        <f ca="1">OFFSET('COM Techs T15'!$F44,0,MATCH(VLOOKUP('COM Veda input'!AC$3,'RES Assumptions T15'!$V$3:$W$35,2,FALSE),'COM Techs T15'!$G$3:$U$3,0))</f>
        <v>1.2</v>
      </c>
      <c r="AD42" s="11">
        <f ca="1">OFFSET('COM Techs T15'!$F44,0,MATCH(VLOOKUP('COM Veda input'!AD$3,'RES Assumptions T15'!$V$3:$W$35,2,FALSE),'COM Techs T15'!$G$3:$U$3,0))</f>
        <v>1.2</v>
      </c>
      <c r="AE42" s="11">
        <f ca="1">OFFSET('COM Techs T15'!$F44,0,MATCH(VLOOKUP('COM Veda input'!AE$3,'RES Assumptions T15'!$V$3:$W$35,2,FALSE),'COM Techs T15'!$G$3:$U$3,0))</f>
        <v>1.2</v>
      </c>
      <c r="AF42" s="11">
        <f ca="1">OFFSET('COM Techs T15'!$F44,0,MATCH(VLOOKUP('COM Veda input'!AF$3,'RES Assumptions T15'!$V$3:$W$35,2,FALSE),'COM Techs T15'!$G$3:$U$3,0))</f>
        <v>1.2</v>
      </c>
      <c r="AG42" s="11">
        <f ca="1">OFFSET('COM Techs T15'!$F44,0,MATCH(VLOOKUP('COM Veda input'!AG$3,'RES Assumptions T15'!$V$3:$W$35,2,FALSE),'COM Techs T15'!$G$3:$U$3,0))</f>
        <v>1.2</v>
      </c>
      <c r="AH42" s="11">
        <f ca="1">OFFSET('COM Techs T15'!$F44,0,MATCH(VLOOKUP('COM Veda input'!AH$3,'RES Assumptions T15'!$V$3:$W$35,2,FALSE),'COM Techs T15'!$G$3:$U$3,0))</f>
        <v>1.2</v>
      </c>
      <c r="AI42" s="11">
        <f ca="1">OFFSET('COM Techs T15'!$F44,0,MATCH(VLOOKUP('COM Veda input'!AI$3,'RES Assumptions T15'!$V$3:$W$35,2,FALSE),'COM Techs T15'!$G$3:$U$3,0))</f>
        <v>1.2</v>
      </c>
      <c r="AJ42" s="11">
        <f ca="1">OFFSET('COM Techs T15'!$F44,0,MATCH(VLOOKUP('COM Veda input'!AJ$3,'RES Assumptions T15'!$V$3:$W$35,2,FALSE),'COM Techs T15'!$G$3:$U$3,0))</f>
        <v>1.2</v>
      </c>
      <c r="AL42" s="8" t="str">
        <f t="shared" si="19"/>
        <v>CLAHAE000</v>
      </c>
      <c r="AM42" s="11">
        <f ca="1">OFFSET('COM Techs T15'!$W44,0,MATCH(VLOOKUP('COM Veda input'!AM$3,'RES Assumptions T15'!$V$3:$W$35,2,FALSE),'COM Techs T15'!$G$3:$U$3,0))</f>
        <v>1</v>
      </c>
      <c r="AN42" s="11">
        <f ca="1">OFFSET('COM Techs T15'!$W44,0,MATCH(VLOOKUP('COM Veda input'!AN$3,'RES Assumptions T15'!$V$3:$W$35,2,FALSE),'COM Techs T15'!$G$3:$U$3,0))</f>
        <v>1</v>
      </c>
      <c r="AO42" s="11">
        <f ca="1">OFFSET('COM Techs T15'!$W44,0,MATCH(VLOOKUP('COM Veda input'!AO$3,'RES Assumptions T15'!$V$3:$W$35,2,FALSE),'COM Techs T15'!$G$3:$U$3,0))</f>
        <v>1</v>
      </c>
      <c r="AP42" s="11">
        <f ca="1">OFFSET('COM Techs T15'!$W44,0,MATCH(VLOOKUP('COM Veda input'!AP$3,'RES Assumptions T15'!$V$3:$W$35,2,FALSE),'COM Techs T15'!$G$3:$U$3,0))</f>
        <v>1</v>
      </c>
      <c r="AQ42" s="11">
        <f ca="1">OFFSET('COM Techs T15'!$W44,0,MATCH(VLOOKUP('COM Veda input'!AQ$3,'RES Assumptions T15'!$V$3:$W$35,2,FALSE),'COM Techs T15'!$G$3:$U$3,0))</f>
        <v>1</v>
      </c>
      <c r="AR42" s="11">
        <f ca="1">OFFSET('COM Techs T15'!$W44,0,MATCH(VLOOKUP('COM Veda input'!AR$3,'RES Assumptions T15'!$V$3:$W$35,2,FALSE),'COM Techs T15'!$G$3:$U$3,0))</f>
        <v>1</v>
      </c>
      <c r="AS42" s="11">
        <f ca="1">OFFSET('COM Techs T15'!$W44,0,MATCH(VLOOKUP('COM Veda input'!AS$3,'RES Assumptions T15'!$V$3:$W$35,2,FALSE),'COM Techs T15'!$G$3:$U$3,0))</f>
        <v>1</v>
      </c>
      <c r="AT42" s="11">
        <f ca="1">OFFSET('COM Techs T15'!$W44,0,MATCH(VLOOKUP('COM Veda input'!AT$3,'RES Assumptions T15'!$V$3:$W$35,2,FALSE),'COM Techs T15'!$G$3:$U$3,0))</f>
        <v>1</v>
      </c>
      <c r="AU42" s="11">
        <f ca="1">OFFSET('COM Techs T15'!$W44,0,MATCH(VLOOKUP('COM Veda input'!AU$3,'RES Assumptions T15'!$V$3:$W$35,2,FALSE),'COM Techs T15'!$G$3:$U$3,0))</f>
        <v>1</v>
      </c>
      <c r="AV42" s="11">
        <f ca="1">OFFSET('COM Techs T15'!$W44,0,MATCH(VLOOKUP('COM Veda input'!AV$3,'RES Assumptions T15'!$V$3:$W$35,2,FALSE),'COM Techs T15'!$G$3:$U$3,0))</f>
        <v>1</v>
      </c>
      <c r="AW42" s="11">
        <f ca="1">OFFSET('COM Techs T15'!$W44,0,MATCH(VLOOKUP('COM Veda input'!AW$3,'RES Assumptions T15'!$V$3:$W$35,2,FALSE),'COM Techs T15'!$G$3:$U$3,0))</f>
        <v>1</v>
      </c>
      <c r="AX42" s="11">
        <f ca="1">OFFSET('COM Techs T15'!$W44,0,MATCH(VLOOKUP('COM Veda input'!AX$3,'RES Assumptions T15'!$V$3:$W$35,2,FALSE),'COM Techs T15'!$G$3:$U$3,0))</f>
        <v>1</v>
      </c>
      <c r="AY42" s="11">
        <f ca="1">OFFSET('COM Techs T15'!$W44,0,MATCH(VLOOKUP('COM Veda input'!AY$3,'RES Assumptions T15'!$V$3:$W$35,2,FALSE),'COM Techs T15'!$G$3:$U$3,0))</f>
        <v>1</v>
      </c>
      <c r="AZ42" s="11">
        <f ca="1">OFFSET('COM Techs T15'!$W44,0,MATCH(VLOOKUP('COM Veda input'!AZ$3,'RES Assumptions T15'!$V$3:$W$35,2,FALSE),'COM Techs T15'!$G$3:$U$3,0))</f>
        <v>1</v>
      </c>
      <c r="BA42" s="11">
        <f ca="1">OFFSET('COM Techs T15'!$W44,0,MATCH(VLOOKUP('COM Veda input'!BA$3,'RES Assumptions T15'!$V$3:$W$35,2,FALSE),'COM Techs T15'!$G$3:$U$3,0))</f>
        <v>1</v>
      </c>
      <c r="BB42" s="11">
        <f ca="1">OFFSET('COM Techs T15'!$W44,0,MATCH(VLOOKUP('COM Veda input'!BB$3,'RES Assumptions T15'!$V$3:$W$35,2,FALSE),'COM Techs T15'!$G$3:$U$3,0))</f>
        <v>1</v>
      </c>
      <c r="BC42" s="11">
        <f ca="1">OFFSET('COM Techs T15'!$W44,0,MATCH(VLOOKUP('COM Veda input'!BC$3,'RES Assumptions T15'!$V$3:$W$35,2,FALSE),'COM Techs T15'!$G$3:$U$3,0))</f>
        <v>1</v>
      </c>
      <c r="BD42" s="11">
        <f ca="1">OFFSET('COM Techs T15'!$W44,0,MATCH(VLOOKUP('COM Veda input'!BD$3,'RES Assumptions T15'!$V$3:$W$35,2,FALSE),'COM Techs T15'!$G$3:$U$3,0))</f>
        <v>1</v>
      </c>
      <c r="BE42" s="11">
        <f ca="1">OFFSET('COM Techs T15'!$W44,0,MATCH(VLOOKUP('COM Veda input'!BE$3,'RES Assumptions T15'!$V$3:$W$35,2,FALSE),'COM Techs T15'!$G$3:$U$3,0))</f>
        <v>1</v>
      </c>
      <c r="BF42" s="11">
        <f ca="1">OFFSET('COM Techs T15'!$W44,0,MATCH(VLOOKUP('COM Veda input'!BF$3,'RES Assumptions T15'!$V$3:$W$35,2,FALSE),'COM Techs T15'!$G$3:$U$3,0))</f>
        <v>1</v>
      </c>
      <c r="BG42" s="11">
        <f ca="1">OFFSET('COM Techs T15'!$W44,0,MATCH(VLOOKUP('COM Veda input'!BG$3,'RES Assumptions T15'!$V$3:$W$35,2,FALSE),'COM Techs T15'!$G$3:$U$3,0))</f>
        <v>1</v>
      </c>
      <c r="BH42" s="11">
        <f ca="1">OFFSET('COM Techs T15'!$W44,0,MATCH(VLOOKUP('COM Veda input'!BH$3,'RES Assumptions T15'!$V$3:$W$35,2,FALSE),'COM Techs T15'!$G$3:$U$3,0))</f>
        <v>1</v>
      </c>
      <c r="BI42" s="11">
        <f ca="1">OFFSET('COM Techs T15'!$W44,0,MATCH(VLOOKUP('COM Veda input'!BI$3,'RES Assumptions T15'!$V$3:$W$35,2,FALSE),'COM Techs T15'!$G$3:$U$3,0))</f>
        <v>1</v>
      </c>
      <c r="BJ42" s="11">
        <f ca="1">OFFSET('COM Techs T15'!$W44,0,MATCH(VLOOKUP('COM Veda input'!BJ$3,'RES Assumptions T15'!$V$3:$W$35,2,FALSE),'COM Techs T15'!$G$3:$U$3,0))</f>
        <v>1</v>
      </c>
      <c r="BK42" s="11">
        <f ca="1">OFFSET('COM Techs T15'!$W44,0,MATCH(VLOOKUP('COM Veda input'!BK$3,'RES Assumptions T15'!$V$3:$W$35,2,FALSE),'COM Techs T15'!$G$3:$U$3,0))</f>
        <v>1</v>
      </c>
      <c r="BL42" s="11">
        <f ca="1">OFFSET('COM Techs T15'!$W44,0,MATCH(VLOOKUP('COM Veda input'!BL$3,'RES Assumptions T15'!$V$3:$W$35,2,FALSE),'COM Techs T15'!$G$3:$U$3,0))</f>
        <v>1</v>
      </c>
      <c r="BM42" s="11">
        <f ca="1">OFFSET('COM Techs T15'!$W44,0,MATCH(VLOOKUP('COM Veda input'!BM$3,'RES Assumptions T15'!$V$3:$W$35,2,FALSE),'COM Techs T15'!$G$3:$U$3,0))</f>
        <v>1</v>
      </c>
      <c r="BN42" s="11">
        <f ca="1">OFFSET('COM Techs T15'!$W44,0,MATCH(VLOOKUP('COM Veda input'!BN$3,'RES Assumptions T15'!$V$3:$W$35,2,FALSE),'COM Techs T15'!$G$3:$U$3,0))</f>
        <v>1</v>
      </c>
      <c r="BO42" s="11">
        <f ca="1">OFFSET('COM Techs T15'!$W44,0,MATCH(VLOOKUP('COM Veda input'!BO$3,'RES Assumptions T15'!$V$3:$W$35,2,FALSE),'COM Techs T15'!$G$3:$U$3,0))</f>
        <v>1</v>
      </c>
      <c r="BP42" s="11">
        <f ca="1">OFFSET('COM Techs T15'!$W44,0,MATCH(VLOOKUP('COM Veda input'!BP$3,'RES Assumptions T15'!$V$3:$W$35,2,FALSE),'COM Techs T15'!$G$3:$U$3,0))</f>
        <v>1</v>
      </c>
      <c r="BQ42">
        <v>3</v>
      </c>
      <c r="BS42" s="8" t="str">
        <f t="shared" si="20"/>
        <v>CLAHAE000</v>
      </c>
      <c r="BT42" s="11">
        <f t="shared" ca="1" si="21"/>
        <v>4.2</v>
      </c>
      <c r="BU42" s="11" t="str">
        <f ca="1">OFFSET('COM Techs T15'!$AO44,0,MATCH(VLOOKUP('COM Veda input'!BU$3,'RES Assumptions T15'!$V$3:$W$35,2,FALSE),'COM Techs T15'!$G$3:$U$3,0))</f>
        <v/>
      </c>
      <c r="BV42" s="11" t="str">
        <f ca="1">OFFSET('COM Techs T15'!$AO44,0,MATCH(VLOOKUP('COM Veda input'!BV$3,'RES Assumptions T15'!$V$3:$W$35,2,FALSE),'COM Techs T15'!$G$3:$U$3,0))</f>
        <v/>
      </c>
      <c r="BW42" s="11" t="str">
        <f ca="1">OFFSET('COM Techs T15'!$AO44,0,MATCH(VLOOKUP('COM Veda input'!BW$3,'RES Assumptions T15'!$V$3:$W$35,2,FALSE),'COM Techs T15'!$G$3:$U$3,0))</f>
        <v/>
      </c>
      <c r="BX42" s="11" t="str">
        <f ca="1">OFFSET('COM Techs T15'!$AO44,0,MATCH(VLOOKUP('COM Veda input'!BX$3,'RES Assumptions T15'!$V$3:$W$35,2,FALSE),'COM Techs T15'!$G$3:$U$3,0))</f>
        <v/>
      </c>
      <c r="BY42" s="11">
        <f ca="1">OFFSET('COM Techs T15'!$AO44,0,MATCH(VLOOKUP('COM Veda input'!BY$3,'RES Assumptions T15'!$V$3:$W$35,2,FALSE),'COM Techs T15'!$G$3:$U$3,0))</f>
        <v>7</v>
      </c>
      <c r="BZ42" s="11">
        <f ca="1">OFFSET('COM Techs T15'!$AO44,0,MATCH(VLOOKUP('COM Veda input'!BZ$3,'RES Assumptions T15'!$V$3:$W$35,2,FALSE),'COM Techs T15'!$G$3:$U$3,0))</f>
        <v>4.2</v>
      </c>
      <c r="CA42" s="11" t="str">
        <f ca="1">OFFSET('COM Techs T15'!$AO44,0,MATCH(VLOOKUP('COM Veda input'!CA$3,'RES Assumptions T15'!$V$3:$W$35,2,FALSE),'COM Techs T15'!$G$3:$U$3,0))</f>
        <v/>
      </c>
      <c r="CB42" s="11" t="str">
        <f ca="1">OFFSET('COM Techs T15'!$AO44,0,MATCH(VLOOKUP('COM Veda input'!CB$3,'RES Assumptions T15'!$V$3:$W$35,2,FALSE),'COM Techs T15'!$G$3:$U$3,0))</f>
        <v/>
      </c>
      <c r="CC42" s="11" t="str">
        <f ca="1">OFFSET('COM Techs T15'!$AO44,0,MATCH(VLOOKUP('COM Veda input'!CC$3,'RES Assumptions T15'!$V$3:$W$35,2,FALSE),'COM Techs T15'!$G$3:$U$3,0))</f>
        <v/>
      </c>
      <c r="CD42" s="11">
        <f ca="1">OFFSET('COM Techs T15'!$AO44,0,MATCH(VLOOKUP('COM Veda input'!CD$3,'RES Assumptions T15'!$V$3:$W$35,2,FALSE),'COM Techs T15'!$G$3:$U$3,0))</f>
        <v>4.2</v>
      </c>
      <c r="CE42" s="11" t="str">
        <f ca="1">OFFSET('COM Techs T15'!$AO44,0,MATCH(VLOOKUP('COM Veda input'!CE$3,'RES Assumptions T15'!$V$3:$W$35,2,FALSE),'COM Techs T15'!$G$3:$U$3,0))</f>
        <v/>
      </c>
      <c r="CF42" s="11" t="str">
        <f ca="1">OFFSET('COM Techs T15'!$AO44,0,MATCH(VLOOKUP('COM Veda input'!CF$3,'RES Assumptions T15'!$V$3:$W$35,2,FALSE),'COM Techs T15'!$G$3:$U$3,0))</f>
        <v/>
      </c>
      <c r="CG42" s="11" t="str">
        <f ca="1">OFFSET('COM Techs T15'!$AO44,0,MATCH(VLOOKUP('COM Veda input'!CG$3,'RES Assumptions T15'!$V$3:$W$35,2,FALSE),'COM Techs T15'!$G$3:$U$3,0))</f>
        <v/>
      </c>
      <c r="CH42" s="11" t="str">
        <f ca="1">OFFSET('COM Techs T15'!$AO44,0,MATCH(VLOOKUP('COM Veda input'!CH$3,'RES Assumptions T15'!$V$3:$W$35,2,FALSE),'COM Techs T15'!$G$3:$U$3,0))</f>
        <v/>
      </c>
      <c r="CI42" s="11" t="str">
        <f ca="1">OFFSET('COM Techs T15'!$AO44,0,MATCH(VLOOKUP('COM Veda input'!CI$3,'RES Assumptions T15'!$V$3:$W$35,2,FALSE),'COM Techs T15'!$G$3:$U$3,0))</f>
        <v/>
      </c>
      <c r="CJ42" s="11" t="str">
        <f ca="1">OFFSET('COM Techs T15'!$AO44,0,MATCH(VLOOKUP('COM Veda input'!CJ$3,'RES Assumptions T15'!$V$3:$W$35,2,FALSE),'COM Techs T15'!$G$3:$U$3,0))</f>
        <v/>
      </c>
      <c r="CK42" s="11">
        <f ca="1">OFFSET('COM Techs T15'!$AO44,0,MATCH(VLOOKUP('COM Veda input'!CK$3,'RES Assumptions T15'!$V$3:$W$35,2,FALSE),'COM Techs T15'!$G$3:$U$3,0))</f>
        <v>4.9000000000000004</v>
      </c>
      <c r="CL42" s="11" t="str">
        <f ca="1">OFFSET('COM Techs T15'!$AO44,0,MATCH(VLOOKUP('COM Veda input'!CL$3,'RES Assumptions T15'!$V$3:$W$35,2,FALSE),'COM Techs T15'!$G$3:$U$3,0))</f>
        <v/>
      </c>
      <c r="CM42" s="11" t="str">
        <f ca="1">OFFSET('COM Techs T15'!$AO44,0,MATCH(VLOOKUP('COM Veda input'!CM$3,'RES Assumptions T15'!$V$3:$W$35,2,FALSE),'COM Techs T15'!$G$3:$U$3,0))</f>
        <v/>
      </c>
      <c r="CN42" s="11">
        <f ca="1">OFFSET('COM Techs T15'!$AO44,0,MATCH(VLOOKUP('COM Veda input'!CN$3,'RES Assumptions T15'!$V$3:$W$35,2,FALSE),'COM Techs T15'!$G$3:$U$3,0))</f>
        <v>4.2</v>
      </c>
      <c r="CO42" s="11" t="str">
        <f ca="1">OFFSET('COM Techs T15'!$AO44,0,MATCH(VLOOKUP('COM Veda input'!CO$3,'RES Assumptions T15'!$V$3:$W$35,2,FALSE),'COM Techs T15'!$G$3:$U$3,0))</f>
        <v/>
      </c>
      <c r="CP42" s="11">
        <f ca="1">OFFSET('COM Techs T15'!$AO44,0,MATCH(VLOOKUP('COM Veda input'!CP$3,'RES Assumptions T15'!$V$3:$W$35,2,FALSE),'COM Techs T15'!$G$3:$U$3,0))</f>
        <v>5.6</v>
      </c>
      <c r="CQ42" s="11">
        <f ca="1">OFFSET('COM Techs T15'!$AO44,0,MATCH(VLOOKUP('COM Veda input'!CQ$3,'RES Assumptions T15'!$V$3:$W$35,2,FALSE),'COM Techs T15'!$G$3:$U$3,0))</f>
        <v>4.9000000000000004</v>
      </c>
      <c r="CR42" s="11" t="str">
        <f ca="1">OFFSET('COM Techs T15'!$AO44,0,MATCH(VLOOKUP('COM Veda input'!CR$3,'RES Assumptions T15'!$V$3:$W$35,2,FALSE),'COM Techs T15'!$G$3:$U$3,0))</f>
        <v/>
      </c>
      <c r="CS42" s="11" t="str">
        <f ca="1">OFFSET('COM Techs T15'!$AO44,0,MATCH(VLOOKUP('COM Veda input'!CS$3,'RES Assumptions T15'!$V$3:$W$35,2,FALSE),'COM Techs T15'!$G$3:$U$3,0))</f>
        <v/>
      </c>
      <c r="CT42" s="11">
        <f ca="1">OFFSET('COM Techs T15'!$AO44,0,MATCH(VLOOKUP('COM Veda input'!CT$3,'RES Assumptions T15'!$V$3:$W$35,2,FALSE),'COM Techs T15'!$G$3:$U$3,0))</f>
        <v>4.9000000000000004</v>
      </c>
      <c r="CU42" s="11" t="str">
        <f ca="1">OFFSET('COM Techs T15'!$AO44,0,MATCH(VLOOKUP('COM Veda input'!CU$3,'RES Assumptions T15'!$V$3:$W$35,2,FALSE),'COM Techs T15'!$G$3:$U$3,0))</f>
        <v/>
      </c>
      <c r="CV42" s="11" t="str">
        <f ca="1">OFFSET('COM Techs T15'!$AO44,0,MATCH(VLOOKUP('COM Veda input'!CV$3,'RES Assumptions T15'!$V$3:$W$35,2,FALSE),'COM Techs T15'!$G$3:$U$3,0))</f>
        <v/>
      </c>
      <c r="CW42" s="11" t="str">
        <f ca="1">OFFSET('COM Techs T15'!$AO44,0,MATCH(VLOOKUP('COM Veda input'!CW$3,'RES Assumptions T15'!$V$3:$W$35,2,FALSE),'COM Techs T15'!$G$3:$U$3,0))</f>
        <v/>
      </c>
      <c r="CX42" s="11" t="str">
        <f ca="1">OFFSET('COM Techs T15'!$AO44,0,MATCH(VLOOKUP('COM Veda input'!CX$3,'RES Assumptions T15'!$V$3:$W$35,2,FALSE),'COM Techs T15'!$G$3:$U$3,0))</f>
        <v/>
      </c>
      <c r="CZ42" s="8" t="str">
        <f t="shared" si="22"/>
        <v>CLAHAE000</v>
      </c>
      <c r="DA42" s="10">
        <f ca="1">'COM Assumptions'!E119*G42/'COM Veda input'!AM42</f>
        <v>1.83752892302976</v>
      </c>
      <c r="DB42" s="10">
        <f ca="1">'COM Assumptions'!F119*H42/'COM Veda input'!AN42</f>
        <v>1.1327994452505601</v>
      </c>
      <c r="DC42" s="10">
        <f ca="1">'COM Assumptions'!G119*I42/'COM Veda input'!AO42</f>
        <v>0</v>
      </c>
      <c r="DD42" s="10">
        <f ca="1">'COM Assumptions'!H119*J42/'COM Veda input'!AP42</f>
        <v>0.9374822509478401</v>
      </c>
      <c r="DE42" s="10">
        <f ca="1">'COM Assumptions'!I119*K42/'COM Veda input'!AQ42</f>
        <v>0</v>
      </c>
      <c r="DF42" s="10">
        <f ca="1">'COM Assumptions'!J119*L42/'COM Veda input'!AR42</f>
        <v>4.8976582278254401</v>
      </c>
      <c r="DG42" s="10">
        <f ca="1">'COM Assumptions'!K119*M42/'COM Veda input'!AS42</f>
        <v>15.709623648472798</v>
      </c>
      <c r="DH42" s="10">
        <f ca="1">'COM Assumptions'!L119*N42/'COM Veda input'!AT42</f>
        <v>0</v>
      </c>
      <c r="DI42" s="10">
        <f ca="1">'COM Assumptions'!M119*O42/'COM Veda input'!AU42</f>
        <v>62.112398468947191</v>
      </c>
      <c r="DJ42" s="10">
        <f ca="1">'COM Assumptions'!N119*P42/'COM Veda input'!AV42</f>
        <v>8.8420191518453759</v>
      </c>
      <c r="DK42" s="10">
        <f ca="1">'COM Assumptions'!O119*Q42/'COM Veda input'!AW42</f>
        <v>0.93214902321403192</v>
      </c>
      <c r="DL42" s="10">
        <f ca="1">'COM Assumptions'!P119*R42/'COM Veda input'!AX42</f>
        <v>3.2410672074777604</v>
      </c>
      <c r="DM42" s="10">
        <f ca="1">'COM Assumptions'!Q119*S42/'COM Veda input'!AY42</f>
        <v>1.232963233776144</v>
      </c>
      <c r="DN42" s="10">
        <f ca="1">'COM Assumptions'!R119*T42/'COM Veda input'!AZ42</f>
        <v>1.8598627958545439</v>
      </c>
      <c r="DO42" s="10">
        <f ca="1">'COM Assumptions'!S119*U42/'COM Veda input'!BA42</f>
        <v>1.22943976574976</v>
      </c>
      <c r="DP42" s="10">
        <f ca="1">'COM Assumptions'!T119*V42/'COM Veda input'!BB42</f>
        <v>1.5343427964833281</v>
      </c>
      <c r="DQ42" s="10">
        <f ca="1">'COM Assumptions'!U119*W42/'COM Veda input'!BC42</f>
        <v>4.2382275040661765</v>
      </c>
      <c r="DR42" s="10">
        <f ca="1">'COM Assumptions'!V119*X42/'COM Veda input'!BD42</f>
        <v>2.3015896912700642</v>
      </c>
      <c r="DS42" s="10">
        <f ca="1">'COM Assumptions'!W119*Y42/'COM Veda input'!BE42</f>
        <v>2.1898019589413762</v>
      </c>
      <c r="DT42" s="10">
        <f ca="1">'COM Assumptions'!X119*Z42/'COM Veda input'!BF42</f>
        <v>0</v>
      </c>
      <c r="DU42" s="10">
        <f ca="1">'COM Assumptions'!Y119*AA42/'COM Veda input'!BG42</f>
        <v>0</v>
      </c>
      <c r="DV42" s="10">
        <f ca="1">'COM Assumptions'!Z119*AB42/'COM Veda input'!BH42</f>
        <v>0.94282010944992001</v>
      </c>
      <c r="DW42" s="10">
        <f ca="1">'COM Assumptions'!AA119*AC42/'COM Veda input'!BI42</f>
        <v>4.8175336667162876</v>
      </c>
      <c r="DX42" s="10">
        <f ca="1">'COM Assumptions'!AB119*AD42/'COM Veda input'!BJ42</f>
        <v>0.46426430901988802</v>
      </c>
      <c r="DY42" s="10">
        <f ca="1">'COM Assumptions'!AC119*AE42/'COM Veda input'!BK42</f>
        <v>5.2831491778483199</v>
      </c>
      <c r="DZ42" s="10">
        <f ca="1">'COM Assumptions'!AD119*AF42/'COM Veda input'!BL42</f>
        <v>3.8069601290161912</v>
      </c>
      <c r="EA42" s="10">
        <f ca="1">'COM Assumptions'!AE119*AG42/'COM Veda input'!BM42</f>
        <v>1.2824387855308801</v>
      </c>
      <c r="EB42" s="10">
        <f ca="1">'COM Assumptions'!AF119*AH42/'COM Veda input'!BN42</f>
        <v>1.5183524401325281</v>
      </c>
      <c r="EC42" s="10">
        <f ca="1">'COM Assumptions'!AG119*AI42/'COM Veda input'!BO42</f>
        <v>23.331879330128181</v>
      </c>
      <c r="ED42" s="10">
        <f ca="1">'COM Assumptions'!AH119*AJ42/'COM Veda input'!BP42</f>
        <v>0</v>
      </c>
      <c r="EE42" s="8">
        <v>15</v>
      </c>
      <c r="EI42" s="8" t="str">
        <f t="shared" si="23"/>
        <v>CLAHAE000</v>
      </c>
      <c r="EK42" t="s">
        <v>282</v>
      </c>
      <c r="EL42" t="s">
        <v>283</v>
      </c>
    </row>
    <row r="43" spans="1:142" x14ac:dyDescent="0.45">
      <c r="A43" s="37" t="str">
        <f>'COM Assumptions'!B120</f>
        <v>CLA</v>
      </c>
      <c r="B43" s="37" t="s">
        <v>212</v>
      </c>
      <c r="D43" t="s">
        <v>212</v>
      </c>
      <c r="E43" s="8" t="str">
        <f>'COM Assumptions'!A120</f>
        <v>COMELC</v>
      </c>
      <c r="F43" t="str">
        <f>VLOOKUP('COM Assumptions'!B120,'COM Assumptions'!$AP$81:$AQ$88,2,FALSE)</f>
        <v>CLA</v>
      </c>
      <c r="G43" s="11">
        <f ca="1">OFFSET('COM Techs T15'!$F45,0,MATCH(VLOOKUP('COM Veda input'!G$3,'RES Assumptions T15'!$V$3:$W$35,2,FALSE),'COM Techs T15'!$G$3:$U$3,0))</f>
        <v>2.1</v>
      </c>
      <c r="H43" s="11">
        <f ca="1">OFFSET('COM Techs T15'!$F45,0,MATCH(VLOOKUP('COM Veda input'!H$3,'RES Assumptions T15'!$V$3:$W$35,2,FALSE),'COM Techs T15'!$G$3:$U$3,0))</f>
        <v>2.1</v>
      </c>
      <c r="I43" s="11">
        <f ca="1">OFFSET('COM Techs T15'!$F45,0,MATCH(VLOOKUP('COM Veda input'!I$3,'RES Assumptions T15'!$V$3:$W$35,2,FALSE),'COM Techs T15'!$G$3:$U$3,0))</f>
        <v>2.1</v>
      </c>
      <c r="J43" s="11">
        <f ca="1">OFFSET('COM Techs T15'!$F45,0,MATCH(VLOOKUP('COM Veda input'!J$3,'RES Assumptions T15'!$V$3:$W$35,2,FALSE),'COM Techs T15'!$G$3:$U$3,0))</f>
        <v>2.1</v>
      </c>
      <c r="K43" s="11">
        <f ca="1">OFFSET('COM Techs T15'!$F45,0,MATCH(VLOOKUP('COM Veda input'!K$3,'RES Assumptions T15'!$V$3:$W$35,2,FALSE),'COM Techs T15'!$G$3:$U$3,0))</f>
        <v>2.1</v>
      </c>
      <c r="L43" s="11">
        <f ca="1">OFFSET('COM Techs T15'!$F45,0,MATCH(VLOOKUP('COM Veda input'!L$3,'RES Assumptions T15'!$V$3:$W$35,2,FALSE),'COM Techs T15'!$G$3:$U$3,0))</f>
        <v>2.1</v>
      </c>
      <c r="M43" s="11">
        <f ca="1">OFFSET('COM Techs T15'!$F45,0,MATCH(VLOOKUP('COM Veda input'!M$3,'RES Assumptions T15'!$V$3:$W$35,2,FALSE),'COM Techs T15'!$G$3:$U$3,0))</f>
        <v>2.1</v>
      </c>
      <c r="N43" s="11">
        <f ca="1">OFFSET('COM Techs T15'!$F45,0,MATCH(VLOOKUP('COM Veda input'!N$3,'RES Assumptions T15'!$V$3:$W$35,2,FALSE),'COM Techs T15'!$G$3:$U$3,0))</f>
        <v>2.1</v>
      </c>
      <c r="O43" s="11">
        <f ca="1">OFFSET('COM Techs T15'!$F45,0,MATCH(VLOOKUP('COM Veda input'!O$3,'RES Assumptions T15'!$V$3:$W$35,2,FALSE),'COM Techs T15'!$G$3:$U$3,0))</f>
        <v>2.1</v>
      </c>
      <c r="P43" s="11">
        <f ca="1">OFFSET('COM Techs T15'!$F45,0,MATCH(VLOOKUP('COM Veda input'!P$3,'RES Assumptions T15'!$V$3:$W$35,2,FALSE),'COM Techs T15'!$G$3:$U$3,0))</f>
        <v>2.1</v>
      </c>
      <c r="Q43" s="11">
        <f ca="1">OFFSET('COM Techs T15'!$F45,0,MATCH(VLOOKUP('COM Veda input'!Q$3,'RES Assumptions T15'!$V$3:$W$35,2,FALSE),'COM Techs T15'!$G$3:$U$3,0))</f>
        <v>2.1</v>
      </c>
      <c r="R43" s="11">
        <f ca="1">OFFSET('COM Techs T15'!$F45,0,MATCH(VLOOKUP('COM Veda input'!R$3,'RES Assumptions T15'!$V$3:$W$35,2,FALSE),'COM Techs T15'!$G$3:$U$3,0))</f>
        <v>2.1</v>
      </c>
      <c r="S43" s="11">
        <f ca="1">OFFSET('COM Techs T15'!$F45,0,MATCH(VLOOKUP('COM Veda input'!S$3,'RES Assumptions T15'!$V$3:$W$35,2,FALSE),'COM Techs T15'!$G$3:$U$3,0))</f>
        <v>2.1</v>
      </c>
      <c r="T43" s="11">
        <f ca="1">OFFSET('COM Techs T15'!$F45,0,MATCH(VLOOKUP('COM Veda input'!T$3,'RES Assumptions T15'!$V$3:$W$35,2,FALSE),'COM Techs T15'!$G$3:$U$3,0))</f>
        <v>2.1</v>
      </c>
      <c r="U43" s="11">
        <f ca="1">OFFSET('COM Techs T15'!$F45,0,MATCH(VLOOKUP('COM Veda input'!U$3,'RES Assumptions T15'!$V$3:$W$35,2,FALSE),'COM Techs T15'!$G$3:$U$3,0))</f>
        <v>2.1</v>
      </c>
      <c r="V43" s="11">
        <f ca="1">OFFSET('COM Techs T15'!$F45,0,MATCH(VLOOKUP('COM Veda input'!V$3,'RES Assumptions T15'!$V$3:$W$35,2,FALSE),'COM Techs T15'!$G$3:$U$3,0))</f>
        <v>2.1</v>
      </c>
      <c r="W43" s="11">
        <f ca="1">OFFSET('COM Techs T15'!$F45,0,MATCH(VLOOKUP('COM Veda input'!W$3,'RES Assumptions T15'!$V$3:$W$35,2,FALSE),'COM Techs T15'!$G$3:$U$3,0))</f>
        <v>2.1</v>
      </c>
      <c r="X43" s="11">
        <f ca="1">OFFSET('COM Techs T15'!$F45,0,MATCH(VLOOKUP('COM Veda input'!X$3,'RES Assumptions T15'!$V$3:$W$35,2,FALSE),'COM Techs T15'!$G$3:$U$3,0))</f>
        <v>2.1</v>
      </c>
      <c r="Y43" s="11">
        <f ca="1">OFFSET('COM Techs T15'!$F45,0,MATCH(VLOOKUP('COM Veda input'!Y$3,'RES Assumptions T15'!$V$3:$W$35,2,FALSE),'COM Techs T15'!$G$3:$U$3,0))</f>
        <v>2.1</v>
      </c>
      <c r="Z43" s="11">
        <f ca="1">OFFSET('COM Techs T15'!$F45,0,MATCH(VLOOKUP('COM Veda input'!Z$3,'RES Assumptions T15'!$V$3:$W$35,2,FALSE),'COM Techs T15'!$G$3:$U$3,0))</f>
        <v>2.1</v>
      </c>
      <c r="AA43" s="11">
        <f ca="1">OFFSET('COM Techs T15'!$F45,0,MATCH(VLOOKUP('COM Veda input'!AA$3,'RES Assumptions T15'!$V$3:$W$35,2,FALSE),'COM Techs T15'!$G$3:$U$3,0))</f>
        <v>2.1</v>
      </c>
      <c r="AB43" s="11">
        <f ca="1">OFFSET('COM Techs T15'!$F45,0,MATCH(VLOOKUP('COM Veda input'!AB$3,'RES Assumptions T15'!$V$3:$W$35,2,FALSE),'COM Techs T15'!$G$3:$U$3,0))</f>
        <v>2.1</v>
      </c>
      <c r="AC43" s="11">
        <f ca="1">OFFSET('COM Techs T15'!$F45,0,MATCH(VLOOKUP('COM Veda input'!AC$3,'RES Assumptions T15'!$V$3:$W$35,2,FALSE),'COM Techs T15'!$G$3:$U$3,0))</f>
        <v>2.1</v>
      </c>
      <c r="AD43" s="11">
        <f ca="1">OFFSET('COM Techs T15'!$F45,0,MATCH(VLOOKUP('COM Veda input'!AD$3,'RES Assumptions T15'!$V$3:$W$35,2,FALSE),'COM Techs T15'!$G$3:$U$3,0))</f>
        <v>2.1</v>
      </c>
      <c r="AE43" s="11">
        <f ca="1">OFFSET('COM Techs T15'!$F45,0,MATCH(VLOOKUP('COM Veda input'!AE$3,'RES Assumptions T15'!$V$3:$W$35,2,FALSE),'COM Techs T15'!$G$3:$U$3,0))</f>
        <v>2.1</v>
      </c>
      <c r="AF43" s="11">
        <f ca="1">OFFSET('COM Techs T15'!$F45,0,MATCH(VLOOKUP('COM Veda input'!AF$3,'RES Assumptions T15'!$V$3:$W$35,2,FALSE),'COM Techs T15'!$G$3:$U$3,0))</f>
        <v>2.1</v>
      </c>
      <c r="AG43" s="11">
        <f ca="1">OFFSET('COM Techs T15'!$F45,0,MATCH(VLOOKUP('COM Veda input'!AG$3,'RES Assumptions T15'!$V$3:$W$35,2,FALSE),'COM Techs T15'!$G$3:$U$3,0))</f>
        <v>2.1</v>
      </c>
      <c r="AH43" s="11">
        <f ca="1">OFFSET('COM Techs T15'!$F45,0,MATCH(VLOOKUP('COM Veda input'!AH$3,'RES Assumptions T15'!$V$3:$W$35,2,FALSE),'COM Techs T15'!$G$3:$U$3,0))</f>
        <v>2.1</v>
      </c>
      <c r="AI43" s="11">
        <f ca="1">OFFSET('COM Techs T15'!$F45,0,MATCH(VLOOKUP('COM Veda input'!AI$3,'RES Assumptions T15'!$V$3:$W$35,2,FALSE),'COM Techs T15'!$G$3:$U$3,0))</f>
        <v>2.1</v>
      </c>
      <c r="AJ43" s="11">
        <f ca="1">OFFSET('COM Techs T15'!$F45,0,MATCH(VLOOKUP('COM Veda input'!AJ$3,'RES Assumptions T15'!$V$3:$W$35,2,FALSE),'COM Techs T15'!$G$3:$U$3,0))</f>
        <v>2.1</v>
      </c>
      <c r="AL43" s="8" t="str">
        <f t="shared" si="19"/>
        <v>CLAHID000</v>
      </c>
      <c r="AM43" s="11">
        <f ca="1">OFFSET('COM Techs T15'!$W45,0,MATCH(VLOOKUP('COM Veda input'!AM$3,'RES Assumptions T15'!$V$3:$W$35,2,FALSE),'COM Techs T15'!$G$3:$U$3,0))</f>
        <v>1</v>
      </c>
      <c r="AN43" s="11">
        <f ca="1">OFFSET('COM Techs T15'!$W45,0,MATCH(VLOOKUP('COM Veda input'!AN$3,'RES Assumptions T15'!$V$3:$W$35,2,FALSE),'COM Techs T15'!$G$3:$U$3,0))</f>
        <v>1</v>
      </c>
      <c r="AO43" s="11">
        <f ca="1">OFFSET('COM Techs T15'!$W45,0,MATCH(VLOOKUP('COM Veda input'!AO$3,'RES Assumptions T15'!$V$3:$W$35,2,FALSE),'COM Techs T15'!$G$3:$U$3,0))</f>
        <v>1</v>
      </c>
      <c r="AP43" s="11">
        <f ca="1">OFFSET('COM Techs T15'!$W45,0,MATCH(VLOOKUP('COM Veda input'!AP$3,'RES Assumptions T15'!$V$3:$W$35,2,FALSE),'COM Techs T15'!$G$3:$U$3,0))</f>
        <v>1</v>
      </c>
      <c r="AQ43" s="11">
        <f ca="1">OFFSET('COM Techs T15'!$W45,0,MATCH(VLOOKUP('COM Veda input'!AQ$3,'RES Assumptions T15'!$V$3:$W$35,2,FALSE),'COM Techs T15'!$G$3:$U$3,0))</f>
        <v>1</v>
      </c>
      <c r="AR43" s="11">
        <f ca="1">OFFSET('COM Techs T15'!$W45,0,MATCH(VLOOKUP('COM Veda input'!AR$3,'RES Assumptions T15'!$V$3:$W$35,2,FALSE),'COM Techs T15'!$G$3:$U$3,0))</f>
        <v>1</v>
      </c>
      <c r="AS43" s="11">
        <f ca="1">OFFSET('COM Techs T15'!$W45,0,MATCH(VLOOKUP('COM Veda input'!AS$3,'RES Assumptions T15'!$V$3:$W$35,2,FALSE),'COM Techs T15'!$G$3:$U$3,0))</f>
        <v>1</v>
      </c>
      <c r="AT43" s="11">
        <f ca="1">OFFSET('COM Techs T15'!$W45,0,MATCH(VLOOKUP('COM Veda input'!AT$3,'RES Assumptions T15'!$V$3:$W$35,2,FALSE),'COM Techs T15'!$G$3:$U$3,0))</f>
        <v>1</v>
      </c>
      <c r="AU43" s="11">
        <f ca="1">OFFSET('COM Techs T15'!$W45,0,MATCH(VLOOKUP('COM Veda input'!AU$3,'RES Assumptions T15'!$V$3:$W$35,2,FALSE),'COM Techs T15'!$G$3:$U$3,0))</f>
        <v>1</v>
      </c>
      <c r="AV43" s="11">
        <f ca="1">OFFSET('COM Techs T15'!$W45,0,MATCH(VLOOKUP('COM Veda input'!AV$3,'RES Assumptions T15'!$V$3:$W$35,2,FALSE),'COM Techs T15'!$G$3:$U$3,0))</f>
        <v>1</v>
      </c>
      <c r="AW43" s="11">
        <f ca="1">OFFSET('COM Techs T15'!$W45,0,MATCH(VLOOKUP('COM Veda input'!AW$3,'RES Assumptions T15'!$V$3:$W$35,2,FALSE),'COM Techs T15'!$G$3:$U$3,0))</f>
        <v>1</v>
      </c>
      <c r="AX43" s="11">
        <f ca="1">OFFSET('COM Techs T15'!$W45,0,MATCH(VLOOKUP('COM Veda input'!AX$3,'RES Assumptions T15'!$V$3:$W$35,2,FALSE),'COM Techs T15'!$G$3:$U$3,0))</f>
        <v>1</v>
      </c>
      <c r="AY43" s="11">
        <f ca="1">OFFSET('COM Techs T15'!$W45,0,MATCH(VLOOKUP('COM Veda input'!AY$3,'RES Assumptions T15'!$V$3:$W$35,2,FALSE),'COM Techs T15'!$G$3:$U$3,0))</f>
        <v>1</v>
      </c>
      <c r="AZ43" s="11">
        <f ca="1">OFFSET('COM Techs T15'!$W45,0,MATCH(VLOOKUP('COM Veda input'!AZ$3,'RES Assumptions T15'!$V$3:$W$35,2,FALSE),'COM Techs T15'!$G$3:$U$3,0))</f>
        <v>1</v>
      </c>
      <c r="BA43" s="11">
        <f ca="1">OFFSET('COM Techs T15'!$W45,0,MATCH(VLOOKUP('COM Veda input'!BA$3,'RES Assumptions T15'!$V$3:$W$35,2,FALSE),'COM Techs T15'!$G$3:$U$3,0))</f>
        <v>1</v>
      </c>
      <c r="BB43" s="11">
        <f ca="1">OFFSET('COM Techs T15'!$W45,0,MATCH(VLOOKUP('COM Veda input'!BB$3,'RES Assumptions T15'!$V$3:$W$35,2,FALSE),'COM Techs T15'!$G$3:$U$3,0))</f>
        <v>1</v>
      </c>
      <c r="BC43" s="11">
        <f ca="1">OFFSET('COM Techs T15'!$W45,0,MATCH(VLOOKUP('COM Veda input'!BC$3,'RES Assumptions T15'!$V$3:$W$35,2,FALSE),'COM Techs T15'!$G$3:$U$3,0))</f>
        <v>1</v>
      </c>
      <c r="BD43" s="11">
        <f ca="1">OFFSET('COM Techs T15'!$W45,0,MATCH(VLOOKUP('COM Veda input'!BD$3,'RES Assumptions T15'!$V$3:$W$35,2,FALSE),'COM Techs T15'!$G$3:$U$3,0))</f>
        <v>1</v>
      </c>
      <c r="BE43" s="11">
        <f ca="1">OFFSET('COM Techs T15'!$W45,0,MATCH(VLOOKUP('COM Veda input'!BE$3,'RES Assumptions T15'!$V$3:$W$35,2,FALSE),'COM Techs T15'!$G$3:$U$3,0))</f>
        <v>1</v>
      </c>
      <c r="BF43" s="11">
        <f ca="1">OFFSET('COM Techs T15'!$W45,0,MATCH(VLOOKUP('COM Veda input'!BF$3,'RES Assumptions T15'!$V$3:$W$35,2,FALSE),'COM Techs T15'!$G$3:$U$3,0))</f>
        <v>1</v>
      </c>
      <c r="BG43" s="11">
        <f ca="1">OFFSET('COM Techs T15'!$W45,0,MATCH(VLOOKUP('COM Veda input'!BG$3,'RES Assumptions T15'!$V$3:$W$35,2,FALSE),'COM Techs T15'!$G$3:$U$3,0))</f>
        <v>1</v>
      </c>
      <c r="BH43" s="11">
        <f ca="1">OFFSET('COM Techs T15'!$W45,0,MATCH(VLOOKUP('COM Veda input'!BH$3,'RES Assumptions T15'!$V$3:$W$35,2,FALSE),'COM Techs T15'!$G$3:$U$3,0))</f>
        <v>1</v>
      </c>
      <c r="BI43" s="11">
        <f ca="1">OFFSET('COM Techs T15'!$W45,0,MATCH(VLOOKUP('COM Veda input'!BI$3,'RES Assumptions T15'!$V$3:$W$35,2,FALSE),'COM Techs T15'!$G$3:$U$3,0))</f>
        <v>1</v>
      </c>
      <c r="BJ43" s="11">
        <f ca="1">OFFSET('COM Techs T15'!$W45,0,MATCH(VLOOKUP('COM Veda input'!BJ$3,'RES Assumptions T15'!$V$3:$W$35,2,FALSE),'COM Techs T15'!$G$3:$U$3,0))</f>
        <v>1</v>
      </c>
      <c r="BK43" s="11">
        <f ca="1">OFFSET('COM Techs T15'!$W45,0,MATCH(VLOOKUP('COM Veda input'!BK$3,'RES Assumptions T15'!$V$3:$W$35,2,FALSE),'COM Techs T15'!$G$3:$U$3,0))</f>
        <v>1</v>
      </c>
      <c r="BL43" s="11">
        <f ca="1">OFFSET('COM Techs T15'!$W45,0,MATCH(VLOOKUP('COM Veda input'!BL$3,'RES Assumptions T15'!$V$3:$W$35,2,FALSE),'COM Techs T15'!$G$3:$U$3,0))</f>
        <v>1</v>
      </c>
      <c r="BM43" s="11">
        <f ca="1">OFFSET('COM Techs T15'!$W45,0,MATCH(VLOOKUP('COM Veda input'!BM$3,'RES Assumptions T15'!$V$3:$W$35,2,FALSE),'COM Techs T15'!$G$3:$U$3,0))</f>
        <v>1</v>
      </c>
      <c r="BN43" s="11">
        <f ca="1">OFFSET('COM Techs T15'!$W45,0,MATCH(VLOOKUP('COM Veda input'!BN$3,'RES Assumptions T15'!$V$3:$W$35,2,FALSE),'COM Techs T15'!$G$3:$U$3,0))</f>
        <v>1</v>
      </c>
      <c r="BO43" s="11">
        <f ca="1">OFFSET('COM Techs T15'!$W45,0,MATCH(VLOOKUP('COM Veda input'!BO$3,'RES Assumptions T15'!$V$3:$W$35,2,FALSE),'COM Techs T15'!$G$3:$U$3,0))</f>
        <v>1</v>
      </c>
      <c r="BP43" s="11">
        <f ca="1">OFFSET('COM Techs T15'!$W45,0,MATCH(VLOOKUP('COM Veda input'!BP$3,'RES Assumptions T15'!$V$3:$W$35,2,FALSE),'COM Techs T15'!$G$3:$U$3,0))</f>
        <v>1</v>
      </c>
      <c r="BQ43">
        <v>3</v>
      </c>
      <c r="BS43" s="8" t="str">
        <f t="shared" si="20"/>
        <v>CLAHID000</v>
      </c>
      <c r="BT43" s="11">
        <f t="shared" ca="1" si="21"/>
        <v>4.2</v>
      </c>
      <c r="BU43" s="11" t="str">
        <f ca="1">OFFSET('COM Techs T15'!$AO45,0,MATCH(VLOOKUP('COM Veda input'!BU$3,'RES Assumptions T15'!$V$3:$W$35,2,FALSE),'COM Techs T15'!$G$3:$U$3,0))</f>
        <v/>
      </c>
      <c r="BV43" s="11" t="str">
        <f ca="1">OFFSET('COM Techs T15'!$AO45,0,MATCH(VLOOKUP('COM Veda input'!BV$3,'RES Assumptions T15'!$V$3:$W$35,2,FALSE),'COM Techs T15'!$G$3:$U$3,0))</f>
        <v/>
      </c>
      <c r="BW43" s="11" t="str">
        <f ca="1">OFFSET('COM Techs T15'!$AO45,0,MATCH(VLOOKUP('COM Veda input'!BW$3,'RES Assumptions T15'!$V$3:$W$35,2,FALSE),'COM Techs T15'!$G$3:$U$3,0))</f>
        <v/>
      </c>
      <c r="BX43" s="11" t="str">
        <f ca="1">OFFSET('COM Techs T15'!$AO45,0,MATCH(VLOOKUP('COM Veda input'!BX$3,'RES Assumptions T15'!$V$3:$W$35,2,FALSE),'COM Techs T15'!$G$3:$U$3,0))</f>
        <v/>
      </c>
      <c r="BY43" s="11">
        <f ca="1">OFFSET('COM Techs T15'!$AO45,0,MATCH(VLOOKUP('COM Veda input'!BY$3,'RES Assumptions T15'!$V$3:$W$35,2,FALSE),'COM Techs T15'!$G$3:$U$3,0))</f>
        <v>7</v>
      </c>
      <c r="BZ43" s="11">
        <f ca="1">OFFSET('COM Techs T15'!$AO45,0,MATCH(VLOOKUP('COM Veda input'!BZ$3,'RES Assumptions T15'!$V$3:$W$35,2,FALSE),'COM Techs T15'!$G$3:$U$3,0))</f>
        <v>4.2</v>
      </c>
      <c r="CA43" s="11" t="str">
        <f ca="1">OFFSET('COM Techs T15'!$AO45,0,MATCH(VLOOKUP('COM Veda input'!CA$3,'RES Assumptions T15'!$V$3:$W$35,2,FALSE),'COM Techs T15'!$G$3:$U$3,0))</f>
        <v/>
      </c>
      <c r="CB43" s="11" t="str">
        <f ca="1">OFFSET('COM Techs T15'!$AO45,0,MATCH(VLOOKUP('COM Veda input'!CB$3,'RES Assumptions T15'!$V$3:$W$35,2,FALSE),'COM Techs T15'!$G$3:$U$3,0))</f>
        <v/>
      </c>
      <c r="CC43" s="11" t="str">
        <f ca="1">OFFSET('COM Techs T15'!$AO45,0,MATCH(VLOOKUP('COM Veda input'!CC$3,'RES Assumptions T15'!$V$3:$W$35,2,FALSE),'COM Techs T15'!$G$3:$U$3,0))</f>
        <v/>
      </c>
      <c r="CD43" s="11">
        <f ca="1">OFFSET('COM Techs T15'!$AO45,0,MATCH(VLOOKUP('COM Veda input'!CD$3,'RES Assumptions T15'!$V$3:$W$35,2,FALSE),'COM Techs T15'!$G$3:$U$3,0))</f>
        <v>4.2</v>
      </c>
      <c r="CE43" s="11" t="str">
        <f ca="1">OFFSET('COM Techs T15'!$AO45,0,MATCH(VLOOKUP('COM Veda input'!CE$3,'RES Assumptions T15'!$V$3:$W$35,2,FALSE),'COM Techs T15'!$G$3:$U$3,0))</f>
        <v/>
      </c>
      <c r="CF43" s="11" t="str">
        <f ca="1">OFFSET('COM Techs T15'!$AO45,0,MATCH(VLOOKUP('COM Veda input'!CF$3,'RES Assumptions T15'!$V$3:$W$35,2,FALSE),'COM Techs T15'!$G$3:$U$3,0))</f>
        <v/>
      </c>
      <c r="CG43" s="11" t="str">
        <f ca="1">OFFSET('COM Techs T15'!$AO45,0,MATCH(VLOOKUP('COM Veda input'!CG$3,'RES Assumptions T15'!$V$3:$W$35,2,FALSE),'COM Techs T15'!$G$3:$U$3,0))</f>
        <v/>
      </c>
      <c r="CH43" s="11" t="str">
        <f ca="1">OFFSET('COM Techs T15'!$AO45,0,MATCH(VLOOKUP('COM Veda input'!CH$3,'RES Assumptions T15'!$V$3:$W$35,2,FALSE),'COM Techs T15'!$G$3:$U$3,0))</f>
        <v/>
      </c>
      <c r="CI43" s="11" t="str">
        <f ca="1">OFFSET('COM Techs T15'!$AO45,0,MATCH(VLOOKUP('COM Veda input'!CI$3,'RES Assumptions T15'!$V$3:$W$35,2,FALSE),'COM Techs T15'!$G$3:$U$3,0))</f>
        <v/>
      </c>
      <c r="CJ43" s="11" t="str">
        <f ca="1">OFFSET('COM Techs T15'!$AO45,0,MATCH(VLOOKUP('COM Veda input'!CJ$3,'RES Assumptions T15'!$V$3:$W$35,2,FALSE),'COM Techs T15'!$G$3:$U$3,0))</f>
        <v/>
      </c>
      <c r="CK43" s="11">
        <f ca="1">OFFSET('COM Techs T15'!$AO45,0,MATCH(VLOOKUP('COM Veda input'!CK$3,'RES Assumptions T15'!$V$3:$W$35,2,FALSE),'COM Techs T15'!$G$3:$U$3,0))</f>
        <v>4.9000000000000004</v>
      </c>
      <c r="CL43" s="11" t="str">
        <f ca="1">OFFSET('COM Techs T15'!$AO45,0,MATCH(VLOOKUP('COM Veda input'!CL$3,'RES Assumptions T15'!$V$3:$W$35,2,FALSE),'COM Techs T15'!$G$3:$U$3,0))</f>
        <v/>
      </c>
      <c r="CM43" s="11" t="str">
        <f ca="1">OFFSET('COM Techs T15'!$AO45,0,MATCH(VLOOKUP('COM Veda input'!CM$3,'RES Assumptions T15'!$V$3:$W$35,2,FALSE),'COM Techs T15'!$G$3:$U$3,0))</f>
        <v/>
      </c>
      <c r="CN43" s="11">
        <f ca="1">OFFSET('COM Techs T15'!$AO45,0,MATCH(VLOOKUP('COM Veda input'!CN$3,'RES Assumptions T15'!$V$3:$W$35,2,FALSE),'COM Techs T15'!$G$3:$U$3,0))</f>
        <v>4.2</v>
      </c>
      <c r="CO43" s="11" t="str">
        <f ca="1">OFFSET('COM Techs T15'!$AO45,0,MATCH(VLOOKUP('COM Veda input'!CO$3,'RES Assumptions T15'!$V$3:$W$35,2,FALSE),'COM Techs T15'!$G$3:$U$3,0))</f>
        <v/>
      </c>
      <c r="CP43" s="11">
        <f ca="1">OFFSET('COM Techs T15'!$AO45,0,MATCH(VLOOKUP('COM Veda input'!CP$3,'RES Assumptions T15'!$V$3:$W$35,2,FALSE),'COM Techs T15'!$G$3:$U$3,0))</f>
        <v>5.6</v>
      </c>
      <c r="CQ43" s="11">
        <f ca="1">OFFSET('COM Techs T15'!$AO45,0,MATCH(VLOOKUP('COM Veda input'!CQ$3,'RES Assumptions T15'!$V$3:$W$35,2,FALSE),'COM Techs T15'!$G$3:$U$3,0))</f>
        <v>4.9000000000000004</v>
      </c>
      <c r="CR43" s="11" t="str">
        <f ca="1">OFFSET('COM Techs T15'!$AO45,0,MATCH(VLOOKUP('COM Veda input'!CR$3,'RES Assumptions T15'!$V$3:$W$35,2,FALSE),'COM Techs T15'!$G$3:$U$3,0))</f>
        <v/>
      </c>
      <c r="CS43" s="11" t="str">
        <f ca="1">OFFSET('COM Techs T15'!$AO45,0,MATCH(VLOOKUP('COM Veda input'!CS$3,'RES Assumptions T15'!$V$3:$W$35,2,FALSE),'COM Techs T15'!$G$3:$U$3,0))</f>
        <v/>
      </c>
      <c r="CT43" s="11">
        <f ca="1">OFFSET('COM Techs T15'!$AO45,0,MATCH(VLOOKUP('COM Veda input'!CT$3,'RES Assumptions T15'!$V$3:$W$35,2,FALSE),'COM Techs T15'!$G$3:$U$3,0))</f>
        <v>4.9000000000000004</v>
      </c>
      <c r="CU43" s="11" t="str">
        <f ca="1">OFFSET('COM Techs T15'!$AO45,0,MATCH(VLOOKUP('COM Veda input'!CU$3,'RES Assumptions T15'!$V$3:$W$35,2,FALSE),'COM Techs T15'!$G$3:$U$3,0))</f>
        <v/>
      </c>
      <c r="CV43" s="11" t="str">
        <f ca="1">OFFSET('COM Techs T15'!$AO45,0,MATCH(VLOOKUP('COM Veda input'!CV$3,'RES Assumptions T15'!$V$3:$W$35,2,FALSE),'COM Techs T15'!$G$3:$U$3,0))</f>
        <v/>
      </c>
      <c r="CW43" s="11" t="str">
        <f ca="1">OFFSET('COM Techs T15'!$AO45,0,MATCH(VLOOKUP('COM Veda input'!CW$3,'RES Assumptions T15'!$V$3:$W$35,2,FALSE),'COM Techs T15'!$G$3:$U$3,0))</f>
        <v/>
      </c>
      <c r="CX43" s="11" t="str">
        <f ca="1">OFFSET('COM Techs T15'!$AO45,0,MATCH(VLOOKUP('COM Veda input'!CX$3,'RES Assumptions T15'!$V$3:$W$35,2,FALSE),'COM Techs T15'!$G$3:$U$3,0))</f>
        <v/>
      </c>
      <c r="CZ43" s="8" t="str">
        <f t="shared" si="22"/>
        <v>CLAHID000</v>
      </c>
      <c r="DA43" s="10">
        <f ca="1">'COM Assumptions'!E120*G43/'COM Veda input'!AM43</f>
        <v>8.0391890382552003</v>
      </c>
      <c r="DB43" s="10">
        <f ca="1">'COM Assumptions'!F120*H43/'COM Veda input'!AN43</f>
        <v>4.9559975729712011</v>
      </c>
      <c r="DC43" s="10">
        <f ca="1">'COM Assumptions'!G120*I43/'COM Veda input'!AO43</f>
        <v>0</v>
      </c>
      <c r="DD43" s="10">
        <f ca="1">'COM Assumptions'!H120*J43/'COM Veda input'!AP43</f>
        <v>4.1014848478968</v>
      </c>
      <c r="DE43" s="10">
        <f ca="1">'COM Assumptions'!I120*K43/'COM Veda input'!AQ43</f>
        <v>0</v>
      </c>
      <c r="DF43" s="10">
        <f ca="1">'COM Assumptions'!J120*L43/'COM Veda input'!AR43</f>
        <v>34.283607594778083</v>
      </c>
      <c r="DG43" s="10">
        <f ca="1">'COM Assumptions'!K120*M43/'COM Veda input'!AS43</f>
        <v>9.1639471282758009</v>
      </c>
      <c r="DH43" s="10">
        <f ca="1">'COM Assumptions'!L120*N43/'COM Veda input'!AT43</f>
        <v>0</v>
      </c>
      <c r="DI43" s="10">
        <f ca="1">'COM Assumptions'!M120*O43/'COM Veda input'!AU43</f>
        <v>108.69669732065761</v>
      </c>
      <c r="DJ43" s="10">
        <f ca="1">'COM Assumptions'!N120*P43/'COM Veda input'!AV43</f>
        <v>552.62619699033598</v>
      </c>
      <c r="DK43" s="10">
        <f ca="1">'COM Assumptions'!O120*Q43/'COM Veda input'!AW43</f>
        <v>13.05008632499645</v>
      </c>
      <c r="DL43" s="10">
        <f ca="1">'COM Assumptions'!P120*R43/'COM Veda input'!AX43</f>
        <v>14.179669032715204</v>
      </c>
      <c r="DM43" s="10">
        <f ca="1">'COM Assumptions'!Q120*S43/'COM Veda input'!AY43</f>
        <v>17.261485272866018</v>
      </c>
      <c r="DN43" s="10">
        <f ca="1">'COM Assumptions'!R120*T43/'COM Veda input'!AZ43</f>
        <v>26.038079141963618</v>
      </c>
      <c r="DO43" s="10">
        <f ca="1">'COM Assumptions'!S120*U43/'COM Veda input'!BA43</f>
        <v>5.3787989751552008</v>
      </c>
      <c r="DP43" s="10">
        <f ca="1">'COM Assumptions'!T120*V43/'COM Veda input'!BB43</f>
        <v>21.480799150766597</v>
      </c>
      <c r="DQ43" s="10">
        <f ca="1">'COM Assumptions'!U120*W43/'COM Veda input'!BC43</f>
        <v>18.542245330289521</v>
      </c>
      <c r="DR43" s="10">
        <f ca="1">'COM Assumptions'!V120*X43/'COM Veda input'!BD43</f>
        <v>32.2222556777809</v>
      </c>
      <c r="DS43" s="10">
        <f ca="1">'COM Assumptions'!W120*Y43/'COM Veda input'!BE43</f>
        <v>30.657227425179268</v>
      </c>
      <c r="DT43" s="10">
        <f ca="1">'COM Assumptions'!X120*Z43/'COM Veda input'!BF43</f>
        <v>68.741260200950407</v>
      </c>
      <c r="DU43" s="10">
        <f ca="1">'COM Assumptions'!Y120*AA43/'COM Veda input'!BG43</f>
        <v>0</v>
      </c>
      <c r="DV43" s="10">
        <f ca="1">'COM Assumptions'!Z120*AB43/'COM Veda input'!BH43</f>
        <v>0.82496759576868006</v>
      </c>
      <c r="DW43" s="10">
        <f ca="1">'COM Assumptions'!AA120*AC43/'COM Veda input'!BI43</f>
        <v>21.076709791883761</v>
      </c>
      <c r="DX43" s="10">
        <f ca="1">'COM Assumptions'!AB120*AD43/'COM Veda input'!BJ43</f>
        <v>6.4997003262784334</v>
      </c>
      <c r="DY43" s="10">
        <f ca="1">'COM Assumptions'!AC120*AE43/'COM Veda input'!BK43</f>
        <v>23.113777653086405</v>
      </c>
      <c r="DZ43" s="10">
        <f ca="1">'COM Assumptions'!AD120*AF43/'COM Veda input'!BL43</f>
        <v>16.655450564445839</v>
      </c>
      <c r="EA43" s="10">
        <f ca="1">'COM Assumptions'!AE120*AG43/'COM Veda input'!BM43</f>
        <v>5.6106696866976007</v>
      </c>
      <c r="EB43" s="10">
        <f ca="1">'COM Assumptions'!AF120*AH43/'COM Veda input'!BN43</f>
        <v>21.256934161855394</v>
      </c>
      <c r="EC43" s="10">
        <f ca="1">'COM Assumptions'!AG120*AI43/'COM Veda input'!BO43</f>
        <v>326.64631062179456</v>
      </c>
      <c r="ED43" s="10">
        <f ca="1">'COM Assumptions'!AH120*AJ43/'COM Veda input'!BP43</f>
        <v>0</v>
      </c>
      <c r="EE43" s="8">
        <v>15</v>
      </c>
      <c r="EI43" s="8" t="str">
        <f t="shared" si="23"/>
        <v>CLAHID000</v>
      </c>
      <c r="EK43" t="s">
        <v>282</v>
      </c>
      <c r="EL43" t="s">
        <v>283</v>
      </c>
    </row>
    <row r="44" spans="1:142" x14ac:dyDescent="0.45">
      <c r="A44" s="37" t="str">
        <f>'COM Assumptions'!B121</f>
        <v>CLA</v>
      </c>
      <c r="B44" s="37" t="s">
        <v>208</v>
      </c>
      <c r="D44" t="s">
        <v>208</v>
      </c>
      <c r="E44" s="8" t="str">
        <f>'COM Assumptions'!A121</f>
        <v>COMELC</v>
      </c>
      <c r="F44" t="str">
        <f>VLOOKUP('COM Assumptions'!B121,'COM Assumptions'!$AP$81:$AQ$88,2,FALSE)</f>
        <v>CLA</v>
      </c>
      <c r="G44" s="11">
        <f ca="1">OFFSET('COM Techs T15'!$F46,0,MATCH(VLOOKUP('COM Veda input'!G$3,'RES Assumptions T15'!$V$3:$W$35,2,FALSE),'COM Techs T15'!$G$3:$U$3,0))</f>
        <v>1</v>
      </c>
      <c r="H44" s="11">
        <f ca="1">OFFSET('COM Techs T15'!$F46,0,MATCH(VLOOKUP('COM Veda input'!H$3,'RES Assumptions T15'!$V$3:$W$35,2,FALSE),'COM Techs T15'!$G$3:$U$3,0))</f>
        <v>1</v>
      </c>
      <c r="I44" s="11">
        <f ca="1">OFFSET('COM Techs T15'!$F46,0,MATCH(VLOOKUP('COM Veda input'!I$3,'RES Assumptions T15'!$V$3:$W$35,2,FALSE),'COM Techs T15'!$G$3:$U$3,0))</f>
        <v>1</v>
      </c>
      <c r="J44" s="11">
        <f ca="1">OFFSET('COM Techs T15'!$F46,0,MATCH(VLOOKUP('COM Veda input'!J$3,'RES Assumptions T15'!$V$3:$W$35,2,FALSE),'COM Techs T15'!$G$3:$U$3,0))</f>
        <v>1</v>
      </c>
      <c r="K44" s="11">
        <f ca="1">OFFSET('COM Techs T15'!$F46,0,MATCH(VLOOKUP('COM Veda input'!K$3,'RES Assumptions T15'!$V$3:$W$35,2,FALSE),'COM Techs T15'!$G$3:$U$3,0))</f>
        <v>1</v>
      </c>
      <c r="L44" s="11">
        <f ca="1">OFFSET('COM Techs T15'!$F46,0,MATCH(VLOOKUP('COM Veda input'!L$3,'RES Assumptions T15'!$V$3:$W$35,2,FALSE),'COM Techs T15'!$G$3:$U$3,0))</f>
        <v>1</v>
      </c>
      <c r="M44" s="11">
        <f ca="1">OFFSET('COM Techs T15'!$F46,0,MATCH(VLOOKUP('COM Veda input'!M$3,'RES Assumptions T15'!$V$3:$W$35,2,FALSE),'COM Techs T15'!$G$3:$U$3,0))</f>
        <v>1</v>
      </c>
      <c r="N44" s="11">
        <f ca="1">OFFSET('COM Techs T15'!$F46,0,MATCH(VLOOKUP('COM Veda input'!N$3,'RES Assumptions T15'!$V$3:$W$35,2,FALSE),'COM Techs T15'!$G$3:$U$3,0))</f>
        <v>1</v>
      </c>
      <c r="O44" s="11">
        <f ca="1">OFFSET('COM Techs T15'!$F46,0,MATCH(VLOOKUP('COM Veda input'!O$3,'RES Assumptions T15'!$V$3:$W$35,2,FALSE),'COM Techs T15'!$G$3:$U$3,0))</f>
        <v>1</v>
      </c>
      <c r="P44" s="11">
        <f ca="1">OFFSET('COM Techs T15'!$F46,0,MATCH(VLOOKUP('COM Veda input'!P$3,'RES Assumptions T15'!$V$3:$W$35,2,FALSE),'COM Techs T15'!$G$3:$U$3,0))</f>
        <v>1</v>
      </c>
      <c r="Q44" s="11">
        <f ca="1">OFFSET('COM Techs T15'!$F46,0,MATCH(VLOOKUP('COM Veda input'!Q$3,'RES Assumptions T15'!$V$3:$W$35,2,FALSE),'COM Techs T15'!$G$3:$U$3,0))</f>
        <v>1</v>
      </c>
      <c r="R44" s="11">
        <f ca="1">OFFSET('COM Techs T15'!$F46,0,MATCH(VLOOKUP('COM Veda input'!R$3,'RES Assumptions T15'!$V$3:$W$35,2,FALSE),'COM Techs T15'!$G$3:$U$3,0))</f>
        <v>1</v>
      </c>
      <c r="S44" s="11">
        <f ca="1">OFFSET('COM Techs T15'!$F46,0,MATCH(VLOOKUP('COM Veda input'!S$3,'RES Assumptions T15'!$V$3:$W$35,2,FALSE),'COM Techs T15'!$G$3:$U$3,0))</f>
        <v>1</v>
      </c>
      <c r="T44" s="11">
        <f ca="1">OFFSET('COM Techs T15'!$F46,0,MATCH(VLOOKUP('COM Veda input'!T$3,'RES Assumptions T15'!$V$3:$W$35,2,FALSE),'COM Techs T15'!$G$3:$U$3,0))</f>
        <v>1</v>
      </c>
      <c r="U44" s="11">
        <f ca="1">OFFSET('COM Techs T15'!$F46,0,MATCH(VLOOKUP('COM Veda input'!U$3,'RES Assumptions T15'!$V$3:$W$35,2,FALSE),'COM Techs T15'!$G$3:$U$3,0))</f>
        <v>1</v>
      </c>
      <c r="V44" s="11">
        <f ca="1">OFFSET('COM Techs T15'!$F46,0,MATCH(VLOOKUP('COM Veda input'!V$3,'RES Assumptions T15'!$V$3:$W$35,2,FALSE),'COM Techs T15'!$G$3:$U$3,0))</f>
        <v>1</v>
      </c>
      <c r="W44" s="11">
        <f ca="1">OFFSET('COM Techs T15'!$F46,0,MATCH(VLOOKUP('COM Veda input'!W$3,'RES Assumptions T15'!$V$3:$W$35,2,FALSE),'COM Techs T15'!$G$3:$U$3,0))</f>
        <v>1</v>
      </c>
      <c r="X44" s="11">
        <f ca="1">OFFSET('COM Techs T15'!$F46,0,MATCH(VLOOKUP('COM Veda input'!X$3,'RES Assumptions T15'!$V$3:$W$35,2,FALSE),'COM Techs T15'!$G$3:$U$3,0))</f>
        <v>1</v>
      </c>
      <c r="Y44" s="11">
        <f ca="1">OFFSET('COM Techs T15'!$F46,0,MATCH(VLOOKUP('COM Veda input'!Y$3,'RES Assumptions T15'!$V$3:$W$35,2,FALSE),'COM Techs T15'!$G$3:$U$3,0))</f>
        <v>1</v>
      </c>
      <c r="Z44" s="11">
        <f ca="1">OFFSET('COM Techs T15'!$F46,0,MATCH(VLOOKUP('COM Veda input'!Z$3,'RES Assumptions T15'!$V$3:$W$35,2,FALSE),'COM Techs T15'!$G$3:$U$3,0))</f>
        <v>1</v>
      </c>
      <c r="AA44" s="11">
        <f ca="1">OFFSET('COM Techs T15'!$F46,0,MATCH(VLOOKUP('COM Veda input'!AA$3,'RES Assumptions T15'!$V$3:$W$35,2,FALSE),'COM Techs T15'!$G$3:$U$3,0))</f>
        <v>1</v>
      </c>
      <c r="AB44" s="11">
        <f ca="1">OFFSET('COM Techs T15'!$F46,0,MATCH(VLOOKUP('COM Veda input'!AB$3,'RES Assumptions T15'!$V$3:$W$35,2,FALSE),'COM Techs T15'!$G$3:$U$3,0))</f>
        <v>1</v>
      </c>
      <c r="AC44" s="11">
        <f ca="1">OFFSET('COM Techs T15'!$F46,0,MATCH(VLOOKUP('COM Veda input'!AC$3,'RES Assumptions T15'!$V$3:$W$35,2,FALSE),'COM Techs T15'!$G$3:$U$3,0))</f>
        <v>1</v>
      </c>
      <c r="AD44" s="11">
        <f ca="1">OFFSET('COM Techs T15'!$F46,0,MATCH(VLOOKUP('COM Veda input'!AD$3,'RES Assumptions T15'!$V$3:$W$35,2,FALSE),'COM Techs T15'!$G$3:$U$3,0))</f>
        <v>1</v>
      </c>
      <c r="AE44" s="11">
        <f ca="1">OFFSET('COM Techs T15'!$F46,0,MATCH(VLOOKUP('COM Veda input'!AE$3,'RES Assumptions T15'!$V$3:$W$35,2,FALSE),'COM Techs T15'!$G$3:$U$3,0))</f>
        <v>1</v>
      </c>
      <c r="AF44" s="11">
        <f ca="1">OFFSET('COM Techs T15'!$F46,0,MATCH(VLOOKUP('COM Veda input'!AF$3,'RES Assumptions T15'!$V$3:$W$35,2,FALSE),'COM Techs T15'!$G$3:$U$3,0))</f>
        <v>1</v>
      </c>
      <c r="AG44" s="11">
        <f ca="1">OFFSET('COM Techs T15'!$F46,0,MATCH(VLOOKUP('COM Veda input'!AG$3,'RES Assumptions T15'!$V$3:$W$35,2,FALSE),'COM Techs T15'!$G$3:$U$3,0))</f>
        <v>1</v>
      </c>
      <c r="AH44" s="11">
        <f ca="1">OFFSET('COM Techs T15'!$F46,0,MATCH(VLOOKUP('COM Veda input'!AH$3,'RES Assumptions T15'!$V$3:$W$35,2,FALSE),'COM Techs T15'!$G$3:$U$3,0))</f>
        <v>1</v>
      </c>
      <c r="AI44" s="11">
        <f ca="1">OFFSET('COM Techs T15'!$F46,0,MATCH(VLOOKUP('COM Veda input'!AI$3,'RES Assumptions T15'!$V$3:$W$35,2,FALSE),'COM Techs T15'!$G$3:$U$3,0))</f>
        <v>1</v>
      </c>
      <c r="AJ44" s="11">
        <f ca="1">OFFSET('COM Techs T15'!$F46,0,MATCH(VLOOKUP('COM Veda input'!AJ$3,'RES Assumptions T15'!$V$3:$W$35,2,FALSE),'COM Techs T15'!$G$3:$U$3,0))</f>
        <v>1</v>
      </c>
      <c r="AL44" s="8" t="str">
        <f t="shared" si="19"/>
        <v>CLAICE000</v>
      </c>
      <c r="AM44" s="11">
        <f ca="1">OFFSET('COM Techs T15'!$W46,0,MATCH(VLOOKUP('COM Veda input'!AM$3,'RES Assumptions T15'!$V$3:$W$35,2,FALSE),'COM Techs T15'!$G$3:$U$3,0))</f>
        <v>1</v>
      </c>
      <c r="AN44" s="11">
        <f ca="1">OFFSET('COM Techs T15'!$W46,0,MATCH(VLOOKUP('COM Veda input'!AN$3,'RES Assumptions T15'!$V$3:$W$35,2,FALSE),'COM Techs T15'!$G$3:$U$3,0))</f>
        <v>1</v>
      </c>
      <c r="AO44" s="11">
        <f ca="1">OFFSET('COM Techs T15'!$W46,0,MATCH(VLOOKUP('COM Veda input'!AO$3,'RES Assumptions T15'!$V$3:$W$35,2,FALSE),'COM Techs T15'!$G$3:$U$3,0))</f>
        <v>1</v>
      </c>
      <c r="AP44" s="11">
        <f ca="1">OFFSET('COM Techs T15'!$W46,0,MATCH(VLOOKUP('COM Veda input'!AP$3,'RES Assumptions T15'!$V$3:$W$35,2,FALSE),'COM Techs T15'!$G$3:$U$3,0))</f>
        <v>1</v>
      </c>
      <c r="AQ44" s="11">
        <f ca="1">OFFSET('COM Techs T15'!$W46,0,MATCH(VLOOKUP('COM Veda input'!AQ$3,'RES Assumptions T15'!$V$3:$W$35,2,FALSE),'COM Techs T15'!$G$3:$U$3,0))</f>
        <v>1</v>
      </c>
      <c r="AR44" s="11">
        <f ca="1">OFFSET('COM Techs T15'!$W46,0,MATCH(VLOOKUP('COM Veda input'!AR$3,'RES Assumptions T15'!$V$3:$W$35,2,FALSE),'COM Techs T15'!$G$3:$U$3,0))</f>
        <v>1</v>
      </c>
      <c r="AS44" s="11">
        <f ca="1">OFFSET('COM Techs T15'!$W46,0,MATCH(VLOOKUP('COM Veda input'!AS$3,'RES Assumptions T15'!$V$3:$W$35,2,FALSE),'COM Techs T15'!$G$3:$U$3,0))</f>
        <v>1</v>
      </c>
      <c r="AT44" s="11">
        <f ca="1">OFFSET('COM Techs T15'!$W46,0,MATCH(VLOOKUP('COM Veda input'!AT$3,'RES Assumptions T15'!$V$3:$W$35,2,FALSE),'COM Techs T15'!$G$3:$U$3,0))</f>
        <v>1</v>
      </c>
      <c r="AU44" s="11">
        <f ca="1">OFFSET('COM Techs T15'!$W46,0,MATCH(VLOOKUP('COM Veda input'!AU$3,'RES Assumptions T15'!$V$3:$W$35,2,FALSE),'COM Techs T15'!$G$3:$U$3,0))</f>
        <v>1</v>
      </c>
      <c r="AV44" s="11">
        <f ca="1">OFFSET('COM Techs T15'!$W46,0,MATCH(VLOOKUP('COM Veda input'!AV$3,'RES Assumptions T15'!$V$3:$W$35,2,FALSE),'COM Techs T15'!$G$3:$U$3,0))</f>
        <v>1</v>
      </c>
      <c r="AW44" s="11">
        <f ca="1">OFFSET('COM Techs T15'!$W46,0,MATCH(VLOOKUP('COM Veda input'!AW$3,'RES Assumptions T15'!$V$3:$W$35,2,FALSE),'COM Techs T15'!$G$3:$U$3,0))</f>
        <v>1</v>
      </c>
      <c r="AX44" s="11">
        <f ca="1">OFFSET('COM Techs T15'!$W46,0,MATCH(VLOOKUP('COM Veda input'!AX$3,'RES Assumptions T15'!$V$3:$W$35,2,FALSE),'COM Techs T15'!$G$3:$U$3,0))</f>
        <v>1</v>
      </c>
      <c r="AY44" s="11">
        <f ca="1">OFFSET('COM Techs T15'!$W46,0,MATCH(VLOOKUP('COM Veda input'!AY$3,'RES Assumptions T15'!$V$3:$W$35,2,FALSE),'COM Techs T15'!$G$3:$U$3,0))</f>
        <v>1</v>
      </c>
      <c r="AZ44" s="11">
        <f ca="1">OFFSET('COM Techs T15'!$W46,0,MATCH(VLOOKUP('COM Veda input'!AZ$3,'RES Assumptions T15'!$V$3:$W$35,2,FALSE),'COM Techs T15'!$G$3:$U$3,0))</f>
        <v>1</v>
      </c>
      <c r="BA44" s="11">
        <f ca="1">OFFSET('COM Techs T15'!$W46,0,MATCH(VLOOKUP('COM Veda input'!BA$3,'RES Assumptions T15'!$V$3:$W$35,2,FALSE),'COM Techs T15'!$G$3:$U$3,0))</f>
        <v>1</v>
      </c>
      <c r="BB44" s="11">
        <f ca="1">OFFSET('COM Techs T15'!$W46,0,MATCH(VLOOKUP('COM Veda input'!BB$3,'RES Assumptions T15'!$V$3:$W$35,2,FALSE),'COM Techs T15'!$G$3:$U$3,0))</f>
        <v>1</v>
      </c>
      <c r="BC44" s="11">
        <f ca="1">OFFSET('COM Techs T15'!$W46,0,MATCH(VLOOKUP('COM Veda input'!BC$3,'RES Assumptions T15'!$V$3:$W$35,2,FALSE),'COM Techs T15'!$G$3:$U$3,0))</f>
        <v>1</v>
      </c>
      <c r="BD44" s="11">
        <f ca="1">OFFSET('COM Techs T15'!$W46,0,MATCH(VLOOKUP('COM Veda input'!BD$3,'RES Assumptions T15'!$V$3:$W$35,2,FALSE),'COM Techs T15'!$G$3:$U$3,0))</f>
        <v>1</v>
      </c>
      <c r="BE44" s="11">
        <f ca="1">OFFSET('COM Techs T15'!$W46,0,MATCH(VLOOKUP('COM Veda input'!BE$3,'RES Assumptions T15'!$V$3:$W$35,2,FALSE),'COM Techs T15'!$G$3:$U$3,0))</f>
        <v>1</v>
      </c>
      <c r="BF44" s="11">
        <f ca="1">OFFSET('COM Techs T15'!$W46,0,MATCH(VLOOKUP('COM Veda input'!BF$3,'RES Assumptions T15'!$V$3:$W$35,2,FALSE),'COM Techs T15'!$G$3:$U$3,0))</f>
        <v>1</v>
      </c>
      <c r="BG44" s="11">
        <f ca="1">OFFSET('COM Techs T15'!$W46,0,MATCH(VLOOKUP('COM Veda input'!BG$3,'RES Assumptions T15'!$V$3:$W$35,2,FALSE),'COM Techs T15'!$G$3:$U$3,0))</f>
        <v>1</v>
      </c>
      <c r="BH44" s="11">
        <f ca="1">OFFSET('COM Techs T15'!$W46,0,MATCH(VLOOKUP('COM Veda input'!BH$3,'RES Assumptions T15'!$V$3:$W$35,2,FALSE),'COM Techs T15'!$G$3:$U$3,0))</f>
        <v>1</v>
      </c>
      <c r="BI44" s="11">
        <f ca="1">OFFSET('COM Techs T15'!$W46,0,MATCH(VLOOKUP('COM Veda input'!BI$3,'RES Assumptions T15'!$V$3:$W$35,2,FALSE),'COM Techs T15'!$G$3:$U$3,0))</f>
        <v>1</v>
      </c>
      <c r="BJ44" s="11">
        <f ca="1">OFFSET('COM Techs T15'!$W46,0,MATCH(VLOOKUP('COM Veda input'!BJ$3,'RES Assumptions T15'!$V$3:$W$35,2,FALSE),'COM Techs T15'!$G$3:$U$3,0))</f>
        <v>1</v>
      </c>
      <c r="BK44" s="11">
        <f ca="1">OFFSET('COM Techs T15'!$W46,0,MATCH(VLOOKUP('COM Veda input'!BK$3,'RES Assumptions T15'!$V$3:$W$35,2,FALSE),'COM Techs T15'!$G$3:$U$3,0))</f>
        <v>1</v>
      </c>
      <c r="BL44" s="11">
        <f ca="1">OFFSET('COM Techs T15'!$W46,0,MATCH(VLOOKUP('COM Veda input'!BL$3,'RES Assumptions T15'!$V$3:$W$35,2,FALSE),'COM Techs T15'!$G$3:$U$3,0))</f>
        <v>1</v>
      </c>
      <c r="BM44" s="11">
        <f ca="1">OFFSET('COM Techs T15'!$W46,0,MATCH(VLOOKUP('COM Veda input'!BM$3,'RES Assumptions T15'!$V$3:$W$35,2,FALSE),'COM Techs T15'!$G$3:$U$3,0))</f>
        <v>1</v>
      </c>
      <c r="BN44" s="11">
        <f ca="1">OFFSET('COM Techs T15'!$W46,0,MATCH(VLOOKUP('COM Veda input'!BN$3,'RES Assumptions T15'!$V$3:$W$35,2,FALSE),'COM Techs T15'!$G$3:$U$3,0))</f>
        <v>1</v>
      </c>
      <c r="BO44" s="11">
        <f ca="1">OFFSET('COM Techs T15'!$W46,0,MATCH(VLOOKUP('COM Veda input'!BO$3,'RES Assumptions T15'!$V$3:$W$35,2,FALSE),'COM Techs T15'!$G$3:$U$3,0))</f>
        <v>1</v>
      </c>
      <c r="BP44" s="11">
        <f ca="1">OFFSET('COM Techs T15'!$W46,0,MATCH(VLOOKUP('COM Veda input'!BP$3,'RES Assumptions T15'!$V$3:$W$35,2,FALSE),'COM Techs T15'!$G$3:$U$3,0))</f>
        <v>1</v>
      </c>
      <c r="BQ44">
        <v>3</v>
      </c>
      <c r="BS44" s="8" t="str">
        <f t="shared" si="20"/>
        <v>CLAICE000</v>
      </c>
      <c r="BT44" s="11">
        <f t="shared" ca="1" si="21"/>
        <v>4.2</v>
      </c>
      <c r="BU44" s="11" t="str">
        <f ca="1">OFFSET('COM Techs T15'!$AO46,0,MATCH(VLOOKUP('COM Veda input'!BU$3,'RES Assumptions T15'!$V$3:$W$35,2,FALSE),'COM Techs T15'!$G$3:$U$3,0))</f>
        <v/>
      </c>
      <c r="BV44" s="11" t="str">
        <f ca="1">OFFSET('COM Techs T15'!$AO46,0,MATCH(VLOOKUP('COM Veda input'!BV$3,'RES Assumptions T15'!$V$3:$W$35,2,FALSE),'COM Techs T15'!$G$3:$U$3,0))</f>
        <v/>
      </c>
      <c r="BW44" s="11" t="str">
        <f ca="1">OFFSET('COM Techs T15'!$AO46,0,MATCH(VLOOKUP('COM Veda input'!BW$3,'RES Assumptions T15'!$V$3:$W$35,2,FALSE),'COM Techs T15'!$G$3:$U$3,0))</f>
        <v/>
      </c>
      <c r="BX44" s="11" t="str">
        <f ca="1">OFFSET('COM Techs T15'!$AO46,0,MATCH(VLOOKUP('COM Veda input'!BX$3,'RES Assumptions T15'!$V$3:$W$35,2,FALSE),'COM Techs T15'!$G$3:$U$3,0))</f>
        <v/>
      </c>
      <c r="BY44" s="11">
        <f ca="1">OFFSET('COM Techs T15'!$AO46,0,MATCH(VLOOKUP('COM Veda input'!BY$3,'RES Assumptions T15'!$V$3:$W$35,2,FALSE),'COM Techs T15'!$G$3:$U$3,0))</f>
        <v>7</v>
      </c>
      <c r="BZ44" s="11">
        <f ca="1">OFFSET('COM Techs T15'!$AO46,0,MATCH(VLOOKUP('COM Veda input'!BZ$3,'RES Assumptions T15'!$V$3:$W$35,2,FALSE),'COM Techs T15'!$G$3:$U$3,0))</f>
        <v>4.2</v>
      </c>
      <c r="CA44" s="11" t="str">
        <f ca="1">OFFSET('COM Techs T15'!$AO46,0,MATCH(VLOOKUP('COM Veda input'!CA$3,'RES Assumptions T15'!$V$3:$W$35,2,FALSE),'COM Techs T15'!$G$3:$U$3,0))</f>
        <v/>
      </c>
      <c r="CB44" s="11" t="str">
        <f ca="1">OFFSET('COM Techs T15'!$AO46,0,MATCH(VLOOKUP('COM Veda input'!CB$3,'RES Assumptions T15'!$V$3:$W$35,2,FALSE),'COM Techs T15'!$G$3:$U$3,0))</f>
        <v/>
      </c>
      <c r="CC44" s="11" t="str">
        <f ca="1">OFFSET('COM Techs T15'!$AO46,0,MATCH(VLOOKUP('COM Veda input'!CC$3,'RES Assumptions T15'!$V$3:$W$35,2,FALSE),'COM Techs T15'!$G$3:$U$3,0))</f>
        <v/>
      </c>
      <c r="CD44" s="11">
        <f ca="1">OFFSET('COM Techs T15'!$AO46,0,MATCH(VLOOKUP('COM Veda input'!CD$3,'RES Assumptions T15'!$V$3:$W$35,2,FALSE),'COM Techs T15'!$G$3:$U$3,0))</f>
        <v>4.2</v>
      </c>
      <c r="CE44" s="11" t="str">
        <f ca="1">OFFSET('COM Techs T15'!$AO46,0,MATCH(VLOOKUP('COM Veda input'!CE$3,'RES Assumptions T15'!$V$3:$W$35,2,FALSE),'COM Techs T15'!$G$3:$U$3,0))</f>
        <v/>
      </c>
      <c r="CF44" s="11" t="str">
        <f ca="1">OFFSET('COM Techs T15'!$AO46,0,MATCH(VLOOKUP('COM Veda input'!CF$3,'RES Assumptions T15'!$V$3:$W$35,2,FALSE),'COM Techs T15'!$G$3:$U$3,0))</f>
        <v/>
      </c>
      <c r="CG44" s="11" t="str">
        <f ca="1">OFFSET('COM Techs T15'!$AO46,0,MATCH(VLOOKUP('COM Veda input'!CG$3,'RES Assumptions T15'!$V$3:$W$35,2,FALSE),'COM Techs T15'!$G$3:$U$3,0))</f>
        <v/>
      </c>
      <c r="CH44" s="11" t="str">
        <f ca="1">OFFSET('COM Techs T15'!$AO46,0,MATCH(VLOOKUP('COM Veda input'!CH$3,'RES Assumptions T15'!$V$3:$W$35,2,FALSE),'COM Techs T15'!$G$3:$U$3,0))</f>
        <v/>
      </c>
      <c r="CI44" s="11" t="str">
        <f ca="1">OFFSET('COM Techs T15'!$AO46,0,MATCH(VLOOKUP('COM Veda input'!CI$3,'RES Assumptions T15'!$V$3:$W$35,2,FALSE),'COM Techs T15'!$G$3:$U$3,0))</f>
        <v/>
      </c>
      <c r="CJ44" s="11" t="str">
        <f ca="1">OFFSET('COM Techs T15'!$AO46,0,MATCH(VLOOKUP('COM Veda input'!CJ$3,'RES Assumptions T15'!$V$3:$W$35,2,FALSE),'COM Techs T15'!$G$3:$U$3,0))</f>
        <v/>
      </c>
      <c r="CK44" s="11">
        <f ca="1">OFFSET('COM Techs T15'!$AO46,0,MATCH(VLOOKUP('COM Veda input'!CK$3,'RES Assumptions T15'!$V$3:$W$35,2,FALSE),'COM Techs T15'!$G$3:$U$3,0))</f>
        <v>4.9000000000000004</v>
      </c>
      <c r="CL44" s="11" t="str">
        <f ca="1">OFFSET('COM Techs T15'!$AO46,0,MATCH(VLOOKUP('COM Veda input'!CL$3,'RES Assumptions T15'!$V$3:$W$35,2,FALSE),'COM Techs T15'!$G$3:$U$3,0))</f>
        <v/>
      </c>
      <c r="CM44" s="11" t="str">
        <f ca="1">OFFSET('COM Techs T15'!$AO46,0,MATCH(VLOOKUP('COM Veda input'!CM$3,'RES Assumptions T15'!$V$3:$W$35,2,FALSE),'COM Techs T15'!$G$3:$U$3,0))</f>
        <v/>
      </c>
      <c r="CN44" s="11">
        <f ca="1">OFFSET('COM Techs T15'!$AO46,0,MATCH(VLOOKUP('COM Veda input'!CN$3,'RES Assumptions T15'!$V$3:$W$35,2,FALSE),'COM Techs T15'!$G$3:$U$3,0))</f>
        <v>4.2</v>
      </c>
      <c r="CO44" s="11" t="str">
        <f ca="1">OFFSET('COM Techs T15'!$AO46,0,MATCH(VLOOKUP('COM Veda input'!CO$3,'RES Assumptions T15'!$V$3:$W$35,2,FALSE),'COM Techs T15'!$G$3:$U$3,0))</f>
        <v/>
      </c>
      <c r="CP44" s="11">
        <f ca="1">OFFSET('COM Techs T15'!$AO46,0,MATCH(VLOOKUP('COM Veda input'!CP$3,'RES Assumptions T15'!$V$3:$W$35,2,FALSE),'COM Techs T15'!$G$3:$U$3,0))</f>
        <v>5.6</v>
      </c>
      <c r="CQ44" s="11">
        <f ca="1">OFFSET('COM Techs T15'!$AO46,0,MATCH(VLOOKUP('COM Veda input'!CQ$3,'RES Assumptions T15'!$V$3:$W$35,2,FALSE),'COM Techs T15'!$G$3:$U$3,0))</f>
        <v>4.9000000000000004</v>
      </c>
      <c r="CR44" s="11" t="str">
        <f ca="1">OFFSET('COM Techs T15'!$AO46,0,MATCH(VLOOKUP('COM Veda input'!CR$3,'RES Assumptions T15'!$V$3:$W$35,2,FALSE),'COM Techs T15'!$G$3:$U$3,0))</f>
        <v/>
      </c>
      <c r="CS44" s="11" t="str">
        <f ca="1">OFFSET('COM Techs T15'!$AO46,0,MATCH(VLOOKUP('COM Veda input'!CS$3,'RES Assumptions T15'!$V$3:$W$35,2,FALSE),'COM Techs T15'!$G$3:$U$3,0))</f>
        <v/>
      </c>
      <c r="CT44" s="11">
        <f ca="1">OFFSET('COM Techs T15'!$AO46,0,MATCH(VLOOKUP('COM Veda input'!CT$3,'RES Assumptions T15'!$V$3:$W$35,2,FALSE),'COM Techs T15'!$G$3:$U$3,0))</f>
        <v>4.9000000000000004</v>
      </c>
      <c r="CU44" s="11" t="str">
        <f ca="1">OFFSET('COM Techs T15'!$AO46,0,MATCH(VLOOKUP('COM Veda input'!CU$3,'RES Assumptions T15'!$V$3:$W$35,2,FALSE),'COM Techs T15'!$G$3:$U$3,0))</f>
        <v/>
      </c>
      <c r="CV44" s="11" t="str">
        <f ca="1">OFFSET('COM Techs T15'!$AO46,0,MATCH(VLOOKUP('COM Veda input'!CV$3,'RES Assumptions T15'!$V$3:$W$35,2,FALSE),'COM Techs T15'!$G$3:$U$3,0))</f>
        <v/>
      </c>
      <c r="CW44" s="11" t="str">
        <f ca="1">OFFSET('COM Techs T15'!$AO46,0,MATCH(VLOOKUP('COM Veda input'!CW$3,'RES Assumptions T15'!$V$3:$W$35,2,FALSE),'COM Techs T15'!$G$3:$U$3,0))</f>
        <v/>
      </c>
      <c r="CX44" s="11" t="str">
        <f ca="1">OFFSET('COM Techs T15'!$AO46,0,MATCH(VLOOKUP('COM Veda input'!CX$3,'RES Assumptions T15'!$V$3:$W$35,2,FALSE),'COM Techs T15'!$G$3:$U$3,0))</f>
        <v/>
      </c>
      <c r="CZ44" s="8" t="str">
        <f t="shared" si="22"/>
        <v>CLAICE000</v>
      </c>
      <c r="DA44" s="10">
        <f ca="1">'COM Assumptions'!E121*G44/'COM Veda input'!AM44</f>
        <v>22.969111537871999</v>
      </c>
      <c r="DB44" s="10">
        <f ca="1">'COM Assumptions'!F121*H44/'COM Veda input'!AN44</f>
        <v>14.159993065631999</v>
      </c>
      <c r="DC44" s="10">
        <f ca="1">'COM Assumptions'!G121*I44/'COM Veda input'!AO44</f>
        <v>3.2821260321780006</v>
      </c>
      <c r="DD44" s="10">
        <f ca="1">'COM Assumptions'!H121*J44/'COM Veda input'!AP44</f>
        <v>11.718528136848001</v>
      </c>
      <c r="DE44" s="10">
        <f ca="1">'COM Assumptions'!I121*K44/'COM Veda input'!AQ44</f>
        <v>186.00663042282963</v>
      </c>
      <c r="DF44" s="10">
        <f ca="1">'COM Assumptions'!J121*L44/'COM Veda input'!AR44</f>
        <v>244.88291139127199</v>
      </c>
      <c r="DG44" s="10">
        <f ca="1">'COM Assumptions'!K121*M44/'COM Veda input'!AS44</f>
        <v>17.455137387192</v>
      </c>
      <c r="DH44" s="10">
        <f ca="1">'COM Assumptions'!L121*N44/'COM Veda input'!AT44</f>
        <v>10.662790091688001</v>
      </c>
      <c r="DI44" s="10">
        <f ca="1">'COM Assumptions'!M121*O44/'COM Veda input'!AU44</f>
        <v>41.408265645964804</v>
      </c>
      <c r="DJ44" s="10">
        <f ca="1">'COM Assumptions'!N121*P44/'COM Veda input'!AV44</f>
        <v>534.73163442112514</v>
      </c>
      <c r="DK44" s="10">
        <f ca="1">'COM Assumptions'!O121*Q44/'COM Veda input'!AW44</f>
        <v>3.8839542633918001</v>
      </c>
      <c r="DL44" s="10">
        <f ca="1">'COM Assumptions'!P121*R44/'COM Veda input'!AX44</f>
        <v>40.513340093472003</v>
      </c>
      <c r="DM44" s="10">
        <f ca="1">'COM Assumptions'!Q121*S44/'COM Veda input'!AY44</f>
        <v>5.1373468074006006</v>
      </c>
      <c r="DN44" s="10">
        <f ca="1">'COM Assumptions'!R121*T44/'COM Veda input'!AZ44</f>
        <v>7.7494283160606008</v>
      </c>
      <c r="DO44" s="10">
        <f ca="1">'COM Assumptions'!S121*U44/'COM Veda input'!BA44</f>
        <v>15.367997071872001</v>
      </c>
      <c r="DP44" s="10">
        <f ca="1">'COM Assumptions'!T121*V44/'COM Veda input'!BB44</f>
        <v>6.3930949853472008</v>
      </c>
      <c r="DQ44" s="10">
        <f ca="1">'COM Assumptions'!U121*W44/'COM Veda input'!BC44</f>
        <v>52.977843800827202</v>
      </c>
      <c r="DR44" s="10">
        <f ca="1">'COM Assumptions'!V121*X44/'COM Veda input'!BD44</f>
        <v>9.5899570469586006</v>
      </c>
      <c r="DS44" s="10">
        <f ca="1">'COM Assumptions'!W121*Y44/'COM Veda input'!BE44</f>
        <v>9.1241748289224009</v>
      </c>
      <c r="DT44" s="10">
        <f ca="1">'COM Assumptions'!X121*Z44/'COM Veda input'!BF44</f>
        <v>40.91741678628</v>
      </c>
      <c r="DU44" s="10">
        <f ca="1">'COM Assumptions'!Y121*AA44/'COM Veda input'!BG44</f>
        <v>6.7552035927012</v>
      </c>
      <c r="DV44" s="10">
        <f ca="1">'COM Assumptions'!Z121*AB44/'COM Veda input'!BH44</f>
        <v>9.8210428067700004</v>
      </c>
      <c r="DW44" s="10">
        <f ca="1">'COM Assumptions'!AA121*AC44/'COM Veda input'!BI44</f>
        <v>60.219170833953598</v>
      </c>
      <c r="DX44" s="10">
        <f ca="1">'COM Assumptions'!AB121*AD44/'COM Veda input'!BJ44</f>
        <v>1.9344346209162002</v>
      </c>
      <c r="DY44" s="10">
        <f ca="1">'COM Assumptions'!AC121*AE44/'COM Veda input'!BK44</f>
        <v>66.039364723104001</v>
      </c>
      <c r="DZ44" s="10">
        <f ca="1">'COM Assumptions'!AD121*AF44/'COM Veda input'!BL44</f>
        <v>47.587001612702394</v>
      </c>
      <c r="EA44" s="10">
        <f ca="1">'COM Assumptions'!AE121*AG44/'COM Veda input'!BM44</f>
        <v>16.030484819135999</v>
      </c>
      <c r="EB44" s="10">
        <f ca="1">'COM Assumptions'!AF121*AH44/'COM Veda input'!BN44</f>
        <v>6.3264685005522008</v>
      </c>
      <c r="EC44" s="10">
        <f ca="1">'COM Assumptions'!AG121*AI44/'COM Veda input'!BO44</f>
        <v>97.216163875534107</v>
      </c>
      <c r="ED44" s="10">
        <f ca="1">'COM Assumptions'!AH121*AJ44/'COM Veda input'!BP44</f>
        <v>0</v>
      </c>
      <c r="EE44" s="8">
        <v>15</v>
      </c>
      <c r="EI44" s="8" t="str">
        <f t="shared" si="23"/>
        <v>CLAICE000</v>
      </c>
      <c r="EK44" t="s">
        <v>282</v>
      </c>
      <c r="EL44" t="s">
        <v>283</v>
      </c>
    </row>
    <row r="45" spans="1:142" x14ac:dyDescent="0.45">
      <c r="A45" s="37" t="str">
        <f>'COM Assumptions'!B122</f>
        <v>CLA</v>
      </c>
      <c r="B45" s="37" t="s">
        <v>246</v>
      </c>
      <c r="D45" t="s">
        <v>246</v>
      </c>
      <c r="E45" s="8" t="str">
        <f>'COM Assumptions'!A122</f>
        <v>COMKER</v>
      </c>
      <c r="F45" t="str">
        <f>VLOOKUP('COM Assumptions'!B122,'COM Assumptions'!$AP$81:$AQ$88,2,FALSE)</f>
        <v>CLA</v>
      </c>
      <c r="G45" s="11">
        <f ca="1">OFFSET('COM Techs T15'!$F47,0,MATCH(VLOOKUP('COM Veda input'!G$3,'RES Assumptions T15'!$V$3:$W$35,2,FALSE),'COM Techs T15'!$G$3:$U$3,0))</f>
        <v>0.2</v>
      </c>
      <c r="H45" s="11">
        <f ca="1">OFFSET('COM Techs T15'!$F47,0,MATCH(VLOOKUP('COM Veda input'!H$3,'RES Assumptions T15'!$V$3:$W$35,2,FALSE),'COM Techs T15'!$G$3:$U$3,0))</f>
        <v>0.2</v>
      </c>
      <c r="I45" s="11">
        <f ca="1">OFFSET('COM Techs T15'!$F47,0,MATCH(VLOOKUP('COM Veda input'!I$3,'RES Assumptions T15'!$V$3:$W$35,2,FALSE),'COM Techs T15'!$G$3:$U$3,0))</f>
        <v>0.2</v>
      </c>
      <c r="J45" s="11">
        <f ca="1">OFFSET('COM Techs T15'!$F47,0,MATCH(VLOOKUP('COM Veda input'!J$3,'RES Assumptions T15'!$V$3:$W$35,2,FALSE),'COM Techs T15'!$G$3:$U$3,0))</f>
        <v>0.2</v>
      </c>
      <c r="K45" s="11">
        <f ca="1">OFFSET('COM Techs T15'!$F47,0,MATCH(VLOOKUP('COM Veda input'!K$3,'RES Assumptions T15'!$V$3:$W$35,2,FALSE),'COM Techs T15'!$G$3:$U$3,0))</f>
        <v>0.2</v>
      </c>
      <c r="L45" s="11">
        <f ca="1">OFFSET('COM Techs T15'!$F47,0,MATCH(VLOOKUP('COM Veda input'!L$3,'RES Assumptions T15'!$V$3:$W$35,2,FALSE),'COM Techs T15'!$G$3:$U$3,0))</f>
        <v>0.2</v>
      </c>
      <c r="M45" s="11">
        <f ca="1">OFFSET('COM Techs T15'!$F47,0,MATCH(VLOOKUP('COM Veda input'!M$3,'RES Assumptions T15'!$V$3:$W$35,2,FALSE),'COM Techs T15'!$G$3:$U$3,0))</f>
        <v>0.2</v>
      </c>
      <c r="N45" s="11">
        <f ca="1">OFFSET('COM Techs T15'!$F47,0,MATCH(VLOOKUP('COM Veda input'!N$3,'RES Assumptions T15'!$V$3:$W$35,2,FALSE),'COM Techs T15'!$G$3:$U$3,0))</f>
        <v>0.2</v>
      </c>
      <c r="O45" s="11">
        <f ca="1">OFFSET('COM Techs T15'!$F47,0,MATCH(VLOOKUP('COM Veda input'!O$3,'RES Assumptions T15'!$V$3:$W$35,2,FALSE),'COM Techs T15'!$G$3:$U$3,0))</f>
        <v>0.2</v>
      </c>
      <c r="P45" s="11">
        <f ca="1">OFFSET('COM Techs T15'!$F47,0,MATCH(VLOOKUP('COM Veda input'!P$3,'RES Assumptions T15'!$V$3:$W$35,2,FALSE),'COM Techs T15'!$G$3:$U$3,0))</f>
        <v>0.2</v>
      </c>
      <c r="Q45" s="11">
        <f ca="1">OFFSET('COM Techs T15'!$F47,0,MATCH(VLOOKUP('COM Veda input'!Q$3,'RES Assumptions T15'!$V$3:$W$35,2,FALSE),'COM Techs T15'!$G$3:$U$3,0))</f>
        <v>0.2</v>
      </c>
      <c r="R45" s="11">
        <f ca="1">OFFSET('COM Techs T15'!$F47,0,MATCH(VLOOKUP('COM Veda input'!R$3,'RES Assumptions T15'!$V$3:$W$35,2,FALSE),'COM Techs T15'!$G$3:$U$3,0))</f>
        <v>0.2</v>
      </c>
      <c r="S45" s="11">
        <f ca="1">OFFSET('COM Techs T15'!$F47,0,MATCH(VLOOKUP('COM Veda input'!S$3,'RES Assumptions T15'!$V$3:$W$35,2,FALSE),'COM Techs T15'!$G$3:$U$3,0))</f>
        <v>0.2</v>
      </c>
      <c r="T45" s="11">
        <f ca="1">OFFSET('COM Techs T15'!$F47,0,MATCH(VLOOKUP('COM Veda input'!T$3,'RES Assumptions T15'!$V$3:$W$35,2,FALSE),'COM Techs T15'!$G$3:$U$3,0))</f>
        <v>0.2</v>
      </c>
      <c r="U45" s="11">
        <f ca="1">OFFSET('COM Techs T15'!$F47,0,MATCH(VLOOKUP('COM Veda input'!U$3,'RES Assumptions T15'!$V$3:$W$35,2,FALSE),'COM Techs T15'!$G$3:$U$3,0))</f>
        <v>0.2</v>
      </c>
      <c r="V45" s="11">
        <f ca="1">OFFSET('COM Techs T15'!$F47,0,MATCH(VLOOKUP('COM Veda input'!V$3,'RES Assumptions T15'!$V$3:$W$35,2,FALSE),'COM Techs T15'!$G$3:$U$3,0))</f>
        <v>0.2</v>
      </c>
      <c r="W45" s="11">
        <f ca="1">OFFSET('COM Techs T15'!$F47,0,MATCH(VLOOKUP('COM Veda input'!W$3,'RES Assumptions T15'!$V$3:$W$35,2,FALSE),'COM Techs T15'!$G$3:$U$3,0))</f>
        <v>0.2</v>
      </c>
      <c r="X45" s="11">
        <f ca="1">OFFSET('COM Techs T15'!$F47,0,MATCH(VLOOKUP('COM Veda input'!X$3,'RES Assumptions T15'!$V$3:$W$35,2,FALSE),'COM Techs T15'!$G$3:$U$3,0))</f>
        <v>0.2</v>
      </c>
      <c r="Y45" s="11">
        <f ca="1">OFFSET('COM Techs T15'!$F47,0,MATCH(VLOOKUP('COM Veda input'!Y$3,'RES Assumptions T15'!$V$3:$W$35,2,FALSE),'COM Techs T15'!$G$3:$U$3,0))</f>
        <v>0.2</v>
      </c>
      <c r="Z45" s="11">
        <f ca="1">OFFSET('COM Techs T15'!$F47,0,MATCH(VLOOKUP('COM Veda input'!Z$3,'RES Assumptions T15'!$V$3:$W$35,2,FALSE),'COM Techs T15'!$G$3:$U$3,0))</f>
        <v>0.2</v>
      </c>
      <c r="AA45" s="11">
        <f ca="1">OFFSET('COM Techs T15'!$F47,0,MATCH(VLOOKUP('COM Veda input'!AA$3,'RES Assumptions T15'!$V$3:$W$35,2,FALSE),'COM Techs T15'!$G$3:$U$3,0))</f>
        <v>0.2</v>
      </c>
      <c r="AB45" s="11">
        <f ca="1">OFFSET('COM Techs T15'!$F47,0,MATCH(VLOOKUP('COM Veda input'!AB$3,'RES Assumptions T15'!$V$3:$W$35,2,FALSE),'COM Techs T15'!$G$3:$U$3,0))</f>
        <v>0.2</v>
      </c>
      <c r="AC45" s="11">
        <f ca="1">OFFSET('COM Techs T15'!$F47,0,MATCH(VLOOKUP('COM Veda input'!AC$3,'RES Assumptions T15'!$V$3:$W$35,2,FALSE),'COM Techs T15'!$G$3:$U$3,0))</f>
        <v>0.2</v>
      </c>
      <c r="AD45" s="11">
        <f ca="1">OFFSET('COM Techs T15'!$F47,0,MATCH(VLOOKUP('COM Veda input'!AD$3,'RES Assumptions T15'!$V$3:$W$35,2,FALSE),'COM Techs T15'!$G$3:$U$3,0))</f>
        <v>0.2</v>
      </c>
      <c r="AE45" s="11">
        <f ca="1">OFFSET('COM Techs T15'!$F47,0,MATCH(VLOOKUP('COM Veda input'!AE$3,'RES Assumptions T15'!$V$3:$W$35,2,FALSE),'COM Techs T15'!$G$3:$U$3,0))</f>
        <v>0.2</v>
      </c>
      <c r="AF45" s="11">
        <f ca="1">OFFSET('COM Techs T15'!$F47,0,MATCH(VLOOKUP('COM Veda input'!AF$3,'RES Assumptions T15'!$V$3:$W$35,2,FALSE),'COM Techs T15'!$G$3:$U$3,0))</f>
        <v>0.2</v>
      </c>
      <c r="AG45" s="11">
        <f ca="1">OFFSET('COM Techs T15'!$F47,0,MATCH(VLOOKUP('COM Veda input'!AG$3,'RES Assumptions T15'!$V$3:$W$35,2,FALSE),'COM Techs T15'!$G$3:$U$3,0))</f>
        <v>0.2</v>
      </c>
      <c r="AH45" s="11">
        <f ca="1">OFFSET('COM Techs T15'!$F47,0,MATCH(VLOOKUP('COM Veda input'!AH$3,'RES Assumptions T15'!$V$3:$W$35,2,FALSE),'COM Techs T15'!$G$3:$U$3,0))</f>
        <v>0.2</v>
      </c>
      <c r="AI45" s="11">
        <f ca="1">OFFSET('COM Techs T15'!$F47,0,MATCH(VLOOKUP('COM Veda input'!AI$3,'RES Assumptions T15'!$V$3:$W$35,2,FALSE),'COM Techs T15'!$G$3:$U$3,0))</f>
        <v>0.2</v>
      </c>
      <c r="AJ45" s="11">
        <f ca="1">OFFSET('COM Techs T15'!$F47,0,MATCH(VLOOKUP('COM Veda input'!AJ$3,'RES Assumptions T15'!$V$3:$W$35,2,FALSE),'COM Techs T15'!$G$3:$U$3,0))</f>
        <v>0.2</v>
      </c>
      <c r="AL45" s="8" t="str">
        <f t="shared" si="19"/>
        <v>CLAKER000</v>
      </c>
      <c r="AM45" s="11">
        <f ca="1">OFFSET('COM Techs T15'!$W47,0,MATCH(VLOOKUP('COM Veda input'!AM$3,'RES Assumptions T15'!$V$3:$W$35,2,FALSE),'COM Techs T15'!$G$3:$U$3,0))</f>
        <v>1</v>
      </c>
      <c r="AN45" s="11">
        <f ca="1">OFFSET('COM Techs T15'!$W47,0,MATCH(VLOOKUP('COM Veda input'!AN$3,'RES Assumptions T15'!$V$3:$W$35,2,FALSE),'COM Techs T15'!$G$3:$U$3,0))</f>
        <v>1</v>
      </c>
      <c r="AO45" s="11">
        <f ca="1">OFFSET('COM Techs T15'!$W47,0,MATCH(VLOOKUP('COM Veda input'!AO$3,'RES Assumptions T15'!$V$3:$W$35,2,FALSE),'COM Techs T15'!$G$3:$U$3,0))</f>
        <v>1</v>
      </c>
      <c r="AP45" s="11">
        <f ca="1">OFFSET('COM Techs T15'!$W47,0,MATCH(VLOOKUP('COM Veda input'!AP$3,'RES Assumptions T15'!$V$3:$W$35,2,FALSE),'COM Techs T15'!$G$3:$U$3,0))</f>
        <v>1</v>
      </c>
      <c r="AQ45" s="11">
        <f ca="1">OFFSET('COM Techs T15'!$W47,0,MATCH(VLOOKUP('COM Veda input'!AQ$3,'RES Assumptions T15'!$V$3:$W$35,2,FALSE),'COM Techs T15'!$G$3:$U$3,0))</f>
        <v>1</v>
      </c>
      <c r="AR45" s="11">
        <f ca="1">OFFSET('COM Techs T15'!$W47,0,MATCH(VLOOKUP('COM Veda input'!AR$3,'RES Assumptions T15'!$V$3:$W$35,2,FALSE),'COM Techs T15'!$G$3:$U$3,0))</f>
        <v>1</v>
      </c>
      <c r="AS45" s="11">
        <f ca="1">OFFSET('COM Techs T15'!$W47,0,MATCH(VLOOKUP('COM Veda input'!AS$3,'RES Assumptions T15'!$V$3:$W$35,2,FALSE),'COM Techs T15'!$G$3:$U$3,0))</f>
        <v>1</v>
      </c>
      <c r="AT45" s="11">
        <f ca="1">OFFSET('COM Techs T15'!$W47,0,MATCH(VLOOKUP('COM Veda input'!AT$3,'RES Assumptions T15'!$V$3:$W$35,2,FALSE),'COM Techs T15'!$G$3:$U$3,0))</f>
        <v>1</v>
      </c>
      <c r="AU45" s="11">
        <f ca="1">OFFSET('COM Techs T15'!$W47,0,MATCH(VLOOKUP('COM Veda input'!AU$3,'RES Assumptions T15'!$V$3:$W$35,2,FALSE),'COM Techs T15'!$G$3:$U$3,0))</f>
        <v>1</v>
      </c>
      <c r="AV45" s="11">
        <f ca="1">OFFSET('COM Techs T15'!$W47,0,MATCH(VLOOKUP('COM Veda input'!AV$3,'RES Assumptions T15'!$V$3:$W$35,2,FALSE),'COM Techs T15'!$G$3:$U$3,0))</f>
        <v>1</v>
      </c>
      <c r="AW45" s="11">
        <f ca="1">OFFSET('COM Techs T15'!$W47,0,MATCH(VLOOKUP('COM Veda input'!AW$3,'RES Assumptions T15'!$V$3:$W$35,2,FALSE),'COM Techs T15'!$G$3:$U$3,0))</f>
        <v>1</v>
      </c>
      <c r="AX45" s="11">
        <f ca="1">OFFSET('COM Techs T15'!$W47,0,MATCH(VLOOKUP('COM Veda input'!AX$3,'RES Assumptions T15'!$V$3:$W$35,2,FALSE),'COM Techs T15'!$G$3:$U$3,0))</f>
        <v>1</v>
      </c>
      <c r="AY45" s="11">
        <f ca="1">OFFSET('COM Techs T15'!$W47,0,MATCH(VLOOKUP('COM Veda input'!AY$3,'RES Assumptions T15'!$V$3:$W$35,2,FALSE),'COM Techs T15'!$G$3:$U$3,0))</f>
        <v>1</v>
      </c>
      <c r="AZ45" s="11">
        <f ca="1">OFFSET('COM Techs T15'!$W47,0,MATCH(VLOOKUP('COM Veda input'!AZ$3,'RES Assumptions T15'!$V$3:$W$35,2,FALSE),'COM Techs T15'!$G$3:$U$3,0))</f>
        <v>1</v>
      </c>
      <c r="BA45" s="11">
        <f ca="1">OFFSET('COM Techs T15'!$W47,0,MATCH(VLOOKUP('COM Veda input'!BA$3,'RES Assumptions T15'!$V$3:$W$35,2,FALSE),'COM Techs T15'!$G$3:$U$3,0))</f>
        <v>1</v>
      </c>
      <c r="BB45" s="11">
        <f ca="1">OFFSET('COM Techs T15'!$W47,0,MATCH(VLOOKUP('COM Veda input'!BB$3,'RES Assumptions T15'!$V$3:$W$35,2,FALSE),'COM Techs T15'!$G$3:$U$3,0))</f>
        <v>1</v>
      </c>
      <c r="BC45" s="11">
        <f ca="1">OFFSET('COM Techs T15'!$W47,0,MATCH(VLOOKUP('COM Veda input'!BC$3,'RES Assumptions T15'!$V$3:$W$35,2,FALSE),'COM Techs T15'!$G$3:$U$3,0))</f>
        <v>1</v>
      </c>
      <c r="BD45" s="11">
        <f ca="1">OFFSET('COM Techs T15'!$W47,0,MATCH(VLOOKUP('COM Veda input'!BD$3,'RES Assumptions T15'!$V$3:$W$35,2,FALSE),'COM Techs T15'!$G$3:$U$3,0))</f>
        <v>1</v>
      </c>
      <c r="BE45" s="11">
        <f ca="1">OFFSET('COM Techs T15'!$W47,0,MATCH(VLOOKUP('COM Veda input'!BE$3,'RES Assumptions T15'!$V$3:$W$35,2,FALSE),'COM Techs T15'!$G$3:$U$3,0))</f>
        <v>1</v>
      </c>
      <c r="BF45" s="11">
        <f ca="1">OFFSET('COM Techs T15'!$W47,0,MATCH(VLOOKUP('COM Veda input'!BF$3,'RES Assumptions T15'!$V$3:$W$35,2,FALSE),'COM Techs T15'!$G$3:$U$3,0))</f>
        <v>1</v>
      </c>
      <c r="BG45" s="11">
        <f ca="1">OFFSET('COM Techs T15'!$W47,0,MATCH(VLOOKUP('COM Veda input'!BG$3,'RES Assumptions T15'!$V$3:$W$35,2,FALSE),'COM Techs T15'!$G$3:$U$3,0))</f>
        <v>1</v>
      </c>
      <c r="BH45" s="11">
        <f ca="1">OFFSET('COM Techs T15'!$W47,0,MATCH(VLOOKUP('COM Veda input'!BH$3,'RES Assumptions T15'!$V$3:$W$35,2,FALSE),'COM Techs T15'!$G$3:$U$3,0))</f>
        <v>1</v>
      </c>
      <c r="BI45" s="11">
        <f ca="1">OFFSET('COM Techs T15'!$W47,0,MATCH(VLOOKUP('COM Veda input'!BI$3,'RES Assumptions T15'!$V$3:$W$35,2,FALSE),'COM Techs T15'!$G$3:$U$3,0))</f>
        <v>1</v>
      </c>
      <c r="BJ45" s="11">
        <f ca="1">OFFSET('COM Techs T15'!$W47,0,MATCH(VLOOKUP('COM Veda input'!BJ$3,'RES Assumptions T15'!$V$3:$W$35,2,FALSE),'COM Techs T15'!$G$3:$U$3,0))</f>
        <v>1</v>
      </c>
      <c r="BK45" s="11">
        <f ca="1">OFFSET('COM Techs T15'!$W47,0,MATCH(VLOOKUP('COM Veda input'!BK$3,'RES Assumptions T15'!$V$3:$W$35,2,FALSE),'COM Techs T15'!$G$3:$U$3,0))</f>
        <v>1</v>
      </c>
      <c r="BL45" s="11">
        <f ca="1">OFFSET('COM Techs T15'!$W47,0,MATCH(VLOOKUP('COM Veda input'!BL$3,'RES Assumptions T15'!$V$3:$W$35,2,FALSE),'COM Techs T15'!$G$3:$U$3,0))</f>
        <v>1</v>
      </c>
      <c r="BM45" s="11">
        <f ca="1">OFFSET('COM Techs T15'!$W47,0,MATCH(VLOOKUP('COM Veda input'!BM$3,'RES Assumptions T15'!$V$3:$W$35,2,FALSE),'COM Techs T15'!$G$3:$U$3,0))</f>
        <v>1</v>
      </c>
      <c r="BN45" s="11">
        <f ca="1">OFFSET('COM Techs T15'!$W47,0,MATCH(VLOOKUP('COM Veda input'!BN$3,'RES Assumptions T15'!$V$3:$W$35,2,FALSE),'COM Techs T15'!$G$3:$U$3,0))</f>
        <v>1</v>
      </c>
      <c r="BO45" s="11">
        <f ca="1">OFFSET('COM Techs T15'!$W47,0,MATCH(VLOOKUP('COM Veda input'!BO$3,'RES Assumptions T15'!$V$3:$W$35,2,FALSE),'COM Techs T15'!$G$3:$U$3,0))</f>
        <v>1</v>
      </c>
      <c r="BP45" s="11">
        <f ca="1">OFFSET('COM Techs T15'!$W47,0,MATCH(VLOOKUP('COM Veda input'!BP$3,'RES Assumptions T15'!$V$3:$W$35,2,FALSE),'COM Techs T15'!$G$3:$U$3,0))</f>
        <v>1</v>
      </c>
      <c r="BQ45">
        <v>3</v>
      </c>
      <c r="BS45" s="8" t="str">
        <f t="shared" si="20"/>
        <v>CLAKER000</v>
      </c>
      <c r="BT45" s="11">
        <f t="shared" ca="1" si="21"/>
        <v>0</v>
      </c>
      <c r="BU45" s="11" t="str">
        <f ca="1">OFFSET('COM Techs T15'!$AO47,0,MATCH(VLOOKUP('COM Veda input'!BU$3,'RES Assumptions T15'!$V$3:$W$35,2,FALSE),'COM Techs T15'!$G$3:$U$3,0))</f>
        <v/>
      </c>
      <c r="BV45" s="11" t="str">
        <f ca="1">OFFSET('COM Techs T15'!$AO47,0,MATCH(VLOOKUP('COM Veda input'!BV$3,'RES Assumptions T15'!$V$3:$W$35,2,FALSE),'COM Techs T15'!$G$3:$U$3,0))</f>
        <v/>
      </c>
      <c r="BW45" s="11" t="str">
        <f ca="1">OFFSET('COM Techs T15'!$AO47,0,MATCH(VLOOKUP('COM Veda input'!BW$3,'RES Assumptions T15'!$V$3:$W$35,2,FALSE),'COM Techs T15'!$G$3:$U$3,0))</f>
        <v/>
      </c>
      <c r="BX45" s="11" t="str">
        <f ca="1">OFFSET('COM Techs T15'!$AO47,0,MATCH(VLOOKUP('COM Veda input'!BX$3,'RES Assumptions T15'!$V$3:$W$35,2,FALSE),'COM Techs T15'!$G$3:$U$3,0))</f>
        <v/>
      </c>
      <c r="BY45" s="11" t="str">
        <f ca="1">OFFSET('COM Techs T15'!$AO47,0,MATCH(VLOOKUP('COM Veda input'!BY$3,'RES Assumptions T15'!$V$3:$W$35,2,FALSE),'COM Techs T15'!$G$3:$U$3,0))</f>
        <v/>
      </c>
      <c r="BZ45" s="11" t="str">
        <f ca="1">OFFSET('COM Techs T15'!$AO47,0,MATCH(VLOOKUP('COM Veda input'!BZ$3,'RES Assumptions T15'!$V$3:$W$35,2,FALSE),'COM Techs T15'!$G$3:$U$3,0))</f>
        <v/>
      </c>
      <c r="CA45" s="11" t="str">
        <f ca="1">OFFSET('COM Techs T15'!$AO47,0,MATCH(VLOOKUP('COM Veda input'!CA$3,'RES Assumptions T15'!$V$3:$W$35,2,FALSE),'COM Techs T15'!$G$3:$U$3,0))</f>
        <v/>
      </c>
      <c r="CB45" s="11" t="str">
        <f ca="1">OFFSET('COM Techs T15'!$AO47,0,MATCH(VLOOKUP('COM Veda input'!CB$3,'RES Assumptions T15'!$V$3:$W$35,2,FALSE),'COM Techs T15'!$G$3:$U$3,0))</f>
        <v/>
      </c>
      <c r="CC45" s="11" t="str">
        <f ca="1">OFFSET('COM Techs T15'!$AO47,0,MATCH(VLOOKUP('COM Veda input'!CC$3,'RES Assumptions T15'!$V$3:$W$35,2,FALSE),'COM Techs T15'!$G$3:$U$3,0))</f>
        <v/>
      </c>
      <c r="CD45" s="11" t="str">
        <f ca="1">OFFSET('COM Techs T15'!$AO47,0,MATCH(VLOOKUP('COM Veda input'!CD$3,'RES Assumptions T15'!$V$3:$W$35,2,FALSE),'COM Techs T15'!$G$3:$U$3,0))</f>
        <v/>
      </c>
      <c r="CE45" s="11" t="str">
        <f ca="1">OFFSET('COM Techs T15'!$AO47,0,MATCH(VLOOKUP('COM Veda input'!CE$3,'RES Assumptions T15'!$V$3:$W$35,2,FALSE),'COM Techs T15'!$G$3:$U$3,0))</f>
        <v/>
      </c>
      <c r="CF45" s="11" t="str">
        <f ca="1">OFFSET('COM Techs T15'!$AO47,0,MATCH(VLOOKUP('COM Veda input'!CF$3,'RES Assumptions T15'!$V$3:$W$35,2,FALSE),'COM Techs T15'!$G$3:$U$3,0))</f>
        <v/>
      </c>
      <c r="CG45" s="11" t="str">
        <f ca="1">OFFSET('COM Techs T15'!$AO47,0,MATCH(VLOOKUP('COM Veda input'!CG$3,'RES Assumptions T15'!$V$3:$W$35,2,FALSE),'COM Techs T15'!$G$3:$U$3,0))</f>
        <v/>
      </c>
      <c r="CH45" s="11" t="str">
        <f ca="1">OFFSET('COM Techs T15'!$AO47,0,MATCH(VLOOKUP('COM Veda input'!CH$3,'RES Assumptions T15'!$V$3:$W$35,2,FALSE),'COM Techs T15'!$G$3:$U$3,0))</f>
        <v/>
      </c>
      <c r="CI45" s="11" t="str">
        <f ca="1">OFFSET('COM Techs T15'!$AO47,0,MATCH(VLOOKUP('COM Veda input'!CI$3,'RES Assumptions T15'!$V$3:$W$35,2,FALSE),'COM Techs T15'!$G$3:$U$3,0))</f>
        <v/>
      </c>
      <c r="CJ45" s="11" t="str">
        <f ca="1">OFFSET('COM Techs T15'!$AO47,0,MATCH(VLOOKUP('COM Veda input'!CJ$3,'RES Assumptions T15'!$V$3:$W$35,2,FALSE),'COM Techs T15'!$G$3:$U$3,0))</f>
        <v/>
      </c>
      <c r="CK45" s="11" t="str">
        <f ca="1">OFFSET('COM Techs T15'!$AO47,0,MATCH(VLOOKUP('COM Veda input'!CK$3,'RES Assumptions T15'!$V$3:$W$35,2,FALSE),'COM Techs T15'!$G$3:$U$3,0))</f>
        <v/>
      </c>
      <c r="CL45" s="11" t="str">
        <f ca="1">OFFSET('COM Techs T15'!$AO47,0,MATCH(VLOOKUP('COM Veda input'!CL$3,'RES Assumptions T15'!$V$3:$W$35,2,FALSE),'COM Techs T15'!$G$3:$U$3,0))</f>
        <v/>
      </c>
      <c r="CM45" s="11" t="str">
        <f ca="1">OFFSET('COM Techs T15'!$AO47,0,MATCH(VLOOKUP('COM Veda input'!CM$3,'RES Assumptions T15'!$V$3:$W$35,2,FALSE),'COM Techs T15'!$G$3:$U$3,0))</f>
        <v/>
      </c>
      <c r="CN45" s="11" t="str">
        <f ca="1">OFFSET('COM Techs T15'!$AO47,0,MATCH(VLOOKUP('COM Veda input'!CN$3,'RES Assumptions T15'!$V$3:$W$35,2,FALSE),'COM Techs T15'!$G$3:$U$3,0))</f>
        <v/>
      </c>
      <c r="CO45" s="11" t="str">
        <f ca="1">OFFSET('COM Techs T15'!$AO47,0,MATCH(VLOOKUP('COM Veda input'!CO$3,'RES Assumptions T15'!$V$3:$W$35,2,FALSE),'COM Techs T15'!$G$3:$U$3,0))</f>
        <v/>
      </c>
      <c r="CP45" s="11" t="str">
        <f ca="1">OFFSET('COM Techs T15'!$AO47,0,MATCH(VLOOKUP('COM Veda input'!CP$3,'RES Assumptions T15'!$V$3:$W$35,2,FALSE),'COM Techs T15'!$G$3:$U$3,0))</f>
        <v/>
      </c>
      <c r="CQ45" s="11" t="str">
        <f ca="1">OFFSET('COM Techs T15'!$AO47,0,MATCH(VLOOKUP('COM Veda input'!CQ$3,'RES Assumptions T15'!$V$3:$W$35,2,FALSE),'COM Techs T15'!$G$3:$U$3,0))</f>
        <v/>
      </c>
      <c r="CR45" s="11" t="str">
        <f ca="1">OFFSET('COM Techs T15'!$AO47,0,MATCH(VLOOKUP('COM Veda input'!CR$3,'RES Assumptions T15'!$V$3:$W$35,2,FALSE),'COM Techs T15'!$G$3:$U$3,0))</f>
        <v/>
      </c>
      <c r="CS45" s="11" t="str">
        <f ca="1">OFFSET('COM Techs T15'!$AO47,0,MATCH(VLOOKUP('COM Veda input'!CS$3,'RES Assumptions T15'!$V$3:$W$35,2,FALSE),'COM Techs T15'!$G$3:$U$3,0))</f>
        <v/>
      </c>
      <c r="CT45" s="11" t="str">
        <f ca="1">OFFSET('COM Techs T15'!$AO47,0,MATCH(VLOOKUP('COM Veda input'!CT$3,'RES Assumptions T15'!$V$3:$W$35,2,FALSE),'COM Techs T15'!$G$3:$U$3,0))</f>
        <v/>
      </c>
      <c r="CU45" s="11" t="str">
        <f ca="1">OFFSET('COM Techs T15'!$AO47,0,MATCH(VLOOKUP('COM Veda input'!CU$3,'RES Assumptions T15'!$V$3:$W$35,2,FALSE),'COM Techs T15'!$G$3:$U$3,0))</f>
        <v/>
      </c>
      <c r="CV45" s="11" t="str">
        <f ca="1">OFFSET('COM Techs T15'!$AO47,0,MATCH(VLOOKUP('COM Veda input'!CV$3,'RES Assumptions T15'!$V$3:$W$35,2,FALSE),'COM Techs T15'!$G$3:$U$3,0))</f>
        <v/>
      </c>
      <c r="CW45" s="11" t="str">
        <f ca="1">OFFSET('COM Techs T15'!$AO47,0,MATCH(VLOOKUP('COM Veda input'!CW$3,'RES Assumptions T15'!$V$3:$W$35,2,FALSE),'COM Techs T15'!$G$3:$U$3,0))</f>
        <v/>
      </c>
      <c r="CX45" s="11" t="str">
        <f ca="1">OFFSET('COM Techs T15'!$AO47,0,MATCH(VLOOKUP('COM Veda input'!CX$3,'RES Assumptions T15'!$V$3:$W$35,2,FALSE),'COM Techs T15'!$G$3:$U$3,0))</f>
        <v/>
      </c>
      <c r="CZ45" s="8" t="str">
        <f t="shared" si="22"/>
        <v>CLAKER000</v>
      </c>
      <c r="DA45" s="10">
        <f ca="1">'COM Assumptions'!E122*G45/'COM Veda input'!AM45</f>
        <v>0</v>
      </c>
      <c r="DB45" s="10">
        <f ca="1">'COM Assumptions'!F122*H45/'COM Veda input'!AN45</f>
        <v>0.21916202346000002</v>
      </c>
      <c r="DC45" s="10">
        <f ca="1">'COM Assumptions'!G122*I45/'COM Veda input'!AO45</f>
        <v>8.5491525240000005E-3</v>
      </c>
      <c r="DD45" s="10">
        <f ca="1">'COM Assumptions'!H122*J45/'COM Veda input'!AP45</f>
        <v>8.7336648000000013E-4</v>
      </c>
      <c r="DE45" s="10">
        <f ca="1">'COM Assumptions'!I122*K45/'COM Veda input'!AQ45</f>
        <v>0</v>
      </c>
      <c r="DF45" s="10">
        <f ca="1">'COM Assumptions'!J122*L45/'COM Veda input'!AR45</f>
        <v>0.78799025923200006</v>
      </c>
      <c r="DG45" s="10">
        <f ca="1">'COM Assumptions'!K122*M45/'COM Veda input'!AS45</f>
        <v>0</v>
      </c>
      <c r="DH45" s="10">
        <f ca="1">'COM Assumptions'!L122*N45/'COM Veda input'!AT45</f>
        <v>0</v>
      </c>
      <c r="DI45" s="10">
        <f ca="1">'COM Assumptions'!M122*O45/'COM Veda input'!AU45</f>
        <v>6.1670391696000006E-2</v>
      </c>
      <c r="DJ45" s="10">
        <f ca="1">'COM Assumptions'!N122*P45/'COM Veda input'!AV45</f>
        <v>16.563791657556003</v>
      </c>
      <c r="DK45" s="10">
        <f ca="1">'COM Assumptions'!O122*Q45/'COM Veda input'!AW45</f>
        <v>0</v>
      </c>
      <c r="DL45" s="10">
        <f ca="1">'COM Assumptions'!P122*R45/'COM Veda input'!AX45</f>
        <v>2.8386504000000001E-5</v>
      </c>
      <c r="DM45" s="10">
        <f ca="1">'COM Assumptions'!Q122*S45/'COM Veda input'!AY45</f>
        <v>0</v>
      </c>
      <c r="DN45" s="10">
        <f ca="1">'COM Assumptions'!R122*T45/'COM Veda input'!AZ45</f>
        <v>0</v>
      </c>
      <c r="DO45" s="10">
        <f ca="1">'COM Assumptions'!S122*U45/'COM Veda input'!BA45</f>
        <v>2.5564600800000002E-4</v>
      </c>
      <c r="DP45" s="10">
        <f ca="1">'COM Assumptions'!T122*V45/'COM Veda input'!BB45</f>
        <v>0</v>
      </c>
      <c r="DQ45" s="10">
        <f ca="1">'COM Assumptions'!U122*W45/'COM Veda input'!BC45</f>
        <v>0</v>
      </c>
      <c r="DR45" s="10">
        <f ca="1">'COM Assumptions'!V122*X45/'COM Veda input'!BD45</f>
        <v>0</v>
      </c>
      <c r="DS45" s="10">
        <f ca="1">'COM Assumptions'!W122*Y45/'COM Veda input'!BE45</f>
        <v>0</v>
      </c>
      <c r="DT45" s="10">
        <f ca="1">'COM Assumptions'!X122*Z45/'COM Veda input'!BF45</f>
        <v>0.75773962440000009</v>
      </c>
      <c r="DU45" s="10">
        <f ca="1">'COM Assumptions'!Y122*AA45/'COM Veda input'!BG45</f>
        <v>5.7902271695999999E-2</v>
      </c>
      <c r="DV45" s="10">
        <f ca="1">'COM Assumptions'!Z122*AB45/'COM Veda input'!BH45</f>
        <v>0</v>
      </c>
      <c r="DW45" s="10">
        <f ca="1">'COM Assumptions'!AA122*AC45/'COM Veda input'!BI45</f>
        <v>0.54562000788000009</v>
      </c>
      <c r="DX45" s="10">
        <f ca="1">'COM Assumptions'!AB122*AD45/'COM Veda input'!BJ45</f>
        <v>0</v>
      </c>
      <c r="DY45" s="10">
        <f ca="1">'COM Assumptions'!AC122*AE45/'COM Veda input'!BK45</f>
        <v>0</v>
      </c>
      <c r="DZ45" s="10">
        <f ca="1">'COM Assumptions'!AD122*AF45/'COM Veda input'!BL45</f>
        <v>0</v>
      </c>
      <c r="EA45" s="10">
        <f ca="1">'COM Assumptions'!AE122*AG45/'COM Veda input'!BM45</f>
        <v>0.57637531958400001</v>
      </c>
      <c r="EB45" s="10">
        <f ca="1">'COM Assumptions'!AF122*AH45/'COM Veda input'!BN45</f>
        <v>0</v>
      </c>
      <c r="EC45" s="10">
        <f ca="1">'COM Assumptions'!AG122*AI45/'COM Veda input'!BO45</f>
        <v>0</v>
      </c>
      <c r="ED45" s="10">
        <f ca="1">'COM Assumptions'!AH122*AJ45/'COM Veda input'!BP45</f>
        <v>0</v>
      </c>
      <c r="EE45" s="8">
        <v>10</v>
      </c>
      <c r="EI45" s="8" t="str">
        <f t="shared" si="23"/>
        <v>CLAKER000</v>
      </c>
      <c r="EK45" t="s">
        <v>282</v>
      </c>
      <c r="EL45" t="s">
        <v>283</v>
      </c>
    </row>
    <row r="46" spans="1:142" x14ac:dyDescent="0.45">
      <c r="A46" s="37" t="str">
        <f>'COM Assumptions'!B123</f>
        <v>COE</v>
      </c>
      <c r="B46" s="37" t="s">
        <v>247</v>
      </c>
      <c r="D46" t="s">
        <v>247</v>
      </c>
      <c r="E46" s="8" t="str">
        <f>'COM Assumptions'!A123</f>
        <v>COMELC</v>
      </c>
      <c r="F46" t="str">
        <f>VLOOKUP('COM Assumptions'!B123,'COM Assumptions'!$AP$81:$AQ$88,2,FALSE)</f>
        <v>COE</v>
      </c>
      <c r="G46" s="11">
        <f ca="1">OFFSET('COM Techs T15'!$F48,0,MATCH(VLOOKUP('COM Veda input'!G$3,'RES Assumptions T15'!$V$3:$W$35,2,FALSE),'COM Techs T15'!$G$3:$U$3,0))</f>
        <v>1</v>
      </c>
      <c r="H46" s="11">
        <f ca="1">OFFSET('COM Techs T15'!$F48,0,MATCH(VLOOKUP('COM Veda input'!H$3,'RES Assumptions T15'!$V$3:$W$35,2,FALSE),'COM Techs T15'!$G$3:$U$3,0))</f>
        <v>1</v>
      </c>
      <c r="I46" s="11">
        <f ca="1">OFFSET('COM Techs T15'!$F48,0,MATCH(VLOOKUP('COM Veda input'!I$3,'RES Assumptions T15'!$V$3:$W$35,2,FALSE),'COM Techs T15'!$G$3:$U$3,0))</f>
        <v>1</v>
      </c>
      <c r="J46" s="11">
        <f ca="1">OFFSET('COM Techs T15'!$F48,0,MATCH(VLOOKUP('COM Veda input'!J$3,'RES Assumptions T15'!$V$3:$W$35,2,FALSE),'COM Techs T15'!$G$3:$U$3,0))</f>
        <v>1</v>
      </c>
      <c r="K46" s="11">
        <f ca="1">OFFSET('COM Techs T15'!$F48,0,MATCH(VLOOKUP('COM Veda input'!K$3,'RES Assumptions T15'!$V$3:$W$35,2,FALSE),'COM Techs T15'!$G$3:$U$3,0))</f>
        <v>1</v>
      </c>
      <c r="L46" s="11">
        <f ca="1">OFFSET('COM Techs T15'!$F48,0,MATCH(VLOOKUP('COM Veda input'!L$3,'RES Assumptions T15'!$V$3:$W$35,2,FALSE),'COM Techs T15'!$G$3:$U$3,0))</f>
        <v>1</v>
      </c>
      <c r="M46" s="11">
        <f ca="1">OFFSET('COM Techs T15'!$F48,0,MATCH(VLOOKUP('COM Veda input'!M$3,'RES Assumptions T15'!$V$3:$W$35,2,FALSE),'COM Techs T15'!$G$3:$U$3,0))</f>
        <v>1</v>
      </c>
      <c r="N46" s="11">
        <f ca="1">OFFSET('COM Techs T15'!$F48,0,MATCH(VLOOKUP('COM Veda input'!N$3,'RES Assumptions T15'!$V$3:$W$35,2,FALSE),'COM Techs T15'!$G$3:$U$3,0))</f>
        <v>1</v>
      </c>
      <c r="O46" s="11">
        <f ca="1">OFFSET('COM Techs T15'!$F48,0,MATCH(VLOOKUP('COM Veda input'!O$3,'RES Assumptions T15'!$V$3:$W$35,2,FALSE),'COM Techs T15'!$G$3:$U$3,0))</f>
        <v>1</v>
      </c>
      <c r="P46" s="11">
        <f ca="1">OFFSET('COM Techs T15'!$F48,0,MATCH(VLOOKUP('COM Veda input'!P$3,'RES Assumptions T15'!$V$3:$W$35,2,FALSE),'COM Techs T15'!$G$3:$U$3,0))</f>
        <v>1</v>
      </c>
      <c r="Q46" s="11">
        <f ca="1">OFFSET('COM Techs T15'!$F48,0,MATCH(VLOOKUP('COM Veda input'!Q$3,'RES Assumptions T15'!$V$3:$W$35,2,FALSE),'COM Techs T15'!$G$3:$U$3,0))</f>
        <v>1</v>
      </c>
      <c r="R46" s="11">
        <f ca="1">OFFSET('COM Techs T15'!$F48,0,MATCH(VLOOKUP('COM Veda input'!R$3,'RES Assumptions T15'!$V$3:$W$35,2,FALSE),'COM Techs T15'!$G$3:$U$3,0))</f>
        <v>1</v>
      </c>
      <c r="S46" s="11">
        <f ca="1">OFFSET('COM Techs T15'!$F48,0,MATCH(VLOOKUP('COM Veda input'!S$3,'RES Assumptions T15'!$V$3:$W$35,2,FALSE),'COM Techs T15'!$G$3:$U$3,0))</f>
        <v>1</v>
      </c>
      <c r="T46" s="11">
        <f ca="1">OFFSET('COM Techs T15'!$F48,0,MATCH(VLOOKUP('COM Veda input'!T$3,'RES Assumptions T15'!$V$3:$W$35,2,FALSE),'COM Techs T15'!$G$3:$U$3,0))</f>
        <v>1</v>
      </c>
      <c r="U46" s="11">
        <f ca="1">OFFSET('COM Techs T15'!$F48,0,MATCH(VLOOKUP('COM Veda input'!U$3,'RES Assumptions T15'!$V$3:$W$35,2,FALSE),'COM Techs T15'!$G$3:$U$3,0))</f>
        <v>1</v>
      </c>
      <c r="V46" s="11">
        <f ca="1">OFFSET('COM Techs T15'!$F48,0,MATCH(VLOOKUP('COM Veda input'!V$3,'RES Assumptions T15'!$V$3:$W$35,2,FALSE),'COM Techs T15'!$G$3:$U$3,0))</f>
        <v>1</v>
      </c>
      <c r="W46" s="11">
        <f ca="1">OFFSET('COM Techs T15'!$F48,0,MATCH(VLOOKUP('COM Veda input'!W$3,'RES Assumptions T15'!$V$3:$W$35,2,FALSE),'COM Techs T15'!$G$3:$U$3,0))</f>
        <v>1</v>
      </c>
      <c r="X46" s="11">
        <f ca="1">OFFSET('COM Techs T15'!$F48,0,MATCH(VLOOKUP('COM Veda input'!X$3,'RES Assumptions T15'!$V$3:$W$35,2,FALSE),'COM Techs T15'!$G$3:$U$3,0))</f>
        <v>1</v>
      </c>
      <c r="Y46" s="11">
        <f ca="1">OFFSET('COM Techs T15'!$F48,0,MATCH(VLOOKUP('COM Veda input'!Y$3,'RES Assumptions T15'!$V$3:$W$35,2,FALSE),'COM Techs T15'!$G$3:$U$3,0))</f>
        <v>1</v>
      </c>
      <c r="Z46" s="11">
        <f ca="1">OFFSET('COM Techs T15'!$F48,0,MATCH(VLOOKUP('COM Veda input'!Z$3,'RES Assumptions T15'!$V$3:$W$35,2,FALSE),'COM Techs T15'!$G$3:$U$3,0))</f>
        <v>1</v>
      </c>
      <c r="AA46" s="11">
        <f ca="1">OFFSET('COM Techs T15'!$F48,0,MATCH(VLOOKUP('COM Veda input'!AA$3,'RES Assumptions T15'!$V$3:$W$35,2,FALSE),'COM Techs T15'!$G$3:$U$3,0))</f>
        <v>1</v>
      </c>
      <c r="AB46" s="11">
        <f ca="1">OFFSET('COM Techs T15'!$F48,0,MATCH(VLOOKUP('COM Veda input'!AB$3,'RES Assumptions T15'!$V$3:$W$35,2,FALSE),'COM Techs T15'!$G$3:$U$3,0))</f>
        <v>1</v>
      </c>
      <c r="AC46" s="11">
        <f ca="1">OFFSET('COM Techs T15'!$F48,0,MATCH(VLOOKUP('COM Veda input'!AC$3,'RES Assumptions T15'!$V$3:$W$35,2,FALSE),'COM Techs T15'!$G$3:$U$3,0))</f>
        <v>1</v>
      </c>
      <c r="AD46" s="11">
        <f ca="1">OFFSET('COM Techs T15'!$F48,0,MATCH(VLOOKUP('COM Veda input'!AD$3,'RES Assumptions T15'!$V$3:$W$35,2,FALSE),'COM Techs T15'!$G$3:$U$3,0))</f>
        <v>1</v>
      </c>
      <c r="AE46" s="11">
        <f ca="1">OFFSET('COM Techs T15'!$F48,0,MATCH(VLOOKUP('COM Veda input'!AE$3,'RES Assumptions T15'!$V$3:$W$35,2,FALSE),'COM Techs T15'!$G$3:$U$3,0))</f>
        <v>1</v>
      </c>
      <c r="AF46" s="11">
        <f ca="1">OFFSET('COM Techs T15'!$F48,0,MATCH(VLOOKUP('COM Veda input'!AF$3,'RES Assumptions T15'!$V$3:$W$35,2,FALSE),'COM Techs T15'!$G$3:$U$3,0))</f>
        <v>1</v>
      </c>
      <c r="AG46" s="11">
        <f ca="1">OFFSET('COM Techs T15'!$F48,0,MATCH(VLOOKUP('COM Veda input'!AG$3,'RES Assumptions T15'!$V$3:$W$35,2,FALSE),'COM Techs T15'!$G$3:$U$3,0))</f>
        <v>1</v>
      </c>
      <c r="AH46" s="11">
        <f ca="1">OFFSET('COM Techs T15'!$F48,0,MATCH(VLOOKUP('COM Veda input'!AH$3,'RES Assumptions T15'!$V$3:$W$35,2,FALSE),'COM Techs T15'!$G$3:$U$3,0))</f>
        <v>1</v>
      </c>
      <c r="AI46" s="11">
        <f ca="1">OFFSET('COM Techs T15'!$F48,0,MATCH(VLOOKUP('COM Veda input'!AI$3,'RES Assumptions T15'!$V$3:$W$35,2,FALSE),'COM Techs T15'!$G$3:$U$3,0))</f>
        <v>1</v>
      </c>
      <c r="AJ46" s="11">
        <f ca="1">OFFSET('COM Techs T15'!$F48,0,MATCH(VLOOKUP('COM Veda input'!AJ$3,'RES Assumptions T15'!$V$3:$W$35,2,FALSE),'COM Techs T15'!$G$3:$U$3,0))</f>
        <v>1</v>
      </c>
      <c r="AL46" s="8" t="str">
        <f t="shared" si="19"/>
        <v>COEELC000</v>
      </c>
      <c r="AM46" s="11">
        <f ca="1">OFFSET('COM Techs T15'!$W48,0,MATCH(VLOOKUP('COM Veda input'!AM$3,'RES Assumptions T15'!$V$3:$W$35,2,FALSE),'COM Techs T15'!$G$3:$U$3,0))</f>
        <v>1</v>
      </c>
      <c r="AN46" s="11">
        <f ca="1">OFFSET('COM Techs T15'!$W48,0,MATCH(VLOOKUP('COM Veda input'!AN$3,'RES Assumptions T15'!$V$3:$W$35,2,FALSE),'COM Techs T15'!$G$3:$U$3,0))</f>
        <v>1</v>
      </c>
      <c r="AO46" s="11">
        <f ca="1">OFFSET('COM Techs T15'!$W48,0,MATCH(VLOOKUP('COM Veda input'!AO$3,'RES Assumptions T15'!$V$3:$W$35,2,FALSE),'COM Techs T15'!$G$3:$U$3,0))</f>
        <v>1</v>
      </c>
      <c r="AP46" s="11">
        <f ca="1">OFFSET('COM Techs T15'!$W48,0,MATCH(VLOOKUP('COM Veda input'!AP$3,'RES Assumptions T15'!$V$3:$W$35,2,FALSE),'COM Techs T15'!$G$3:$U$3,0))</f>
        <v>1</v>
      </c>
      <c r="AQ46" s="11">
        <f ca="1">OFFSET('COM Techs T15'!$W48,0,MATCH(VLOOKUP('COM Veda input'!AQ$3,'RES Assumptions T15'!$V$3:$W$35,2,FALSE),'COM Techs T15'!$G$3:$U$3,0))</f>
        <v>1</v>
      </c>
      <c r="AR46" s="11">
        <f ca="1">OFFSET('COM Techs T15'!$W48,0,MATCH(VLOOKUP('COM Veda input'!AR$3,'RES Assumptions T15'!$V$3:$W$35,2,FALSE),'COM Techs T15'!$G$3:$U$3,0))</f>
        <v>1</v>
      </c>
      <c r="AS46" s="11">
        <f ca="1">OFFSET('COM Techs T15'!$W48,0,MATCH(VLOOKUP('COM Veda input'!AS$3,'RES Assumptions T15'!$V$3:$W$35,2,FALSE),'COM Techs T15'!$G$3:$U$3,0))</f>
        <v>1</v>
      </c>
      <c r="AT46" s="11">
        <f ca="1">OFFSET('COM Techs T15'!$W48,0,MATCH(VLOOKUP('COM Veda input'!AT$3,'RES Assumptions T15'!$V$3:$W$35,2,FALSE),'COM Techs T15'!$G$3:$U$3,0))</f>
        <v>1</v>
      </c>
      <c r="AU46" s="11">
        <f ca="1">OFFSET('COM Techs T15'!$W48,0,MATCH(VLOOKUP('COM Veda input'!AU$3,'RES Assumptions T15'!$V$3:$W$35,2,FALSE),'COM Techs T15'!$G$3:$U$3,0))</f>
        <v>1</v>
      </c>
      <c r="AV46" s="11">
        <f ca="1">OFFSET('COM Techs T15'!$W48,0,MATCH(VLOOKUP('COM Veda input'!AV$3,'RES Assumptions T15'!$V$3:$W$35,2,FALSE),'COM Techs T15'!$G$3:$U$3,0))</f>
        <v>1</v>
      </c>
      <c r="AW46" s="11">
        <f ca="1">OFFSET('COM Techs T15'!$W48,0,MATCH(VLOOKUP('COM Veda input'!AW$3,'RES Assumptions T15'!$V$3:$W$35,2,FALSE),'COM Techs T15'!$G$3:$U$3,0))</f>
        <v>1</v>
      </c>
      <c r="AX46" s="11">
        <f ca="1">OFFSET('COM Techs T15'!$W48,0,MATCH(VLOOKUP('COM Veda input'!AX$3,'RES Assumptions T15'!$V$3:$W$35,2,FALSE),'COM Techs T15'!$G$3:$U$3,0))</f>
        <v>1</v>
      </c>
      <c r="AY46" s="11">
        <f ca="1">OFFSET('COM Techs T15'!$W48,0,MATCH(VLOOKUP('COM Veda input'!AY$3,'RES Assumptions T15'!$V$3:$W$35,2,FALSE),'COM Techs T15'!$G$3:$U$3,0))</f>
        <v>1</v>
      </c>
      <c r="AZ46" s="11">
        <f ca="1">OFFSET('COM Techs T15'!$W48,0,MATCH(VLOOKUP('COM Veda input'!AZ$3,'RES Assumptions T15'!$V$3:$W$35,2,FALSE),'COM Techs T15'!$G$3:$U$3,0))</f>
        <v>1</v>
      </c>
      <c r="BA46" s="11">
        <f ca="1">OFFSET('COM Techs T15'!$W48,0,MATCH(VLOOKUP('COM Veda input'!BA$3,'RES Assumptions T15'!$V$3:$W$35,2,FALSE),'COM Techs T15'!$G$3:$U$3,0))</f>
        <v>1</v>
      </c>
      <c r="BB46" s="11">
        <f ca="1">OFFSET('COM Techs T15'!$W48,0,MATCH(VLOOKUP('COM Veda input'!BB$3,'RES Assumptions T15'!$V$3:$W$35,2,FALSE),'COM Techs T15'!$G$3:$U$3,0))</f>
        <v>1</v>
      </c>
      <c r="BC46" s="11">
        <f ca="1">OFFSET('COM Techs T15'!$W48,0,MATCH(VLOOKUP('COM Veda input'!BC$3,'RES Assumptions T15'!$V$3:$W$35,2,FALSE),'COM Techs T15'!$G$3:$U$3,0))</f>
        <v>1</v>
      </c>
      <c r="BD46" s="11">
        <f ca="1">OFFSET('COM Techs T15'!$W48,0,MATCH(VLOOKUP('COM Veda input'!BD$3,'RES Assumptions T15'!$V$3:$W$35,2,FALSE),'COM Techs T15'!$G$3:$U$3,0))</f>
        <v>1</v>
      </c>
      <c r="BE46" s="11">
        <f ca="1">OFFSET('COM Techs T15'!$W48,0,MATCH(VLOOKUP('COM Veda input'!BE$3,'RES Assumptions T15'!$V$3:$W$35,2,FALSE),'COM Techs T15'!$G$3:$U$3,0))</f>
        <v>1</v>
      </c>
      <c r="BF46" s="11">
        <f ca="1">OFFSET('COM Techs T15'!$W48,0,MATCH(VLOOKUP('COM Veda input'!BF$3,'RES Assumptions T15'!$V$3:$W$35,2,FALSE),'COM Techs T15'!$G$3:$U$3,0))</f>
        <v>1</v>
      </c>
      <c r="BG46" s="11">
        <f ca="1">OFFSET('COM Techs T15'!$W48,0,MATCH(VLOOKUP('COM Veda input'!BG$3,'RES Assumptions T15'!$V$3:$W$35,2,FALSE),'COM Techs T15'!$G$3:$U$3,0))</f>
        <v>1</v>
      </c>
      <c r="BH46" s="11">
        <f ca="1">OFFSET('COM Techs T15'!$W48,0,MATCH(VLOOKUP('COM Veda input'!BH$3,'RES Assumptions T15'!$V$3:$W$35,2,FALSE),'COM Techs T15'!$G$3:$U$3,0))</f>
        <v>1</v>
      </c>
      <c r="BI46" s="11">
        <f ca="1">OFFSET('COM Techs T15'!$W48,0,MATCH(VLOOKUP('COM Veda input'!BI$3,'RES Assumptions T15'!$V$3:$W$35,2,FALSE),'COM Techs T15'!$G$3:$U$3,0))</f>
        <v>1</v>
      </c>
      <c r="BJ46" s="11">
        <f ca="1">OFFSET('COM Techs T15'!$W48,0,MATCH(VLOOKUP('COM Veda input'!BJ$3,'RES Assumptions T15'!$V$3:$W$35,2,FALSE),'COM Techs T15'!$G$3:$U$3,0))</f>
        <v>1</v>
      </c>
      <c r="BK46" s="11">
        <f ca="1">OFFSET('COM Techs T15'!$W48,0,MATCH(VLOOKUP('COM Veda input'!BK$3,'RES Assumptions T15'!$V$3:$W$35,2,FALSE),'COM Techs T15'!$G$3:$U$3,0))</f>
        <v>1</v>
      </c>
      <c r="BL46" s="11">
        <f ca="1">OFFSET('COM Techs T15'!$W48,0,MATCH(VLOOKUP('COM Veda input'!BL$3,'RES Assumptions T15'!$V$3:$W$35,2,FALSE),'COM Techs T15'!$G$3:$U$3,0))</f>
        <v>1</v>
      </c>
      <c r="BM46" s="11">
        <f ca="1">OFFSET('COM Techs T15'!$W48,0,MATCH(VLOOKUP('COM Veda input'!BM$3,'RES Assumptions T15'!$V$3:$W$35,2,FALSE),'COM Techs T15'!$G$3:$U$3,0))</f>
        <v>1</v>
      </c>
      <c r="BN46" s="11">
        <f ca="1">OFFSET('COM Techs T15'!$W48,0,MATCH(VLOOKUP('COM Veda input'!BN$3,'RES Assumptions T15'!$V$3:$W$35,2,FALSE),'COM Techs T15'!$G$3:$U$3,0))</f>
        <v>1</v>
      </c>
      <c r="BO46" s="11">
        <f ca="1">OFFSET('COM Techs T15'!$W48,0,MATCH(VLOOKUP('COM Veda input'!BO$3,'RES Assumptions T15'!$V$3:$W$35,2,FALSE),'COM Techs T15'!$G$3:$U$3,0))</f>
        <v>1</v>
      </c>
      <c r="BP46" s="11">
        <f ca="1">OFFSET('COM Techs T15'!$W48,0,MATCH(VLOOKUP('COM Veda input'!BP$3,'RES Assumptions T15'!$V$3:$W$35,2,FALSE),'COM Techs T15'!$G$3:$U$3,0))</f>
        <v>1</v>
      </c>
      <c r="BQ46">
        <v>3</v>
      </c>
      <c r="BS46" s="8" t="str">
        <f t="shared" si="20"/>
        <v>COEELC000</v>
      </c>
      <c r="BT46" s="11">
        <f t="shared" ca="1" si="21"/>
        <v>4.2</v>
      </c>
      <c r="BU46" s="11" t="str">
        <f ca="1">OFFSET('COM Techs T15'!$AO48,0,MATCH(VLOOKUP('COM Veda input'!BU$3,'RES Assumptions T15'!$V$3:$W$35,2,FALSE),'COM Techs T15'!$G$3:$U$3,0))</f>
        <v/>
      </c>
      <c r="BV46" s="11" t="str">
        <f ca="1">OFFSET('COM Techs T15'!$AO48,0,MATCH(VLOOKUP('COM Veda input'!BV$3,'RES Assumptions T15'!$V$3:$W$35,2,FALSE),'COM Techs T15'!$G$3:$U$3,0))</f>
        <v/>
      </c>
      <c r="BW46" s="11">
        <f ca="1">OFFSET('COM Techs T15'!$AO48,0,MATCH(VLOOKUP('COM Veda input'!BW$3,'RES Assumptions T15'!$V$3:$W$35,2,FALSE),'COM Techs T15'!$G$3:$U$3,0))</f>
        <v>4.2</v>
      </c>
      <c r="BX46" s="11" t="str">
        <f ca="1">OFFSET('COM Techs T15'!$AO48,0,MATCH(VLOOKUP('COM Veda input'!BX$3,'RES Assumptions T15'!$V$3:$W$35,2,FALSE),'COM Techs T15'!$G$3:$U$3,0))</f>
        <v/>
      </c>
      <c r="BY46" s="11">
        <f ca="1">OFFSET('COM Techs T15'!$AO48,0,MATCH(VLOOKUP('COM Veda input'!BY$3,'RES Assumptions T15'!$V$3:$W$35,2,FALSE),'COM Techs T15'!$G$3:$U$3,0))</f>
        <v>7</v>
      </c>
      <c r="BZ46" s="11">
        <f ca="1">OFFSET('COM Techs T15'!$AO48,0,MATCH(VLOOKUP('COM Veda input'!BZ$3,'RES Assumptions T15'!$V$3:$W$35,2,FALSE),'COM Techs T15'!$G$3:$U$3,0))</f>
        <v>4.2</v>
      </c>
      <c r="CA46" s="11" t="str">
        <f ca="1">OFFSET('COM Techs T15'!$AO48,0,MATCH(VLOOKUP('COM Veda input'!CA$3,'RES Assumptions T15'!$V$3:$W$35,2,FALSE),'COM Techs T15'!$G$3:$U$3,0))</f>
        <v/>
      </c>
      <c r="CB46" s="11">
        <f ca="1">OFFSET('COM Techs T15'!$AO48,0,MATCH(VLOOKUP('COM Veda input'!CB$3,'RES Assumptions T15'!$V$3:$W$35,2,FALSE),'COM Techs T15'!$G$3:$U$3,0))</f>
        <v>4.2</v>
      </c>
      <c r="CC46" s="11" t="str">
        <f ca="1">OFFSET('COM Techs T15'!$AO48,0,MATCH(VLOOKUP('COM Veda input'!CC$3,'RES Assumptions T15'!$V$3:$W$35,2,FALSE),'COM Techs T15'!$G$3:$U$3,0))</f>
        <v/>
      </c>
      <c r="CD46" s="11">
        <f ca="1">OFFSET('COM Techs T15'!$AO48,0,MATCH(VLOOKUP('COM Veda input'!CD$3,'RES Assumptions T15'!$V$3:$W$35,2,FALSE),'COM Techs T15'!$G$3:$U$3,0))</f>
        <v>4.2</v>
      </c>
      <c r="CE46" s="11" t="str">
        <f ca="1">OFFSET('COM Techs T15'!$AO48,0,MATCH(VLOOKUP('COM Veda input'!CE$3,'RES Assumptions T15'!$V$3:$W$35,2,FALSE),'COM Techs T15'!$G$3:$U$3,0))</f>
        <v/>
      </c>
      <c r="CF46" s="11" t="str">
        <f ca="1">OFFSET('COM Techs T15'!$AO48,0,MATCH(VLOOKUP('COM Veda input'!CF$3,'RES Assumptions T15'!$V$3:$W$35,2,FALSE),'COM Techs T15'!$G$3:$U$3,0))</f>
        <v/>
      </c>
      <c r="CG46" s="11" t="str">
        <f ca="1">OFFSET('COM Techs T15'!$AO48,0,MATCH(VLOOKUP('COM Veda input'!CG$3,'RES Assumptions T15'!$V$3:$W$35,2,FALSE),'COM Techs T15'!$G$3:$U$3,0))</f>
        <v/>
      </c>
      <c r="CH46" s="11" t="str">
        <f ca="1">OFFSET('COM Techs T15'!$AO48,0,MATCH(VLOOKUP('COM Veda input'!CH$3,'RES Assumptions T15'!$V$3:$W$35,2,FALSE),'COM Techs T15'!$G$3:$U$3,0))</f>
        <v/>
      </c>
      <c r="CI46" s="11" t="str">
        <f ca="1">OFFSET('COM Techs T15'!$AO48,0,MATCH(VLOOKUP('COM Veda input'!CI$3,'RES Assumptions T15'!$V$3:$W$35,2,FALSE),'COM Techs T15'!$G$3:$U$3,0))</f>
        <v/>
      </c>
      <c r="CJ46" s="11" t="str">
        <f ca="1">OFFSET('COM Techs T15'!$AO48,0,MATCH(VLOOKUP('COM Veda input'!CJ$3,'RES Assumptions T15'!$V$3:$W$35,2,FALSE),'COM Techs T15'!$G$3:$U$3,0))</f>
        <v/>
      </c>
      <c r="CK46" s="11">
        <f ca="1">OFFSET('COM Techs T15'!$AO48,0,MATCH(VLOOKUP('COM Veda input'!CK$3,'RES Assumptions T15'!$V$3:$W$35,2,FALSE),'COM Techs T15'!$G$3:$U$3,0))</f>
        <v>4.9000000000000004</v>
      </c>
      <c r="CL46" s="11" t="str">
        <f ca="1">OFFSET('COM Techs T15'!$AO48,0,MATCH(VLOOKUP('COM Veda input'!CL$3,'RES Assumptions T15'!$V$3:$W$35,2,FALSE),'COM Techs T15'!$G$3:$U$3,0))</f>
        <v/>
      </c>
      <c r="CM46" s="11" t="str">
        <f ca="1">OFFSET('COM Techs T15'!$AO48,0,MATCH(VLOOKUP('COM Veda input'!CM$3,'RES Assumptions T15'!$V$3:$W$35,2,FALSE),'COM Techs T15'!$G$3:$U$3,0))</f>
        <v/>
      </c>
      <c r="CN46" s="11">
        <f ca="1">OFFSET('COM Techs T15'!$AO48,0,MATCH(VLOOKUP('COM Veda input'!CN$3,'RES Assumptions T15'!$V$3:$W$35,2,FALSE),'COM Techs T15'!$G$3:$U$3,0))</f>
        <v>4.2</v>
      </c>
      <c r="CO46" s="11">
        <f ca="1">OFFSET('COM Techs T15'!$AO48,0,MATCH(VLOOKUP('COM Veda input'!CO$3,'RES Assumptions T15'!$V$3:$W$35,2,FALSE),'COM Techs T15'!$G$3:$U$3,0))</f>
        <v>4.2</v>
      </c>
      <c r="CP46" s="11">
        <f ca="1">OFFSET('COM Techs T15'!$AO48,0,MATCH(VLOOKUP('COM Veda input'!CP$3,'RES Assumptions T15'!$V$3:$W$35,2,FALSE),'COM Techs T15'!$G$3:$U$3,0))</f>
        <v>5.6</v>
      </c>
      <c r="CQ46" s="11">
        <f ca="1">OFFSET('COM Techs T15'!$AO48,0,MATCH(VLOOKUP('COM Veda input'!CQ$3,'RES Assumptions T15'!$V$3:$W$35,2,FALSE),'COM Techs T15'!$G$3:$U$3,0))</f>
        <v>4.9000000000000004</v>
      </c>
      <c r="CR46" s="11" t="str">
        <f ca="1">OFFSET('COM Techs T15'!$AO48,0,MATCH(VLOOKUP('COM Veda input'!CR$3,'RES Assumptions T15'!$V$3:$W$35,2,FALSE),'COM Techs T15'!$G$3:$U$3,0))</f>
        <v/>
      </c>
      <c r="CS46" s="11" t="str">
        <f ca="1">OFFSET('COM Techs T15'!$AO48,0,MATCH(VLOOKUP('COM Veda input'!CS$3,'RES Assumptions T15'!$V$3:$W$35,2,FALSE),'COM Techs T15'!$G$3:$U$3,0))</f>
        <v/>
      </c>
      <c r="CT46" s="11">
        <f ca="1">OFFSET('COM Techs T15'!$AO48,0,MATCH(VLOOKUP('COM Veda input'!CT$3,'RES Assumptions T15'!$V$3:$W$35,2,FALSE),'COM Techs T15'!$G$3:$U$3,0))</f>
        <v>4.9000000000000004</v>
      </c>
      <c r="CU46" s="11" t="str">
        <f ca="1">OFFSET('COM Techs T15'!$AO48,0,MATCH(VLOOKUP('COM Veda input'!CU$3,'RES Assumptions T15'!$V$3:$W$35,2,FALSE),'COM Techs T15'!$G$3:$U$3,0))</f>
        <v/>
      </c>
      <c r="CV46" s="11" t="str">
        <f ca="1">OFFSET('COM Techs T15'!$AO48,0,MATCH(VLOOKUP('COM Veda input'!CV$3,'RES Assumptions T15'!$V$3:$W$35,2,FALSE),'COM Techs T15'!$G$3:$U$3,0))</f>
        <v/>
      </c>
      <c r="CW46" s="11" t="str">
        <f ca="1">OFFSET('COM Techs T15'!$AO48,0,MATCH(VLOOKUP('COM Veda input'!CW$3,'RES Assumptions T15'!$V$3:$W$35,2,FALSE),'COM Techs T15'!$G$3:$U$3,0))</f>
        <v/>
      </c>
      <c r="CX46" s="11" t="str">
        <f ca="1">OFFSET('COM Techs T15'!$AO48,0,MATCH(VLOOKUP('COM Veda input'!CX$3,'RES Assumptions T15'!$V$3:$W$35,2,FALSE),'COM Techs T15'!$G$3:$U$3,0))</f>
        <v/>
      </c>
      <c r="CZ46" s="8" t="str">
        <f t="shared" si="22"/>
        <v>COEELC000</v>
      </c>
      <c r="DA46" s="10">
        <f ca="1">'COM Assumptions'!E123*G46/'COM Veda input'!AM46</f>
        <v>38.281852563119969</v>
      </c>
      <c r="DB46" s="10">
        <f ca="1">'COM Assumptions'!F123*H46/'COM Veda input'!AN46</f>
        <v>23.59998844271998</v>
      </c>
      <c r="DC46" s="10">
        <f ca="1">'COM Assumptions'!G123*I46/'COM Veda input'!AO46</f>
        <v>31.258343163599992</v>
      </c>
      <c r="DD46" s="10">
        <f ca="1">'COM Assumptions'!H123*J46/'COM Veda input'!AP46</f>
        <v>25.390144296503991</v>
      </c>
      <c r="DE46" s="10">
        <f ca="1">'COM Assumptions'!I123*K46/'COM Veda input'!AQ46</f>
        <v>553.1795700307199</v>
      </c>
      <c r="DF46" s="10">
        <f ca="1">'COM Assumptions'!J123*L46/'COM Veda input'!AR46</f>
        <v>256.54400240990401</v>
      </c>
      <c r="DG46" s="10">
        <f ca="1">'COM Assumptions'!K123*M46/'COM Veda input'!AS46</f>
        <v>72.729739113299999</v>
      </c>
      <c r="DH46" s="10">
        <f ca="1">'COM Assumptions'!L123*N46/'COM Veda input'!AT46</f>
        <v>101.55038182559998</v>
      </c>
      <c r="DI46" s="10">
        <f ca="1">'COM Assumptions'!M123*O46/'COM Veda input'!AU46</f>
        <v>108.96912012095991</v>
      </c>
      <c r="DJ46" s="10">
        <f ca="1">'COM Assumptions'!N123*P46/'COM Veda input'!AV46</f>
        <v>350.87377586688012</v>
      </c>
      <c r="DK46" s="10">
        <f ca="1">'COM Assumptions'!O123*Q46/'COM Veda input'!AW46</f>
        <v>33.860114091108002</v>
      </c>
      <c r="DL46" s="10">
        <f ca="1">'COM Assumptions'!P123*R46/'COM Veda input'!AX46</f>
        <v>87.778903535855974</v>
      </c>
      <c r="DM46" s="10">
        <f ca="1">'COM Assumptions'!Q123*S46/'COM Veda input'!AY46</f>
        <v>44.787126013236005</v>
      </c>
      <c r="DN46" s="10">
        <f ca="1">'COM Assumptions'!R123*T46/'COM Veda input'!AZ46</f>
        <v>67.55911865283602</v>
      </c>
      <c r="DO46" s="10">
        <f ca="1">'COM Assumptions'!S123*U46/'COM Veda input'!BA46</f>
        <v>33.297326989055989</v>
      </c>
      <c r="DP46" s="10">
        <f ca="1">'COM Assumptions'!T123*V46/'COM Veda input'!BB46</f>
        <v>55.734674231232013</v>
      </c>
      <c r="DQ46" s="10">
        <f ca="1">'COM Assumptions'!U123*W46/'COM Veda input'!BC46</f>
        <v>98.107118149679977</v>
      </c>
      <c r="DR46" s="10">
        <f ca="1">'COM Assumptions'!V123*X46/'COM Veda input'!BD46</f>
        <v>83.604753742716028</v>
      </c>
      <c r="DS46" s="10">
        <f ca="1">'COM Assumptions'!W123*Y46/'COM Veda input'!BE46</f>
        <v>79.544088252144022</v>
      </c>
      <c r="DT46" s="10">
        <f ca="1">'COM Assumptions'!X123*Z46/'COM Veda input'!BF46</f>
        <v>130.93573371609597</v>
      </c>
      <c r="DU46" s="10">
        <f ca="1">'COM Assumptions'!Y123*AA46/'COM Veda input'!BG46</f>
        <v>64.335272311439979</v>
      </c>
      <c r="DV46" s="10">
        <f ca="1">'COM Assumptions'!Z123*AB46/'COM Veda input'!BH46</f>
        <v>20.675879593199994</v>
      </c>
      <c r="DW46" s="10">
        <f ca="1">'COM Assumptions'!AA123*AC46/'COM Veda input'!BI46</f>
        <v>111.51698302583998</v>
      </c>
      <c r="DX46" s="10">
        <f ca="1">'COM Assumptions'!AB123*AD46/'COM Veda input'!BJ46</f>
        <v>16.864301823372003</v>
      </c>
      <c r="DY46" s="10">
        <f ca="1">'COM Assumptions'!AC123*AE46/'COM Veda input'!BK46</f>
        <v>143.08529023339196</v>
      </c>
      <c r="DZ46" s="10">
        <f ca="1">'COM Assumptions'!AD123*AF46/'COM Veda input'!BL46</f>
        <v>88.124077060559983</v>
      </c>
      <c r="EA46" s="10">
        <f ca="1">'COM Assumptions'!AE123*AG46/'COM Veda input'!BM46</f>
        <v>26.717474698559979</v>
      </c>
      <c r="EB46" s="10">
        <f ca="1">'COM Assumptions'!AF123*AH46/'COM Veda input'!BN46</f>
        <v>55.153827953532016</v>
      </c>
      <c r="EC46" s="10">
        <f ca="1">'COM Assumptions'!AG123*AI46/'COM Veda input'!BO46</f>
        <v>1148.3718866232498</v>
      </c>
      <c r="ED46" s="10">
        <f ca="1">'COM Assumptions'!AH123*AJ46/'COM Veda input'!BP46</f>
        <v>0</v>
      </c>
      <c r="EE46" s="8">
        <v>10</v>
      </c>
      <c r="EI46" s="8" t="str">
        <f t="shared" si="23"/>
        <v>COEELC000</v>
      </c>
      <c r="EK46" t="s">
        <v>282</v>
      </c>
      <c r="EL46" t="s">
        <v>283</v>
      </c>
    </row>
    <row r="47" spans="1:142" x14ac:dyDescent="0.45">
      <c r="A47" s="37" t="str">
        <f>'COM Assumptions'!B124</f>
        <v>COT</v>
      </c>
      <c r="B47" s="37" t="s">
        <v>248</v>
      </c>
      <c r="D47" t="s">
        <v>248</v>
      </c>
      <c r="E47" s="8" t="str">
        <f>'COM Assumptions'!A124</f>
        <v>COMOIL</v>
      </c>
      <c r="F47" t="str">
        <f>VLOOKUP('COM Assumptions'!B124,'COM Assumptions'!$AP$81:$AQ$88,2,FALSE)</f>
        <v>COT</v>
      </c>
      <c r="G47" s="11">
        <f ca="1">OFFSET('COM Techs T15'!$F49,0,MATCH(VLOOKUP('COM Veda input'!G$3,'RES Assumptions T15'!$V$3:$W$35,2,FALSE),'COM Techs T15'!$G$3:$U$3,0))</f>
        <v>1</v>
      </c>
      <c r="H47" s="11">
        <f ca="1">OFFSET('COM Techs T15'!$F49,0,MATCH(VLOOKUP('COM Veda input'!H$3,'RES Assumptions T15'!$V$3:$W$35,2,FALSE),'COM Techs T15'!$G$3:$U$3,0))</f>
        <v>1</v>
      </c>
      <c r="I47" s="11">
        <f ca="1">OFFSET('COM Techs T15'!$F49,0,MATCH(VLOOKUP('COM Veda input'!I$3,'RES Assumptions T15'!$V$3:$W$35,2,FALSE),'COM Techs T15'!$G$3:$U$3,0))</f>
        <v>1</v>
      </c>
      <c r="J47" s="11">
        <f ca="1">OFFSET('COM Techs T15'!$F49,0,MATCH(VLOOKUP('COM Veda input'!J$3,'RES Assumptions T15'!$V$3:$W$35,2,FALSE),'COM Techs T15'!$G$3:$U$3,0))</f>
        <v>1</v>
      </c>
      <c r="K47" s="11">
        <f ca="1">OFFSET('COM Techs T15'!$F49,0,MATCH(VLOOKUP('COM Veda input'!K$3,'RES Assumptions T15'!$V$3:$W$35,2,FALSE),'COM Techs T15'!$G$3:$U$3,0))</f>
        <v>1</v>
      </c>
      <c r="L47" s="11">
        <f ca="1">OFFSET('COM Techs T15'!$F49,0,MATCH(VLOOKUP('COM Veda input'!L$3,'RES Assumptions T15'!$V$3:$W$35,2,FALSE),'COM Techs T15'!$G$3:$U$3,0))</f>
        <v>1</v>
      </c>
      <c r="M47" s="11">
        <f ca="1">OFFSET('COM Techs T15'!$F49,0,MATCH(VLOOKUP('COM Veda input'!M$3,'RES Assumptions T15'!$V$3:$W$35,2,FALSE),'COM Techs T15'!$G$3:$U$3,0))</f>
        <v>1</v>
      </c>
      <c r="N47" s="11">
        <f ca="1">OFFSET('COM Techs T15'!$F49,0,MATCH(VLOOKUP('COM Veda input'!N$3,'RES Assumptions T15'!$V$3:$W$35,2,FALSE),'COM Techs T15'!$G$3:$U$3,0))</f>
        <v>1</v>
      </c>
      <c r="O47" s="11">
        <f ca="1">OFFSET('COM Techs T15'!$F49,0,MATCH(VLOOKUP('COM Veda input'!O$3,'RES Assumptions T15'!$V$3:$W$35,2,FALSE),'COM Techs T15'!$G$3:$U$3,0))</f>
        <v>1</v>
      </c>
      <c r="P47" s="11">
        <f ca="1">OFFSET('COM Techs T15'!$F49,0,MATCH(VLOOKUP('COM Veda input'!P$3,'RES Assumptions T15'!$V$3:$W$35,2,FALSE),'COM Techs T15'!$G$3:$U$3,0))</f>
        <v>1</v>
      </c>
      <c r="Q47" s="11">
        <f ca="1">OFFSET('COM Techs T15'!$F49,0,MATCH(VLOOKUP('COM Veda input'!Q$3,'RES Assumptions T15'!$V$3:$W$35,2,FALSE),'COM Techs T15'!$G$3:$U$3,0))</f>
        <v>1</v>
      </c>
      <c r="R47" s="11">
        <f ca="1">OFFSET('COM Techs T15'!$F49,0,MATCH(VLOOKUP('COM Veda input'!R$3,'RES Assumptions T15'!$V$3:$W$35,2,FALSE),'COM Techs T15'!$G$3:$U$3,0))</f>
        <v>1</v>
      </c>
      <c r="S47" s="11">
        <f ca="1">OFFSET('COM Techs T15'!$F49,0,MATCH(VLOOKUP('COM Veda input'!S$3,'RES Assumptions T15'!$V$3:$W$35,2,FALSE),'COM Techs T15'!$G$3:$U$3,0))</f>
        <v>1</v>
      </c>
      <c r="T47" s="11">
        <f ca="1">OFFSET('COM Techs T15'!$F49,0,MATCH(VLOOKUP('COM Veda input'!T$3,'RES Assumptions T15'!$V$3:$W$35,2,FALSE),'COM Techs T15'!$G$3:$U$3,0))</f>
        <v>1</v>
      </c>
      <c r="U47" s="11">
        <f ca="1">OFFSET('COM Techs T15'!$F49,0,MATCH(VLOOKUP('COM Veda input'!U$3,'RES Assumptions T15'!$V$3:$W$35,2,FALSE),'COM Techs T15'!$G$3:$U$3,0))</f>
        <v>1</v>
      </c>
      <c r="V47" s="11">
        <f ca="1">OFFSET('COM Techs T15'!$F49,0,MATCH(VLOOKUP('COM Veda input'!V$3,'RES Assumptions T15'!$V$3:$W$35,2,FALSE),'COM Techs T15'!$G$3:$U$3,0))</f>
        <v>1</v>
      </c>
      <c r="W47" s="11">
        <f ca="1">OFFSET('COM Techs T15'!$F49,0,MATCH(VLOOKUP('COM Veda input'!W$3,'RES Assumptions T15'!$V$3:$W$35,2,FALSE),'COM Techs T15'!$G$3:$U$3,0))</f>
        <v>1</v>
      </c>
      <c r="X47" s="11">
        <f ca="1">OFFSET('COM Techs T15'!$F49,0,MATCH(VLOOKUP('COM Veda input'!X$3,'RES Assumptions T15'!$V$3:$W$35,2,FALSE),'COM Techs T15'!$G$3:$U$3,0))</f>
        <v>1</v>
      </c>
      <c r="Y47" s="11">
        <f ca="1">OFFSET('COM Techs T15'!$F49,0,MATCH(VLOOKUP('COM Veda input'!Y$3,'RES Assumptions T15'!$V$3:$W$35,2,FALSE),'COM Techs T15'!$G$3:$U$3,0))</f>
        <v>1</v>
      </c>
      <c r="Z47" s="11">
        <f ca="1">OFFSET('COM Techs T15'!$F49,0,MATCH(VLOOKUP('COM Veda input'!Z$3,'RES Assumptions T15'!$V$3:$W$35,2,FALSE),'COM Techs T15'!$G$3:$U$3,0))</f>
        <v>1</v>
      </c>
      <c r="AA47" s="11">
        <f ca="1">OFFSET('COM Techs T15'!$F49,0,MATCH(VLOOKUP('COM Veda input'!AA$3,'RES Assumptions T15'!$V$3:$W$35,2,FALSE),'COM Techs T15'!$G$3:$U$3,0))</f>
        <v>1</v>
      </c>
      <c r="AB47" s="11">
        <f ca="1">OFFSET('COM Techs T15'!$F49,0,MATCH(VLOOKUP('COM Veda input'!AB$3,'RES Assumptions T15'!$V$3:$W$35,2,FALSE),'COM Techs T15'!$G$3:$U$3,0))</f>
        <v>1</v>
      </c>
      <c r="AC47" s="11">
        <f ca="1">OFFSET('COM Techs T15'!$F49,0,MATCH(VLOOKUP('COM Veda input'!AC$3,'RES Assumptions T15'!$V$3:$W$35,2,FALSE),'COM Techs T15'!$G$3:$U$3,0))</f>
        <v>1</v>
      </c>
      <c r="AD47" s="11">
        <f ca="1">OFFSET('COM Techs T15'!$F49,0,MATCH(VLOOKUP('COM Veda input'!AD$3,'RES Assumptions T15'!$V$3:$W$35,2,FALSE),'COM Techs T15'!$G$3:$U$3,0))</f>
        <v>1</v>
      </c>
      <c r="AE47" s="11">
        <f ca="1">OFFSET('COM Techs T15'!$F49,0,MATCH(VLOOKUP('COM Veda input'!AE$3,'RES Assumptions T15'!$V$3:$W$35,2,FALSE),'COM Techs T15'!$G$3:$U$3,0))</f>
        <v>1</v>
      </c>
      <c r="AF47" s="11">
        <f ca="1">OFFSET('COM Techs T15'!$F49,0,MATCH(VLOOKUP('COM Veda input'!AF$3,'RES Assumptions T15'!$V$3:$W$35,2,FALSE),'COM Techs T15'!$G$3:$U$3,0))</f>
        <v>1</v>
      </c>
      <c r="AG47" s="11">
        <f ca="1">OFFSET('COM Techs T15'!$F49,0,MATCH(VLOOKUP('COM Veda input'!AG$3,'RES Assumptions T15'!$V$3:$W$35,2,FALSE),'COM Techs T15'!$G$3:$U$3,0))</f>
        <v>1</v>
      </c>
      <c r="AH47" s="11">
        <f ca="1">OFFSET('COM Techs T15'!$F49,0,MATCH(VLOOKUP('COM Veda input'!AH$3,'RES Assumptions T15'!$V$3:$W$35,2,FALSE),'COM Techs T15'!$G$3:$U$3,0))</f>
        <v>1</v>
      </c>
      <c r="AI47" s="11">
        <f ca="1">OFFSET('COM Techs T15'!$F49,0,MATCH(VLOOKUP('COM Veda input'!AI$3,'RES Assumptions T15'!$V$3:$W$35,2,FALSE),'COM Techs T15'!$G$3:$U$3,0))</f>
        <v>1</v>
      </c>
      <c r="AJ47" s="11">
        <f ca="1">OFFSET('COM Techs T15'!$F49,0,MATCH(VLOOKUP('COM Veda input'!AJ$3,'RES Assumptions T15'!$V$3:$W$35,2,FALSE),'COM Techs T15'!$G$3:$U$3,0))</f>
        <v>1</v>
      </c>
      <c r="AL47" s="8" t="str">
        <f t="shared" si="19"/>
        <v>COTDST000</v>
      </c>
      <c r="AM47" s="11">
        <f ca="1">OFFSET('COM Techs T15'!$W49,0,MATCH(VLOOKUP('COM Veda input'!AM$3,'RES Assumptions T15'!$V$3:$W$35,2,FALSE),'COM Techs T15'!$G$3:$U$3,0))</f>
        <v>1</v>
      </c>
      <c r="AN47" s="11">
        <f ca="1">OFFSET('COM Techs T15'!$W49,0,MATCH(VLOOKUP('COM Veda input'!AN$3,'RES Assumptions T15'!$V$3:$W$35,2,FALSE),'COM Techs T15'!$G$3:$U$3,0))</f>
        <v>1</v>
      </c>
      <c r="AO47" s="11">
        <f ca="1">OFFSET('COM Techs T15'!$W49,0,MATCH(VLOOKUP('COM Veda input'!AO$3,'RES Assumptions T15'!$V$3:$W$35,2,FALSE),'COM Techs T15'!$G$3:$U$3,0))</f>
        <v>1</v>
      </c>
      <c r="AP47" s="11">
        <f ca="1">OFFSET('COM Techs T15'!$W49,0,MATCH(VLOOKUP('COM Veda input'!AP$3,'RES Assumptions T15'!$V$3:$W$35,2,FALSE),'COM Techs T15'!$G$3:$U$3,0))</f>
        <v>1</v>
      </c>
      <c r="AQ47" s="11">
        <f ca="1">OFFSET('COM Techs T15'!$W49,0,MATCH(VLOOKUP('COM Veda input'!AQ$3,'RES Assumptions T15'!$V$3:$W$35,2,FALSE),'COM Techs T15'!$G$3:$U$3,0))</f>
        <v>1</v>
      </c>
      <c r="AR47" s="11">
        <f ca="1">OFFSET('COM Techs T15'!$W49,0,MATCH(VLOOKUP('COM Veda input'!AR$3,'RES Assumptions T15'!$V$3:$W$35,2,FALSE),'COM Techs T15'!$G$3:$U$3,0))</f>
        <v>1</v>
      </c>
      <c r="AS47" s="11">
        <f ca="1">OFFSET('COM Techs T15'!$W49,0,MATCH(VLOOKUP('COM Veda input'!AS$3,'RES Assumptions T15'!$V$3:$W$35,2,FALSE),'COM Techs T15'!$G$3:$U$3,0))</f>
        <v>1</v>
      </c>
      <c r="AT47" s="11">
        <f ca="1">OFFSET('COM Techs T15'!$W49,0,MATCH(VLOOKUP('COM Veda input'!AT$3,'RES Assumptions T15'!$V$3:$W$35,2,FALSE),'COM Techs T15'!$G$3:$U$3,0))</f>
        <v>1</v>
      </c>
      <c r="AU47" s="11">
        <f ca="1">OFFSET('COM Techs T15'!$W49,0,MATCH(VLOOKUP('COM Veda input'!AU$3,'RES Assumptions T15'!$V$3:$W$35,2,FALSE),'COM Techs T15'!$G$3:$U$3,0))</f>
        <v>1</v>
      </c>
      <c r="AV47" s="11">
        <f ca="1">OFFSET('COM Techs T15'!$W49,0,MATCH(VLOOKUP('COM Veda input'!AV$3,'RES Assumptions T15'!$V$3:$W$35,2,FALSE),'COM Techs T15'!$G$3:$U$3,0))</f>
        <v>1</v>
      </c>
      <c r="AW47" s="11">
        <f ca="1">OFFSET('COM Techs T15'!$W49,0,MATCH(VLOOKUP('COM Veda input'!AW$3,'RES Assumptions T15'!$V$3:$W$35,2,FALSE),'COM Techs T15'!$G$3:$U$3,0))</f>
        <v>1</v>
      </c>
      <c r="AX47" s="11">
        <f ca="1">OFFSET('COM Techs T15'!$W49,0,MATCH(VLOOKUP('COM Veda input'!AX$3,'RES Assumptions T15'!$V$3:$W$35,2,FALSE),'COM Techs T15'!$G$3:$U$3,0))</f>
        <v>1</v>
      </c>
      <c r="AY47" s="11">
        <f ca="1">OFFSET('COM Techs T15'!$W49,0,MATCH(VLOOKUP('COM Veda input'!AY$3,'RES Assumptions T15'!$V$3:$W$35,2,FALSE),'COM Techs T15'!$G$3:$U$3,0))</f>
        <v>1</v>
      </c>
      <c r="AZ47" s="11">
        <f ca="1">OFFSET('COM Techs T15'!$W49,0,MATCH(VLOOKUP('COM Veda input'!AZ$3,'RES Assumptions T15'!$V$3:$W$35,2,FALSE),'COM Techs T15'!$G$3:$U$3,0))</f>
        <v>1</v>
      </c>
      <c r="BA47" s="11">
        <f ca="1">OFFSET('COM Techs T15'!$W49,0,MATCH(VLOOKUP('COM Veda input'!BA$3,'RES Assumptions T15'!$V$3:$W$35,2,FALSE),'COM Techs T15'!$G$3:$U$3,0))</f>
        <v>1</v>
      </c>
      <c r="BB47" s="11">
        <f ca="1">OFFSET('COM Techs T15'!$W49,0,MATCH(VLOOKUP('COM Veda input'!BB$3,'RES Assumptions T15'!$V$3:$W$35,2,FALSE),'COM Techs T15'!$G$3:$U$3,0))</f>
        <v>1</v>
      </c>
      <c r="BC47" s="11">
        <f ca="1">OFFSET('COM Techs T15'!$W49,0,MATCH(VLOOKUP('COM Veda input'!BC$3,'RES Assumptions T15'!$V$3:$W$35,2,FALSE),'COM Techs T15'!$G$3:$U$3,0))</f>
        <v>1</v>
      </c>
      <c r="BD47" s="11">
        <f ca="1">OFFSET('COM Techs T15'!$W49,0,MATCH(VLOOKUP('COM Veda input'!BD$3,'RES Assumptions T15'!$V$3:$W$35,2,FALSE),'COM Techs T15'!$G$3:$U$3,0))</f>
        <v>1</v>
      </c>
      <c r="BE47" s="11">
        <f ca="1">OFFSET('COM Techs T15'!$W49,0,MATCH(VLOOKUP('COM Veda input'!BE$3,'RES Assumptions T15'!$V$3:$W$35,2,FALSE),'COM Techs T15'!$G$3:$U$3,0))</f>
        <v>1</v>
      </c>
      <c r="BF47" s="11">
        <f ca="1">OFFSET('COM Techs T15'!$W49,0,MATCH(VLOOKUP('COM Veda input'!BF$3,'RES Assumptions T15'!$V$3:$W$35,2,FALSE),'COM Techs T15'!$G$3:$U$3,0))</f>
        <v>1</v>
      </c>
      <c r="BG47" s="11">
        <f ca="1">OFFSET('COM Techs T15'!$W49,0,MATCH(VLOOKUP('COM Veda input'!BG$3,'RES Assumptions T15'!$V$3:$W$35,2,FALSE),'COM Techs T15'!$G$3:$U$3,0))</f>
        <v>1</v>
      </c>
      <c r="BH47" s="11">
        <f ca="1">OFFSET('COM Techs T15'!$W49,0,MATCH(VLOOKUP('COM Veda input'!BH$3,'RES Assumptions T15'!$V$3:$W$35,2,FALSE),'COM Techs T15'!$G$3:$U$3,0))</f>
        <v>1</v>
      </c>
      <c r="BI47" s="11">
        <f ca="1">OFFSET('COM Techs T15'!$W49,0,MATCH(VLOOKUP('COM Veda input'!BI$3,'RES Assumptions T15'!$V$3:$W$35,2,FALSE),'COM Techs T15'!$G$3:$U$3,0))</f>
        <v>1</v>
      </c>
      <c r="BJ47" s="11">
        <f ca="1">OFFSET('COM Techs T15'!$W49,0,MATCH(VLOOKUP('COM Veda input'!BJ$3,'RES Assumptions T15'!$V$3:$W$35,2,FALSE),'COM Techs T15'!$G$3:$U$3,0))</f>
        <v>1</v>
      </c>
      <c r="BK47" s="11">
        <f ca="1">OFFSET('COM Techs T15'!$W49,0,MATCH(VLOOKUP('COM Veda input'!BK$3,'RES Assumptions T15'!$V$3:$W$35,2,FALSE),'COM Techs T15'!$G$3:$U$3,0))</f>
        <v>1</v>
      </c>
      <c r="BL47" s="11">
        <f ca="1">OFFSET('COM Techs T15'!$W49,0,MATCH(VLOOKUP('COM Veda input'!BL$3,'RES Assumptions T15'!$V$3:$W$35,2,FALSE),'COM Techs T15'!$G$3:$U$3,0))</f>
        <v>1</v>
      </c>
      <c r="BM47" s="11">
        <f ca="1">OFFSET('COM Techs T15'!$W49,0,MATCH(VLOOKUP('COM Veda input'!BM$3,'RES Assumptions T15'!$V$3:$W$35,2,FALSE),'COM Techs T15'!$G$3:$U$3,0))</f>
        <v>1</v>
      </c>
      <c r="BN47" s="11">
        <f ca="1">OFFSET('COM Techs T15'!$W49,0,MATCH(VLOOKUP('COM Veda input'!BN$3,'RES Assumptions T15'!$V$3:$W$35,2,FALSE),'COM Techs T15'!$G$3:$U$3,0))</f>
        <v>1</v>
      </c>
      <c r="BO47" s="11">
        <f ca="1">OFFSET('COM Techs T15'!$W49,0,MATCH(VLOOKUP('COM Veda input'!BO$3,'RES Assumptions T15'!$V$3:$W$35,2,FALSE),'COM Techs T15'!$G$3:$U$3,0))</f>
        <v>1</v>
      </c>
      <c r="BP47" s="11">
        <f ca="1">OFFSET('COM Techs T15'!$W49,0,MATCH(VLOOKUP('COM Veda input'!BP$3,'RES Assumptions T15'!$V$3:$W$35,2,FALSE),'COM Techs T15'!$G$3:$U$3,0))</f>
        <v>1</v>
      </c>
      <c r="BQ47">
        <v>3</v>
      </c>
      <c r="BS47" s="8" t="str">
        <f t="shared" si="20"/>
        <v>COTDST000</v>
      </c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 t="str">
        <f>IFERROR(IF(VLOOKUP($BS47,#REF!,CI$1,FALSE)="","",VLOOKUP($BS47,#REF!,CI$1,FALSE)),"")</f>
        <v/>
      </c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Z47" s="8" t="str">
        <f t="shared" si="22"/>
        <v>COTDST000</v>
      </c>
      <c r="DA47" s="10">
        <f ca="1">'COM Assumptions'!E124*G47/'COM Veda input'!AM47</f>
        <v>0</v>
      </c>
      <c r="DB47" s="10">
        <f ca="1">'COM Assumptions'!F124*H47/'COM Veda input'!AN47</f>
        <v>0</v>
      </c>
      <c r="DC47" s="10">
        <f ca="1">'COM Assumptions'!G124*I47/'COM Veda input'!AO47</f>
        <v>0</v>
      </c>
      <c r="DD47" s="10">
        <f ca="1">'COM Assumptions'!H124*J47/'COM Veda input'!AP47</f>
        <v>0</v>
      </c>
      <c r="DE47" s="10">
        <f ca="1">'COM Assumptions'!I124*K47/'COM Veda input'!AQ47</f>
        <v>0</v>
      </c>
      <c r="DF47" s="10">
        <f ca="1">'COM Assumptions'!J124*L47/'COM Veda input'!AR47</f>
        <v>0</v>
      </c>
      <c r="DG47" s="10">
        <f ca="1">'COM Assumptions'!K124*M47/'COM Veda input'!AS47</f>
        <v>0</v>
      </c>
      <c r="DH47" s="10">
        <f ca="1">'COM Assumptions'!L124*N47/'COM Veda input'!AT47</f>
        <v>0</v>
      </c>
      <c r="DI47" s="10">
        <f ca="1">'COM Assumptions'!M124*O47/'COM Veda input'!AU47</f>
        <v>0</v>
      </c>
      <c r="DJ47" s="10">
        <f ca="1">'COM Assumptions'!N124*P47/'COM Veda input'!AV47</f>
        <v>0</v>
      </c>
      <c r="DK47" s="10">
        <f ca="1">'COM Assumptions'!O124*Q47/'COM Veda input'!AW47</f>
        <v>0</v>
      </c>
      <c r="DL47" s="10">
        <f ca="1">'COM Assumptions'!P124*R47/'COM Veda input'!AX47</f>
        <v>0</v>
      </c>
      <c r="DM47" s="10">
        <f ca="1">'COM Assumptions'!Q124*S47/'COM Veda input'!AY47</f>
        <v>0</v>
      </c>
      <c r="DN47" s="10">
        <f ca="1">'COM Assumptions'!R124*T47/'COM Veda input'!AZ47</f>
        <v>0</v>
      </c>
      <c r="DO47" s="10">
        <f ca="1">'COM Assumptions'!S124*U47/'COM Veda input'!BA47</f>
        <v>0</v>
      </c>
      <c r="DP47" s="10">
        <f ca="1">'COM Assumptions'!T124*V47/'COM Veda input'!BB47</f>
        <v>0</v>
      </c>
      <c r="DQ47" s="10">
        <f ca="1">'COM Assumptions'!U124*W47/'COM Veda input'!BC47</f>
        <v>0</v>
      </c>
      <c r="DR47" s="10">
        <f ca="1">'COM Assumptions'!V124*X47/'COM Veda input'!BD47</f>
        <v>0</v>
      </c>
      <c r="DS47" s="10">
        <f ca="1">'COM Assumptions'!W124*Y47/'COM Veda input'!BE47</f>
        <v>0</v>
      </c>
      <c r="DT47" s="10">
        <f ca="1">'COM Assumptions'!X124*Z47/'COM Veda input'!BF47</f>
        <v>0</v>
      </c>
      <c r="DU47" s="10">
        <f ca="1">'COM Assumptions'!Y124*AA47/'COM Veda input'!BG47</f>
        <v>0</v>
      </c>
      <c r="DV47" s="10">
        <f ca="1">'COM Assumptions'!Z124*AB47/'COM Veda input'!BH47</f>
        <v>0</v>
      </c>
      <c r="DW47" s="10">
        <f ca="1">'COM Assumptions'!AA124*AC47/'COM Veda input'!BI47</f>
        <v>0</v>
      </c>
      <c r="DX47" s="10">
        <f ca="1">'COM Assumptions'!AB124*AD47/'COM Veda input'!BJ47</f>
        <v>0</v>
      </c>
      <c r="DY47" s="10">
        <f ca="1">'COM Assumptions'!AC124*AE47/'COM Veda input'!BK47</f>
        <v>0</v>
      </c>
      <c r="DZ47" s="10">
        <f ca="1">'COM Assumptions'!AD124*AF47/'COM Veda input'!BL47</f>
        <v>0</v>
      </c>
      <c r="EA47" s="10">
        <f ca="1">'COM Assumptions'!AE124*AG47/'COM Veda input'!BM47</f>
        <v>0</v>
      </c>
      <c r="EB47" s="10">
        <f ca="1">'COM Assumptions'!AF124*AH47/'COM Veda input'!BN47</f>
        <v>0</v>
      </c>
      <c r="EC47" s="10">
        <f ca="1">'COM Assumptions'!AG124*AI47/'COM Veda input'!BO47</f>
        <v>26.886270195296468</v>
      </c>
      <c r="ED47" s="10">
        <f ca="1">'COM Assumptions'!AH124*AJ47/'COM Veda input'!BP47</f>
        <v>0</v>
      </c>
      <c r="EE47" s="8">
        <v>15</v>
      </c>
      <c r="EI47" s="8" t="str">
        <f t="shared" si="23"/>
        <v>COTDST000</v>
      </c>
      <c r="EK47" t="s">
        <v>282</v>
      </c>
      <c r="EL47" t="s">
        <v>283</v>
      </c>
    </row>
    <row r="48" spans="1:142" x14ac:dyDescent="0.45">
      <c r="A48" s="37" t="str">
        <f>'COM Assumptions'!B125</f>
        <v>COT</v>
      </c>
      <c r="B48" s="37" t="s">
        <v>249</v>
      </c>
      <c r="D48" t="s">
        <v>249</v>
      </c>
      <c r="E48" s="8" t="str">
        <f>'COM Assumptions'!A125</f>
        <v>COMELC</v>
      </c>
      <c r="F48" t="str">
        <f>VLOOKUP('COM Assumptions'!B125,'COM Assumptions'!$AP$81:$AQ$88,2,FALSE)</f>
        <v>COT</v>
      </c>
      <c r="G48" s="11">
        <f ca="1">OFFSET('COM Techs T15'!$F50,0,MATCH(VLOOKUP('COM Veda input'!G$3,'RES Assumptions T15'!$V$3:$W$35,2,FALSE),'COM Techs T15'!$G$3:$U$3,0))</f>
        <v>1</v>
      </c>
      <c r="H48" s="11">
        <f ca="1">OFFSET('COM Techs T15'!$F50,0,MATCH(VLOOKUP('COM Veda input'!H$3,'RES Assumptions T15'!$V$3:$W$35,2,FALSE),'COM Techs T15'!$G$3:$U$3,0))</f>
        <v>1</v>
      </c>
      <c r="I48" s="11">
        <f ca="1">OFFSET('COM Techs T15'!$F50,0,MATCH(VLOOKUP('COM Veda input'!I$3,'RES Assumptions T15'!$V$3:$W$35,2,FALSE),'COM Techs T15'!$G$3:$U$3,0))</f>
        <v>1</v>
      </c>
      <c r="J48" s="11">
        <f ca="1">OFFSET('COM Techs T15'!$F50,0,MATCH(VLOOKUP('COM Veda input'!J$3,'RES Assumptions T15'!$V$3:$W$35,2,FALSE),'COM Techs T15'!$G$3:$U$3,0))</f>
        <v>1</v>
      </c>
      <c r="K48" s="11">
        <f ca="1">OFFSET('COM Techs T15'!$F50,0,MATCH(VLOOKUP('COM Veda input'!K$3,'RES Assumptions T15'!$V$3:$W$35,2,FALSE),'COM Techs T15'!$G$3:$U$3,0))</f>
        <v>1</v>
      </c>
      <c r="L48" s="11">
        <f ca="1">OFFSET('COM Techs T15'!$F50,0,MATCH(VLOOKUP('COM Veda input'!L$3,'RES Assumptions T15'!$V$3:$W$35,2,FALSE),'COM Techs T15'!$G$3:$U$3,0))</f>
        <v>1</v>
      </c>
      <c r="M48" s="11">
        <f ca="1">OFFSET('COM Techs T15'!$F50,0,MATCH(VLOOKUP('COM Veda input'!M$3,'RES Assumptions T15'!$V$3:$W$35,2,FALSE),'COM Techs T15'!$G$3:$U$3,0))</f>
        <v>1</v>
      </c>
      <c r="N48" s="11">
        <f ca="1">OFFSET('COM Techs T15'!$F50,0,MATCH(VLOOKUP('COM Veda input'!N$3,'RES Assumptions T15'!$V$3:$W$35,2,FALSE),'COM Techs T15'!$G$3:$U$3,0))</f>
        <v>1</v>
      </c>
      <c r="O48" s="11">
        <f ca="1">OFFSET('COM Techs T15'!$F50,0,MATCH(VLOOKUP('COM Veda input'!O$3,'RES Assumptions T15'!$V$3:$W$35,2,FALSE),'COM Techs T15'!$G$3:$U$3,0))</f>
        <v>1</v>
      </c>
      <c r="P48" s="11">
        <f ca="1">OFFSET('COM Techs T15'!$F50,0,MATCH(VLOOKUP('COM Veda input'!P$3,'RES Assumptions T15'!$V$3:$W$35,2,FALSE),'COM Techs T15'!$G$3:$U$3,0))</f>
        <v>1</v>
      </c>
      <c r="Q48" s="11">
        <f ca="1">OFFSET('COM Techs T15'!$F50,0,MATCH(VLOOKUP('COM Veda input'!Q$3,'RES Assumptions T15'!$V$3:$W$35,2,FALSE),'COM Techs T15'!$G$3:$U$3,0))</f>
        <v>1</v>
      </c>
      <c r="R48" s="11">
        <f ca="1">OFFSET('COM Techs T15'!$F50,0,MATCH(VLOOKUP('COM Veda input'!R$3,'RES Assumptions T15'!$V$3:$W$35,2,FALSE),'COM Techs T15'!$G$3:$U$3,0))</f>
        <v>1</v>
      </c>
      <c r="S48" s="11">
        <f ca="1">OFFSET('COM Techs T15'!$F50,0,MATCH(VLOOKUP('COM Veda input'!S$3,'RES Assumptions T15'!$V$3:$W$35,2,FALSE),'COM Techs T15'!$G$3:$U$3,0))</f>
        <v>1</v>
      </c>
      <c r="T48" s="11">
        <f ca="1">OFFSET('COM Techs T15'!$F50,0,MATCH(VLOOKUP('COM Veda input'!T$3,'RES Assumptions T15'!$V$3:$W$35,2,FALSE),'COM Techs T15'!$G$3:$U$3,0))</f>
        <v>1</v>
      </c>
      <c r="U48" s="11">
        <f ca="1">OFFSET('COM Techs T15'!$F50,0,MATCH(VLOOKUP('COM Veda input'!U$3,'RES Assumptions T15'!$V$3:$W$35,2,FALSE),'COM Techs T15'!$G$3:$U$3,0))</f>
        <v>1</v>
      </c>
      <c r="V48" s="11">
        <f ca="1">OFFSET('COM Techs T15'!$F50,0,MATCH(VLOOKUP('COM Veda input'!V$3,'RES Assumptions T15'!$V$3:$W$35,2,FALSE),'COM Techs T15'!$G$3:$U$3,0))</f>
        <v>1</v>
      </c>
      <c r="W48" s="11">
        <f ca="1">OFFSET('COM Techs T15'!$F50,0,MATCH(VLOOKUP('COM Veda input'!W$3,'RES Assumptions T15'!$V$3:$W$35,2,FALSE),'COM Techs T15'!$G$3:$U$3,0))</f>
        <v>1</v>
      </c>
      <c r="X48" s="11">
        <f ca="1">OFFSET('COM Techs T15'!$F50,0,MATCH(VLOOKUP('COM Veda input'!X$3,'RES Assumptions T15'!$V$3:$W$35,2,FALSE),'COM Techs T15'!$G$3:$U$3,0))</f>
        <v>1</v>
      </c>
      <c r="Y48" s="11">
        <f ca="1">OFFSET('COM Techs T15'!$F50,0,MATCH(VLOOKUP('COM Veda input'!Y$3,'RES Assumptions T15'!$V$3:$W$35,2,FALSE),'COM Techs T15'!$G$3:$U$3,0))</f>
        <v>1</v>
      </c>
      <c r="Z48" s="11">
        <f ca="1">OFFSET('COM Techs T15'!$F50,0,MATCH(VLOOKUP('COM Veda input'!Z$3,'RES Assumptions T15'!$V$3:$W$35,2,FALSE),'COM Techs T15'!$G$3:$U$3,0))</f>
        <v>1</v>
      </c>
      <c r="AA48" s="11">
        <f ca="1">OFFSET('COM Techs T15'!$F50,0,MATCH(VLOOKUP('COM Veda input'!AA$3,'RES Assumptions T15'!$V$3:$W$35,2,FALSE),'COM Techs T15'!$G$3:$U$3,0))</f>
        <v>1</v>
      </c>
      <c r="AB48" s="11">
        <f ca="1">OFFSET('COM Techs T15'!$F50,0,MATCH(VLOOKUP('COM Veda input'!AB$3,'RES Assumptions T15'!$V$3:$W$35,2,FALSE),'COM Techs T15'!$G$3:$U$3,0))</f>
        <v>1</v>
      </c>
      <c r="AC48" s="11">
        <f ca="1">OFFSET('COM Techs T15'!$F50,0,MATCH(VLOOKUP('COM Veda input'!AC$3,'RES Assumptions T15'!$V$3:$W$35,2,FALSE),'COM Techs T15'!$G$3:$U$3,0))</f>
        <v>1</v>
      </c>
      <c r="AD48" s="11">
        <f ca="1">OFFSET('COM Techs T15'!$F50,0,MATCH(VLOOKUP('COM Veda input'!AD$3,'RES Assumptions T15'!$V$3:$W$35,2,FALSE),'COM Techs T15'!$G$3:$U$3,0))</f>
        <v>1</v>
      </c>
      <c r="AE48" s="11">
        <f ca="1">OFFSET('COM Techs T15'!$F50,0,MATCH(VLOOKUP('COM Veda input'!AE$3,'RES Assumptions T15'!$V$3:$W$35,2,FALSE),'COM Techs T15'!$G$3:$U$3,0))</f>
        <v>1</v>
      </c>
      <c r="AF48" s="11">
        <f ca="1">OFFSET('COM Techs T15'!$F50,0,MATCH(VLOOKUP('COM Veda input'!AF$3,'RES Assumptions T15'!$V$3:$W$35,2,FALSE),'COM Techs T15'!$G$3:$U$3,0))</f>
        <v>1</v>
      </c>
      <c r="AG48" s="11">
        <f ca="1">OFFSET('COM Techs T15'!$F50,0,MATCH(VLOOKUP('COM Veda input'!AG$3,'RES Assumptions T15'!$V$3:$W$35,2,FALSE),'COM Techs T15'!$G$3:$U$3,0))</f>
        <v>1</v>
      </c>
      <c r="AH48" s="11">
        <f ca="1">OFFSET('COM Techs T15'!$F50,0,MATCH(VLOOKUP('COM Veda input'!AH$3,'RES Assumptions T15'!$V$3:$W$35,2,FALSE),'COM Techs T15'!$G$3:$U$3,0))</f>
        <v>1</v>
      </c>
      <c r="AI48" s="11">
        <f ca="1">OFFSET('COM Techs T15'!$F50,0,MATCH(VLOOKUP('COM Veda input'!AI$3,'RES Assumptions T15'!$V$3:$W$35,2,FALSE),'COM Techs T15'!$G$3:$U$3,0))</f>
        <v>1</v>
      </c>
      <c r="AJ48" s="11">
        <f ca="1">OFFSET('COM Techs T15'!$F50,0,MATCH(VLOOKUP('COM Veda input'!AJ$3,'RES Assumptions T15'!$V$3:$W$35,2,FALSE),'COM Techs T15'!$G$3:$U$3,0))</f>
        <v>1</v>
      </c>
      <c r="AL48" s="8" t="str">
        <f t="shared" si="19"/>
        <v>COTELC000</v>
      </c>
      <c r="AM48" s="11">
        <f ca="1">OFFSET('COM Techs T15'!$W50,0,MATCH(VLOOKUP('COM Veda input'!AM$3,'RES Assumptions T15'!$V$3:$W$35,2,FALSE),'COM Techs T15'!$G$3:$U$3,0))</f>
        <v>1</v>
      </c>
      <c r="AN48" s="11">
        <f ca="1">OFFSET('COM Techs T15'!$W50,0,MATCH(VLOOKUP('COM Veda input'!AN$3,'RES Assumptions T15'!$V$3:$W$35,2,FALSE),'COM Techs T15'!$G$3:$U$3,0))</f>
        <v>1</v>
      </c>
      <c r="AO48" s="11">
        <f ca="1">OFFSET('COM Techs T15'!$W50,0,MATCH(VLOOKUP('COM Veda input'!AO$3,'RES Assumptions T15'!$V$3:$W$35,2,FALSE),'COM Techs T15'!$G$3:$U$3,0))</f>
        <v>1</v>
      </c>
      <c r="AP48" s="11">
        <f ca="1">OFFSET('COM Techs T15'!$W50,0,MATCH(VLOOKUP('COM Veda input'!AP$3,'RES Assumptions T15'!$V$3:$W$35,2,FALSE),'COM Techs T15'!$G$3:$U$3,0))</f>
        <v>1</v>
      </c>
      <c r="AQ48" s="11">
        <f ca="1">OFFSET('COM Techs T15'!$W50,0,MATCH(VLOOKUP('COM Veda input'!AQ$3,'RES Assumptions T15'!$V$3:$W$35,2,FALSE),'COM Techs T15'!$G$3:$U$3,0))</f>
        <v>1</v>
      </c>
      <c r="AR48" s="11">
        <f ca="1">OFFSET('COM Techs T15'!$W50,0,MATCH(VLOOKUP('COM Veda input'!AR$3,'RES Assumptions T15'!$V$3:$W$35,2,FALSE),'COM Techs T15'!$G$3:$U$3,0))</f>
        <v>1</v>
      </c>
      <c r="AS48" s="11">
        <f ca="1">OFFSET('COM Techs T15'!$W50,0,MATCH(VLOOKUP('COM Veda input'!AS$3,'RES Assumptions T15'!$V$3:$W$35,2,FALSE),'COM Techs T15'!$G$3:$U$3,0))</f>
        <v>1</v>
      </c>
      <c r="AT48" s="11">
        <f ca="1">OFFSET('COM Techs T15'!$W50,0,MATCH(VLOOKUP('COM Veda input'!AT$3,'RES Assumptions T15'!$V$3:$W$35,2,FALSE),'COM Techs T15'!$G$3:$U$3,0))</f>
        <v>1</v>
      </c>
      <c r="AU48" s="11">
        <f ca="1">OFFSET('COM Techs T15'!$W50,0,MATCH(VLOOKUP('COM Veda input'!AU$3,'RES Assumptions T15'!$V$3:$W$35,2,FALSE),'COM Techs T15'!$G$3:$U$3,0))</f>
        <v>1</v>
      </c>
      <c r="AV48" s="11">
        <f ca="1">OFFSET('COM Techs T15'!$W50,0,MATCH(VLOOKUP('COM Veda input'!AV$3,'RES Assumptions T15'!$V$3:$W$35,2,FALSE),'COM Techs T15'!$G$3:$U$3,0))</f>
        <v>1</v>
      </c>
      <c r="AW48" s="11">
        <f ca="1">OFFSET('COM Techs T15'!$W50,0,MATCH(VLOOKUP('COM Veda input'!AW$3,'RES Assumptions T15'!$V$3:$W$35,2,FALSE),'COM Techs T15'!$G$3:$U$3,0))</f>
        <v>1</v>
      </c>
      <c r="AX48" s="11">
        <f ca="1">OFFSET('COM Techs T15'!$W50,0,MATCH(VLOOKUP('COM Veda input'!AX$3,'RES Assumptions T15'!$V$3:$W$35,2,FALSE),'COM Techs T15'!$G$3:$U$3,0))</f>
        <v>1</v>
      </c>
      <c r="AY48" s="11">
        <f ca="1">OFFSET('COM Techs T15'!$W50,0,MATCH(VLOOKUP('COM Veda input'!AY$3,'RES Assumptions T15'!$V$3:$W$35,2,FALSE),'COM Techs T15'!$G$3:$U$3,0))</f>
        <v>1</v>
      </c>
      <c r="AZ48" s="11">
        <f ca="1">OFFSET('COM Techs T15'!$W50,0,MATCH(VLOOKUP('COM Veda input'!AZ$3,'RES Assumptions T15'!$V$3:$W$35,2,FALSE),'COM Techs T15'!$G$3:$U$3,0))</f>
        <v>1</v>
      </c>
      <c r="BA48" s="11">
        <f ca="1">OFFSET('COM Techs T15'!$W50,0,MATCH(VLOOKUP('COM Veda input'!BA$3,'RES Assumptions T15'!$V$3:$W$35,2,FALSE),'COM Techs T15'!$G$3:$U$3,0))</f>
        <v>1</v>
      </c>
      <c r="BB48" s="11">
        <f ca="1">OFFSET('COM Techs T15'!$W50,0,MATCH(VLOOKUP('COM Veda input'!BB$3,'RES Assumptions T15'!$V$3:$W$35,2,FALSE),'COM Techs T15'!$G$3:$U$3,0))</f>
        <v>1</v>
      </c>
      <c r="BC48" s="11">
        <f ca="1">OFFSET('COM Techs T15'!$W50,0,MATCH(VLOOKUP('COM Veda input'!BC$3,'RES Assumptions T15'!$V$3:$W$35,2,FALSE),'COM Techs T15'!$G$3:$U$3,0))</f>
        <v>1</v>
      </c>
      <c r="BD48" s="11">
        <f ca="1">OFFSET('COM Techs T15'!$W50,0,MATCH(VLOOKUP('COM Veda input'!BD$3,'RES Assumptions T15'!$V$3:$W$35,2,FALSE),'COM Techs T15'!$G$3:$U$3,0))</f>
        <v>1</v>
      </c>
      <c r="BE48" s="11">
        <f ca="1">OFFSET('COM Techs T15'!$W50,0,MATCH(VLOOKUP('COM Veda input'!BE$3,'RES Assumptions T15'!$V$3:$W$35,2,FALSE),'COM Techs T15'!$G$3:$U$3,0))</f>
        <v>1</v>
      </c>
      <c r="BF48" s="11">
        <f ca="1">OFFSET('COM Techs T15'!$W50,0,MATCH(VLOOKUP('COM Veda input'!BF$3,'RES Assumptions T15'!$V$3:$W$35,2,FALSE),'COM Techs T15'!$G$3:$U$3,0))</f>
        <v>1</v>
      </c>
      <c r="BG48" s="11">
        <f ca="1">OFFSET('COM Techs T15'!$W50,0,MATCH(VLOOKUP('COM Veda input'!BG$3,'RES Assumptions T15'!$V$3:$W$35,2,FALSE),'COM Techs T15'!$G$3:$U$3,0))</f>
        <v>1</v>
      </c>
      <c r="BH48" s="11">
        <f ca="1">OFFSET('COM Techs T15'!$W50,0,MATCH(VLOOKUP('COM Veda input'!BH$3,'RES Assumptions T15'!$V$3:$W$35,2,FALSE),'COM Techs T15'!$G$3:$U$3,0))</f>
        <v>1</v>
      </c>
      <c r="BI48" s="11">
        <f ca="1">OFFSET('COM Techs T15'!$W50,0,MATCH(VLOOKUP('COM Veda input'!BI$3,'RES Assumptions T15'!$V$3:$W$35,2,FALSE),'COM Techs T15'!$G$3:$U$3,0))</f>
        <v>1</v>
      </c>
      <c r="BJ48" s="11">
        <f ca="1">OFFSET('COM Techs T15'!$W50,0,MATCH(VLOOKUP('COM Veda input'!BJ$3,'RES Assumptions T15'!$V$3:$W$35,2,FALSE),'COM Techs T15'!$G$3:$U$3,0))</f>
        <v>1</v>
      </c>
      <c r="BK48" s="11">
        <f ca="1">OFFSET('COM Techs T15'!$W50,0,MATCH(VLOOKUP('COM Veda input'!BK$3,'RES Assumptions T15'!$V$3:$W$35,2,FALSE),'COM Techs T15'!$G$3:$U$3,0))</f>
        <v>1</v>
      </c>
      <c r="BL48" s="11">
        <f ca="1">OFFSET('COM Techs T15'!$W50,0,MATCH(VLOOKUP('COM Veda input'!BL$3,'RES Assumptions T15'!$V$3:$W$35,2,FALSE),'COM Techs T15'!$G$3:$U$3,0))</f>
        <v>1</v>
      </c>
      <c r="BM48" s="11">
        <f ca="1">OFFSET('COM Techs T15'!$W50,0,MATCH(VLOOKUP('COM Veda input'!BM$3,'RES Assumptions T15'!$V$3:$W$35,2,FALSE),'COM Techs T15'!$G$3:$U$3,0))</f>
        <v>1</v>
      </c>
      <c r="BN48" s="11">
        <f ca="1">OFFSET('COM Techs T15'!$W50,0,MATCH(VLOOKUP('COM Veda input'!BN$3,'RES Assumptions T15'!$V$3:$W$35,2,FALSE),'COM Techs T15'!$G$3:$U$3,0))</f>
        <v>1</v>
      </c>
      <c r="BO48" s="11">
        <f ca="1">OFFSET('COM Techs T15'!$W50,0,MATCH(VLOOKUP('COM Veda input'!BO$3,'RES Assumptions T15'!$V$3:$W$35,2,FALSE),'COM Techs T15'!$G$3:$U$3,0))</f>
        <v>1</v>
      </c>
      <c r="BP48" s="11">
        <f ca="1">OFFSET('COM Techs T15'!$W50,0,MATCH(VLOOKUP('COM Veda input'!BP$3,'RES Assumptions T15'!$V$3:$W$35,2,FALSE),'COM Techs T15'!$G$3:$U$3,0))</f>
        <v>1</v>
      </c>
      <c r="BQ48">
        <v>3</v>
      </c>
      <c r="BS48" s="8" t="str">
        <f t="shared" si="20"/>
        <v>COTELC000</v>
      </c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 t="str">
        <f>IFERROR(IF(VLOOKUP($BS48,#REF!,CI$1,FALSE)="","",VLOOKUP($BS48,#REF!,CI$1,FALSE)),"")</f>
        <v/>
      </c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Z48" s="8" t="str">
        <f t="shared" si="22"/>
        <v>COTELC000</v>
      </c>
      <c r="DA48" s="10">
        <f ca="1">'COM Assumptions'!E125*G48/'COM Veda input'!AM48</f>
        <v>0</v>
      </c>
      <c r="DB48" s="10">
        <f ca="1">'COM Assumptions'!F125*H48/'COM Veda input'!AN48</f>
        <v>0</v>
      </c>
      <c r="DC48" s="10">
        <f ca="1">'COM Assumptions'!G125*I48/'COM Veda input'!AO48</f>
        <v>0</v>
      </c>
      <c r="DD48" s="10">
        <f ca="1">'COM Assumptions'!H125*J48/'COM Veda input'!AP48</f>
        <v>0</v>
      </c>
      <c r="DE48" s="10">
        <f ca="1">'COM Assumptions'!I125*K48/'COM Veda input'!AQ48</f>
        <v>0</v>
      </c>
      <c r="DF48" s="10">
        <f ca="1">'COM Assumptions'!J125*L48/'COM Veda input'!AR48</f>
        <v>0</v>
      </c>
      <c r="DG48" s="10">
        <f ca="1">'COM Assumptions'!K125*M48/'COM Veda input'!AS48</f>
        <v>0</v>
      </c>
      <c r="DH48" s="10">
        <f ca="1">'COM Assumptions'!L125*N48/'COM Veda input'!AT48</f>
        <v>0</v>
      </c>
      <c r="DI48" s="10">
        <f ca="1">'COM Assumptions'!M125*O48/'COM Veda input'!AU48</f>
        <v>0</v>
      </c>
      <c r="DJ48" s="10">
        <f ca="1">'COM Assumptions'!N125*P48/'COM Veda input'!AV48</f>
        <v>0</v>
      </c>
      <c r="DK48" s="10">
        <f ca="1">'COM Assumptions'!O125*Q48/'COM Veda input'!AW48</f>
        <v>0</v>
      </c>
      <c r="DL48" s="10">
        <f ca="1">'COM Assumptions'!P125*R48/'COM Veda input'!AX48</f>
        <v>0</v>
      </c>
      <c r="DM48" s="10">
        <f ca="1">'COM Assumptions'!Q125*S48/'COM Veda input'!AY48</f>
        <v>0</v>
      </c>
      <c r="DN48" s="10">
        <f ca="1">'COM Assumptions'!R125*T48/'COM Veda input'!AZ48</f>
        <v>0</v>
      </c>
      <c r="DO48" s="10">
        <f ca="1">'COM Assumptions'!S125*U48/'COM Veda input'!BA48</f>
        <v>0</v>
      </c>
      <c r="DP48" s="10">
        <f ca="1">'COM Assumptions'!T125*V48/'COM Veda input'!BB48</f>
        <v>0</v>
      </c>
      <c r="DQ48" s="10">
        <f ca="1">'COM Assumptions'!U125*W48/'COM Veda input'!BC48</f>
        <v>0</v>
      </c>
      <c r="DR48" s="10">
        <f ca="1">'COM Assumptions'!V125*X48/'COM Veda input'!BD48</f>
        <v>0</v>
      </c>
      <c r="DS48" s="10">
        <f ca="1">'COM Assumptions'!W125*Y48/'COM Veda input'!BE48</f>
        <v>0</v>
      </c>
      <c r="DT48" s="10">
        <f ca="1">'COM Assumptions'!X125*Z48/'COM Veda input'!BF48</f>
        <v>0</v>
      </c>
      <c r="DU48" s="10">
        <f ca="1">'COM Assumptions'!Y125*AA48/'COM Veda input'!BG48</f>
        <v>0</v>
      </c>
      <c r="DV48" s="10">
        <f ca="1">'COM Assumptions'!Z125*AB48/'COM Veda input'!BH48</f>
        <v>0</v>
      </c>
      <c r="DW48" s="10">
        <f ca="1">'COM Assumptions'!AA125*AC48/'COM Veda input'!BI48</f>
        <v>0</v>
      </c>
      <c r="DX48" s="10">
        <f ca="1">'COM Assumptions'!AB125*AD48/'COM Veda input'!BJ48</f>
        <v>0</v>
      </c>
      <c r="DY48" s="10">
        <f ca="1">'COM Assumptions'!AC125*AE48/'COM Veda input'!BK48</f>
        <v>0</v>
      </c>
      <c r="DZ48" s="10">
        <f ca="1">'COM Assumptions'!AD125*AF48/'COM Veda input'!BL48</f>
        <v>0</v>
      </c>
      <c r="EA48" s="10">
        <f ca="1">'COM Assumptions'!AE125*AG48/'COM Veda input'!BM48</f>
        <v>0</v>
      </c>
      <c r="EB48" s="10">
        <f ca="1">'COM Assumptions'!AF125*AH48/'COM Veda input'!BN48</f>
        <v>0</v>
      </c>
      <c r="EC48" s="10">
        <f ca="1">'COM Assumptions'!AG125*AI48/'COM Veda input'!BO48</f>
        <v>0</v>
      </c>
      <c r="ED48" s="10">
        <f ca="1">'COM Assumptions'!AH125*AJ48/'COM Veda input'!BP48</f>
        <v>0</v>
      </c>
      <c r="EE48" s="8">
        <v>15</v>
      </c>
      <c r="EI48" s="8" t="str">
        <f t="shared" si="23"/>
        <v>COTELC000</v>
      </c>
      <c r="EK48" t="s">
        <v>282</v>
      </c>
      <c r="EL48" t="s">
        <v>283</v>
      </c>
    </row>
    <row r="49" spans="1:142" x14ac:dyDescent="0.45">
      <c r="A49" s="37" t="str">
        <f>'COM Assumptions'!B126</f>
        <v>COT</v>
      </c>
      <c r="B49" s="37" t="s">
        <v>250</v>
      </c>
      <c r="D49" t="s">
        <v>250</v>
      </c>
      <c r="E49" s="8" t="str">
        <f>'COM Assumptions'!A126</f>
        <v>COMNGA</v>
      </c>
      <c r="F49" t="str">
        <f>VLOOKUP('COM Assumptions'!B126,'COM Assumptions'!$AP$81:$AQ$88,2,FALSE)</f>
        <v>COT</v>
      </c>
      <c r="G49" s="11">
        <f ca="1">OFFSET('COM Techs T15'!$F51,0,MATCH(VLOOKUP('COM Veda input'!G$3,'RES Assumptions T15'!$V$3:$W$35,2,FALSE),'COM Techs T15'!$G$3:$U$3,0))</f>
        <v>1</v>
      </c>
      <c r="H49" s="11">
        <f ca="1">OFFSET('COM Techs T15'!$F51,0,MATCH(VLOOKUP('COM Veda input'!H$3,'RES Assumptions T15'!$V$3:$W$35,2,FALSE),'COM Techs T15'!$G$3:$U$3,0))</f>
        <v>1</v>
      </c>
      <c r="I49" s="11">
        <f ca="1">OFFSET('COM Techs T15'!$F51,0,MATCH(VLOOKUP('COM Veda input'!I$3,'RES Assumptions T15'!$V$3:$W$35,2,FALSE),'COM Techs T15'!$G$3:$U$3,0))</f>
        <v>1</v>
      </c>
      <c r="J49" s="11">
        <f ca="1">OFFSET('COM Techs T15'!$F51,0,MATCH(VLOOKUP('COM Veda input'!J$3,'RES Assumptions T15'!$V$3:$W$35,2,FALSE),'COM Techs T15'!$G$3:$U$3,0))</f>
        <v>1</v>
      </c>
      <c r="K49" s="11">
        <f ca="1">OFFSET('COM Techs T15'!$F51,0,MATCH(VLOOKUP('COM Veda input'!K$3,'RES Assumptions T15'!$V$3:$W$35,2,FALSE),'COM Techs T15'!$G$3:$U$3,0))</f>
        <v>1</v>
      </c>
      <c r="L49" s="11">
        <f ca="1">OFFSET('COM Techs T15'!$F51,0,MATCH(VLOOKUP('COM Veda input'!L$3,'RES Assumptions T15'!$V$3:$W$35,2,FALSE),'COM Techs T15'!$G$3:$U$3,0))</f>
        <v>1</v>
      </c>
      <c r="M49" s="11">
        <f ca="1">OFFSET('COM Techs T15'!$F51,0,MATCH(VLOOKUP('COM Veda input'!M$3,'RES Assumptions T15'!$V$3:$W$35,2,FALSE),'COM Techs T15'!$G$3:$U$3,0))</f>
        <v>1</v>
      </c>
      <c r="N49" s="11">
        <f ca="1">OFFSET('COM Techs T15'!$F51,0,MATCH(VLOOKUP('COM Veda input'!N$3,'RES Assumptions T15'!$V$3:$W$35,2,FALSE),'COM Techs T15'!$G$3:$U$3,0))</f>
        <v>1</v>
      </c>
      <c r="O49" s="11">
        <f ca="1">OFFSET('COM Techs T15'!$F51,0,MATCH(VLOOKUP('COM Veda input'!O$3,'RES Assumptions T15'!$V$3:$W$35,2,FALSE),'COM Techs T15'!$G$3:$U$3,0))</f>
        <v>1</v>
      </c>
      <c r="P49" s="11">
        <f ca="1">OFFSET('COM Techs T15'!$F51,0,MATCH(VLOOKUP('COM Veda input'!P$3,'RES Assumptions T15'!$V$3:$W$35,2,FALSE),'COM Techs T15'!$G$3:$U$3,0))</f>
        <v>1</v>
      </c>
      <c r="Q49" s="11">
        <f ca="1">OFFSET('COM Techs T15'!$F51,0,MATCH(VLOOKUP('COM Veda input'!Q$3,'RES Assumptions T15'!$V$3:$W$35,2,FALSE),'COM Techs T15'!$G$3:$U$3,0))</f>
        <v>1</v>
      </c>
      <c r="R49" s="11">
        <f ca="1">OFFSET('COM Techs T15'!$F51,0,MATCH(VLOOKUP('COM Veda input'!R$3,'RES Assumptions T15'!$V$3:$W$35,2,FALSE),'COM Techs T15'!$G$3:$U$3,0))</f>
        <v>1</v>
      </c>
      <c r="S49" s="11">
        <f ca="1">OFFSET('COM Techs T15'!$F51,0,MATCH(VLOOKUP('COM Veda input'!S$3,'RES Assumptions T15'!$V$3:$W$35,2,FALSE),'COM Techs T15'!$G$3:$U$3,0))</f>
        <v>1</v>
      </c>
      <c r="T49" s="11">
        <f ca="1">OFFSET('COM Techs T15'!$F51,0,MATCH(VLOOKUP('COM Veda input'!T$3,'RES Assumptions T15'!$V$3:$W$35,2,FALSE),'COM Techs T15'!$G$3:$U$3,0))</f>
        <v>1</v>
      </c>
      <c r="U49" s="11">
        <f ca="1">OFFSET('COM Techs T15'!$F51,0,MATCH(VLOOKUP('COM Veda input'!U$3,'RES Assumptions T15'!$V$3:$W$35,2,FALSE),'COM Techs T15'!$G$3:$U$3,0))</f>
        <v>1</v>
      </c>
      <c r="V49" s="11">
        <f ca="1">OFFSET('COM Techs T15'!$F51,0,MATCH(VLOOKUP('COM Veda input'!V$3,'RES Assumptions T15'!$V$3:$W$35,2,FALSE),'COM Techs T15'!$G$3:$U$3,0))</f>
        <v>1</v>
      </c>
      <c r="W49" s="11">
        <f ca="1">OFFSET('COM Techs T15'!$F51,0,MATCH(VLOOKUP('COM Veda input'!W$3,'RES Assumptions T15'!$V$3:$W$35,2,FALSE),'COM Techs T15'!$G$3:$U$3,0))</f>
        <v>1</v>
      </c>
      <c r="X49" s="11">
        <f ca="1">OFFSET('COM Techs T15'!$F51,0,MATCH(VLOOKUP('COM Veda input'!X$3,'RES Assumptions T15'!$V$3:$W$35,2,FALSE),'COM Techs T15'!$G$3:$U$3,0))</f>
        <v>1</v>
      </c>
      <c r="Y49" s="11">
        <f ca="1">OFFSET('COM Techs T15'!$F51,0,MATCH(VLOOKUP('COM Veda input'!Y$3,'RES Assumptions T15'!$V$3:$W$35,2,FALSE),'COM Techs T15'!$G$3:$U$3,0))</f>
        <v>1</v>
      </c>
      <c r="Z49" s="11">
        <f ca="1">OFFSET('COM Techs T15'!$F51,0,MATCH(VLOOKUP('COM Veda input'!Z$3,'RES Assumptions T15'!$V$3:$W$35,2,FALSE),'COM Techs T15'!$G$3:$U$3,0))</f>
        <v>1</v>
      </c>
      <c r="AA49" s="11">
        <f ca="1">OFFSET('COM Techs T15'!$F51,0,MATCH(VLOOKUP('COM Veda input'!AA$3,'RES Assumptions T15'!$V$3:$W$35,2,FALSE),'COM Techs T15'!$G$3:$U$3,0))</f>
        <v>1</v>
      </c>
      <c r="AB49" s="11">
        <f ca="1">OFFSET('COM Techs T15'!$F51,0,MATCH(VLOOKUP('COM Veda input'!AB$3,'RES Assumptions T15'!$V$3:$W$35,2,FALSE),'COM Techs T15'!$G$3:$U$3,0))</f>
        <v>1</v>
      </c>
      <c r="AC49" s="11">
        <f ca="1">OFFSET('COM Techs T15'!$F51,0,MATCH(VLOOKUP('COM Veda input'!AC$3,'RES Assumptions T15'!$V$3:$W$35,2,FALSE),'COM Techs T15'!$G$3:$U$3,0))</f>
        <v>1</v>
      </c>
      <c r="AD49" s="11">
        <f ca="1">OFFSET('COM Techs T15'!$F51,0,MATCH(VLOOKUP('COM Veda input'!AD$3,'RES Assumptions T15'!$V$3:$W$35,2,FALSE),'COM Techs T15'!$G$3:$U$3,0))</f>
        <v>1</v>
      </c>
      <c r="AE49" s="11">
        <f ca="1">OFFSET('COM Techs T15'!$F51,0,MATCH(VLOOKUP('COM Veda input'!AE$3,'RES Assumptions T15'!$V$3:$W$35,2,FALSE),'COM Techs T15'!$G$3:$U$3,0))</f>
        <v>1</v>
      </c>
      <c r="AF49" s="11">
        <f ca="1">OFFSET('COM Techs T15'!$F51,0,MATCH(VLOOKUP('COM Veda input'!AF$3,'RES Assumptions T15'!$V$3:$W$35,2,FALSE),'COM Techs T15'!$G$3:$U$3,0))</f>
        <v>1</v>
      </c>
      <c r="AG49" s="11">
        <f ca="1">OFFSET('COM Techs T15'!$F51,0,MATCH(VLOOKUP('COM Veda input'!AG$3,'RES Assumptions T15'!$V$3:$W$35,2,FALSE),'COM Techs T15'!$G$3:$U$3,0))</f>
        <v>1</v>
      </c>
      <c r="AH49" s="11">
        <f ca="1">OFFSET('COM Techs T15'!$F51,0,MATCH(VLOOKUP('COM Veda input'!AH$3,'RES Assumptions T15'!$V$3:$W$35,2,FALSE),'COM Techs T15'!$G$3:$U$3,0))</f>
        <v>1</v>
      </c>
      <c r="AI49" s="11">
        <f ca="1">OFFSET('COM Techs T15'!$F51,0,MATCH(VLOOKUP('COM Veda input'!AI$3,'RES Assumptions T15'!$V$3:$W$35,2,FALSE),'COM Techs T15'!$G$3:$U$3,0))</f>
        <v>1</v>
      </c>
      <c r="AJ49" s="11">
        <f ca="1">OFFSET('COM Techs T15'!$F51,0,MATCH(VLOOKUP('COM Veda input'!AJ$3,'RES Assumptions T15'!$V$3:$W$35,2,FALSE),'COM Techs T15'!$G$3:$U$3,0))</f>
        <v>1</v>
      </c>
      <c r="AL49" s="8" t="str">
        <f t="shared" si="19"/>
        <v>COTNGA000</v>
      </c>
      <c r="AM49" s="11">
        <f ca="1">OFFSET('COM Techs T15'!$W51,0,MATCH(VLOOKUP('COM Veda input'!AM$3,'RES Assumptions T15'!$V$3:$W$35,2,FALSE),'COM Techs T15'!$G$3:$U$3,0))</f>
        <v>1</v>
      </c>
      <c r="AN49" s="11">
        <f ca="1">OFFSET('COM Techs T15'!$W51,0,MATCH(VLOOKUP('COM Veda input'!AN$3,'RES Assumptions T15'!$V$3:$W$35,2,FALSE),'COM Techs T15'!$G$3:$U$3,0))</f>
        <v>1</v>
      </c>
      <c r="AO49" s="11">
        <f ca="1">OFFSET('COM Techs T15'!$W51,0,MATCH(VLOOKUP('COM Veda input'!AO$3,'RES Assumptions T15'!$V$3:$W$35,2,FALSE),'COM Techs T15'!$G$3:$U$3,0))</f>
        <v>1</v>
      </c>
      <c r="AP49" s="11">
        <f ca="1">OFFSET('COM Techs T15'!$W51,0,MATCH(VLOOKUP('COM Veda input'!AP$3,'RES Assumptions T15'!$V$3:$W$35,2,FALSE),'COM Techs T15'!$G$3:$U$3,0))</f>
        <v>1</v>
      </c>
      <c r="AQ49" s="11">
        <f ca="1">OFFSET('COM Techs T15'!$W51,0,MATCH(VLOOKUP('COM Veda input'!AQ$3,'RES Assumptions T15'!$V$3:$W$35,2,FALSE),'COM Techs T15'!$G$3:$U$3,0))</f>
        <v>1</v>
      </c>
      <c r="AR49" s="11">
        <f ca="1">OFFSET('COM Techs T15'!$W51,0,MATCH(VLOOKUP('COM Veda input'!AR$3,'RES Assumptions T15'!$V$3:$W$35,2,FALSE),'COM Techs T15'!$G$3:$U$3,0))</f>
        <v>1</v>
      </c>
      <c r="AS49" s="11">
        <f ca="1">OFFSET('COM Techs T15'!$W51,0,MATCH(VLOOKUP('COM Veda input'!AS$3,'RES Assumptions T15'!$V$3:$W$35,2,FALSE),'COM Techs T15'!$G$3:$U$3,0))</f>
        <v>1</v>
      </c>
      <c r="AT49" s="11">
        <f ca="1">OFFSET('COM Techs T15'!$W51,0,MATCH(VLOOKUP('COM Veda input'!AT$3,'RES Assumptions T15'!$V$3:$W$35,2,FALSE),'COM Techs T15'!$G$3:$U$3,0))</f>
        <v>1</v>
      </c>
      <c r="AU49" s="11">
        <f ca="1">OFFSET('COM Techs T15'!$W51,0,MATCH(VLOOKUP('COM Veda input'!AU$3,'RES Assumptions T15'!$V$3:$W$35,2,FALSE),'COM Techs T15'!$G$3:$U$3,0))</f>
        <v>1</v>
      </c>
      <c r="AV49" s="11">
        <f ca="1">OFFSET('COM Techs T15'!$W51,0,MATCH(VLOOKUP('COM Veda input'!AV$3,'RES Assumptions T15'!$V$3:$W$35,2,FALSE),'COM Techs T15'!$G$3:$U$3,0))</f>
        <v>1</v>
      </c>
      <c r="AW49" s="11">
        <f ca="1">OFFSET('COM Techs T15'!$W51,0,MATCH(VLOOKUP('COM Veda input'!AW$3,'RES Assumptions T15'!$V$3:$W$35,2,FALSE),'COM Techs T15'!$G$3:$U$3,0))</f>
        <v>1</v>
      </c>
      <c r="AX49" s="11">
        <f ca="1">OFFSET('COM Techs T15'!$W51,0,MATCH(VLOOKUP('COM Veda input'!AX$3,'RES Assumptions T15'!$V$3:$W$35,2,FALSE),'COM Techs T15'!$G$3:$U$3,0))</f>
        <v>1</v>
      </c>
      <c r="AY49" s="11">
        <f ca="1">OFFSET('COM Techs T15'!$W51,0,MATCH(VLOOKUP('COM Veda input'!AY$3,'RES Assumptions T15'!$V$3:$W$35,2,FALSE),'COM Techs T15'!$G$3:$U$3,0))</f>
        <v>1</v>
      </c>
      <c r="AZ49" s="11">
        <f ca="1">OFFSET('COM Techs T15'!$W51,0,MATCH(VLOOKUP('COM Veda input'!AZ$3,'RES Assumptions T15'!$V$3:$W$35,2,FALSE),'COM Techs T15'!$G$3:$U$3,0))</f>
        <v>1</v>
      </c>
      <c r="BA49" s="11">
        <f ca="1">OFFSET('COM Techs T15'!$W51,0,MATCH(VLOOKUP('COM Veda input'!BA$3,'RES Assumptions T15'!$V$3:$W$35,2,FALSE),'COM Techs T15'!$G$3:$U$3,0))</f>
        <v>1</v>
      </c>
      <c r="BB49" s="11">
        <f ca="1">OFFSET('COM Techs T15'!$W51,0,MATCH(VLOOKUP('COM Veda input'!BB$3,'RES Assumptions T15'!$V$3:$W$35,2,FALSE),'COM Techs T15'!$G$3:$U$3,0))</f>
        <v>1</v>
      </c>
      <c r="BC49" s="11">
        <f ca="1">OFFSET('COM Techs T15'!$W51,0,MATCH(VLOOKUP('COM Veda input'!BC$3,'RES Assumptions T15'!$V$3:$W$35,2,FALSE),'COM Techs T15'!$G$3:$U$3,0))</f>
        <v>1</v>
      </c>
      <c r="BD49" s="11">
        <f ca="1">OFFSET('COM Techs T15'!$W51,0,MATCH(VLOOKUP('COM Veda input'!BD$3,'RES Assumptions T15'!$V$3:$W$35,2,FALSE),'COM Techs T15'!$G$3:$U$3,0))</f>
        <v>1</v>
      </c>
      <c r="BE49" s="11">
        <f ca="1">OFFSET('COM Techs T15'!$W51,0,MATCH(VLOOKUP('COM Veda input'!BE$3,'RES Assumptions T15'!$V$3:$W$35,2,FALSE),'COM Techs T15'!$G$3:$U$3,0))</f>
        <v>1</v>
      </c>
      <c r="BF49" s="11">
        <f ca="1">OFFSET('COM Techs T15'!$W51,0,MATCH(VLOOKUP('COM Veda input'!BF$3,'RES Assumptions T15'!$V$3:$W$35,2,FALSE),'COM Techs T15'!$G$3:$U$3,0))</f>
        <v>1</v>
      </c>
      <c r="BG49" s="11">
        <f ca="1">OFFSET('COM Techs T15'!$W51,0,MATCH(VLOOKUP('COM Veda input'!BG$3,'RES Assumptions T15'!$V$3:$W$35,2,FALSE),'COM Techs T15'!$G$3:$U$3,0))</f>
        <v>1</v>
      </c>
      <c r="BH49" s="11">
        <f ca="1">OFFSET('COM Techs T15'!$W51,0,MATCH(VLOOKUP('COM Veda input'!BH$3,'RES Assumptions T15'!$V$3:$W$35,2,FALSE),'COM Techs T15'!$G$3:$U$3,0))</f>
        <v>1</v>
      </c>
      <c r="BI49" s="11">
        <f ca="1">OFFSET('COM Techs T15'!$W51,0,MATCH(VLOOKUP('COM Veda input'!BI$3,'RES Assumptions T15'!$V$3:$W$35,2,FALSE),'COM Techs T15'!$G$3:$U$3,0))</f>
        <v>1</v>
      </c>
      <c r="BJ49" s="11">
        <f ca="1">OFFSET('COM Techs T15'!$W51,0,MATCH(VLOOKUP('COM Veda input'!BJ$3,'RES Assumptions T15'!$V$3:$W$35,2,FALSE),'COM Techs T15'!$G$3:$U$3,0))</f>
        <v>1</v>
      </c>
      <c r="BK49" s="11">
        <f ca="1">OFFSET('COM Techs T15'!$W51,0,MATCH(VLOOKUP('COM Veda input'!BK$3,'RES Assumptions T15'!$V$3:$W$35,2,FALSE),'COM Techs T15'!$G$3:$U$3,0))</f>
        <v>1</v>
      </c>
      <c r="BL49" s="11">
        <f ca="1">OFFSET('COM Techs T15'!$W51,0,MATCH(VLOOKUP('COM Veda input'!BL$3,'RES Assumptions T15'!$V$3:$W$35,2,FALSE),'COM Techs T15'!$G$3:$U$3,0))</f>
        <v>1</v>
      </c>
      <c r="BM49" s="11">
        <f ca="1">OFFSET('COM Techs T15'!$W51,0,MATCH(VLOOKUP('COM Veda input'!BM$3,'RES Assumptions T15'!$V$3:$W$35,2,FALSE),'COM Techs T15'!$G$3:$U$3,0))</f>
        <v>1</v>
      </c>
      <c r="BN49" s="11">
        <f ca="1">OFFSET('COM Techs T15'!$W51,0,MATCH(VLOOKUP('COM Veda input'!BN$3,'RES Assumptions T15'!$V$3:$W$35,2,FALSE),'COM Techs T15'!$G$3:$U$3,0))</f>
        <v>1</v>
      </c>
      <c r="BO49" s="11">
        <f ca="1">OFFSET('COM Techs T15'!$W51,0,MATCH(VLOOKUP('COM Veda input'!BO$3,'RES Assumptions T15'!$V$3:$W$35,2,FALSE),'COM Techs T15'!$G$3:$U$3,0))</f>
        <v>1</v>
      </c>
      <c r="BP49" s="11">
        <f ca="1">OFFSET('COM Techs T15'!$W51,0,MATCH(VLOOKUP('COM Veda input'!BP$3,'RES Assumptions T15'!$V$3:$W$35,2,FALSE),'COM Techs T15'!$G$3:$U$3,0))</f>
        <v>1</v>
      </c>
      <c r="BQ49">
        <v>3</v>
      </c>
      <c r="BS49" s="8" t="str">
        <f t="shared" si="20"/>
        <v>COTNGA000</v>
      </c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 t="str">
        <f>IFERROR(IF(VLOOKUP($BS49,#REF!,CI$1,FALSE)="","",VLOOKUP($BS49,#REF!,CI$1,FALSE)),"")</f>
        <v/>
      </c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Z49" s="8" t="str">
        <f t="shared" si="22"/>
        <v>COTNGA000</v>
      </c>
      <c r="DA49" s="10">
        <f ca="1">'COM Assumptions'!E126*G49/'COM Veda input'!AM49</f>
        <v>0</v>
      </c>
      <c r="DB49" s="10">
        <f ca="1">'COM Assumptions'!F126*H49/'COM Veda input'!AN49</f>
        <v>0</v>
      </c>
      <c r="DC49" s="10">
        <f ca="1">'COM Assumptions'!G126*I49/'COM Veda input'!AO49</f>
        <v>0</v>
      </c>
      <c r="DD49" s="10">
        <f ca="1">'COM Assumptions'!H126*J49/'COM Veda input'!AP49</f>
        <v>0</v>
      </c>
      <c r="DE49" s="10">
        <f ca="1">'COM Assumptions'!I126*K49/'COM Veda input'!AQ49</f>
        <v>0</v>
      </c>
      <c r="DF49" s="10">
        <f ca="1">'COM Assumptions'!J126*L49/'COM Veda input'!AR49</f>
        <v>0</v>
      </c>
      <c r="DG49" s="10">
        <f ca="1">'COM Assumptions'!K126*M49/'COM Veda input'!AS49</f>
        <v>0</v>
      </c>
      <c r="DH49" s="10">
        <f ca="1">'COM Assumptions'!L126*N49/'COM Veda input'!AT49</f>
        <v>0</v>
      </c>
      <c r="DI49" s="10">
        <f ca="1">'COM Assumptions'!M126*O49/'COM Veda input'!AU49</f>
        <v>0</v>
      </c>
      <c r="DJ49" s="10">
        <f ca="1">'COM Assumptions'!N126*P49/'COM Veda input'!AV49</f>
        <v>0</v>
      </c>
      <c r="DK49" s="10">
        <f ca="1">'COM Assumptions'!O126*Q49/'COM Veda input'!AW49</f>
        <v>0</v>
      </c>
      <c r="DL49" s="10">
        <f ca="1">'COM Assumptions'!P126*R49/'COM Veda input'!AX49</f>
        <v>0</v>
      </c>
      <c r="DM49" s="10">
        <f ca="1">'COM Assumptions'!Q126*S49/'COM Veda input'!AY49</f>
        <v>0</v>
      </c>
      <c r="DN49" s="10">
        <f ca="1">'COM Assumptions'!R126*T49/'COM Veda input'!AZ49</f>
        <v>0</v>
      </c>
      <c r="DO49" s="10">
        <f ca="1">'COM Assumptions'!S126*U49/'COM Veda input'!BA49</f>
        <v>0</v>
      </c>
      <c r="DP49" s="10">
        <f ca="1">'COM Assumptions'!T126*V49/'COM Veda input'!BB49</f>
        <v>0</v>
      </c>
      <c r="DQ49" s="10">
        <f ca="1">'COM Assumptions'!U126*W49/'COM Veda input'!BC49</f>
        <v>0</v>
      </c>
      <c r="DR49" s="10">
        <f ca="1">'COM Assumptions'!V126*X49/'COM Veda input'!BD49</f>
        <v>0</v>
      </c>
      <c r="DS49" s="10">
        <f ca="1">'COM Assumptions'!W126*Y49/'COM Veda input'!BE49</f>
        <v>0</v>
      </c>
      <c r="DT49" s="10">
        <f ca="1">'COM Assumptions'!X126*Z49/'COM Veda input'!BF49</f>
        <v>0</v>
      </c>
      <c r="DU49" s="10">
        <f ca="1">'COM Assumptions'!Y126*AA49/'COM Veda input'!BG49</f>
        <v>0</v>
      </c>
      <c r="DV49" s="10">
        <f ca="1">'COM Assumptions'!Z126*AB49/'COM Veda input'!BH49</f>
        <v>0</v>
      </c>
      <c r="DW49" s="10">
        <f ca="1">'COM Assumptions'!AA126*AC49/'COM Veda input'!BI49</f>
        <v>0</v>
      </c>
      <c r="DX49" s="10">
        <f ca="1">'COM Assumptions'!AB126*AD49/'COM Veda input'!BJ49</f>
        <v>0</v>
      </c>
      <c r="DY49" s="10">
        <f ca="1">'COM Assumptions'!AC126*AE49/'COM Veda input'!BK49</f>
        <v>0</v>
      </c>
      <c r="DZ49" s="10">
        <f ca="1">'COM Assumptions'!AD126*AF49/'COM Veda input'!BL49</f>
        <v>0</v>
      </c>
      <c r="EA49" s="10">
        <f ca="1">'COM Assumptions'!AE126*AG49/'COM Veda input'!BM49</f>
        <v>0</v>
      </c>
      <c r="EB49" s="10">
        <f ca="1">'COM Assumptions'!AF126*AH49/'COM Veda input'!BN49</f>
        <v>0</v>
      </c>
      <c r="EC49" s="10">
        <f ca="1">'COM Assumptions'!AG126*AI49/'COM Veda input'!BO49</f>
        <v>0</v>
      </c>
      <c r="ED49" s="10">
        <f ca="1">'COM Assumptions'!AH126*AJ49/'COM Veda input'!BP49</f>
        <v>0</v>
      </c>
      <c r="EE49" s="8">
        <v>15</v>
      </c>
      <c r="EI49" s="8" t="str">
        <f t="shared" si="23"/>
        <v>COTNGA000</v>
      </c>
      <c r="EK49" t="s">
        <v>282</v>
      </c>
      <c r="EL49" t="s">
        <v>283</v>
      </c>
    </row>
    <row r="50" spans="1:142" x14ac:dyDescent="0.45">
      <c r="A50" s="37" t="str">
        <f>'COM Assumptions'!B127</f>
        <v>CRF</v>
      </c>
      <c r="B50" s="37" t="s">
        <v>251</v>
      </c>
      <c r="D50" t="s">
        <v>251</v>
      </c>
      <c r="E50" s="8" t="str">
        <f>'COM Assumptions'!A127</f>
        <v>COMELC</v>
      </c>
      <c r="F50" t="str">
        <f>VLOOKUP('COM Assumptions'!B127,'COM Assumptions'!$AP$81:$AQ$88,2,FALSE)</f>
        <v>CRF</v>
      </c>
      <c r="G50" s="11">
        <f ca="1">OFFSET('COM Techs T15'!$F52,0,MATCH(VLOOKUP('COM Veda input'!G$3,'RES Assumptions T15'!$V$3:$W$35,2,FALSE),'COM Techs T15'!$G$3:$U$3,0))</f>
        <v>2.5</v>
      </c>
      <c r="H50" s="11">
        <f ca="1">OFFSET('COM Techs T15'!$F52,0,MATCH(VLOOKUP('COM Veda input'!H$3,'RES Assumptions T15'!$V$3:$W$35,2,FALSE),'COM Techs T15'!$G$3:$U$3,0))</f>
        <v>2.5</v>
      </c>
      <c r="I50" s="11">
        <f ca="1">OFFSET('COM Techs T15'!$F52,0,MATCH(VLOOKUP('COM Veda input'!I$3,'RES Assumptions T15'!$V$3:$W$35,2,FALSE),'COM Techs T15'!$G$3:$U$3,0))</f>
        <v>2.5</v>
      </c>
      <c r="J50" s="11">
        <f ca="1">OFFSET('COM Techs T15'!$F52,0,MATCH(VLOOKUP('COM Veda input'!J$3,'RES Assumptions T15'!$V$3:$W$35,2,FALSE),'COM Techs T15'!$G$3:$U$3,0))</f>
        <v>2.5</v>
      </c>
      <c r="K50" s="11">
        <f ca="1">OFFSET('COM Techs T15'!$F52,0,MATCH(VLOOKUP('COM Veda input'!K$3,'RES Assumptions T15'!$V$3:$W$35,2,FALSE),'COM Techs T15'!$G$3:$U$3,0))</f>
        <v>2.5</v>
      </c>
      <c r="L50" s="11">
        <f ca="1">OFFSET('COM Techs T15'!$F52,0,MATCH(VLOOKUP('COM Veda input'!L$3,'RES Assumptions T15'!$V$3:$W$35,2,FALSE),'COM Techs T15'!$G$3:$U$3,0))</f>
        <v>2.5</v>
      </c>
      <c r="M50" s="11">
        <f ca="1">OFFSET('COM Techs T15'!$F52,0,MATCH(VLOOKUP('COM Veda input'!M$3,'RES Assumptions T15'!$V$3:$W$35,2,FALSE),'COM Techs T15'!$G$3:$U$3,0))</f>
        <v>2.5</v>
      </c>
      <c r="N50" s="11">
        <f ca="1">OFFSET('COM Techs T15'!$F52,0,MATCH(VLOOKUP('COM Veda input'!N$3,'RES Assumptions T15'!$V$3:$W$35,2,FALSE),'COM Techs T15'!$G$3:$U$3,0))</f>
        <v>2.5</v>
      </c>
      <c r="O50" s="11">
        <f ca="1">OFFSET('COM Techs T15'!$F52,0,MATCH(VLOOKUP('COM Veda input'!O$3,'RES Assumptions T15'!$V$3:$W$35,2,FALSE),'COM Techs T15'!$G$3:$U$3,0))</f>
        <v>2.5</v>
      </c>
      <c r="P50" s="11">
        <f ca="1">OFFSET('COM Techs T15'!$F52,0,MATCH(VLOOKUP('COM Veda input'!P$3,'RES Assumptions T15'!$V$3:$W$35,2,FALSE),'COM Techs T15'!$G$3:$U$3,0))</f>
        <v>2.5</v>
      </c>
      <c r="Q50" s="11">
        <f ca="1">OFFSET('COM Techs T15'!$F52,0,MATCH(VLOOKUP('COM Veda input'!Q$3,'RES Assumptions T15'!$V$3:$W$35,2,FALSE),'COM Techs T15'!$G$3:$U$3,0))</f>
        <v>2.5</v>
      </c>
      <c r="R50" s="11">
        <f ca="1">OFFSET('COM Techs T15'!$F52,0,MATCH(VLOOKUP('COM Veda input'!R$3,'RES Assumptions T15'!$V$3:$W$35,2,FALSE),'COM Techs T15'!$G$3:$U$3,0))</f>
        <v>2.5</v>
      </c>
      <c r="S50" s="11">
        <f ca="1">OFFSET('COM Techs T15'!$F52,0,MATCH(VLOOKUP('COM Veda input'!S$3,'RES Assumptions T15'!$V$3:$W$35,2,FALSE),'COM Techs T15'!$G$3:$U$3,0))</f>
        <v>2.5</v>
      </c>
      <c r="T50" s="11">
        <f ca="1">OFFSET('COM Techs T15'!$F52,0,MATCH(VLOOKUP('COM Veda input'!T$3,'RES Assumptions T15'!$V$3:$W$35,2,FALSE),'COM Techs T15'!$G$3:$U$3,0))</f>
        <v>2.5</v>
      </c>
      <c r="U50" s="11">
        <f ca="1">OFFSET('COM Techs T15'!$F52,0,MATCH(VLOOKUP('COM Veda input'!U$3,'RES Assumptions T15'!$V$3:$W$35,2,FALSE),'COM Techs T15'!$G$3:$U$3,0))</f>
        <v>2.5</v>
      </c>
      <c r="V50" s="11">
        <f ca="1">OFFSET('COM Techs T15'!$F52,0,MATCH(VLOOKUP('COM Veda input'!V$3,'RES Assumptions T15'!$V$3:$W$35,2,FALSE),'COM Techs T15'!$G$3:$U$3,0))</f>
        <v>2.5</v>
      </c>
      <c r="W50" s="11">
        <f ca="1">OFFSET('COM Techs T15'!$F52,0,MATCH(VLOOKUP('COM Veda input'!W$3,'RES Assumptions T15'!$V$3:$W$35,2,FALSE),'COM Techs T15'!$G$3:$U$3,0))</f>
        <v>2.5</v>
      </c>
      <c r="X50" s="11">
        <f ca="1">OFFSET('COM Techs T15'!$F52,0,MATCH(VLOOKUP('COM Veda input'!X$3,'RES Assumptions T15'!$V$3:$W$35,2,FALSE),'COM Techs T15'!$G$3:$U$3,0))</f>
        <v>2.5</v>
      </c>
      <c r="Y50" s="11">
        <f ca="1">OFFSET('COM Techs T15'!$F52,0,MATCH(VLOOKUP('COM Veda input'!Y$3,'RES Assumptions T15'!$V$3:$W$35,2,FALSE),'COM Techs T15'!$G$3:$U$3,0))</f>
        <v>2.5</v>
      </c>
      <c r="Z50" s="11">
        <f ca="1">OFFSET('COM Techs T15'!$F52,0,MATCH(VLOOKUP('COM Veda input'!Z$3,'RES Assumptions T15'!$V$3:$W$35,2,FALSE),'COM Techs T15'!$G$3:$U$3,0))</f>
        <v>2.5</v>
      </c>
      <c r="AA50" s="11">
        <f ca="1">OFFSET('COM Techs T15'!$F52,0,MATCH(VLOOKUP('COM Veda input'!AA$3,'RES Assumptions T15'!$V$3:$W$35,2,FALSE),'COM Techs T15'!$G$3:$U$3,0))</f>
        <v>2.5</v>
      </c>
      <c r="AB50" s="11">
        <f ca="1">OFFSET('COM Techs T15'!$F52,0,MATCH(VLOOKUP('COM Veda input'!AB$3,'RES Assumptions T15'!$V$3:$W$35,2,FALSE),'COM Techs T15'!$G$3:$U$3,0))</f>
        <v>2.5</v>
      </c>
      <c r="AC50" s="11">
        <f ca="1">OFFSET('COM Techs T15'!$F52,0,MATCH(VLOOKUP('COM Veda input'!AC$3,'RES Assumptions T15'!$V$3:$W$35,2,FALSE),'COM Techs T15'!$G$3:$U$3,0))</f>
        <v>2.5</v>
      </c>
      <c r="AD50" s="11">
        <f ca="1">OFFSET('COM Techs T15'!$F52,0,MATCH(VLOOKUP('COM Veda input'!AD$3,'RES Assumptions T15'!$V$3:$W$35,2,FALSE),'COM Techs T15'!$G$3:$U$3,0))</f>
        <v>2.5</v>
      </c>
      <c r="AE50" s="11">
        <f ca="1">OFFSET('COM Techs T15'!$F52,0,MATCH(VLOOKUP('COM Veda input'!AE$3,'RES Assumptions T15'!$V$3:$W$35,2,FALSE),'COM Techs T15'!$G$3:$U$3,0))</f>
        <v>2.5</v>
      </c>
      <c r="AF50" s="11">
        <f ca="1">OFFSET('COM Techs T15'!$F52,0,MATCH(VLOOKUP('COM Veda input'!AF$3,'RES Assumptions T15'!$V$3:$W$35,2,FALSE),'COM Techs T15'!$G$3:$U$3,0))</f>
        <v>2.5</v>
      </c>
      <c r="AG50" s="11">
        <f ca="1">OFFSET('COM Techs T15'!$F52,0,MATCH(VLOOKUP('COM Veda input'!AG$3,'RES Assumptions T15'!$V$3:$W$35,2,FALSE),'COM Techs T15'!$G$3:$U$3,0))</f>
        <v>2.5</v>
      </c>
      <c r="AH50" s="11">
        <f ca="1">OFFSET('COM Techs T15'!$F52,0,MATCH(VLOOKUP('COM Veda input'!AH$3,'RES Assumptions T15'!$V$3:$W$35,2,FALSE),'COM Techs T15'!$G$3:$U$3,0))</f>
        <v>2.5</v>
      </c>
      <c r="AI50" s="11">
        <f ca="1">OFFSET('COM Techs T15'!$F52,0,MATCH(VLOOKUP('COM Veda input'!AI$3,'RES Assumptions T15'!$V$3:$W$35,2,FALSE),'COM Techs T15'!$G$3:$U$3,0))</f>
        <v>2.5</v>
      </c>
      <c r="AJ50" s="11">
        <f ca="1">OFFSET('COM Techs T15'!$F52,0,MATCH(VLOOKUP('COM Veda input'!AJ$3,'RES Assumptions T15'!$V$3:$W$35,2,FALSE),'COM Techs T15'!$G$3:$U$3,0))</f>
        <v>2.5</v>
      </c>
      <c r="AL50" s="8" t="str">
        <f t="shared" si="19"/>
        <v>CRFELC000</v>
      </c>
      <c r="AM50" s="11">
        <f ca="1">OFFSET('COM Techs T15'!$W52,0,MATCH(VLOOKUP('COM Veda input'!AM$3,'RES Assumptions T15'!$V$3:$W$35,2,FALSE),'COM Techs T15'!$G$3:$U$3,0))</f>
        <v>1</v>
      </c>
      <c r="AN50" s="11">
        <f ca="1">OFFSET('COM Techs T15'!$W52,0,MATCH(VLOOKUP('COM Veda input'!AN$3,'RES Assumptions T15'!$V$3:$W$35,2,FALSE),'COM Techs T15'!$G$3:$U$3,0))</f>
        <v>1</v>
      </c>
      <c r="AO50" s="11">
        <f ca="1">OFFSET('COM Techs T15'!$W52,0,MATCH(VLOOKUP('COM Veda input'!AO$3,'RES Assumptions T15'!$V$3:$W$35,2,FALSE),'COM Techs T15'!$G$3:$U$3,0))</f>
        <v>1</v>
      </c>
      <c r="AP50" s="11">
        <f ca="1">OFFSET('COM Techs T15'!$W52,0,MATCH(VLOOKUP('COM Veda input'!AP$3,'RES Assumptions T15'!$V$3:$W$35,2,FALSE),'COM Techs T15'!$G$3:$U$3,0))</f>
        <v>1</v>
      </c>
      <c r="AQ50" s="11">
        <f ca="1">OFFSET('COM Techs T15'!$W52,0,MATCH(VLOOKUP('COM Veda input'!AQ$3,'RES Assumptions T15'!$V$3:$W$35,2,FALSE),'COM Techs T15'!$G$3:$U$3,0))</f>
        <v>1</v>
      </c>
      <c r="AR50" s="11">
        <f ca="1">OFFSET('COM Techs T15'!$W52,0,MATCH(VLOOKUP('COM Veda input'!AR$3,'RES Assumptions T15'!$V$3:$W$35,2,FALSE),'COM Techs T15'!$G$3:$U$3,0))</f>
        <v>1</v>
      </c>
      <c r="AS50" s="11">
        <f ca="1">OFFSET('COM Techs T15'!$W52,0,MATCH(VLOOKUP('COM Veda input'!AS$3,'RES Assumptions T15'!$V$3:$W$35,2,FALSE),'COM Techs T15'!$G$3:$U$3,0))</f>
        <v>1</v>
      </c>
      <c r="AT50" s="11">
        <f ca="1">OFFSET('COM Techs T15'!$W52,0,MATCH(VLOOKUP('COM Veda input'!AT$3,'RES Assumptions T15'!$V$3:$W$35,2,FALSE),'COM Techs T15'!$G$3:$U$3,0))</f>
        <v>1</v>
      </c>
      <c r="AU50" s="11">
        <f ca="1">OFFSET('COM Techs T15'!$W52,0,MATCH(VLOOKUP('COM Veda input'!AU$3,'RES Assumptions T15'!$V$3:$W$35,2,FALSE),'COM Techs T15'!$G$3:$U$3,0))</f>
        <v>1</v>
      </c>
      <c r="AV50" s="11">
        <f ca="1">OFFSET('COM Techs T15'!$W52,0,MATCH(VLOOKUP('COM Veda input'!AV$3,'RES Assumptions T15'!$V$3:$W$35,2,FALSE),'COM Techs T15'!$G$3:$U$3,0))</f>
        <v>1</v>
      </c>
      <c r="AW50" s="11">
        <f ca="1">OFFSET('COM Techs T15'!$W52,0,MATCH(VLOOKUP('COM Veda input'!AW$3,'RES Assumptions T15'!$V$3:$W$35,2,FALSE),'COM Techs T15'!$G$3:$U$3,0))</f>
        <v>1</v>
      </c>
      <c r="AX50" s="11">
        <f ca="1">OFFSET('COM Techs T15'!$W52,0,MATCH(VLOOKUP('COM Veda input'!AX$3,'RES Assumptions T15'!$V$3:$W$35,2,FALSE),'COM Techs T15'!$G$3:$U$3,0))</f>
        <v>1</v>
      </c>
      <c r="AY50" s="11">
        <f ca="1">OFFSET('COM Techs T15'!$W52,0,MATCH(VLOOKUP('COM Veda input'!AY$3,'RES Assumptions T15'!$V$3:$W$35,2,FALSE),'COM Techs T15'!$G$3:$U$3,0))</f>
        <v>1</v>
      </c>
      <c r="AZ50" s="11">
        <f ca="1">OFFSET('COM Techs T15'!$W52,0,MATCH(VLOOKUP('COM Veda input'!AZ$3,'RES Assumptions T15'!$V$3:$W$35,2,FALSE),'COM Techs T15'!$G$3:$U$3,0))</f>
        <v>1</v>
      </c>
      <c r="BA50" s="11">
        <f ca="1">OFFSET('COM Techs T15'!$W52,0,MATCH(VLOOKUP('COM Veda input'!BA$3,'RES Assumptions T15'!$V$3:$W$35,2,FALSE),'COM Techs T15'!$G$3:$U$3,0))</f>
        <v>1</v>
      </c>
      <c r="BB50" s="11">
        <f ca="1">OFFSET('COM Techs T15'!$W52,0,MATCH(VLOOKUP('COM Veda input'!BB$3,'RES Assumptions T15'!$V$3:$W$35,2,FALSE),'COM Techs T15'!$G$3:$U$3,0))</f>
        <v>1</v>
      </c>
      <c r="BC50" s="11">
        <f ca="1">OFFSET('COM Techs T15'!$W52,0,MATCH(VLOOKUP('COM Veda input'!BC$3,'RES Assumptions T15'!$V$3:$W$35,2,FALSE),'COM Techs T15'!$G$3:$U$3,0))</f>
        <v>1</v>
      </c>
      <c r="BD50" s="11">
        <f ca="1">OFFSET('COM Techs T15'!$W52,0,MATCH(VLOOKUP('COM Veda input'!BD$3,'RES Assumptions T15'!$V$3:$W$35,2,FALSE),'COM Techs T15'!$G$3:$U$3,0))</f>
        <v>1</v>
      </c>
      <c r="BE50" s="11">
        <f ca="1">OFFSET('COM Techs T15'!$W52,0,MATCH(VLOOKUP('COM Veda input'!BE$3,'RES Assumptions T15'!$V$3:$W$35,2,FALSE),'COM Techs T15'!$G$3:$U$3,0))</f>
        <v>1</v>
      </c>
      <c r="BF50" s="11">
        <f ca="1">OFFSET('COM Techs T15'!$W52,0,MATCH(VLOOKUP('COM Veda input'!BF$3,'RES Assumptions T15'!$V$3:$W$35,2,FALSE),'COM Techs T15'!$G$3:$U$3,0))</f>
        <v>1</v>
      </c>
      <c r="BG50" s="11">
        <f ca="1">OFFSET('COM Techs T15'!$W52,0,MATCH(VLOOKUP('COM Veda input'!BG$3,'RES Assumptions T15'!$V$3:$W$35,2,FALSE),'COM Techs T15'!$G$3:$U$3,0))</f>
        <v>1</v>
      </c>
      <c r="BH50" s="11">
        <f ca="1">OFFSET('COM Techs T15'!$W52,0,MATCH(VLOOKUP('COM Veda input'!BH$3,'RES Assumptions T15'!$V$3:$W$35,2,FALSE),'COM Techs T15'!$G$3:$U$3,0))</f>
        <v>1</v>
      </c>
      <c r="BI50" s="11">
        <f ca="1">OFFSET('COM Techs T15'!$W52,0,MATCH(VLOOKUP('COM Veda input'!BI$3,'RES Assumptions T15'!$V$3:$W$35,2,FALSE),'COM Techs T15'!$G$3:$U$3,0))</f>
        <v>1</v>
      </c>
      <c r="BJ50" s="11">
        <f ca="1">OFFSET('COM Techs T15'!$W52,0,MATCH(VLOOKUP('COM Veda input'!BJ$3,'RES Assumptions T15'!$V$3:$W$35,2,FALSE),'COM Techs T15'!$G$3:$U$3,0))</f>
        <v>1</v>
      </c>
      <c r="BK50" s="11">
        <f ca="1">OFFSET('COM Techs T15'!$W52,0,MATCH(VLOOKUP('COM Veda input'!BK$3,'RES Assumptions T15'!$V$3:$W$35,2,FALSE),'COM Techs T15'!$G$3:$U$3,0))</f>
        <v>1</v>
      </c>
      <c r="BL50" s="11">
        <f ca="1">OFFSET('COM Techs T15'!$W52,0,MATCH(VLOOKUP('COM Veda input'!BL$3,'RES Assumptions T15'!$V$3:$W$35,2,FALSE),'COM Techs T15'!$G$3:$U$3,0))</f>
        <v>1</v>
      </c>
      <c r="BM50" s="11">
        <f ca="1">OFFSET('COM Techs T15'!$W52,0,MATCH(VLOOKUP('COM Veda input'!BM$3,'RES Assumptions T15'!$V$3:$W$35,2,FALSE),'COM Techs T15'!$G$3:$U$3,0))</f>
        <v>1</v>
      </c>
      <c r="BN50" s="11">
        <f ca="1">OFFSET('COM Techs T15'!$W52,0,MATCH(VLOOKUP('COM Veda input'!BN$3,'RES Assumptions T15'!$V$3:$W$35,2,FALSE),'COM Techs T15'!$G$3:$U$3,0))</f>
        <v>1</v>
      </c>
      <c r="BO50" s="11">
        <f ca="1">OFFSET('COM Techs T15'!$W52,0,MATCH(VLOOKUP('COM Veda input'!BO$3,'RES Assumptions T15'!$V$3:$W$35,2,FALSE),'COM Techs T15'!$G$3:$U$3,0))</f>
        <v>1</v>
      </c>
      <c r="BP50" s="11">
        <f ca="1">OFFSET('COM Techs T15'!$W52,0,MATCH(VLOOKUP('COM Veda input'!BP$3,'RES Assumptions T15'!$V$3:$W$35,2,FALSE),'COM Techs T15'!$G$3:$U$3,0))</f>
        <v>1</v>
      </c>
      <c r="BQ50">
        <v>3</v>
      </c>
      <c r="BS50" s="8" t="str">
        <f t="shared" si="20"/>
        <v>CRFELC000</v>
      </c>
      <c r="BT50" s="8">
        <f t="shared" ref="BT50" si="24">MIN(BU50:CI50)</f>
        <v>0</v>
      </c>
      <c r="BU50" s="8" t="str">
        <f>IFERROR(IF(VLOOKUP($BS50,#REF!,BU$1,FALSE)="","",VLOOKUP($BS50,#REF!,BU$1,FALSE)),"")</f>
        <v/>
      </c>
      <c r="BV50" s="8" t="str">
        <f>IFERROR(IF(VLOOKUP($BS50,#REF!,BV$1,FALSE)="","",VLOOKUP($BS50,#REF!,BV$1,FALSE)),"")</f>
        <v/>
      </c>
      <c r="BW50" s="8" t="str">
        <f>IFERROR(IF(VLOOKUP($BS50,#REF!,BW$1,FALSE)="","",VLOOKUP($BS50,#REF!,BW$1,FALSE)),"")</f>
        <v/>
      </c>
      <c r="BX50" s="8" t="str">
        <f>IFERROR(IF(VLOOKUP($BS50,#REF!,BX$1,FALSE)="","",VLOOKUP($BS50,#REF!,BX$1,FALSE)),"")</f>
        <v/>
      </c>
      <c r="BY50" s="8" t="str">
        <f>IFERROR(IF(VLOOKUP($BS50,#REF!,BY$1,FALSE)="","",VLOOKUP($BS50,#REF!,BY$1,FALSE)),"")</f>
        <v/>
      </c>
      <c r="BZ50" s="8" t="str">
        <f>IFERROR(IF(VLOOKUP($BS50,#REF!,BZ$1,FALSE)="","",VLOOKUP($BS50,#REF!,BZ$1,FALSE)),"")</f>
        <v/>
      </c>
      <c r="CA50" s="8" t="str">
        <f>IFERROR(IF(VLOOKUP($BS50,#REF!,CA$1,FALSE)="","",VLOOKUP($BS50,#REF!,CA$1,FALSE)),"")</f>
        <v/>
      </c>
      <c r="CB50" s="8" t="str">
        <f>IFERROR(IF(VLOOKUP($BS50,#REF!,CB$1,FALSE)="","",VLOOKUP($BS50,#REF!,CB$1,FALSE)),"")</f>
        <v/>
      </c>
      <c r="CC50" s="8" t="str">
        <f>IFERROR(IF(VLOOKUP($BS50,#REF!,CC$1,FALSE)="","",VLOOKUP($BS50,#REF!,CC$1,FALSE)),"")</f>
        <v/>
      </c>
      <c r="CD50" s="8" t="str">
        <f>IFERROR(IF(VLOOKUP($BS50,#REF!,CD$1,FALSE)="","",VLOOKUP($BS50,#REF!,CD$1,FALSE)),"")</f>
        <v/>
      </c>
      <c r="CE50" s="8" t="str">
        <f>IFERROR(IF(VLOOKUP($BS50,#REF!,CE$1,FALSE)="","",VLOOKUP($BS50,#REF!,CE$1,FALSE)),"")</f>
        <v/>
      </c>
      <c r="CF50" s="8" t="str">
        <f>IFERROR(IF(VLOOKUP($BS50,#REF!,CF$1,FALSE)="","",VLOOKUP($BS50,#REF!,CF$1,FALSE)),"")</f>
        <v/>
      </c>
      <c r="CG50" s="8" t="str">
        <f>IFERROR(IF(VLOOKUP($BS50,#REF!,CG$1,FALSE)="","",VLOOKUP($BS50,#REF!,CG$1,FALSE)),"")</f>
        <v/>
      </c>
      <c r="CH50" s="8" t="str">
        <f>IFERROR(IF(VLOOKUP($BS50,#REF!,CH$1,FALSE)="","",VLOOKUP($BS50,#REF!,CH$1,FALSE)),"")</f>
        <v/>
      </c>
      <c r="CI50" s="8" t="str">
        <f>IFERROR(IF(VLOOKUP($BS50,#REF!,CI$1,FALSE)="","",VLOOKUP($BS50,#REF!,CI$1,FALSE)),"")</f>
        <v/>
      </c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Z50" s="8" t="str">
        <f t="shared" si="22"/>
        <v>CRFELC000</v>
      </c>
      <c r="DA50" s="10">
        <f ca="1">'COM Assumptions'!E127*G50/'COM Veda input'!AM50</f>
        <v>71.778473555849999</v>
      </c>
      <c r="DB50" s="10">
        <f ca="1">'COM Assumptions'!F127*H50/'COM Veda input'!AN50</f>
        <v>44.249978330099999</v>
      </c>
      <c r="DC50" s="10">
        <f ca="1">'COM Assumptions'!G127*I50/'COM Veda input'!AO50</f>
        <v>93.775029490799994</v>
      </c>
      <c r="DD50" s="10">
        <f ca="1">'COM Assumptions'!H127*J50/'COM Veda input'!AP50</f>
        <v>24.413600285100003</v>
      </c>
      <c r="DE50" s="10">
        <f ca="1">'COM Assumptions'!I127*K50/'COM Veda input'!AQ50</f>
        <v>388.95438517784999</v>
      </c>
      <c r="DF50" s="10">
        <f ca="1">'COM Assumptions'!J127*L50/'COM Veda input'!AR50</f>
        <v>583.05455093160003</v>
      </c>
      <c r="DG50" s="10">
        <f ca="1">'COM Assumptions'!K127*M50/'COM Veda input'!AS50</f>
        <v>145.4594782266</v>
      </c>
      <c r="DH50" s="10">
        <f ca="1">'COM Assumptions'!L127*N50/'COM Veda input'!AT50</f>
        <v>304.65114547679997</v>
      </c>
      <c r="DI50" s="10">
        <f ca="1">'COM Assumptions'!M127*O50/'COM Veda input'!AU50</f>
        <v>68.105700075599998</v>
      </c>
      <c r="DJ50" s="10">
        <f ca="1">'COM Assumptions'!N127*P50/'COM Veda input'!AV50</f>
        <v>350.87377586688001</v>
      </c>
      <c r="DK50" s="10">
        <f ca="1">'COM Assumptions'!O127*Q50/'COM Veda input'!AW50</f>
        <v>44.814856885289991</v>
      </c>
      <c r="DL50" s="10">
        <f ca="1">'COM Assumptions'!P127*R50/'COM Veda input'!AX50</f>
        <v>84.402791861400019</v>
      </c>
      <c r="DM50" s="10">
        <f ca="1">'COM Assumptions'!Q127*S50/'COM Veda input'!AY50</f>
        <v>59.277078546929985</v>
      </c>
      <c r="DN50" s="10">
        <f ca="1">'COM Assumptions'!R127*T50/'COM Veda input'!AZ50</f>
        <v>89.416480569930002</v>
      </c>
      <c r="DO50" s="10">
        <f ca="1">'COM Assumptions'!S127*U50/'COM Veda input'!BA50</f>
        <v>32.016660566399999</v>
      </c>
      <c r="DP50" s="10">
        <f ca="1">'COM Assumptions'!T127*V50/'COM Veda input'!BB50</f>
        <v>73.766480600159994</v>
      </c>
      <c r="DQ50" s="10">
        <f ca="1">'COM Assumptions'!U127*W50/'COM Veda input'!BC50</f>
        <v>257.53118514290998</v>
      </c>
      <c r="DR50" s="10">
        <f ca="1">'COM Assumptions'!V127*X50/'COM Veda input'!BD50</f>
        <v>110.65335054183001</v>
      </c>
      <c r="DS50" s="10">
        <f ca="1">'COM Assumptions'!W127*Y50/'COM Veda input'!BE50</f>
        <v>105.27894033372</v>
      </c>
      <c r="DT50" s="10">
        <f ca="1">'COM Assumptions'!X127*Z50/'COM Veda input'!BF50</f>
        <v>173.89902134169003</v>
      </c>
      <c r="DU50" s="10">
        <f ca="1">'COM Assumptions'!Y127*AA50/'COM Veda input'!BG50</f>
        <v>193.00581693431997</v>
      </c>
      <c r="DV50" s="10">
        <f ca="1">'COM Assumptions'!Z127*AB50/'COM Veda input'!BH50</f>
        <v>51.689698983</v>
      </c>
      <c r="DW50" s="10">
        <f ca="1">'COM Assumptions'!AA127*AC50/'COM Veda input'!BI50</f>
        <v>292.73208044283001</v>
      </c>
      <c r="DX50" s="10">
        <f ca="1">'COM Assumptions'!AB127*AD50/'COM Veda input'!BJ50</f>
        <v>22.320399472109997</v>
      </c>
      <c r="DY50" s="10">
        <f ca="1">'COM Assumptions'!AC127*AE50/'COM Veda input'!BK50</f>
        <v>137.58200983980001</v>
      </c>
      <c r="DZ50" s="10">
        <f ca="1">'COM Assumptions'!AD127*AF50/'COM Veda input'!BL50</f>
        <v>231.32570228397</v>
      </c>
      <c r="EA50" s="10">
        <f ca="1">'COM Assumptions'!AE127*AG50/'COM Veda input'!BM50</f>
        <v>50.095265059799992</v>
      </c>
      <c r="EB50" s="10">
        <f ca="1">'COM Assumptions'!AF127*AH50/'COM Veda input'!BN50</f>
        <v>72.997713467909989</v>
      </c>
      <c r="EC50" s="10">
        <f ca="1">'COM Assumptions'!AG127*AI50/'COM Veda input'!BO50</f>
        <v>733.12799767580361</v>
      </c>
      <c r="ED50" s="10">
        <f ca="1">'COM Assumptions'!AH127*AJ50/'COM Veda input'!BP50</f>
        <v>0</v>
      </c>
      <c r="EE50" s="8">
        <v>15</v>
      </c>
      <c r="EI50" s="8" t="str">
        <f t="shared" si="23"/>
        <v>CRFELC000</v>
      </c>
      <c r="EK50" t="s">
        <v>282</v>
      </c>
      <c r="EL50" t="s">
        <v>283</v>
      </c>
    </row>
    <row r="52" spans="1:142" x14ac:dyDescent="0.45">
      <c r="F52" t="s">
        <v>42</v>
      </c>
    </row>
    <row r="53" spans="1:142" x14ac:dyDescent="0.45">
      <c r="F53" t="s">
        <v>41</v>
      </c>
      <c r="G53" s="44" t="str">
        <f t="shared" ref="G53:AJ53" si="25">G3</f>
        <v>Africa_north</v>
      </c>
      <c r="H53" s="44" t="str">
        <f t="shared" si="25"/>
        <v>Africa_other</v>
      </c>
      <c r="I53" s="44" t="str">
        <f t="shared" si="25"/>
        <v>Arg-Chi</v>
      </c>
      <c r="J53" s="44" t="str">
        <f t="shared" si="25"/>
        <v>Asia_central</v>
      </c>
      <c r="K53" s="44" t="str">
        <f t="shared" si="25"/>
        <v>Asia_east</v>
      </c>
      <c r="L53" s="44" t="str">
        <f t="shared" si="25"/>
        <v>Asia_other</v>
      </c>
      <c r="M53" s="44" t="str">
        <f t="shared" si="25"/>
        <v>Australia_NZ</v>
      </c>
      <c r="N53" s="44" t="str">
        <f t="shared" si="25"/>
        <v>Brazil</v>
      </c>
      <c r="O53" s="44" t="str">
        <f t="shared" si="25"/>
        <v>Canada</v>
      </c>
      <c r="P53" s="44" t="str">
        <f t="shared" si="25"/>
        <v>China</v>
      </c>
      <c r="Q53" s="44" t="str">
        <f t="shared" si="25"/>
        <v>EU_north</v>
      </c>
      <c r="R53" s="44" t="str">
        <f t="shared" si="25"/>
        <v>EU_northeast</v>
      </c>
      <c r="S53" s="44" t="str">
        <f t="shared" si="25"/>
        <v>EU_northwest</v>
      </c>
      <c r="T53" s="44" t="str">
        <f t="shared" si="25"/>
        <v>EU_south</v>
      </c>
      <c r="U53" s="44" t="str">
        <f t="shared" si="25"/>
        <v>EU_southeast</v>
      </c>
      <c r="V53" s="44" t="str">
        <f t="shared" si="25"/>
        <v>EU_southwest</v>
      </c>
      <c r="W53" s="44" t="str">
        <f t="shared" si="25"/>
        <v>Europe_other</v>
      </c>
      <c r="X53" s="44" t="str">
        <f t="shared" si="25"/>
        <v>France</v>
      </c>
      <c r="Y53" s="44" t="str">
        <f t="shared" si="25"/>
        <v>Germany</v>
      </c>
      <c r="Z53" s="44" t="str">
        <f t="shared" si="25"/>
        <v>India</v>
      </c>
      <c r="AA53" s="44" t="str">
        <f t="shared" si="25"/>
        <v>LatAm_other</v>
      </c>
      <c r="AB53" s="44" t="str">
        <f t="shared" si="25"/>
        <v>Mexico</v>
      </c>
      <c r="AC53" s="44" t="str">
        <f t="shared" si="25"/>
        <v>MidEast_other</v>
      </c>
      <c r="AD53" s="44" t="str">
        <f t="shared" si="25"/>
        <v>Nor-Ice</v>
      </c>
      <c r="AE53" s="44" t="str">
        <f t="shared" si="25"/>
        <v>Russia</v>
      </c>
      <c r="AF53" s="44" t="str">
        <f t="shared" si="25"/>
        <v>SaudiArabia</v>
      </c>
      <c r="AG53" s="44" t="str">
        <f t="shared" si="25"/>
        <v>SouthAfrica</v>
      </c>
      <c r="AH53" s="44" t="str">
        <f t="shared" si="25"/>
        <v>UK</v>
      </c>
      <c r="AI53" s="44" t="str">
        <f t="shared" si="25"/>
        <v>USA</v>
      </c>
      <c r="AJ53" s="44" t="str">
        <f t="shared" si="25"/>
        <v>\I:</v>
      </c>
    </row>
    <row r="54" spans="1:142" x14ac:dyDescent="0.45">
      <c r="A54" s="37" t="s">
        <v>86</v>
      </c>
      <c r="F54" s="8" t="s">
        <v>86</v>
      </c>
      <c r="G54" s="45" cm="1">
        <f t="array" aca="1" ref="G54" ca="1">SUMPRODUCT(--($A$4:$A$50=$A54),G$4:G$50,'COM Assumptions'!E$81:E$127)</f>
        <v>21.445393818042</v>
      </c>
      <c r="H54" s="45" cm="1">
        <f t="array" aca="1" ref="H54" ca="1">SUMPRODUCT(--($A$4:$A$50=$A54),H$4:H$50,'COM Assumptions'!F$81:F$127)</f>
        <v>50.418789374394002</v>
      </c>
      <c r="I54" s="45" cm="1">
        <f t="array" aca="1" ref="I54" ca="1">SUMPRODUCT(--($A$4:$A$50=$A54),I$4:I$50,'COM Assumptions'!G$81:G$127)</f>
        <v>39.819298046526001</v>
      </c>
      <c r="J54" s="45" cm="1">
        <f t="array" aca="1" ref="J54" ca="1">SUMPRODUCT(--($A$4:$A$50=$A54),J$4:J$50,'COM Assumptions'!H$81:H$127)</f>
        <v>43.243388173604203</v>
      </c>
      <c r="K54" s="45" cm="1">
        <f t="array" aca="1" ref="K54" ca="1">SUMPRODUCT(--($A$4:$A$50=$A54),K$4:K$50,'COM Assumptions'!I$81:I$127)</f>
        <v>130.88878495893363</v>
      </c>
      <c r="L54" s="45" cm="1">
        <f t="array" aca="1" ref="L54" ca="1">SUMPRODUCT(--($A$4:$A$50=$A54),L$4:L$50,'COM Assumptions'!J$81:J$127)</f>
        <v>109.64104034343839</v>
      </c>
      <c r="M54" s="45" cm="1">
        <f t="array" aca="1" ref="M54" ca="1">SUMPRODUCT(--($A$4:$A$50=$A54),M$4:M$50,'COM Assumptions'!K$81:K$127)</f>
        <v>14.080676463306</v>
      </c>
      <c r="N54" s="45" cm="1">
        <f t="array" aca="1" ref="N54" ca="1">SUMPRODUCT(--($A$4:$A$50=$A54),N$4:N$50,'COM Assumptions'!L$81:L$127)</f>
        <v>24.267629135952003</v>
      </c>
      <c r="O54" s="45" cm="1">
        <f t="array" aca="1" ref="O54" ca="1">SUMPRODUCT(--($A$4:$A$50=$A54),O$4:O$50,'COM Assumptions'!M$81:M$127)</f>
        <v>68.259220414520399</v>
      </c>
      <c r="P54" s="45" cm="1">
        <f t="array" aca="1" ref="P54" ca="1">SUMPRODUCT(--($A$4:$A$50=$A54),P$4:P$50,'COM Assumptions'!N$81:N$127)</f>
        <v>395.44609657165381</v>
      </c>
      <c r="Q54" s="45" cm="1">
        <f t="array" aca="1" ref="Q54" ca="1">SUMPRODUCT(--($A$4:$A$50=$A54),Q$4:Q$50,'COM Assumptions'!O$81:O$127)</f>
        <v>7.7250100171391995</v>
      </c>
      <c r="R54" s="45" cm="1">
        <f t="array" aca="1" ref="R54" ca="1">SUMPRODUCT(--($A$4:$A$50=$A54),R$4:R$50,'COM Assumptions'!P$81:P$127)</f>
        <v>23.210570799857575</v>
      </c>
      <c r="S54" s="45" cm="1">
        <f t="array" aca="1" ref="S54" ca="1">SUMPRODUCT(--($A$4:$A$50=$A54),S$4:S$50,'COM Assumptions'!Q$81:Q$127)</f>
        <v>35.163072703310405</v>
      </c>
      <c r="T54" s="45" cm="1">
        <f t="array" aca="1" ref="T54" ca="1">SUMPRODUCT(--($A$4:$A$50=$A54),T$4:T$50,'COM Assumptions'!R$81:R$127)</f>
        <v>50.927309385476406</v>
      </c>
      <c r="U54" s="45" cm="1">
        <f t="array" aca="1" ref="U54" ca="1">SUMPRODUCT(--($A$4:$A$50=$A54),U$4:U$50,'COM Assumptions'!S$81:S$127)</f>
        <v>12.462479678748677</v>
      </c>
      <c r="V54" s="45" cm="1">
        <f t="array" aca="1" ref="V54" ca="1">SUMPRODUCT(--($A$4:$A$50=$A54),V$4:V$50,'COM Assumptions'!T$81:T$127)</f>
        <v>22.862999775610803</v>
      </c>
      <c r="W54" s="45" cm="1">
        <f t="array" aca="1" ref="W54" ca="1">SUMPRODUCT(--($A$4:$A$50=$A54),W$4:W$50,'COM Assumptions'!U$81:U$127)</f>
        <v>141.64911843876001</v>
      </c>
      <c r="X54" s="45" cm="1">
        <f t="array" aca="1" ref="X54" ca="1">SUMPRODUCT(--($A$4:$A$50=$A54),X$4:X$50,'COM Assumptions'!V$81:V$127)</f>
        <v>46.204720298006407</v>
      </c>
      <c r="Y54" s="45" cm="1">
        <f t="array" aca="1" ref="Y54" ca="1">SUMPRODUCT(--($A$4:$A$50=$A54),Y$4:Y$50,'COM Assumptions'!W$81:W$127)</f>
        <v>62.815860263235606</v>
      </c>
      <c r="Z54" s="45" cm="1">
        <f t="array" aca="1" ref="Z54" ca="1">SUMPRODUCT(--($A$4:$A$50=$A54),Z$4:Z$50,'COM Assumptions'!X$81:X$127)</f>
        <v>137.1112149021948</v>
      </c>
      <c r="AA54" s="45" cm="1">
        <f t="array" aca="1" ref="AA54" ca="1">SUMPRODUCT(--($A$4:$A$50=$A54),AA$4:AA$50,'COM Assumptions'!Y$81:Y$127)</f>
        <v>41.9967751283748</v>
      </c>
      <c r="AB54" s="45" cm="1">
        <f t="array" aca="1" ref="AB54" ca="1">SUMPRODUCT(--($A$4:$A$50=$A54),AB$4:AB$50,'COM Assumptions'!Z$81:Z$127)</f>
        <v>35.601329707002002</v>
      </c>
      <c r="AC54" s="45" cm="1">
        <f t="array" aca="1" ref="AC54" ca="1">SUMPRODUCT(--($A$4:$A$50=$A54),AC$4:AC$50,'COM Assumptions'!AA$81:AA$127)</f>
        <v>264.59133908028303</v>
      </c>
      <c r="AD54" s="45" cm="1">
        <f t="array" aca="1" ref="AD54" ca="1">SUMPRODUCT(--($A$4:$A$50=$A54),AD$4:AD$50,'COM Assumptions'!AB$81:AB$127)</f>
        <v>3.4951280000507996</v>
      </c>
      <c r="AE54" s="45" cm="1">
        <f t="array" aca="1" ref="AE54" ca="1">SUMPRODUCT(--($A$4:$A$50=$A54),AE$4:AE$50,'COM Assumptions'!AC$81:AC$127)</f>
        <v>36.265674877771275</v>
      </c>
      <c r="AF54" s="45" cm="1">
        <f t="array" aca="1" ref="AF54" ca="1">SUMPRODUCT(--($A$4:$A$50=$A54),AF$4:AF$50,'COM Assumptions'!AD$81:AD$127)</f>
        <v>9.2530280913587983</v>
      </c>
      <c r="AG54" s="45" cm="1">
        <f t="array" aca="1" ref="AG54" ca="1">SUMPRODUCT(--($A$4:$A$50=$A54),AG$4:AG$50,'COM Assumptions'!AE$81:AE$127)</f>
        <v>10.708718115384002</v>
      </c>
      <c r="AH54" s="45" cm="1">
        <f t="array" aca="1" ref="AH54" ca="1">SUMPRODUCT(--($A$4:$A$50=$A54),AH$4:AH$50,'COM Assumptions'!AF$81:AF$127)</f>
        <v>51.758294220478803</v>
      </c>
      <c r="AI54" s="45" cm="1">
        <f t="array" aca="1" ref="AI54" ca="1">SUMPRODUCT(--($A$4:$A$50=$A54),AI$4:AI$50,'COM Assumptions'!AG$81:AG$127)</f>
        <v>228.80812837894845</v>
      </c>
      <c r="AJ54" s="45" cm="1">
        <f t="array" aca="1" ref="AJ54" ca="1">SUMPRODUCT(--($A$4:$A$50=$A54),AJ$4:AJ$50,'COM Assumptions'!AH$81:AH$127)</f>
        <v>0</v>
      </c>
    </row>
    <row r="55" spans="1:142" x14ac:dyDescent="0.45">
      <c r="A55" s="37" t="s">
        <v>82</v>
      </c>
      <c r="F55" s="8" t="s">
        <v>268</v>
      </c>
      <c r="G55" s="45" cm="1">
        <f t="array" aca="1" ref="G55" ca="1">SUMPRODUCT(--($A$4:$A$50=$A55),G$4:G$50,'COM Assumptions'!E$81:E$127)</f>
        <v>1.05251881464</v>
      </c>
      <c r="H55" s="45" cm="1">
        <f t="array" aca="1" ref="H55" ca="1">SUMPRODUCT(--($A$4:$A$50=$A55),H$4:H$50,'COM Assumptions'!F$81:F$127)</f>
        <v>9.3364084603800013</v>
      </c>
      <c r="I55" s="45" cm="1">
        <f t="array" aca="1" ref="I55" ca="1">SUMPRODUCT(--($A$4:$A$50=$A55),I$4:I$50,'COM Assumptions'!G$81:G$127)</f>
        <v>9.3707449389036004</v>
      </c>
      <c r="J55" s="45" cm="1">
        <f t="array" aca="1" ref="J55" ca="1">SUMPRODUCT(--($A$4:$A$50=$A55),J$4:J$50,'COM Assumptions'!H$81:H$127)</f>
        <v>370.26965935478017</v>
      </c>
      <c r="K55" s="45" cm="1">
        <f t="array" aca="1" ref="K55" ca="1">SUMPRODUCT(--($A$4:$A$50=$A55),K$4:K$50,'COM Assumptions'!I$81:I$127)</f>
        <v>475.75859378285071</v>
      </c>
      <c r="L55" s="45" cm="1">
        <f t="array" aca="1" ref="L55" ca="1">SUMPRODUCT(--($A$4:$A$50=$A55),L$4:L$50,'COM Assumptions'!J$81:J$127)</f>
        <v>93.536200524210869</v>
      </c>
      <c r="M55" s="45" cm="1">
        <f t="array" aca="1" ref="M55" ca="1">SUMPRODUCT(--($A$4:$A$50=$A55),M$4:M$50,'COM Assumptions'!K$81:K$127)</f>
        <v>58.18344875278963</v>
      </c>
      <c r="N55" s="45" cm="1">
        <f t="array" aca="1" ref="N55" ca="1">SUMPRODUCT(--($A$4:$A$50=$A55),N$4:N$50,'COM Assumptions'!L$81:L$127)</f>
        <v>11.1957337754496</v>
      </c>
      <c r="O55" s="45" cm="1">
        <f t="array" aca="1" ref="O55" ca="1">SUMPRODUCT(--($A$4:$A$50=$A55),O$4:O$50,'COM Assumptions'!M$81:M$127)</f>
        <v>434.35355410689124</v>
      </c>
      <c r="P55" s="45" cm="1">
        <f t="array" aca="1" ref="P55" ca="1">SUMPRODUCT(--($A$4:$A$50=$A55),P$4:P$50,'COM Assumptions'!N$81:N$127)</f>
        <v>547.04540332803231</v>
      </c>
      <c r="Q55" s="45" cm="1">
        <f t="array" aca="1" ref="Q55" ca="1">SUMPRODUCT(--($A$4:$A$50=$A55),Q$4:Q$50,'COM Assumptions'!O$81:O$127)</f>
        <v>172.72117620628561</v>
      </c>
      <c r="R55" s="45" cm="1">
        <f t="array" aca="1" ref="R55" ca="1">SUMPRODUCT(--($A$4:$A$50=$A55),R$4:R$50,'COM Assumptions'!P$81:P$127)</f>
        <v>255.63745414390721</v>
      </c>
      <c r="S55" s="45" cm="1">
        <f t="array" aca="1" ref="S55" ca="1">SUMPRODUCT(--($A$4:$A$50=$A55),S$4:S$50,'COM Assumptions'!Q$81:Q$127)</f>
        <v>173.22808321118518</v>
      </c>
      <c r="T55" s="45" cm="1">
        <f t="array" aca="1" ref="T55" ca="1">SUMPRODUCT(--($A$4:$A$50=$A55),T$4:T$50,'COM Assumptions'!R$81:R$127)</f>
        <v>208.527477868293</v>
      </c>
      <c r="U55" s="45" cm="1">
        <f t="array" aca="1" ref="U55" ca="1">SUMPRODUCT(--($A$4:$A$50=$A55),U$4:U$50,'COM Assumptions'!S$81:S$127)</f>
        <v>93.957529974828915</v>
      </c>
      <c r="V55" s="45" cm="1">
        <f t="array" aca="1" ref="V55" ca="1">SUMPRODUCT(--($A$4:$A$50=$A55),V$4:V$50,'COM Assumptions'!T$81:T$127)</f>
        <v>125.66049927476351</v>
      </c>
      <c r="W55" s="45" cm="1">
        <f t="array" aca="1" ref="W55" ca="1">SUMPRODUCT(--($A$4:$A$50=$A55),W$4:W$50,'COM Assumptions'!U$81:U$127)</f>
        <v>251.84325038942848</v>
      </c>
      <c r="X55" s="45" cm="1">
        <f t="array" aca="1" ref="X55" ca="1">SUMPRODUCT(--($A$4:$A$50=$A55),X$4:X$50,'COM Assumptions'!V$81:V$127)</f>
        <v>271.28985263151463</v>
      </c>
      <c r="Y55" s="45" cm="1">
        <f t="array" aca="1" ref="Y55" ca="1">SUMPRODUCT(--($A$4:$A$50=$A55),Y$4:Y$50,'COM Assumptions'!W$81:W$127)</f>
        <v>390.08448704115483</v>
      </c>
      <c r="Z55" s="45" cm="1">
        <f t="array" aca="1" ref="Z55" ca="1">SUMPRODUCT(--($A$4:$A$50=$A55),Z$4:Z$50,'COM Assumptions'!X$81:X$127)</f>
        <v>42.832507639330657</v>
      </c>
      <c r="AA55" s="45" cm="1">
        <f t="array" aca="1" ref="AA55" ca="1">SUMPRODUCT(--($A$4:$A$50=$A55),AA$4:AA$50,'COM Assumptions'!Y$81:Y$127)</f>
        <v>12.622402387351439</v>
      </c>
      <c r="AB55" s="45" cm="1">
        <f t="array" aca="1" ref="AB55" ca="1">SUMPRODUCT(--($A$4:$A$50=$A55),AB$4:AB$50,'COM Assumptions'!Z$81:Z$127)</f>
        <v>6.7351647320986903</v>
      </c>
      <c r="AC55" s="45" cm="1">
        <f t="array" aca="1" ref="AC55" ca="1">SUMPRODUCT(--($A$4:$A$50=$A55),AC$4:AC$50,'COM Assumptions'!AA$81:AA$127)</f>
        <v>61.355504890181038</v>
      </c>
      <c r="AD55" s="45" cm="1">
        <f t="array" aca="1" ref="AD55" ca="1">SUMPRODUCT(--($A$4:$A$50=$A55),AD$4:AD$50,'COM Assumptions'!AB$81:AB$127)</f>
        <v>52.054014624144067</v>
      </c>
      <c r="AE55" s="45" cm="1">
        <f t="array" aca="1" ref="AE55" ca="1">SUMPRODUCT(--($A$4:$A$50=$A55),AE$4:AE$50,'COM Assumptions'!AC$81:AC$127)</f>
        <v>968.51475987410561</v>
      </c>
      <c r="AF55" s="45" cm="1">
        <f t="array" aca="1" ref="AF55" ca="1">SUMPRODUCT(--($A$4:$A$50=$A55),AF$4:AF$50,'COM Assumptions'!AD$81:AD$127)</f>
        <v>26.437223118168006</v>
      </c>
      <c r="AG55" s="45" cm="1">
        <f t="array" aca="1" ref="AG55" ca="1">SUMPRODUCT(--($A$4:$A$50=$A55),AG$4:AG$50,'COM Assumptions'!AE$81:AE$127)</f>
        <v>0.56157045983999998</v>
      </c>
      <c r="AH55" s="45" cm="1">
        <f t="array" aca="1" ref="AH55" ca="1">SUMPRODUCT(--($A$4:$A$50=$A55),AH$4:AH$50,'COM Assumptions'!AF$81:AF$127)</f>
        <v>200.75092082340564</v>
      </c>
      <c r="AI55" s="45" cm="1">
        <f t="array" aca="1" ref="AI55" ca="1">SUMPRODUCT(--($A$4:$A$50=$A55),AI$4:AI$50,'COM Assumptions'!AG$81:AG$127)</f>
        <v>2173.5704973342554</v>
      </c>
      <c r="AJ55" s="45" cm="1">
        <f t="array" aca="1" ref="AJ55" ca="1">SUMPRODUCT(--($A$4:$A$50=$A55),AJ$4:AJ$50,'COM Assumptions'!AH$81:AH$127)</f>
        <v>0</v>
      </c>
    </row>
    <row r="56" spans="1:142" x14ac:dyDescent="0.45">
      <c r="A56" s="37" t="s">
        <v>84</v>
      </c>
      <c r="F56" s="8" t="s">
        <v>84</v>
      </c>
      <c r="G56" s="45" cm="1">
        <f t="array" aca="1" ref="G56" ca="1">SUMPRODUCT(--($A$4:$A$50=$A56),G$4:G$50,'COM Assumptions'!E$81:E$127)</f>
        <v>16.8990090911838</v>
      </c>
      <c r="H56" s="45" cm="1">
        <f t="array" aca="1" ref="H56" ca="1">SUMPRODUCT(--($A$4:$A$50=$A56),H$4:H$50,'COM Assumptions'!F$81:F$127)</f>
        <v>41.2921649074068</v>
      </c>
      <c r="I56" s="45" cm="1">
        <f t="array" aca="1" ref="I56" ca="1">SUMPRODUCT(--($A$4:$A$50=$A56),I$4:I$50,'COM Assumptions'!G$81:G$127)</f>
        <v>18.130940904351601</v>
      </c>
      <c r="J56" s="45" cm="1">
        <f t="array" aca="1" ref="J56" ca="1">SUMPRODUCT(--($A$4:$A$50=$A56),J$4:J$50,'COM Assumptions'!H$81:H$127)</f>
        <v>39.224513530111942</v>
      </c>
      <c r="K56" s="45" cm="1">
        <f t="array" aca="1" ref="K56" ca="1">SUMPRODUCT(--($A$4:$A$50=$A56),K$4:K$50,'COM Assumptions'!I$81:I$127)</f>
        <v>265.82950912287424</v>
      </c>
      <c r="L56" s="45" cm="1">
        <f t="array" aca="1" ref="L56" ca="1">SUMPRODUCT(--($A$4:$A$50=$A56),L$4:L$50,'COM Assumptions'!J$81:J$127)</f>
        <v>156.90273717721391</v>
      </c>
      <c r="M56" s="45" cm="1">
        <f t="array" aca="1" ref="M56" ca="1">SUMPRODUCT(--($A$4:$A$50=$A56),M$4:M$50,'COM Assumptions'!K$81:K$127)</f>
        <v>45.891115251582605</v>
      </c>
      <c r="N56" s="45" cm="1">
        <f t="array" aca="1" ref="N56" ca="1">SUMPRODUCT(--($A$4:$A$50=$A56),N$4:N$50,'COM Assumptions'!L$81:L$127)</f>
        <v>12.590780475873601</v>
      </c>
      <c r="O56" s="45" cm="1">
        <f t="array" aca="1" ref="O56" ca="1">SUMPRODUCT(--($A$4:$A$50=$A56),O$4:O$50,'COM Assumptions'!M$81:M$127)</f>
        <v>76.622639403524047</v>
      </c>
      <c r="P56" s="45" cm="1">
        <f t="array" aca="1" ref="P56" ca="1">SUMPRODUCT(--($A$4:$A$50=$A56),P$4:P$50,'COM Assumptions'!N$81:N$127)</f>
        <v>434.27390775052248</v>
      </c>
      <c r="Q56" s="45" cm="1">
        <f t="array" aca="1" ref="Q56" ca="1">SUMPRODUCT(--($A$4:$A$50=$A56),Q$4:Q$50,'COM Assumptions'!O$81:O$127)</f>
        <v>17.671239513202142</v>
      </c>
      <c r="R56" s="45" cm="1">
        <f t="array" aca="1" ref="R56" ca="1">SUMPRODUCT(--($A$4:$A$50=$A56),R$4:R$50,'COM Assumptions'!P$81:P$127)</f>
        <v>48.247176549272751</v>
      </c>
      <c r="S56" s="45" cm="1">
        <f t="array" aca="1" ref="S56" ca="1">SUMPRODUCT(--($A$4:$A$50=$A56),S$4:S$50,'COM Assumptions'!Q$81:Q$127)</f>
        <v>64.083646796835779</v>
      </c>
      <c r="T56" s="45" cm="1">
        <f t="array" aca="1" ref="T56" ca="1">SUMPRODUCT(--($A$4:$A$50=$A56),T$4:T$50,'COM Assumptions'!R$81:R$127)</f>
        <v>83.468947013950682</v>
      </c>
      <c r="U56" s="45" cm="1">
        <f t="array" aca="1" ref="U56" ca="1">SUMPRODUCT(--($A$4:$A$50=$A56),U$4:U$50,'COM Assumptions'!S$81:S$127)</f>
        <v>21.066345740800156</v>
      </c>
      <c r="V56" s="45" cm="1">
        <f t="array" aca="1" ref="V56" ca="1">SUMPRODUCT(--($A$4:$A$50=$A56),V$4:V$50,'COM Assumptions'!T$81:T$127)</f>
        <v>49.187587291995968</v>
      </c>
      <c r="W56" s="45" cm="1">
        <f t="array" aca="1" ref="W56" ca="1">SUMPRODUCT(--($A$4:$A$50=$A56),W$4:W$50,'COM Assumptions'!U$81:U$127)</f>
        <v>57.852781580545205</v>
      </c>
      <c r="X56" s="45" cm="1">
        <f t="array" aca="1" ref="X56" ca="1">SUMPRODUCT(--($A$4:$A$50=$A56),X$4:X$50,'COM Assumptions'!V$81:V$127)</f>
        <v>91.191244022371095</v>
      </c>
      <c r="Y56" s="45" cm="1">
        <f t="array" aca="1" ref="Y56" ca="1">SUMPRODUCT(--($A$4:$A$50=$A56),Y$4:Y$50,'COM Assumptions'!W$81:W$127)</f>
        <v>126.04357147216031</v>
      </c>
      <c r="Z56" s="45" cm="1">
        <f t="array" aca="1" ref="Z56" ca="1">SUMPRODUCT(--($A$4:$A$50=$A56),Z$4:Z$50,'COM Assumptions'!X$81:X$127)</f>
        <v>75.044715964094891</v>
      </c>
      <c r="AA56" s="45" cm="1">
        <f t="array" aca="1" ref="AA56" ca="1">SUMPRODUCT(--($A$4:$A$50=$A56),AA$4:AA$50,'COM Assumptions'!Y$81:Y$127)</f>
        <v>21.797594563325045</v>
      </c>
      <c r="AB56" s="45" cm="1">
        <f t="array" aca="1" ref="AB56" ca="1">SUMPRODUCT(--($A$4:$A$50=$A56),AB$4:AB$50,'COM Assumptions'!Z$81:Z$127)</f>
        <v>15.052575042170998</v>
      </c>
      <c r="AC56" s="45" cm="1">
        <f t="array" aca="1" ref="AC56" ca="1">SUMPRODUCT(--($A$4:$A$50=$A56),AC$4:AC$50,'COM Assumptions'!AA$81:AA$127)</f>
        <v>89.843863522458605</v>
      </c>
      <c r="AD56" s="45" cm="1">
        <f t="array" aca="1" ref="AD56" ca="1">SUMPRODUCT(--($A$4:$A$50=$A56),AD$4:AD$50,'COM Assumptions'!AB$81:AB$127)</f>
        <v>8.4263933643744604</v>
      </c>
      <c r="AE56" s="45" cm="1">
        <f t="array" aca="1" ref="AE56" ca="1">SUMPRODUCT(--($A$4:$A$50=$A56),AE$4:AE$50,'COM Assumptions'!AC$81:AC$127)</f>
        <v>75.441677927319887</v>
      </c>
      <c r="AF56" s="45" cm="1">
        <f t="array" aca="1" ref="AF56" ca="1">SUMPRODUCT(--($A$4:$A$50=$A56),AF$4:AF$50,'COM Assumptions'!AD$81:AD$127)</f>
        <v>20.048227531277405</v>
      </c>
      <c r="AG56" s="45" cm="1">
        <f t="array" aca="1" ref="AG56" ca="1">SUMPRODUCT(--($A$4:$A$50=$A56),AG$4:AG$50,'COM Assumptions'!AE$81:AE$127)</f>
        <v>24.530173767806399</v>
      </c>
      <c r="AH56" s="45" cm="1">
        <f t="array" aca="1" ref="AH56" ca="1">SUMPRODUCT(--($A$4:$A$50=$A56),AH$4:AH$50,'COM Assumptions'!AF$81:AF$127)</f>
        <v>81.800835321324968</v>
      </c>
      <c r="AI56" s="45" cm="1">
        <f t="array" aca="1" ref="AI56" ca="1">SUMPRODUCT(--($A$4:$A$50=$A56),AI$4:AI$50,'COM Assumptions'!AG$81:AG$127)</f>
        <v>959.50197482249769</v>
      </c>
      <c r="AJ56" s="45" cm="1">
        <f t="array" aca="1" ref="AJ56" ca="1">SUMPRODUCT(--($A$4:$A$50=$A56),AJ$4:AJ$50,'COM Assumptions'!AH$81:AH$127)</f>
        <v>0</v>
      </c>
    </row>
    <row r="57" spans="1:142" x14ac:dyDescent="0.45">
      <c r="A57" s="37" t="s">
        <v>83</v>
      </c>
      <c r="F57" s="8" t="s">
        <v>269</v>
      </c>
      <c r="G57" s="45" cm="1">
        <f t="array" aca="1" ref="G57" ca="1">SUMPRODUCT(--($A$4:$A$50=$A57),G$4:G$50,'COM Assumptions'!E$81:E$127)</f>
        <v>87.119649855527356</v>
      </c>
      <c r="H57" s="45" cm="1">
        <f t="array" aca="1" ref="H57" ca="1">SUMPRODUCT(--($A$4:$A$50=$A57),H$4:H$50,'COM Assumptions'!F$81:F$127)</f>
        <v>53.707503479207048</v>
      </c>
      <c r="I57" s="45" cm="1">
        <f t="array" aca="1" ref="I57" ca="1">SUMPRODUCT(--($A$4:$A$50=$A57),I$4:I$50,'COM Assumptions'!G$81:G$127)</f>
        <v>37.535018470850879</v>
      </c>
      <c r="J57" s="45" cm="1">
        <f t="array" aca="1" ref="J57" ca="1">SUMPRODUCT(--($A$4:$A$50=$A57),J$4:J$50,'COM Assumptions'!H$81:H$127)</f>
        <v>6.896993115813407</v>
      </c>
      <c r="K57" s="45" cm="1">
        <f t="array" aca="1" ref="K57" ca="1">SUMPRODUCT(--($A$4:$A$50=$A57),K$4:K$50,'COM Assumptions'!I$81:I$127)</f>
        <v>784.19242585613642</v>
      </c>
      <c r="L57" s="45" cm="1">
        <f t="array" aca="1" ref="L57" ca="1">SUMPRODUCT(--($A$4:$A$50=$A57),L$4:L$50,'COM Assumptions'!J$81:J$127)</f>
        <v>460.53927302821859</v>
      </c>
      <c r="M57" s="45" cm="1">
        <f t="array" aca="1" ref="M57" ca="1">SUMPRODUCT(--($A$4:$A$50=$A57),M$4:M$50,'COM Assumptions'!K$81:K$127)</f>
        <v>52.964537347296201</v>
      </c>
      <c r="N57" s="45" cm="1">
        <f t="array" aca="1" ref="N57" ca="1">SUMPRODUCT(--($A$4:$A$50=$A57),N$4:N$50,'COM Assumptions'!L$81:L$127)</f>
        <v>121.94169849618048</v>
      </c>
      <c r="O57" s="45" cm="1">
        <f t="array" aca="1" ref="O57" ca="1">SUMPRODUCT(--($A$4:$A$50=$A57),O$4:O$50,'COM Assumptions'!M$81:M$127)</f>
        <v>214.88974905683938</v>
      </c>
      <c r="P57" s="45" cm="1">
        <f t="array" aca="1" ref="P57" ca="1">SUMPRODUCT(--($A$4:$A$50=$A57),P$4:P$50,'COM Assumptions'!N$81:N$127)</f>
        <v>186.12774584283164</v>
      </c>
      <c r="Q57" s="45" cm="1">
        <f t="array" aca="1" ref="Q57" ca="1">SUMPRODUCT(--($A$4:$A$50=$A57),Q$4:Q$50,'COM Assumptions'!O$81:O$127)</f>
        <v>60.582449267810709</v>
      </c>
      <c r="R57" s="45" cm="1">
        <f t="array" aca="1" ref="R57" ca="1">SUMPRODUCT(--($A$4:$A$50=$A57),R$4:R$50,'COM Assumptions'!P$81:P$127)</f>
        <v>11.769363590986492</v>
      </c>
      <c r="S57" s="45" cm="1">
        <f t="array" aca="1" ref="S57" ca="1">SUMPRODUCT(--($A$4:$A$50=$A57),S$4:S$50,'COM Assumptions'!Q$81:Q$127)</f>
        <v>81.198650405278201</v>
      </c>
      <c r="T57" s="45" cm="1">
        <f t="array" aca="1" ref="T57" ca="1">SUMPRODUCT(--($A$4:$A$50=$A57),T$4:T$50,'COM Assumptions'!R$81:R$127)</f>
        <v>124.07280936810317</v>
      </c>
      <c r="U57" s="45" cm="1">
        <f t="array" aca="1" ref="U57" ca="1">SUMPRODUCT(--($A$4:$A$50=$A57),U$4:U$50,'COM Assumptions'!S$81:S$127)</f>
        <v>4.8104110663096655</v>
      </c>
      <c r="V57" s="45" cm="1">
        <f t="array" aca="1" ref="V57" ca="1">SUMPRODUCT(--($A$4:$A$50=$A57),V$4:V$50,'COM Assumptions'!T$81:T$127)</f>
        <v>100.15638884924326</v>
      </c>
      <c r="W57" s="45" cm="1">
        <f t="array" aca="1" ref="W57" ca="1">SUMPRODUCT(--($A$4:$A$50=$A57),W$4:W$50,'COM Assumptions'!U$81:U$127)</f>
        <v>151.19152459290044</v>
      </c>
      <c r="X57" s="45" cm="1">
        <f t="array" aca="1" ref="X57" ca="1">SUMPRODUCT(--($A$4:$A$50=$A57),X$4:X$50,'COM Assumptions'!V$81:V$127)</f>
        <v>151.17892342732364</v>
      </c>
      <c r="Y57" s="45" cm="1">
        <f t="array" aca="1" ref="Y57" ca="1">SUMPRODUCT(--($A$4:$A$50=$A57),Y$4:Y$50,'COM Assumptions'!W$81:W$127)</f>
        <v>145.752082640662</v>
      </c>
      <c r="Z57" s="45" cm="1">
        <f t="array" aca="1" ref="Z57" ca="1">SUMPRODUCT(--($A$4:$A$50=$A57),Z$4:Z$50,'COM Assumptions'!X$81:X$127)</f>
        <v>61.887592889248509</v>
      </c>
      <c r="AA57" s="45" cm="1">
        <f t="array" aca="1" ref="AA57" ca="1">SUMPRODUCT(--($A$4:$A$50=$A57),AA$4:AA$50,'COM Assumptions'!Y$81:Y$127)</f>
        <v>77.253794991577138</v>
      </c>
      <c r="AB57" s="45" cm="1">
        <f t="array" aca="1" ref="AB57" ca="1">SUMPRODUCT(--($A$4:$A$50=$A57),AB$4:AB$50,'COM Assumptions'!Z$81:Z$127)</f>
        <v>31.272267884715003</v>
      </c>
      <c r="AC57" s="45" cm="1">
        <f t="array" aca="1" ref="AC57" ca="1">SUMPRODUCT(--($A$4:$A$50=$A57),AC$4:AC$50,'COM Assumptions'!AA$81:AA$127)</f>
        <v>174.59732269774486</v>
      </c>
      <c r="AD57" s="45" cm="1">
        <f t="array" aca="1" ref="AD57" ca="1">SUMPRODUCT(--($A$4:$A$50=$A57),AD$4:AD$50,'COM Assumptions'!AB$81:AB$127)</f>
        <v>30.294756197303307</v>
      </c>
      <c r="AE57" s="45" cm="1">
        <f t="array" aca="1" ref="AE57" ca="1">SUMPRODUCT(--($A$4:$A$50=$A57),AE$4:AE$50,'COM Assumptions'!AC$81:AC$127)</f>
        <v>19.059481074335963</v>
      </c>
      <c r="AF57" s="45" cm="1">
        <f t="array" aca="1" ref="AF57" ca="1">SUMPRODUCT(--($A$4:$A$50=$A57),AF$4:AF$50,'COM Assumptions'!AD$81:AD$127)</f>
        <v>133.69848850616492</v>
      </c>
      <c r="AG57" s="45" cm="1">
        <f t="array" aca="1" ref="AG57" ca="1">SUMPRODUCT(--($A$4:$A$50=$A57),AG$4:AG$50,'COM Assumptions'!AE$81:AE$127)</f>
        <v>60.802100340484571</v>
      </c>
      <c r="AH57" s="45" cm="1">
        <f t="array" aca="1" ref="AH57" ca="1">SUMPRODUCT(--($A$4:$A$50=$A57),AH$4:AH$50,'COM Assumptions'!AF$81:AF$127)</f>
        <v>99.923600045683656</v>
      </c>
      <c r="AI57" s="45" cm="1">
        <f t="array" aca="1" ref="AI57" ca="1">SUMPRODUCT(--($A$4:$A$50=$A57),AI$4:AI$50,'COM Assumptions'!AG$81:AG$127)</f>
        <v>3118.157679858647</v>
      </c>
      <c r="AJ57" s="45" cm="1">
        <f t="array" aca="1" ref="AJ57" ca="1">SUMPRODUCT(--($A$4:$A$50=$A57),AJ$4:AJ$50,'COM Assumptions'!AH$81:AH$127)</f>
        <v>0</v>
      </c>
    </row>
    <row r="58" spans="1:142" x14ac:dyDescent="0.45">
      <c r="A58" s="37" t="s">
        <v>85</v>
      </c>
      <c r="F58" s="8" t="s">
        <v>85</v>
      </c>
      <c r="G58" s="45" cm="1">
        <f t="array" aca="1" ref="G58" ca="1">SUMPRODUCT(--($A$4:$A$50=$A58),G$4:G$50,'COM Assumptions'!E$81:E$127)</f>
        <v>118.2909244200408</v>
      </c>
      <c r="H58" s="45" cm="1">
        <f t="array" aca="1" ref="H58" ca="1">SUMPRODUCT(--($A$4:$A$50=$A58),H$4:H$50,'COM Assumptions'!F$81:F$127)</f>
        <v>73.143126311464798</v>
      </c>
      <c r="I58" s="45" cm="1">
        <f t="array" aca="1" ref="I58" ca="1">SUMPRODUCT(--($A$4:$A$50=$A58),I$4:I$50,'COM Assumptions'!G$81:G$127)</f>
        <v>113.57010986588281</v>
      </c>
      <c r="J58" s="45" cm="1">
        <f t="array" aca="1" ref="J58" ca="1">SUMPRODUCT(--($A$4:$A$50=$A58),J$4:J$50,'COM Assumptions'!H$81:H$127)</f>
        <v>60.351293271247201</v>
      </c>
      <c r="K58" s="45" cm="1">
        <f t="array" aca="1" ref="K58" ca="1">SUMPRODUCT(--($A$4:$A$50=$A58),K$4:K$50,'COM Assumptions'!I$81:I$127)</f>
        <v>1095.8487282308565</v>
      </c>
      <c r="L58" s="45" cm="1">
        <f t="array" aca="1" ref="L58" ca="1">SUMPRODUCT(--($A$4:$A$50=$A58),L$4:L$50,'COM Assumptions'!J$81:J$127)</f>
        <v>529.73507886437937</v>
      </c>
      <c r="M58" s="45" cm="1">
        <f t="array" aca="1" ref="M58" ca="1">SUMPRODUCT(--($A$4:$A$50=$A58),M$4:M$50,'COM Assumptions'!K$81:K$127)</f>
        <v>131.3499088386198</v>
      </c>
      <c r="N58" s="45" cm="1">
        <f t="array" aca="1" ref="N58" ca="1">SUMPRODUCT(--($A$4:$A$50=$A58),N$4:N$50,'COM Assumptions'!L$81:L$127)</f>
        <v>368.93253717240481</v>
      </c>
      <c r="O58" s="45" cm="1">
        <f t="array" aca="1" ref="O58" ca="1">SUMPRODUCT(--($A$4:$A$50=$A58),O$4:O$50,'COM Assumptions'!M$81:M$127)</f>
        <v>311.65886937758114</v>
      </c>
      <c r="P58" s="45" cm="1">
        <f t="array" aca="1" ref="P58" ca="1">SUMPRODUCT(--($A$4:$A$50=$A58),P$4:P$50,'COM Assumptions'!N$81:N$127)</f>
        <v>1554.8645998131315</v>
      </c>
      <c r="Q58" s="45" cm="1">
        <f t="array" aca="1" ref="Q58" ca="1">SUMPRODUCT(--($A$4:$A$50=$A58),Q$4:Q$50,'COM Assumptions'!O$81:O$127)</f>
        <v>134.85089202496329</v>
      </c>
      <c r="R58" s="45" cm="1">
        <f t="array" aca="1" ref="R58" ca="1">SUMPRODUCT(--($A$4:$A$50=$A58),R$4:R$50,'COM Assumptions'!P$81:P$127)</f>
        <v>208.64372986788482</v>
      </c>
      <c r="S58" s="45" cm="1">
        <f t="array" aca="1" ref="S58" ca="1">SUMPRODUCT(--($A$4:$A$50=$A58),S$4:S$50,'COM Assumptions'!Q$81:Q$127)</f>
        <v>178.36868115294885</v>
      </c>
      <c r="T58" s="45" cm="1">
        <f t="array" aca="1" ref="T58" ca="1">SUMPRODUCT(--($A$4:$A$50=$A58),T$4:T$50,'COM Assumptions'!R$81:R$127)</f>
        <v>269.06015113362406</v>
      </c>
      <c r="U58" s="45" cm="1">
        <f t="array" aca="1" ref="U58" ca="1">SUMPRODUCT(--($A$4:$A$50=$A58),U$4:U$50,'COM Assumptions'!S$81:S$127)</f>
        <v>79.145440566148807</v>
      </c>
      <c r="V58" s="45" cm="1">
        <f t="array" aca="1" ref="V58" ca="1">SUMPRODUCT(--($A$4:$A$50=$A58),V$4:V$50,'COM Assumptions'!T$81:T$127)</f>
        <v>221.96825789125481</v>
      </c>
      <c r="W58" s="45" cm="1">
        <f t="array" aca="1" ref="W58" ca="1">SUMPRODUCT(--($A$4:$A$50=$A58),W$4:W$50,'COM Assumptions'!U$81:U$127)</f>
        <v>272.83589557426012</v>
      </c>
      <c r="X58" s="45" cm="1">
        <f t="array" aca="1" ref="X58" ca="1">SUMPRODUCT(--($A$4:$A$50=$A58),X$4:X$50,'COM Assumptions'!V$81:V$127)</f>
        <v>332.96330867040268</v>
      </c>
      <c r="Y58" s="45" cm="1">
        <f t="array" aca="1" ref="Y58" ca="1">SUMPRODUCT(--($A$4:$A$50=$A58),Y$4:Y$50,'COM Assumptions'!W$81:W$127)</f>
        <v>316.79135006018572</v>
      </c>
      <c r="Z58" s="45" cm="1">
        <f t="array" aca="1" ref="Z58" ca="1">SUMPRODUCT(--($A$4:$A$50=$A58),Z$4:Z$50,'COM Assumptions'!X$81:X$127)</f>
        <v>267.53929707094562</v>
      </c>
      <c r="AA58" s="45" cm="1">
        <f t="array" aca="1" ref="AA58" ca="1">SUMPRODUCT(--($A$4:$A$50=$A58),AA$4:AA$50,'COM Assumptions'!Y$81:Y$127)</f>
        <v>233.78794657915753</v>
      </c>
      <c r="AB58" s="45" cm="1">
        <f t="array" aca="1" ref="AB58" ca="1">SUMPRODUCT(--($A$4:$A$50=$A58),AB$4:AB$50,'COM Assumptions'!Z$81:Z$127)</f>
        <v>61.322591285471894</v>
      </c>
      <c r="AC58" s="45" cm="1">
        <f t="array" aca="1" ref="AC58" ca="1">SUMPRODUCT(--($A$4:$A$50=$A58),AC$4:AC$50,'COM Assumptions'!AA$81:AA$127)</f>
        <v>310.67434980274106</v>
      </c>
      <c r="AD58" s="45" cm="1">
        <f t="array" aca="1" ref="AD58" ca="1">SUMPRODUCT(--($A$4:$A$50=$A58),AD$4:AD$50,'COM Assumptions'!AB$81:AB$127)</f>
        <v>67.16357003821048</v>
      </c>
      <c r="AE58" s="45" cm="1">
        <f t="array" aca="1" ref="AE58" ca="1">SUMPRODUCT(--($A$4:$A$50=$A58),AE$4:AE$50,'COM Assumptions'!AC$81:AC$127)</f>
        <v>340.10272832398562</v>
      </c>
      <c r="AF58" s="45" cm="1">
        <f t="array" aca="1" ref="AF58" ca="1">SUMPRODUCT(--($A$4:$A$50=$A58),AF$4:AF$50,'COM Assumptions'!AD$81:AD$127)</f>
        <v>245.07305830541731</v>
      </c>
      <c r="AG58" s="45" cm="1">
        <f t="array" aca="1" ref="AG58" ca="1">SUMPRODUCT(--($A$4:$A$50=$A58),AG$4:AG$50,'COM Assumptions'!AE$81:AE$127)</f>
        <v>83.133372138134405</v>
      </c>
      <c r="AH58" s="45" cm="1">
        <f t="array" aca="1" ref="AH58" ca="1">SUMPRODUCT(--($A$4:$A$50=$A58),AH$4:AH$50,'COM Assumptions'!AF$81:AF$127)</f>
        <v>219.65498633917241</v>
      </c>
      <c r="AI58" s="45" cm="1">
        <f t="array" aca="1" ref="AI58" ca="1">SUMPRODUCT(--($A$4:$A$50=$A58),AI$4:AI$50,'COM Assumptions'!AG$81:AG$127)</f>
        <v>3375.3452097585441</v>
      </c>
      <c r="AJ58" s="45" cm="1">
        <f t="array" aca="1" ref="AJ58" ca="1">SUMPRODUCT(--($A$4:$A$50=$A58),AJ$4:AJ$50,'COM Assumptions'!AH$81:AH$127)</f>
        <v>0</v>
      </c>
    </row>
    <row r="59" spans="1:142" x14ac:dyDescent="0.45">
      <c r="A59" s="37" t="s">
        <v>88</v>
      </c>
      <c r="F59" s="8" t="s">
        <v>88</v>
      </c>
      <c r="G59" s="45" cm="1">
        <f t="array" aca="1" ref="G59" ca="1">SUMPRODUCT(--($A$4:$A$50=$A59),G$4:G$50,'COM Assumptions'!E$81:E$127)</f>
        <v>38.281852563119969</v>
      </c>
      <c r="H59" s="45" cm="1">
        <f t="array" aca="1" ref="H59" ca="1">SUMPRODUCT(--($A$4:$A$50=$A59),H$4:H$50,'COM Assumptions'!F$81:F$127)</f>
        <v>23.59998844271998</v>
      </c>
      <c r="I59" s="45" cm="1">
        <f t="array" aca="1" ref="I59" ca="1">SUMPRODUCT(--($A$4:$A$50=$A59),I$4:I$50,'COM Assumptions'!G$81:G$127)</f>
        <v>31.258343163599992</v>
      </c>
      <c r="J59" s="45" cm="1">
        <f t="array" aca="1" ref="J59" ca="1">SUMPRODUCT(--($A$4:$A$50=$A59),J$4:J$50,'COM Assumptions'!H$81:H$127)</f>
        <v>25.390144296503991</v>
      </c>
      <c r="K59" s="45" cm="1">
        <f t="array" aca="1" ref="K59" ca="1">SUMPRODUCT(--($A$4:$A$50=$A59),K$4:K$50,'COM Assumptions'!I$81:I$127)</f>
        <v>553.1795700307199</v>
      </c>
      <c r="L59" s="45" cm="1">
        <f t="array" aca="1" ref="L59" ca="1">SUMPRODUCT(--($A$4:$A$50=$A59),L$4:L$50,'COM Assumptions'!J$81:J$127)</f>
        <v>256.54400240990401</v>
      </c>
      <c r="M59" s="45" cm="1">
        <f t="array" aca="1" ref="M59" ca="1">SUMPRODUCT(--($A$4:$A$50=$A59),M$4:M$50,'COM Assumptions'!K$81:K$127)</f>
        <v>72.729739113299999</v>
      </c>
      <c r="N59" s="45" cm="1">
        <f t="array" aca="1" ref="N59" ca="1">SUMPRODUCT(--($A$4:$A$50=$A59),N$4:N$50,'COM Assumptions'!L$81:L$127)</f>
        <v>101.55038182559998</v>
      </c>
      <c r="O59" s="45" cm="1">
        <f t="array" aca="1" ref="O59" ca="1">SUMPRODUCT(--($A$4:$A$50=$A59),O$4:O$50,'COM Assumptions'!M$81:M$127)</f>
        <v>108.96912012095991</v>
      </c>
      <c r="P59" s="45" cm="1">
        <f t="array" aca="1" ref="P59" ca="1">SUMPRODUCT(--($A$4:$A$50=$A59),P$4:P$50,'COM Assumptions'!N$81:N$127)</f>
        <v>350.87377586688012</v>
      </c>
      <c r="Q59" s="45" cm="1">
        <f t="array" aca="1" ref="Q59" ca="1">SUMPRODUCT(--($A$4:$A$50=$A59),Q$4:Q$50,'COM Assumptions'!O$81:O$127)</f>
        <v>33.860114091108002</v>
      </c>
      <c r="R59" s="45" cm="1">
        <f t="array" aca="1" ref="R59" ca="1">SUMPRODUCT(--($A$4:$A$50=$A59),R$4:R$50,'COM Assumptions'!P$81:P$127)</f>
        <v>87.778903535855974</v>
      </c>
      <c r="S59" s="45" cm="1">
        <f t="array" aca="1" ref="S59" ca="1">SUMPRODUCT(--($A$4:$A$50=$A59),S$4:S$50,'COM Assumptions'!Q$81:Q$127)</f>
        <v>44.787126013236005</v>
      </c>
      <c r="T59" s="45" cm="1">
        <f t="array" aca="1" ref="T59" ca="1">SUMPRODUCT(--($A$4:$A$50=$A59),T$4:T$50,'COM Assumptions'!R$81:R$127)</f>
        <v>67.55911865283602</v>
      </c>
      <c r="U59" s="45" cm="1">
        <f t="array" aca="1" ref="U59" ca="1">SUMPRODUCT(--($A$4:$A$50=$A59),U$4:U$50,'COM Assumptions'!S$81:S$127)</f>
        <v>33.297326989055989</v>
      </c>
      <c r="V59" s="45" cm="1">
        <f t="array" aca="1" ref="V59" ca="1">SUMPRODUCT(--($A$4:$A$50=$A59),V$4:V$50,'COM Assumptions'!T$81:T$127)</f>
        <v>55.734674231232013</v>
      </c>
      <c r="W59" s="45" cm="1">
        <f t="array" aca="1" ref="W59" ca="1">SUMPRODUCT(--($A$4:$A$50=$A59),W$4:W$50,'COM Assumptions'!U$81:U$127)</f>
        <v>98.107118149679977</v>
      </c>
      <c r="X59" s="45" cm="1">
        <f t="array" aca="1" ref="X59" ca="1">SUMPRODUCT(--($A$4:$A$50=$A59),X$4:X$50,'COM Assumptions'!V$81:V$127)</f>
        <v>83.604753742716028</v>
      </c>
      <c r="Y59" s="45" cm="1">
        <f t="array" aca="1" ref="Y59" ca="1">SUMPRODUCT(--($A$4:$A$50=$A59),Y$4:Y$50,'COM Assumptions'!W$81:W$127)</f>
        <v>79.544088252144022</v>
      </c>
      <c r="Z59" s="45" cm="1">
        <f t="array" aca="1" ref="Z59" ca="1">SUMPRODUCT(--($A$4:$A$50=$A59),Z$4:Z$50,'COM Assumptions'!X$81:X$127)</f>
        <v>130.93573371609597</v>
      </c>
      <c r="AA59" s="45" cm="1">
        <f t="array" aca="1" ref="AA59" ca="1">SUMPRODUCT(--($A$4:$A$50=$A59),AA$4:AA$50,'COM Assumptions'!Y$81:Y$127)</f>
        <v>64.335272311439979</v>
      </c>
      <c r="AB59" s="45" cm="1">
        <f t="array" aca="1" ref="AB59" ca="1">SUMPRODUCT(--($A$4:$A$50=$A59),AB$4:AB$50,'COM Assumptions'!Z$81:Z$127)</f>
        <v>20.675879593199994</v>
      </c>
      <c r="AC59" s="45" cm="1">
        <f t="array" aca="1" ref="AC59" ca="1">SUMPRODUCT(--($A$4:$A$50=$A59),AC$4:AC$50,'COM Assumptions'!AA$81:AA$127)</f>
        <v>111.51698302583998</v>
      </c>
      <c r="AD59" s="45" cm="1">
        <f t="array" aca="1" ref="AD59" ca="1">SUMPRODUCT(--($A$4:$A$50=$A59),AD$4:AD$50,'COM Assumptions'!AB$81:AB$127)</f>
        <v>16.864301823372003</v>
      </c>
      <c r="AE59" s="45" cm="1">
        <f t="array" aca="1" ref="AE59" ca="1">SUMPRODUCT(--($A$4:$A$50=$A59),AE$4:AE$50,'COM Assumptions'!AC$81:AC$127)</f>
        <v>143.08529023339196</v>
      </c>
      <c r="AF59" s="45" cm="1">
        <f t="array" aca="1" ref="AF59" ca="1">SUMPRODUCT(--($A$4:$A$50=$A59),AF$4:AF$50,'COM Assumptions'!AD$81:AD$127)</f>
        <v>88.124077060559983</v>
      </c>
      <c r="AG59" s="45" cm="1">
        <f t="array" aca="1" ref="AG59" ca="1">SUMPRODUCT(--($A$4:$A$50=$A59),AG$4:AG$50,'COM Assumptions'!AE$81:AE$127)</f>
        <v>26.717474698559979</v>
      </c>
      <c r="AH59" s="45" cm="1">
        <f t="array" aca="1" ref="AH59" ca="1">SUMPRODUCT(--($A$4:$A$50=$A59),AH$4:AH$50,'COM Assumptions'!AF$81:AF$127)</f>
        <v>55.153827953532016</v>
      </c>
      <c r="AI59" s="45" cm="1">
        <f t="array" aca="1" ref="AI59" ca="1">SUMPRODUCT(--($A$4:$A$50=$A59),AI$4:AI$50,'COM Assumptions'!AG$81:AG$127)</f>
        <v>1148.3718866232498</v>
      </c>
      <c r="AJ59" s="45" cm="1">
        <f t="array" aca="1" ref="AJ59" ca="1">SUMPRODUCT(--($A$4:$A$50=$A59),AJ$4:AJ$50,'COM Assumptions'!AH$81:AH$127)</f>
        <v>0</v>
      </c>
    </row>
    <row r="60" spans="1:142" x14ac:dyDescent="0.45">
      <c r="A60" s="37" t="s">
        <v>89</v>
      </c>
      <c r="F60" s="8" t="s">
        <v>89</v>
      </c>
      <c r="G60" s="45" cm="1">
        <f t="array" aca="1" ref="G60" ca="1">SUMPRODUCT(--($A$4:$A$50=$A60),G$4:G$50,'COM Assumptions'!E$81:E$127)</f>
        <v>0</v>
      </c>
      <c r="H60" s="45" cm="1">
        <f t="array" aca="1" ref="H60" ca="1">SUMPRODUCT(--($A$4:$A$50=$A60),H$4:H$50,'COM Assumptions'!F$81:F$127)</f>
        <v>0</v>
      </c>
      <c r="I60" s="45" cm="1">
        <f t="array" aca="1" ref="I60" ca="1">SUMPRODUCT(--($A$4:$A$50=$A60),I$4:I$50,'COM Assumptions'!G$81:G$127)</f>
        <v>0</v>
      </c>
      <c r="J60" s="45" cm="1">
        <f t="array" aca="1" ref="J60" ca="1">SUMPRODUCT(--($A$4:$A$50=$A60),J$4:J$50,'COM Assumptions'!H$81:H$127)</f>
        <v>0</v>
      </c>
      <c r="K60" s="45" cm="1">
        <f t="array" aca="1" ref="K60" ca="1">SUMPRODUCT(--($A$4:$A$50=$A60),K$4:K$50,'COM Assumptions'!I$81:I$127)</f>
        <v>0</v>
      </c>
      <c r="L60" s="45" cm="1">
        <f t="array" aca="1" ref="L60" ca="1">SUMPRODUCT(--($A$4:$A$50=$A60),L$4:L$50,'COM Assumptions'!J$81:J$127)</f>
        <v>0</v>
      </c>
      <c r="M60" s="45" cm="1">
        <f t="array" aca="1" ref="M60" ca="1">SUMPRODUCT(--($A$4:$A$50=$A60),M$4:M$50,'COM Assumptions'!K$81:K$127)</f>
        <v>0</v>
      </c>
      <c r="N60" s="45" cm="1">
        <f t="array" aca="1" ref="N60" ca="1">SUMPRODUCT(--($A$4:$A$50=$A60),N$4:N$50,'COM Assumptions'!L$81:L$127)</f>
        <v>0</v>
      </c>
      <c r="O60" s="45" cm="1">
        <f t="array" aca="1" ref="O60" ca="1">SUMPRODUCT(--($A$4:$A$50=$A60),O$4:O$50,'COM Assumptions'!M$81:M$127)</f>
        <v>0</v>
      </c>
      <c r="P60" s="45" cm="1">
        <f t="array" aca="1" ref="P60" ca="1">SUMPRODUCT(--($A$4:$A$50=$A60),P$4:P$50,'COM Assumptions'!N$81:N$127)</f>
        <v>0</v>
      </c>
      <c r="Q60" s="45" cm="1">
        <f t="array" aca="1" ref="Q60" ca="1">SUMPRODUCT(--($A$4:$A$50=$A60),Q$4:Q$50,'COM Assumptions'!O$81:O$127)</f>
        <v>0</v>
      </c>
      <c r="R60" s="45" cm="1">
        <f t="array" aca="1" ref="R60" ca="1">SUMPRODUCT(--($A$4:$A$50=$A60),R$4:R$50,'COM Assumptions'!P$81:P$127)</f>
        <v>0</v>
      </c>
      <c r="S60" s="45" cm="1">
        <f t="array" aca="1" ref="S60" ca="1">SUMPRODUCT(--($A$4:$A$50=$A60),S$4:S$50,'COM Assumptions'!Q$81:Q$127)</f>
        <v>0</v>
      </c>
      <c r="T60" s="45" cm="1">
        <f t="array" aca="1" ref="T60" ca="1">SUMPRODUCT(--($A$4:$A$50=$A60),T$4:T$50,'COM Assumptions'!R$81:R$127)</f>
        <v>0</v>
      </c>
      <c r="U60" s="45" cm="1">
        <f t="array" aca="1" ref="U60" ca="1">SUMPRODUCT(--($A$4:$A$50=$A60),U$4:U$50,'COM Assumptions'!S$81:S$127)</f>
        <v>0</v>
      </c>
      <c r="V60" s="45" cm="1">
        <f t="array" aca="1" ref="V60" ca="1">SUMPRODUCT(--($A$4:$A$50=$A60),V$4:V$50,'COM Assumptions'!T$81:T$127)</f>
        <v>0</v>
      </c>
      <c r="W60" s="45" cm="1">
        <f t="array" aca="1" ref="W60" ca="1">SUMPRODUCT(--($A$4:$A$50=$A60),W$4:W$50,'COM Assumptions'!U$81:U$127)</f>
        <v>0</v>
      </c>
      <c r="X60" s="45" cm="1">
        <f t="array" aca="1" ref="X60" ca="1">SUMPRODUCT(--($A$4:$A$50=$A60),X$4:X$50,'COM Assumptions'!V$81:V$127)</f>
        <v>0</v>
      </c>
      <c r="Y60" s="45" cm="1">
        <f t="array" aca="1" ref="Y60" ca="1">SUMPRODUCT(--($A$4:$A$50=$A60),Y$4:Y$50,'COM Assumptions'!W$81:W$127)</f>
        <v>0</v>
      </c>
      <c r="Z60" s="45" cm="1">
        <f t="array" aca="1" ref="Z60" ca="1">SUMPRODUCT(--($A$4:$A$50=$A60),Z$4:Z$50,'COM Assumptions'!X$81:X$127)</f>
        <v>0</v>
      </c>
      <c r="AA60" s="45" cm="1">
        <f t="array" aca="1" ref="AA60" ca="1">SUMPRODUCT(--($A$4:$A$50=$A60),AA$4:AA$50,'COM Assumptions'!Y$81:Y$127)</f>
        <v>0</v>
      </c>
      <c r="AB60" s="45" cm="1">
        <f t="array" aca="1" ref="AB60" ca="1">SUMPRODUCT(--($A$4:$A$50=$A60),AB$4:AB$50,'COM Assumptions'!Z$81:Z$127)</f>
        <v>0</v>
      </c>
      <c r="AC60" s="45" cm="1">
        <f t="array" aca="1" ref="AC60" ca="1">SUMPRODUCT(--($A$4:$A$50=$A60),AC$4:AC$50,'COM Assumptions'!AA$81:AA$127)</f>
        <v>0</v>
      </c>
      <c r="AD60" s="45" cm="1">
        <f t="array" aca="1" ref="AD60" ca="1">SUMPRODUCT(--($A$4:$A$50=$A60),AD$4:AD$50,'COM Assumptions'!AB$81:AB$127)</f>
        <v>0</v>
      </c>
      <c r="AE60" s="45" cm="1">
        <f t="array" aca="1" ref="AE60" ca="1">SUMPRODUCT(--($A$4:$A$50=$A60),AE$4:AE$50,'COM Assumptions'!AC$81:AC$127)</f>
        <v>0</v>
      </c>
      <c r="AF60" s="45" cm="1">
        <f t="array" aca="1" ref="AF60" ca="1">SUMPRODUCT(--($A$4:$A$50=$A60),AF$4:AF$50,'COM Assumptions'!AD$81:AD$127)</f>
        <v>0</v>
      </c>
      <c r="AG60" s="45" cm="1">
        <f t="array" aca="1" ref="AG60" ca="1">SUMPRODUCT(--($A$4:$A$50=$A60),AG$4:AG$50,'COM Assumptions'!AE$81:AE$127)</f>
        <v>0</v>
      </c>
      <c r="AH60" s="45" cm="1">
        <f t="array" aca="1" ref="AH60" ca="1">SUMPRODUCT(--($A$4:$A$50=$A60),AH$4:AH$50,'COM Assumptions'!AF$81:AF$127)</f>
        <v>0</v>
      </c>
      <c r="AI60" s="45" cm="1">
        <f t="array" aca="1" ref="AI60" ca="1">SUMPRODUCT(--($A$4:$A$50=$A60),AI$4:AI$50,'COM Assumptions'!AG$81:AG$127)</f>
        <v>26.886270195296468</v>
      </c>
      <c r="AJ60" s="45" cm="1">
        <f t="array" aca="1" ref="AJ60" ca="1">SUMPRODUCT(--($A$4:$A$50=$A60),AJ$4:AJ$50,'COM Assumptions'!AH$81:AH$127)</f>
        <v>0</v>
      </c>
    </row>
    <row r="61" spans="1:142" x14ac:dyDescent="0.45">
      <c r="A61" s="37" t="s">
        <v>87</v>
      </c>
      <c r="F61" s="8" t="s">
        <v>87</v>
      </c>
      <c r="G61" s="45" cm="1">
        <f t="array" aca="1" ref="G61" ca="1">SUMPRODUCT(--($A$4:$A$50=$A61),G$4:G$50,'COM Assumptions'!E$81:E$127)</f>
        <v>71.778473555849999</v>
      </c>
      <c r="H61" s="45" cm="1">
        <f t="array" aca="1" ref="H61" ca="1">SUMPRODUCT(--($A$4:$A$50=$A61),H$4:H$50,'COM Assumptions'!F$81:F$127)</f>
        <v>44.249978330099999</v>
      </c>
      <c r="I61" s="45" cm="1">
        <f t="array" aca="1" ref="I61" ca="1">SUMPRODUCT(--($A$4:$A$50=$A61),I$4:I$50,'COM Assumptions'!G$81:G$127)</f>
        <v>93.775029490799994</v>
      </c>
      <c r="J61" s="45" cm="1">
        <f t="array" aca="1" ref="J61" ca="1">SUMPRODUCT(--($A$4:$A$50=$A61),J$4:J$50,'COM Assumptions'!H$81:H$127)</f>
        <v>24.413600285100003</v>
      </c>
      <c r="K61" s="45" cm="1">
        <f t="array" aca="1" ref="K61" ca="1">SUMPRODUCT(--($A$4:$A$50=$A61),K$4:K$50,'COM Assumptions'!I$81:I$127)</f>
        <v>388.95438517784999</v>
      </c>
      <c r="L61" s="45" cm="1">
        <f t="array" aca="1" ref="L61" ca="1">SUMPRODUCT(--($A$4:$A$50=$A61),L$4:L$50,'COM Assumptions'!J$81:J$127)</f>
        <v>583.05455093160003</v>
      </c>
      <c r="M61" s="45" cm="1">
        <f t="array" aca="1" ref="M61" ca="1">SUMPRODUCT(--($A$4:$A$50=$A61),M$4:M$50,'COM Assumptions'!K$81:K$127)</f>
        <v>145.4594782266</v>
      </c>
      <c r="N61" s="45" cm="1">
        <f t="array" aca="1" ref="N61" ca="1">SUMPRODUCT(--($A$4:$A$50=$A61),N$4:N$50,'COM Assumptions'!L$81:L$127)</f>
        <v>304.65114547679997</v>
      </c>
      <c r="O61" s="45" cm="1">
        <f t="array" aca="1" ref="O61" ca="1">SUMPRODUCT(--($A$4:$A$50=$A61),O$4:O$50,'COM Assumptions'!M$81:M$127)</f>
        <v>68.105700075599998</v>
      </c>
      <c r="P61" s="45" cm="1">
        <f t="array" aca="1" ref="P61" ca="1">SUMPRODUCT(--($A$4:$A$50=$A61),P$4:P$50,'COM Assumptions'!N$81:N$127)</f>
        <v>350.87377586688001</v>
      </c>
      <c r="Q61" s="45" cm="1">
        <f t="array" aca="1" ref="Q61" ca="1">SUMPRODUCT(--($A$4:$A$50=$A61),Q$4:Q$50,'COM Assumptions'!O$81:O$127)</f>
        <v>44.814856885289991</v>
      </c>
      <c r="R61" s="45" cm="1">
        <f t="array" aca="1" ref="R61" ca="1">SUMPRODUCT(--($A$4:$A$50=$A61),R$4:R$50,'COM Assumptions'!P$81:P$127)</f>
        <v>84.402791861400019</v>
      </c>
      <c r="S61" s="45" cm="1">
        <f t="array" aca="1" ref="S61" ca="1">SUMPRODUCT(--($A$4:$A$50=$A61),S$4:S$50,'COM Assumptions'!Q$81:Q$127)</f>
        <v>59.277078546929985</v>
      </c>
      <c r="T61" s="45" cm="1">
        <f t="array" aca="1" ref="T61" ca="1">SUMPRODUCT(--($A$4:$A$50=$A61),T$4:T$50,'COM Assumptions'!R$81:R$127)</f>
        <v>89.416480569930002</v>
      </c>
      <c r="U61" s="45" cm="1">
        <f t="array" aca="1" ref="U61" ca="1">SUMPRODUCT(--($A$4:$A$50=$A61),U$4:U$50,'COM Assumptions'!S$81:S$127)</f>
        <v>32.016660566399999</v>
      </c>
      <c r="V61" s="45" cm="1">
        <f t="array" aca="1" ref="V61" ca="1">SUMPRODUCT(--($A$4:$A$50=$A61),V$4:V$50,'COM Assumptions'!T$81:T$127)</f>
        <v>73.766480600159994</v>
      </c>
      <c r="W61" s="45" cm="1">
        <f t="array" aca="1" ref="W61" ca="1">SUMPRODUCT(--($A$4:$A$50=$A61),W$4:W$50,'COM Assumptions'!U$81:U$127)</f>
        <v>257.53118514290998</v>
      </c>
      <c r="X61" s="45" cm="1">
        <f t="array" aca="1" ref="X61" ca="1">SUMPRODUCT(--($A$4:$A$50=$A61),X$4:X$50,'COM Assumptions'!V$81:V$127)</f>
        <v>110.65335054183001</v>
      </c>
      <c r="Y61" s="45" cm="1">
        <f t="array" aca="1" ref="Y61" ca="1">SUMPRODUCT(--($A$4:$A$50=$A61),Y$4:Y$50,'COM Assumptions'!W$81:W$127)</f>
        <v>105.27894033372</v>
      </c>
      <c r="Z61" s="45" cm="1">
        <f t="array" aca="1" ref="Z61" ca="1">SUMPRODUCT(--($A$4:$A$50=$A61),Z$4:Z$50,'COM Assumptions'!X$81:X$127)</f>
        <v>173.89902134169003</v>
      </c>
      <c r="AA61" s="45" cm="1">
        <f t="array" aca="1" ref="AA61" ca="1">SUMPRODUCT(--($A$4:$A$50=$A61),AA$4:AA$50,'COM Assumptions'!Y$81:Y$127)</f>
        <v>193.00581693431997</v>
      </c>
      <c r="AB61" s="45" cm="1">
        <f t="array" aca="1" ref="AB61" ca="1">SUMPRODUCT(--($A$4:$A$50=$A61),AB$4:AB$50,'COM Assumptions'!Z$81:Z$127)</f>
        <v>51.689698983</v>
      </c>
      <c r="AC61" s="45" cm="1">
        <f t="array" aca="1" ref="AC61" ca="1">SUMPRODUCT(--($A$4:$A$50=$A61),AC$4:AC$50,'COM Assumptions'!AA$81:AA$127)</f>
        <v>292.73208044283001</v>
      </c>
      <c r="AD61" s="45" cm="1">
        <f t="array" aca="1" ref="AD61" ca="1">SUMPRODUCT(--($A$4:$A$50=$A61),AD$4:AD$50,'COM Assumptions'!AB$81:AB$127)</f>
        <v>22.320399472109997</v>
      </c>
      <c r="AE61" s="45" cm="1">
        <f t="array" aca="1" ref="AE61" ca="1">SUMPRODUCT(--($A$4:$A$50=$A61),AE$4:AE$50,'COM Assumptions'!AC$81:AC$127)</f>
        <v>137.58200983980001</v>
      </c>
      <c r="AF61" s="45" cm="1">
        <f t="array" aca="1" ref="AF61" ca="1">SUMPRODUCT(--($A$4:$A$50=$A61),AF$4:AF$50,'COM Assumptions'!AD$81:AD$127)</f>
        <v>231.32570228397</v>
      </c>
      <c r="AG61" s="45" cm="1">
        <f t="array" aca="1" ref="AG61" ca="1">SUMPRODUCT(--($A$4:$A$50=$A61),AG$4:AG$50,'COM Assumptions'!AE$81:AE$127)</f>
        <v>50.095265059799992</v>
      </c>
      <c r="AH61" s="45" cm="1">
        <f t="array" aca="1" ref="AH61" ca="1">SUMPRODUCT(--($A$4:$A$50=$A61),AH$4:AH$50,'COM Assumptions'!AF$81:AF$127)</f>
        <v>72.997713467909989</v>
      </c>
      <c r="AI61" s="45" cm="1">
        <f t="array" aca="1" ref="AI61" ca="1">SUMPRODUCT(--($A$4:$A$50=$A61),AI$4:AI$50,'COM Assumptions'!AG$81:AG$127)</f>
        <v>733.12799767580361</v>
      </c>
      <c r="AJ61" s="45" cm="1">
        <f t="array" aca="1" ref="AJ61" ca="1">SUMPRODUCT(--($A$4:$A$50=$A61),AJ$4:AJ$50,'COM Assumptions'!AH$81:AH$127)</f>
        <v>0</v>
      </c>
    </row>
    <row r="62" spans="1:142" x14ac:dyDescent="0.45"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</row>
    <row r="63" spans="1:142" x14ac:dyDescent="0.45">
      <c r="F63" s="8"/>
      <c r="G63" s="44" t="str">
        <f>G53</f>
        <v>Africa_north</v>
      </c>
      <c r="H63" s="44" t="str">
        <f t="shared" ref="H63:U63" si="26">H53</f>
        <v>Africa_other</v>
      </c>
      <c r="I63" s="44" t="str">
        <f t="shared" si="26"/>
        <v>Arg-Chi</v>
      </c>
      <c r="J63" s="44" t="str">
        <f t="shared" si="26"/>
        <v>Asia_central</v>
      </c>
      <c r="K63" s="44" t="str">
        <f t="shared" si="26"/>
        <v>Asia_east</v>
      </c>
      <c r="L63" s="44" t="str">
        <f t="shared" si="26"/>
        <v>Asia_other</v>
      </c>
      <c r="M63" s="44" t="str">
        <f t="shared" si="26"/>
        <v>Australia_NZ</v>
      </c>
      <c r="N63" s="44" t="str">
        <f t="shared" si="26"/>
        <v>Brazil</v>
      </c>
      <c r="O63" s="44" t="str">
        <f t="shared" si="26"/>
        <v>Canada</v>
      </c>
      <c r="P63" s="44" t="str">
        <f t="shared" si="26"/>
        <v>China</v>
      </c>
      <c r="Q63" s="44" t="str">
        <f t="shared" si="26"/>
        <v>EU_north</v>
      </c>
      <c r="R63" s="44" t="str">
        <f t="shared" si="26"/>
        <v>EU_northeast</v>
      </c>
      <c r="S63" s="44" t="str">
        <f t="shared" si="26"/>
        <v>EU_northwest</v>
      </c>
      <c r="T63" s="44" t="str">
        <f t="shared" si="26"/>
        <v>EU_south</v>
      </c>
      <c r="U63" s="44" t="str">
        <f t="shared" si="26"/>
        <v>EU_southeast</v>
      </c>
      <c r="V63" s="44" t="str">
        <f t="shared" ref="V63:W63" si="27">V53</f>
        <v>EU_southwest</v>
      </c>
      <c r="W63" s="44" t="str">
        <f t="shared" si="27"/>
        <v>Europe_other</v>
      </c>
      <c r="X63" s="44" t="str">
        <f t="shared" ref="X63:AJ63" si="28">X53</f>
        <v>France</v>
      </c>
      <c r="Y63" s="44" t="str">
        <f t="shared" si="28"/>
        <v>Germany</v>
      </c>
      <c r="Z63" s="44" t="str">
        <f t="shared" si="28"/>
        <v>India</v>
      </c>
      <c r="AA63" s="44" t="str">
        <f t="shared" si="28"/>
        <v>LatAm_other</v>
      </c>
      <c r="AB63" s="44" t="str">
        <f t="shared" si="28"/>
        <v>Mexico</v>
      </c>
      <c r="AC63" s="44" t="str">
        <f t="shared" si="28"/>
        <v>MidEast_other</v>
      </c>
      <c r="AD63" s="44" t="str">
        <f t="shared" si="28"/>
        <v>Nor-Ice</v>
      </c>
      <c r="AE63" s="44" t="str">
        <f t="shared" si="28"/>
        <v>Russia</v>
      </c>
      <c r="AF63" s="44" t="str">
        <f t="shared" si="28"/>
        <v>SaudiArabia</v>
      </c>
      <c r="AG63" s="44" t="str">
        <f t="shared" si="28"/>
        <v>SouthAfrica</v>
      </c>
      <c r="AH63" s="44" t="str">
        <f t="shared" si="28"/>
        <v>UK</v>
      </c>
      <c r="AI63" s="44" t="str">
        <f t="shared" si="28"/>
        <v>USA</v>
      </c>
      <c r="AJ63" s="44" t="str">
        <f t="shared" si="28"/>
        <v>\I:</v>
      </c>
    </row>
    <row r="64" spans="1:142" x14ac:dyDescent="0.45">
      <c r="F64" s="8" t="str">
        <f>F54</f>
        <v>CCK</v>
      </c>
      <c r="G64" s="47">
        <f ca="1">IFERROR(G54/G$76,"")</f>
        <v>1.0625610704018384E-2</v>
      </c>
      <c r="H64" s="47">
        <f t="shared" ref="H64:AJ64" ca="1" si="29">IFERROR(H54/H$76,"")</f>
        <v>1.811059289698861E-2</v>
      </c>
      <c r="I64" s="47">
        <f t="shared" ca="1" si="29"/>
        <v>3.922272046820461E-2</v>
      </c>
      <c r="J64" s="47">
        <f t="shared" ca="1" si="29"/>
        <v>4.3167706550479905E-2</v>
      </c>
      <c r="K64" s="47">
        <f t="shared" ca="1" si="29"/>
        <v>2.0662648227964313E-2</v>
      </c>
      <c r="L64" s="47">
        <f t="shared" ca="1" si="29"/>
        <v>1.0443477572276838E-2</v>
      </c>
      <c r="M64" s="47">
        <f t="shared" ca="1" si="29"/>
        <v>1.2667776060408354E-2</v>
      </c>
      <c r="N64" s="47">
        <f t="shared" ca="1" si="29"/>
        <v>8.9057807488456594E-3</v>
      </c>
      <c r="O64" s="47">
        <f t="shared" ca="1" si="29"/>
        <v>4.3026121310666764E-2</v>
      </c>
      <c r="P64" s="47">
        <f t="shared" ca="1" si="29"/>
        <v>1.8224537671781792E-2</v>
      </c>
      <c r="Q64" s="47">
        <f t="shared" ca="1" si="29"/>
        <v>9.4304043375399195E-3</v>
      </c>
      <c r="R64" s="47">
        <f t="shared" ca="1" si="29"/>
        <v>1.2400191623851213E-2</v>
      </c>
      <c r="S64" s="47">
        <f t="shared" ca="1" si="29"/>
        <v>2.3164889828037074E-2</v>
      </c>
      <c r="T64" s="47">
        <f t="shared" ca="1" si="29"/>
        <v>2.5251679344224714E-2</v>
      </c>
      <c r="U64" s="47">
        <f t="shared" ca="1" si="29"/>
        <v>1.5466777467612703E-2</v>
      </c>
      <c r="V64" s="47">
        <f t="shared" ca="1" si="29"/>
        <v>1.380891106054395E-2</v>
      </c>
      <c r="W64" s="47">
        <f t="shared" ca="1" si="29"/>
        <v>5.2398622344677417E-2</v>
      </c>
      <c r="X64" s="47">
        <f t="shared" ca="1" si="29"/>
        <v>1.9972027044601902E-2</v>
      </c>
      <c r="Y64" s="47">
        <f t="shared" ca="1" si="29"/>
        <v>1.951548581080214E-2</v>
      </c>
      <c r="Z64" s="47">
        <f t="shared" ca="1" si="29"/>
        <v>1.6424340403111484E-2</v>
      </c>
      <c r="AA64" s="47">
        <f t="shared" ca="1" si="29"/>
        <v>1.5726066969894877E-2</v>
      </c>
      <c r="AB64" s="47">
        <f t="shared" ca="1" si="29"/>
        <v>1.9971687099670704E-2</v>
      </c>
      <c r="AC64" s="47">
        <f t="shared" ca="1" si="29"/>
        <v>6.7883544015743508E-2</v>
      </c>
      <c r="AD64" s="47">
        <f t="shared" ca="1" si="29"/>
        <v>1.2424519807410286E-2</v>
      </c>
      <c r="AE64" s="47">
        <f t="shared" ca="1" si="29"/>
        <v>1.5694874161075043E-2</v>
      </c>
      <c r="AF64" s="47">
        <f t="shared" ca="1" si="29"/>
        <v>5.4020609219373322E-3</v>
      </c>
      <c r="AG64" s="47">
        <f t="shared" ca="1" si="29"/>
        <v>1.7111717441314647E-2</v>
      </c>
      <c r="AH64" s="47">
        <f t="shared" ca="1" si="29"/>
        <v>2.1884022872804269E-2</v>
      </c>
      <c r="AI64" s="47">
        <f t="shared" ca="1" si="29"/>
        <v>1.3709212549891761E-2</v>
      </c>
      <c r="AJ64" s="47" t="str">
        <f t="shared" ca="1" si="29"/>
        <v/>
      </c>
    </row>
    <row r="65" spans="5:36" x14ac:dyDescent="0.45">
      <c r="F65" s="8" t="str">
        <f t="shared" ref="F65:F71" si="30">F55</f>
        <v>CSH</v>
      </c>
      <c r="G65" s="47">
        <f t="shared" ref="G65:AJ65" ca="1" si="31">IFERROR(G55/G$76,"")</f>
        <v>5.2149451196418324E-4</v>
      </c>
      <c r="H65" s="47">
        <f t="shared" ca="1" si="31"/>
        <v>3.3536682424155236E-3</v>
      </c>
      <c r="I65" s="47">
        <f t="shared" ca="1" si="31"/>
        <v>9.2303512956960626E-3</v>
      </c>
      <c r="J65" s="47">
        <f t="shared" ca="1" si="31"/>
        <v>0.36962163869781517</v>
      </c>
      <c r="K65" s="47">
        <f t="shared" ca="1" si="31"/>
        <v>7.5105231268288664E-2</v>
      </c>
      <c r="L65" s="47">
        <f t="shared" ca="1" si="31"/>
        <v>8.9094668320432949E-3</v>
      </c>
      <c r="M65" s="47">
        <f t="shared" ca="1" si="31"/>
        <v>5.2345134208810006E-2</v>
      </c>
      <c r="N65" s="47">
        <f t="shared" ca="1" si="31"/>
        <v>4.1086316989609279E-3</v>
      </c>
      <c r="O65" s="47">
        <f t="shared" ca="1" si="31"/>
        <v>0.27378790143268106</v>
      </c>
      <c r="P65" s="47">
        <f t="shared" ca="1" si="31"/>
        <v>2.5211146721536331E-2</v>
      </c>
      <c r="Q65" s="47">
        <f t="shared" ca="1" si="31"/>
        <v>0.21085157503575078</v>
      </c>
      <c r="R65" s="47">
        <f t="shared" ca="1" si="31"/>
        <v>0.13657369501819311</v>
      </c>
      <c r="S65" s="47">
        <f t="shared" ca="1" si="31"/>
        <v>0.11411998878958493</v>
      </c>
      <c r="T65" s="47">
        <f t="shared" ca="1" si="31"/>
        <v>0.10339578252079676</v>
      </c>
      <c r="U65" s="47">
        <f t="shared" ca="1" si="31"/>
        <v>0.11660762905838838</v>
      </c>
      <c r="V65" s="47">
        <f t="shared" ca="1" si="31"/>
        <v>7.5897068422308492E-2</v>
      </c>
      <c r="W65" s="47">
        <f t="shared" ca="1" si="31"/>
        <v>9.3161464841144792E-2</v>
      </c>
      <c r="X65" s="47">
        <f t="shared" ca="1" si="31"/>
        <v>0.11726525425837181</v>
      </c>
      <c r="Y65" s="47">
        <f t="shared" ca="1" si="31"/>
        <v>0.1211905439162024</v>
      </c>
      <c r="Z65" s="47">
        <f t="shared" ca="1" si="31"/>
        <v>5.130839853538331E-3</v>
      </c>
      <c r="AA65" s="47">
        <f t="shared" ca="1" si="31"/>
        <v>4.7265711392762196E-3</v>
      </c>
      <c r="AB65" s="47">
        <f t="shared" ca="1" si="31"/>
        <v>3.7783027684990325E-3</v>
      </c>
      <c r="AC65" s="47">
        <f t="shared" ca="1" si="31"/>
        <v>1.5741366029962931E-2</v>
      </c>
      <c r="AD65" s="47">
        <f t="shared" ca="1" si="31"/>
        <v>0.185042188939433</v>
      </c>
      <c r="AE65" s="47">
        <f t="shared" ca="1" si="31"/>
        <v>0.41914888749761131</v>
      </c>
      <c r="AF65" s="47">
        <f t="shared" ca="1" si="31"/>
        <v>1.5434459776963814E-2</v>
      </c>
      <c r="AG65" s="47">
        <f t="shared" ca="1" si="31"/>
        <v>8.9734690264807958E-4</v>
      </c>
      <c r="AH65" s="47">
        <f t="shared" ca="1" si="31"/>
        <v>8.4879878852299764E-2</v>
      </c>
      <c r="AI65" s="47">
        <f t="shared" ca="1" si="31"/>
        <v>0.13023112487847618</v>
      </c>
      <c r="AJ65" s="47" t="str">
        <f t="shared" ca="1" si="31"/>
        <v/>
      </c>
    </row>
    <row r="66" spans="5:36" x14ac:dyDescent="0.45">
      <c r="F66" s="8" t="str">
        <f t="shared" si="30"/>
        <v>CHW</v>
      </c>
      <c r="G66" s="47">
        <f t="shared" ref="G66:AJ66" ca="1" si="32">IFERROR(G56/G$76,"")</f>
        <v>8.3730004405664447E-3</v>
      </c>
      <c r="H66" s="47">
        <f t="shared" ca="1" si="32"/>
        <v>1.4832279746351054E-2</v>
      </c>
      <c r="I66" s="47">
        <f t="shared" ca="1" si="32"/>
        <v>1.7859300937098335E-2</v>
      </c>
      <c r="J66" s="47">
        <f t="shared" ca="1" si="32"/>
        <v>3.9155865466775588E-2</v>
      </c>
      <c r="K66" s="47">
        <f t="shared" ca="1" si="32"/>
        <v>4.1964952439139294E-2</v>
      </c>
      <c r="L66" s="47">
        <f t="shared" ca="1" si="32"/>
        <v>1.4945226820233701E-2</v>
      </c>
      <c r="M66" s="47">
        <f t="shared" ca="1" si="32"/>
        <v>4.1286253020896869E-2</v>
      </c>
      <c r="N66" s="47">
        <f t="shared" ca="1" si="32"/>
        <v>4.6205885934220703E-3</v>
      </c>
      <c r="O66" s="47">
        <f t="shared" ca="1" si="32"/>
        <v>4.8297870355082415E-2</v>
      </c>
      <c r="P66" s="47">
        <f t="shared" ca="1" si="32"/>
        <v>2.0013957048219875E-2</v>
      </c>
      <c r="Q66" s="47">
        <f t="shared" ca="1" si="32"/>
        <v>2.1572390635775845E-2</v>
      </c>
      <c r="R66" s="47">
        <f t="shared" ca="1" si="32"/>
        <v>2.5775938027531569E-2</v>
      </c>
      <c r="S66" s="47">
        <f t="shared" ca="1" si="32"/>
        <v>4.2217317876426234E-2</v>
      </c>
      <c r="T66" s="47">
        <f t="shared" ca="1" si="32"/>
        <v>4.1387049711239098E-2</v>
      </c>
      <c r="U66" s="47">
        <f t="shared" ca="1" si="32"/>
        <v>2.6144755299730385E-2</v>
      </c>
      <c r="V66" s="47">
        <f t="shared" ca="1" si="32"/>
        <v>2.9708569516869888E-2</v>
      </c>
      <c r="W66" s="47">
        <f t="shared" ca="1" si="32"/>
        <v>2.1400811293708709E-2</v>
      </c>
      <c r="X66" s="47">
        <f t="shared" ca="1" si="32"/>
        <v>3.9417487652755455E-2</v>
      </c>
      <c r="Y66" s="47">
        <f t="shared" ca="1" si="32"/>
        <v>3.9158924518421727E-2</v>
      </c>
      <c r="Z66" s="47">
        <f t="shared" ca="1" si="32"/>
        <v>8.9894904755116346E-3</v>
      </c>
      <c r="AA66" s="47">
        <f t="shared" ca="1" si="32"/>
        <v>8.1623036730232752E-3</v>
      </c>
      <c r="AB66" s="47">
        <f t="shared" ca="1" si="32"/>
        <v>8.4442160239712998E-3</v>
      </c>
      <c r="AC66" s="47">
        <f t="shared" ca="1" si="32"/>
        <v>2.3050338250568059E-2</v>
      </c>
      <c r="AD66" s="47">
        <f t="shared" ca="1" si="32"/>
        <v>2.9954236657192362E-2</v>
      </c>
      <c r="AE66" s="47">
        <f t="shared" ca="1" si="32"/>
        <v>3.2649265333137091E-2</v>
      </c>
      <c r="AF66" s="47">
        <f t="shared" ca="1" si="32"/>
        <v>1.1704465330864226E-2</v>
      </c>
      <c r="AG66" s="47">
        <f t="shared" ca="1" si="32"/>
        <v>3.9197352827696492E-2</v>
      </c>
      <c r="AH66" s="47">
        <f t="shared" ca="1" si="32"/>
        <v>3.458636684510525E-2</v>
      </c>
      <c r="AI66" s="47">
        <f t="shared" ca="1" si="32"/>
        <v>5.7489288549649062E-2</v>
      </c>
      <c r="AJ66" s="47" t="str">
        <f t="shared" ca="1" si="32"/>
        <v/>
      </c>
    </row>
    <row r="67" spans="5:36" x14ac:dyDescent="0.45">
      <c r="F67" s="8" t="str">
        <f t="shared" si="30"/>
        <v>CSC</v>
      </c>
      <c r="G67" s="47">
        <f t="shared" ref="G67:AJ67" ca="1" si="33">IFERROR(G57/G$76,"")</f>
        <v>4.3165422462721793E-2</v>
      </c>
      <c r="H67" s="47">
        <f t="shared" ca="1" si="33"/>
        <v>1.9291909684755477E-2</v>
      </c>
      <c r="I67" s="47">
        <f t="shared" ca="1" si="33"/>
        <v>3.6972664247644206E-2</v>
      </c>
      <c r="J67" s="47">
        <f t="shared" ca="1" si="33"/>
        <v>6.8849224697394599E-3</v>
      </c>
      <c r="K67" s="47">
        <f t="shared" ca="1" si="33"/>
        <v>0.12379587940695745</v>
      </c>
      <c r="L67" s="47">
        <f t="shared" ca="1" si="33"/>
        <v>4.3867073442182263E-2</v>
      </c>
      <c r="M67" s="47">
        <f t="shared" ca="1" si="33"/>
        <v>4.7649905173742797E-2</v>
      </c>
      <c r="N67" s="47">
        <f t="shared" ca="1" si="33"/>
        <v>4.4750396706036664E-2</v>
      </c>
      <c r="O67" s="47">
        <f t="shared" ca="1" si="33"/>
        <v>0.13545235874641615</v>
      </c>
      <c r="P67" s="47">
        <f t="shared" ca="1" si="33"/>
        <v>8.5778874675574747E-3</v>
      </c>
      <c r="Q67" s="47">
        <f t="shared" ca="1" si="33"/>
        <v>7.3956796313065468E-2</v>
      </c>
      <c r="R67" s="47">
        <f t="shared" ca="1" si="33"/>
        <v>6.2877541908579722E-3</v>
      </c>
      <c r="S67" s="47">
        <f t="shared" ca="1" si="33"/>
        <v>5.3492418216525367E-2</v>
      </c>
      <c r="T67" s="47">
        <f t="shared" ca="1" si="33"/>
        <v>6.1519974946761126E-2</v>
      </c>
      <c r="U67" s="47">
        <f t="shared" ca="1" si="33"/>
        <v>5.9700444380442579E-3</v>
      </c>
      <c r="V67" s="47">
        <f t="shared" ca="1" si="33"/>
        <v>6.0492965898544547E-2</v>
      </c>
      <c r="W67" s="47">
        <f t="shared" ca="1" si="33"/>
        <v>5.5928534439022723E-2</v>
      </c>
      <c r="X67" s="47">
        <f t="shared" ca="1" si="33"/>
        <v>6.5347209717760882E-2</v>
      </c>
      <c r="Y67" s="47">
        <f t="shared" ca="1" si="33"/>
        <v>4.5281919068669706E-2</v>
      </c>
      <c r="Z67" s="47">
        <f t="shared" ca="1" si="33"/>
        <v>7.4134190486698712E-3</v>
      </c>
      <c r="AA67" s="47">
        <f t="shared" ca="1" si="33"/>
        <v>2.8928372476276987E-2</v>
      </c>
      <c r="AB67" s="47">
        <f t="shared" ca="1" si="33"/>
        <v>1.7543163534360119E-2</v>
      </c>
      <c r="AC67" s="47">
        <f t="shared" ca="1" si="33"/>
        <v>4.4794682553033538E-2</v>
      </c>
      <c r="AD67" s="47">
        <f t="shared" ca="1" si="33"/>
        <v>0.10769213557517486</v>
      </c>
      <c r="AE67" s="47">
        <f t="shared" ca="1" si="33"/>
        <v>8.2484651959544037E-3</v>
      </c>
      <c r="AF67" s="47">
        <f t="shared" ca="1" si="33"/>
        <v>7.8055245585575625E-2</v>
      </c>
      <c r="AG67" s="47">
        <f t="shared" ca="1" si="33"/>
        <v>9.7157133996287337E-2</v>
      </c>
      <c r="AH67" s="47">
        <f t="shared" ca="1" si="33"/>
        <v>4.2248887484925654E-2</v>
      </c>
      <c r="AI67" s="47">
        <f t="shared" ca="1" si="33"/>
        <v>0.18682678233555505</v>
      </c>
      <c r="AJ67" s="47" t="str">
        <f t="shared" ca="1" si="33"/>
        <v/>
      </c>
    </row>
    <row r="68" spans="5:36" x14ac:dyDescent="0.45">
      <c r="F68" s="8" t="str">
        <f t="shared" si="30"/>
        <v>CLA</v>
      </c>
      <c r="G68" s="47">
        <f t="shared" ref="G68:AJ68" ca="1" si="34">IFERROR(G58/G$76,"")</f>
        <v>5.8609943159373207E-2</v>
      </c>
      <c r="H68" s="47">
        <f t="shared" ca="1" si="34"/>
        <v>2.6273248530491445E-2</v>
      </c>
      <c r="I68" s="47">
        <f t="shared" ca="1" si="34"/>
        <v>0.11186858863277825</v>
      </c>
      <c r="J68" s="47">
        <f t="shared" ca="1" si="34"/>
        <v>6.0245670561618572E-2</v>
      </c>
      <c r="K68" s="47">
        <f t="shared" ca="1" si="34"/>
        <v>0.17299524011626008</v>
      </c>
      <c r="L68" s="47">
        <f t="shared" ca="1" si="34"/>
        <v>5.0458080277596837E-2</v>
      </c>
      <c r="M68" s="47">
        <f t="shared" ca="1" si="34"/>
        <v>0.1181698361622619</v>
      </c>
      <c r="N68" s="47">
        <f t="shared" ca="1" si="34"/>
        <v>0.13539156498420321</v>
      </c>
      <c r="O68" s="47">
        <f t="shared" ca="1" si="34"/>
        <v>0.19644924509762687</v>
      </c>
      <c r="P68" s="47">
        <f t="shared" ca="1" si="34"/>
        <v>7.1657524804217651E-2</v>
      </c>
      <c r="Q68" s="47">
        <f t="shared" ca="1" si="34"/>
        <v>0.16462094343591396</v>
      </c>
      <c r="R68" s="47">
        <f t="shared" ca="1" si="34"/>
        <v>0.11146741085284712</v>
      </c>
      <c r="S68" s="47">
        <f t="shared" ca="1" si="34"/>
        <v>0.11750653540841835</v>
      </c>
      <c r="T68" s="47">
        <f t="shared" ca="1" si="34"/>
        <v>0.13341016328407307</v>
      </c>
      <c r="U68" s="47">
        <f t="shared" ca="1" si="34"/>
        <v>9.8224827511670748E-2</v>
      </c>
      <c r="V68" s="47">
        <f t="shared" ca="1" si="34"/>
        <v>0.13406551902930824</v>
      </c>
      <c r="W68" s="47">
        <f t="shared" ca="1" si="34"/>
        <v>0.10092703161049513</v>
      </c>
      <c r="X68" s="47">
        <f t="shared" ca="1" si="34"/>
        <v>0.14392365461223966</v>
      </c>
      <c r="Y68" s="47">
        <f t="shared" ca="1" si="34"/>
        <v>9.842000206917105E-2</v>
      </c>
      <c r="Z68" s="47">
        <f t="shared" ca="1" si="34"/>
        <v>3.2048118670940595E-2</v>
      </c>
      <c r="AA68" s="47">
        <f t="shared" ca="1" si="34"/>
        <v>8.754398149428369E-2</v>
      </c>
      <c r="AB68" s="47">
        <f t="shared" ca="1" si="34"/>
        <v>3.4400838827476812E-2</v>
      </c>
      <c r="AC68" s="47">
        <f t="shared" ca="1" si="34"/>
        <v>7.9706599515707424E-2</v>
      </c>
      <c r="AD68" s="47">
        <f t="shared" ca="1" si="34"/>
        <v>0.23875380422805847</v>
      </c>
      <c r="AE68" s="47">
        <f t="shared" ca="1" si="34"/>
        <v>0.14718792745133905</v>
      </c>
      <c r="AF68" s="47">
        <f t="shared" ca="1" si="34"/>
        <v>0.14307744213245449</v>
      </c>
      <c r="AG68" s="47">
        <f t="shared" ca="1" si="34"/>
        <v>0.13284080864242681</v>
      </c>
      <c r="AH68" s="47">
        <f t="shared" ca="1" si="34"/>
        <v>9.2872742766511723E-2</v>
      </c>
      <c r="AI68" s="47">
        <f t="shared" ca="1" si="34"/>
        <v>0.2022363682517507</v>
      </c>
      <c r="AJ68" s="47" t="str">
        <f t="shared" ca="1" si="34"/>
        <v/>
      </c>
    </row>
    <row r="69" spans="5:36" x14ac:dyDescent="0.45">
      <c r="F69" s="8" t="str">
        <f t="shared" si="30"/>
        <v>COE</v>
      </c>
      <c r="G69" s="47">
        <f t="shared" ref="G69:AJ69" ca="1" si="35">IFERROR(G59/G$76,"")</f>
        <v>1.8967619145428209E-2</v>
      </c>
      <c r="H69" s="47">
        <f t="shared" ca="1" si="35"/>
        <v>8.4771924983348505E-3</v>
      </c>
      <c r="I69" s="47">
        <f t="shared" ca="1" si="35"/>
        <v>3.0790026855133414E-2</v>
      </c>
      <c r="J69" s="47">
        <f t="shared" ca="1" si="35"/>
        <v>2.5345708200886198E-2</v>
      </c>
      <c r="K69" s="47">
        <f t="shared" ca="1" si="35"/>
        <v>8.7327228731075221E-2</v>
      </c>
      <c r="L69" s="47">
        <f t="shared" ca="1" si="35"/>
        <v>2.4436210447088377E-2</v>
      </c>
      <c r="M69" s="47">
        <f t="shared" ca="1" si="35"/>
        <v>6.5431802969137268E-2</v>
      </c>
      <c r="N69" s="47">
        <f t="shared" ca="1" si="35"/>
        <v>3.7267152486706076E-2</v>
      </c>
      <c r="O69" s="47">
        <f t="shared" ca="1" si="35"/>
        <v>6.8686963504254697E-2</v>
      </c>
      <c r="P69" s="47">
        <f t="shared" ca="1" si="35"/>
        <v>1.6170376700551419E-2</v>
      </c>
      <c r="Q69" s="47">
        <f t="shared" ca="1" si="35"/>
        <v>4.1335165402495246E-2</v>
      </c>
      <c r="R69" s="47">
        <f t="shared" ca="1" si="35"/>
        <v>4.6895668088560924E-2</v>
      </c>
      <c r="S69" s="47">
        <f t="shared" ca="1" si="35"/>
        <v>2.9505067676106462E-2</v>
      </c>
      <c r="T69" s="47">
        <f t="shared" ca="1" si="35"/>
        <v>3.3498357199415726E-2</v>
      </c>
      <c r="U69" s="47">
        <f t="shared" ca="1" si="35"/>
        <v>4.1324227608110609E-2</v>
      </c>
      <c r="V69" s="47">
        <f t="shared" ca="1" si="35"/>
        <v>3.3662912434985238E-2</v>
      </c>
      <c r="W69" s="47">
        <f t="shared" ca="1" si="35"/>
        <v>3.6291633085399171E-2</v>
      </c>
      <c r="X69" s="47">
        <f t="shared" ca="1" si="35"/>
        <v>3.6138221204184008E-2</v>
      </c>
      <c r="Y69" s="47">
        <f t="shared" ca="1" si="35"/>
        <v>2.4712572893417058E-2</v>
      </c>
      <c r="Z69" s="47">
        <f t="shared" ca="1" si="35"/>
        <v>1.5684589061648647E-2</v>
      </c>
      <c r="AA69" s="47">
        <f t="shared" ca="1" si="35"/>
        <v>2.4090916452595753E-2</v>
      </c>
      <c r="AB69" s="47">
        <f t="shared" ca="1" si="35"/>
        <v>1.1598785807841397E-2</v>
      </c>
      <c r="AC69" s="47">
        <f t="shared" ca="1" si="35"/>
        <v>2.8610792976260527E-2</v>
      </c>
      <c r="AD69" s="47">
        <f t="shared" ca="1" si="35"/>
        <v>5.994940730055822E-2</v>
      </c>
      <c r="AE69" s="47">
        <f t="shared" ca="1" si="35"/>
        <v>6.1923723523217053E-2</v>
      </c>
      <c r="AF69" s="47">
        <f t="shared" ca="1" si="35"/>
        <v>5.1448199256546027E-2</v>
      </c>
      <c r="AG69" s="47">
        <f t="shared" ca="1" si="35"/>
        <v>4.2692493430231411E-2</v>
      </c>
      <c r="AH69" s="47">
        <f t="shared" ca="1" si="35"/>
        <v>2.331969495200726E-2</v>
      </c>
      <c r="AI69" s="47">
        <f t="shared" ca="1" si="35"/>
        <v>6.8805572562372297E-2</v>
      </c>
      <c r="AJ69" s="47" t="str">
        <f t="shared" ca="1" si="35"/>
        <v/>
      </c>
    </row>
    <row r="70" spans="5:36" x14ac:dyDescent="0.45">
      <c r="F70" s="8" t="str">
        <f t="shared" si="30"/>
        <v>COT</v>
      </c>
      <c r="G70" s="47">
        <f t="shared" ref="G70:AJ70" ca="1" si="36">IFERROR(G60/G$76,"")</f>
        <v>0</v>
      </c>
      <c r="H70" s="47">
        <f t="shared" ca="1" si="36"/>
        <v>0</v>
      </c>
      <c r="I70" s="47">
        <f t="shared" ca="1" si="36"/>
        <v>0</v>
      </c>
      <c r="J70" s="47">
        <f t="shared" ca="1" si="36"/>
        <v>0</v>
      </c>
      <c r="K70" s="47">
        <f t="shared" ca="1" si="36"/>
        <v>0</v>
      </c>
      <c r="L70" s="47">
        <f t="shared" ca="1" si="36"/>
        <v>0</v>
      </c>
      <c r="M70" s="47">
        <f t="shared" ca="1" si="36"/>
        <v>0</v>
      </c>
      <c r="N70" s="47">
        <f t="shared" ca="1" si="36"/>
        <v>0</v>
      </c>
      <c r="O70" s="47">
        <f t="shared" ca="1" si="36"/>
        <v>0</v>
      </c>
      <c r="P70" s="47">
        <f t="shared" ca="1" si="36"/>
        <v>0</v>
      </c>
      <c r="Q70" s="47">
        <f t="shared" ca="1" si="36"/>
        <v>0</v>
      </c>
      <c r="R70" s="47">
        <f t="shared" ca="1" si="36"/>
        <v>0</v>
      </c>
      <c r="S70" s="47">
        <f t="shared" ca="1" si="36"/>
        <v>0</v>
      </c>
      <c r="T70" s="47">
        <f t="shared" ca="1" si="36"/>
        <v>0</v>
      </c>
      <c r="U70" s="47">
        <f t="shared" ca="1" si="36"/>
        <v>0</v>
      </c>
      <c r="V70" s="47">
        <f t="shared" ca="1" si="36"/>
        <v>0</v>
      </c>
      <c r="W70" s="47">
        <f t="shared" ca="1" si="36"/>
        <v>0</v>
      </c>
      <c r="X70" s="47">
        <f t="shared" ca="1" si="36"/>
        <v>0</v>
      </c>
      <c r="Y70" s="47">
        <f t="shared" ca="1" si="36"/>
        <v>0</v>
      </c>
      <c r="Z70" s="47">
        <f t="shared" ca="1" si="36"/>
        <v>0</v>
      </c>
      <c r="AA70" s="47">
        <f t="shared" ca="1" si="36"/>
        <v>0</v>
      </c>
      <c r="AB70" s="47">
        <f t="shared" ca="1" si="36"/>
        <v>0</v>
      </c>
      <c r="AC70" s="47">
        <f t="shared" ca="1" si="36"/>
        <v>0</v>
      </c>
      <c r="AD70" s="47">
        <f t="shared" ca="1" si="36"/>
        <v>0</v>
      </c>
      <c r="AE70" s="47">
        <f t="shared" ca="1" si="36"/>
        <v>0</v>
      </c>
      <c r="AF70" s="47">
        <f t="shared" ca="1" si="36"/>
        <v>0</v>
      </c>
      <c r="AG70" s="47">
        <f t="shared" ca="1" si="36"/>
        <v>0</v>
      </c>
      <c r="AH70" s="47">
        <f t="shared" ca="1" si="36"/>
        <v>0</v>
      </c>
      <c r="AI70" s="47">
        <f t="shared" ca="1" si="36"/>
        <v>1.6109112704715052E-3</v>
      </c>
      <c r="AJ70" s="47" t="str">
        <f t="shared" ca="1" si="36"/>
        <v/>
      </c>
    </row>
    <row r="71" spans="5:36" x14ac:dyDescent="0.45">
      <c r="F71" s="8" t="str">
        <f t="shared" si="30"/>
        <v>CRF</v>
      </c>
      <c r="G71" s="47">
        <f t="shared" ref="G71:AJ71" ca="1" si="37">IFERROR(G61/G$76,"")</f>
        <v>3.5564285897677919E-2</v>
      </c>
      <c r="H71" s="47">
        <f t="shared" ca="1" si="37"/>
        <v>1.589473593437786E-2</v>
      </c>
      <c r="I71" s="47">
        <f t="shared" ca="1" si="37"/>
        <v>9.2370080565400248E-2</v>
      </c>
      <c r="J71" s="47">
        <f t="shared" ca="1" si="37"/>
        <v>2.4370873270082895E-2</v>
      </c>
      <c r="K71" s="47">
        <f t="shared" ca="1" si="37"/>
        <v>6.1401957701537273E-2</v>
      </c>
      <c r="L71" s="47">
        <f t="shared" ca="1" si="37"/>
        <v>5.5536841925200864E-2</v>
      </c>
      <c r="M71" s="47">
        <f t="shared" ca="1" si="37"/>
        <v>0.13086360593827454</v>
      </c>
      <c r="N71" s="47">
        <f t="shared" ca="1" si="37"/>
        <v>0.11180145746011824</v>
      </c>
      <c r="O71" s="47">
        <f t="shared" ca="1" si="37"/>
        <v>4.2929352190159219E-2</v>
      </c>
      <c r="P71" s="47">
        <f t="shared" ca="1" si="37"/>
        <v>1.6170376700551416E-2</v>
      </c>
      <c r="Q71" s="47">
        <f t="shared" ca="1" si="37"/>
        <v>5.4708307150361339E-2</v>
      </c>
      <c r="R71" s="47">
        <f t="shared" ca="1" si="37"/>
        <v>4.5091988546693218E-2</v>
      </c>
      <c r="S71" s="47">
        <f t="shared" ca="1" si="37"/>
        <v>3.9050824865435006E-2</v>
      </c>
      <c r="T71" s="47">
        <f t="shared" ca="1" si="37"/>
        <v>4.4336060999226691E-2</v>
      </c>
      <c r="U71" s="47">
        <f t="shared" ca="1" si="37"/>
        <v>3.9734834238567905E-2</v>
      </c>
      <c r="V71" s="47">
        <f t="shared" ca="1" si="37"/>
        <v>4.4553854693362802E-2</v>
      </c>
      <c r="W71" s="47">
        <f t="shared" ca="1" si="37"/>
        <v>9.5265536849172841E-2</v>
      </c>
      <c r="X71" s="47">
        <f t="shared" ca="1" si="37"/>
        <v>4.7829998652596468E-2</v>
      </c>
      <c r="Y71" s="47">
        <f t="shared" ca="1" si="37"/>
        <v>3.2707817064816687E-2</v>
      </c>
      <c r="Z71" s="47">
        <f t="shared" ca="1" si="37"/>
        <v>2.0831094847502115E-2</v>
      </c>
      <c r="AA71" s="47">
        <f t="shared" ca="1" si="37"/>
        <v>7.2272749357787269E-2</v>
      </c>
      <c r="AB71" s="47">
        <f t="shared" ca="1" si="37"/>
        <v>2.8996964519603499E-2</v>
      </c>
      <c r="AC71" s="47">
        <f t="shared" ca="1" si="37"/>
        <v>7.5103331562683909E-2</v>
      </c>
      <c r="AD71" s="47">
        <f t="shared" ca="1" si="37"/>
        <v>7.9344803780150561E-2</v>
      </c>
      <c r="AE71" s="47">
        <f t="shared" ca="1" si="37"/>
        <v>5.954204184924719E-2</v>
      </c>
      <c r="AF71" s="47">
        <f t="shared" ca="1" si="37"/>
        <v>0.13505152304843335</v>
      </c>
      <c r="AG71" s="47">
        <f t="shared" ca="1" si="37"/>
        <v>8.0048425181683938E-2</v>
      </c>
      <c r="AH71" s="47">
        <f t="shared" ca="1" si="37"/>
        <v>3.0864302142362538E-2</v>
      </c>
      <c r="AI71" s="47">
        <f t="shared" ca="1" si="37"/>
        <v>4.3925920017004315E-2</v>
      </c>
      <c r="AJ71" s="47" t="str">
        <f t="shared" ca="1" si="37"/>
        <v/>
      </c>
    </row>
    <row r="72" spans="5:36" x14ac:dyDescent="0.45"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</row>
    <row r="73" spans="5:36" x14ac:dyDescent="0.45"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</row>
    <row r="74" spans="5:36" x14ac:dyDescent="0.45"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</row>
    <row r="75" spans="5:36" ht="14.65" thickBot="1" x14ac:dyDescent="0.5">
      <c r="E75" s="62" t="str">
        <f>'RES Veda input'!E90</f>
        <v>Year</v>
      </c>
      <c r="F75" s="62" t="str">
        <f>'RES Veda input'!F90</f>
        <v>Drvr</v>
      </c>
      <c r="G75" s="62" t="str">
        <f>'RES Veda input'!G90</f>
        <v>Africa_north</v>
      </c>
      <c r="H75" s="62" t="str">
        <f>'RES Veda input'!H90</f>
        <v>Africa_other</v>
      </c>
      <c r="I75" s="62" t="str">
        <f>'RES Veda input'!I90</f>
        <v>Arg-Chi</v>
      </c>
      <c r="J75" s="62" t="str">
        <f>'RES Veda input'!J90</f>
        <v>Asia_central</v>
      </c>
      <c r="K75" s="62" t="str">
        <f>'RES Veda input'!K90</f>
        <v>Asia_east</v>
      </c>
      <c r="L75" s="62" t="str">
        <f>'RES Veda input'!L90</f>
        <v>Asia_other</v>
      </c>
      <c r="M75" s="62" t="str">
        <f>'RES Veda input'!M90</f>
        <v>Australia_NZ</v>
      </c>
      <c r="N75" s="62" t="str">
        <f>'RES Veda input'!N90</f>
        <v>Brazil</v>
      </c>
      <c r="O75" s="62" t="str">
        <f>'RES Veda input'!O90</f>
        <v>Canada</v>
      </c>
      <c r="P75" s="62" t="str">
        <f>'RES Veda input'!P90</f>
        <v>China</v>
      </c>
      <c r="Q75" s="62" t="str">
        <f>'RES Veda input'!Q90</f>
        <v>EU_north</v>
      </c>
      <c r="R75" s="62" t="str">
        <f>'RES Veda input'!R90</f>
        <v>EU_northeast</v>
      </c>
      <c r="S75" s="62" t="str">
        <f>'RES Veda input'!S90</f>
        <v>EU_northwest</v>
      </c>
      <c r="T75" s="62" t="str">
        <f>'RES Veda input'!T90</f>
        <v>EU_south</v>
      </c>
      <c r="U75" s="62" t="str">
        <f>'RES Veda input'!U90</f>
        <v>EU_southeast</v>
      </c>
      <c r="V75" s="62" t="str">
        <f>'RES Veda input'!V90</f>
        <v>EU_southwest</v>
      </c>
      <c r="W75" s="62" t="str">
        <f>'RES Veda input'!W90</f>
        <v>Europe_other</v>
      </c>
      <c r="X75" s="62" t="str">
        <f>'RES Veda input'!X90</f>
        <v>France</v>
      </c>
      <c r="Y75" s="62" t="str">
        <f>'RES Veda input'!Y90</f>
        <v>Germany</v>
      </c>
      <c r="Z75" s="62" t="str">
        <f>'RES Veda input'!Z90</f>
        <v>India</v>
      </c>
      <c r="AA75" s="62" t="str">
        <f>'RES Veda input'!AA90</f>
        <v>LatAm_other</v>
      </c>
      <c r="AB75" s="62" t="str">
        <f>'RES Veda input'!AB90</f>
        <v>Mexico</v>
      </c>
      <c r="AC75" s="62" t="str">
        <f>'RES Veda input'!AC90</f>
        <v>MidEast_other</v>
      </c>
      <c r="AD75" s="62" t="str">
        <f>'RES Veda input'!AD90</f>
        <v>Nor-Ice</v>
      </c>
      <c r="AE75" s="62" t="str">
        <f>'RES Veda input'!AE90</f>
        <v>Russia</v>
      </c>
      <c r="AF75" s="62" t="str">
        <f>'RES Veda input'!AF90</f>
        <v>SaudiArabia</v>
      </c>
      <c r="AG75" s="62" t="str">
        <f>'RES Veda input'!AG90</f>
        <v>SouthAfrica</v>
      </c>
      <c r="AH75" s="62" t="str">
        <f>'RES Veda input'!AH90</f>
        <v>UK</v>
      </c>
      <c r="AI75" s="62" t="str">
        <f>'RES Veda input'!AI90</f>
        <v>USA</v>
      </c>
      <c r="AJ75" s="62">
        <f>'RES Veda input'!AJ90</f>
        <v>0</v>
      </c>
    </row>
    <row r="76" spans="5:36" ht="15" thickTop="1" thickBot="1" x14ac:dyDescent="0.5">
      <c r="E76" s="62">
        <f>'RES Veda input'!E91</f>
        <v>2019</v>
      </c>
      <c r="F76" s="62" t="str">
        <f>'RES Veda input'!F91</f>
        <v>GDP</v>
      </c>
      <c r="G76" s="62">
        <f>'RES Veda input'!G91</f>
        <v>2018.2739999999999</v>
      </c>
      <c r="H76" s="62">
        <f>'RES Veda input'!H91</f>
        <v>2783.9391930000002</v>
      </c>
      <c r="I76" s="62">
        <f>'RES Veda input'!I91</f>
        <v>1015.21</v>
      </c>
      <c r="J76" s="62">
        <f>'RES Veda input'!J91</f>
        <v>1001.7532</v>
      </c>
      <c r="K76" s="62">
        <f>'RES Veda input'!K91</f>
        <v>6334.56</v>
      </c>
      <c r="L76" s="62">
        <f>'RES Veda input'!L91</f>
        <v>10498.5182938</v>
      </c>
      <c r="M76" s="62">
        <f>'RES Veda input'!M91</f>
        <v>1111.5350000000001</v>
      </c>
      <c r="N76" s="62">
        <f>'RES Veda input'!N91</f>
        <v>2724.93</v>
      </c>
      <c r="O76" s="62">
        <f>'RES Veda input'!O91</f>
        <v>1586.46</v>
      </c>
      <c r="P76" s="62">
        <f>'RES Veda input'!P91</f>
        <v>21698.553</v>
      </c>
      <c r="Q76" s="62">
        <f>'RES Veda input'!Q91</f>
        <v>819.16</v>
      </c>
      <c r="R76" s="62">
        <f>'RES Veda input'!R91</f>
        <v>1871.7913000000001</v>
      </c>
      <c r="S76" s="62">
        <f>'RES Veda input'!S91</f>
        <v>1517.9468999999999</v>
      </c>
      <c r="T76" s="62">
        <f>'RES Veda input'!T91</f>
        <v>2016.78901</v>
      </c>
      <c r="U76" s="62">
        <f>'RES Veda input'!U91</f>
        <v>805.75800000000004</v>
      </c>
      <c r="V76" s="62">
        <f>'RES Veda input'!V91</f>
        <v>1655.67</v>
      </c>
      <c r="W76" s="62">
        <f>'RES Veda input'!W91</f>
        <v>2703.2985239</v>
      </c>
      <c r="X76" s="62">
        <f>'RES Veda input'!X91</f>
        <v>2313.4717470000001</v>
      </c>
      <c r="Y76" s="62">
        <f>'RES Veda input'!Y91</f>
        <v>3218.77</v>
      </c>
      <c r="Z76" s="62">
        <f>'RES Veda input'!Z91</f>
        <v>8348.0499999999993</v>
      </c>
      <c r="AA76" s="62">
        <f>'RES Veda input'!AA91</f>
        <v>2670.5199213999999</v>
      </c>
      <c r="AB76" s="62">
        <f>'RES Veda input'!AB91</f>
        <v>1782.59</v>
      </c>
      <c r="AC76" s="62">
        <f>'RES Veda input'!AC91</f>
        <v>3897.7242999999999</v>
      </c>
      <c r="AD76" s="62">
        <f>'RES Veda input'!AD91</f>
        <v>281.30889999999999</v>
      </c>
      <c r="AE76" s="62">
        <f>'RES Veda input'!AE91</f>
        <v>2310.67</v>
      </c>
      <c r="AF76" s="62">
        <f>'RES Veda input'!AF91</f>
        <v>1712.87</v>
      </c>
      <c r="AG76" s="62">
        <f>'RES Veda input'!AG91</f>
        <v>625.81200000000001</v>
      </c>
      <c r="AH76" s="62">
        <f>'RES Veda input'!AH91</f>
        <v>2365.1179000000002</v>
      </c>
      <c r="AI76" s="62">
        <f>'RES Veda input'!AI91</f>
        <v>16690.099999999999</v>
      </c>
      <c r="AJ76" s="62">
        <f>'RES Veda input'!AJ91</f>
        <v>0</v>
      </c>
    </row>
    <row r="77" spans="5:36" ht="15" thickTop="1" thickBot="1" x14ac:dyDescent="0.5">
      <c r="E77" s="62">
        <f>'RES Veda input'!E92</f>
        <v>2019</v>
      </c>
      <c r="F77" s="62" t="str">
        <f>'RES Veda input'!F92</f>
        <v>POP</v>
      </c>
      <c r="G77" s="62">
        <f>'RES Veda input'!G92</f>
        <v>198.38505000000001</v>
      </c>
      <c r="H77" s="62">
        <f>'RES Veda input'!H92</f>
        <v>1039.485625</v>
      </c>
      <c r="I77" s="62">
        <f>'RES Veda input'!I92</f>
        <v>63.890700000000002</v>
      </c>
      <c r="J77" s="62">
        <f>'RES Veda input'!J92</f>
        <v>90.515600000000006</v>
      </c>
      <c r="K77" s="62">
        <f>'RES Veda input'!K92</f>
        <v>177.97409999999999</v>
      </c>
      <c r="L77" s="62">
        <f>'RES Veda input'!L92</f>
        <v>1196.67780103</v>
      </c>
      <c r="M77" s="62">
        <f>'RES Veda input'!M92</f>
        <v>30.344999999999999</v>
      </c>
      <c r="N77" s="62">
        <f>'RES Veda input'!N92</f>
        <v>211.05</v>
      </c>
      <c r="O77" s="62">
        <f>'RES Veda input'!O92</f>
        <v>37.593400000000003</v>
      </c>
      <c r="P77" s="62">
        <f>'RES Veda input'!P92</f>
        <v>1405.2274</v>
      </c>
      <c r="Q77" s="62">
        <f>'RES Veda input'!Q92</f>
        <v>21.614930000000001</v>
      </c>
      <c r="R77" s="62">
        <f>'RES Veda input'!R92</f>
        <v>69.006330000000005</v>
      </c>
      <c r="S77" s="62">
        <f>'RES Veda input'!S92</f>
        <v>34.388241000000001</v>
      </c>
      <c r="T77" s="62">
        <f>'RES Veda input'!T92</f>
        <v>72.185137699999999</v>
      </c>
      <c r="U77" s="62">
        <f>'RES Veda input'!U92</f>
        <v>42.27214</v>
      </c>
      <c r="V77" s="62">
        <f>'RES Veda input'!V92</f>
        <v>57.419800000000002</v>
      </c>
      <c r="W77" s="62">
        <f>'RES Veda input'!W92</f>
        <v>164.817550463</v>
      </c>
      <c r="X77" s="62">
        <f>'RES Veda input'!X92</f>
        <v>68.440616300000002</v>
      </c>
      <c r="Y77" s="62">
        <f>'RES Veda input'!Y92</f>
        <v>83.093000000000004</v>
      </c>
      <c r="Z77" s="62">
        <f>'RES Veda input'!Z92</f>
        <v>1366.42</v>
      </c>
      <c r="AA77" s="62">
        <f>'RES Veda input'!AA92</f>
        <v>245.14508555</v>
      </c>
      <c r="AB77" s="62">
        <f>'RES Veda input'!AB92</f>
        <v>127.57599999999999</v>
      </c>
      <c r="AC77" s="62">
        <f>'RES Veda input'!AC92</f>
        <v>222.57825</v>
      </c>
      <c r="AD77" s="62">
        <f>'RES Veda input'!AD92</f>
        <v>5.7084630000000001</v>
      </c>
      <c r="AE77" s="62">
        <f>'RES Veda input'!AE92</f>
        <v>144.40600000000001</v>
      </c>
      <c r="AF77" s="62">
        <f>'RES Veda input'!AF92</f>
        <v>34.268500000000003</v>
      </c>
      <c r="AG77" s="62">
        <f>'RES Veda input'!AG92</f>
        <v>58.558300000000003</v>
      </c>
      <c r="AH77" s="62">
        <f>'RES Veda input'!AH92</f>
        <v>66.878303259999996</v>
      </c>
      <c r="AI77" s="62">
        <f>'RES Veda input'!AI92</f>
        <v>328.33</v>
      </c>
      <c r="AJ77" s="62">
        <f>'RES Veda input'!AJ92</f>
        <v>0</v>
      </c>
    </row>
    <row r="78" spans="5:36" ht="14.65" thickTop="1" x14ac:dyDescent="0.45"/>
  </sheetData>
  <phoneticPr fontId="16" type="noConversion"/>
  <conditionalFormatting sqref="G65:U65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6:U66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7:U67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8:U71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4:AJ6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4:AJ7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5:AJ7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4:W7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5:W65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6:W6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67:W67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8:W7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4:AJ7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5:AJ6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6:AJ6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67:AJ6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8:AJ7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93BC1-F5A6-46F8-A837-93497FCFF76E}">
  <dimension ref="A2:BD52"/>
  <sheetViews>
    <sheetView workbookViewId="0">
      <selection activeCell="E18" sqref="E18"/>
    </sheetView>
  </sheetViews>
  <sheetFormatPr defaultRowHeight="14.25" x14ac:dyDescent="0.45"/>
  <cols>
    <col min="1" max="1" width="4.86328125" bestFit="1" customWidth="1"/>
    <col min="2" max="2" width="11.1328125" bestFit="1" customWidth="1"/>
    <col min="4" max="4" width="11.1328125" bestFit="1" customWidth="1"/>
    <col min="5" max="5" width="8.1328125" bestFit="1" customWidth="1"/>
    <col min="6" max="6" width="9.796875" bestFit="1" customWidth="1"/>
    <col min="7" max="7" width="7.19921875" bestFit="1" customWidth="1"/>
    <col min="8" max="8" width="4.46484375" bestFit="1" customWidth="1"/>
    <col min="9" max="9" width="4.53125" bestFit="1" customWidth="1"/>
    <col min="10" max="10" width="6.1328125" bestFit="1" customWidth="1"/>
    <col min="11" max="16" width="5.1328125" bestFit="1" customWidth="1"/>
    <col min="17" max="17" width="4.53125" bestFit="1" customWidth="1"/>
    <col min="18" max="21" width="5.1328125" bestFit="1" customWidth="1"/>
    <col min="22" max="22" width="5.53125" bestFit="1" customWidth="1"/>
    <col min="23" max="23" width="13.86328125" bestFit="1" customWidth="1"/>
    <col min="24" max="24" width="4" bestFit="1" customWidth="1"/>
    <col min="25" max="25" width="4.1328125" bestFit="1" customWidth="1"/>
    <col min="26" max="26" width="4.46484375" bestFit="1" customWidth="1"/>
    <col min="27" max="27" width="3.53125" bestFit="1" customWidth="1"/>
    <col min="28" max="28" width="4" bestFit="1" customWidth="1"/>
    <col min="29" max="32" width="3.86328125" bestFit="1" customWidth="1"/>
    <col min="33" max="33" width="4.53125" bestFit="1" customWidth="1"/>
    <col min="34" max="34" width="4.46484375" bestFit="1" customWidth="1"/>
    <col min="35" max="35" width="4.53125" bestFit="1" customWidth="1"/>
    <col min="36" max="37" width="4.1328125" bestFit="1" customWidth="1"/>
    <col min="38" max="38" width="4.796875" bestFit="1" customWidth="1"/>
    <col min="40" max="40" width="11.1328125" bestFit="1" customWidth="1"/>
    <col min="41" max="41" width="5" bestFit="1" customWidth="1"/>
    <col min="42" max="43" width="4" bestFit="1" customWidth="1"/>
    <col min="44" max="44" width="5" bestFit="1" customWidth="1"/>
    <col min="45" max="53" width="4" bestFit="1" customWidth="1"/>
    <col min="54" max="54" width="5" bestFit="1" customWidth="1"/>
    <col min="55" max="56" width="4" bestFit="1" customWidth="1"/>
  </cols>
  <sheetData>
    <row r="2" spans="1:56" x14ac:dyDescent="0.45">
      <c r="F2" s="8" t="s">
        <v>337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 t="s">
        <v>356</v>
      </c>
      <c r="AN2" s="8" t="s">
        <v>355</v>
      </c>
    </row>
    <row r="3" spans="1:56" x14ac:dyDescent="0.45">
      <c r="D3" s="8" t="s">
        <v>36</v>
      </c>
      <c r="E3" s="8" t="s">
        <v>37</v>
      </c>
      <c r="F3" s="8" t="s">
        <v>38</v>
      </c>
      <c r="G3" s="38" t="s">
        <v>9</v>
      </c>
      <c r="H3" s="38" t="s">
        <v>15</v>
      </c>
      <c r="I3" s="38" t="s">
        <v>8</v>
      </c>
      <c r="J3" s="38" t="s">
        <v>14</v>
      </c>
      <c r="K3" s="38" t="s">
        <v>6</v>
      </c>
      <c r="L3" s="38" t="s">
        <v>4</v>
      </c>
      <c r="M3" s="38" t="s">
        <v>13</v>
      </c>
      <c r="N3" s="38" t="s">
        <v>7</v>
      </c>
      <c r="O3" s="38" t="s">
        <v>2</v>
      </c>
      <c r="P3" s="38" t="s">
        <v>11</v>
      </c>
      <c r="Q3" s="38" t="s">
        <v>0</v>
      </c>
      <c r="R3" s="38" t="s">
        <v>12</v>
      </c>
      <c r="S3" s="38" t="s">
        <v>3</v>
      </c>
      <c r="T3" s="38" t="s">
        <v>5</v>
      </c>
      <c r="U3" s="38" t="s">
        <v>1</v>
      </c>
      <c r="W3" t="s">
        <v>36</v>
      </c>
      <c r="X3" s="38" t="str">
        <f>G3</f>
        <v>AFR</v>
      </c>
      <c r="Y3" s="38" t="str">
        <f t="shared" ref="Y3:AL3" si="0">H3</f>
        <v>AUS</v>
      </c>
      <c r="Z3" s="38" t="str">
        <f t="shared" si="0"/>
        <v>CAN</v>
      </c>
      <c r="AA3" s="38" t="str">
        <f t="shared" si="0"/>
        <v>CHI</v>
      </c>
      <c r="AB3" s="38" t="str">
        <f t="shared" si="0"/>
        <v>CSA</v>
      </c>
      <c r="AC3" s="38" t="str">
        <f t="shared" si="0"/>
        <v>EEU</v>
      </c>
      <c r="AD3" s="38" t="str">
        <f t="shared" si="0"/>
        <v>FSU</v>
      </c>
      <c r="AE3" s="38" t="str">
        <f t="shared" si="0"/>
        <v>IND</v>
      </c>
      <c r="AF3" s="38" t="str">
        <f t="shared" si="0"/>
        <v>JPN</v>
      </c>
      <c r="AG3" s="38" t="str">
        <f t="shared" si="0"/>
        <v>MEA</v>
      </c>
      <c r="AH3" s="38" t="str">
        <f t="shared" si="0"/>
        <v>MEX</v>
      </c>
      <c r="AI3" s="38" t="str">
        <f t="shared" si="0"/>
        <v>ODA</v>
      </c>
      <c r="AJ3" s="38" t="str">
        <f t="shared" si="0"/>
        <v>SKO</v>
      </c>
      <c r="AK3" s="38" t="str">
        <f t="shared" si="0"/>
        <v>USA</v>
      </c>
      <c r="AL3" s="38" t="str">
        <f t="shared" si="0"/>
        <v>WEU</v>
      </c>
      <c r="AN3" t="s">
        <v>36</v>
      </c>
      <c r="AO3">
        <v>2018</v>
      </c>
      <c r="AP3" s="38" t="str">
        <f>X3</f>
        <v>AFR</v>
      </c>
      <c r="AQ3" s="38" t="str">
        <f t="shared" ref="AQ3:BD3" si="1">Y3</f>
        <v>AUS</v>
      </c>
      <c r="AR3" s="38" t="str">
        <f t="shared" si="1"/>
        <v>CAN</v>
      </c>
      <c r="AS3" s="38" t="str">
        <f t="shared" si="1"/>
        <v>CHI</v>
      </c>
      <c r="AT3" s="38" t="str">
        <f t="shared" si="1"/>
        <v>CSA</v>
      </c>
      <c r="AU3" s="38" t="str">
        <f t="shared" si="1"/>
        <v>EEU</v>
      </c>
      <c r="AV3" s="38" t="str">
        <f t="shared" si="1"/>
        <v>FSU</v>
      </c>
      <c r="AW3" s="38" t="str">
        <f t="shared" si="1"/>
        <v>IND</v>
      </c>
      <c r="AX3" s="38" t="str">
        <f t="shared" si="1"/>
        <v>JPN</v>
      </c>
      <c r="AY3" s="38" t="str">
        <f t="shared" si="1"/>
        <v>MEA</v>
      </c>
      <c r="AZ3" s="38" t="str">
        <f t="shared" si="1"/>
        <v>MEX</v>
      </c>
      <c r="BA3" s="38" t="str">
        <f t="shared" si="1"/>
        <v>ODA</v>
      </c>
      <c r="BB3" s="38" t="str">
        <f t="shared" si="1"/>
        <v>SKO</v>
      </c>
      <c r="BC3" s="38" t="str">
        <f t="shared" si="1"/>
        <v>USA</v>
      </c>
      <c r="BD3" s="38" t="str">
        <f t="shared" si="1"/>
        <v>WEU</v>
      </c>
    </row>
    <row r="4" spans="1:56" x14ac:dyDescent="0.45">
      <c r="A4" s="37" t="str">
        <f>'COM Assumptions'!B81</f>
        <v>CL</v>
      </c>
      <c r="B4" s="37" t="s">
        <v>200</v>
      </c>
      <c r="D4" t="s">
        <v>314</v>
      </c>
      <c r="E4" s="8" t="str">
        <f>'COM Assumptions'!A81</f>
        <v>COMELC</v>
      </c>
      <c r="F4" t="str">
        <f>VLOOKUP('COM Assumptions'!B81,'COM Assumptions'!$AP$81:$AQ$88,2,FALSE)</f>
        <v>CSC</v>
      </c>
      <c r="G4" s="11">
        <v>3</v>
      </c>
      <c r="H4" s="11">
        <f>$G4</f>
        <v>3</v>
      </c>
      <c r="I4" s="11">
        <f t="shared" ref="I4:U10" si="2">$G4</f>
        <v>3</v>
      </c>
      <c r="J4" s="11">
        <f t="shared" si="2"/>
        <v>3</v>
      </c>
      <c r="K4" s="11">
        <f t="shared" si="2"/>
        <v>3</v>
      </c>
      <c r="L4" s="11">
        <f t="shared" si="2"/>
        <v>3</v>
      </c>
      <c r="M4" s="11">
        <f t="shared" si="2"/>
        <v>3</v>
      </c>
      <c r="N4" s="11">
        <f t="shared" si="2"/>
        <v>3</v>
      </c>
      <c r="O4" s="11">
        <f t="shared" si="2"/>
        <v>3</v>
      </c>
      <c r="P4" s="11">
        <f t="shared" si="2"/>
        <v>3</v>
      </c>
      <c r="Q4" s="11">
        <f t="shared" si="2"/>
        <v>3</v>
      </c>
      <c r="R4" s="11">
        <f t="shared" si="2"/>
        <v>3</v>
      </c>
      <c r="S4" s="11">
        <f t="shared" si="2"/>
        <v>3</v>
      </c>
      <c r="T4" s="11">
        <f t="shared" si="2"/>
        <v>3</v>
      </c>
      <c r="U4" s="11">
        <f t="shared" si="2"/>
        <v>3</v>
      </c>
      <c r="W4" s="8" t="str">
        <f>$D4</f>
        <v>CSCCAE000</v>
      </c>
      <c r="X4" s="11">
        <v>0.25</v>
      </c>
      <c r="Y4" s="11">
        <v>0.14000000000000001</v>
      </c>
      <c r="Z4" s="11">
        <v>0.14000000000000001</v>
      </c>
      <c r="AA4" s="11">
        <v>0.13</v>
      </c>
      <c r="AB4" s="11">
        <v>0.25</v>
      </c>
      <c r="AC4" s="11">
        <v>0.13</v>
      </c>
      <c r="AD4" s="11">
        <v>0.13</v>
      </c>
      <c r="AE4" s="11">
        <v>0.13</v>
      </c>
      <c r="AF4" s="11">
        <v>0.13</v>
      </c>
      <c r="AG4" s="11">
        <v>0.25</v>
      </c>
      <c r="AH4" s="11">
        <v>0.25</v>
      </c>
      <c r="AI4" s="11">
        <v>2</v>
      </c>
      <c r="AJ4" s="11">
        <v>0.2</v>
      </c>
      <c r="AK4" s="11">
        <v>0.13</v>
      </c>
      <c r="AL4" s="11">
        <v>0.13</v>
      </c>
      <c r="AN4" s="8" t="str">
        <f>$D4</f>
        <v>CSCCAE000</v>
      </c>
      <c r="AO4" s="8">
        <v>0.3</v>
      </c>
      <c r="AP4" s="8" t="s">
        <v>60</v>
      </c>
      <c r="AQ4" s="8">
        <v>0.3</v>
      </c>
      <c r="AR4" s="8">
        <v>3.6</v>
      </c>
      <c r="AS4" s="8">
        <v>4.2</v>
      </c>
      <c r="AT4" s="8" t="s">
        <v>60</v>
      </c>
      <c r="AU4" s="8" t="s">
        <v>60</v>
      </c>
      <c r="AV4" s="8">
        <v>3.6</v>
      </c>
      <c r="AW4" s="8">
        <v>6</v>
      </c>
      <c r="AX4" s="8">
        <v>4.2</v>
      </c>
      <c r="AY4" s="8">
        <v>4.8</v>
      </c>
      <c r="AZ4" s="8">
        <v>3.6</v>
      </c>
      <c r="BA4" s="8">
        <v>4.8</v>
      </c>
      <c r="BB4" s="8">
        <v>0.3</v>
      </c>
      <c r="BC4" s="8" t="s">
        <v>60</v>
      </c>
      <c r="BD4" s="8" t="s">
        <v>60</v>
      </c>
    </row>
    <row r="5" spans="1:56" x14ac:dyDescent="0.45">
      <c r="A5" s="37" t="str">
        <f>'COM Assumptions'!B82</f>
        <v>CL</v>
      </c>
      <c r="B5" s="37" t="s">
        <v>206</v>
      </c>
      <c r="D5" t="s">
        <v>315</v>
      </c>
      <c r="E5" s="8" t="str">
        <f>'COM Assumptions'!A82</f>
        <v>COMELC</v>
      </c>
      <c r="F5" t="str">
        <f>VLOOKUP('COM Assumptions'!B82,'COM Assumptions'!$AP$81:$AQ$88,2,FALSE)</f>
        <v>CSC</v>
      </c>
      <c r="G5" s="11">
        <v>3.1</v>
      </c>
      <c r="H5" s="11">
        <f t="shared" ref="H5:H10" si="3">$G5</f>
        <v>3.1</v>
      </c>
      <c r="I5" s="11">
        <f t="shared" si="2"/>
        <v>3.1</v>
      </c>
      <c r="J5" s="11">
        <f t="shared" si="2"/>
        <v>3.1</v>
      </c>
      <c r="K5" s="11">
        <f t="shared" si="2"/>
        <v>3.1</v>
      </c>
      <c r="L5" s="11">
        <f t="shared" si="2"/>
        <v>3.1</v>
      </c>
      <c r="M5" s="11">
        <f t="shared" si="2"/>
        <v>3.1</v>
      </c>
      <c r="N5" s="11">
        <f t="shared" si="2"/>
        <v>3.1</v>
      </c>
      <c r="O5" s="11">
        <f t="shared" si="2"/>
        <v>3.1</v>
      </c>
      <c r="P5" s="11">
        <f t="shared" si="2"/>
        <v>3.1</v>
      </c>
      <c r="Q5" s="11">
        <f t="shared" si="2"/>
        <v>3.1</v>
      </c>
      <c r="R5" s="11">
        <f t="shared" si="2"/>
        <v>3.1</v>
      </c>
      <c r="S5" s="11">
        <f t="shared" si="2"/>
        <v>3.1</v>
      </c>
      <c r="T5" s="11">
        <f t="shared" si="2"/>
        <v>3.1</v>
      </c>
      <c r="U5" s="11">
        <f t="shared" si="2"/>
        <v>3.1</v>
      </c>
      <c r="W5" s="8" t="str">
        <f t="shared" ref="W5:W52" si="4">$D5</f>
        <v>CSCECE000</v>
      </c>
      <c r="X5" s="11">
        <v>0.25</v>
      </c>
      <c r="Y5" s="11">
        <v>0.14000000000000001</v>
      </c>
      <c r="Z5" s="11">
        <v>0.14000000000000001</v>
      </c>
      <c r="AA5" s="11">
        <v>0.13</v>
      </c>
      <c r="AB5" s="11">
        <v>0.25</v>
      </c>
      <c r="AC5" s="11">
        <v>0.13</v>
      </c>
      <c r="AD5" s="11">
        <v>0.13</v>
      </c>
      <c r="AE5" s="11">
        <v>0.13</v>
      </c>
      <c r="AF5" s="11">
        <v>0.13</v>
      </c>
      <c r="AG5" s="11">
        <v>0.25</v>
      </c>
      <c r="AH5" s="11">
        <v>0.25</v>
      </c>
      <c r="AI5" s="11">
        <v>2</v>
      </c>
      <c r="AJ5" s="11">
        <v>0.2</v>
      </c>
      <c r="AK5" s="11">
        <v>0.13</v>
      </c>
      <c r="AL5" s="11">
        <v>0.13</v>
      </c>
      <c r="AN5" s="8" t="str">
        <f t="shared" ref="AN5:AN52" si="5">$D5</f>
        <v>CSCECE000</v>
      </c>
      <c r="AO5" s="8">
        <v>0.28999999999999998</v>
      </c>
      <c r="AP5" s="8" t="s">
        <v>60</v>
      </c>
      <c r="AQ5" s="8" t="s">
        <v>60</v>
      </c>
      <c r="AR5" s="8">
        <v>4.2</v>
      </c>
      <c r="AS5" s="8">
        <v>4.9000000000000004</v>
      </c>
      <c r="AT5" s="8" t="s">
        <v>60</v>
      </c>
      <c r="AU5" s="8" t="s">
        <v>60</v>
      </c>
      <c r="AV5" s="8">
        <v>4.2</v>
      </c>
      <c r="AW5" s="8">
        <v>7</v>
      </c>
      <c r="AX5" s="8">
        <v>4.9000000000000004</v>
      </c>
      <c r="AY5" s="8">
        <v>5.6</v>
      </c>
      <c r="AZ5" s="8">
        <v>4.2</v>
      </c>
      <c r="BA5" s="8">
        <v>5.6</v>
      </c>
      <c r="BB5" s="8">
        <v>0.28999999999999998</v>
      </c>
      <c r="BC5" s="8" t="s">
        <v>60</v>
      </c>
      <c r="BD5" s="8" t="s">
        <v>60</v>
      </c>
    </row>
    <row r="6" spans="1:56" x14ac:dyDescent="0.45">
      <c r="A6" s="37" t="str">
        <f>'COM Assumptions'!B83</f>
        <v>CL</v>
      </c>
      <c r="B6" s="37" t="s">
        <v>202</v>
      </c>
      <c r="D6" t="s">
        <v>316</v>
      </c>
      <c r="E6" s="8" t="str">
        <f>'COM Assumptions'!A83</f>
        <v>COMELC</v>
      </c>
      <c r="F6" t="str">
        <f>VLOOKUP('COM Assumptions'!B83,'COM Assumptions'!$AP$81:$AQ$88,2,FALSE)</f>
        <v>CSC</v>
      </c>
      <c r="G6" s="11">
        <v>3.1</v>
      </c>
      <c r="H6" s="11">
        <f t="shared" si="3"/>
        <v>3.1</v>
      </c>
      <c r="I6" s="11">
        <f t="shared" si="2"/>
        <v>3.1</v>
      </c>
      <c r="J6" s="11">
        <f t="shared" si="2"/>
        <v>3.1</v>
      </c>
      <c r="K6" s="11">
        <f t="shared" si="2"/>
        <v>3.1</v>
      </c>
      <c r="L6" s="11">
        <f t="shared" si="2"/>
        <v>3.1</v>
      </c>
      <c r="M6" s="11">
        <f t="shared" si="2"/>
        <v>3.1</v>
      </c>
      <c r="N6" s="11">
        <f t="shared" si="2"/>
        <v>3.1</v>
      </c>
      <c r="O6" s="11">
        <f t="shared" si="2"/>
        <v>3.1</v>
      </c>
      <c r="P6" s="11">
        <f t="shared" si="2"/>
        <v>3.1</v>
      </c>
      <c r="Q6" s="11">
        <f t="shared" si="2"/>
        <v>3.1</v>
      </c>
      <c r="R6" s="11">
        <f t="shared" si="2"/>
        <v>3.1</v>
      </c>
      <c r="S6" s="11">
        <f t="shared" si="2"/>
        <v>3.1</v>
      </c>
      <c r="T6" s="11">
        <f t="shared" si="2"/>
        <v>3.1</v>
      </c>
      <c r="U6" s="11">
        <f t="shared" si="2"/>
        <v>3.1</v>
      </c>
      <c r="W6" s="8" t="str">
        <f t="shared" si="4"/>
        <v>CSCEHP000</v>
      </c>
      <c r="X6" s="11">
        <v>0.25</v>
      </c>
      <c r="Y6" s="11">
        <v>0.14000000000000001</v>
      </c>
      <c r="Z6" s="11">
        <v>0.14000000000000001</v>
      </c>
      <c r="AA6" s="11">
        <v>0.13</v>
      </c>
      <c r="AB6" s="11">
        <v>0.25</v>
      </c>
      <c r="AC6" s="11">
        <v>0.13</v>
      </c>
      <c r="AD6" s="11">
        <v>0.13</v>
      </c>
      <c r="AE6" s="11">
        <v>0.13</v>
      </c>
      <c r="AF6" s="11">
        <v>0.13</v>
      </c>
      <c r="AG6" s="11">
        <v>0.25</v>
      </c>
      <c r="AH6" s="11">
        <v>0.25</v>
      </c>
      <c r="AI6" s="11">
        <v>2</v>
      </c>
      <c r="AJ6" s="11">
        <v>0.2</v>
      </c>
      <c r="AK6" s="11">
        <v>0.13</v>
      </c>
      <c r="AL6" s="11">
        <v>0.13</v>
      </c>
      <c r="AN6" s="8" t="str">
        <f t="shared" si="5"/>
        <v>CSCEHP000</v>
      </c>
      <c r="AO6" s="8">
        <v>0.3</v>
      </c>
      <c r="AP6" s="8" t="s">
        <v>60</v>
      </c>
      <c r="AQ6" s="8" t="s">
        <v>60</v>
      </c>
      <c r="AR6" s="8">
        <v>3.6</v>
      </c>
      <c r="AS6" s="8">
        <v>4.2</v>
      </c>
      <c r="AT6" s="8" t="s">
        <v>60</v>
      </c>
      <c r="AU6" s="8" t="s">
        <v>60</v>
      </c>
      <c r="AV6" s="8">
        <v>3.6</v>
      </c>
      <c r="AW6" s="8">
        <v>6</v>
      </c>
      <c r="AX6" s="8">
        <v>4.2</v>
      </c>
      <c r="AY6" s="8">
        <v>4.8</v>
      </c>
      <c r="AZ6" s="8">
        <v>3.6</v>
      </c>
      <c r="BA6" s="8">
        <v>4.8</v>
      </c>
      <c r="BB6" s="8">
        <v>0.3</v>
      </c>
      <c r="BC6" s="8" t="s">
        <v>60</v>
      </c>
      <c r="BD6" s="8" t="s">
        <v>60</v>
      </c>
    </row>
    <row r="7" spans="1:56" x14ac:dyDescent="0.45">
      <c r="A7" s="37" t="str">
        <f>'COM Assumptions'!B84</f>
        <v>CL</v>
      </c>
      <c r="B7" s="37" t="s">
        <v>204</v>
      </c>
      <c r="D7" t="s">
        <v>317</v>
      </c>
      <c r="E7" s="8" t="str">
        <f>'COM Assumptions'!A84</f>
        <v>COMELC</v>
      </c>
      <c r="F7" t="str">
        <f>VLOOKUP('COM Assumptions'!B84,'COM Assumptions'!$AP$81:$AQ$88,2,FALSE)</f>
        <v>CSC</v>
      </c>
      <c r="G7" s="11">
        <v>3</v>
      </c>
      <c r="H7" s="11">
        <f t="shared" si="3"/>
        <v>3</v>
      </c>
      <c r="I7" s="11">
        <f t="shared" si="2"/>
        <v>3</v>
      </c>
      <c r="J7" s="11">
        <f t="shared" si="2"/>
        <v>3</v>
      </c>
      <c r="K7" s="11">
        <f t="shared" si="2"/>
        <v>3</v>
      </c>
      <c r="L7" s="11">
        <f t="shared" si="2"/>
        <v>3</v>
      </c>
      <c r="M7" s="11">
        <f t="shared" si="2"/>
        <v>3</v>
      </c>
      <c r="N7" s="11">
        <f t="shared" si="2"/>
        <v>3</v>
      </c>
      <c r="O7" s="11">
        <f t="shared" si="2"/>
        <v>3</v>
      </c>
      <c r="P7" s="11">
        <f t="shared" si="2"/>
        <v>3</v>
      </c>
      <c r="Q7" s="11">
        <f t="shared" si="2"/>
        <v>3</v>
      </c>
      <c r="R7" s="11">
        <f t="shared" si="2"/>
        <v>3</v>
      </c>
      <c r="S7" s="11">
        <f t="shared" si="2"/>
        <v>3</v>
      </c>
      <c r="T7" s="11">
        <f t="shared" si="2"/>
        <v>3</v>
      </c>
      <c r="U7" s="11">
        <f t="shared" si="2"/>
        <v>3</v>
      </c>
      <c r="W7" s="8" t="str">
        <f t="shared" si="4"/>
        <v>CSCRAE000</v>
      </c>
      <c r="X7" s="11">
        <v>0.25</v>
      </c>
      <c r="Y7" s="11">
        <v>0.14000000000000001</v>
      </c>
      <c r="Z7" s="11">
        <v>0.14000000000000001</v>
      </c>
      <c r="AA7" s="11">
        <v>0.13</v>
      </c>
      <c r="AB7" s="11">
        <v>0.25</v>
      </c>
      <c r="AC7" s="11">
        <v>0.13</v>
      </c>
      <c r="AD7" s="11">
        <v>0.13</v>
      </c>
      <c r="AE7" s="11">
        <v>0.13</v>
      </c>
      <c r="AF7" s="11">
        <v>0.13</v>
      </c>
      <c r="AG7" s="11">
        <v>0.25</v>
      </c>
      <c r="AH7" s="11">
        <v>0.25</v>
      </c>
      <c r="AI7" s="11">
        <v>2</v>
      </c>
      <c r="AJ7" s="11">
        <v>0.2</v>
      </c>
      <c r="AK7" s="11">
        <v>0.13</v>
      </c>
      <c r="AL7" s="11">
        <v>0.13</v>
      </c>
      <c r="AN7" s="8" t="str">
        <f t="shared" si="5"/>
        <v>CSCRAE000</v>
      </c>
      <c r="AO7" s="8">
        <v>0.3</v>
      </c>
      <c r="AP7" s="8" t="s">
        <v>60</v>
      </c>
      <c r="AQ7" s="8" t="s">
        <v>60</v>
      </c>
      <c r="AR7" s="8">
        <v>4.2</v>
      </c>
      <c r="AS7" s="8">
        <v>4.9000000000000004</v>
      </c>
      <c r="AT7" s="8" t="s">
        <v>60</v>
      </c>
      <c r="AU7" s="8" t="s">
        <v>60</v>
      </c>
      <c r="AV7" s="8">
        <v>4.2</v>
      </c>
      <c r="AW7" s="8">
        <v>7</v>
      </c>
      <c r="AX7" s="8">
        <v>4.9000000000000004</v>
      </c>
      <c r="AY7" s="8">
        <v>5.6</v>
      </c>
      <c r="AZ7" s="8">
        <v>4.2</v>
      </c>
      <c r="BA7" s="8">
        <v>5.6</v>
      </c>
      <c r="BB7" s="8">
        <v>0.3</v>
      </c>
      <c r="BC7" s="8" t="s">
        <v>60</v>
      </c>
      <c r="BD7" s="8" t="s">
        <v>60</v>
      </c>
    </row>
    <row r="8" spans="1:56" x14ac:dyDescent="0.45">
      <c r="A8" s="37" t="str">
        <f>'COM Assumptions'!B85</f>
        <v>CL</v>
      </c>
      <c r="B8" s="37" t="s">
        <v>218</v>
      </c>
      <c r="D8" t="s">
        <v>318</v>
      </c>
      <c r="E8" s="8" t="str">
        <f>'COM Assumptions'!A85</f>
        <v>COMOIL</v>
      </c>
      <c r="F8" t="str">
        <f>VLOOKUP('COM Assumptions'!B85,'COM Assumptions'!$AP$81:$AQ$88,2,FALSE)</f>
        <v>CSC</v>
      </c>
      <c r="G8" s="11">
        <v>0.7</v>
      </c>
      <c r="H8" s="11">
        <f t="shared" si="3"/>
        <v>0.7</v>
      </c>
      <c r="I8" s="11">
        <f t="shared" si="2"/>
        <v>0.7</v>
      </c>
      <c r="J8" s="11">
        <f t="shared" si="2"/>
        <v>0.7</v>
      </c>
      <c r="K8" s="11">
        <f t="shared" si="2"/>
        <v>0.7</v>
      </c>
      <c r="L8" s="11">
        <f t="shared" si="2"/>
        <v>0.7</v>
      </c>
      <c r="M8" s="11">
        <f t="shared" si="2"/>
        <v>0.7</v>
      </c>
      <c r="N8" s="11">
        <f t="shared" si="2"/>
        <v>0.7</v>
      </c>
      <c r="O8" s="11">
        <f t="shared" si="2"/>
        <v>0.7</v>
      </c>
      <c r="P8" s="11">
        <f t="shared" si="2"/>
        <v>0.7</v>
      </c>
      <c r="Q8" s="11">
        <f t="shared" si="2"/>
        <v>0.7</v>
      </c>
      <c r="R8" s="11">
        <f t="shared" si="2"/>
        <v>0.7</v>
      </c>
      <c r="S8" s="11">
        <f t="shared" si="2"/>
        <v>0.7</v>
      </c>
      <c r="T8" s="11">
        <f t="shared" si="2"/>
        <v>0.7</v>
      </c>
      <c r="U8" s="11">
        <f t="shared" si="2"/>
        <v>0.7</v>
      </c>
      <c r="W8" s="8" t="str">
        <f t="shared" si="4"/>
        <v>CSCDST000</v>
      </c>
      <c r="X8" s="11">
        <v>0.25</v>
      </c>
      <c r="Y8" s="11">
        <v>0.14000000000000001</v>
      </c>
      <c r="Z8" s="11">
        <v>0.14000000000000001</v>
      </c>
      <c r="AA8" s="11">
        <v>0.13</v>
      </c>
      <c r="AB8" s="11">
        <v>0.25</v>
      </c>
      <c r="AC8" s="11">
        <v>0.13</v>
      </c>
      <c r="AD8" s="11">
        <v>0.13</v>
      </c>
      <c r="AE8" s="11">
        <v>0.13</v>
      </c>
      <c r="AF8" s="11">
        <v>0.13</v>
      </c>
      <c r="AG8" s="11">
        <v>0.25</v>
      </c>
      <c r="AH8" s="11">
        <v>0.25</v>
      </c>
      <c r="AI8" s="11">
        <v>2</v>
      </c>
      <c r="AJ8" s="11">
        <v>0.2</v>
      </c>
      <c r="AK8" s="11">
        <v>0.13</v>
      </c>
      <c r="AL8" s="11">
        <v>0.13</v>
      </c>
      <c r="AN8" s="8" t="str">
        <f t="shared" si="5"/>
        <v>CSCDST000</v>
      </c>
      <c r="AO8" s="8">
        <v>0.3</v>
      </c>
      <c r="AP8" s="8" t="s">
        <v>60</v>
      </c>
      <c r="AQ8" s="8" t="s">
        <v>60</v>
      </c>
      <c r="AR8" s="8">
        <v>3.6</v>
      </c>
      <c r="AS8" s="8">
        <v>4.2</v>
      </c>
      <c r="AT8" s="8" t="s">
        <v>60</v>
      </c>
      <c r="AU8" s="8" t="s">
        <v>60</v>
      </c>
      <c r="AV8" s="8">
        <v>3.6</v>
      </c>
      <c r="AW8" s="8">
        <v>6</v>
      </c>
      <c r="AX8" s="8">
        <v>4.2</v>
      </c>
      <c r="AY8" s="8">
        <v>4.8</v>
      </c>
      <c r="AZ8" s="8">
        <v>3.6</v>
      </c>
      <c r="BA8" s="8">
        <v>4.8</v>
      </c>
      <c r="BB8" s="8">
        <v>0.3</v>
      </c>
      <c r="BC8" s="8" t="s">
        <v>60</v>
      </c>
      <c r="BD8" s="8" t="s">
        <v>60</v>
      </c>
    </row>
    <row r="9" spans="1:56" x14ac:dyDescent="0.45">
      <c r="A9" s="37" t="str">
        <f>'COM Assumptions'!B86</f>
        <v>CL</v>
      </c>
      <c r="B9" s="37" t="s">
        <v>219</v>
      </c>
      <c r="D9" t="s">
        <v>319</v>
      </c>
      <c r="E9" s="8" t="str">
        <f>'COM Assumptions'!A86</f>
        <v>COMGEO</v>
      </c>
      <c r="F9" t="str">
        <f>VLOOKUP('COM Assumptions'!B86,'COM Assumptions'!$AP$81:$AQ$88,2,FALSE)</f>
        <v>CSC</v>
      </c>
      <c r="G9" s="11">
        <v>3.8</v>
      </c>
      <c r="H9" s="11">
        <f t="shared" si="3"/>
        <v>3.8</v>
      </c>
      <c r="I9" s="11">
        <f t="shared" si="2"/>
        <v>3.8</v>
      </c>
      <c r="J9" s="11">
        <f t="shared" si="2"/>
        <v>3.8</v>
      </c>
      <c r="K9" s="11">
        <f t="shared" si="2"/>
        <v>3.8</v>
      </c>
      <c r="L9" s="11">
        <f t="shared" si="2"/>
        <v>3.8</v>
      </c>
      <c r="M9" s="11">
        <f t="shared" si="2"/>
        <v>3.8</v>
      </c>
      <c r="N9" s="11">
        <f t="shared" si="2"/>
        <v>3.8</v>
      </c>
      <c r="O9" s="11">
        <f t="shared" si="2"/>
        <v>3.8</v>
      </c>
      <c r="P9" s="11">
        <f t="shared" si="2"/>
        <v>3.8</v>
      </c>
      <c r="Q9" s="11">
        <f t="shared" si="2"/>
        <v>3.8</v>
      </c>
      <c r="R9" s="11">
        <f t="shared" si="2"/>
        <v>3.8</v>
      </c>
      <c r="S9" s="11">
        <f t="shared" si="2"/>
        <v>3.8</v>
      </c>
      <c r="T9" s="11">
        <f t="shared" si="2"/>
        <v>3.8</v>
      </c>
      <c r="U9" s="11">
        <f t="shared" si="2"/>
        <v>3.8</v>
      </c>
      <c r="W9" s="8" t="str">
        <f t="shared" si="4"/>
        <v>CSCGEO000</v>
      </c>
      <c r="X9" s="11">
        <v>0.25</v>
      </c>
      <c r="Y9" s="11">
        <v>0.14000000000000001</v>
      </c>
      <c r="Z9" s="11">
        <v>0.14000000000000001</v>
      </c>
      <c r="AA9" s="11">
        <v>0.13</v>
      </c>
      <c r="AB9" s="11">
        <v>0.25</v>
      </c>
      <c r="AC9" s="11">
        <v>0.13</v>
      </c>
      <c r="AD9" s="11">
        <v>0.13</v>
      </c>
      <c r="AE9" s="11">
        <v>0.13</v>
      </c>
      <c r="AF9" s="11">
        <v>0.13</v>
      </c>
      <c r="AG9" s="11">
        <v>0.25</v>
      </c>
      <c r="AH9" s="11">
        <v>0.25</v>
      </c>
      <c r="AI9" s="11">
        <v>2</v>
      </c>
      <c r="AJ9" s="11">
        <v>0.2</v>
      </c>
      <c r="AK9" s="11">
        <v>0.13</v>
      </c>
      <c r="AL9" s="11">
        <v>0.13</v>
      </c>
      <c r="AN9" s="8" t="str">
        <f t="shared" si="5"/>
        <v>CSCGEO000</v>
      </c>
      <c r="AO9" s="8">
        <v>0.3</v>
      </c>
      <c r="AP9" s="8" t="s">
        <v>60</v>
      </c>
      <c r="AQ9" s="8" t="s">
        <v>60</v>
      </c>
      <c r="AR9" s="8">
        <v>3.6</v>
      </c>
      <c r="AS9" s="8">
        <v>4.2</v>
      </c>
      <c r="AT9" s="8" t="s">
        <v>60</v>
      </c>
      <c r="AU9" s="8" t="s">
        <v>60</v>
      </c>
      <c r="AV9" s="8">
        <v>3.6</v>
      </c>
      <c r="AW9" s="8">
        <v>6</v>
      </c>
      <c r="AX9" s="8">
        <v>4.2</v>
      </c>
      <c r="AY9" s="8">
        <v>4.8</v>
      </c>
      <c r="AZ9" s="8">
        <v>3.6</v>
      </c>
      <c r="BA9" s="8">
        <v>4.8</v>
      </c>
      <c r="BB9" s="8">
        <v>0.3</v>
      </c>
      <c r="BC9" s="8" t="s">
        <v>60</v>
      </c>
      <c r="BD9" s="8" t="s">
        <v>60</v>
      </c>
    </row>
    <row r="10" spans="1:56" x14ac:dyDescent="0.45">
      <c r="A10" s="37" t="str">
        <f>'COM Assumptions'!B87</f>
        <v>CL</v>
      </c>
      <c r="B10" s="37" t="s">
        <v>220</v>
      </c>
      <c r="D10" t="s">
        <v>320</v>
      </c>
      <c r="E10" s="8" t="str">
        <f>'COM Assumptions'!A87</f>
        <v>COMNGA</v>
      </c>
      <c r="F10" t="str">
        <f>VLOOKUP('COM Assumptions'!B87,'COM Assumptions'!$AP$81:$AQ$88,2,FALSE)</f>
        <v>CSC</v>
      </c>
      <c r="G10" s="11">
        <v>1</v>
      </c>
      <c r="H10" s="11">
        <f t="shared" si="3"/>
        <v>1</v>
      </c>
      <c r="I10" s="11">
        <f t="shared" si="2"/>
        <v>1</v>
      </c>
      <c r="J10" s="11">
        <f t="shared" si="2"/>
        <v>1</v>
      </c>
      <c r="K10" s="11">
        <f t="shared" si="2"/>
        <v>1</v>
      </c>
      <c r="L10" s="11">
        <f t="shared" si="2"/>
        <v>1</v>
      </c>
      <c r="M10" s="11">
        <f t="shared" si="2"/>
        <v>1</v>
      </c>
      <c r="N10" s="11">
        <f t="shared" si="2"/>
        <v>1</v>
      </c>
      <c r="O10" s="11">
        <f t="shared" si="2"/>
        <v>1</v>
      </c>
      <c r="P10" s="11">
        <f t="shared" si="2"/>
        <v>1</v>
      </c>
      <c r="Q10" s="11">
        <f t="shared" si="2"/>
        <v>1</v>
      </c>
      <c r="R10" s="11">
        <f t="shared" si="2"/>
        <v>1</v>
      </c>
      <c r="S10" s="11">
        <f t="shared" si="2"/>
        <v>1</v>
      </c>
      <c r="T10" s="11">
        <f t="shared" si="2"/>
        <v>1</v>
      </c>
      <c r="U10" s="11">
        <f t="shared" si="2"/>
        <v>1</v>
      </c>
      <c r="W10" s="8" t="str">
        <f t="shared" si="4"/>
        <v>CSCNGA000</v>
      </c>
      <c r="X10" s="11">
        <v>0.25</v>
      </c>
      <c r="Y10" s="11">
        <v>0.14000000000000001</v>
      </c>
      <c r="Z10" s="11">
        <v>0.14000000000000001</v>
      </c>
      <c r="AA10" s="11">
        <v>0.13</v>
      </c>
      <c r="AB10" s="11">
        <v>0.25</v>
      </c>
      <c r="AC10" s="11">
        <v>0.13</v>
      </c>
      <c r="AD10" s="11">
        <v>0.13</v>
      </c>
      <c r="AE10" s="11">
        <v>0.13</v>
      </c>
      <c r="AF10" s="11">
        <v>0.13</v>
      </c>
      <c r="AG10" s="11">
        <v>0.25</v>
      </c>
      <c r="AH10" s="11">
        <v>0.25</v>
      </c>
      <c r="AI10" s="11">
        <v>0.2</v>
      </c>
      <c r="AJ10" s="11">
        <v>0.2</v>
      </c>
      <c r="AK10" s="11">
        <v>0.13</v>
      </c>
      <c r="AL10" s="11">
        <v>0.13</v>
      </c>
      <c r="AN10" s="8" t="str">
        <f t="shared" si="5"/>
        <v>CSCNGA000</v>
      </c>
      <c r="AO10" s="8">
        <v>0.3</v>
      </c>
      <c r="AP10" s="8" t="s">
        <v>60</v>
      </c>
      <c r="AQ10" s="8" t="s">
        <v>60</v>
      </c>
      <c r="AR10" s="8">
        <v>3.6</v>
      </c>
      <c r="AS10" s="8">
        <v>4.2</v>
      </c>
      <c r="AT10" s="8" t="s">
        <v>60</v>
      </c>
      <c r="AU10" s="8" t="s">
        <v>60</v>
      </c>
      <c r="AV10" s="8">
        <v>3.6</v>
      </c>
      <c r="AW10" s="8">
        <v>6</v>
      </c>
      <c r="AX10" s="8">
        <v>4.2</v>
      </c>
      <c r="AY10" s="8">
        <v>4.8</v>
      </c>
      <c r="AZ10" s="8">
        <v>3.6</v>
      </c>
      <c r="BA10" s="8">
        <v>4.8</v>
      </c>
      <c r="BB10" s="8">
        <v>0.3</v>
      </c>
      <c r="BC10" s="8" t="s">
        <v>60</v>
      </c>
      <c r="BD10" s="8" t="s">
        <v>60</v>
      </c>
    </row>
    <row r="11" spans="1:56" x14ac:dyDescent="0.45">
      <c r="A11" s="37" t="str">
        <f>'COM Assumptions'!B88</f>
        <v>CCK</v>
      </c>
      <c r="B11" s="37" t="s">
        <v>221</v>
      </c>
      <c r="D11" t="s">
        <v>221</v>
      </c>
      <c r="E11" s="8" t="str">
        <f>'COM Assumptions'!A88</f>
        <v>COMBIO</v>
      </c>
      <c r="F11" t="str">
        <f>VLOOKUP('COM Assumptions'!B88,'COM Assumptions'!$AP$81:$AQ$88,2,FALSE)</f>
        <v>CCK</v>
      </c>
      <c r="G11" s="66">
        <v>0.15</v>
      </c>
      <c r="H11" s="65">
        <f>G11</f>
        <v>0.15</v>
      </c>
      <c r="I11" s="65">
        <f t="shared" ref="I11:U11" si="6">H11</f>
        <v>0.15</v>
      </c>
      <c r="J11" s="65">
        <f t="shared" si="6"/>
        <v>0.15</v>
      </c>
      <c r="K11" s="65">
        <f t="shared" si="6"/>
        <v>0.15</v>
      </c>
      <c r="L11" s="65">
        <f t="shared" si="6"/>
        <v>0.15</v>
      </c>
      <c r="M11" s="65">
        <f t="shared" si="6"/>
        <v>0.15</v>
      </c>
      <c r="N11" s="65">
        <f t="shared" si="6"/>
        <v>0.15</v>
      </c>
      <c r="O11" s="65">
        <f t="shared" si="6"/>
        <v>0.15</v>
      </c>
      <c r="P11" s="65">
        <f t="shared" si="6"/>
        <v>0.15</v>
      </c>
      <c r="Q11" s="65">
        <f t="shared" si="6"/>
        <v>0.15</v>
      </c>
      <c r="R11" s="65">
        <f t="shared" si="6"/>
        <v>0.15</v>
      </c>
      <c r="S11" s="65">
        <f t="shared" si="6"/>
        <v>0.15</v>
      </c>
      <c r="T11" s="65">
        <f t="shared" si="6"/>
        <v>0.15</v>
      </c>
      <c r="U11" s="65">
        <f t="shared" si="6"/>
        <v>0.15</v>
      </c>
      <c r="W11" s="8" t="str">
        <f t="shared" si="4"/>
        <v>CCKBIO000</v>
      </c>
      <c r="X11" s="11">
        <v>1</v>
      </c>
      <c r="Y11" s="11">
        <v>1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11">
        <v>1</v>
      </c>
      <c r="AG11" s="11">
        <v>1</v>
      </c>
      <c r="AH11" s="11">
        <v>1</v>
      </c>
      <c r="AI11" s="11">
        <v>1</v>
      </c>
      <c r="AJ11" s="11">
        <v>1</v>
      </c>
      <c r="AK11" s="11">
        <v>1</v>
      </c>
      <c r="AL11" s="11">
        <v>1</v>
      </c>
      <c r="AN11" s="8" t="str">
        <f t="shared" si="5"/>
        <v>CCKBIO000</v>
      </c>
      <c r="AO11" s="8">
        <v>3.6</v>
      </c>
      <c r="AP11" s="8" t="s">
        <v>60</v>
      </c>
      <c r="AQ11" s="8" t="s">
        <v>60</v>
      </c>
      <c r="AR11" s="8" t="s">
        <v>60</v>
      </c>
      <c r="AS11" s="8" t="s">
        <v>60</v>
      </c>
      <c r="AT11" s="8" t="s">
        <v>60</v>
      </c>
      <c r="AU11" s="8" t="s">
        <v>60</v>
      </c>
      <c r="AV11" s="8" t="s">
        <v>60</v>
      </c>
      <c r="AW11" s="8" t="s">
        <v>60</v>
      </c>
      <c r="AX11" s="8" t="s">
        <v>60</v>
      </c>
      <c r="AY11" s="8" t="s">
        <v>60</v>
      </c>
      <c r="AZ11" s="8" t="s">
        <v>60</v>
      </c>
      <c r="BA11" s="8" t="s">
        <v>60</v>
      </c>
      <c r="BB11" s="8" t="s">
        <v>60</v>
      </c>
      <c r="BC11" s="8" t="s">
        <v>60</v>
      </c>
      <c r="BD11" s="8" t="s">
        <v>60</v>
      </c>
    </row>
    <row r="12" spans="1:56" x14ac:dyDescent="0.45">
      <c r="A12" s="37" t="str">
        <f>'COM Assumptions'!B89</f>
        <v>CCK</v>
      </c>
      <c r="B12" s="37" t="s">
        <v>222</v>
      </c>
      <c r="D12" t="s">
        <v>222</v>
      </c>
      <c r="E12" s="8" t="str">
        <f>'COM Assumptions'!A89</f>
        <v>COMCOA</v>
      </c>
      <c r="F12" t="str">
        <f>VLOOKUP('COM Assumptions'!B89,'COM Assumptions'!$AP$81:$AQ$88,2,FALSE)</f>
        <v>CCK</v>
      </c>
      <c r="G12" s="66">
        <v>0.18</v>
      </c>
      <c r="H12" s="65">
        <f t="shared" ref="H12:U12" si="7">G12</f>
        <v>0.18</v>
      </c>
      <c r="I12" s="65">
        <f t="shared" si="7"/>
        <v>0.18</v>
      </c>
      <c r="J12" s="65">
        <f t="shared" si="7"/>
        <v>0.18</v>
      </c>
      <c r="K12" s="65">
        <f t="shared" si="7"/>
        <v>0.18</v>
      </c>
      <c r="L12" s="65">
        <f t="shared" si="7"/>
        <v>0.18</v>
      </c>
      <c r="M12" s="65">
        <f t="shared" si="7"/>
        <v>0.18</v>
      </c>
      <c r="N12" s="65">
        <f t="shared" si="7"/>
        <v>0.18</v>
      </c>
      <c r="O12" s="65">
        <f t="shared" si="7"/>
        <v>0.18</v>
      </c>
      <c r="P12" s="65">
        <f t="shared" si="7"/>
        <v>0.18</v>
      </c>
      <c r="Q12" s="65">
        <f t="shared" si="7"/>
        <v>0.18</v>
      </c>
      <c r="R12" s="65">
        <f t="shared" si="7"/>
        <v>0.18</v>
      </c>
      <c r="S12" s="65">
        <f t="shared" si="7"/>
        <v>0.18</v>
      </c>
      <c r="T12" s="65">
        <f t="shared" si="7"/>
        <v>0.18</v>
      </c>
      <c r="U12" s="65">
        <f t="shared" si="7"/>
        <v>0.18</v>
      </c>
      <c r="W12" s="8" t="str">
        <f t="shared" si="4"/>
        <v>CCKCOA000</v>
      </c>
      <c r="X12" s="11">
        <v>1</v>
      </c>
      <c r="Y12" s="11">
        <v>1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11">
        <v>1</v>
      </c>
      <c r="AG12" s="11">
        <v>1</v>
      </c>
      <c r="AH12" s="11">
        <v>1</v>
      </c>
      <c r="AI12" s="11">
        <v>1</v>
      </c>
      <c r="AJ12" s="11">
        <v>1</v>
      </c>
      <c r="AK12" s="11">
        <v>1</v>
      </c>
      <c r="AL12" s="11">
        <v>1</v>
      </c>
      <c r="AN12" s="8" t="str">
        <f t="shared" si="5"/>
        <v>CCKCOA000</v>
      </c>
      <c r="AO12" s="8">
        <v>3.6</v>
      </c>
      <c r="AP12" s="8" t="s">
        <v>60</v>
      </c>
      <c r="AQ12" s="8" t="s">
        <v>60</v>
      </c>
      <c r="AR12" s="8" t="s">
        <v>60</v>
      </c>
      <c r="AS12" s="8" t="s">
        <v>60</v>
      </c>
      <c r="AT12" s="8">
        <v>4.2</v>
      </c>
      <c r="AU12" s="8" t="s">
        <v>60</v>
      </c>
      <c r="AV12" s="8" t="s">
        <v>60</v>
      </c>
      <c r="AW12" s="8">
        <v>3.6</v>
      </c>
      <c r="AX12" s="8">
        <v>6</v>
      </c>
      <c r="AY12" s="8">
        <v>4.2</v>
      </c>
      <c r="AZ12" s="8">
        <v>4.8</v>
      </c>
      <c r="BA12" s="8">
        <v>3.6</v>
      </c>
      <c r="BB12" s="8" t="s">
        <v>60</v>
      </c>
      <c r="BC12" s="8" t="s">
        <v>60</v>
      </c>
      <c r="BD12" s="8" t="s">
        <v>60</v>
      </c>
    </row>
    <row r="13" spans="1:56" x14ac:dyDescent="0.45">
      <c r="A13" s="37" t="str">
        <f>'COM Assumptions'!B90</f>
        <v>CCK</v>
      </c>
      <c r="B13" s="37" t="s">
        <v>223</v>
      </c>
      <c r="D13" t="s">
        <v>223</v>
      </c>
      <c r="E13" s="8" t="str">
        <f>'COM Assumptions'!A90</f>
        <v>COMOIL</v>
      </c>
      <c r="F13" t="str">
        <f>VLOOKUP('COM Assumptions'!B90,'COM Assumptions'!$AP$81:$AQ$88,2,FALSE)</f>
        <v>CCK</v>
      </c>
      <c r="G13" s="66">
        <v>0.5</v>
      </c>
      <c r="H13" s="65">
        <f t="shared" ref="H13:U13" si="8">G13</f>
        <v>0.5</v>
      </c>
      <c r="I13" s="65">
        <f t="shared" si="8"/>
        <v>0.5</v>
      </c>
      <c r="J13" s="65">
        <f t="shared" si="8"/>
        <v>0.5</v>
      </c>
      <c r="K13" s="65">
        <f t="shared" si="8"/>
        <v>0.5</v>
      </c>
      <c r="L13" s="65">
        <f t="shared" si="8"/>
        <v>0.5</v>
      </c>
      <c r="M13" s="65">
        <f t="shared" si="8"/>
        <v>0.5</v>
      </c>
      <c r="N13" s="65">
        <f t="shared" si="8"/>
        <v>0.5</v>
      </c>
      <c r="O13" s="65">
        <f t="shared" si="8"/>
        <v>0.5</v>
      </c>
      <c r="P13" s="65">
        <f t="shared" si="8"/>
        <v>0.5</v>
      </c>
      <c r="Q13" s="65">
        <f t="shared" si="8"/>
        <v>0.5</v>
      </c>
      <c r="R13" s="65">
        <f t="shared" si="8"/>
        <v>0.5</v>
      </c>
      <c r="S13" s="65">
        <f t="shared" si="8"/>
        <v>0.5</v>
      </c>
      <c r="T13" s="65">
        <f t="shared" si="8"/>
        <v>0.5</v>
      </c>
      <c r="U13" s="65">
        <f t="shared" si="8"/>
        <v>0.5</v>
      </c>
      <c r="W13" s="8" t="str">
        <f t="shared" si="4"/>
        <v>CCKDST000</v>
      </c>
      <c r="X13" s="11">
        <v>1</v>
      </c>
      <c r="Y13" s="11">
        <v>1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11">
        <v>1</v>
      </c>
      <c r="AG13" s="11">
        <v>1</v>
      </c>
      <c r="AH13" s="11">
        <v>1</v>
      </c>
      <c r="AI13" s="11">
        <v>1</v>
      </c>
      <c r="AJ13" s="11">
        <v>1</v>
      </c>
      <c r="AK13" s="11">
        <v>1</v>
      </c>
      <c r="AL13" s="11">
        <v>1</v>
      </c>
      <c r="AN13" s="8" t="str">
        <f t="shared" si="5"/>
        <v>CCKDST000</v>
      </c>
      <c r="AO13" s="8">
        <v>3.6</v>
      </c>
      <c r="AP13" s="8" t="s">
        <v>60</v>
      </c>
      <c r="AQ13" s="8" t="s">
        <v>60</v>
      </c>
      <c r="AR13" s="8" t="s">
        <v>60</v>
      </c>
      <c r="AS13" s="8" t="s">
        <v>60</v>
      </c>
      <c r="AT13" s="8" t="s">
        <v>60</v>
      </c>
      <c r="AU13" s="8" t="s">
        <v>60</v>
      </c>
      <c r="AV13" s="8" t="s">
        <v>60</v>
      </c>
      <c r="AW13" s="8" t="s">
        <v>60</v>
      </c>
      <c r="AX13" s="8" t="s">
        <v>60</v>
      </c>
      <c r="AY13" s="8" t="s">
        <v>60</v>
      </c>
      <c r="AZ13" s="8" t="s">
        <v>60</v>
      </c>
      <c r="BA13" s="8" t="s">
        <v>60</v>
      </c>
      <c r="BB13" s="8" t="s">
        <v>60</v>
      </c>
      <c r="BC13" s="8" t="s">
        <v>60</v>
      </c>
      <c r="BD13" s="8" t="s">
        <v>60</v>
      </c>
    </row>
    <row r="14" spans="1:56" x14ac:dyDescent="0.45">
      <c r="A14" s="37" t="str">
        <f>'COM Assumptions'!B91</f>
        <v>CCK</v>
      </c>
      <c r="B14" s="37" t="s">
        <v>224</v>
      </c>
      <c r="D14" t="s">
        <v>224</v>
      </c>
      <c r="E14" s="8" t="str">
        <f>'COM Assumptions'!A91</f>
        <v>COMELC</v>
      </c>
      <c r="F14" t="str">
        <f>VLOOKUP('COM Assumptions'!B91,'COM Assumptions'!$AP$81:$AQ$88,2,FALSE)</f>
        <v>CCK</v>
      </c>
      <c r="G14" s="66">
        <v>0.7</v>
      </c>
      <c r="H14" s="65">
        <f t="shared" ref="H14:U14" si="9">G14</f>
        <v>0.7</v>
      </c>
      <c r="I14" s="65">
        <f t="shared" si="9"/>
        <v>0.7</v>
      </c>
      <c r="J14" s="65">
        <f t="shared" si="9"/>
        <v>0.7</v>
      </c>
      <c r="K14" s="65">
        <f t="shared" si="9"/>
        <v>0.7</v>
      </c>
      <c r="L14" s="65">
        <f t="shared" si="9"/>
        <v>0.7</v>
      </c>
      <c r="M14" s="65">
        <f t="shared" si="9"/>
        <v>0.7</v>
      </c>
      <c r="N14" s="65">
        <f t="shared" si="9"/>
        <v>0.7</v>
      </c>
      <c r="O14" s="65">
        <f t="shared" si="9"/>
        <v>0.7</v>
      </c>
      <c r="P14" s="65">
        <f t="shared" si="9"/>
        <v>0.7</v>
      </c>
      <c r="Q14" s="65">
        <f t="shared" si="9"/>
        <v>0.7</v>
      </c>
      <c r="R14" s="65">
        <f t="shared" si="9"/>
        <v>0.7</v>
      </c>
      <c r="S14" s="65">
        <f t="shared" si="9"/>
        <v>0.7</v>
      </c>
      <c r="T14" s="65">
        <f t="shared" si="9"/>
        <v>0.7</v>
      </c>
      <c r="U14" s="65">
        <f t="shared" si="9"/>
        <v>0.7</v>
      </c>
      <c r="W14" s="8" t="str">
        <f t="shared" si="4"/>
        <v>CCKELC000</v>
      </c>
      <c r="X14" s="11">
        <v>1</v>
      </c>
      <c r="Y14" s="11">
        <v>1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11">
        <v>1</v>
      </c>
      <c r="AG14" s="11">
        <v>1</v>
      </c>
      <c r="AH14" s="11">
        <v>1</v>
      </c>
      <c r="AI14" s="11">
        <v>1</v>
      </c>
      <c r="AJ14" s="11">
        <v>1</v>
      </c>
      <c r="AK14" s="11">
        <v>1</v>
      </c>
      <c r="AL14" s="11">
        <v>1</v>
      </c>
      <c r="AN14" s="8" t="str">
        <f t="shared" si="5"/>
        <v>CCKELC000</v>
      </c>
      <c r="AO14" s="8">
        <v>3.6</v>
      </c>
      <c r="AP14" s="8">
        <v>4.2</v>
      </c>
      <c r="AQ14" s="8">
        <v>4.8</v>
      </c>
      <c r="AR14" s="8">
        <v>6</v>
      </c>
      <c r="AS14" s="8">
        <v>3.6</v>
      </c>
      <c r="AT14" s="8">
        <v>4.2</v>
      </c>
      <c r="AU14" s="8">
        <v>4.2</v>
      </c>
      <c r="AV14" s="8">
        <v>4.2</v>
      </c>
      <c r="AW14" s="8">
        <v>3.6</v>
      </c>
      <c r="AX14" s="8">
        <v>6</v>
      </c>
      <c r="AY14" s="8">
        <v>4.2</v>
      </c>
      <c r="AZ14" s="8">
        <v>4.8</v>
      </c>
      <c r="BA14" s="8">
        <v>3.6</v>
      </c>
      <c r="BB14" s="8">
        <v>4.8</v>
      </c>
      <c r="BC14" s="8">
        <v>6</v>
      </c>
      <c r="BD14" s="8">
        <v>5.4</v>
      </c>
    </row>
    <row r="15" spans="1:56" x14ac:dyDescent="0.45">
      <c r="A15" s="37" t="str">
        <f>'COM Assumptions'!B92</f>
        <v>CCK</v>
      </c>
      <c r="B15" s="37" t="s">
        <v>225</v>
      </c>
      <c r="D15" t="s">
        <v>225</v>
      </c>
      <c r="E15" s="8" t="str">
        <f>'COM Assumptions'!A92</f>
        <v>COMKER</v>
      </c>
      <c r="F15" t="str">
        <f>VLOOKUP('COM Assumptions'!B92,'COM Assumptions'!$AP$81:$AQ$88,2,FALSE)</f>
        <v>CCK</v>
      </c>
      <c r="G15" s="66">
        <f>G13</f>
        <v>0.5</v>
      </c>
      <c r="H15" s="65">
        <f t="shared" ref="H15:U15" si="10">G15</f>
        <v>0.5</v>
      </c>
      <c r="I15" s="65">
        <f t="shared" si="10"/>
        <v>0.5</v>
      </c>
      <c r="J15" s="65">
        <f t="shared" si="10"/>
        <v>0.5</v>
      </c>
      <c r="K15" s="65">
        <f t="shared" si="10"/>
        <v>0.5</v>
      </c>
      <c r="L15" s="65">
        <f t="shared" si="10"/>
        <v>0.5</v>
      </c>
      <c r="M15" s="65">
        <f t="shared" si="10"/>
        <v>0.5</v>
      </c>
      <c r="N15" s="65">
        <f t="shared" si="10"/>
        <v>0.5</v>
      </c>
      <c r="O15" s="65">
        <f t="shared" si="10"/>
        <v>0.5</v>
      </c>
      <c r="P15" s="65">
        <f t="shared" si="10"/>
        <v>0.5</v>
      </c>
      <c r="Q15" s="65">
        <f t="shared" si="10"/>
        <v>0.5</v>
      </c>
      <c r="R15" s="65">
        <f t="shared" si="10"/>
        <v>0.5</v>
      </c>
      <c r="S15" s="65">
        <f t="shared" si="10"/>
        <v>0.5</v>
      </c>
      <c r="T15" s="65">
        <f t="shared" si="10"/>
        <v>0.5</v>
      </c>
      <c r="U15" s="65">
        <f t="shared" si="10"/>
        <v>0.5</v>
      </c>
      <c r="W15" s="8" t="str">
        <f t="shared" si="4"/>
        <v>CCKKER000</v>
      </c>
      <c r="X15" s="11">
        <v>1</v>
      </c>
      <c r="Y15" s="11">
        <v>1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11">
        <v>1</v>
      </c>
      <c r="AG15" s="11">
        <v>1</v>
      </c>
      <c r="AH15" s="11">
        <v>1</v>
      </c>
      <c r="AI15" s="11">
        <v>1</v>
      </c>
      <c r="AJ15" s="11">
        <v>1</v>
      </c>
      <c r="AK15" s="11">
        <v>1</v>
      </c>
      <c r="AL15" s="11">
        <v>1</v>
      </c>
      <c r="AN15" s="8" t="str">
        <f t="shared" si="5"/>
        <v>CCKKER000</v>
      </c>
      <c r="AO15" s="8">
        <v>3.6</v>
      </c>
      <c r="AP15" s="8" t="s">
        <v>60</v>
      </c>
      <c r="AQ15" s="8" t="s">
        <v>60</v>
      </c>
      <c r="AR15" s="8" t="s">
        <v>60</v>
      </c>
      <c r="AS15" s="8" t="s">
        <v>60</v>
      </c>
      <c r="AT15" s="8">
        <v>4.2</v>
      </c>
      <c r="AU15" s="8" t="s">
        <v>60</v>
      </c>
      <c r="AV15" s="8" t="s">
        <v>60</v>
      </c>
      <c r="AW15" s="8">
        <v>3.6</v>
      </c>
      <c r="AX15" s="8">
        <v>6</v>
      </c>
      <c r="AY15" s="8">
        <v>4.2</v>
      </c>
      <c r="AZ15" s="8">
        <v>4.8</v>
      </c>
      <c r="BA15" s="8">
        <v>3.6</v>
      </c>
      <c r="BB15" s="8" t="s">
        <v>60</v>
      </c>
      <c r="BC15" s="8" t="s">
        <v>60</v>
      </c>
      <c r="BD15" s="8" t="s">
        <v>60</v>
      </c>
    </row>
    <row r="16" spans="1:56" x14ac:dyDescent="0.45">
      <c r="A16" s="37" t="str">
        <f>'COM Assumptions'!B93</f>
        <v>CCK</v>
      </c>
      <c r="B16" s="37" t="s">
        <v>226</v>
      </c>
      <c r="D16" t="s">
        <v>226</v>
      </c>
      <c r="E16" s="8" t="str">
        <f>'COM Assumptions'!A93</f>
        <v>COMLPG</v>
      </c>
      <c r="F16" t="str">
        <f>VLOOKUP('COM Assumptions'!B93,'COM Assumptions'!$AP$81:$AQ$88,2,FALSE)</f>
        <v>CCK</v>
      </c>
      <c r="G16" s="66">
        <v>0.55000000000000004</v>
      </c>
      <c r="H16" s="65">
        <f t="shared" ref="H16:U16" si="11">G16</f>
        <v>0.55000000000000004</v>
      </c>
      <c r="I16" s="65">
        <f t="shared" si="11"/>
        <v>0.55000000000000004</v>
      </c>
      <c r="J16" s="65">
        <f t="shared" si="11"/>
        <v>0.55000000000000004</v>
      </c>
      <c r="K16" s="65">
        <f t="shared" si="11"/>
        <v>0.55000000000000004</v>
      </c>
      <c r="L16" s="65">
        <f t="shared" si="11"/>
        <v>0.55000000000000004</v>
      </c>
      <c r="M16" s="65">
        <f t="shared" si="11"/>
        <v>0.55000000000000004</v>
      </c>
      <c r="N16" s="65">
        <f t="shared" si="11"/>
        <v>0.55000000000000004</v>
      </c>
      <c r="O16" s="65">
        <f t="shared" si="11"/>
        <v>0.55000000000000004</v>
      </c>
      <c r="P16" s="65">
        <f t="shared" si="11"/>
        <v>0.55000000000000004</v>
      </c>
      <c r="Q16" s="65">
        <f t="shared" si="11"/>
        <v>0.55000000000000004</v>
      </c>
      <c r="R16" s="65">
        <f t="shared" si="11"/>
        <v>0.55000000000000004</v>
      </c>
      <c r="S16" s="65">
        <f t="shared" si="11"/>
        <v>0.55000000000000004</v>
      </c>
      <c r="T16" s="65">
        <f t="shared" si="11"/>
        <v>0.55000000000000004</v>
      </c>
      <c r="U16" s="65">
        <f t="shared" si="11"/>
        <v>0.55000000000000004</v>
      </c>
      <c r="W16" s="8" t="str">
        <f t="shared" si="4"/>
        <v>CCKLPG000</v>
      </c>
      <c r="X16" s="11">
        <v>1</v>
      </c>
      <c r="Y16" s="11">
        <v>1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11">
        <v>1</v>
      </c>
      <c r="AG16" s="11">
        <v>1</v>
      </c>
      <c r="AH16" s="11">
        <v>1</v>
      </c>
      <c r="AI16" s="11">
        <v>1</v>
      </c>
      <c r="AJ16" s="11">
        <v>1</v>
      </c>
      <c r="AK16" s="11">
        <v>1</v>
      </c>
      <c r="AL16" s="11">
        <v>1</v>
      </c>
      <c r="AN16" s="8" t="str">
        <f t="shared" si="5"/>
        <v>CCKLPG000</v>
      </c>
      <c r="AO16" s="8">
        <v>3.6</v>
      </c>
      <c r="AP16" s="8" t="s">
        <v>60</v>
      </c>
      <c r="AQ16" s="8" t="s">
        <v>60</v>
      </c>
      <c r="AR16" s="8" t="s">
        <v>60</v>
      </c>
      <c r="AS16" s="8" t="s">
        <v>60</v>
      </c>
      <c r="AT16" s="8">
        <v>4.2</v>
      </c>
      <c r="AU16" s="8" t="s">
        <v>60</v>
      </c>
      <c r="AV16" s="8" t="s">
        <v>60</v>
      </c>
      <c r="AW16" s="8">
        <v>3.6</v>
      </c>
      <c r="AX16" s="8">
        <v>6</v>
      </c>
      <c r="AY16" s="8">
        <v>4.2</v>
      </c>
      <c r="AZ16" s="8">
        <v>4.8</v>
      </c>
      <c r="BA16" s="8">
        <v>3.6</v>
      </c>
      <c r="BB16" s="8" t="s">
        <v>60</v>
      </c>
      <c r="BC16" s="8" t="s">
        <v>60</v>
      </c>
      <c r="BD16" s="8" t="s">
        <v>60</v>
      </c>
    </row>
    <row r="17" spans="1:56" x14ac:dyDescent="0.45">
      <c r="A17" s="37" t="str">
        <f>'COM Assumptions'!B94</f>
        <v>CCK</v>
      </c>
      <c r="B17" s="37" t="s">
        <v>227</v>
      </c>
      <c r="D17" t="s">
        <v>227</v>
      </c>
      <c r="E17" s="8" t="str">
        <f>'COM Assumptions'!A94</f>
        <v>COMNGA</v>
      </c>
      <c r="F17" t="str">
        <f>VLOOKUP('COM Assumptions'!B94,'COM Assumptions'!$AP$81:$AQ$88,2,FALSE)</f>
        <v>CCK</v>
      </c>
      <c r="G17" s="66">
        <f>G16</f>
        <v>0.55000000000000004</v>
      </c>
      <c r="H17" s="65">
        <f t="shared" ref="H17:U17" si="12">G17</f>
        <v>0.55000000000000004</v>
      </c>
      <c r="I17" s="65">
        <f t="shared" si="12"/>
        <v>0.55000000000000004</v>
      </c>
      <c r="J17" s="65">
        <f t="shared" si="12"/>
        <v>0.55000000000000004</v>
      </c>
      <c r="K17" s="65">
        <f t="shared" si="12"/>
        <v>0.55000000000000004</v>
      </c>
      <c r="L17" s="65">
        <f t="shared" si="12"/>
        <v>0.55000000000000004</v>
      </c>
      <c r="M17" s="65">
        <f t="shared" si="12"/>
        <v>0.55000000000000004</v>
      </c>
      <c r="N17" s="65">
        <f t="shared" si="12"/>
        <v>0.55000000000000004</v>
      </c>
      <c r="O17" s="65">
        <f t="shared" si="12"/>
        <v>0.55000000000000004</v>
      </c>
      <c r="P17" s="65">
        <f t="shared" si="12"/>
        <v>0.55000000000000004</v>
      </c>
      <c r="Q17" s="65">
        <f t="shared" si="12"/>
        <v>0.55000000000000004</v>
      </c>
      <c r="R17" s="65">
        <f t="shared" si="12"/>
        <v>0.55000000000000004</v>
      </c>
      <c r="S17" s="65">
        <f t="shared" si="12"/>
        <v>0.55000000000000004</v>
      </c>
      <c r="T17" s="65">
        <f t="shared" si="12"/>
        <v>0.55000000000000004</v>
      </c>
      <c r="U17" s="65">
        <f t="shared" si="12"/>
        <v>0.55000000000000004</v>
      </c>
      <c r="W17" s="8" t="str">
        <f t="shared" si="4"/>
        <v>CCKNGA000</v>
      </c>
      <c r="X17" s="11">
        <v>1</v>
      </c>
      <c r="Y17" s="11">
        <v>1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11">
        <v>1</v>
      </c>
      <c r="AG17" s="11">
        <v>1</v>
      </c>
      <c r="AH17" s="11">
        <v>1</v>
      </c>
      <c r="AI17" s="11">
        <v>1</v>
      </c>
      <c r="AJ17" s="11">
        <v>1</v>
      </c>
      <c r="AK17" s="11">
        <v>1</v>
      </c>
      <c r="AL17" s="11">
        <v>1</v>
      </c>
      <c r="AN17" s="8" t="str">
        <f t="shared" si="5"/>
        <v>CCKNGA000</v>
      </c>
      <c r="AO17" s="8">
        <v>3.6</v>
      </c>
      <c r="AP17" s="8" t="s">
        <v>60</v>
      </c>
      <c r="AQ17" s="8" t="s">
        <v>60</v>
      </c>
      <c r="AR17" s="8" t="s">
        <v>60</v>
      </c>
      <c r="AS17" s="8" t="s">
        <v>60</v>
      </c>
      <c r="AT17" s="8">
        <v>4.2</v>
      </c>
      <c r="AU17" s="8" t="s">
        <v>60</v>
      </c>
      <c r="AV17" s="8" t="s">
        <v>60</v>
      </c>
      <c r="AW17" s="8">
        <v>3.6</v>
      </c>
      <c r="AX17" s="8">
        <v>6</v>
      </c>
      <c r="AY17" s="8">
        <v>4.2</v>
      </c>
      <c r="AZ17" s="8">
        <v>4.8</v>
      </c>
      <c r="BA17" s="8">
        <v>3.6</v>
      </c>
      <c r="BB17" s="8" t="s">
        <v>60</v>
      </c>
      <c r="BC17" s="8" t="s">
        <v>60</v>
      </c>
      <c r="BD17" s="8" t="s">
        <v>60</v>
      </c>
    </row>
    <row r="18" spans="1:56" x14ac:dyDescent="0.45">
      <c r="A18" s="37" t="str">
        <f>'COM Assumptions'!B95</f>
        <v>CCK</v>
      </c>
      <c r="B18" s="37" t="s">
        <v>376</v>
      </c>
      <c r="D18" t="s">
        <v>376</v>
      </c>
      <c r="E18" s="8" t="str">
        <f>'COM Assumptions'!A95</f>
        <v>COMSTH</v>
      </c>
      <c r="F18" t="str">
        <f>VLOOKUP('COM Assumptions'!B95,'COM Assumptions'!$AP$81:$AQ$88,2,FALSE)</f>
        <v>CCK</v>
      </c>
      <c r="G18" s="66">
        <v>1</v>
      </c>
      <c r="H18" s="65">
        <f t="shared" ref="H18:U18" si="13">G18</f>
        <v>1</v>
      </c>
      <c r="I18" s="65">
        <f t="shared" si="13"/>
        <v>1</v>
      </c>
      <c r="J18" s="65">
        <f t="shared" si="13"/>
        <v>1</v>
      </c>
      <c r="K18" s="65">
        <f t="shared" si="13"/>
        <v>1</v>
      </c>
      <c r="L18" s="65">
        <f t="shared" si="13"/>
        <v>1</v>
      </c>
      <c r="M18" s="65">
        <f t="shared" si="13"/>
        <v>1</v>
      </c>
      <c r="N18" s="65">
        <f t="shared" si="13"/>
        <v>1</v>
      </c>
      <c r="O18" s="65">
        <f t="shared" si="13"/>
        <v>1</v>
      </c>
      <c r="P18" s="65">
        <f t="shared" si="13"/>
        <v>1</v>
      </c>
      <c r="Q18" s="65">
        <f t="shared" si="13"/>
        <v>1</v>
      </c>
      <c r="R18" s="65">
        <f t="shared" si="13"/>
        <v>1</v>
      </c>
      <c r="S18" s="65">
        <f t="shared" si="13"/>
        <v>1</v>
      </c>
      <c r="T18" s="65">
        <f t="shared" si="13"/>
        <v>1</v>
      </c>
      <c r="U18" s="65">
        <f t="shared" si="13"/>
        <v>1</v>
      </c>
      <c r="W18" s="8" t="str">
        <f t="shared" si="4"/>
        <v>CCKSTH000</v>
      </c>
      <c r="X18" s="11">
        <v>1</v>
      </c>
      <c r="Y18" s="11">
        <v>1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11">
        <v>1</v>
      </c>
      <c r="AG18" s="11">
        <v>1</v>
      </c>
      <c r="AH18" s="11">
        <v>1</v>
      </c>
      <c r="AI18" s="11">
        <v>1</v>
      </c>
      <c r="AJ18" s="11">
        <v>1</v>
      </c>
      <c r="AK18" s="11">
        <v>1</v>
      </c>
      <c r="AL18" s="11">
        <v>1</v>
      </c>
      <c r="AN18" s="8" t="str">
        <f t="shared" si="5"/>
        <v>CCKSTH000</v>
      </c>
      <c r="AO18" s="8">
        <v>3.6</v>
      </c>
      <c r="AP18" s="8" t="s">
        <v>60</v>
      </c>
      <c r="AQ18" s="8" t="s">
        <v>60</v>
      </c>
      <c r="AR18" s="8" t="s">
        <v>60</v>
      </c>
      <c r="AS18" s="8" t="s">
        <v>60</v>
      </c>
      <c r="AT18" s="8" t="s">
        <v>60</v>
      </c>
      <c r="AU18" s="8" t="s">
        <v>60</v>
      </c>
      <c r="AV18" s="8" t="s">
        <v>60</v>
      </c>
      <c r="AW18" s="8" t="s">
        <v>60</v>
      </c>
      <c r="AX18" s="8" t="s">
        <v>60</v>
      </c>
      <c r="AY18" s="8" t="s">
        <v>60</v>
      </c>
      <c r="AZ18" s="8" t="s">
        <v>60</v>
      </c>
      <c r="BA18" s="8" t="s">
        <v>60</v>
      </c>
      <c r="BB18" s="8" t="s">
        <v>60</v>
      </c>
      <c r="BC18" s="8" t="s">
        <v>60</v>
      </c>
      <c r="BD18" s="8" t="s">
        <v>60</v>
      </c>
    </row>
    <row r="19" spans="1:56" x14ac:dyDescent="0.45">
      <c r="A19" s="37" t="str">
        <f>'COM Assumptions'!B96</f>
        <v>CH</v>
      </c>
      <c r="B19" s="37" t="s">
        <v>228</v>
      </c>
      <c r="D19" t="s">
        <v>321</v>
      </c>
      <c r="E19" s="8" t="str">
        <f>'COM Assumptions'!A96</f>
        <v>COMBIO</v>
      </c>
      <c r="F19" t="str">
        <f>VLOOKUP('COM Assumptions'!B96,'COM Assumptions'!$AP$81:$AQ$88,2,FALSE)</f>
        <v>CSH</v>
      </c>
      <c r="G19" s="11">
        <v>0.5</v>
      </c>
      <c r="H19" s="11">
        <f t="shared" ref="H19:U34" si="14">$G19</f>
        <v>0.5</v>
      </c>
      <c r="I19" s="11">
        <f t="shared" si="14"/>
        <v>0.5</v>
      </c>
      <c r="J19" s="11">
        <f t="shared" si="14"/>
        <v>0.5</v>
      </c>
      <c r="K19" s="11">
        <f t="shared" si="14"/>
        <v>0.5</v>
      </c>
      <c r="L19" s="11">
        <f t="shared" si="14"/>
        <v>0.5</v>
      </c>
      <c r="M19" s="11">
        <f t="shared" si="14"/>
        <v>0.5</v>
      </c>
      <c r="N19" s="11">
        <f t="shared" si="14"/>
        <v>0.5</v>
      </c>
      <c r="O19" s="11">
        <f t="shared" si="14"/>
        <v>0.5</v>
      </c>
      <c r="P19" s="11">
        <f t="shared" si="14"/>
        <v>0.5</v>
      </c>
      <c r="Q19" s="11">
        <f t="shared" si="14"/>
        <v>0.5</v>
      </c>
      <c r="R19" s="11">
        <f t="shared" si="14"/>
        <v>0.5</v>
      </c>
      <c r="S19" s="11">
        <f t="shared" si="14"/>
        <v>0.5</v>
      </c>
      <c r="T19" s="11">
        <f t="shared" si="14"/>
        <v>0.5</v>
      </c>
      <c r="U19" s="11">
        <f t="shared" si="14"/>
        <v>0.5</v>
      </c>
      <c r="W19" s="8" t="str">
        <f t="shared" si="4"/>
        <v>CSHBIO000</v>
      </c>
      <c r="X19" s="11">
        <v>0.3</v>
      </c>
      <c r="Y19" s="11">
        <v>0.28999999999999998</v>
      </c>
      <c r="Z19" s="11">
        <v>0.33</v>
      </c>
      <c r="AA19" s="11">
        <v>0.3</v>
      </c>
      <c r="AB19" s="11">
        <v>0.3</v>
      </c>
      <c r="AC19" s="11">
        <v>0.3</v>
      </c>
      <c r="AD19" s="11">
        <v>0.3</v>
      </c>
      <c r="AE19" s="11">
        <v>0.3</v>
      </c>
      <c r="AF19" s="11">
        <v>0.3</v>
      </c>
      <c r="AG19" s="11">
        <v>0.3</v>
      </c>
      <c r="AH19" s="11">
        <v>0.3</v>
      </c>
      <c r="AI19" s="11">
        <v>0.3</v>
      </c>
      <c r="AJ19" s="11">
        <v>0.3</v>
      </c>
      <c r="AK19" s="11">
        <v>0.3</v>
      </c>
      <c r="AL19" s="11">
        <v>0.3</v>
      </c>
      <c r="AN19" s="8" t="str">
        <f t="shared" si="5"/>
        <v>CSHBIO000</v>
      </c>
      <c r="AO19" s="8">
        <v>0.4</v>
      </c>
      <c r="AP19" s="8" t="s">
        <v>60</v>
      </c>
      <c r="AQ19" s="8" t="s">
        <v>60</v>
      </c>
      <c r="AR19" s="8" t="s">
        <v>60</v>
      </c>
      <c r="AS19" s="8">
        <v>3</v>
      </c>
      <c r="AT19" s="8">
        <v>3.5</v>
      </c>
      <c r="AU19" s="8" t="s">
        <v>60</v>
      </c>
      <c r="AV19" s="8" t="s">
        <v>60</v>
      </c>
      <c r="AW19" s="8">
        <v>3</v>
      </c>
      <c r="AX19" s="8">
        <v>5</v>
      </c>
      <c r="AY19" s="8">
        <v>3.5</v>
      </c>
      <c r="AZ19" s="8">
        <v>4</v>
      </c>
      <c r="BA19" s="8">
        <v>3</v>
      </c>
      <c r="BB19" s="8">
        <v>4</v>
      </c>
      <c r="BC19" s="8">
        <v>0.4</v>
      </c>
      <c r="BD19" s="8" t="s">
        <v>60</v>
      </c>
    </row>
    <row r="20" spans="1:56" x14ac:dyDescent="0.45">
      <c r="A20" s="37" t="str">
        <f>'COM Assumptions'!B97</f>
        <v>CH</v>
      </c>
      <c r="B20" s="37" t="s">
        <v>229</v>
      </c>
      <c r="D20" t="s">
        <v>322</v>
      </c>
      <c r="E20" s="8" t="str">
        <f>'COM Assumptions'!A97</f>
        <v>COMCOA</v>
      </c>
      <c r="F20" t="str">
        <f>VLOOKUP('COM Assumptions'!B97,'COM Assumptions'!$AP$81:$AQ$88,2,FALSE)</f>
        <v>CSH</v>
      </c>
      <c r="G20" s="11">
        <v>0.6</v>
      </c>
      <c r="H20" s="11">
        <f t="shared" si="14"/>
        <v>0.6</v>
      </c>
      <c r="I20" s="11">
        <f t="shared" si="14"/>
        <v>0.6</v>
      </c>
      <c r="J20" s="11">
        <f t="shared" si="14"/>
        <v>0.6</v>
      </c>
      <c r="K20" s="11">
        <f t="shared" si="14"/>
        <v>0.6</v>
      </c>
      <c r="L20" s="11">
        <f t="shared" si="14"/>
        <v>0.6</v>
      </c>
      <c r="M20" s="11">
        <f t="shared" si="14"/>
        <v>0.6</v>
      </c>
      <c r="N20" s="11">
        <f t="shared" si="14"/>
        <v>0.6</v>
      </c>
      <c r="O20" s="11">
        <f t="shared" si="14"/>
        <v>0.6</v>
      </c>
      <c r="P20" s="11">
        <f t="shared" si="14"/>
        <v>0.6</v>
      </c>
      <c r="Q20" s="11">
        <f t="shared" si="14"/>
        <v>0.6</v>
      </c>
      <c r="R20" s="11">
        <f t="shared" si="14"/>
        <v>0.6</v>
      </c>
      <c r="S20" s="11">
        <f t="shared" si="14"/>
        <v>0.6</v>
      </c>
      <c r="T20" s="11">
        <f t="shared" si="14"/>
        <v>0.6</v>
      </c>
      <c r="U20" s="11">
        <f t="shared" si="14"/>
        <v>0.6</v>
      </c>
      <c r="W20" s="8" t="str">
        <f t="shared" si="4"/>
        <v>CSHCOA000</v>
      </c>
      <c r="X20" s="11">
        <v>0.3</v>
      </c>
      <c r="Y20" s="11">
        <v>0.28999999999999998</v>
      </c>
      <c r="Z20" s="11">
        <v>0.33</v>
      </c>
      <c r="AA20" s="11">
        <v>0.3</v>
      </c>
      <c r="AB20" s="11">
        <v>0.3</v>
      </c>
      <c r="AC20" s="11">
        <v>0.3</v>
      </c>
      <c r="AD20" s="11">
        <v>0.3</v>
      </c>
      <c r="AE20" s="11">
        <v>0.3</v>
      </c>
      <c r="AF20" s="11">
        <v>0.3</v>
      </c>
      <c r="AG20" s="11">
        <v>0.3</v>
      </c>
      <c r="AH20" s="11">
        <v>0.3</v>
      </c>
      <c r="AI20" s="11">
        <v>0.3</v>
      </c>
      <c r="AJ20" s="11">
        <v>0.3</v>
      </c>
      <c r="AK20" s="11">
        <v>0.3</v>
      </c>
      <c r="AL20" s="11">
        <v>0.3</v>
      </c>
      <c r="AN20" s="8" t="str">
        <f t="shared" si="5"/>
        <v>CSHCOA000</v>
      </c>
      <c r="AO20" s="8">
        <v>0.4</v>
      </c>
      <c r="AP20" s="8" t="s">
        <v>60</v>
      </c>
      <c r="AQ20" s="8" t="s">
        <v>60</v>
      </c>
      <c r="AR20" s="8" t="s">
        <v>60</v>
      </c>
      <c r="AS20" s="8">
        <v>2.4</v>
      </c>
      <c r="AT20" s="8">
        <v>2.8</v>
      </c>
      <c r="AU20" s="8" t="s">
        <v>60</v>
      </c>
      <c r="AV20" s="8" t="s">
        <v>60</v>
      </c>
      <c r="AW20" s="8">
        <v>2.4</v>
      </c>
      <c r="AX20" s="8">
        <v>4</v>
      </c>
      <c r="AY20" s="8">
        <v>2.8</v>
      </c>
      <c r="AZ20" s="8">
        <v>3.2</v>
      </c>
      <c r="BA20" s="8">
        <v>2.4</v>
      </c>
      <c r="BB20" s="8">
        <v>3.2</v>
      </c>
      <c r="BC20" s="8">
        <v>0.4</v>
      </c>
      <c r="BD20" s="8" t="s">
        <v>60</v>
      </c>
    </row>
    <row r="21" spans="1:56" x14ac:dyDescent="0.45">
      <c r="A21" s="37" t="str">
        <f>'COM Assumptions'!B98</f>
        <v>CH</v>
      </c>
      <c r="B21" s="37" t="s">
        <v>230</v>
      </c>
      <c r="D21" t="s">
        <v>323</v>
      </c>
      <c r="E21" s="8" t="str">
        <f>'COM Assumptions'!A98</f>
        <v>COMOIL</v>
      </c>
      <c r="F21" t="str">
        <f>VLOOKUP('COM Assumptions'!B98,'COM Assumptions'!$AP$81:$AQ$88,2,FALSE)</f>
        <v>CSH</v>
      </c>
      <c r="G21" s="11">
        <v>0.75</v>
      </c>
      <c r="H21" s="11">
        <f t="shared" si="14"/>
        <v>0.75</v>
      </c>
      <c r="I21" s="11">
        <f t="shared" si="14"/>
        <v>0.75</v>
      </c>
      <c r="J21" s="11">
        <f t="shared" si="14"/>
        <v>0.75</v>
      </c>
      <c r="K21" s="11">
        <f t="shared" si="14"/>
        <v>0.75</v>
      </c>
      <c r="L21" s="11">
        <f t="shared" si="14"/>
        <v>0.75</v>
      </c>
      <c r="M21" s="11">
        <f t="shared" si="14"/>
        <v>0.75</v>
      </c>
      <c r="N21" s="11">
        <f t="shared" si="14"/>
        <v>0.75</v>
      </c>
      <c r="O21" s="11">
        <f t="shared" si="14"/>
        <v>0.75</v>
      </c>
      <c r="P21" s="11">
        <f t="shared" si="14"/>
        <v>0.75</v>
      </c>
      <c r="Q21" s="11">
        <f t="shared" si="14"/>
        <v>0.75</v>
      </c>
      <c r="R21" s="11">
        <f t="shared" si="14"/>
        <v>0.75</v>
      </c>
      <c r="S21" s="11">
        <f t="shared" si="14"/>
        <v>0.75</v>
      </c>
      <c r="T21" s="11">
        <f t="shared" si="14"/>
        <v>0.75</v>
      </c>
      <c r="U21" s="11">
        <f t="shared" si="14"/>
        <v>0.75</v>
      </c>
      <c r="W21" s="8" t="str">
        <f t="shared" si="4"/>
        <v>CSHDST000</v>
      </c>
      <c r="X21" s="11">
        <v>0.3</v>
      </c>
      <c r="Y21" s="11">
        <v>0.28999999999999998</v>
      </c>
      <c r="Z21" s="11">
        <v>0.33</v>
      </c>
      <c r="AA21" s="11">
        <v>0.3</v>
      </c>
      <c r="AB21" s="11">
        <v>0.3</v>
      </c>
      <c r="AC21" s="11">
        <v>0.3</v>
      </c>
      <c r="AD21" s="11">
        <v>0.3</v>
      </c>
      <c r="AE21" s="11">
        <v>0.3</v>
      </c>
      <c r="AF21" s="11">
        <v>0.3</v>
      </c>
      <c r="AG21" s="11">
        <v>0.3</v>
      </c>
      <c r="AH21" s="11">
        <v>0.3</v>
      </c>
      <c r="AI21" s="11">
        <v>0.3</v>
      </c>
      <c r="AJ21" s="11">
        <v>0.3</v>
      </c>
      <c r="AK21" s="11">
        <v>0.3</v>
      </c>
      <c r="AL21" s="11">
        <v>0.3</v>
      </c>
      <c r="AN21" s="8" t="str">
        <f t="shared" si="5"/>
        <v>CSHDST000</v>
      </c>
      <c r="AO21" s="8">
        <v>0.05</v>
      </c>
      <c r="AP21" s="8" t="s">
        <v>60</v>
      </c>
      <c r="AQ21" s="8" t="s">
        <v>60</v>
      </c>
      <c r="AR21" s="8">
        <v>0.05</v>
      </c>
      <c r="AS21" s="8">
        <v>0.6</v>
      </c>
      <c r="AT21" s="8">
        <v>0.7</v>
      </c>
      <c r="AU21" s="8" t="s">
        <v>60</v>
      </c>
      <c r="AV21" s="8" t="s">
        <v>60</v>
      </c>
      <c r="AW21" s="8">
        <v>0.6</v>
      </c>
      <c r="AX21" s="8">
        <v>1</v>
      </c>
      <c r="AY21" s="8">
        <v>0.7</v>
      </c>
      <c r="AZ21" s="8">
        <v>0.8</v>
      </c>
      <c r="BA21" s="8">
        <v>0.6</v>
      </c>
      <c r="BB21" s="8">
        <v>0.8</v>
      </c>
      <c r="BC21" s="8">
        <v>0.4</v>
      </c>
      <c r="BD21" s="8" t="s">
        <v>60</v>
      </c>
    </row>
    <row r="22" spans="1:56" x14ac:dyDescent="0.45">
      <c r="A22" s="37" t="str">
        <f>'COM Assumptions'!B99</f>
        <v>CH</v>
      </c>
      <c r="B22" s="37" t="s">
        <v>199</v>
      </c>
      <c r="D22" t="s">
        <v>324</v>
      </c>
      <c r="E22" s="8" t="str">
        <f>'COM Assumptions'!A99</f>
        <v>COMELC</v>
      </c>
      <c r="F22" t="str">
        <f>VLOOKUP('COM Assumptions'!B99,'COM Assumptions'!$AP$81:$AQ$88,2,FALSE)</f>
        <v>CSH</v>
      </c>
      <c r="G22" s="11">
        <v>2</v>
      </c>
      <c r="H22" s="11">
        <f t="shared" si="14"/>
        <v>2</v>
      </c>
      <c r="I22" s="11">
        <f t="shared" si="14"/>
        <v>2</v>
      </c>
      <c r="J22" s="11">
        <f t="shared" si="14"/>
        <v>2</v>
      </c>
      <c r="K22" s="11">
        <f t="shared" si="14"/>
        <v>2</v>
      </c>
      <c r="L22" s="11">
        <f t="shared" si="14"/>
        <v>2</v>
      </c>
      <c r="M22" s="11">
        <f t="shared" si="14"/>
        <v>2</v>
      </c>
      <c r="N22" s="11">
        <f t="shared" si="14"/>
        <v>2</v>
      </c>
      <c r="O22" s="11">
        <f t="shared" si="14"/>
        <v>2</v>
      </c>
      <c r="P22" s="11">
        <f t="shared" si="14"/>
        <v>2</v>
      </c>
      <c r="Q22" s="11">
        <f t="shared" si="14"/>
        <v>2</v>
      </c>
      <c r="R22" s="11">
        <f t="shared" si="14"/>
        <v>2</v>
      </c>
      <c r="S22" s="11">
        <f t="shared" si="14"/>
        <v>2</v>
      </c>
      <c r="T22" s="11">
        <f t="shared" si="14"/>
        <v>2</v>
      </c>
      <c r="U22" s="11">
        <f t="shared" si="14"/>
        <v>2</v>
      </c>
      <c r="W22" s="8" t="str">
        <f t="shared" si="4"/>
        <v>CSHEHP000</v>
      </c>
      <c r="X22" s="11">
        <v>0.3</v>
      </c>
      <c r="Y22" s="11">
        <v>0.28999999999999998</v>
      </c>
      <c r="Z22" s="11">
        <v>0.33</v>
      </c>
      <c r="AA22" s="11">
        <v>0.3</v>
      </c>
      <c r="AB22" s="11">
        <v>0.3</v>
      </c>
      <c r="AC22" s="11">
        <v>0.3</v>
      </c>
      <c r="AD22" s="11">
        <v>0.3</v>
      </c>
      <c r="AE22" s="11">
        <v>0.3</v>
      </c>
      <c r="AF22" s="11">
        <v>0.3</v>
      </c>
      <c r="AG22" s="11">
        <v>0.3</v>
      </c>
      <c r="AH22" s="11">
        <v>0.3</v>
      </c>
      <c r="AI22" s="11">
        <v>0.3</v>
      </c>
      <c r="AJ22" s="11">
        <v>0.3</v>
      </c>
      <c r="AK22" s="11">
        <v>0.3</v>
      </c>
      <c r="AL22" s="11">
        <v>0.3</v>
      </c>
      <c r="AN22" s="8" t="str">
        <f t="shared" si="5"/>
        <v>CSHEHP000</v>
      </c>
      <c r="AO22" s="8">
        <v>0.4</v>
      </c>
      <c r="AP22" s="8" t="s">
        <v>60</v>
      </c>
      <c r="AQ22" s="8" t="s">
        <v>60</v>
      </c>
      <c r="AR22" s="8">
        <v>0.45</v>
      </c>
      <c r="AS22" s="8">
        <v>4.2</v>
      </c>
      <c r="AT22" s="8">
        <v>4.9000000000000004</v>
      </c>
      <c r="AU22" s="8" t="s">
        <v>60</v>
      </c>
      <c r="AV22" s="8" t="s">
        <v>60</v>
      </c>
      <c r="AW22" s="8">
        <v>4.2</v>
      </c>
      <c r="AX22" s="8">
        <v>7</v>
      </c>
      <c r="AY22" s="8">
        <v>4.9000000000000004</v>
      </c>
      <c r="AZ22" s="8">
        <v>5.6</v>
      </c>
      <c r="BA22" s="8">
        <v>4.2</v>
      </c>
      <c r="BB22" s="8">
        <v>5.6</v>
      </c>
      <c r="BC22" s="8">
        <v>0.4</v>
      </c>
      <c r="BD22" s="8" t="s">
        <v>60</v>
      </c>
    </row>
    <row r="23" spans="1:56" x14ac:dyDescent="0.45">
      <c r="A23" s="37" t="str">
        <f>'COM Assumptions'!B100</f>
        <v>CH</v>
      </c>
      <c r="B23" s="37" t="s">
        <v>198</v>
      </c>
      <c r="D23" t="s">
        <v>325</v>
      </c>
      <c r="E23" s="8" t="str">
        <f>'COM Assumptions'!A100</f>
        <v>COMELC</v>
      </c>
      <c r="F23" t="str">
        <f>VLOOKUP('COM Assumptions'!B100,'COM Assumptions'!$AP$81:$AQ$88,2,FALSE)</f>
        <v>CSH</v>
      </c>
      <c r="G23" s="11">
        <v>1</v>
      </c>
      <c r="H23" s="11">
        <f t="shared" si="14"/>
        <v>1</v>
      </c>
      <c r="I23" s="11">
        <f t="shared" si="14"/>
        <v>1</v>
      </c>
      <c r="J23" s="11">
        <f t="shared" si="14"/>
        <v>1</v>
      </c>
      <c r="K23" s="11">
        <f t="shared" si="14"/>
        <v>1</v>
      </c>
      <c r="L23" s="11">
        <f t="shared" si="14"/>
        <v>1</v>
      </c>
      <c r="M23" s="11">
        <f t="shared" si="14"/>
        <v>1</v>
      </c>
      <c r="N23" s="11">
        <f t="shared" si="14"/>
        <v>1</v>
      </c>
      <c r="O23" s="11">
        <f t="shared" si="14"/>
        <v>1</v>
      </c>
      <c r="P23" s="11">
        <f t="shared" si="14"/>
        <v>1</v>
      </c>
      <c r="Q23" s="11">
        <f t="shared" si="14"/>
        <v>1</v>
      </c>
      <c r="R23" s="11">
        <f t="shared" si="14"/>
        <v>1</v>
      </c>
      <c r="S23" s="11">
        <f t="shared" si="14"/>
        <v>1</v>
      </c>
      <c r="T23" s="11">
        <f t="shared" si="14"/>
        <v>1</v>
      </c>
      <c r="U23" s="11">
        <f t="shared" si="14"/>
        <v>1</v>
      </c>
      <c r="W23" s="8" t="str">
        <f t="shared" si="4"/>
        <v>CSHERS000</v>
      </c>
      <c r="X23" s="11">
        <v>0.3</v>
      </c>
      <c r="Y23" s="11">
        <v>0.28999999999999998</v>
      </c>
      <c r="Z23" s="11">
        <v>0.33</v>
      </c>
      <c r="AA23" s="11">
        <v>0.3</v>
      </c>
      <c r="AB23" s="11">
        <v>0.3</v>
      </c>
      <c r="AC23" s="11">
        <v>0.3</v>
      </c>
      <c r="AD23" s="11">
        <v>0.3</v>
      </c>
      <c r="AE23" s="11">
        <v>0.3</v>
      </c>
      <c r="AF23" s="11">
        <v>0.3</v>
      </c>
      <c r="AG23" s="11">
        <v>0.3</v>
      </c>
      <c r="AH23" s="11">
        <v>0.3</v>
      </c>
      <c r="AI23" s="11">
        <v>0.3</v>
      </c>
      <c r="AJ23" s="11">
        <v>0.3</v>
      </c>
      <c r="AK23" s="11">
        <v>0.3</v>
      </c>
      <c r="AL23" s="11">
        <v>0.3</v>
      </c>
      <c r="AN23" s="8" t="str">
        <f t="shared" si="5"/>
        <v>CSHERS000</v>
      </c>
      <c r="AO23" s="8">
        <v>0.4</v>
      </c>
      <c r="AP23" s="8" t="s">
        <v>60</v>
      </c>
      <c r="AQ23" s="8" t="s">
        <v>60</v>
      </c>
      <c r="AR23" s="8" t="s">
        <v>60</v>
      </c>
      <c r="AS23" s="8">
        <v>3.6</v>
      </c>
      <c r="AT23" s="8">
        <v>4.2</v>
      </c>
      <c r="AU23" s="8" t="s">
        <v>60</v>
      </c>
      <c r="AV23" s="8" t="s">
        <v>60</v>
      </c>
      <c r="AW23" s="8">
        <v>3.6</v>
      </c>
      <c r="AX23" s="8">
        <v>6</v>
      </c>
      <c r="AY23" s="8">
        <v>4.2</v>
      </c>
      <c r="AZ23" s="8">
        <v>4.8</v>
      </c>
      <c r="BA23" s="8">
        <v>3.6</v>
      </c>
      <c r="BB23" s="8">
        <v>4.8</v>
      </c>
      <c r="BC23" s="8">
        <v>0.4</v>
      </c>
      <c r="BD23" s="8" t="s">
        <v>60</v>
      </c>
    </row>
    <row r="24" spans="1:56" x14ac:dyDescent="0.45">
      <c r="A24" s="37" t="str">
        <f>'COM Assumptions'!B101</f>
        <v>CH</v>
      </c>
      <c r="B24" s="37" t="s">
        <v>231</v>
      </c>
      <c r="D24" t="s">
        <v>326</v>
      </c>
      <c r="E24" s="8" t="str">
        <f>'COM Assumptions'!A101</f>
        <v>COMGEO</v>
      </c>
      <c r="F24" t="str">
        <f>VLOOKUP('COM Assumptions'!B101,'COM Assumptions'!$AP$81:$AQ$88,2,FALSE)</f>
        <v>CSH</v>
      </c>
      <c r="G24" s="11">
        <v>0.9</v>
      </c>
      <c r="H24" s="11">
        <f t="shared" si="14"/>
        <v>0.9</v>
      </c>
      <c r="I24" s="11">
        <f t="shared" si="14"/>
        <v>0.9</v>
      </c>
      <c r="J24" s="11">
        <f t="shared" si="14"/>
        <v>0.9</v>
      </c>
      <c r="K24" s="11">
        <f t="shared" si="14"/>
        <v>0.9</v>
      </c>
      <c r="L24" s="11">
        <f t="shared" si="14"/>
        <v>0.9</v>
      </c>
      <c r="M24" s="11">
        <f t="shared" si="14"/>
        <v>0.9</v>
      </c>
      <c r="N24" s="11">
        <f t="shared" si="14"/>
        <v>0.9</v>
      </c>
      <c r="O24" s="11">
        <f t="shared" si="14"/>
        <v>0.9</v>
      </c>
      <c r="P24" s="11">
        <f t="shared" si="14"/>
        <v>0.9</v>
      </c>
      <c r="Q24" s="11">
        <f t="shared" si="14"/>
        <v>0.9</v>
      </c>
      <c r="R24" s="11">
        <f t="shared" si="14"/>
        <v>0.9</v>
      </c>
      <c r="S24" s="11">
        <f t="shared" si="14"/>
        <v>0.9</v>
      </c>
      <c r="T24" s="11">
        <f t="shared" si="14"/>
        <v>0.9</v>
      </c>
      <c r="U24" s="11">
        <f t="shared" si="14"/>
        <v>0.9</v>
      </c>
      <c r="W24" s="8" t="str">
        <f t="shared" si="4"/>
        <v>CSHGEO000</v>
      </c>
      <c r="X24" s="11">
        <v>0.3</v>
      </c>
      <c r="Y24" s="11">
        <v>0.28999999999999998</v>
      </c>
      <c r="Z24" s="11">
        <v>0.33</v>
      </c>
      <c r="AA24" s="11">
        <v>0.3</v>
      </c>
      <c r="AB24" s="11">
        <v>0.3</v>
      </c>
      <c r="AC24" s="11">
        <v>0.3</v>
      </c>
      <c r="AD24" s="11">
        <v>0.2</v>
      </c>
      <c r="AE24" s="11">
        <v>0.3</v>
      </c>
      <c r="AF24" s="11">
        <v>0.3</v>
      </c>
      <c r="AG24" s="11">
        <v>0.3</v>
      </c>
      <c r="AH24" s="11">
        <v>0.3</v>
      </c>
      <c r="AI24" s="11">
        <v>0.3</v>
      </c>
      <c r="AJ24" s="11">
        <v>0.3</v>
      </c>
      <c r="AK24" s="11">
        <v>0.3</v>
      </c>
      <c r="AL24" s="11">
        <v>0.3</v>
      </c>
      <c r="AN24" s="8" t="str">
        <f t="shared" si="5"/>
        <v>CSHGEO000</v>
      </c>
      <c r="AO24" s="8">
        <v>0.4</v>
      </c>
      <c r="AP24" s="8" t="s">
        <v>60</v>
      </c>
      <c r="AQ24" s="8" t="s">
        <v>60</v>
      </c>
      <c r="AR24" s="8" t="s">
        <v>60</v>
      </c>
      <c r="AS24" s="8">
        <v>5.4</v>
      </c>
      <c r="AT24" s="8">
        <v>6.3</v>
      </c>
      <c r="AU24" s="8" t="s">
        <v>60</v>
      </c>
      <c r="AV24" s="8" t="s">
        <v>60</v>
      </c>
      <c r="AW24" s="8">
        <v>5.4</v>
      </c>
      <c r="AX24" s="8">
        <v>9</v>
      </c>
      <c r="AY24" s="8">
        <v>6.3</v>
      </c>
      <c r="AZ24" s="8">
        <v>7.2</v>
      </c>
      <c r="BA24" s="8">
        <v>5.4</v>
      </c>
      <c r="BB24" s="8">
        <v>7.2</v>
      </c>
      <c r="BC24" s="8">
        <v>0.4</v>
      </c>
      <c r="BD24" s="8" t="s">
        <v>60</v>
      </c>
    </row>
    <row r="25" spans="1:56" x14ac:dyDescent="0.45">
      <c r="A25" s="37" t="str">
        <f>'COM Assumptions'!B102</f>
        <v>CH</v>
      </c>
      <c r="B25" s="37" t="s">
        <v>232</v>
      </c>
      <c r="D25" t="s">
        <v>327</v>
      </c>
      <c r="E25" s="8" t="str">
        <f>'COM Assumptions'!A102</f>
        <v>COMHET</v>
      </c>
      <c r="F25" t="str">
        <f>VLOOKUP('COM Assumptions'!B102,'COM Assumptions'!$AP$81:$AQ$88,2,FALSE)</f>
        <v>CSH</v>
      </c>
      <c r="G25" s="11">
        <v>0.9</v>
      </c>
      <c r="H25" s="11">
        <f t="shared" si="14"/>
        <v>0.9</v>
      </c>
      <c r="I25" s="11">
        <f t="shared" si="14"/>
        <v>0.9</v>
      </c>
      <c r="J25" s="11">
        <f t="shared" si="14"/>
        <v>0.9</v>
      </c>
      <c r="K25" s="11">
        <f t="shared" si="14"/>
        <v>0.9</v>
      </c>
      <c r="L25" s="11">
        <f t="shared" si="14"/>
        <v>0.9</v>
      </c>
      <c r="M25" s="11">
        <f t="shared" si="14"/>
        <v>0.9</v>
      </c>
      <c r="N25" s="11">
        <f t="shared" si="14"/>
        <v>0.9</v>
      </c>
      <c r="O25" s="11">
        <f t="shared" si="14"/>
        <v>0.9</v>
      </c>
      <c r="P25" s="11">
        <f t="shared" si="14"/>
        <v>0.9</v>
      </c>
      <c r="Q25" s="11">
        <f t="shared" si="14"/>
        <v>0.9</v>
      </c>
      <c r="R25" s="11">
        <f t="shared" si="14"/>
        <v>0.9</v>
      </c>
      <c r="S25" s="11">
        <f t="shared" si="14"/>
        <v>0.9</v>
      </c>
      <c r="T25" s="11">
        <f t="shared" si="14"/>
        <v>0.9</v>
      </c>
      <c r="U25" s="11">
        <f t="shared" si="14"/>
        <v>0.9</v>
      </c>
      <c r="W25" s="8" t="str">
        <f t="shared" si="4"/>
        <v>CSHHET000</v>
      </c>
      <c r="X25" s="11">
        <v>0.3</v>
      </c>
      <c r="Y25" s="11">
        <v>0.28999999999999998</v>
      </c>
      <c r="Z25" s="11">
        <v>0.33</v>
      </c>
      <c r="AA25" s="11">
        <v>0.3</v>
      </c>
      <c r="AB25" s="11">
        <v>0.3</v>
      </c>
      <c r="AC25" s="11">
        <v>0.3</v>
      </c>
      <c r="AD25" s="11">
        <v>0.3</v>
      </c>
      <c r="AE25" s="11">
        <v>0.3</v>
      </c>
      <c r="AF25" s="11">
        <v>0.3</v>
      </c>
      <c r="AG25" s="11">
        <v>0.3</v>
      </c>
      <c r="AH25" s="11">
        <v>0.3</v>
      </c>
      <c r="AI25" s="11">
        <v>0.3</v>
      </c>
      <c r="AJ25" s="11">
        <v>0.3</v>
      </c>
      <c r="AK25" s="11">
        <v>0.3</v>
      </c>
      <c r="AL25" s="11">
        <v>0.3</v>
      </c>
      <c r="AN25" s="8" t="str">
        <f t="shared" si="5"/>
        <v>CSHHET000</v>
      </c>
      <c r="AO25" s="8">
        <v>0.4</v>
      </c>
      <c r="AP25" s="8" t="s">
        <v>60</v>
      </c>
      <c r="AQ25" s="8" t="s">
        <v>60</v>
      </c>
      <c r="AR25" s="8" t="s">
        <v>60</v>
      </c>
      <c r="AS25" s="8">
        <v>5.4</v>
      </c>
      <c r="AT25" s="8">
        <v>6.3</v>
      </c>
      <c r="AU25" s="8" t="s">
        <v>60</v>
      </c>
      <c r="AV25" s="8" t="s">
        <v>60</v>
      </c>
      <c r="AW25" s="8">
        <v>5.4</v>
      </c>
      <c r="AX25" s="8">
        <v>9</v>
      </c>
      <c r="AY25" s="8">
        <v>6.3</v>
      </c>
      <c r="AZ25" s="8">
        <v>7.2</v>
      </c>
      <c r="BA25" s="8">
        <v>5.4</v>
      </c>
      <c r="BB25" s="8">
        <v>7.2</v>
      </c>
      <c r="BC25" s="8">
        <v>0.4</v>
      </c>
      <c r="BD25" s="8" t="s">
        <v>60</v>
      </c>
    </row>
    <row r="26" spans="1:56" x14ac:dyDescent="0.45">
      <c r="A26" s="37" t="str">
        <f>'COM Assumptions'!B103</f>
        <v>CH</v>
      </c>
      <c r="B26" s="37" t="s">
        <v>233</v>
      </c>
      <c r="D26" t="s">
        <v>328</v>
      </c>
      <c r="E26" s="8" t="str">
        <f>'COM Assumptions'!A103</f>
        <v>COMKER</v>
      </c>
      <c r="F26" t="str">
        <f>VLOOKUP('COM Assumptions'!B103,'COM Assumptions'!$AP$81:$AQ$88,2,FALSE)</f>
        <v>CSH</v>
      </c>
      <c r="G26" s="11">
        <v>0.73</v>
      </c>
      <c r="H26" s="11">
        <f t="shared" si="14"/>
        <v>0.73</v>
      </c>
      <c r="I26" s="11">
        <f t="shared" si="14"/>
        <v>0.73</v>
      </c>
      <c r="J26" s="11">
        <f t="shared" si="14"/>
        <v>0.73</v>
      </c>
      <c r="K26" s="11">
        <f t="shared" si="14"/>
        <v>0.73</v>
      </c>
      <c r="L26" s="11">
        <f t="shared" si="14"/>
        <v>0.73</v>
      </c>
      <c r="M26" s="11">
        <f t="shared" si="14"/>
        <v>0.73</v>
      </c>
      <c r="N26" s="11">
        <f t="shared" si="14"/>
        <v>0.73</v>
      </c>
      <c r="O26" s="11">
        <f t="shared" si="14"/>
        <v>0.73</v>
      </c>
      <c r="P26" s="11">
        <f t="shared" si="14"/>
        <v>0.73</v>
      </c>
      <c r="Q26" s="11">
        <f t="shared" si="14"/>
        <v>0.73</v>
      </c>
      <c r="R26" s="11">
        <f t="shared" si="14"/>
        <v>0.73</v>
      </c>
      <c r="S26" s="11">
        <f t="shared" si="14"/>
        <v>0.73</v>
      </c>
      <c r="T26" s="11">
        <f t="shared" si="14"/>
        <v>0.73</v>
      </c>
      <c r="U26" s="11">
        <f t="shared" si="14"/>
        <v>0.73</v>
      </c>
      <c r="W26" s="8" t="str">
        <f t="shared" si="4"/>
        <v>CSHHFO000</v>
      </c>
      <c r="X26" s="11">
        <v>0.3</v>
      </c>
      <c r="Y26" s="11">
        <v>0.28999999999999998</v>
      </c>
      <c r="Z26" s="11">
        <v>0.33</v>
      </c>
      <c r="AA26" s="11">
        <v>0.3</v>
      </c>
      <c r="AB26" s="11">
        <v>0.3</v>
      </c>
      <c r="AC26" s="11">
        <v>0.3</v>
      </c>
      <c r="AD26" s="11">
        <v>0.3</v>
      </c>
      <c r="AE26" s="11">
        <v>0.3</v>
      </c>
      <c r="AF26" s="11">
        <v>0.3</v>
      </c>
      <c r="AG26" s="11">
        <v>0.3</v>
      </c>
      <c r="AH26" s="11">
        <v>0.3</v>
      </c>
      <c r="AI26" s="11">
        <v>0.3</v>
      </c>
      <c r="AJ26" s="11">
        <v>0.3</v>
      </c>
      <c r="AK26" s="11">
        <v>0.3</v>
      </c>
      <c r="AL26" s="11">
        <v>0.3</v>
      </c>
      <c r="AN26" s="8" t="str">
        <f t="shared" si="5"/>
        <v>CSHHFO000</v>
      </c>
      <c r="AO26" s="8">
        <v>0.4</v>
      </c>
      <c r="AP26" s="8" t="s">
        <v>60</v>
      </c>
      <c r="AQ26" s="8" t="s">
        <v>60</v>
      </c>
      <c r="AR26" s="8" t="s">
        <v>60</v>
      </c>
      <c r="AS26" s="8">
        <v>4.8</v>
      </c>
      <c r="AT26" s="8">
        <v>5.6</v>
      </c>
      <c r="AU26" s="8" t="s">
        <v>60</v>
      </c>
      <c r="AV26" s="8" t="s">
        <v>60</v>
      </c>
      <c r="AW26" s="8">
        <v>4.8</v>
      </c>
      <c r="AX26" s="8">
        <v>8</v>
      </c>
      <c r="AY26" s="8">
        <v>5.6</v>
      </c>
      <c r="AZ26" s="8">
        <v>6.4</v>
      </c>
      <c r="BA26" s="8">
        <v>4.8</v>
      </c>
      <c r="BB26" s="8">
        <v>6.4</v>
      </c>
      <c r="BC26" s="8">
        <v>0.4</v>
      </c>
      <c r="BD26" s="8" t="s">
        <v>60</v>
      </c>
    </row>
    <row r="27" spans="1:56" x14ac:dyDescent="0.45">
      <c r="A27" s="37" t="str">
        <f>'COM Assumptions'!B103</f>
        <v>CH</v>
      </c>
      <c r="B27" s="37" t="s">
        <v>234</v>
      </c>
      <c r="D27" t="s">
        <v>329</v>
      </c>
      <c r="E27" s="8" t="str">
        <f>'COM Assumptions'!A103</f>
        <v>COMKER</v>
      </c>
      <c r="F27" t="str">
        <f>VLOOKUP('COM Assumptions'!B103,'COM Assumptions'!$AP$81:$AQ$88,2,FALSE)</f>
        <v>CSH</v>
      </c>
      <c r="G27" s="11">
        <v>0.6</v>
      </c>
      <c r="H27" s="11">
        <f t="shared" si="14"/>
        <v>0.6</v>
      </c>
      <c r="I27" s="11">
        <f t="shared" si="14"/>
        <v>0.6</v>
      </c>
      <c r="J27" s="11">
        <f t="shared" si="14"/>
        <v>0.6</v>
      </c>
      <c r="K27" s="11">
        <f t="shared" si="14"/>
        <v>0.6</v>
      </c>
      <c r="L27" s="11">
        <f t="shared" si="14"/>
        <v>0.6</v>
      </c>
      <c r="M27" s="11">
        <f t="shared" si="14"/>
        <v>0.6</v>
      </c>
      <c r="N27" s="11">
        <f t="shared" si="14"/>
        <v>0.6</v>
      </c>
      <c r="O27" s="11">
        <f t="shared" si="14"/>
        <v>0.6</v>
      </c>
      <c r="P27" s="11">
        <f t="shared" si="14"/>
        <v>0.6</v>
      </c>
      <c r="Q27" s="11">
        <f t="shared" si="14"/>
        <v>0.6</v>
      </c>
      <c r="R27" s="11">
        <f t="shared" si="14"/>
        <v>0.6</v>
      </c>
      <c r="S27" s="11">
        <f t="shared" si="14"/>
        <v>0.6</v>
      </c>
      <c r="T27" s="11">
        <f t="shared" si="14"/>
        <v>0.6</v>
      </c>
      <c r="U27" s="11">
        <f t="shared" si="14"/>
        <v>0.6</v>
      </c>
      <c r="W27" s="8" t="str">
        <f t="shared" si="4"/>
        <v>CSHKER000</v>
      </c>
      <c r="X27" s="11">
        <v>0.3</v>
      </c>
      <c r="Y27" s="11">
        <v>0.28999999999999998</v>
      </c>
      <c r="Z27" s="11">
        <v>0.33</v>
      </c>
      <c r="AA27" s="11">
        <v>0.3</v>
      </c>
      <c r="AB27" s="11">
        <v>0.3</v>
      </c>
      <c r="AC27" s="11">
        <v>0.3</v>
      </c>
      <c r="AD27" s="11">
        <v>0.3</v>
      </c>
      <c r="AE27" s="11">
        <v>0.3</v>
      </c>
      <c r="AF27" s="11">
        <v>0.3</v>
      </c>
      <c r="AG27" s="11">
        <v>0.3</v>
      </c>
      <c r="AH27" s="11">
        <v>0.3</v>
      </c>
      <c r="AI27" s="11">
        <v>0.3</v>
      </c>
      <c r="AJ27" s="11">
        <v>0.3</v>
      </c>
      <c r="AK27" s="11">
        <v>0.3</v>
      </c>
      <c r="AL27" s="11">
        <v>0.3</v>
      </c>
      <c r="AN27" s="8" t="str">
        <f t="shared" si="5"/>
        <v>CSHKER000</v>
      </c>
      <c r="AO27" s="8">
        <v>0.4</v>
      </c>
      <c r="AP27" s="8" t="s">
        <v>60</v>
      </c>
      <c r="AQ27" s="8" t="s">
        <v>60</v>
      </c>
      <c r="AR27" s="8" t="s">
        <v>60</v>
      </c>
      <c r="AS27" s="8">
        <v>3.6</v>
      </c>
      <c r="AT27" s="8">
        <v>4.2</v>
      </c>
      <c r="AU27" s="8" t="s">
        <v>60</v>
      </c>
      <c r="AV27" s="8" t="s">
        <v>60</v>
      </c>
      <c r="AW27" s="8">
        <v>3.6</v>
      </c>
      <c r="AX27" s="8">
        <v>6</v>
      </c>
      <c r="AY27" s="8">
        <v>4.2</v>
      </c>
      <c r="AZ27" s="8">
        <v>4.8</v>
      </c>
      <c r="BA27" s="8">
        <v>3.6</v>
      </c>
      <c r="BB27" s="8">
        <v>4.8</v>
      </c>
      <c r="BC27" s="8">
        <v>0.4</v>
      </c>
      <c r="BD27" s="8" t="s">
        <v>60</v>
      </c>
    </row>
    <row r="28" spans="1:56" x14ac:dyDescent="0.45">
      <c r="A28" s="37" t="str">
        <f>'COM Assumptions'!B104</f>
        <v>CH</v>
      </c>
      <c r="B28" s="37" t="s">
        <v>235</v>
      </c>
      <c r="D28" t="s">
        <v>330</v>
      </c>
      <c r="E28" s="8" t="str">
        <f>'COM Assumptions'!A104</f>
        <v>COMLPG</v>
      </c>
      <c r="F28" t="str">
        <f>VLOOKUP('COM Assumptions'!B104,'COM Assumptions'!$AP$81:$AQ$88,2,FALSE)</f>
        <v>CSH</v>
      </c>
      <c r="G28" s="11">
        <v>0.6</v>
      </c>
      <c r="H28" s="11">
        <f t="shared" si="14"/>
        <v>0.6</v>
      </c>
      <c r="I28" s="11">
        <f t="shared" si="14"/>
        <v>0.6</v>
      </c>
      <c r="J28" s="11">
        <f t="shared" si="14"/>
        <v>0.6</v>
      </c>
      <c r="K28" s="11">
        <f t="shared" si="14"/>
        <v>0.6</v>
      </c>
      <c r="L28" s="11">
        <f t="shared" si="14"/>
        <v>0.6</v>
      </c>
      <c r="M28" s="11">
        <f t="shared" si="14"/>
        <v>0.6</v>
      </c>
      <c r="N28" s="11">
        <f t="shared" si="14"/>
        <v>0.6</v>
      </c>
      <c r="O28" s="11">
        <f t="shared" si="14"/>
        <v>0.6</v>
      </c>
      <c r="P28" s="11">
        <f t="shared" si="14"/>
        <v>0.6</v>
      </c>
      <c r="Q28" s="11">
        <f t="shared" si="14"/>
        <v>0.6</v>
      </c>
      <c r="R28" s="11">
        <f t="shared" si="14"/>
        <v>0.6</v>
      </c>
      <c r="S28" s="11">
        <f t="shared" si="14"/>
        <v>0.6</v>
      </c>
      <c r="T28" s="11">
        <f t="shared" si="14"/>
        <v>0.6</v>
      </c>
      <c r="U28" s="11">
        <f t="shared" si="14"/>
        <v>0.6</v>
      </c>
      <c r="W28" s="8" t="str">
        <f t="shared" si="4"/>
        <v>CSHLPG000</v>
      </c>
      <c r="X28" s="11">
        <v>0.3</v>
      </c>
      <c r="Y28" s="11">
        <v>0.28999999999999998</v>
      </c>
      <c r="Z28" s="11">
        <v>0.33</v>
      </c>
      <c r="AA28" s="11">
        <v>0.3</v>
      </c>
      <c r="AB28" s="11">
        <v>0.3</v>
      </c>
      <c r="AC28" s="11">
        <v>0.3</v>
      </c>
      <c r="AD28" s="11">
        <v>0.3</v>
      </c>
      <c r="AE28" s="11">
        <v>0.3</v>
      </c>
      <c r="AF28" s="11">
        <v>0.3</v>
      </c>
      <c r="AG28" s="11">
        <v>0.3</v>
      </c>
      <c r="AH28" s="11">
        <v>0.3</v>
      </c>
      <c r="AI28" s="11">
        <v>0.3</v>
      </c>
      <c r="AJ28" s="11">
        <v>0.3</v>
      </c>
      <c r="AK28" s="11">
        <v>0.3</v>
      </c>
      <c r="AL28" s="11">
        <v>0.3</v>
      </c>
      <c r="AN28" s="8" t="str">
        <f t="shared" si="5"/>
        <v>CSHLPG000</v>
      </c>
      <c r="AO28" s="8">
        <v>0.02</v>
      </c>
      <c r="AP28" s="8" t="s">
        <v>60</v>
      </c>
      <c r="AQ28" s="8" t="s">
        <v>60</v>
      </c>
      <c r="AR28" s="8">
        <v>0.02</v>
      </c>
      <c r="AS28" s="8">
        <v>1.2</v>
      </c>
      <c r="AT28" s="8">
        <v>1.4</v>
      </c>
      <c r="AU28" s="8" t="s">
        <v>60</v>
      </c>
      <c r="AV28" s="8" t="s">
        <v>60</v>
      </c>
      <c r="AW28" s="8">
        <v>1.2</v>
      </c>
      <c r="AX28" s="8">
        <v>2</v>
      </c>
      <c r="AY28" s="8">
        <v>1.4</v>
      </c>
      <c r="AZ28" s="8">
        <v>1.6</v>
      </c>
      <c r="BA28" s="8">
        <v>1.2</v>
      </c>
      <c r="BB28" s="8">
        <v>1.6</v>
      </c>
      <c r="BC28" s="8">
        <v>0.4</v>
      </c>
      <c r="BD28" s="8" t="s">
        <v>60</v>
      </c>
    </row>
    <row r="29" spans="1:56" x14ac:dyDescent="0.45">
      <c r="A29" s="37" t="str">
        <f>'COM Assumptions'!B105</f>
        <v>CH</v>
      </c>
      <c r="B29" s="37" t="s">
        <v>196</v>
      </c>
      <c r="D29" t="s">
        <v>331</v>
      </c>
      <c r="E29" s="8" t="str">
        <f>'COM Assumptions'!A105</f>
        <v>COMNGA</v>
      </c>
      <c r="F29" t="str">
        <f>VLOOKUP('COM Assumptions'!B105,'COM Assumptions'!$AP$81:$AQ$88,2,FALSE)</f>
        <v>CSH</v>
      </c>
      <c r="G29" s="11">
        <v>0.7</v>
      </c>
      <c r="H29" s="11">
        <f t="shared" si="14"/>
        <v>0.7</v>
      </c>
      <c r="I29" s="11">
        <f t="shared" si="14"/>
        <v>0.7</v>
      </c>
      <c r="J29" s="11">
        <f t="shared" si="14"/>
        <v>0.7</v>
      </c>
      <c r="K29" s="11">
        <f t="shared" si="14"/>
        <v>0.7</v>
      </c>
      <c r="L29" s="11">
        <f t="shared" si="14"/>
        <v>0.7</v>
      </c>
      <c r="M29" s="11">
        <f t="shared" si="14"/>
        <v>0.7</v>
      </c>
      <c r="N29" s="11">
        <f t="shared" si="14"/>
        <v>0.7</v>
      </c>
      <c r="O29" s="11">
        <f t="shared" si="14"/>
        <v>0.7</v>
      </c>
      <c r="P29" s="11">
        <f t="shared" si="14"/>
        <v>0.7</v>
      </c>
      <c r="Q29" s="11">
        <f t="shared" si="14"/>
        <v>0.7</v>
      </c>
      <c r="R29" s="11">
        <f t="shared" si="14"/>
        <v>0.7</v>
      </c>
      <c r="S29" s="11">
        <f t="shared" si="14"/>
        <v>0.7</v>
      </c>
      <c r="T29" s="11">
        <f t="shared" si="14"/>
        <v>0.7</v>
      </c>
      <c r="U29" s="11">
        <f t="shared" si="14"/>
        <v>0.7</v>
      </c>
      <c r="W29" s="8" t="str">
        <f t="shared" si="4"/>
        <v>CSHNFN000</v>
      </c>
      <c r="X29" s="11">
        <v>0.3</v>
      </c>
      <c r="Y29" s="11">
        <v>0.28999999999999998</v>
      </c>
      <c r="Z29" s="11">
        <v>0.33</v>
      </c>
      <c r="AA29" s="11">
        <v>0.3</v>
      </c>
      <c r="AB29" s="11">
        <v>0.3</v>
      </c>
      <c r="AC29" s="11">
        <v>0.3</v>
      </c>
      <c r="AD29" s="11">
        <v>0.3</v>
      </c>
      <c r="AE29" s="11">
        <v>0.3</v>
      </c>
      <c r="AF29" s="11">
        <v>0.3</v>
      </c>
      <c r="AG29" s="11">
        <v>0.3</v>
      </c>
      <c r="AH29" s="11">
        <v>0.3</v>
      </c>
      <c r="AI29" s="11">
        <v>0.3</v>
      </c>
      <c r="AJ29" s="11">
        <v>0.3</v>
      </c>
      <c r="AK29" s="11">
        <v>0.3</v>
      </c>
      <c r="AL29" s="11">
        <v>0.3</v>
      </c>
      <c r="AN29" s="8" t="str">
        <f t="shared" si="5"/>
        <v>CSHNFN000</v>
      </c>
      <c r="AO29" s="8">
        <v>0.01</v>
      </c>
      <c r="AP29" s="8" t="s">
        <v>60</v>
      </c>
      <c r="AQ29" s="8" t="s">
        <v>60</v>
      </c>
      <c r="AR29" s="8">
        <v>0.01</v>
      </c>
      <c r="AS29" s="8">
        <v>1.8</v>
      </c>
      <c r="AT29" s="8">
        <v>2.1</v>
      </c>
      <c r="AU29" s="8" t="s">
        <v>60</v>
      </c>
      <c r="AV29" s="8" t="s">
        <v>60</v>
      </c>
      <c r="AW29" s="8">
        <v>1.8</v>
      </c>
      <c r="AX29" s="8">
        <v>3</v>
      </c>
      <c r="AY29" s="8">
        <v>2.1</v>
      </c>
      <c r="AZ29" s="8">
        <v>2.4</v>
      </c>
      <c r="BA29" s="8">
        <v>1.8</v>
      </c>
      <c r="BB29" s="8">
        <v>2.4</v>
      </c>
      <c r="BC29" s="8">
        <v>0.4</v>
      </c>
      <c r="BD29" s="8" t="s">
        <v>60</v>
      </c>
    </row>
    <row r="30" spans="1:56" x14ac:dyDescent="0.45">
      <c r="A30" s="37" t="str">
        <f>'COM Assumptions'!B106</f>
        <v>CH</v>
      </c>
      <c r="B30" s="37" t="s">
        <v>197</v>
      </c>
      <c r="D30" t="s">
        <v>332</v>
      </c>
      <c r="E30" s="8" t="str">
        <f>'COM Assumptions'!A106</f>
        <v>COMNGA</v>
      </c>
      <c r="F30" t="str">
        <f>VLOOKUP('COM Assumptions'!B106,'COM Assumptions'!$AP$81:$AQ$88,2,FALSE)</f>
        <v>CSH</v>
      </c>
      <c r="G30" s="11">
        <v>1.9</v>
      </c>
      <c r="H30" s="11">
        <f t="shared" si="14"/>
        <v>1.9</v>
      </c>
      <c r="I30" s="11">
        <f t="shared" si="14"/>
        <v>1.9</v>
      </c>
      <c r="J30" s="11">
        <f t="shared" si="14"/>
        <v>1.9</v>
      </c>
      <c r="K30" s="11">
        <f t="shared" si="14"/>
        <v>1.9</v>
      </c>
      <c r="L30" s="11">
        <f t="shared" si="14"/>
        <v>1.9</v>
      </c>
      <c r="M30" s="11">
        <f t="shared" si="14"/>
        <v>1.9</v>
      </c>
      <c r="N30" s="11">
        <f t="shared" si="14"/>
        <v>1.9</v>
      </c>
      <c r="O30" s="11">
        <f t="shared" si="14"/>
        <v>1.9</v>
      </c>
      <c r="P30" s="11">
        <f t="shared" si="14"/>
        <v>1.9</v>
      </c>
      <c r="Q30" s="11">
        <f t="shared" si="14"/>
        <v>1.9</v>
      </c>
      <c r="R30" s="11">
        <f t="shared" si="14"/>
        <v>1.9</v>
      </c>
      <c r="S30" s="11">
        <f t="shared" si="14"/>
        <v>1.9</v>
      </c>
      <c r="T30" s="11">
        <f t="shared" si="14"/>
        <v>1.9</v>
      </c>
      <c r="U30" s="11">
        <f t="shared" si="14"/>
        <v>1.9</v>
      </c>
      <c r="W30" s="8" t="str">
        <f t="shared" si="4"/>
        <v>CSHNHP000</v>
      </c>
      <c r="X30" s="11">
        <v>0.3</v>
      </c>
      <c r="Y30" s="11">
        <v>0.28999999999999998</v>
      </c>
      <c r="Z30" s="11">
        <v>0.33</v>
      </c>
      <c r="AA30" s="11">
        <v>0.3</v>
      </c>
      <c r="AB30" s="11">
        <v>0.3</v>
      </c>
      <c r="AC30" s="11">
        <v>0.3</v>
      </c>
      <c r="AD30" s="11">
        <v>0.3</v>
      </c>
      <c r="AE30" s="11">
        <v>0.3</v>
      </c>
      <c r="AF30" s="11">
        <v>0.3</v>
      </c>
      <c r="AG30" s="11">
        <v>0.3</v>
      </c>
      <c r="AH30" s="11">
        <v>0.3</v>
      </c>
      <c r="AI30" s="11">
        <v>0.3</v>
      </c>
      <c r="AJ30" s="11">
        <v>0.3</v>
      </c>
      <c r="AK30" s="11">
        <v>0.3</v>
      </c>
      <c r="AL30" s="11">
        <v>0.3</v>
      </c>
      <c r="AN30" s="8" t="str">
        <f t="shared" si="5"/>
        <v>CSHNHP000</v>
      </c>
      <c r="AO30" s="8">
        <v>0.4</v>
      </c>
      <c r="AP30" s="8" t="s">
        <v>60</v>
      </c>
      <c r="AQ30" s="8" t="s">
        <v>60</v>
      </c>
      <c r="AR30" s="8" t="s">
        <v>60</v>
      </c>
      <c r="AS30" s="8">
        <v>1.8</v>
      </c>
      <c r="AT30" s="8">
        <v>2.1</v>
      </c>
      <c r="AU30" s="8" t="s">
        <v>60</v>
      </c>
      <c r="AV30" s="8" t="s">
        <v>60</v>
      </c>
      <c r="AW30" s="8">
        <v>1.8</v>
      </c>
      <c r="AX30" s="8">
        <v>3</v>
      </c>
      <c r="AY30" s="8">
        <v>2.1</v>
      </c>
      <c r="AZ30" s="8">
        <v>2.4</v>
      </c>
      <c r="BA30" s="8">
        <v>1.8</v>
      </c>
      <c r="BB30" s="8">
        <v>2.4</v>
      </c>
      <c r="BC30" s="8">
        <v>0.4</v>
      </c>
      <c r="BD30" s="8" t="s">
        <v>60</v>
      </c>
    </row>
    <row r="31" spans="1:56" x14ac:dyDescent="0.45">
      <c r="A31" s="37" t="str">
        <f>'COM Assumptions'!B107</f>
        <v>CHW</v>
      </c>
      <c r="B31" s="37" t="s">
        <v>236</v>
      </c>
      <c r="D31" t="s">
        <v>236</v>
      </c>
      <c r="E31" s="8" t="str">
        <f>'COM Assumptions'!A107</f>
        <v>COMBIO</v>
      </c>
      <c r="F31" t="str">
        <f>VLOOKUP('COM Assumptions'!B107,'COM Assumptions'!$AP$81:$AQ$88,2,FALSE)</f>
        <v>CHW</v>
      </c>
      <c r="G31" s="11">
        <v>0.25</v>
      </c>
      <c r="H31" s="11">
        <f t="shared" si="14"/>
        <v>0.25</v>
      </c>
      <c r="I31" s="11">
        <f t="shared" si="14"/>
        <v>0.25</v>
      </c>
      <c r="J31" s="11">
        <f t="shared" si="14"/>
        <v>0.25</v>
      </c>
      <c r="K31" s="11">
        <f t="shared" si="14"/>
        <v>0.25</v>
      </c>
      <c r="L31" s="11">
        <f t="shared" si="14"/>
        <v>0.25</v>
      </c>
      <c r="M31" s="11">
        <f t="shared" si="14"/>
        <v>0.25</v>
      </c>
      <c r="N31" s="11">
        <f t="shared" si="14"/>
        <v>0.25</v>
      </c>
      <c r="O31" s="11">
        <f t="shared" si="14"/>
        <v>0.25</v>
      </c>
      <c r="P31" s="11">
        <f t="shared" si="14"/>
        <v>0.25</v>
      </c>
      <c r="Q31" s="11">
        <f t="shared" si="14"/>
        <v>0.25</v>
      </c>
      <c r="R31" s="11">
        <f t="shared" si="14"/>
        <v>0.25</v>
      </c>
      <c r="S31" s="11">
        <f t="shared" si="14"/>
        <v>0.25</v>
      </c>
      <c r="T31" s="11">
        <f t="shared" si="14"/>
        <v>0.25</v>
      </c>
      <c r="U31" s="11">
        <f t="shared" si="14"/>
        <v>0.25</v>
      </c>
      <c r="W31" s="8" t="str">
        <f t="shared" si="4"/>
        <v>CHWBIO000</v>
      </c>
      <c r="X31" s="11">
        <v>0.1</v>
      </c>
      <c r="Y31" s="11">
        <v>0.1</v>
      </c>
      <c r="Z31" s="11">
        <v>0.1</v>
      </c>
      <c r="AA31" s="11">
        <v>0.1</v>
      </c>
      <c r="AB31" s="11">
        <v>0.1</v>
      </c>
      <c r="AC31" s="11">
        <v>0.1</v>
      </c>
      <c r="AD31" s="11">
        <v>0.1</v>
      </c>
      <c r="AE31" s="11">
        <v>0.1</v>
      </c>
      <c r="AF31" s="11">
        <v>0.1</v>
      </c>
      <c r="AG31" s="11">
        <v>0.1</v>
      </c>
      <c r="AH31" s="11">
        <v>0.1</v>
      </c>
      <c r="AI31" s="11">
        <v>0.1</v>
      </c>
      <c r="AJ31" s="11">
        <v>0.1</v>
      </c>
      <c r="AK31" s="11">
        <v>0.1</v>
      </c>
      <c r="AL31" s="11">
        <v>0.1</v>
      </c>
      <c r="AN31" s="8" t="str">
        <f t="shared" si="5"/>
        <v>CHWBIO000</v>
      </c>
      <c r="AO31" s="8">
        <v>3.6</v>
      </c>
      <c r="AP31" s="8" t="s">
        <v>60</v>
      </c>
      <c r="AQ31" s="8">
        <v>4.8</v>
      </c>
      <c r="AR31" s="8">
        <v>6</v>
      </c>
      <c r="AS31" s="8">
        <v>3.6</v>
      </c>
      <c r="AT31" s="8">
        <v>4.2</v>
      </c>
      <c r="AU31" s="8" t="s">
        <v>60</v>
      </c>
      <c r="AV31" s="8" t="s">
        <v>60</v>
      </c>
      <c r="AW31" s="8">
        <v>3.6</v>
      </c>
      <c r="AX31" s="8">
        <v>6</v>
      </c>
      <c r="AY31" s="8">
        <v>4.2</v>
      </c>
      <c r="AZ31" s="8">
        <v>4.8</v>
      </c>
      <c r="BA31" s="8">
        <v>3.6</v>
      </c>
      <c r="BB31" s="8">
        <v>4.8</v>
      </c>
      <c r="BC31" s="8">
        <v>6</v>
      </c>
      <c r="BD31" s="8" t="s">
        <v>60</v>
      </c>
    </row>
    <row r="32" spans="1:56" x14ac:dyDescent="0.45">
      <c r="A32" s="37" t="str">
        <f>'COM Assumptions'!B108</f>
        <v>CHW</v>
      </c>
      <c r="B32" s="37" t="s">
        <v>237</v>
      </c>
      <c r="D32" t="s">
        <v>237</v>
      </c>
      <c r="E32" s="8" t="str">
        <f>'COM Assumptions'!A108</f>
        <v>COMCOA</v>
      </c>
      <c r="F32" t="str">
        <f>VLOOKUP('COM Assumptions'!B108,'COM Assumptions'!$AP$81:$AQ$88,2,FALSE)</f>
        <v>CHW</v>
      </c>
      <c r="G32" s="11">
        <v>0.64</v>
      </c>
      <c r="H32" s="11">
        <f t="shared" si="14"/>
        <v>0.64</v>
      </c>
      <c r="I32" s="11">
        <f t="shared" si="14"/>
        <v>0.64</v>
      </c>
      <c r="J32" s="11">
        <f t="shared" si="14"/>
        <v>0.64</v>
      </c>
      <c r="K32" s="11">
        <f t="shared" si="14"/>
        <v>0.64</v>
      </c>
      <c r="L32" s="11">
        <f t="shared" si="14"/>
        <v>0.64</v>
      </c>
      <c r="M32" s="11">
        <f t="shared" si="14"/>
        <v>0.64</v>
      </c>
      <c r="N32" s="11">
        <f t="shared" si="14"/>
        <v>0.64</v>
      </c>
      <c r="O32" s="11">
        <f t="shared" si="14"/>
        <v>0.64</v>
      </c>
      <c r="P32" s="11">
        <f t="shared" si="14"/>
        <v>0.64</v>
      </c>
      <c r="Q32" s="11">
        <f t="shared" si="14"/>
        <v>0.64</v>
      </c>
      <c r="R32" s="11">
        <f t="shared" si="14"/>
        <v>0.64</v>
      </c>
      <c r="S32" s="11">
        <f t="shared" si="14"/>
        <v>0.64</v>
      </c>
      <c r="T32" s="11">
        <f t="shared" si="14"/>
        <v>0.64</v>
      </c>
      <c r="U32" s="11">
        <f t="shared" si="14"/>
        <v>0.64</v>
      </c>
      <c r="W32" s="8" t="str">
        <f t="shared" si="4"/>
        <v>CHWCOA000</v>
      </c>
      <c r="X32" s="11">
        <v>0.1</v>
      </c>
      <c r="Y32" s="11">
        <v>0.13</v>
      </c>
      <c r="Z32" s="11">
        <v>0.13</v>
      </c>
      <c r="AA32" s="11">
        <v>0.1</v>
      </c>
      <c r="AB32" s="11">
        <v>0.1</v>
      </c>
      <c r="AC32" s="11">
        <v>0.1</v>
      </c>
      <c r="AD32" s="11">
        <v>0.1</v>
      </c>
      <c r="AE32" s="11">
        <v>0.1</v>
      </c>
      <c r="AF32" s="11">
        <v>0.1</v>
      </c>
      <c r="AG32" s="11">
        <v>0.1</v>
      </c>
      <c r="AH32" s="11">
        <v>0.1</v>
      </c>
      <c r="AI32" s="11">
        <v>0.1</v>
      </c>
      <c r="AJ32" s="11">
        <v>0.1</v>
      </c>
      <c r="AK32" s="11">
        <v>0.25</v>
      </c>
      <c r="AL32" s="11">
        <v>0.1</v>
      </c>
      <c r="AN32" s="8" t="str">
        <f t="shared" si="5"/>
        <v>CHWCOA000</v>
      </c>
      <c r="AO32" s="8">
        <v>2.4</v>
      </c>
      <c r="AP32" s="8" t="s">
        <v>60</v>
      </c>
      <c r="AQ32" s="8" t="s">
        <v>60</v>
      </c>
      <c r="AR32" s="8" t="s">
        <v>60</v>
      </c>
      <c r="AS32" s="8">
        <v>2.4</v>
      </c>
      <c r="AT32" s="8">
        <v>4.2</v>
      </c>
      <c r="AU32" s="8" t="s">
        <v>60</v>
      </c>
      <c r="AV32" s="8" t="s">
        <v>60</v>
      </c>
      <c r="AW32" s="8">
        <v>3.6</v>
      </c>
      <c r="AX32" s="8">
        <v>6</v>
      </c>
      <c r="AY32" s="8">
        <v>4.2</v>
      </c>
      <c r="AZ32" s="8">
        <v>4.8</v>
      </c>
      <c r="BA32" s="8">
        <v>3.6</v>
      </c>
      <c r="BB32" s="8">
        <v>4.8</v>
      </c>
      <c r="BC32" s="8" t="s">
        <v>60</v>
      </c>
      <c r="BD32" s="8" t="s">
        <v>60</v>
      </c>
    </row>
    <row r="33" spans="1:56" x14ac:dyDescent="0.45">
      <c r="A33" s="37" t="str">
        <f>'COM Assumptions'!B109</f>
        <v>CHW</v>
      </c>
      <c r="B33" s="37" t="s">
        <v>238</v>
      </c>
      <c r="D33" t="s">
        <v>238</v>
      </c>
      <c r="E33" s="8" t="str">
        <f>'COM Assumptions'!A109</f>
        <v>COMOIL</v>
      </c>
      <c r="F33" t="str">
        <f>VLOOKUP('COM Assumptions'!B109,'COM Assumptions'!$AP$81:$AQ$88,2,FALSE)</f>
        <v>CHW</v>
      </c>
      <c r="G33" s="11">
        <v>0.65</v>
      </c>
      <c r="H33" s="11">
        <f t="shared" si="14"/>
        <v>0.65</v>
      </c>
      <c r="I33" s="11">
        <f t="shared" si="14"/>
        <v>0.65</v>
      </c>
      <c r="J33" s="11">
        <f t="shared" si="14"/>
        <v>0.65</v>
      </c>
      <c r="K33" s="11">
        <f t="shared" si="14"/>
        <v>0.65</v>
      </c>
      <c r="L33" s="11">
        <f t="shared" si="14"/>
        <v>0.65</v>
      </c>
      <c r="M33" s="11">
        <f t="shared" si="14"/>
        <v>0.65</v>
      </c>
      <c r="N33" s="11">
        <f t="shared" si="14"/>
        <v>0.65</v>
      </c>
      <c r="O33" s="11">
        <f t="shared" si="14"/>
        <v>0.65</v>
      </c>
      <c r="P33" s="11">
        <f t="shared" si="14"/>
        <v>0.65</v>
      </c>
      <c r="Q33" s="11">
        <f t="shared" si="14"/>
        <v>0.65</v>
      </c>
      <c r="R33" s="11">
        <f t="shared" si="14"/>
        <v>0.65</v>
      </c>
      <c r="S33" s="11">
        <f t="shared" si="14"/>
        <v>0.65</v>
      </c>
      <c r="T33" s="11">
        <f t="shared" si="14"/>
        <v>0.65</v>
      </c>
      <c r="U33" s="11">
        <f t="shared" si="14"/>
        <v>0.65</v>
      </c>
      <c r="W33" s="8" t="str">
        <f t="shared" si="4"/>
        <v>CHWDST000</v>
      </c>
      <c r="X33" s="11">
        <v>0.1</v>
      </c>
      <c r="Y33" s="11">
        <v>0.13</v>
      </c>
      <c r="Z33" s="11">
        <v>0.13</v>
      </c>
      <c r="AA33" s="11">
        <v>0.1</v>
      </c>
      <c r="AB33" s="11">
        <v>0.1</v>
      </c>
      <c r="AC33" s="11">
        <v>0.1</v>
      </c>
      <c r="AD33" s="11">
        <v>0.1</v>
      </c>
      <c r="AE33" s="11">
        <v>0.1</v>
      </c>
      <c r="AF33" s="11">
        <v>0.1</v>
      </c>
      <c r="AG33" s="11">
        <v>0.1</v>
      </c>
      <c r="AH33" s="11">
        <v>0.1</v>
      </c>
      <c r="AI33" s="11">
        <v>0.1</v>
      </c>
      <c r="AJ33" s="11">
        <v>0.1</v>
      </c>
      <c r="AK33" s="11">
        <v>0.25</v>
      </c>
      <c r="AL33" s="11">
        <v>0.1</v>
      </c>
      <c r="AN33" s="8" t="str">
        <f t="shared" si="5"/>
        <v>CHWDST000</v>
      </c>
      <c r="AO33" s="8">
        <v>0.6</v>
      </c>
      <c r="AP33" s="8" t="s">
        <v>60</v>
      </c>
      <c r="AQ33" s="8" t="s">
        <v>60</v>
      </c>
      <c r="AR33" s="8" t="s">
        <v>60</v>
      </c>
      <c r="AS33" s="8">
        <v>0.6</v>
      </c>
      <c r="AT33" s="8">
        <v>0.7</v>
      </c>
      <c r="AU33" s="8" t="s">
        <v>60</v>
      </c>
      <c r="AV33" s="8" t="s">
        <v>60</v>
      </c>
      <c r="AW33" s="8">
        <v>0.6</v>
      </c>
      <c r="AX33" s="8">
        <v>1</v>
      </c>
      <c r="AY33" s="8">
        <v>0.7</v>
      </c>
      <c r="AZ33" s="8">
        <v>0.8</v>
      </c>
      <c r="BA33" s="8">
        <v>0.6</v>
      </c>
      <c r="BB33" s="8">
        <v>0.8</v>
      </c>
      <c r="BC33" s="8" t="s">
        <v>60</v>
      </c>
      <c r="BD33" s="8" t="s">
        <v>60</v>
      </c>
    </row>
    <row r="34" spans="1:56" x14ac:dyDescent="0.45">
      <c r="A34" s="37" t="str">
        <f>'COM Assumptions'!B110</f>
        <v>CHW</v>
      </c>
      <c r="B34" s="37" t="s">
        <v>239</v>
      </c>
      <c r="D34" t="s">
        <v>239</v>
      </c>
      <c r="E34" s="8" t="str">
        <f>'COM Assumptions'!A110</f>
        <v>COMELC</v>
      </c>
      <c r="F34" t="str">
        <f>VLOOKUP('COM Assumptions'!B110,'COM Assumptions'!$AP$81:$AQ$88,2,FALSE)</f>
        <v>CHW</v>
      </c>
      <c r="G34" s="11">
        <v>0.91</v>
      </c>
      <c r="H34" s="11">
        <f t="shared" si="14"/>
        <v>0.91</v>
      </c>
      <c r="I34" s="11">
        <f t="shared" si="14"/>
        <v>0.91</v>
      </c>
      <c r="J34" s="11">
        <f t="shared" si="14"/>
        <v>0.91</v>
      </c>
      <c r="K34" s="11">
        <f t="shared" si="14"/>
        <v>0.91</v>
      </c>
      <c r="L34" s="11">
        <f t="shared" si="14"/>
        <v>0.91</v>
      </c>
      <c r="M34" s="11">
        <f t="shared" si="14"/>
        <v>0.91</v>
      </c>
      <c r="N34" s="11">
        <f t="shared" si="14"/>
        <v>0.91</v>
      </c>
      <c r="O34" s="11">
        <f t="shared" si="14"/>
        <v>0.91</v>
      </c>
      <c r="P34" s="11">
        <f t="shared" si="14"/>
        <v>0.91</v>
      </c>
      <c r="Q34" s="11">
        <f t="shared" si="14"/>
        <v>0.91</v>
      </c>
      <c r="R34" s="11">
        <f t="shared" si="14"/>
        <v>0.91</v>
      </c>
      <c r="S34" s="11">
        <f t="shared" si="14"/>
        <v>0.91</v>
      </c>
      <c r="T34" s="11">
        <f t="shared" si="14"/>
        <v>0.91</v>
      </c>
      <c r="U34" s="11">
        <f t="shared" si="14"/>
        <v>0.91</v>
      </c>
      <c r="W34" s="8" t="str">
        <f t="shared" si="4"/>
        <v>CHWELC000</v>
      </c>
      <c r="X34" s="11">
        <v>0.1</v>
      </c>
      <c r="Y34" s="11">
        <v>0.13</v>
      </c>
      <c r="Z34" s="11">
        <v>0.13</v>
      </c>
      <c r="AA34" s="11">
        <v>0.1</v>
      </c>
      <c r="AB34" s="11">
        <v>0.1</v>
      </c>
      <c r="AC34" s="11">
        <v>0.1</v>
      </c>
      <c r="AD34" s="11">
        <v>0.1</v>
      </c>
      <c r="AE34" s="11">
        <v>0.1</v>
      </c>
      <c r="AF34" s="11">
        <v>0.1</v>
      </c>
      <c r="AG34" s="11">
        <v>0.1</v>
      </c>
      <c r="AH34" s="11">
        <v>0.1</v>
      </c>
      <c r="AI34" s="11">
        <v>0.1</v>
      </c>
      <c r="AJ34" s="11">
        <v>0.1</v>
      </c>
      <c r="AK34" s="11">
        <v>0.25</v>
      </c>
      <c r="AL34" s="11">
        <v>0.1</v>
      </c>
      <c r="AN34" s="8" t="str">
        <f t="shared" si="5"/>
        <v>CHWELC000</v>
      </c>
      <c r="AO34" s="8">
        <v>3.6</v>
      </c>
      <c r="AP34" s="8" t="s">
        <v>60</v>
      </c>
      <c r="AQ34" s="8" t="s">
        <v>60</v>
      </c>
      <c r="AR34" s="8" t="s">
        <v>60</v>
      </c>
      <c r="AS34" s="8">
        <v>3.6</v>
      </c>
      <c r="AT34" s="8">
        <v>4.2</v>
      </c>
      <c r="AU34" s="8" t="s">
        <v>60</v>
      </c>
      <c r="AV34" s="8" t="s">
        <v>60</v>
      </c>
      <c r="AW34" s="8">
        <v>3.6</v>
      </c>
      <c r="AX34" s="8">
        <v>6</v>
      </c>
      <c r="AY34" s="8">
        <v>4.2</v>
      </c>
      <c r="AZ34" s="8">
        <v>4.8</v>
      </c>
      <c r="BA34" s="8">
        <v>3.6</v>
      </c>
      <c r="BB34" s="8">
        <v>4.8</v>
      </c>
      <c r="BC34" s="8" t="s">
        <v>60</v>
      </c>
      <c r="BD34" s="8" t="s">
        <v>60</v>
      </c>
    </row>
    <row r="35" spans="1:56" x14ac:dyDescent="0.45">
      <c r="A35" s="37" t="str">
        <f>'COM Assumptions'!B111</f>
        <v>CHW</v>
      </c>
      <c r="B35" s="37" t="s">
        <v>240</v>
      </c>
      <c r="D35" t="s">
        <v>240</v>
      </c>
      <c r="E35" s="8" t="str">
        <f>'COM Assumptions'!A111</f>
        <v>COMGEO</v>
      </c>
      <c r="F35" t="str">
        <f>VLOOKUP('COM Assumptions'!B111,'COM Assumptions'!$AP$81:$AQ$88,2,FALSE)</f>
        <v>CHW</v>
      </c>
      <c r="G35" s="11">
        <v>1</v>
      </c>
      <c r="H35" s="11">
        <f t="shared" ref="H35:U50" si="15">$G35</f>
        <v>1</v>
      </c>
      <c r="I35" s="11">
        <f t="shared" si="15"/>
        <v>1</v>
      </c>
      <c r="J35" s="11">
        <f t="shared" si="15"/>
        <v>1</v>
      </c>
      <c r="K35" s="11">
        <f t="shared" si="15"/>
        <v>1</v>
      </c>
      <c r="L35" s="11">
        <f t="shared" si="15"/>
        <v>1</v>
      </c>
      <c r="M35" s="11">
        <f t="shared" si="15"/>
        <v>1</v>
      </c>
      <c r="N35" s="11">
        <f t="shared" si="15"/>
        <v>1</v>
      </c>
      <c r="O35" s="11">
        <f t="shared" si="15"/>
        <v>1</v>
      </c>
      <c r="P35" s="11">
        <f t="shared" si="15"/>
        <v>1</v>
      </c>
      <c r="Q35" s="11">
        <f t="shared" si="15"/>
        <v>1</v>
      </c>
      <c r="R35" s="11">
        <f t="shared" si="15"/>
        <v>1</v>
      </c>
      <c r="S35" s="11">
        <f t="shared" si="15"/>
        <v>1</v>
      </c>
      <c r="T35" s="11">
        <f t="shared" si="15"/>
        <v>1</v>
      </c>
      <c r="U35" s="11">
        <f t="shared" si="15"/>
        <v>1</v>
      </c>
      <c r="W35" s="8" t="str">
        <f t="shared" si="4"/>
        <v>CHWGEO000</v>
      </c>
      <c r="X35" s="11">
        <v>0.25</v>
      </c>
      <c r="Y35" s="11">
        <v>0.25</v>
      </c>
      <c r="Z35" s="11">
        <v>0.25</v>
      </c>
      <c r="AA35" s="11">
        <v>0.25</v>
      </c>
      <c r="AB35" s="11">
        <v>0.25</v>
      </c>
      <c r="AC35" s="11">
        <v>0.25</v>
      </c>
      <c r="AD35" s="11">
        <v>0.25</v>
      </c>
      <c r="AE35" s="11">
        <v>0.25</v>
      </c>
      <c r="AF35" s="11">
        <v>0.25</v>
      </c>
      <c r="AG35" s="11">
        <v>0.25</v>
      </c>
      <c r="AH35" s="11">
        <v>0.25</v>
      </c>
      <c r="AI35" s="11">
        <v>0.25</v>
      </c>
      <c r="AJ35" s="11">
        <v>0.25</v>
      </c>
      <c r="AK35" s="11">
        <v>0.25</v>
      </c>
      <c r="AL35" s="11">
        <v>0.25</v>
      </c>
      <c r="AN35" s="8" t="str">
        <f t="shared" si="5"/>
        <v>CHWGEO000</v>
      </c>
      <c r="AO35" s="8">
        <v>3.6</v>
      </c>
      <c r="AP35" s="8" t="s">
        <v>60</v>
      </c>
      <c r="AQ35" s="8" t="s">
        <v>60</v>
      </c>
      <c r="AR35" s="8" t="s">
        <v>60</v>
      </c>
      <c r="AS35" s="8" t="s">
        <v>60</v>
      </c>
      <c r="AT35" s="8" t="s">
        <v>60</v>
      </c>
      <c r="AU35" s="8" t="s">
        <v>60</v>
      </c>
      <c r="AV35" s="8" t="s">
        <v>60</v>
      </c>
      <c r="AW35" s="8" t="s">
        <v>60</v>
      </c>
      <c r="AX35" s="8" t="s">
        <v>60</v>
      </c>
      <c r="AY35" s="8" t="s">
        <v>60</v>
      </c>
      <c r="AZ35" s="8" t="s">
        <v>60</v>
      </c>
      <c r="BA35" s="8" t="s">
        <v>60</v>
      </c>
      <c r="BB35" s="8" t="s">
        <v>60</v>
      </c>
      <c r="BC35" s="8" t="s">
        <v>60</v>
      </c>
      <c r="BD35" s="8" t="s">
        <v>60</v>
      </c>
    </row>
    <row r="36" spans="1:56" x14ac:dyDescent="0.45">
      <c r="A36" s="37" t="str">
        <f>'COM Assumptions'!B112</f>
        <v>CHW</v>
      </c>
      <c r="B36" s="37" t="s">
        <v>241</v>
      </c>
      <c r="D36" t="s">
        <v>241</v>
      </c>
      <c r="E36" s="8" t="str">
        <f>'COM Assumptions'!A112</f>
        <v>COMHET</v>
      </c>
      <c r="F36" t="str">
        <f>VLOOKUP('COM Assumptions'!B112,'COM Assumptions'!$AP$81:$AQ$88,2,FALSE)</f>
        <v>CHW</v>
      </c>
      <c r="G36" s="11">
        <v>1</v>
      </c>
      <c r="H36" s="11">
        <f t="shared" si="15"/>
        <v>1</v>
      </c>
      <c r="I36" s="11">
        <f t="shared" si="15"/>
        <v>1</v>
      </c>
      <c r="J36" s="11">
        <f t="shared" si="15"/>
        <v>1</v>
      </c>
      <c r="K36" s="11">
        <f t="shared" si="15"/>
        <v>1</v>
      </c>
      <c r="L36" s="11">
        <f t="shared" si="15"/>
        <v>1</v>
      </c>
      <c r="M36" s="11">
        <f t="shared" si="15"/>
        <v>1</v>
      </c>
      <c r="N36" s="11">
        <f t="shared" si="15"/>
        <v>1</v>
      </c>
      <c r="O36" s="11">
        <f t="shared" si="15"/>
        <v>1</v>
      </c>
      <c r="P36" s="11">
        <f t="shared" si="15"/>
        <v>1</v>
      </c>
      <c r="Q36" s="11">
        <f t="shared" si="15"/>
        <v>1</v>
      </c>
      <c r="R36" s="11">
        <f t="shared" si="15"/>
        <v>1</v>
      </c>
      <c r="S36" s="11">
        <f t="shared" si="15"/>
        <v>1</v>
      </c>
      <c r="T36" s="11">
        <f t="shared" si="15"/>
        <v>1</v>
      </c>
      <c r="U36" s="11">
        <f t="shared" si="15"/>
        <v>1</v>
      </c>
      <c r="W36" s="8" t="str">
        <f t="shared" si="4"/>
        <v>CHWHET000</v>
      </c>
      <c r="X36" s="11">
        <v>0.25</v>
      </c>
      <c r="Y36" s="11">
        <v>0.25</v>
      </c>
      <c r="Z36" s="11">
        <v>0.25</v>
      </c>
      <c r="AA36" s="11">
        <v>0.25</v>
      </c>
      <c r="AB36" s="11">
        <v>0.25</v>
      </c>
      <c r="AC36" s="11">
        <v>0.25</v>
      </c>
      <c r="AD36" s="11">
        <v>0.25</v>
      </c>
      <c r="AE36" s="11">
        <v>0.25</v>
      </c>
      <c r="AF36" s="11">
        <v>0.25</v>
      </c>
      <c r="AG36" s="11">
        <v>0.25</v>
      </c>
      <c r="AH36" s="11">
        <v>0.25</v>
      </c>
      <c r="AI36" s="11">
        <v>0.25</v>
      </c>
      <c r="AJ36" s="11">
        <v>0.25</v>
      </c>
      <c r="AK36" s="11">
        <v>0.25</v>
      </c>
      <c r="AL36" s="11">
        <v>0.25</v>
      </c>
      <c r="AN36" s="8" t="str">
        <f t="shared" si="5"/>
        <v>CHWHET000</v>
      </c>
      <c r="AO36" s="8">
        <v>3.6</v>
      </c>
      <c r="AP36" s="8" t="s">
        <v>60</v>
      </c>
      <c r="AQ36" s="8" t="s">
        <v>60</v>
      </c>
      <c r="AR36" s="8" t="s">
        <v>60</v>
      </c>
      <c r="AS36" s="8" t="s">
        <v>60</v>
      </c>
      <c r="AT36" s="8" t="s">
        <v>60</v>
      </c>
      <c r="AU36" s="8" t="s">
        <v>60</v>
      </c>
      <c r="AV36" s="8" t="s">
        <v>60</v>
      </c>
      <c r="AW36" s="8" t="s">
        <v>60</v>
      </c>
      <c r="AX36" s="8" t="s">
        <v>60</v>
      </c>
      <c r="AY36" s="8" t="s">
        <v>60</v>
      </c>
      <c r="AZ36" s="8" t="s">
        <v>60</v>
      </c>
      <c r="BA36" s="8" t="s">
        <v>60</v>
      </c>
      <c r="BB36" s="8" t="s">
        <v>60</v>
      </c>
      <c r="BC36" s="8" t="s">
        <v>60</v>
      </c>
      <c r="BD36" s="8" t="s">
        <v>60</v>
      </c>
    </row>
    <row r="37" spans="1:56" x14ac:dyDescent="0.45">
      <c r="A37" s="37" t="str">
        <f>'COM Assumptions'!B113</f>
        <v>CHW</v>
      </c>
      <c r="B37" s="37" t="s">
        <v>242</v>
      </c>
      <c r="D37" t="s">
        <v>242</v>
      </c>
      <c r="E37" s="8" t="str">
        <f>'COM Assumptions'!A113</f>
        <v>COMKER</v>
      </c>
      <c r="F37" t="str">
        <f>VLOOKUP('COM Assumptions'!B113,'COM Assumptions'!$AP$81:$AQ$88,2,FALSE)</f>
        <v>CHW</v>
      </c>
      <c r="G37" s="11">
        <v>0.65</v>
      </c>
      <c r="H37" s="11">
        <f t="shared" si="15"/>
        <v>0.65</v>
      </c>
      <c r="I37" s="11">
        <f t="shared" si="15"/>
        <v>0.65</v>
      </c>
      <c r="J37" s="11">
        <f t="shared" si="15"/>
        <v>0.65</v>
      </c>
      <c r="K37" s="11">
        <f t="shared" si="15"/>
        <v>0.65</v>
      </c>
      <c r="L37" s="11">
        <f t="shared" si="15"/>
        <v>0.65</v>
      </c>
      <c r="M37" s="11">
        <f t="shared" si="15"/>
        <v>0.65</v>
      </c>
      <c r="N37" s="11">
        <f t="shared" si="15"/>
        <v>0.65</v>
      </c>
      <c r="O37" s="11">
        <f t="shared" si="15"/>
        <v>0.65</v>
      </c>
      <c r="P37" s="11">
        <f t="shared" si="15"/>
        <v>0.65</v>
      </c>
      <c r="Q37" s="11">
        <f t="shared" si="15"/>
        <v>0.65</v>
      </c>
      <c r="R37" s="11">
        <f t="shared" si="15"/>
        <v>0.65</v>
      </c>
      <c r="S37" s="11">
        <f t="shared" si="15"/>
        <v>0.65</v>
      </c>
      <c r="T37" s="11">
        <f t="shared" si="15"/>
        <v>0.65</v>
      </c>
      <c r="U37" s="11">
        <f t="shared" si="15"/>
        <v>0.65</v>
      </c>
      <c r="W37" s="8" t="str">
        <f t="shared" si="4"/>
        <v>CHWHFO000</v>
      </c>
      <c r="X37" s="11">
        <v>0.1</v>
      </c>
      <c r="Y37" s="11">
        <v>0.13</v>
      </c>
      <c r="Z37" s="11">
        <v>0.13</v>
      </c>
      <c r="AA37" s="11">
        <v>0.1</v>
      </c>
      <c r="AB37" s="11">
        <v>0.1</v>
      </c>
      <c r="AC37" s="11">
        <v>0.1</v>
      </c>
      <c r="AD37" s="11">
        <v>0.1</v>
      </c>
      <c r="AE37" s="11">
        <v>0.1</v>
      </c>
      <c r="AF37" s="11">
        <v>0.1</v>
      </c>
      <c r="AG37" s="11">
        <v>0.1</v>
      </c>
      <c r="AH37" s="11">
        <v>0.1</v>
      </c>
      <c r="AI37" s="11">
        <v>0.1</v>
      </c>
      <c r="AJ37" s="11">
        <v>0.1</v>
      </c>
      <c r="AK37" s="11">
        <v>0.25</v>
      </c>
      <c r="AL37" s="11">
        <v>0.1</v>
      </c>
      <c r="AN37" s="8" t="str">
        <f t="shared" si="5"/>
        <v>CHWHFO000</v>
      </c>
      <c r="AO37" s="8">
        <v>0.6</v>
      </c>
      <c r="AP37" s="8" t="s">
        <v>60</v>
      </c>
      <c r="AQ37" s="8" t="s">
        <v>60</v>
      </c>
      <c r="AR37" s="8" t="s">
        <v>60</v>
      </c>
      <c r="AS37" s="8">
        <v>0.6</v>
      </c>
      <c r="AT37" s="8">
        <v>1.4</v>
      </c>
      <c r="AU37" s="8" t="s">
        <v>60</v>
      </c>
      <c r="AV37" s="8" t="s">
        <v>60</v>
      </c>
      <c r="AW37" s="8">
        <v>1.2</v>
      </c>
      <c r="AX37" s="8">
        <v>2</v>
      </c>
      <c r="AY37" s="8">
        <v>1.4</v>
      </c>
      <c r="AZ37" s="8">
        <v>1.6</v>
      </c>
      <c r="BA37" s="8">
        <v>1.2</v>
      </c>
      <c r="BB37" s="8">
        <v>1.6</v>
      </c>
      <c r="BC37" s="8" t="s">
        <v>60</v>
      </c>
      <c r="BD37" s="8" t="s">
        <v>60</v>
      </c>
    </row>
    <row r="38" spans="1:56" x14ac:dyDescent="0.45">
      <c r="A38" s="37" t="str">
        <f>'COM Assumptions'!B113</f>
        <v>CHW</v>
      </c>
      <c r="B38" s="37" t="s">
        <v>243</v>
      </c>
      <c r="D38" t="s">
        <v>243</v>
      </c>
      <c r="E38" s="8" t="str">
        <f>'COM Assumptions'!A113</f>
        <v>COMKER</v>
      </c>
      <c r="F38" t="str">
        <f>VLOOKUP('COM Assumptions'!B113,'COM Assumptions'!$AP$81:$AQ$88,2,FALSE)</f>
        <v>CHW</v>
      </c>
      <c r="G38" s="11">
        <v>0.6</v>
      </c>
      <c r="H38" s="11">
        <f t="shared" si="15"/>
        <v>0.6</v>
      </c>
      <c r="I38" s="11">
        <f t="shared" si="15"/>
        <v>0.6</v>
      </c>
      <c r="J38" s="11">
        <f t="shared" si="15"/>
        <v>0.6</v>
      </c>
      <c r="K38" s="11">
        <f t="shared" si="15"/>
        <v>0.6</v>
      </c>
      <c r="L38" s="11">
        <f t="shared" si="15"/>
        <v>0.6</v>
      </c>
      <c r="M38" s="11">
        <f t="shared" si="15"/>
        <v>0.6</v>
      </c>
      <c r="N38" s="11">
        <f t="shared" si="15"/>
        <v>0.6</v>
      </c>
      <c r="O38" s="11">
        <f t="shared" si="15"/>
        <v>0.6</v>
      </c>
      <c r="P38" s="11">
        <f t="shared" si="15"/>
        <v>0.6</v>
      </c>
      <c r="Q38" s="11">
        <f t="shared" si="15"/>
        <v>0.6</v>
      </c>
      <c r="R38" s="11">
        <f t="shared" si="15"/>
        <v>0.6</v>
      </c>
      <c r="S38" s="11">
        <f t="shared" si="15"/>
        <v>0.6</v>
      </c>
      <c r="T38" s="11">
        <f t="shared" si="15"/>
        <v>0.6</v>
      </c>
      <c r="U38" s="11">
        <f t="shared" si="15"/>
        <v>0.6</v>
      </c>
      <c r="W38" s="8" t="str">
        <f t="shared" si="4"/>
        <v>CHWKER000</v>
      </c>
      <c r="X38" s="11">
        <v>0.1</v>
      </c>
      <c r="Y38" s="11">
        <v>0.13</v>
      </c>
      <c r="Z38" s="11">
        <v>0.13</v>
      </c>
      <c r="AA38" s="11">
        <v>0.1</v>
      </c>
      <c r="AB38" s="11">
        <v>0.1</v>
      </c>
      <c r="AC38" s="11">
        <v>0.1</v>
      </c>
      <c r="AD38" s="11">
        <v>0.1</v>
      </c>
      <c r="AE38" s="11">
        <v>0.1</v>
      </c>
      <c r="AF38" s="11">
        <v>0.1</v>
      </c>
      <c r="AG38" s="11">
        <v>0.1</v>
      </c>
      <c r="AH38" s="11">
        <v>0.1</v>
      </c>
      <c r="AI38" s="11">
        <v>0.1</v>
      </c>
      <c r="AJ38" s="11">
        <v>0.1</v>
      </c>
      <c r="AK38" s="11">
        <v>0.25</v>
      </c>
      <c r="AL38" s="11">
        <v>0.1</v>
      </c>
      <c r="AN38" s="8" t="str">
        <f t="shared" si="5"/>
        <v>CHWKER000</v>
      </c>
      <c r="AO38" s="8">
        <v>0.6</v>
      </c>
      <c r="AP38" s="8" t="s">
        <v>60</v>
      </c>
      <c r="AQ38" s="8" t="s">
        <v>60</v>
      </c>
      <c r="AR38" s="8" t="s">
        <v>60</v>
      </c>
      <c r="AS38" s="8">
        <v>0.6</v>
      </c>
      <c r="AT38" s="8">
        <v>2.8</v>
      </c>
      <c r="AU38" s="8" t="s">
        <v>60</v>
      </c>
      <c r="AV38" s="8" t="s">
        <v>60</v>
      </c>
      <c r="AW38" s="8">
        <v>2.4</v>
      </c>
      <c r="AX38" s="8">
        <v>4</v>
      </c>
      <c r="AY38" s="8">
        <v>2.8</v>
      </c>
      <c r="AZ38" s="8">
        <v>3.2</v>
      </c>
      <c r="BA38" s="8">
        <v>2.4</v>
      </c>
      <c r="BB38" s="8">
        <v>3.2</v>
      </c>
      <c r="BC38" s="8" t="s">
        <v>60</v>
      </c>
      <c r="BD38" s="8" t="s">
        <v>60</v>
      </c>
    </row>
    <row r="39" spans="1:56" x14ac:dyDescent="0.45">
      <c r="A39" s="37" t="str">
        <f>'COM Assumptions'!B114</f>
        <v>CHW</v>
      </c>
      <c r="B39" s="37" t="s">
        <v>244</v>
      </c>
      <c r="D39" t="s">
        <v>244</v>
      </c>
      <c r="E39" s="8" t="str">
        <f>'COM Assumptions'!A114</f>
        <v>COMLPG</v>
      </c>
      <c r="F39" t="str">
        <f>VLOOKUP('COM Assumptions'!B114,'COM Assumptions'!$AP$81:$AQ$88,2,FALSE)</f>
        <v>CHW</v>
      </c>
      <c r="G39" s="11">
        <v>0.6</v>
      </c>
      <c r="H39" s="11">
        <f t="shared" si="15"/>
        <v>0.6</v>
      </c>
      <c r="I39" s="11">
        <f t="shared" si="15"/>
        <v>0.6</v>
      </c>
      <c r="J39" s="11">
        <f t="shared" si="15"/>
        <v>0.6</v>
      </c>
      <c r="K39" s="11">
        <f t="shared" si="15"/>
        <v>0.6</v>
      </c>
      <c r="L39" s="11">
        <f t="shared" si="15"/>
        <v>0.6</v>
      </c>
      <c r="M39" s="11">
        <f t="shared" si="15"/>
        <v>0.6</v>
      </c>
      <c r="N39" s="11">
        <f t="shared" si="15"/>
        <v>0.6</v>
      </c>
      <c r="O39" s="11">
        <f t="shared" si="15"/>
        <v>0.6</v>
      </c>
      <c r="P39" s="11">
        <f t="shared" si="15"/>
        <v>0.6</v>
      </c>
      <c r="Q39" s="11">
        <f t="shared" si="15"/>
        <v>0.6</v>
      </c>
      <c r="R39" s="11">
        <f t="shared" si="15"/>
        <v>0.6</v>
      </c>
      <c r="S39" s="11">
        <f t="shared" si="15"/>
        <v>0.6</v>
      </c>
      <c r="T39" s="11">
        <f t="shared" si="15"/>
        <v>0.6</v>
      </c>
      <c r="U39" s="11">
        <f t="shared" si="15"/>
        <v>0.6</v>
      </c>
      <c r="W39" s="8" t="str">
        <f t="shared" si="4"/>
        <v>CHWLPG000</v>
      </c>
      <c r="X39" s="11">
        <v>0.1</v>
      </c>
      <c r="Y39" s="11">
        <v>0.13</v>
      </c>
      <c r="Z39" s="11">
        <v>0.13</v>
      </c>
      <c r="AA39" s="11">
        <v>0.1</v>
      </c>
      <c r="AB39" s="11">
        <v>0.1</v>
      </c>
      <c r="AC39" s="11">
        <v>0.1</v>
      </c>
      <c r="AD39" s="11">
        <v>0.1</v>
      </c>
      <c r="AE39" s="11">
        <v>0.1</v>
      </c>
      <c r="AF39" s="11">
        <v>0.1</v>
      </c>
      <c r="AG39" s="11">
        <v>0.1</v>
      </c>
      <c r="AH39" s="11">
        <v>0.1</v>
      </c>
      <c r="AI39" s="11">
        <v>0.1</v>
      </c>
      <c r="AJ39" s="11">
        <v>0.1</v>
      </c>
      <c r="AK39" s="11">
        <v>0.25</v>
      </c>
      <c r="AL39" s="11">
        <v>0.1</v>
      </c>
      <c r="AN39" s="8" t="str">
        <f t="shared" si="5"/>
        <v>CHWLPG000</v>
      </c>
      <c r="AO39" s="8">
        <v>1.2</v>
      </c>
      <c r="AP39" s="8" t="s">
        <v>60</v>
      </c>
      <c r="AQ39" s="8" t="s">
        <v>60</v>
      </c>
      <c r="AR39" s="8" t="s">
        <v>60</v>
      </c>
      <c r="AS39" s="8">
        <v>1.2</v>
      </c>
      <c r="AT39" s="8">
        <v>6.3</v>
      </c>
      <c r="AU39" s="8" t="s">
        <v>60</v>
      </c>
      <c r="AV39" s="8" t="s">
        <v>60</v>
      </c>
      <c r="AW39" s="8">
        <v>5.4</v>
      </c>
      <c r="AX39" s="8">
        <v>9</v>
      </c>
      <c r="AY39" s="8">
        <v>6.3</v>
      </c>
      <c r="AZ39" s="8">
        <v>7.2</v>
      </c>
      <c r="BA39" s="8">
        <v>5.4</v>
      </c>
      <c r="BB39" s="8">
        <v>7.2</v>
      </c>
      <c r="BC39" s="8" t="s">
        <v>60</v>
      </c>
      <c r="BD39" s="8" t="s">
        <v>60</v>
      </c>
    </row>
    <row r="40" spans="1:56" x14ac:dyDescent="0.45">
      <c r="A40" s="37" t="str">
        <f>'COM Assumptions'!B115</f>
        <v>CHW</v>
      </c>
      <c r="B40" s="37" t="s">
        <v>245</v>
      </c>
      <c r="D40" t="s">
        <v>245</v>
      </c>
      <c r="E40" s="8" t="str">
        <f>'COM Assumptions'!A115</f>
        <v>COMNGA</v>
      </c>
      <c r="F40" t="str">
        <f>VLOOKUP('COM Assumptions'!B115,'COM Assumptions'!$AP$81:$AQ$88,2,FALSE)</f>
        <v>CHW</v>
      </c>
      <c r="G40" s="11">
        <v>0.65</v>
      </c>
      <c r="H40" s="11">
        <f t="shared" si="15"/>
        <v>0.65</v>
      </c>
      <c r="I40" s="11">
        <f t="shared" si="15"/>
        <v>0.65</v>
      </c>
      <c r="J40" s="11">
        <f t="shared" si="15"/>
        <v>0.65</v>
      </c>
      <c r="K40" s="11">
        <f t="shared" si="15"/>
        <v>0.65</v>
      </c>
      <c r="L40" s="11">
        <f t="shared" si="15"/>
        <v>0.65</v>
      </c>
      <c r="M40" s="11">
        <f t="shared" si="15"/>
        <v>0.65</v>
      </c>
      <c r="N40" s="11">
        <f t="shared" si="15"/>
        <v>0.65</v>
      </c>
      <c r="O40" s="11">
        <f t="shared" si="15"/>
        <v>0.65</v>
      </c>
      <c r="P40" s="11">
        <f t="shared" si="15"/>
        <v>0.65</v>
      </c>
      <c r="Q40" s="11">
        <f t="shared" si="15"/>
        <v>0.65</v>
      </c>
      <c r="R40" s="11">
        <f t="shared" si="15"/>
        <v>0.65</v>
      </c>
      <c r="S40" s="11">
        <f t="shared" si="15"/>
        <v>0.65</v>
      </c>
      <c r="T40" s="11">
        <f t="shared" si="15"/>
        <v>0.65</v>
      </c>
      <c r="U40" s="11">
        <f t="shared" si="15"/>
        <v>0.65</v>
      </c>
      <c r="W40" s="8" t="str">
        <f t="shared" si="4"/>
        <v>CHWNGA000</v>
      </c>
      <c r="X40" s="11">
        <v>0.1</v>
      </c>
      <c r="Y40" s="11">
        <v>0.13</v>
      </c>
      <c r="Z40" s="11">
        <v>0.13</v>
      </c>
      <c r="AA40" s="11">
        <v>0.1</v>
      </c>
      <c r="AB40" s="11">
        <v>0.1</v>
      </c>
      <c r="AC40" s="11">
        <v>0.1</v>
      </c>
      <c r="AD40" s="11">
        <v>0.1</v>
      </c>
      <c r="AE40" s="11">
        <v>0.1</v>
      </c>
      <c r="AF40" s="11">
        <v>0.1</v>
      </c>
      <c r="AG40" s="11">
        <v>0.1</v>
      </c>
      <c r="AH40" s="11">
        <v>0.1</v>
      </c>
      <c r="AI40" s="11">
        <v>0.1</v>
      </c>
      <c r="AJ40" s="11">
        <v>0.1</v>
      </c>
      <c r="AK40" s="11">
        <v>0.25</v>
      </c>
      <c r="AL40" s="11">
        <v>0.1</v>
      </c>
      <c r="AN40" s="8" t="str">
        <f t="shared" si="5"/>
        <v>CHWNGA000</v>
      </c>
      <c r="AO40" s="8">
        <v>1.8</v>
      </c>
      <c r="AP40" s="8" t="s">
        <v>60</v>
      </c>
      <c r="AQ40" s="8" t="s">
        <v>60</v>
      </c>
      <c r="AR40" s="8" t="s">
        <v>60</v>
      </c>
      <c r="AS40" s="8">
        <v>1.8</v>
      </c>
      <c r="AT40" s="8">
        <v>2.1</v>
      </c>
      <c r="AU40" s="8" t="s">
        <v>60</v>
      </c>
      <c r="AV40" s="8" t="s">
        <v>60</v>
      </c>
      <c r="AW40" s="8">
        <v>1.8</v>
      </c>
      <c r="AX40" s="8">
        <v>3</v>
      </c>
      <c r="AY40" s="8">
        <v>2.1</v>
      </c>
      <c r="AZ40" s="8">
        <v>2.4</v>
      </c>
      <c r="BA40" s="8">
        <v>1.8</v>
      </c>
      <c r="BB40" s="8">
        <v>2.4</v>
      </c>
      <c r="BC40" s="8" t="s">
        <v>60</v>
      </c>
      <c r="BD40" s="8" t="s">
        <v>60</v>
      </c>
    </row>
    <row r="41" spans="1:56" x14ac:dyDescent="0.45">
      <c r="A41" s="37" t="str">
        <f>'COM Assumptions'!B116</f>
        <v>CHW</v>
      </c>
      <c r="B41" s="37" t="s">
        <v>377</v>
      </c>
      <c r="D41" t="s">
        <v>377</v>
      </c>
      <c r="E41" s="8" t="str">
        <f>'COM Assumptions'!A116</f>
        <v>COMSTH</v>
      </c>
      <c r="F41" t="str">
        <f>VLOOKUP('COM Assumptions'!B116,'COM Assumptions'!$AP$81:$AQ$88,2,FALSE)</f>
        <v>CHW</v>
      </c>
      <c r="G41" s="11">
        <v>1</v>
      </c>
      <c r="H41" s="11">
        <f t="shared" si="15"/>
        <v>1</v>
      </c>
      <c r="I41" s="11">
        <f t="shared" si="15"/>
        <v>1</v>
      </c>
      <c r="J41" s="11">
        <f t="shared" si="15"/>
        <v>1</v>
      </c>
      <c r="K41" s="11">
        <f t="shared" si="15"/>
        <v>1</v>
      </c>
      <c r="L41" s="11">
        <f t="shared" si="15"/>
        <v>1</v>
      </c>
      <c r="M41" s="11">
        <f t="shared" si="15"/>
        <v>1</v>
      </c>
      <c r="N41" s="11">
        <f t="shared" si="15"/>
        <v>1</v>
      </c>
      <c r="O41" s="11">
        <f t="shared" si="15"/>
        <v>1</v>
      </c>
      <c r="P41" s="11">
        <f t="shared" si="15"/>
        <v>1</v>
      </c>
      <c r="Q41" s="11">
        <f t="shared" si="15"/>
        <v>1</v>
      </c>
      <c r="R41" s="11">
        <f t="shared" si="15"/>
        <v>1</v>
      </c>
      <c r="S41" s="11">
        <f t="shared" si="15"/>
        <v>1</v>
      </c>
      <c r="T41" s="11">
        <f t="shared" si="15"/>
        <v>1</v>
      </c>
      <c r="U41" s="11">
        <f t="shared" si="15"/>
        <v>1</v>
      </c>
      <c r="W41" s="8" t="str">
        <f t="shared" si="4"/>
        <v>CHWSTH000</v>
      </c>
      <c r="X41" s="11">
        <v>0.1</v>
      </c>
      <c r="Y41" s="11">
        <v>0.13</v>
      </c>
      <c r="Z41" s="11">
        <v>0.13</v>
      </c>
      <c r="AA41" s="11">
        <v>0.1</v>
      </c>
      <c r="AB41" s="11">
        <v>0.1</v>
      </c>
      <c r="AC41" s="11">
        <v>0.1</v>
      </c>
      <c r="AD41" s="11">
        <v>0.1</v>
      </c>
      <c r="AE41" s="11">
        <v>0.1</v>
      </c>
      <c r="AF41" s="11">
        <v>0.1</v>
      </c>
      <c r="AG41" s="11">
        <v>0.1</v>
      </c>
      <c r="AH41" s="11">
        <v>0.1</v>
      </c>
      <c r="AI41" s="11">
        <v>0.1</v>
      </c>
      <c r="AJ41" s="11">
        <v>0.1</v>
      </c>
      <c r="AK41" s="11">
        <v>0.25</v>
      </c>
      <c r="AL41" s="11">
        <v>0.1</v>
      </c>
      <c r="AN41" s="8" t="str">
        <f t="shared" si="5"/>
        <v>CHWSTH000</v>
      </c>
      <c r="AO41" s="8">
        <v>5.4</v>
      </c>
      <c r="AP41" s="8" t="s">
        <v>60</v>
      </c>
      <c r="AQ41" s="8" t="s">
        <v>60</v>
      </c>
      <c r="AR41" s="8" t="s">
        <v>60</v>
      </c>
      <c r="AS41" s="8">
        <v>5.4</v>
      </c>
      <c r="AT41" s="8">
        <v>6.3</v>
      </c>
      <c r="AU41" s="8" t="s">
        <v>60</v>
      </c>
      <c r="AV41" s="8" t="s">
        <v>60</v>
      </c>
      <c r="AW41" s="8">
        <v>5.4</v>
      </c>
      <c r="AX41" s="8">
        <v>9</v>
      </c>
      <c r="AY41" s="8">
        <v>6.3</v>
      </c>
      <c r="AZ41" s="8">
        <v>7.2</v>
      </c>
      <c r="BA41" s="8">
        <v>5.4</v>
      </c>
      <c r="BB41" s="8">
        <v>7.2</v>
      </c>
      <c r="BC41" s="8" t="s">
        <v>60</v>
      </c>
      <c r="BD41" s="8" t="s">
        <v>60</v>
      </c>
    </row>
    <row r="42" spans="1:56" x14ac:dyDescent="0.45">
      <c r="A42" s="37" t="str">
        <f>'COM Assumptions'!B117</f>
        <v>CLA</v>
      </c>
      <c r="B42" s="37" t="s">
        <v>216</v>
      </c>
      <c r="D42" t="s">
        <v>216</v>
      </c>
      <c r="E42" s="8" t="str">
        <f>'COM Assumptions'!A117</f>
        <v>COMELC</v>
      </c>
      <c r="F42" t="str">
        <f>VLOOKUP('COM Assumptions'!B117,'COM Assumptions'!$AP$81:$AQ$88,2,FALSE)</f>
        <v>CLA</v>
      </c>
      <c r="G42" s="11">
        <f>4*0.3</f>
        <v>1.2</v>
      </c>
      <c r="H42" s="11">
        <f t="shared" si="15"/>
        <v>1.2</v>
      </c>
      <c r="I42" s="11">
        <f t="shared" si="15"/>
        <v>1.2</v>
      </c>
      <c r="J42" s="11">
        <f t="shared" si="15"/>
        <v>1.2</v>
      </c>
      <c r="K42" s="11">
        <f t="shared" si="15"/>
        <v>1.2</v>
      </c>
      <c r="L42" s="11">
        <f t="shared" si="15"/>
        <v>1.2</v>
      </c>
      <c r="M42" s="11">
        <f t="shared" si="15"/>
        <v>1.2</v>
      </c>
      <c r="N42" s="11">
        <f t="shared" si="15"/>
        <v>1.2</v>
      </c>
      <c r="O42" s="11">
        <f t="shared" si="15"/>
        <v>1.2</v>
      </c>
      <c r="P42" s="11">
        <f t="shared" si="15"/>
        <v>1.2</v>
      </c>
      <c r="Q42" s="11">
        <f t="shared" si="15"/>
        <v>1.2</v>
      </c>
      <c r="R42" s="11">
        <f t="shared" si="15"/>
        <v>1.2</v>
      </c>
      <c r="S42" s="11">
        <f t="shared" si="15"/>
        <v>1.2</v>
      </c>
      <c r="T42" s="11">
        <f t="shared" si="15"/>
        <v>1.2</v>
      </c>
      <c r="U42" s="11">
        <f t="shared" si="15"/>
        <v>1.2</v>
      </c>
      <c r="W42" s="8" t="str">
        <f t="shared" si="4"/>
        <v>CLACFL000</v>
      </c>
      <c r="X42" s="11">
        <v>1</v>
      </c>
      <c r="Y42" s="11">
        <v>1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11">
        <v>1</v>
      </c>
      <c r="AG42" s="11">
        <v>1</v>
      </c>
      <c r="AH42" s="11">
        <v>1</v>
      </c>
      <c r="AI42" s="11">
        <v>1</v>
      </c>
      <c r="AJ42" s="11">
        <v>1</v>
      </c>
      <c r="AK42" s="11">
        <v>1</v>
      </c>
      <c r="AL42" s="11">
        <v>1</v>
      </c>
      <c r="AN42" s="8" t="str">
        <f t="shared" si="5"/>
        <v>CLACFL000</v>
      </c>
      <c r="AO42" s="8">
        <v>4.2</v>
      </c>
      <c r="AP42" s="8" t="s">
        <v>60</v>
      </c>
      <c r="AQ42" s="8" t="s">
        <v>60</v>
      </c>
      <c r="AR42" s="8" t="s">
        <v>60</v>
      </c>
      <c r="AS42" s="8">
        <v>4.2</v>
      </c>
      <c r="AT42" s="8" t="s">
        <v>60</v>
      </c>
      <c r="AU42" s="8" t="s">
        <v>60</v>
      </c>
      <c r="AV42" s="8" t="s">
        <v>60</v>
      </c>
      <c r="AW42" s="8">
        <v>4.2</v>
      </c>
      <c r="AX42" s="8">
        <v>7</v>
      </c>
      <c r="AY42" s="8">
        <v>4.9000000000000004</v>
      </c>
      <c r="AZ42" s="8">
        <v>5.6</v>
      </c>
      <c r="BA42" s="8">
        <v>4.2</v>
      </c>
      <c r="BB42" s="8">
        <v>5.6</v>
      </c>
      <c r="BC42" s="8" t="s">
        <v>60</v>
      </c>
      <c r="BD42" s="8" t="s">
        <v>60</v>
      </c>
    </row>
    <row r="43" spans="1:56" x14ac:dyDescent="0.45">
      <c r="A43" s="37" t="str">
        <f>'COM Assumptions'!B118</f>
        <v>CLA</v>
      </c>
      <c r="B43" s="37" t="s">
        <v>214</v>
      </c>
      <c r="D43" t="s">
        <v>214</v>
      </c>
      <c r="E43" s="8" t="str">
        <f>'COM Assumptions'!A118</f>
        <v>COMELC</v>
      </c>
      <c r="F43" t="str">
        <f>VLOOKUP('COM Assumptions'!B118,'COM Assumptions'!$AP$81:$AQ$88,2,FALSE)</f>
        <v>CLA</v>
      </c>
      <c r="G43" s="11">
        <v>1.8</v>
      </c>
      <c r="H43" s="11">
        <f t="shared" si="15"/>
        <v>1.8</v>
      </c>
      <c r="I43" s="11">
        <f t="shared" si="15"/>
        <v>1.8</v>
      </c>
      <c r="J43" s="11">
        <f t="shared" si="15"/>
        <v>1.8</v>
      </c>
      <c r="K43" s="11">
        <f t="shared" si="15"/>
        <v>1.8</v>
      </c>
      <c r="L43" s="11">
        <f t="shared" si="15"/>
        <v>1.8</v>
      </c>
      <c r="M43" s="11">
        <f t="shared" si="15"/>
        <v>1.8</v>
      </c>
      <c r="N43" s="11">
        <f t="shared" si="15"/>
        <v>1.8</v>
      </c>
      <c r="O43" s="11">
        <f t="shared" si="15"/>
        <v>1.8</v>
      </c>
      <c r="P43" s="11">
        <f t="shared" si="15"/>
        <v>1.8</v>
      </c>
      <c r="Q43" s="11">
        <f t="shared" si="15"/>
        <v>1.8</v>
      </c>
      <c r="R43" s="11">
        <f t="shared" si="15"/>
        <v>1.8</v>
      </c>
      <c r="S43" s="11">
        <f t="shared" si="15"/>
        <v>1.8</v>
      </c>
      <c r="T43" s="11">
        <f t="shared" si="15"/>
        <v>1.8</v>
      </c>
      <c r="U43" s="11">
        <f t="shared" si="15"/>
        <v>1.8</v>
      </c>
      <c r="W43" s="8" t="str">
        <f t="shared" si="4"/>
        <v>CLAFLE000</v>
      </c>
      <c r="X43" s="11">
        <v>1</v>
      </c>
      <c r="Y43" s="11">
        <v>1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11">
        <v>1</v>
      </c>
      <c r="AG43" s="11">
        <v>1</v>
      </c>
      <c r="AH43" s="11">
        <v>1</v>
      </c>
      <c r="AI43" s="11">
        <v>1</v>
      </c>
      <c r="AJ43" s="11">
        <v>1</v>
      </c>
      <c r="AK43" s="11">
        <v>1</v>
      </c>
      <c r="AL43" s="11">
        <v>1</v>
      </c>
      <c r="AN43" s="8" t="str">
        <f t="shared" si="5"/>
        <v>CLAFLE000</v>
      </c>
      <c r="AO43" s="8">
        <v>4.2</v>
      </c>
      <c r="AP43" s="8" t="s">
        <v>60</v>
      </c>
      <c r="AQ43" s="8" t="s">
        <v>60</v>
      </c>
      <c r="AR43" s="8" t="s">
        <v>60</v>
      </c>
      <c r="AS43" s="8">
        <v>4.2</v>
      </c>
      <c r="AT43" s="8" t="s">
        <v>60</v>
      </c>
      <c r="AU43" s="8" t="s">
        <v>60</v>
      </c>
      <c r="AV43" s="8" t="s">
        <v>60</v>
      </c>
      <c r="AW43" s="8">
        <v>4.2</v>
      </c>
      <c r="AX43" s="8">
        <v>7</v>
      </c>
      <c r="AY43" s="8">
        <v>4.9000000000000004</v>
      </c>
      <c r="AZ43" s="8">
        <v>5.6</v>
      </c>
      <c r="BA43" s="8">
        <v>4.2</v>
      </c>
      <c r="BB43" s="8">
        <v>4.8</v>
      </c>
      <c r="BC43" s="8" t="s">
        <v>60</v>
      </c>
      <c r="BD43" s="8" t="s">
        <v>60</v>
      </c>
    </row>
    <row r="44" spans="1:56" x14ac:dyDescent="0.45">
      <c r="A44" s="37" t="str">
        <f>'COM Assumptions'!B119</f>
        <v>CLA</v>
      </c>
      <c r="B44" s="37" t="s">
        <v>210</v>
      </c>
      <c r="D44" t="s">
        <v>210</v>
      </c>
      <c r="E44" s="8" t="str">
        <f>'COM Assumptions'!A119</f>
        <v>COMELC</v>
      </c>
      <c r="F44" t="str">
        <f>VLOOKUP('COM Assumptions'!B119,'COM Assumptions'!$AP$81:$AQ$88,2,FALSE)</f>
        <v>CLA</v>
      </c>
      <c r="G44" s="11">
        <v>1.2</v>
      </c>
      <c r="H44" s="11">
        <f t="shared" si="15"/>
        <v>1.2</v>
      </c>
      <c r="I44" s="11">
        <f t="shared" si="15"/>
        <v>1.2</v>
      </c>
      <c r="J44" s="11">
        <f t="shared" si="15"/>
        <v>1.2</v>
      </c>
      <c r="K44" s="11">
        <f t="shared" si="15"/>
        <v>1.2</v>
      </c>
      <c r="L44" s="11">
        <f t="shared" si="15"/>
        <v>1.2</v>
      </c>
      <c r="M44" s="11">
        <f t="shared" si="15"/>
        <v>1.2</v>
      </c>
      <c r="N44" s="11">
        <f t="shared" si="15"/>
        <v>1.2</v>
      </c>
      <c r="O44" s="11">
        <f t="shared" si="15"/>
        <v>1.2</v>
      </c>
      <c r="P44" s="11">
        <f t="shared" si="15"/>
        <v>1.2</v>
      </c>
      <c r="Q44" s="11">
        <f t="shared" si="15"/>
        <v>1.2</v>
      </c>
      <c r="R44" s="11">
        <f t="shared" si="15"/>
        <v>1.2</v>
      </c>
      <c r="S44" s="11">
        <f t="shared" si="15"/>
        <v>1.2</v>
      </c>
      <c r="T44" s="11">
        <f t="shared" si="15"/>
        <v>1.2</v>
      </c>
      <c r="U44" s="11">
        <f t="shared" si="15"/>
        <v>1.2</v>
      </c>
      <c r="W44" s="8" t="str">
        <f t="shared" si="4"/>
        <v>CLAHAE000</v>
      </c>
      <c r="X44" s="11">
        <v>1</v>
      </c>
      <c r="Y44" s="11">
        <v>1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11">
        <v>1</v>
      </c>
      <c r="AG44" s="11">
        <v>1</v>
      </c>
      <c r="AH44" s="11">
        <v>1</v>
      </c>
      <c r="AI44" s="11">
        <v>1</v>
      </c>
      <c r="AJ44" s="11">
        <v>1</v>
      </c>
      <c r="AK44" s="11">
        <v>1</v>
      </c>
      <c r="AL44" s="11">
        <v>1</v>
      </c>
      <c r="AN44" s="8" t="str">
        <f t="shared" si="5"/>
        <v>CLAHAE000</v>
      </c>
      <c r="AO44" s="8">
        <v>4.2</v>
      </c>
      <c r="AP44" s="8" t="s">
        <v>60</v>
      </c>
      <c r="AQ44" s="8" t="s">
        <v>60</v>
      </c>
      <c r="AR44" s="8" t="s">
        <v>60</v>
      </c>
      <c r="AS44" s="8">
        <v>4.2</v>
      </c>
      <c r="AT44" s="8" t="s">
        <v>60</v>
      </c>
      <c r="AU44" s="8" t="s">
        <v>60</v>
      </c>
      <c r="AV44" s="8" t="s">
        <v>60</v>
      </c>
      <c r="AW44" s="8">
        <v>4.2</v>
      </c>
      <c r="AX44" s="8">
        <v>7</v>
      </c>
      <c r="AY44" s="8">
        <v>4.9000000000000004</v>
      </c>
      <c r="AZ44" s="8">
        <v>5.6</v>
      </c>
      <c r="BA44" s="8">
        <v>4.2</v>
      </c>
      <c r="BB44" s="8">
        <v>5.6</v>
      </c>
      <c r="BC44" s="8" t="s">
        <v>60</v>
      </c>
      <c r="BD44" s="8" t="s">
        <v>60</v>
      </c>
    </row>
    <row r="45" spans="1:56" x14ac:dyDescent="0.45">
      <c r="A45" s="37" t="str">
        <f>'COM Assumptions'!B120</f>
        <v>CLA</v>
      </c>
      <c r="B45" s="37" t="s">
        <v>212</v>
      </c>
      <c r="D45" t="s">
        <v>212</v>
      </c>
      <c r="E45" s="8" t="str">
        <f>'COM Assumptions'!A120</f>
        <v>COMELC</v>
      </c>
      <c r="F45" t="str">
        <f>VLOOKUP('COM Assumptions'!B120,'COM Assumptions'!$AP$81:$AQ$88,2,FALSE)</f>
        <v>CLA</v>
      </c>
      <c r="G45" s="11">
        <f>0.3*7</f>
        <v>2.1</v>
      </c>
      <c r="H45" s="11">
        <f t="shared" si="15"/>
        <v>2.1</v>
      </c>
      <c r="I45" s="11">
        <f t="shared" si="15"/>
        <v>2.1</v>
      </c>
      <c r="J45" s="11">
        <f t="shared" si="15"/>
        <v>2.1</v>
      </c>
      <c r="K45" s="11">
        <f t="shared" si="15"/>
        <v>2.1</v>
      </c>
      <c r="L45" s="11">
        <f t="shared" si="15"/>
        <v>2.1</v>
      </c>
      <c r="M45" s="11">
        <f t="shared" si="15"/>
        <v>2.1</v>
      </c>
      <c r="N45" s="11">
        <f t="shared" si="15"/>
        <v>2.1</v>
      </c>
      <c r="O45" s="11">
        <f t="shared" si="15"/>
        <v>2.1</v>
      </c>
      <c r="P45" s="11">
        <f t="shared" si="15"/>
        <v>2.1</v>
      </c>
      <c r="Q45" s="11">
        <f t="shared" si="15"/>
        <v>2.1</v>
      </c>
      <c r="R45" s="11">
        <f t="shared" si="15"/>
        <v>2.1</v>
      </c>
      <c r="S45" s="11">
        <f t="shared" si="15"/>
        <v>2.1</v>
      </c>
      <c r="T45" s="11">
        <f t="shared" si="15"/>
        <v>2.1</v>
      </c>
      <c r="U45" s="11">
        <f t="shared" si="15"/>
        <v>2.1</v>
      </c>
      <c r="W45" s="8" t="str">
        <f t="shared" si="4"/>
        <v>CLAHID000</v>
      </c>
      <c r="X45" s="11">
        <v>1</v>
      </c>
      <c r="Y45" s="11">
        <v>1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11">
        <v>1</v>
      </c>
      <c r="AG45" s="11">
        <v>1</v>
      </c>
      <c r="AH45" s="11">
        <v>1</v>
      </c>
      <c r="AI45" s="11">
        <v>1</v>
      </c>
      <c r="AJ45" s="11">
        <v>1</v>
      </c>
      <c r="AK45" s="11">
        <v>1</v>
      </c>
      <c r="AL45" s="11">
        <v>1</v>
      </c>
      <c r="AN45" s="8" t="str">
        <f t="shared" si="5"/>
        <v>CLAHID000</v>
      </c>
      <c r="AO45" s="8">
        <v>4.2</v>
      </c>
      <c r="AP45" s="8" t="s">
        <v>60</v>
      </c>
      <c r="AQ45" s="8" t="s">
        <v>60</v>
      </c>
      <c r="AR45" s="8" t="s">
        <v>60</v>
      </c>
      <c r="AS45" s="8">
        <v>4.2</v>
      </c>
      <c r="AT45" s="8" t="s">
        <v>60</v>
      </c>
      <c r="AU45" s="8" t="s">
        <v>60</v>
      </c>
      <c r="AV45" s="8" t="s">
        <v>60</v>
      </c>
      <c r="AW45" s="8">
        <v>4.2</v>
      </c>
      <c r="AX45" s="8">
        <v>7</v>
      </c>
      <c r="AY45" s="8">
        <v>4.9000000000000004</v>
      </c>
      <c r="AZ45" s="8">
        <v>5.6</v>
      </c>
      <c r="BA45" s="8">
        <v>4.2</v>
      </c>
      <c r="BB45" s="8">
        <v>5.6</v>
      </c>
      <c r="BC45" s="8" t="s">
        <v>60</v>
      </c>
      <c r="BD45" s="8" t="s">
        <v>60</v>
      </c>
    </row>
    <row r="46" spans="1:56" x14ac:dyDescent="0.45">
      <c r="A46" s="37" t="str">
        <f>'COM Assumptions'!B121</f>
        <v>CLA</v>
      </c>
      <c r="B46" s="37" t="s">
        <v>208</v>
      </c>
      <c r="D46" t="s">
        <v>208</v>
      </c>
      <c r="E46" s="8" t="str">
        <f>'COM Assumptions'!A121</f>
        <v>COMELC</v>
      </c>
      <c r="F46" t="str">
        <f>VLOOKUP('COM Assumptions'!B121,'COM Assumptions'!$AP$81:$AQ$88,2,FALSE)</f>
        <v>CLA</v>
      </c>
      <c r="G46" s="11">
        <v>1</v>
      </c>
      <c r="H46" s="11">
        <f t="shared" si="15"/>
        <v>1</v>
      </c>
      <c r="I46" s="11">
        <f t="shared" si="15"/>
        <v>1</v>
      </c>
      <c r="J46" s="11">
        <f t="shared" si="15"/>
        <v>1</v>
      </c>
      <c r="K46" s="11">
        <f t="shared" si="15"/>
        <v>1</v>
      </c>
      <c r="L46" s="11">
        <f t="shared" si="15"/>
        <v>1</v>
      </c>
      <c r="M46" s="11">
        <f t="shared" si="15"/>
        <v>1</v>
      </c>
      <c r="N46" s="11">
        <f t="shared" si="15"/>
        <v>1</v>
      </c>
      <c r="O46" s="11">
        <f t="shared" si="15"/>
        <v>1</v>
      </c>
      <c r="P46" s="11">
        <f t="shared" si="15"/>
        <v>1</v>
      </c>
      <c r="Q46" s="11">
        <f t="shared" si="15"/>
        <v>1</v>
      </c>
      <c r="R46" s="11">
        <f t="shared" si="15"/>
        <v>1</v>
      </c>
      <c r="S46" s="11">
        <f t="shared" si="15"/>
        <v>1</v>
      </c>
      <c r="T46" s="11">
        <f t="shared" si="15"/>
        <v>1</v>
      </c>
      <c r="U46" s="11">
        <f t="shared" si="15"/>
        <v>1</v>
      </c>
      <c r="W46" s="8" t="str">
        <f t="shared" si="4"/>
        <v>CLAICE000</v>
      </c>
      <c r="X46" s="11">
        <v>1</v>
      </c>
      <c r="Y46" s="11">
        <v>1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11">
        <v>1</v>
      </c>
      <c r="AG46" s="11">
        <v>1</v>
      </c>
      <c r="AH46" s="11">
        <v>1</v>
      </c>
      <c r="AI46" s="11">
        <v>1</v>
      </c>
      <c r="AJ46" s="11">
        <v>1</v>
      </c>
      <c r="AK46" s="11">
        <v>1</v>
      </c>
      <c r="AL46" s="11">
        <v>1</v>
      </c>
      <c r="AN46" s="8" t="str">
        <f t="shared" si="5"/>
        <v>CLAICE000</v>
      </c>
      <c r="AO46" s="8">
        <v>4.2</v>
      </c>
      <c r="AP46" s="8" t="s">
        <v>60</v>
      </c>
      <c r="AQ46" s="8" t="s">
        <v>60</v>
      </c>
      <c r="AR46" s="8" t="s">
        <v>60</v>
      </c>
      <c r="AS46" s="8">
        <v>4.2</v>
      </c>
      <c r="AT46" s="8" t="s">
        <v>60</v>
      </c>
      <c r="AU46" s="8" t="s">
        <v>60</v>
      </c>
      <c r="AV46" s="8" t="s">
        <v>60</v>
      </c>
      <c r="AW46" s="8">
        <v>4.2</v>
      </c>
      <c r="AX46" s="8">
        <v>7</v>
      </c>
      <c r="AY46" s="8">
        <v>4.9000000000000004</v>
      </c>
      <c r="AZ46" s="8">
        <v>5.6</v>
      </c>
      <c r="BA46" s="8">
        <v>4.2</v>
      </c>
      <c r="BB46" s="8">
        <v>5.6</v>
      </c>
      <c r="BC46" s="8" t="s">
        <v>60</v>
      </c>
      <c r="BD46" s="8" t="s">
        <v>60</v>
      </c>
    </row>
    <row r="47" spans="1:56" x14ac:dyDescent="0.45">
      <c r="A47" s="37" t="str">
        <f>'COM Assumptions'!B122</f>
        <v>CLA</v>
      </c>
      <c r="B47" s="37" t="s">
        <v>246</v>
      </c>
      <c r="D47" t="s">
        <v>246</v>
      </c>
      <c r="E47" s="8" t="str">
        <f>'COM Assumptions'!A122</f>
        <v>COMKER</v>
      </c>
      <c r="F47" t="str">
        <f>VLOOKUP('COM Assumptions'!B122,'COM Assumptions'!$AP$81:$AQ$88,2,FALSE)</f>
        <v>CLA</v>
      </c>
      <c r="G47" s="11">
        <v>0.2</v>
      </c>
      <c r="H47" s="11">
        <f t="shared" si="15"/>
        <v>0.2</v>
      </c>
      <c r="I47" s="11">
        <f t="shared" si="15"/>
        <v>0.2</v>
      </c>
      <c r="J47" s="11">
        <f t="shared" si="15"/>
        <v>0.2</v>
      </c>
      <c r="K47" s="11">
        <f t="shared" si="15"/>
        <v>0.2</v>
      </c>
      <c r="L47" s="11">
        <f t="shared" si="15"/>
        <v>0.2</v>
      </c>
      <c r="M47" s="11">
        <f t="shared" si="15"/>
        <v>0.2</v>
      </c>
      <c r="N47" s="11">
        <f t="shared" si="15"/>
        <v>0.2</v>
      </c>
      <c r="O47" s="11">
        <f t="shared" si="15"/>
        <v>0.2</v>
      </c>
      <c r="P47" s="11">
        <f t="shared" si="15"/>
        <v>0.2</v>
      </c>
      <c r="Q47" s="11">
        <f t="shared" si="15"/>
        <v>0.2</v>
      </c>
      <c r="R47" s="11">
        <f t="shared" si="15"/>
        <v>0.2</v>
      </c>
      <c r="S47" s="11">
        <f t="shared" si="15"/>
        <v>0.2</v>
      </c>
      <c r="T47" s="11">
        <f t="shared" si="15"/>
        <v>0.2</v>
      </c>
      <c r="U47" s="11">
        <f t="shared" si="15"/>
        <v>0.2</v>
      </c>
      <c r="W47" s="8" t="str">
        <f t="shared" si="4"/>
        <v>CLAKER000</v>
      </c>
      <c r="X47" s="11">
        <v>1</v>
      </c>
      <c r="Y47" s="11">
        <v>1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11">
        <v>1</v>
      </c>
      <c r="AG47" s="11">
        <v>1</v>
      </c>
      <c r="AH47" s="11">
        <v>1</v>
      </c>
      <c r="AI47" s="11">
        <v>1</v>
      </c>
      <c r="AJ47" s="11">
        <v>1</v>
      </c>
      <c r="AK47" s="11">
        <v>1</v>
      </c>
      <c r="AL47" s="11">
        <v>1</v>
      </c>
      <c r="AN47" s="8" t="str">
        <f t="shared" si="5"/>
        <v>CLAKER000</v>
      </c>
      <c r="AO47" s="8">
        <v>1</v>
      </c>
      <c r="AP47" s="8" t="s">
        <v>60</v>
      </c>
      <c r="AQ47" s="8" t="s">
        <v>60</v>
      </c>
      <c r="AR47" s="8" t="s">
        <v>60</v>
      </c>
      <c r="AS47" s="8" t="s">
        <v>60</v>
      </c>
      <c r="AT47" s="8" t="s">
        <v>60</v>
      </c>
      <c r="AU47" s="8" t="s">
        <v>60</v>
      </c>
      <c r="AV47" s="8" t="s">
        <v>60</v>
      </c>
      <c r="AW47" s="8" t="s">
        <v>60</v>
      </c>
      <c r="AX47" s="8" t="s">
        <v>60</v>
      </c>
      <c r="AY47" s="8" t="s">
        <v>60</v>
      </c>
      <c r="AZ47" s="8" t="s">
        <v>60</v>
      </c>
      <c r="BA47" s="8" t="s">
        <v>60</v>
      </c>
      <c r="BB47" s="8" t="s">
        <v>60</v>
      </c>
      <c r="BC47" s="8" t="s">
        <v>60</v>
      </c>
      <c r="BD47" s="8" t="s">
        <v>60</v>
      </c>
    </row>
    <row r="48" spans="1:56" x14ac:dyDescent="0.45">
      <c r="A48" s="37" t="str">
        <f>'COM Assumptions'!B123</f>
        <v>COE</v>
      </c>
      <c r="B48" s="37" t="s">
        <v>247</v>
      </c>
      <c r="D48" t="s">
        <v>247</v>
      </c>
      <c r="E48" s="8" t="str">
        <f>'COM Assumptions'!A123</f>
        <v>COMELC</v>
      </c>
      <c r="F48" t="str">
        <f>VLOOKUP('COM Assumptions'!B123,'COM Assumptions'!$AP$81:$AQ$88,2,FALSE)</f>
        <v>COE</v>
      </c>
      <c r="G48" s="11">
        <v>1</v>
      </c>
      <c r="H48" s="11">
        <f t="shared" si="15"/>
        <v>1</v>
      </c>
      <c r="I48" s="11">
        <f t="shared" si="15"/>
        <v>1</v>
      </c>
      <c r="J48" s="11">
        <f t="shared" si="15"/>
        <v>1</v>
      </c>
      <c r="K48" s="11">
        <f t="shared" si="15"/>
        <v>1</v>
      </c>
      <c r="L48" s="11">
        <f t="shared" si="15"/>
        <v>1</v>
      </c>
      <c r="M48" s="11">
        <f t="shared" si="15"/>
        <v>1</v>
      </c>
      <c r="N48" s="11">
        <f t="shared" si="15"/>
        <v>1</v>
      </c>
      <c r="O48" s="11">
        <f t="shared" si="15"/>
        <v>1</v>
      </c>
      <c r="P48" s="11">
        <f t="shared" si="15"/>
        <v>1</v>
      </c>
      <c r="Q48" s="11">
        <f t="shared" si="15"/>
        <v>1</v>
      </c>
      <c r="R48" s="11">
        <f t="shared" si="15"/>
        <v>1</v>
      </c>
      <c r="S48" s="11">
        <f t="shared" si="15"/>
        <v>1</v>
      </c>
      <c r="T48" s="11">
        <f t="shared" si="15"/>
        <v>1</v>
      </c>
      <c r="U48" s="11">
        <f t="shared" si="15"/>
        <v>1</v>
      </c>
      <c r="W48" s="8" t="str">
        <f t="shared" si="4"/>
        <v>COEELC000</v>
      </c>
      <c r="X48" s="11">
        <v>1</v>
      </c>
      <c r="Y48" s="11">
        <v>1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11">
        <v>1</v>
      </c>
      <c r="AG48" s="11">
        <v>1</v>
      </c>
      <c r="AH48" s="11">
        <v>1</v>
      </c>
      <c r="AI48" s="11">
        <v>1</v>
      </c>
      <c r="AJ48" s="11">
        <v>1</v>
      </c>
      <c r="AK48" s="11">
        <v>1</v>
      </c>
      <c r="AL48" s="11">
        <v>1</v>
      </c>
      <c r="AN48" s="8" t="str">
        <f t="shared" si="5"/>
        <v>COEELC000</v>
      </c>
      <c r="AO48" s="8">
        <v>4.2</v>
      </c>
      <c r="AP48" s="8" t="s">
        <v>60</v>
      </c>
      <c r="AQ48" s="8" t="s">
        <v>60</v>
      </c>
      <c r="AR48" s="8" t="s">
        <v>60</v>
      </c>
      <c r="AS48" s="8">
        <v>4.2</v>
      </c>
      <c r="AT48" s="8">
        <v>4.2</v>
      </c>
      <c r="AU48" s="8" t="s">
        <v>60</v>
      </c>
      <c r="AV48" s="8" t="s">
        <v>60</v>
      </c>
      <c r="AW48" s="8">
        <v>4.2</v>
      </c>
      <c r="AX48" s="8">
        <v>7</v>
      </c>
      <c r="AY48" s="8">
        <v>4.9000000000000004</v>
      </c>
      <c r="AZ48" s="8">
        <v>5.6</v>
      </c>
      <c r="BA48" s="8">
        <v>4.2</v>
      </c>
      <c r="BB48" s="8">
        <v>5.6</v>
      </c>
      <c r="BC48" s="8" t="s">
        <v>60</v>
      </c>
      <c r="BD48" s="8" t="s">
        <v>60</v>
      </c>
    </row>
    <row r="49" spans="1:56" x14ac:dyDescent="0.45">
      <c r="A49" s="37" t="str">
        <f>'COM Assumptions'!B124</f>
        <v>COT</v>
      </c>
      <c r="B49" s="37" t="s">
        <v>248</v>
      </c>
      <c r="D49" t="s">
        <v>248</v>
      </c>
      <c r="E49" s="8" t="str">
        <f>'COM Assumptions'!A124</f>
        <v>COMOIL</v>
      </c>
      <c r="F49" t="str">
        <f>VLOOKUP('COM Assumptions'!B124,'COM Assumptions'!$AP$81:$AQ$88,2,FALSE)</f>
        <v>COT</v>
      </c>
      <c r="G49" s="11">
        <v>1</v>
      </c>
      <c r="H49" s="11">
        <f t="shared" si="15"/>
        <v>1</v>
      </c>
      <c r="I49" s="11">
        <f t="shared" si="15"/>
        <v>1</v>
      </c>
      <c r="J49" s="11">
        <f t="shared" si="15"/>
        <v>1</v>
      </c>
      <c r="K49" s="11">
        <f t="shared" si="15"/>
        <v>1</v>
      </c>
      <c r="L49" s="11">
        <f t="shared" si="15"/>
        <v>1</v>
      </c>
      <c r="M49" s="11">
        <f t="shared" si="15"/>
        <v>1</v>
      </c>
      <c r="N49" s="11">
        <f t="shared" si="15"/>
        <v>1</v>
      </c>
      <c r="O49" s="11">
        <f t="shared" si="15"/>
        <v>1</v>
      </c>
      <c r="P49" s="11">
        <f t="shared" si="15"/>
        <v>1</v>
      </c>
      <c r="Q49" s="11">
        <f t="shared" si="15"/>
        <v>1</v>
      </c>
      <c r="R49" s="11">
        <f t="shared" si="15"/>
        <v>1</v>
      </c>
      <c r="S49" s="11">
        <f t="shared" si="15"/>
        <v>1</v>
      </c>
      <c r="T49" s="11">
        <f t="shared" si="15"/>
        <v>1</v>
      </c>
      <c r="U49" s="11">
        <f t="shared" si="15"/>
        <v>1</v>
      </c>
      <c r="W49" s="8" t="str">
        <f t="shared" si="4"/>
        <v>COTDST000</v>
      </c>
      <c r="X49" s="11">
        <v>1</v>
      </c>
      <c r="Y49" s="11">
        <v>1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11">
        <v>1</v>
      </c>
      <c r="AG49" s="11">
        <v>1</v>
      </c>
      <c r="AH49" s="11">
        <v>1</v>
      </c>
      <c r="AI49" s="11">
        <v>1</v>
      </c>
      <c r="AJ49" s="11">
        <v>1</v>
      </c>
      <c r="AK49" s="11">
        <v>1</v>
      </c>
      <c r="AL49" s="11">
        <v>1</v>
      </c>
      <c r="AN49" s="8" t="str">
        <f t="shared" si="5"/>
        <v>COTDST000</v>
      </c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 t="str">
        <f>IFERROR(IF(VLOOKUP($AN49,#REF!,BD$1,FALSE)="","",VLOOKUP($AN49,#REF!,BD$1,FALSE)),"")</f>
        <v/>
      </c>
    </row>
    <row r="50" spans="1:56" x14ac:dyDescent="0.45">
      <c r="A50" s="37" t="str">
        <f>'COM Assumptions'!B125</f>
        <v>COT</v>
      </c>
      <c r="B50" s="37" t="s">
        <v>249</v>
      </c>
      <c r="D50" t="s">
        <v>249</v>
      </c>
      <c r="E50" s="8" t="str">
        <f>'COM Assumptions'!A125</f>
        <v>COMELC</v>
      </c>
      <c r="F50" t="str">
        <f>VLOOKUP('COM Assumptions'!B125,'COM Assumptions'!$AP$81:$AQ$88,2,FALSE)</f>
        <v>COT</v>
      </c>
      <c r="G50" s="11">
        <v>1</v>
      </c>
      <c r="H50" s="11">
        <f t="shared" si="15"/>
        <v>1</v>
      </c>
      <c r="I50" s="11">
        <f t="shared" si="15"/>
        <v>1</v>
      </c>
      <c r="J50" s="11">
        <f t="shared" si="15"/>
        <v>1</v>
      </c>
      <c r="K50" s="11">
        <f t="shared" si="15"/>
        <v>1</v>
      </c>
      <c r="L50" s="11">
        <f t="shared" si="15"/>
        <v>1</v>
      </c>
      <c r="M50" s="11">
        <f t="shared" si="15"/>
        <v>1</v>
      </c>
      <c r="N50" s="11">
        <f t="shared" si="15"/>
        <v>1</v>
      </c>
      <c r="O50" s="11">
        <f t="shared" si="15"/>
        <v>1</v>
      </c>
      <c r="P50" s="11">
        <f t="shared" si="15"/>
        <v>1</v>
      </c>
      <c r="Q50" s="11">
        <f t="shared" si="15"/>
        <v>1</v>
      </c>
      <c r="R50" s="11">
        <f t="shared" si="15"/>
        <v>1</v>
      </c>
      <c r="S50" s="11">
        <f t="shared" si="15"/>
        <v>1</v>
      </c>
      <c r="T50" s="11">
        <f t="shared" si="15"/>
        <v>1</v>
      </c>
      <c r="U50" s="11">
        <f t="shared" si="15"/>
        <v>1</v>
      </c>
      <c r="W50" s="8" t="str">
        <f t="shared" si="4"/>
        <v>COTELC000</v>
      </c>
      <c r="X50" s="11">
        <v>1</v>
      </c>
      <c r="Y50" s="11">
        <v>1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11">
        <v>1</v>
      </c>
      <c r="AG50" s="11">
        <v>1</v>
      </c>
      <c r="AH50" s="11">
        <v>1</v>
      </c>
      <c r="AI50" s="11">
        <v>1</v>
      </c>
      <c r="AJ50" s="11">
        <v>1</v>
      </c>
      <c r="AK50" s="11">
        <v>1</v>
      </c>
      <c r="AL50" s="11">
        <v>1</v>
      </c>
      <c r="AN50" s="8" t="str">
        <f t="shared" si="5"/>
        <v>COTELC000</v>
      </c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 t="str">
        <f>IFERROR(IF(VLOOKUP($AN50,#REF!,BD$1,FALSE)="","",VLOOKUP($AN50,#REF!,BD$1,FALSE)),"")</f>
        <v/>
      </c>
    </row>
    <row r="51" spans="1:56" x14ac:dyDescent="0.45">
      <c r="A51" s="37" t="str">
        <f>'COM Assumptions'!B126</f>
        <v>COT</v>
      </c>
      <c r="B51" s="37" t="s">
        <v>250</v>
      </c>
      <c r="D51" t="s">
        <v>250</v>
      </c>
      <c r="E51" s="8" t="str">
        <f>'COM Assumptions'!A126</f>
        <v>COMNGA</v>
      </c>
      <c r="F51" t="str">
        <f>VLOOKUP('COM Assumptions'!B126,'COM Assumptions'!$AP$81:$AQ$88,2,FALSE)</f>
        <v>COT</v>
      </c>
      <c r="G51" s="11">
        <v>1</v>
      </c>
      <c r="H51" s="11">
        <f t="shared" ref="H51:U52" si="16">$G51</f>
        <v>1</v>
      </c>
      <c r="I51" s="11">
        <f t="shared" si="16"/>
        <v>1</v>
      </c>
      <c r="J51" s="11">
        <f t="shared" si="16"/>
        <v>1</v>
      </c>
      <c r="K51" s="11">
        <f t="shared" si="16"/>
        <v>1</v>
      </c>
      <c r="L51" s="11">
        <f t="shared" si="16"/>
        <v>1</v>
      </c>
      <c r="M51" s="11">
        <f t="shared" si="16"/>
        <v>1</v>
      </c>
      <c r="N51" s="11">
        <f t="shared" si="16"/>
        <v>1</v>
      </c>
      <c r="O51" s="11">
        <f t="shared" si="16"/>
        <v>1</v>
      </c>
      <c r="P51" s="11">
        <f t="shared" si="16"/>
        <v>1</v>
      </c>
      <c r="Q51" s="11">
        <f t="shared" si="16"/>
        <v>1</v>
      </c>
      <c r="R51" s="11">
        <f t="shared" si="16"/>
        <v>1</v>
      </c>
      <c r="S51" s="11">
        <f t="shared" si="16"/>
        <v>1</v>
      </c>
      <c r="T51" s="11">
        <f t="shared" si="16"/>
        <v>1</v>
      </c>
      <c r="U51" s="11">
        <f t="shared" si="16"/>
        <v>1</v>
      </c>
      <c r="W51" s="8" t="str">
        <f t="shared" si="4"/>
        <v>COTNGA000</v>
      </c>
      <c r="X51" s="11">
        <v>1</v>
      </c>
      <c r="Y51" s="11">
        <v>1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11">
        <v>1</v>
      </c>
      <c r="AG51" s="11">
        <v>1</v>
      </c>
      <c r="AH51" s="11">
        <v>1</v>
      </c>
      <c r="AI51" s="11">
        <v>1</v>
      </c>
      <c r="AJ51" s="11">
        <v>1</v>
      </c>
      <c r="AK51" s="11">
        <v>1</v>
      </c>
      <c r="AL51" s="11">
        <v>1</v>
      </c>
      <c r="AN51" s="8" t="str">
        <f t="shared" si="5"/>
        <v>COTNGA000</v>
      </c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 t="str">
        <f>IFERROR(IF(VLOOKUP($AN51,#REF!,BD$1,FALSE)="","",VLOOKUP($AN51,#REF!,BD$1,FALSE)),"")</f>
        <v/>
      </c>
    </row>
    <row r="52" spans="1:56" x14ac:dyDescent="0.45">
      <c r="A52" s="37" t="str">
        <f>'COM Assumptions'!B127</f>
        <v>CRF</v>
      </c>
      <c r="B52" s="37" t="s">
        <v>251</v>
      </c>
      <c r="D52" t="s">
        <v>251</v>
      </c>
      <c r="E52" s="8" t="str">
        <f>'COM Assumptions'!A127</f>
        <v>COMELC</v>
      </c>
      <c r="F52" t="str">
        <f>VLOOKUP('COM Assumptions'!B127,'COM Assumptions'!$AP$81:$AQ$88,2,FALSE)</f>
        <v>CRF</v>
      </c>
      <c r="G52" s="11">
        <v>2.5</v>
      </c>
      <c r="H52" s="11">
        <f t="shared" si="16"/>
        <v>2.5</v>
      </c>
      <c r="I52" s="11">
        <f t="shared" si="16"/>
        <v>2.5</v>
      </c>
      <c r="J52" s="11">
        <f t="shared" si="16"/>
        <v>2.5</v>
      </c>
      <c r="K52" s="11">
        <f t="shared" si="16"/>
        <v>2.5</v>
      </c>
      <c r="L52" s="11">
        <f t="shared" si="16"/>
        <v>2.5</v>
      </c>
      <c r="M52" s="11">
        <f t="shared" si="16"/>
        <v>2.5</v>
      </c>
      <c r="N52" s="11">
        <f t="shared" si="16"/>
        <v>2.5</v>
      </c>
      <c r="O52" s="11">
        <f t="shared" si="16"/>
        <v>2.5</v>
      </c>
      <c r="P52" s="11">
        <f t="shared" si="16"/>
        <v>2.5</v>
      </c>
      <c r="Q52" s="11">
        <f t="shared" si="16"/>
        <v>2.5</v>
      </c>
      <c r="R52" s="11">
        <f t="shared" si="16"/>
        <v>2.5</v>
      </c>
      <c r="S52" s="11">
        <f t="shared" si="16"/>
        <v>2.5</v>
      </c>
      <c r="T52" s="11">
        <f t="shared" si="16"/>
        <v>2.5</v>
      </c>
      <c r="U52" s="11">
        <f t="shared" si="16"/>
        <v>2.5</v>
      </c>
      <c r="W52" s="8" t="str">
        <f t="shared" si="4"/>
        <v>CRFELC000</v>
      </c>
      <c r="X52" s="11">
        <v>1</v>
      </c>
      <c r="Y52" s="11">
        <v>1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11">
        <v>1</v>
      </c>
      <c r="AG52" s="11">
        <v>1</v>
      </c>
      <c r="AH52" s="11">
        <v>1</v>
      </c>
      <c r="AI52" s="11">
        <v>1</v>
      </c>
      <c r="AJ52" s="11">
        <v>1</v>
      </c>
      <c r="AK52" s="11">
        <v>1</v>
      </c>
      <c r="AL52" s="11">
        <v>1</v>
      </c>
      <c r="AN52" s="8" t="str">
        <f t="shared" si="5"/>
        <v>CRFELC000</v>
      </c>
      <c r="AO52" s="8">
        <f t="shared" ref="AO52" si="17">MIN(AP52:BD52)</f>
        <v>0</v>
      </c>
      <c r="AP52" s="8" t="str">
        <f>IFERROR(IF(VLOOKUP($AN52,#REF!,AP$1,FALSE)="","",VLOOKUP($AN52,#REF!,AP$1,FALSE)),"")</f>
        <v/>
      </c>
      <c r="AQ52" s="8" t="str">
        <f>IFERROR(IF(VLOOKUP($AN52,#REF!,AQ$1,FALSE)="","",VLOOKUP($AN52,#REF!,AQ$1,FALSE)),"")</f>
        <v/>
      </c>
      <c r="AR52" s="8" t="str">
        <f>IFERROR(IF(VLOOKUP($AN52,#REF!,AR$1,FALSE)="","",VLOOKUP($AN52,#REF!,AR$1,FALSE)),"")</f>
        <v/>
      </c>
      <c r="AS52" s="8" t="str">
        <f>IFERROR(IF(VLOOKUP($AN52,#REF!,AS$1,FALSE)="","",VLOOKUP($AN52,#REF!,AS$1,FALSE)),"")</f>
        <v/>
      </c>
      <c r="AT52" s="8" t="str">
        <f>IFERROR(IF(VLOOKUP($AN52,#REF!,AT$1,FALSE)="","",VLOOKUP($AN52,#REF!,AT$1,FALSE)),"")</f>
        <v/>
      </c>
      <c r="AU52" s="8" t="str">
        <f>IFERROR(IF(VLOOKUP($AN52,#REF!,AU$1,FALSE)="","",VLOOKUP($AN52,#REF!,AU$1,FALSE)),"")</f>
        <v/>
      </c>
      <c r="AV52" s="8" t="str">
        <f>IFERROR(IF(VLOOKUP($AN52,#REF!,AV$1,FALSE)="","",VLOOKUP($AN52,#REF!,AV$1,FALSE)),"")</f>
        <v/>
      </c>
      <c r="AW52" s="8" t="str">
        <f>IFERROR(IF(VLOOKUP($AN52,#REF!,AW$1,FALSE)="","",VLOOKUP($AN52,#REF!,AW$1,FALSE)),"")</f>
        <v/>
      </c>
      <c r="AX52" s="8" t="str">
        <f>IFERROR(IF(VLOOKUP($AN52,#REF!,AX$1,FALSE)="","",VLOOKUP($AN52,#REF!,AX$1,FALSE)),"")</f>
        <v/>
      </c>
      <c r="AY52" s="8" t="str">
        <f>IFERROR(IF(VLOOKUP($AN52,#REF!,AY$1,FALSE)="","",VLOOKUP($AN52,#REF!,AY$1,FALSE)),"")</f>
        <v/>
      </c>
      <c r="AZ52" s="8" t="str">
        <f>IFERROR(IF(VLOOKUP($AN52,#REF!,AZ$1,FALSE)="","",VLOOKUP($AN52,#REF!,AZ$1,FALSE)),"")</f>
        <v/>
      </c>
      <c r="BA52" s="8" t="str">
        <f>IFERROR(IF(VLOOKUP($AN52,#REF!,BA$1,FALSE)="","",VLOOKUP($AN52,#REF!,BA$1,FALSE)),"")</f>
        <v/>
      </c>
      <c r="BB52" s="8" t="str">
        <f>IFERROR(IF(VLOOKUP($AN52,#REF!,BB$1,FALSE)="","",VLOOKUP($AN52,#REF!,BB$1,FALSE)),"")</f>
        <v/>
      </c>
      <c r="BC52" s="8" t="str">
        <f>IFERROR(IF(VLOOKUP($AN52,#REF!,BC$1,FALSE)="","",VLOOKUP($AN52,#REF!,BC$1,FALSE)),"")</f>
        <v/>
      </c>
      <c r="BD52" s="8" t="str">
        <f>IFERROR(IF(VLOOKUP($AN52,#REF!,BD$1,FALSE)="","",VLOOKUP($AN52,#REF!,BD$1,FALSE)),"")</f>
        <v/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Agri</vt:lpstr>
      <vt:lpstr>COM balance</vt:lpstr>
      <vt:lpstr>RES balance</vt:lpstr>
      <vt:lpstr>RES Assumptions</vt:lpstr>
      <vt:lpstr>RES Assumptions T15</vt:lpstr>
      <vt:lpstr>RES Veda input</vt:lpstr>
      <vt:lpstr>RES Techs T15</vt:lpstr>
      <vt:lpstr>COM Assumptions</vt:lpstr>
      <vt:lpstr>COM Assumptions T15</vt:lpstr>
      <vt:lpstr>COM Veda input</vt:lpstr>
      <vt:lpstr>COM Techs T15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2021-06-29T05:47:23Z</dcterms:created>
  <dcterms:modified xsi:type="dcterms:W3CDTF">2025-04-30T04:09:11Z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811962366104125</vt:r8>
  </property>
  <property fmtid="{D5CDD505-2E9C-101B-9397-08002B2CF9AE}" pid="3" name="{A44787D4-0540-4523-9961-78E4036D8C6D}">
    <vt:lpwstr>{70E7D2FF-B98B-4095-B843-2963E3EE21B9}</vt:lpwstr>
  </property>
</Properties>
</file>