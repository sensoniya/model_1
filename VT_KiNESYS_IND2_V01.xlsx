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29R_Jan2025\"/>
    </mc:Choice>
  </mc:AlternateContent>
  <xr:revisionPtr revIDLastSave="0" documentId="13_ncr:1_{2754011F-96B1-42DB-A0D1-D7F20D239349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commodities" sheetId="4" r:id="rId1"/>
    <sheet name="feedstock" sheetId="23" r:id="rId2"/>
    <sheet name="IEA Balance" sheetId="46" r:id="rId3"/>
    <sheet name="Demand" sheetId="48" r:id="rId4"/>
    <sheet name="DRI" sheetId="39" r:id="rId5"/>
    <sheet name="Steel" sheetId="50" r:id="rId6"/>
    <sheet name="Existing stock" sheetId="47" r:id="rId7"/>
    <sheet name="Scrap" sheetId="49" r:id="rId8"/>
  </sheets>
  <definedNames>
    <definedName name="_xlnm._FilterDatabase" localSheetId="0" hidden="1">commodities!#REF!</definedName>
    <definedName name="_xlnm._FilterDatabase" localSheetId="6" hidden="1">'Existing stock'!$D$3:$E$76</definedName>
    <definedName name="AvgRangePercent">_xlfn.LAMBDA(_xlpm.input,_xlpm.percentage, _xlfn.LET(_xlpm.pct, IF(_xlfn.ISOMITTED(_xlpm.percentage), 50, _xlpm.percentage) / 100, _xlpm.cleanText, SUBSTITUTE(SUBSTITUTE(_xlpm.input, "$", ""), ",", ""),_xlpm.multiplier, IF(ISNUMBER(SEARCH("Mwh", _xlpm.cleanText)), 3.6, 1),_xlpm.splitText, _xlfn.TEXTSPLIT(_xlpm.cleanText, " "),_xlpm.numbers, _xlfn._xlws.FILTER(_xlpm.splitText, ISNUMBER(VALUE(_xlpm.splitText))), _xlpm.isSingleValue, COUNTA(_xlpm.numbers) = 1, _xlpm.numOne, VALUE(INDEX(_xlpm.numbers, 1)), _xlpm.numTwo, VALUE(INDEX(_xlpm.numbers, 2)), _xlpm.rangeValue, IF(_xlpm.isSingleValue, _xlpm.numOne, _xlpm.numOne + _xlpm.pct * (_xlpm.numTwo - _xlpm.numOne)), _xlpm.avgValue, _xlpm.rangeValue*_xlpm.multiplier, _xlpm.avgValue))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46" l="1"/>
  <c r="D74" i="46"/>
  <c r="D73" i="46"/>
  <c r="D72" i="46"/>
  <c r="D71" i="46"/>
  <c r="S44" i="50"/>
  <c r="X131" i="50" a="1"/>
  <c r="X131" i="50" s="1"/>
  <c r="S66" i="39" a="1"/>
  <c r="S66" i="39" s="1"/>
  <c r="Q66" i="39"/>
  <c r="Q65" i="39"/>
  <c r="Q51" i="39"/>
  <c r="Q50" i="39"/>
  <c r="Q49" i="39"/>
  <c r="Q45" i="39"/>
  <c r="Q44" i="39"/>
  <c r="Q43" i="39"/>
  <c r="Q39" i="39"/>
  <c r="Q38" i="39"/>
  <c r="Q37" i="39"/>
  <c r="Q33" i="39"/>
  <c r="Q32" i="39"/>
  <c r="Q27" i="39"/>
  <c r="Q26" i="39"/>
  <c r="S30" i="39" l="1" a="1"/>
  <c r="S30" i="39" s="1"/>
  <c r="T13" i="39" a="1"/>
  <c r="T13" i="39" s="1"/>
  <c r="Q11" i="39"/>
  <c r="Q9" i="39"/>
  <c r="S22" i="50"/>
  <c r="T141" i="50" a="1"/>
  <c r="T141" i="50" s="1"/>
  <c r="U120" i="50" s="1"/>
  <c r="R118" i="50"/>
  <c r="R117" i="50"/>
  <c r="R116" i="50"/>
  <c r="R115" i="50"/>
  <c r="R30" i="50"/>
  <c r="R29" i="50"/>
  <c r="R27" i="50"/>
  <c r="R26" i="50"/>
  <c r="Z29" i="50" a="1"/>
  <c r="Z29" i="50" s="1"/>
  <c r="Z26" i="50" a="1"/>
  <c r="Z26" i="50" s="1"/>
  <c r="Y81" i="50" a="1"/>
  <c r="Y81" i="50" s="1"/>
  <c r="U85" i="50" a="1"/>
  <c r="U85" i="50" s="1"/>
  <c r="U84" i="50" a="1"/>
  <c r="U84" i="50" s="1"/>
  <c r="U82" i="50" a="1"/>
  <c r="U82" i="50" s="1"/>
  <c r="U81" i="50" a="1"/>
  <c r="U81" i="50" s="1"/>
  <c r="S85" i="50"/>
  <c r="S84" i="50"/>
  <c r="S83" i="50"/>
  <c r="S82" i="50"/>
  <c r="U80" i="50" a="1"/>
  <c r="U80" i="50" s="1"/>
  <c r="U79" i="50" a="1"/>
  <c r="U79" i="50" s="1"/>
  <c r="U77" i="50" a="1"/>
  <c r="U77" i="50" s="1"/>
  <c r="U76" i="50" a="1"/>
  <c r="U76" i="50" s="1"/>
  <c r="U74" i="50" a="1"/>
  <c r="U74" i="50" s="1"/>
  <c r="U72" i="50" a="1"/>
  <c r="U72" i="50" s="1"/>
  <c r="U71" i="50" a="1"/>
  <c r="U71" i="50" s="1"/>
  <c r="R16" i="50"/>
  <c r="R15" i="50"/>
  <c r="R14" i="50"/>
  <c r="R12" i="50"/>
  <c r="R11" i="50"/>
  <c r="R10" i="50"/>
  <c r="V22" i="50" a="1"/>
  <c r="V22" i="50" s="1"/>
  <c r="R71" i="50"/>
  <c r="Y71" i="50" a="1"/>
  <c r="Y71" i="50" s="1"/>
  <c r="Z71" i="50" a="1"/>
  <c r="Z71" i="50" s="1"/>
  <c r="W72" i="50" a="1"/>
  <c r="W72" i="50" s="1"/>
  <c r="U73" i="50" a="1"/>
  <c r="U73" i="50" s="1"/>
  <c r="U75" i="50" a="1"/>
  <c r="U75" i="50" s="1"/>
  <c r="S76" i="50"/>
  <c r="Y76" i="50" a="1"/>
  <c r="Y76" i="50" s="1"/>
  <c r="Z76" i="50" a="1"/>
  <c r="Z76" i="50" s="1"/>
  <c r="S77" i="50"/>
  <c r="W77" i="50" a="1"/>
  <c r="W77" i="50" s="1"/>
  <c r="S78" i="50"/>
  <c r="U78" i="50" a="1"/>
  <c r="U78" i="50" s="1"/>
  <c r="S79" i="50"/>
  <c r="S80" i="50"/>
  <c r="S81" i="50"/>
  <c r="Z81" i="50" a="1"/>
  <c r="Z81" i="50" s="1"/>
  <c r="W82" i="50" a="1"/>
  <c r="W82" i="50" s="1"/>
  <c r="U83" i="50" a="1"/>
  <c r="U83" i="50" s="1"/>
  <c r="U58" i="50" a="1"/>
  <c r="U58" i="50" s="1"/>
  <c r="R144" i="50"/>
  <c r="R143" i="50"/>
  <c r="R142" i="50"/>
  <c r="R141" i="50"/>
  <c r="R139" i="50"/>
  <c r="R138" i="50"/>
  <c r="R137" i="50"/>
  <c r="R136" i="50"/>
  <c r="R179" i="50" l="1"/>
  <c r="R177" i="50"/>
  <c r="R173" i="50"/>
  <c r="R171" i="50"/>
  <c r="R49" i="50"/>
  <c r="R47" i="50"/>
  <c r="R43" i="50"/>
  <c r="R41" i="50"/>
  <c r="S65" i="50"/>
  <c r="S64" i="50"/>
  <c r="S63" i="50"/>
  <c r="S62" i="50"/>
  <c r="S70" i="50"/>
  <c r="S69" i="50"/>
  <c r="S68" i="50"/>
  <c r="S67" i="50"/>
  <c r="U70" i="50" a="1"/>
  <c r="U70" i="50" s="1"/>
  <c r="U69" i="50" a="1"/>
  <c r="U69" i="50" s="1"/>
  <c r="U68" i="50" a="1"/>
  <c r="U68" i="50" s="1"/>
  <c r="W67" i="50" a="1"/>
  <c r="W67" i="50" s="1"/>
  <c r="U67" i="50" a="1"/>
  <c r="U67" i="50" s="1"/>
  <c r="Z66" i="50" a="1"/>
  <c r="Z66" i="50" s="1"/>
  <c r="Y66" i="50" a="1"/>
  <c r="Y66" i="50" s="1"/>
  <c r="U66" i="50" a="1"/>
  <c r="U66" i="50" s="1"/>
  <c r="S66" i="50"/>
  <c r="U65" i="50" a="1"/>
  <c r="U65" i="50" s="1"/>
  <c r="U64" i="50" a="1"/>
  <c r="U64" i="50" s="1"/>
  <c r="U63" i="50" a="1"/>
  <c r="U63" i="50" s="1"/>
  <c r="W62" i="50" a="1"/>
  <c r="W62" i="50" s="1"/>
  <c r="U62" i="50" a="1"/>
  <c r="U62" i="50" s="1"/>
  <c r="Z61" i="50" a="1"/>
  <c r="Z61" i="50" s="1"/>
  <c r="Y61" i="50" a="1"/>
  <c r="Y61" i="50" s="1"/>
  <c r="U61" i="50" a="1"/>
  <c r="U61" i="50" s="1"/>
  <c r="S61" i="50"/>
  <c r="U60" i="50" a="1"/>
  <c r="U60" i="50" s="1"/>
  <c r="U59" i="50" a="1"/>
  <c r="U59" i="50" s="1"/>
  <c r="W57" i="50" a="1"/>
  <c r="W57" i="50" s="1"/>
  <c r="U57" i="50" a="1"/>
  <c r="U57" i="50" s="1"/>
  <c r="Z56" i="50" a="1"/>
  <c r="Z56" i="50" s="1"/>
  <c r="Y56" i="50" a="1"/>
  <c r="Y56" i="50" s="1"/>
  <c r="U56" i="50" a="1"/>
  <c r="U56" i="50" s="1"/>
  <c r="R56" i="50"/>
  <c r="AE7" i="50" s="1"/>
  <c r="X49" i="50" a="1"/>
  <c r="X49" i="50" s="1"/>
  <c r="Z48" i="50" a="1"/>
  <c r="Z48" i="50" s="1"/>
  <c r="Y48" i="50" a="1"/>
  <c r="Y48" i="50" s="1"/>
  <c r="V48" i="50" a="1"/>
  <c r="V48" i="50" s="1"/>
  <c r="T48" i="50" a="1"/>
  <c r="T48" i="50" s="1"/>
  <c r="V49" i="50" a="1"/>
  <c r="V49" i="50" s="1"/>
  <c r="R48" i="50"/>
  <c r="X47" i="50" a="1"/>
  <c r="X47" i="50" s="1"/>
  <c r="Z46" i="50" a="1"/>
  <c r="Z46" i="50" s="1"/>
  <c r="Y46" i="50" a="1"/>
  <c r="Y46" i="50" s="1"/>
  <c r="V46" i="50" a="1"/>
  <c r="V46" i="50" s="1"/>
  <c r="T46" i="50" a="1"/>
  <c r="T46" i="50" s="1"/>
  <c r="V47" i="50" a="1"/>
  <c r="V47" i="50" s="1"/>
  <c r="R46" i="50"/>
  <c r="X45" i="50" a="1"/>
  <c r="X45" i="50" s="1"/>
  <c r="Z44" i="50" a="1"/>
  <c r="Z44" i="50" s="1"/>
  <c r="Y44" i="50" a="1"/>
  <c r="Y44" i="50" s="1"/>
  <c r="V44" i="50" a="1"/>
  <c r="V44" i="50" s="1"/>
  <c r="T44" i="50" a="1"/>
  <c r="T44" i="50" s="1"/>
  <c r="V45" i="50" a="1"/>
  <c r="V45" i="50" s="1"/>
  <c r="Q44" i="50"/>
  <c r="AE16" i="50" s="1"/>
  <c r="X43" i="50" a="1"/>
  <c r="X43" i="50" s="1"/>
  <c r="Z42" i="50" a="1"/>
  <c r="Z42" i="50" s="1"/>
  <c r="Y42" i="50" a="1"/>
  <c r="Y42" i="50" s="1"/>
  <c r="V42" i="50" a="1"/>
  <c r="V42" i="50" s="1"/>
  <c r="T42" i="50" a="1"/>
  <c r="T42" i="50" s="1"/>
  <c r="V43" i="50" a="1"/>
  <c r="V43" i="50" s="1"/>
  <c r="R42" i="50"/>
  <c r="X41" i="50" a="1"/>
  <c r="X41" i="50" s="1"/>
  <c r="Z40" i="50" a="1"/>
  <c r="Z40" i="50" s="1"/>
  <c r="Y40" i="50" a="1"/>
  <c r="Y40" i="50" s="1"/>
  <c r="V40" i="50" a="1"/>
  <c r="V40" i="50" s="1"/>
  <c r="T40" i="50" a="1"/>
  <c r="T40" i="50" s="1"/>
  <c r="V41" i="50" a="1"/>
  <c r="V41" i="50" s="1"/>
  <c r="R40" i="50"/>
  <c r="X39" i="50" a="1"/>
  <c r="X39" i="50" s="1"/>
  <c r="Z38" i="50" a="1"/>
  <c r="Z38" i="50" s="1"/>
  <c r="Y38" i="50" a="1"/>
  <c r="Y38" i="50" s="1"/>
  <c r="V38" i="50" a="1"/>
  <c r="V38" i="50" s="1"/>
  <c r="T38" i="50" a="1"/>
  <c r="T38" i="50" s="1"/>
  <c r="S38" i="50" s="1"/>
  <c r="V39" i="50" a="1"/>
  <c r="V39" i="50" s="1"/>
  <c r="Q38" i="50"/>
  <c r="AE15" i="50" s="1"/>
  <c r="V178" i="50" a="1"/>
  <c r="V178" i="50" s="1"/>
  <c r="U178" i="50" a="1"/>
  <c r="U178" i="50" s="1"/>
  <c r="T178" i="50" a="1"/>
  <c r="T178" i="50" s="1"/>
  <c r="T179" i="50" a="1"/>
  <c r="T179" i="50" s="1"/>
  <c r="R178" i="50"/>
  <c r="V176" i="50" a="1"/>
  <c r="V176" i="50" s="1"/>
  <c r="U176" i="50" a="1"/>
  <c r="U176" i="50" s="1"/>
  <c r="T176" i="50" a="1"/>
  <c r="T176" i="50" s="1"/>
  <c r="T177" i="50" a="1"/>
  <c r="T177" i="50" s="1"/>
  <c r="R176" i="50"/>
  <c r="V174" i="50" a="1"/>
  <c r="V174" i="50" s="1"/>
  <c r="U174" i="50" a="1"/>
  <c r="U174" i="50" s="1"/>
  <c r="T174" i="50" a="1"/>
  <c r="T174" i="50" s="1"/>
  <c r="T175" i="50" a="1"/>
  <c r="T175" i="50" s="1"/>
  <c r="Q174" i="50"/>
  <c r="AE14" i="50" s="1"/>
  <c r="V172" i="50" a="1"/>
  <c r="V172" i="50" s="1"/>
  <c r="U172" i="50" a="1"/>
  <c r="U172" i="50" s="1"/>
  <c r="T172" i="50" a="1"/>
  <c r="T172" i="50" s="1"/>
  <c r="T173" i="50" a="1"/>
  <c r="T173" i="50" s="1"/>
  <c r="R172" i="50"/>
  <c r="V170" i="50" a="1"/>
  <c r="V170" i="50" s="1"/>
  <c r="U170" i="50" a="1"/>
  <c r="U170" i="50" s="1"/>
  <c r="T170" i="50" a="1"/>
  <c r="T170" i="50" s="1"/>
  <c r="T171" i="50" a="1"/>
  <c r="T171" i="50" s="1"/>
  <c r="R170" i="50"/>
  <c r="V168" i="50" a="1"/>
  <c r="V168" i="50" s="1"/>
  <c r="U168" i="50" a="1"/>
  <c r="U168" i="50" s="1"/>
  <c r="T168" i="50" a="1"/>
  <c r="T168" i="50" s="1"/>
  <c r="T169" i="50" a="1"/>
  <c r="T169" i="50" s="1"/>
  <c r="Q168" i="50"/>
  <c r="AE13" i="50" s="1"/>
  <c r="X160" i="50" a="1"/>
  <c r="X160" i="50" s="1"/>
  <c r="W160" i="50" a="1"/>
  <c r="W160" i="50" s="1"/>
  <c r="V160" i="50" a="1"/>
  <c r="V160" i="50" s="1"/>
  <c r="T160" i="50" a="1"/>
  <c r="T160" i="50" s="1"/>
  <c r="R160" i="50"/>
  <c r="X159" i="50" a="1"/>
  <c r="X159" i="50" s="1"/>
  <c r="W159" i="50" a="1"/>
  <c r="W159" i="50" s="1"/>
  <c r="V159" i="50" a="1"/>
  <c r="V159" i="50" s="1"/>
  <c r="T159" i="50" a="1"/>
  <c r="T159" i="50" s="1"/>
  <c r="R159" i="50"/>
  <c r="X158" i="50" a="1"/>
  <c r="X158" i="50" s="1"/>
  <c r="W158" i="50" a="1"/>
  <c r="W158" i="50" s="1"/>
  <c r="V158" i="50" a="1"/>
  <c r="V158" i="50" s="1"/>
  <c r="T158" i="50" a="1"/>
  <c r="T158" i="50" s="1"/>
  <c r="R158" i="50"/>
  <c r="X157" i="50" a="1"/>
  <c r="X157" i="50" s="1"/>
  <c r="W157" i="50" a="1"/>
  <c r="W157" i="50" s="1"/>
  <c r="V157" i="50" a="1"/>
  <c r="V157" i="50" s="1"/>
  <c r="U157" i="50" s="1"/>
  <c r="T157" i="50" a="1"/>
  <c r="T157" i="50" s="1"/>
  <c r="Q157" i="50"/>
  <c r="AE12" i="50" s="1"/>
  <c r="X156" i="50" a="1"/>
  <c r="X156" i="50" s="1"/>
  <c r="W156" i="50" a="1"/>
  <c r="W156" i="50" s="1"/>
  <c r="V156" i="50" a="1"/>
  <c r="V156" i="50" s="1"/>
  <c r="T156" i="50" a="1"/>
  <c r="T156" i="50" s="1"/>
  <c r="R156" i="50"/>
  <c r="X155" i="50" a="1"/>
  <c r="X155" i="50" s="1"/>
  <c r="W155" i="50" a="1"/>
  <c r="W155" i="50" s="1"/>
  <c r="V155" i="50" a="1"/>
  <c r="V155" i="50" s="1"/>
  <c r="T155" i="50" a="1"/>
  <c r="T155" i="50" s="1"/>
  <c r="R155" i="50"/>
  <c r="X154" i="50" a="1"/>
  <c r="X154" i="50" s="1"/>
  <c r="W154" i="50" a="1"/>
  <c r="W154" i="50" s="1"/>
  <c r="V154" i="50" a="1"/>
  <c r="V154" i="50" s="1"/>
  <c r="U154" i="50" s="1"/>
  <c r="T154" i="50" a="1"/>
  <c r="T154" i="50" s="1"/>
  <c r="Q154" i="50"/>
  <c r="X141" i="50" a="1"/>
  <c r="X141" i="50" s="1"/>
  <c r="Y121" i="50" s="1"/>
  <c r="V140" i="50" a="1"/>
  <c r="V140" i="50" s="1"/>
  <c r="U140" i="50" a="1"/>
  <c r="U140" i="50" s="1"/>
  <c r="T144" i="50" a="1"/>
  <c r="T144" i="50" s="1"/>
  <c r="U123" i="50" s="1"/>
  <c r="T143" i="50" a="1"/>
  <c r="T143" i="50" s="1"/>
  <c r="U122" i="50" s="1"/>
  <c r="T142" i="50" a="1"/>
  <c r="T142" i="50" s="1"/>
  <c r="U121" i="50" s="1"/>
  <c r="T140" i="50" a="1"/>
  <c r="T140" i="50" s="1"/>
  <c r="R140" i="50"/>
  <c r="X136" i="50" a="1"/>
  <c r="X136" i="50" s="1"/>
  <c r="Y116" i="50" s="1"/>
  <c r="V135" i="50" a="1"/>
  <c r="V135" i="50" s="1"/>
  <c r="U135" i="50" a="1"/>
  <c r="U135" i="50" s="1"/>
  <c r="T139" i="50" a="1"/>
  <c r="T139" i="50" s="1"/>
  <c r="U118" i="50" s="1"/>
  <c r="T138" i="50" a="1"/>
  <c r="T138" i="50" s="1"/>
  <c r="U117" i="50" s="1"/>
  <c r="T137" i="50" a="1"/>
  <c r="T137" i="50" s="1"/>
  <c r="U116" i="50" s="1"/>
  <c r="T136" i="50" a="1"/>
  <c r="T136" i="50" s="1"/>
  <c r="U115" i="50" s="1"/>
  <c r="T135" i="50" a="1"/>
  <c r="T135" i="50" s="1"/>
  <c r="R135" i="50"/>
  <c r="Y111" i="50"/>
  <c r="V130" i="50" a="1"/>
  <c r="V130" i="50" s="1"/>
  <c r="U130" i="50" a="1"/>
  <c r="U130" i="50" s="1"/>
  <c r="T134" i="50" a="1"/>
  <c r="T134" i="50" s="1"/>
  <c r="U113" i="50" s="1"/>
  <c r="T133" i="50" a="1"/>
  <c r="T133" i="50" s="1"/>
  <c r="U112" i="50" s="1"/>
  <c r="T132" i="50" a="1"/>
  <c r="T132" i="50" s="1"/>
  <c r="U111" i="50" s="1"/>
  <c r="T131" i="50" a="1"/>
  <c r="T131" i="50" s="1"/>
  <c r="U110" i="50" s="1"/>
  <c r="T130" i="50" a="1"/>
  <c r="T130" i="50" s="1"/>
  <c r="Q130" i="50"/>
  <c r="W119" i="50" a="1"/>
  <c r="W119" i="50" s="1"/>
  <c r="V119" i="50" a="1"/>
  <c r="V119" i="50" s="1"/>
  <c r="Y120" i="50" a="1"/>
  <c r="Y120" i="50" s="1"/>
  <c r="U119" i="50" a="1"/>
  <c r="U119" i="50" s="1"/>
  <c r="R119" i="50"/>
  <c r="W114" i="50" a="1"/>
  <c r="W114" i="50" s="1"/>
  <c r="V114" i="50" a="1"/>
  <c r="V114" i="50" s="1"/>
  <c r="Y115" i="50" a="1"/>
  <c r="Y115" i="50" s="1"/>
  <c r="U114" i="50" a="1"/>
  <c r="U114" i="50" s="1"/>
  <c r="R114" i="50"/>
  <c r="W109" i="50" a="1"/>
  <c r="W109" i="50" s="1"/>
  <c r="V109" i="50" a="1"/>
  <c r="V109" i="50" s="1"/>
  <c r="Y110" i="50" a="1"/>
  <c r="Y110" i="50" s="1"/>
  <c r="S109" i="50" s="1"/>
  <c r="U109" i="50" a="1"/>
  <c r="U109" i="50" s="1"/>
  <c r="Q109" i="50"/>
  <c r="AE9" i="50" s="1"/>
  <c r="AE8" i="50"/>
  <c r="X28" i="50" a="1"/>
  <c r="X28" i="50" s="1"/>
  <c r="W28" i="50" a="1"/>
  <c r="W28" i="50" s="1"/>
  <c r="U29" i="50" a="1"/>
  <c r="U29" i="50" s="1"/>
  <c r="V28" i="50" a="1"/>
  <c r="V28" i="50" s="1"/>
  <c r="U28" i="50" a="1"/>
  <c r="U28" i="50" s="1"/>
  <c r="R28" i="50"/>
  <c r="X25" i="50" a="1"/>
  <c r="X25" i="50" s="1"/>
  <c r="W25" i="50" a="1"/>
  <c r="W25" i="50" s="1"/>
  <c r="U26" i="50" a="1"/>
  <c r="U26" i="50" s="1"/>
  <c r="V25" i="50" a="1"/>
  <c r="V25" i="50" s="1"/>
  <c r="U25" i="50" a="1"/>
  <c r="U25" i="50" s="1"/>
  <c r="R25" i="50"/>
  <c r="X22" i="50" a="1"/>
  <c r="X22" i="50" s="1"/>
  <c r="W22" i="50" a="1"/>
  <c r="W22" i="50" s="1"/>
  <c r="Z23" i="50" a="1"/>
  <c r="Z23" i="50" s="1"/>
  <c r="U23" i="50" a="1"/>
  <c r="U23" i="50" s="1"/>
  <c r="U22" i="50" a="1"/>
  <c r="U22" i="50" s="1"/>
  <c r="Q22" i="50"/>
  <c r="X13" i="50" a="1"/>
  <c r="X13" i="50" s="1"/>
  <c r="W13" i="50" a="1"/>
  <c r="W13" i="50" s="1"/>
  <c r="U16" i="50" a="1"/>
  <c r="U16" i="50" s="1"/>
  <c r="U15" i="50" a="1"/>
  <c r="U15" i="50" s="1"/>
  <c r="U14" i="50" a="1"/>
  <c r="U14" i="50" s="1"/>
  <c r="V13" i="50" a="1"/>
  <c r="V13" i="50" s="1"/>
  <c r="S13" i="50" s="1"/>
  <c r="U13" i="50" a="1"/>
  <c r="U13" i="50" s="1"/>
  <c r="R13" i="50"/>
  <c r="X9" i="50" a="1"/>
  <c r="X9" i="50" s="1"/>
  <c r="W9" i="50" a="1"/>
  <c r="W9" i="50" s="1"/>
  <c r="U12" i="50" a="1"/>
  <c r="U12" i="50" s="1"/>
  <c r="U11" i="50" a="1"/>
  <c r="U11" i="50" s="1"/>
  <c r="U10" i="50" a="1"/>
  <c r="U10" i="50" s="1"/>
  <c r="V9" i="50" a="1"/>
  <c r="V9" i="50" s="1"/>
  <c r="S9" i="50" s="1"/>
  <c r="U9" i="50" a="1"/>
  <c r="U9" i="50" s="1"/>
  <c r="R9" i="50"/>
  <c r="X5" i="50" a="1"/>
  <c r="X5" i="50" s="1"/>
  <c r="W5" i="50" a="1"/>
  <c r="W5" i="50" s="1"/>
  <c r="U8" i="50" a="1"/>
  <c r="U8" i="50" s="1"/>
  <c r="U7" i="50" a="1"/>
  <c r="U7" i="50" s="1"/>
  <c r="U6" i="50" a="1"/>
  <c r="U6" i="50" s="1"/>
  <c r="V5" i="50" a="1"/>
  <c r="V5" i="50" s="1"/>
  <c r="S5" i="50" s="1"/>
  <c r="U5" i="50" a="1"/>
  <c r="U5" i="50" s="1"/>
  <c r="Q5" i="50"/>
  <c r="AE5" i="50" s="1"/>
  <c r="AE6" i="50" l="1"/>
  <c r="D69" i="46"/>
  <c r="AE11" i="50"/>
  <c r="D68" i="46"/>
  <c r="AE10" i="50"/>
  <c r="D66" i="46"/>
  <c r="X61" i="50"/>
  <c r="X56" i="50"/>
  <c r="X66" i="50"/>
  <c r="X81" i="50" s="1"/>
  <c r="X76" i="50" l="1"/>
  <c r="X71" i="50"/>
  <c r="P14" i="23"/>
  <c r="P13" i="23"/>
  <c r="AG70" i="46" l="1"/>
  <c r="AF70" i="46"/>
  <c r="AE70" i="46"/>
  <c r="AD70" i="46"/>
  <c r="AC70" i="46"/>
  <c r="AB70" i="46"/>
  <c r="AA70" i="46"/>
  <c r="Z70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AG69" i="46"/>
  <c r="AF69" i="46"/>
  <c r="AE69" i="46"/>
  <c r="AD69" i="46"/>
  <c r="AC69" i="46"/>
  <c r="AB69" i="46"/>
  <c r="AA69" i="46"/>
  <c r="Z69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AG59" i="46"/>
  <c r="AF59" i="46"/>
  <c r="AE59" i="46"/>
  <c r="AD59" i="46"/>
  <c r="AC59" i="46"/>
  <c r="AB59" i="46"/>
  <c r="AA59" i="46"/>
  <c r="Z59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AG39" i="46"/>
  <c r="AF39" i="46"/>
  <c r="AE39" i="46"/>
  <c r="AD39" i="46"/>
  <c r="AC39" i="46"/>
  <c r="AB39" i="46"/>
  <c r="AA39" i="46"/>
  <c r="Z39" i="46"/>
  <c r="Y39" i="46"/>
  <c r="X39" i="46"/>
  <c r="W39" i="46"/>
  <c r="V39" i="46"/>
  <c r="U39" i="46"/>
  <c r="T39" i="46"/>
  <c r="S39" i="46"/>
  <c r="R39" i="46"/>
  <c r="Q39" i="46"/>
  <c r="P39" i="46"/>
  <c r="O39" i="46"/>
  <c r="N39" i="46"/>
  <c r="M39" i="46"/>
  <c r="L39" i="46"/>
  <c r="K39" i="46"/>
  <c r="J39" i="46"/>
  <c r="I39" i="46"/>
  <c r="H39" i="46"/>
  <c r="G39" i="46"/>
  <c r="F39" i="46"/>
  <c r="E39" i="46"/>
  <c r="AG57" i="46"/>
  <c r="AF57" i="46"/>
  <c r="AE57" i="46"/>
  <c r="AC57" i="46"/>
  <c r="AB57" i="46"/>
  <c r="AA57" i="46"/>
  <c r="Z57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S64" i="39" a="1"/>
  <c r="S64" i="39" s="1"/>
  <c r="S61" i="39" a="1"/>
  <c r="S61" i="39" s="1"/>
  <c r="S49" i="39" a="1"/>
  <c r="S49" i="39" s="1"/>
  <c r="S46" i="39" a="1"/>
  <c r="S46" i="39" s="1"/>
  <c r="S43" i="39" a="1"/>
  <c r="S43" i="39" s="1"/>
  <c r="S40" i="39" a="1"/>
  <c r="S40" i="39" s="1"/>
  <c r="S37" i="39" a="1"/>
  <c r="S37" i="39" s="1"/>
  <c r="S34" i="39" a="1"/>
  <c r="S34" i="39" s="1"/>
  <c r="S31" i="39" a="1"/>
  <c r="S31" i="39" s="1"/>
  <c r="S28" i="39" a="1"/>
  <c r="S28" i="39" s="1"/>
  <c r="S25" i="39" a="1"/>
  <c r="S25" i="39" s="1"/>
  <c r="S22" i="39" a="1"/>
  <c r="S22" i="39" s="1"/>
  <c r="T12" i="39" a="1"/>
  <c r="T12" i="39" s="1"/>
  <c r="T10" i="39" a="1"/>
  <c r="T10" i="39" s="1"/>
  <c r="T8" i="39" a="1"/>
  <c r="T8" i="39" s="1"/>
  <c r="T6" i="39" a="1"/>
  <c r="T6" i="39" s="1"/>
  <c r="Q5" i="23"/>
  <c r="S27" i="39" a="1"/>
  <c r="S27" i="39" s="1"/>
  <c r="S45" i="39" s="1"/>
  <c r="S24" i="39" a="1"/>
  <c r="S24" i="39" s="1"/>
  <c r="S42" i="39" s="1"/>
  <c r="N8" i="23"/>
  <c r="N7" i="23"/>
  <c r="N6" i="23"/>
  <c r="N5" i="23"/>
  <c r="N4" i="23"/>
  <c r="G8" i="23"/>
  <c r="C8" i="23"/>
  <c r="AP4" i="49"/>
  <c r="Q7" i="23"/>
  <c r="C7" i="23"/>
  <c r="C6" i="23"/>
  <c r="G7" i="23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4" i="47"/>
  <c r="W43" i="39" a="1"/>
  <c r="W43" i="39" s="1"/>
  <c r="W46" i="39" a="1"/>
  <c r="W46" i="39" s="1"/>
  <c r="W49" i="39" a="1"/>
  <c r="W49" i="39" s="1"/>
  <c r="V43" i="39" a="1"/>
  <c r="V43" i="39" s="1"/>
  <c r="V46" i="39" a="1"/>
  <c r="V46" i="39" s="1"/>
  <c r="V49" i="39" a="1"/>
  <c r="V49" i="39" s="1"/>
  <c r="S51" i="39" a="1"/>
  <c r="S51" i="39" s="1"/>
  <c r="S48" i="39" a="1"/>
  <c r="S48" i="39" s="1"/>
  <c r="S50" i="39" a="1"/>
  <c r="S50" i="39" s="1"/>
  <c r="S47" i="39" a="1"/>
  <c r="S47" i="39" s="1"/>
  <c r="S44" i="39" a="1"/>
  <c r="S44" i="39" s="1"/>
  <c r="S41" i="39" a="1"/>
  <c r="S41" i="39" s="1"/>
  <c r="P46" i="39"/>
  <c r="AB12" i="39" s="1"/>
  <c r="P40" i="39"/>
  <c r="AB11" i="39" s="1"/>
  <c r="W40" i="39" a="1"/>
  <c r="W40" i="39" s="1"/>
  <c r="V40" i="39" a="1"/>
  <c r="V40" i="39" s="1"/>
  <c r="G6" i="23" l="1"/>
  <c r="Q6" i="23"/>
  <c r="V64" i="39" l="1" a="1"/>
  <c r="V64" i="39" s="1"/>
  <c r="U64" i="39" a="1"/>
  <c r="U64" i="39" s="1"/>
  <c r="Q64" i="39"/>
  <c r="V61" i="39" a="1"/>
  <c r="V61" i="39" s="1"/>
  <c r="U61" i="39" a="1"/>
  <c r="U61" i="39" s="1"/>
  <c r="S63" i="39" a="1"/>
  <c r="S63" i="39" s="1"/>
  <c r="P61" i="39"/>
  <c r="AB13" i="39" s="1"/>
  <c r="W37" i="39" a="1"/>
  <c r="W37" i="39" s="1"/>
  <c r="V37" i="39" a="1"/>
  <c r="V37" i="39" s="1"/>
  <c r="S39" i="39" a="1"/>
  <c r="S39" i="39" s="1"/>
  <c r="S38" i="39" a="1"/>
  <c r="S38" i="39" s="1"/>
  <c r="W34" i="39" a="1"/>
  <c r="W34" i="39" s="1"/>
  <c r="V34" i="39" a="1"/>
  <c r="V34" i="39" s="1"/>
  <c r="S36" i="39" a="1"/>
  <c r="S36" i="39" s="1"/>
  <c r="S35" i="39" a="1"/>
  <c r="S35" i="39" s="1"/>
  <c r="P34" i="39"/>
  <c r="AB10" i="39" s="1"/>
  <c r="W31" i="39" a="1"/>
  <c r="W31" i="39" s="1"/>
  <c r="V31" i="39" a="1"/>
  <c r="V31" i="39" s="1"/>
  <c r="S33" i="39" a="1"/>
  <c r="S33" i="39" s="1"/>
  <c r="S32" i="39" a="1"/>
  <c r="S32" i="39" s="1"/>
  <c r="Q31" i="39"/>
  <c r="W28" i="39" a="1"/>
  <c r="W28" i="39" s="1"/>
  <c r="V28" i="39" a="1"/>
  <c r="V28" i="39" s="1"/>
  <c r="S29" i="39" a="1"/>
  <c r="S29" i="39" s="1"/>
  <c r="P28" i="39"/>
  <c r="AB9" i="39" s="1"/>
  <c r="W25" i="39" a="1"/>
  <c r="W25" i="39" s="1"/>
  <c r="V25" i="39" a="1"/>
  <c r="V25" i="39" s="1"/>
  <c r="S26" i="39" a="1"/>
  <c r="S26" i="39" s="1"/>
  <c r="Q25" i="39"/>
  <c r="W22" i="39" a="1"/>
  <c r="W22" i="39" s="1"/>
  <c r="V22" i="39" a="1"/>
  <c r="V22" i="39" s="1"/>
  <c r="S23" i="39" a="1"/>
  <c r="S23" i="39" s="1"/>
  <c r="P22" i="39"/>
  <c r="AB8" i="39" s="1"/>
  <c r="X12" i="39" a="1"/>
  <c r="X12" i="39" s="1"/>
  <c r="W12" i="39" a="1"/>
  <c r="W12" i="39" s="1"/>
  <c r="U12" i="39" a="1"/>
  <c r="U12" i="39" s="1"/>
  <c r="R12" i="39" s="1"/>
  <c r="P12" i="39"/>
  <c r="AB7" i="39" s="1"/>
  <c r="X10" i="39" a="1"/>
  <c r="X10" i="39" s="1"/>
  <c r="W10" i="39" a="1"/>
  <c r="W10" i="39" s="1"/>
  <c r="T11" i="39" a="1"/>
  <c r="T11" i="39" s="1"/>
  <c r="U10" i="39" a="1"/>
  <c r="U10" i="39" s="1"/>
  <c r="R10" i="39" s="1"/>
  <c r="Q10" i="39"/>
  <c r="X8" i="39" a="1"/>
  <c r="X8" i="39" s="1"/>
  <c r="W8" i="39" a="1"/>
  <c r="W8" i="39" s="1"/>
  <c r="T9" i="39" a="1"/>
  <c r="T9" i="39" s="1"/>
  <c r="U8" i="39" a="1"/>
  <c r="U8" i="39" s="1"/>
  <c r="R8" i="39" s="1"/>
  <c r="Q8" i="39"/>
  <c r="X6" i="39" a="1"/>
  <c r="X6" i="39" s="1"/>
  <c r="W6" i="39" a="1"/>
  <c r="W6" i="39" s="1"/>
  <c r="T7" i="39" a="1"/>
  <c r="T7" i="39" s="1"/>
  <c r="U6" i="39" a="1"/>
  <c r="U6" i="39" s="1"/>
  <c r="R6" i="39" s="1"/>
  <c r="P6" i="39"/>
  <c r="AB6" i="39" s="1"/>
  <c r="C5" i="23" l="1"/>
  <c r="G5" i="23"/>
  <c r="G4" i="23" l="1"/>
  <c r="Q4" i="23"/>
  <c r="C4" i="2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<sst xmlns="http://schemas.openxmlformats.org/spreadsheetml/2006/main" count="2078" uniqueCount="644">
  <si>
    <t>*</t>
  </si>
  <si>
    <t>INDHET</t>
  </si>
  <si>
    <t>INDELC</t>
  </si>
  <si>
    <t>TechName</t>
  </si>
  <si>
    <t>INVCOST</t>
  </si>
  <si>
    <t>~FI_Process</t>
  </si>
  <si>
    <t>Comm-OUT</t>
  </si>
  <si>
    <t>Sets</t>
  </si>
  <si>
    <t>TechDesc</t>
  </si>
  <si>
    <t>Tcap</t>
  </si>
  <si>
    <t>Tact</t>
  </si>
  <si>
    <t>PRE</t>
  </si>
  <si>
    <t>pcg</t>
  </si>
  <si>
    <t>mt</t>
  </si>
  <si>
    <t>mtpa</t>
  </si>
  <si>
    <t>~FI_Comm</t>
  </si>
  <si>
    <t>Csets</t>
  </si>
  <si>
    <t>CommName</t>
  </si>
  <si>
    <t>CommDesc</t>
  </si>
  <si>
    <t>LimType</t>
  </si>
  <si>
    <t>MAT</t>
  </si>
  <si>
    <t>LO</t>
  </si>
  <si>
    <t>EFF</t>
  </si>
  <si>
    <t>\I:</t>
  </si>
  <si>
    <t>comm-out</t>
  </si>
  <si>
    <t>N</t>
  </si>
  <si>
    <t>0.05 – 0.10</t>
  </si>
  <si>
    <t>0.10 – 0.15</t>
  </si>
  <si>
    <t>100 – 140</t>
  </si>
  <si>
    <t>150 – 200</t>
  </si>
  <si>
    <t>60 – 90</t>
  </si>
  <si>
    <t>EnInput</t>
  </si>
  <si>
    <t>~FI_T</t>
  </si>
  <si>
    <t>VAROM</t>
  </si>
  <si>
    <t>process</t>
  </si>
  <si>
    <t>comm-IN</t>
  </si>
  <si>
    <t>GASNGA</t>
  </si>
  <si>
    <t>COAHCO</t>
  </si>
  <si>
    <t>INDCOA</t>
  </si>
  <si>
    <t>INDNGA</t>
  </si>
  <si>
    <t>INDOIL</t>
  </si>
  <si>
    <t>Unit</t>
  </si>
  <si>
    <t>INDBIO</t>
  </si>
  <si>
    <t>Parameter</t>
  </si>
  <si>
    <t>Technology</t>
  </si>
  <si>
    <t>Region</t>
  </si>
  <si>
    <t>Electricity (kWh/ton)</t>
  </si>
  <si>
    <t>Fossil Fuels (GJ/ton)</t>
  </si>
  <si>
    <t>CAPEX ($/ton)</t>
  </si>
  <si>
    <t>Direct CO2 Emissions (kg CO2/ton)</t>
  </si>
  <si>
    <t>Comm-IN-A</t>
  </si>
  <si>
    <t>Raw Material Input</t>
  </si>
  <si>
    <t>Output Quantity (tons)</t>
  </si>
  <si>
    <t>10 - 15</t>
  </si>
  <si>
    <t>12 - 15</t>
  </si>
  <si>
    <t>50 - 70</t>
  </si>
  <si>
    <t>45 - 65</t>
  </si>
  <si>
    <t>8 - 12</t>
  </si>
  <si>
    <t>30 - 50</t>
  </si>
  <si>
    <t>55 - 75</t>
  </si>
  <si>
    <t>1.4 - 1.6</t>
  </si>
  <si>
    <t>65 - 85</t>
  </si>
  <si>
    <t>20 - 35</t>
  </si>
  <si>
    <t>6 - 10</t>
  </si>
  <si>
    <t>9 - 14</t>
  </si>
  <si>
    <t>80 - 110</t>
  </si>
  <si>
    <t>Brazil</t>
  </si>
  <si>
    <t>Mexico</t>
  </si>
  <si>
    <t>20 - 30</t>
  </si>
  <si>
    <t>14 - 18</t>
  </si>
  <si>
    <t>USA</t>
  </si>
  <si>
    <t>Germany</t>
  </si>
  <si>
    <t>100 - 130</t>
  </si>
  <si>
    <t>15 - 25</t>
  </si>
  <si>
    <t>region</t>
  </si>
  <si>
    <t>5 - 10</t>
  </si>
  <si>
    <t>6 - 12</t>
  </si>
  <si>
    <t>Output Materials</t>
  </si>
  <si>
    <t>China</t>
  </si>
  <si>
    <t>2 - 3</t>
  </si>
  <si>
    <t>India</t>
  </si>
  <si>
    <t>~FI_T:INPUT</t>
  </si>
  <si>
    <t>3 - 5</t>
  </si>
  <si>
    <t>0.4 - 0.8</t>
  </si>
  <si>
    <t>1 - 2</t>
  </si>
  <si>
    <t>250 - 300</t>
  </si>
  <si>
    <t>0.8 - 1.0</t>
  </si>
  <si>
    <t>Russia</t>
  </si>
  <si>
    <t>im_water</t>
  </si>
  <si>
    <t>5 – 10</t>
  </si>
  <si>
    <t>0.5 – 0.7</t>
  </si>
  <si>
    <t>0.6 – 0.8</t>
  </si>
  <si>
    <t>20 – 30</t>
  </si>
  <si>
    <t>30 – 40</t>
  </si>
  <si>
    <t>15 – 25</t>
  </si>
  <si>
    <t>25 – 35</t>
  </si>
  <si>
    <t>120 – 150</t>
  </si>
  <si>
    <t>60 – 80</t>
  </si>
  <si>
    <t>2.5 – 3.5</t>
  </si>
  <si>
    <t>50 – 70</t>
  </si>
  <si>
    <t>55 – 75</t>
  </si>
  <si>
    <t>100 – 130</t>
  </si>
  <si>
    <t>9 – 11</t>
  </si>
  <si>
    <t>250 – 300</t>
  </si>
  <si>
    <t>90 – 120</t>
  </si>
  <si>
    <t>40 – 60</t>
  </si>
  <si>
    <t>100  –  150</t>
  </si>
  <si>
    <t>Sub-Sector</t>
  </si>
  <si>
    <t>sectfuel</t>
  </si>
  <si>
    <t>Canada</t>
  </si>
  <si>
    <t>SaudiArabia</t>
  </si>
  <si>
    <t>SouthAfrica</t>
  </si>
  <si>
    <t>COABCO</t>
  </si>
  <si>
    <t>COACOK</t>
  </si>
  <si>
    <t>OILHFO</t>
  </si>
  <si>
    <t>OILNSP</t>
  </si>
  <si>
    <t>OILPTC</t>
  </si>
  <si>
    <t>Stage 1: Pelletizing/Sintering</t>
  </si>
  <si>
    <r>
      <t>Objective</t>
    </r>
    <r>
      <rPr>
        <sz val="11"/>
        <color theme="1"/>
        <rFont val="Calibri"/>
        <family val="2"/>
        <scheme val="minor"/>
      </rPr>
      <t>: Transform concentrated iron ore into pellets or sinter suitable for reduction.</t>
    </r>
  </si>
  <si>
    <t>Input Quantity (tons)</t>
  </si>
  <si>
    <t>OPEX Excl. Fuel ($/ton)</t>
  </si>
  <si>
    <t>im_feore</t>
  </si>
  <si>
    <t>Pelletizing Plants</t>
  </si>
  <si>
    <t>feAustralia</t>
  </si>
  <si>
    <t>0.5 - 1.0</t>
  </si>
  <si>
    <t>Concentrated Ore</t>
  </si>
  <si>
    <t>1.05 - 1.1</t>
  </si>
  <si>
    <t>Iron Ore Pellets</t>
  </si>
  <si>
    <t>feBrazil</t>
  </si>
  <si>
    <t>feIndia</t>
  </si>
  <si>
    <t>0.6 - 1.2</t>
  </si>
  <si>
    <t>Concentrated Ore, Binders (e.g., cement)</t>
  </si>
  <si>
    <t>1.05 - 1.15</t>
  </si>
  <si>
    <t>Sintering Plants</t>
  </si>
  <si>
    <t>feChina</t>
  </si>
  <si>
    <t>1.5 - 2.0</t>
  </si>
  <si>
    <t>Concentrated Ore, Flux (e.g., limestone)</t>
  </si>
  <si>
    <t>1.1 - 1.3</t>
  </si>
  <si>
    <t>10 - 18</t>
  </si>
  <si>
    <t>7 - 12</t>
  </si>
  <si>
    <t>250-350</t>
  </si>
  <si>
    <t>Iron Ore Sinter</t>
  </si>
  <si>
    <t>im_fereformgas</t>
  </si>
  <si>
    <t>0.5 – 1.0</t>
  </si>
  <si>
    <t>50 – 100</t>
  </si>
  <si>
    <t>Stage 2: Reduction (Sponge Iron Production)</t>
  </si>
  <si>
    <r>
      <t>Objective</t>
    </r>
    <r>
      <rPr>
        <sz val="11"/>
        <color theme="1"/>
        <rFont val="Calibri"/>
        <family val="2"/>
        <scheme val="minor"/>
      </rPr>
      <t>: Produce sponge iron (DRI) from iron ore pellets or sinter.</t>
    </r>
  </si>
  <si>
    <t>Electricity (kWh/ton DRI)</t>
  </si>
  <si>
    <t>Steam (GJ/ton DRI)</t>
  </si>
  <si>
    <t>Fossil Fuels (GJ/ton DRI)</t>
  </si>
  <si>
    <t>Input Quantity (tons/ton DRI)</t>
  </si>
  <si>
    <t>CAPEX ($/ton DRI)</t>
  </si>
  <si>
    <t>OPEX ($/ton DRI)</t>
  </si>
  <si>
    <t>Direct CO2 Emissions (kg CO2/ton DRI)</t>
  </si>
  <si>
    <t>Natural Gas-Based Midrex</t>
  </si>
  <si>
    <t>80 – 100</t>
  </si>
  <si>
    <t>10 – 12</t>
  </si>
  <si>
    <t>- Iron Ore Pellets</t>
  </si>
  <si>
    <t>1.4 – 1.5</t>
  </si>
  <si>
    <t>Sponge Iron (DRI)</t>
  </si>
  <si>
    <t>im_fesponge</t>
  </si>
  <si>
    <t>0.9 – 1.0</t>
  </si>
  <si>
    <t>100 – 120</t>
  </si>
  <si>
    <t>1.3 – 1.4</t>
  </si>
  <si>
    <t>Coal-Based Rotary Kiln</t>
  </si>
  <si>
    <t>- Iron Ore Lumps</t>
  </si>
  <si>
    <t>1.3 – 1.5</t>
  </si>
  <si>
    <t>280 – 320</t>
  </si>
  <si>
    <t>- Non-Coking Coal</t>
  </si>
  <si>
    <t>- Limestone/Dolomite (Flux)</t>
  </si>
  <si>
    <t>0.05 – 0.1</t>
  </si>
  <si>
    <t>1.2 – 1.4</t>
  </si>
  <si>
    <t>Hydrogen-Based Reduction</t>
  </si>
  <si>
    <t>- Hydrogen Gas</t>
  </si>
  <si>
    <t>0.05 – 0.08</t>
  </si>
  <si>
    <t>700 – 900</t>
  </si>
  <si>
    <t>0.04 – 0.07</t>
  </si>
  <si>
    <t>Stage 3: Post-Processing and Handling</t>
  </si>
  <si>
    <r>
      <t>Objective</t>
    </r>
    <r>
      <rPr>
        <sz val="11"/>
        <color theme="1"/>
        <rFont val="Calibri"/>
        <family val="2"/>
        <scheme val="minor"/>
      </rPr>
      <t>: Handle and prepare sponge iron for storage or downstream steelmaking.</t>
    </r>
  </si>
  <si>
    <t>OPEX Excl. Fuel ($/ton DRI)</t>
  </si>
  <si>
    <t>Cooling Systems</t>
  </si>
  <si>
    <t>Water: 0.5-1.0</t>
  </si>
  <si>
    <t>5 - 8</t>
  </si>
  <si>
    <t>2 - 4</t>
  </si>
  <si>
    <t>Sponge Iron (Cooled DRI)</t>
  </si>
  <si>
    <t>im_cooldri</t>
  </si>
  <si>
    <t>Water: 0.6-1.2</t>
  </si>
  <si>
    <t>Briquetting</t>
  </si>
  <si>
    <t>Binders (e.g., cement): 0.05</t>
  </si>
  <si>
    <t>4 - 6</t>
  </si>
  <si>
    <t>Sponge Iron Briquettes</t>
  </si>
  <si>
    <t>Binders (e.g., cement): 0.04</t>
  </si>
  <si>
    <t>Stage 4: Transportation</t>
  </si>
  <si>
    <r>
      <t>Objective</t>
    </r>
    <r>
      <rPr>
        <sz val="11"/>
        <color theme="1"/>
        <rFont val="Calibri"/>
        <family val="2"/>
        <scheme val="minor"/>
      </rPr>
      <t>: Transport sponge iron to steelmaking facilities.</t>
    </r>
  </si>
  <si>
    <t>Diesel Trucks</t>
  </si>
  <si>
    <t>1.5-2.0</t>
  </si>
  <si>
    <t>111 - 148</t>
  </si>
  <si>
    <t>Transported Sponge Iron</t>
  </si>
  <si>
    <t>1.7-2.2</t>
  </si>
  <si>
    <t>126 - 163</t>
  </si>
  <si>
    <t>Rail Transport</t>
  </si>
  <si>
    <t>0.3-0.5</t>
  </si>
  <si>
    <t>7.4 - 18.5</t>
  </si>
  <si>
    <t>1.5 - 3.0</t>
  </si>
  <si>
    <t>3.0 – 4.0</t>
  </si>
  <si>
    <t>8 – 15</t>
  </si>
  <si>
    <t>im_air</t>
  </si>
  <si>
    <t>im_feoreburden</t>
  </si>
  <si>
    <t>im_feoremine</t>
  </si>
  <si>
    <t>im_feorecrush</t>
  </si>
  <si>
    <t>im_fepellet</t>
  </si>
  <si>
    <t>im_fesinter</t>
  </si>
  <si>
    <t>Simplified Flow Diagram</t>
  </si>
  <si>
    <r>
      <t>1. Raw Material Input</t>
    </r>
    <r>
      <rPr>
        <sz val="11"/>
        <color theme="1"/>
        <rFont val="Calibri"/>
        <family val="2"/>
        <scheme val="minor"/>
      </rPr>
      <t>: Sponge iron + Steel Scrap + Fluxes + Ferroalloys.</t>
    </r>
  </si>
  <si>
    <r>
      <t>2. Melting in Furnace</t>
    </r>
    <r>
      <rPr>
        <sz val="11"/>
        <color theme="1"/>
        <rFont val="Calibri"/>
        <family val="2"/>
        <scheme val="minor"/>
      </rPr>
      <t>: Sponge iron is melted in an EAF or induction furnace.</t>
    </r>
  </si>
  <si>
    <r>
      <t>3. Refining</t>
    </r>
    <r>
      <rPr>
        <sz val="11"/>
        <color theme="1"/>
        <rFont val="Calibri"/>
        <family val="2"/>
        <scheme val="minor"/>
      </rPr>
      <t>: Removal of impurities (slag formation), deoxidation, and carbon adjustment.</t>
    </r>
  </si>
  <si>
    <r>
      <t>4. Casting</t>
    </r>
    <r>
      <rPr>
        <sz val="11"/>
        <color theme="1"/>
        <rFont val="Calibri"/>
        <family val="2"/>
        <scheme val="minor"/>
      </rPr>
      <t>: Continuous casting into billets, slabs, or blooms.</t>
    </r>
  </si>
  <si>
    <r>
      <t>5. Rolling/Finishing</t>
    </r>
    <r>
      <rPr>
        <sz val="11"/>
        <color theme="1"/>
        <rFont val="Calibri"/>
        <family val="2"/>
        <scheme val="minor"/>
      </rPr>
      <t>: Final shaping into finished steel products.</t>
    </r>
  </si>
  <si>
    <t>Electricity (kWh/ton Molten Steel)</t>
  </si>
  <si>
    <t>Steam (GJ/ton Molten Steel)</t>
  </si>
  <si>
    <t>Fossil Fuels (GJ/ton Molten Steel)</t>
  </si>
  <si>
    <t>Input Quantity (tons/ton Molten Steel)</t>
  </si>
  <si>
    <t>CAPEX ($/ton Molten Steel)</t>
  </si>
  <si>
    <t>OPEX ($/ton Molten Steel)</t>
  </si>
  <si>
    <t>Direct CO2 Emissions (kg CO2/ton Molten Steel)</t>
  </si>
  <si>
    <t>Electric Arc Furnace (EAF)</t>
  </si>
  <si>
    <t>- Sponge Iron (DRI)</t>
  </si>
  <si>
    <t>0.9 – 1.1</t>
  </si>
  <si>
    <t>60 – 100</t>
  </si>
  <si>
    <t>25 – 40</t>
  </si>
  <si>
    <t>0 – 50</t>
  </si>
  <si>
    <t>Molten Steel</t>
  </si>
  <si>
    <t>70 – 110</t>
  </si>
  <si>
    <t>30 – 50</t>
  </si>
  <si>
    <t>0 – 60</t>
  </si>
  <si>
    <t>50 – 90</t>
  </si>
  <si>
    <t>20 – 35</t>
  </si>
  <si>
    <t>Induction Furnace</t>
  </si>
  <si>
    <t>50 – 80</t>
  </si>
  <si>
    <t>40 – 70</t>
  </si>
  <si>
    <t>15 – 30</t>
  </si>
  <si>
    <t>Electricity (kWh/ton Refined Steel)</t>
  </si>
  <si>
    <t>Steam (GJ/ton Refined Steel)</t>
  </si>
  <si>
    <t>Fossil Fuels (GJ/ton Refined Steel)</t>
  </si>
  <si>
    <t>Input Quantity (tons/ton Refined Steel)</t>
  </si>
  <si>
    <t>CAPEX ($/ton Refined Steel)</t>
  </si>
  <si>
    <t>OPEX ($/ton Refined Steel)</t>
  </si>
  <si>
    <t>Direct CO2 Emissions (kg CO2/ton Refined Steel)</t>
  </si>
  <si>
    <t>Ladle Refining Furnace</t>
  </si>
  <si>
    <t>- Molten Steel</t>
  </si>
  <si>
    <t>1.02 – 1.05</t>
  </si>
  <si>
    <t>Refined Steel</t>
  </si>
  <si>
    <t>10 – 20</t>
  </si>
  <si>
    <t>80 – 120</t>
  </si>
  <si>
    <t>Electricity (kWh/ton Cast Steel)</t>
  </si>
  <si>
    <t>Steam (GJ/ton Cast Steel)</t>
  </si>
  <si>
    <t>Fossil Fuels (GJ/ton Cast Steel)</t>
  </si>
  <si>
    <t>Input Quantity (tons/ton Cast Steel)</t>
  </si>
  <si>
    <t>CAPEX ($/ton Cast Steel)</t>
  </si>
  <si>
    <t>OPEX ($/ton Cast Steel)</t>
  </si>
  <si>
    <t>Direct CO2 Emissions (kg CO2/ton Cast Steel)</t>
  </si>
  <si>
    <t>Continuous Casting</t>
  </si>
  <si>
    <t>- Refined Steel</t>
  </si>
  <si>
    <t>Steel Slabs</t>
  </si>
  <si>
    <t>im_stlmolten</t>
  </si>
  <si>
    <t>im_stladditiv</t>
  </si>
  <si>
    <t>additives</t>
  </si>
  <si>
    <t>0.005 – 0.050</t>
  </si>
  <si>
    <t>im_stlrefin</t>
  </si>
  <si>
    <t>20 – 40</t>
  </si>
  <si>
    <t>im_stlslabs</t>
  </si>
  <si>
    <t>0.05 – 0.06</t>
  </si>
  <si>
    <t>- Oxygen (O₂)</t>
  </si>
  <si>
    <t>0.01 – 0.03</t>
  </si>
  <si>
    <t>- Dolomite (CaMg(CO₃)₂)</t>
  </si>
  <si>
    <t>0.03 – 0.05</t>
  </si>
  <si>
    <t>- Limestone (CaCO₃)</t>
  </si>
  <si>
    <t>- Hot Metal</t>
  </si>
  <si>
    <t>- Hot Metal (Pig Iron)</t>
  </si>
  <si>
    <t>Conventional BOF</t>
  </si>
  <si>
    <t>Direct CO2 Emissions (kg CO2/ton Steel)</t>
  </si>
  <si>
    <t>OPEX ($/ton Steel)</t>
  </si>
  <si>
    <t>CAPEX ($/ton Steel)</t>
  </si>
  <si>
    <t>Input Quantity (tons/ton Steel)</t>
  </si>
  <si>
    <t>Fossil Fuels (GJ/ton Steel)</t>
  </si>
  <si>
    <t>Steam (GJ/ton Steel)</t>
  </si>
  <si>
    <t>Electricity (kWh/ton Steel)</t>
  </si>
  <si>
    <t>Basic Oxygen Furnace (BOF) TE Table</t>
  </si>
  <si>
    <t>- Dolomite</t>
  </si>
  <si>
    <t>- Limestone</t>
  </si>
  <si>
    <t>0.4 – 0.5</t>
  </si>
  <si>
    <t>- Coke</t>
  </si>
  <si>
    <t>Hot Metal (Pig Iron)</t>
  </si>
  <si>
    <t>1.5 – 1.6</t>
  </si>
  <si>
    <t>- Iron Ore Pellets/Sinter</t>
  </si>
  <si>
    <t>90  –  130</t>
  </si>
  <si>
    <t>1.6 – 1.8</t>
  </si>
  <si>
    <t>120  –  180</t>
  </si>
  <si>
    <t>1.5 – 1.7</t>
  </si>
  <si>
    <t>Modern BF</t>
  </si>
  <si>
    <t>Direct CO2 Emissions (kg CO2/ton Hot Metal)</t>
  </si>
  <si>
    <t>OPEX ($/ton Hot Metal)</t>
  </si>
  <si>
    <t>CAPEX ($/ton Hot Metal)</t>
  </si>
  <si>
    <t>Input Quantity (tons/ton Hot Metal)</t>
  </si>
  <si>
    <t>Fossil Fuels (GJ/ton Hot Metal)</t>
  </si>
  <si>
    <t>Steam (GJ/ton Hot Metal)</t>
  </si>
  <si>
    <t>Electricity (kWh/ton Hot Metal)</t>
  </si>
  <si>
    <t>Blast Furnace (BF) TE Table</t>
  </si>
  <si>
    <t>Coke</t>
  </si>
  <si>
    <t>300 – 350</t>
  </si>
  <si>
    <t>- Coking Coal</t>
  </si>
  <si>
    <t>2.0 – 3.0</t>
  </si>
  <si>
    <t>350 – 400</t>
  </si>
  <si>
    <t>45 – 60</t>
  </si>
  <si>
    <t>Direct CO2 Emissions (kg CO2/ton Coke)</t>
  </si>
  <si>
    <t>OPEX ($/ton Coke)</t>
  </si>
  <si>
    <t>CAPEX ($/ton Coke)</t>
  </si>
  <si>
    <t>Input Quantity (tons/ton Coke)</t>
  </si>
  <si>
    <t>Fossil Fuels (GJ/ton Coke)</t>
  </si>
  <si>
    <t>Steam (GJ/ton Coke)</t>
  </si>
  <si>
    <t>Electricity (kWh/ton Coke)</t>
  </si>
  <si>
    <t>Coke Making Stage TE Table</t>
  </si>
  <si>
    <t>Iron Ore Pellets (BF Grade)</t>
  </si>
  <si>
    <t>12 – 25</t>
  </si>
  <si>
    <t>25 – 45</t>
  </si>
  <si>
    <t>1.05 – 1.10</t>
  </si>
  <si>
    <t>- Iron Ore Concentrate (~67% Fe)</t>
  </si>
  <si>
    <t>1.05 – 1.15</t>
  </si>
  <si>
    <t>- Iron Ore Concentrate (~65% Fe)</t>
  </si>
  <si>
    <t>Straight Grate Pelletizing</t>
  </si>
  <si>
    <t>Direct CO2 Emissions (kg CO2/ton Pellets)</t>
  </si>
  <si>
    <t>OPEX ($/ton Pellets)</t>
  </si>
  <si>
    <t>CAPEX ($/ton Pellets)</t>
  </si>
  <si>
    <t>Input Quantity (tons/ton Pellets)</t>
  </si>
  <si>
    <t>Fossil Fuels (GJ/ton Pellets)</t>
  </si>
  <si>
    <t>Steam (GJ/ton Pellets)</t>
  </si>
  <si>
    <t>Electricity (kWh/ton Pellets)</t>
  </si>
  <si>
    <t>Pelletizing Stage TE Table (BOF Route)</t>
  </si>
  <si>
    <t>im_limestone</t>
  </si>
  <si>
    <t>im_dolomite</t>
  </si>
  <si>
    <t>im_cokcoal</t>
  </si>
  <si>
    <t>im_coke</t>
  </si>
  <si>
    <t>im_febofpellet</t>
  </si>
  <si>
    <t>im_fepig</t>
  </si>
  <si>
    <t>Iron Ore Pellets (BF)</t>
  </si>
  <si>
    <t>Coking coal</t>
  </si>
  <si>
    <t>Coke Ovens</t>
  </si>
  <si>
    <t>140 - 180</t>
  </si>
  <si>
    <t>120 - 160</t>
  </si>
  <si>
    <t>370 - 500</t>
  </si>
  <si>
    <t>Natural gas</t>
  </si>
  <si>
    <t>320 - 450</t>
  </si>
  <si>
    <t>25 - 45</t>
  </si>
  <si>
    <t>15 - 18</t>
  </si>
  <si>
    <t>230 - 280</t>
  </si>
  <si>
    <t>22 - 38</t>
  </si>
  <si>
    <t>500 - 600</t>
  </si>
  <si>
    <t>520 - 650</t>
  </si>
  <si>
    <t>100 - 140</t>
  </si>
  <si>
    <t>120 – 180</t>
  </si>
  <si>
    <t>300 – 400</t>
  </si>
  <si>
    <t>350 – 450</t>
  </si>
  <si>
    <t>850 – 1,050</t>
  </si>
  <si>
    <t>Remarks with CCS Integration</t>
  </si>
  <si>
    <t>$400 – $600</t>
  </si>
  <si>
    <t>~5–10 (reduced from 50–70)</t>
  </si>
  <si>
    <t>$400 – 600</t>
  </si>
  <si>
    <t>CO2 Emissions (kg CO2/ton DRI)</t>
  </si>
  <si>
    <t>Iron Ore Pellets, Natural Gas</t>
  </si>
  <si>
    <t>~10–15 (reduced from 100–140)</t>
  </si>
  <si>
    <t>Additional electricity and natural gas for CCS.</t>
  </si>
  <si>
    <t>~9–12 (reduced from 90–120)</t>
  </si>
  <si>
    <t>Hydrogen byproduct offsets CCS energy demand.</t>
  </si>
  <si>
    <t>Iron Ore Pellets, Non-Coking Coal, Limestone/Dolomite</t>
  </si>
  <si>
    <t>~30–40 (reduced from 280–320)</t>
  </si>
  <si>
    <t>Steam and energy penalty for CCS capture.</t>
  </si>
  <si>
    <t>Iron Ore Lumps, Non-Coking Coal</t>
  </si>
  <si>
    <t>~25–35 (reduced from 250–300)</t>
  </si>
  <si>
    <t>CCS integration reduces emissions by ~90%.</t>
  </si>
  <si>
    <t>Iron Ore Pellets, Hydrogen Gas</t>
  </si>
  <si>
    <t>$20–$40</t>
  </si>
  <si>
    <t>No emissions; CCS not required.</t>
  </si>
  <si>
    <t>10.5 – 12.5</t>
  </si>
  <si>
    <t>$400 – $550</t>
  </si>
  <si>
    <t>$40 – $60</t>
  </si>
  <si>
    <t>110 – 130</t>
  </si>
  <si>
    <t>0.6 – 1.0</t>
  </si>
  <si>
    <t>9.5 – 11.0</t>
  </si>
  <si>
    <t>$380 – $500</t>
  </si>
  <si>
    <t>$35 – $55</t>
  </si>
  <si>
    <t>70 – 90</t>
  </si>
  <si>
    <t>16.5 – 18.5</t>
  </si>
  <si>
    <t>$300 – $350</t>
  </si>
  <si>
    <t>$25 – $40</t>
  </si>
  <si>
    <t>15.5 – 17.5</t>
  </si>
  <si>
    <t>$280 – $330</t>
  </si>
  <si>
    <t>$600 – $700</t>
  </si>
  <si>
    <t>$20 – $40</t>
  </si>
  <si>
    <t>$520 – $650</t>
  </si>
  <si>
    <t>Comparison Table for Sponge Iron Production Technologies (With and Without CCS)</t>
  </si>
  <si>
    <r>
      <t>Without CCS</t>
    </r>
    <r>
      <rPr>
        <sz val="11"/>
        <color theme="1"/>
        <rFont val="Calibri"/>
        <family val="2"/>
        <scheme val="minor"/>
      </rPr>
      <t>: 80–120</t>
    </r>
  </si>
  <si>
    <r>
      <t>With CCS</t>
    </r>
    <r>
      <rPr>
        <sz val="11"/>
        <color theme="1"/>
        <rFont val="Calibri"/>
        <family val="2"/>
        <scheme val="minor"/>
      </rPr>
      <t>: 100–130</t>
    </r>
  </si>
  <si>
    <r>
      <t>Without CCS</t>
    </r>
    <r>
      <rPr>
        <sz val="11"/>
        <color theme="1"/>
        <rFont val="Calibri"/>
        <family val="2"/>
        <scheme val="minor"/>
      </rPr>
      <t>: 60–85</t>
    </r>
  </si>
  <si>
    <r>
      <t>With CCS</t>
    </r>
    <r>
      <rPr>
        <sz val="11"/>
        <color theme="1"/>
        <rFont val="Calibri"/>
        <family val="2"/>
        <scheme val="minor"/>
      </rPr>
      <t>: 70–90</t>
    </r>
  </si>
  <si>
    <r>
      <t>Without CCS</t>
    </r>
    <r>
      <rPr>
        <sz val="11"/>
        <color theme="1"/>
        <rFont val="Calibri"/>
        <family val="2"/>
        <scheme val="minor"/>
      </rPr>
      <t>: 700–1,050</t>
    </r>
  </si>
  <si>
    <r>
      <t>With CCS</t>
    </r>
    <r>
      <rPr>
        <sz val="11"/>
        <color theme="1"/>
        <rFont val="Calibri"/>
        <family val="2"/>
        <scheme val="minor"/>
      </rPr>
      <t>: No CCS needed</t>
    </r>
  </si>
  <si>
    <r>
      <t>Without CCS</t>
    </r>
    <r>
      <rPr>
        <sz val="11"/>
        <color theme="1"/>
        <rFont val="Calibri"/>
        <family val="2"/>
        <scheme val="minor"/>
      </rPr>
      <t>: 9–12</t>
    </r>
  </si>
  <si>
    <r>
      <t>With CCS</t>
    </r>
    <r>
      <rPr>
        <sz val="11"/>
        <color theme="1"/>
        <rFont val="Calibri"/>
        <family val="2"/>
        <scheme val="minor"/>
      </rPr>
      <t>: 9.5–12.5</t>
    </r>
  </si>
  <si>
    <r>
      <t>Without CCS</t>
    </r>
    <r>
      <rPr>
        <sz val="11"/>
        <color theme="1"/>
        <rFont val="Calibri"/>
        <family val="2"/>
        <scheme val="minor"/>
      </rPr>
      <t>: 15–18</t>
    </r>
  </si>
  <si>
    <r>
      <t>With CCS</t>
    </r>
    <r>
      <rPr>
        <sz val="11"/>
        <color theme="1"/>
        <rFont val="Calibri"/>
        <family val="2"/>
        <scheme val="minor"/>
      </rPr>
      <t>: 16.5–18.5</t>
    </r>
  </si>
  <si>
    <r>
      <t>Without CCS</t>
    </r>
    <r>
      <rPr>
        <sz val="11"/>
        <color theme="1"/>
        <rFont val="Calibri"/>
        <family val="2"/>
        <scheme val="minor"/>
      </rPr>
      <t>: 0</t>
    </r>
  </si>
  <si>
    <r>
      <t>With CCS</t>
    </r>
    <r>
      <rPr>
        <sz val="11"/>
        <color theme="1"/>
        <rFont val="Calibri"/>
        <family val="2"/>
        <scheme val="minor"/>
      </rPr>
      <t>: 0.5–1.0</t>
    </r>
  </si>
  <si>
    <r>
      <t>Without CCS</t>
    </r>
    <r>
      <rPr>
        <sz val="11"/>
        <color theme="1"/>
        <rFont val="Calibri"/>
        <family val="2"/>
        <scheme val="minor"/>
      </rPr>
      <t>: $370–$500</t>
    </r>
  </si>
  <si>
    <r>
      <t>With CCS</t>
    </r>
    <r>
      <rPr>
        <sz val="11"/>
        <color theme="1"/>
        <rFont val="Calibri"/>
        <family val="2"/>
        <scheme val="minor"/>
      </rPr>
      <t>: $400–$550</t>
    </r>
  </si>
  <si>
    <r>
      <t>Without CCS</t>
    </r>
    <r>
      <rPr>
        <sz val="11"/>
        <color theme="1"/>
        <rFont val="Calibri"/>
        <family val="2"/>
        <scheme val="minor"/>
      </rPr>
      <t>: $230–$300</t>
    </r>
  </si>
  <si>
    <r>
      <t>With CCS</t>
    </r>
    <r>
      <rPr>
        <sz val="11"/>
        <color theme="1"/>
        <rFont val="Calibri"/>
        <family val="2"/>
        <scheme val="minor"/>
      </rPr>
      <t>: $280–$350</t>
    </r>
  </si>
  <si>
    <t>$520–$700</t>
  </si>
  <si>
    <r>
      <t>Without CCS</t>
    </r>
    <r>
      <rPr>
        <sz val="11"/>
        <color theme="1"/>
        <rFont val="Calibri"/>
        <family val="2"/>
        <scheme val="minor"/>
      </rPr>
      <t>: $25–$50</t>
    </r>
  </si>
  <si>
    <r>
      <t>With CCS</t>
    </r>
    <r>
      <rPr>
        <sz val="11"/>
        <color theme="1"/>
        <rFont val="Calibri"/>
        <family val="2"/>
        <scheme val="minor"/>
      </rPr>
      <t>: $35–$60</t>
    </r>
  </si>
  <si>
    <r>
      <t>Without CCS</t>
    </r>
    <r>
      <rPr>
        <sz val="11"/>
        <color theme="1"/>
        <rFont val="Calibri"/>
        <family val="2"/>
        <scheme val="minor"/>
      </rPr>
      <t>: $20–$38</t>
    </r>
  </si>
  <si>
    <r>
      <t>With CCS</t>
    </r>
    <r>
      <rPr>
        <sz val="11"/>
        <color theme="1"/>
        <rFont val="Calibri"/>
        <family val="2"/>
        <scheme val="minor"/>
      </rPr>
      <t>: $25–$40</t>
    </r>
  </si>
  <si>
    <r>
      <t>Without CCS</t>
    </r>
    <r>
      <rPr>
        <sz val="11"/>
        <color theme="1"/>
        <rFont val="Calibri"/>
        <family val="2"/>
        <scheme val="minor"/>
      </rPr>
      <t>: 90–140</t>
    </r>
  </si>
  <si>
    <r>
      <t>With CCS</t>
    </r>
    <r>
      <rPr>
        <sz val="11"/>
        <color theme="1"/>
        <rFont val="Calibri"/>
        <family val="2"/>
        <scheme val="minor"/>
      </rPr>
      <t>: ~10–15</t>
    </r>
  </si>
  <si>
    <r>
      <t>Without CCS</t>
    </r>
    <r>
      <rPr>
        <sz val="11"/>
        <color theme="1"/>
        <rFont val="Calibri"/>
        <family val="2"/>
        <scheme val="minor"/>
      </rPr>
      <t>: 250–320</t>
    </r>
  </si>
  <si>
    <r>
      <t>With CCS</t>
    </r>
    <r>
      <rPr>
        <sz val="11"/>
        <color theme="1"/>
        <rFont val="Calibri"/>
        <family val="2"/>
        <scheme val="minor"/>
      </rPr>
      <t>: ~30–40</t>
    </r>
  </si>
  <si>
    <t>$350 – 550</t>
  </si>
  <si>
    <t>$450 – 650</t>
  </si>
  <si>
    <t>$150 – 250</t>
  </si>
  <si>
    <t>$130 – 220</t>
  </si>
  <si>
    <t>$180 – 300</t>
  </si>
  <si>
    <t>CO2 Emissions (kg CO2/ton Hot Metal)</t>
  </si>
  <si>
    <t>Remarks with CCS</t>
  </si>
  <si>
    <t>Iron Ore Pellets/Sinter, Coke, Limestone, Dolomite</t>
  </si>
  <si>
    <t>~30–40 (reduced from 300–400)</t>
  </si>
  <si>
    <t>CCS reduces emissions by ~90%.</t>
  </si>
  <si>
    <t>Energy increase for solvent regeneration and CO2 capture.</t>
  </si>
  <si>
    <t>~35–45 (reduced from 350–450)</t>
  </si>
  <si>
    <t>CO2 emissions are captured with minor fossil fuel penalty.</t>
  </si>
  <si>
    <t>1.6 – 1.8, 0.4 – 0.5, 0.10 – 0.15, 0.05 – 0.10</t>
  </si>
  <si>
    <t>$450 – $650</t>
  </si>
  <si>
    <t>$60 – $100</t>
  </si>
  <si>
    <t>130 – 180</t>
  </si>
  <si>
    <t>110 – 150</t>
  </si>
  <si>
    <t>1.5 – 1.7, 0.4 – 0.5, 0.10 – 0.15, 0.05 – 0.10</t>
  </si>
  <si>
    <t>$50 – $90</t>
  </si>
  <si>
    <t>Basic Oxygen Furnace (BOF) TE Table (With CCS Integration)</t>
  </si>
  <si>
    <t>CO2 Emissions (kg CO2/ton Steel)</t>
  </si>
  <si>
    <t>Hot Metal, Limestone, Dolomite, Oxygen</t>
  </si>
  <si>
    <t>Moderate energy and cost increases for CCS integration.</t>
  </si>
  <si>
    <t>Effective CCS reduces emissions by ~90%.</t>
  </si>
  <si>
    <t>~5–10 (reduced from 60–80)</t>
  </si>
  <si>
    <t>CCS allows significant reduction in CO2 emissions.</t>
  </si>
  <si>
    <t>0.9 – 1.0, 0.03 – 0.05, 0.01 – 0.03, 0.05 – 0.06</t>
  </si>
  <si>
    <t>$200 – $300</t>
  </si>
  <si>
    <t>$40 – $70</t>
  </si>
  <si>
    <t>$180 – $300</t>
  </si>
  <si>
    <t>$30 – $60</t>
  </si>
  <si>
    <t>Sector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</si>
  <si>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</si>
  <si>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</si>
  <si>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</si>
  <si>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</si>
  <si>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</si>
  <si>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</si>
  <si>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</si>
  <si>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</si>
  <si>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</si>
  <si>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</si>
  <si>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</si>
  <si>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</si>
  <si>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</si>
  <si>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</si>
  <si>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</si>
  <si>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</si>
  <si>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MidEast_other</t>
  </si>
  <si>
    <t>Nor-Ice</t>
  </si>
  <si>
    <t>UK</t>
  </si>
  <si>
    <t>IND</t>
  </si>
  <si>
    <t>IIS</t>
  </si>
  <si>
    <t>TBLASTFUR</t>
  </si>
  <si>
    <t>BIOCHR</t>
  </si>
  <si>
    <t>GASBFG</t>
  </si>
  <si>
    <t>SUPBIO</t>
  </si>
  <si>
    <t>SUPELC</t>
  </si>
  <si>
    <t>SUPHET</t>
  </si>
  <si>
    <t>SUPNGA</t>
  </si>
  <si>
    <t>TCOKEOVS</t>
  </si>
  <si>
    <t>BIOBIN</t>
  </si>
  <si>
    <t>SUPCOA</t>
  </si>
  <si>
    <t>feUSA</t>
  </si>
  <si>
    <t>Year</t>
  </si>
  <si>
    <t>BF</t>
  </si>
  <si>
    <t>BOF</t>
  </si>
  <si>
    <t>Coal-DRI</t>
  </si>
  <si>
    <t>DRI</t>
  </si>
  <si>
    <t>EAF</t>
  </si>
  <si>
    <t>Gas-DRI</t>
  </si>
  <si>
    <t>Other</t>
  </si>
  <si>
    <t>OHF</t>
  </si>
  <si>
    <t>Process</t>
  </si>
  <si>
    <t>~FI_T: PASTI</t>
  </si>
  <si>
    <t>~FI_T: Demand~im_stlslabs</t>
  </si>
  <si>
    <t>IMfedri_Natural Gas-Based Midrex</t>
  </si>
  <si>
    <t>IMstl_Electric Arc Furnace (EAF)</t>
  </si>
  <si>
    <t>IMfedri_Coal-Based Rotary Kiln</t>
  </si>
  <si>
    <t>IMstlbof_Modern BF</t>
  </si>
  <si>
    <t>IMstlbof_Conventional BOF</t>
  </si>
  <si>
    <t>*Plant Type</t>
  </si>
  <si>
    <t>INDBFG</t>
  </si>
  <si>
    <t>INDCOG</t>
  </si>
  <si>
    <t>INDOVC</t>
  </si>
  <si>
    <t>COAOVC</t>
  </si>
  <si>
    <t>GASCOG</t>
  </si>
  <si>
    <t>~TFM_COMGRP</t>
  </si>
  <si>
    <t>Name</t>
  </si>
  <si>
    <t>Description</t>
  </si>
  <si>
    <t>AllRegions</t>
  </si>
  <si>
    <t>Cset_Set</t>
  </si>
  <si>
    <t>Cset_CN</t>
  </si>
  <si>
    <t>Cset_CD</t>
  </si>
  <si>
    <t>Non-electric energy input</t>
  </si>
  <si>
    <t>Y</t>
  </si>
  <si>
    <t>INDCOA,INDNGA,INDOIL,INDHH2</t>
  </si>
  <si>
    <t>O2</t>
  </si>
  <si>
    <t>ind_methane</t>
  </si>
  <si>
    <t>ind_hydrogen</t>
  </si>
  <si>
    <t>ind_coal</t>
  </si>
  <si>
    <t>Comm-IN</t>
  </si>
  <si>
    <t>im_fesponge,im_stladditiv,im_fescrap</t>
  </si>
  <si>
    <t>Share~im_stladditiv~FX</t>
  </si>
  <si>
    <t>im_fescrap</t>
  </si>
  <si>
    <t>Attribute</t>
  </si>
  <si>
    <t>ACT_BND</t>
  </si>
  <si>
    <t>sup_scrap</t>
  </si>
  <si>
    <t>MIN</t>
  </si>
  <si>
    <t>ACT_COST</t>
  </si>
  <si>
    <t>~FI_T: USD20</t>
  </si>
  <si>
    <t>COG Energy Output (GJ/ton Coke)</t>
  </si>
  <si>
    <t>5.25 – 9.63</t>
  </si>
  <si>
    <t>5.8 – 10.0</t>
  </si>
  <si>
    <t>BOFG Energy Output (GJ/ton Molten Steel)</t>
  </si>
  <si>
    <t>0.6 - 1.3</t>
  </si>
  <si>
    <t>0.7 - 1.4</t>
  </si>
  <si>
    <t>Blast Furnace Gas</t>
  </si>
  <si>
    <t>4.9 – 8.05 GJ</t>
  </si>
  <si>
    <t>5.6 – 8.4</t>
  </si>
  <si>
    <t>BFG (GJ/ton Hot Metal)</t>
  </si>
  <si>
    <t>4.9 – 8.05</t>
  </si>
  <si>
    <t>PJ</t>
  </si>
  <si>
    <t>PJ-Yr</t>
  </si>
  <si>
    <t>im_stladditiv,im_fescrap</t>
  </si>
  <si>
    <t>~FI_T: ACT_BND~LO</t>
  </si>
  <si>
    <t>START</t>
  </si>
  <si>
    <t>Table Name:</t>
  </si>
  <si>
    <t>Final energy - Iron and Steel</t>
  </si>
  <si>
    <t>Commodity</t>
  </si>
  <si>
    <t>Non-energy - Iron and steel</t>
  </si>
  <si>
    <t>VAR_FIn</t>
  </si>
  <si>
    <t>cok coal/coke</t>
  </si>
  <si>
    <t>BF cok input</t>
  </si>
  <si>
    <t>Electricity</t>
  </si>
  <si>
    <t>CokeOven</t>
  </si>
  <si>
    <t>commodity</t>
  </si>
  <si>
    <t>COM_BNDPRD</t>
  </si>
  <si>
    <t>INDCO2Nc~FLO_EMIS</t>
  </si>
  <si>
    <t>VDA_EMCB</t>
  </si>
  <si>
    <t>commgrp</t>
  </si>
  <si>
    <t>INDCO2Nc</t>
  </si>
  <si>
    <t>INDCO2Ng</t>
  </si>
  <si>
    <t>~FI_T: INPUT</t>
  </si>
  <si>
    <t>Limestone Decomposition (Calcination) TE Table</t>
  </si>
  <si>
    <t>Electricity (kWh/ton Quicklime)</t>
  </si>
  <si>
    <t>Heat Input (GJ/ton Quicklime)</t>
  </si>
  <si>
    <t>Fuel Type</t>
  </si>
  <si>
    <t>Input Quantity (tons/ton Quicklime)</t>
  </si>
  <si>
    <t>CAPEX ($/ton Quicklime)</t>
  </si>
  <si>
    <t>OPEX ($/ton Quicklime)</t>
  </si>
  <si>
    <t>Direct CO₂ Emissions (kg CO₂/ton Quicklime)</t>
  </si>
  <si>
    <t>3.2 - 4.0</t>
  </si>
  <si>
    <t>Coal</t>
  </si>
  <si>
    <t>Limestone (CaCO₃)</t>
  </si>
  <si>
    <t>1.8 - 2.0</t>
  </si>
  <si>
    <t>100 - 200</t>
  </si>
  <si>
    <t>800 - 900</t>
  </si>
  <si>
    <t>Quicklime (CaO)</t>
  </si>
  <si>
    <t>3.3 - 4.1</t>
  </si>
  <si>
    <t>120 - 220</t>
  </si>
  <si>
    <t>14 - 20</t>
  </si>
  <si>
    <t>3.4 - 4.2</t>
  </si>
  <si>
    <t>90 - 180</t>
  </si>
  <si>
    <t>16 - 28</t>
  </si>
  <si>
    <t>4.5 - 5.2</t>
  </si>
  <si>
    <t>1.8 - 2.1</t>
  </si>
  <si>
    <t>200 - 300</t>
  </si>
  <si>
    <t>18 - 30</t>
  </si>
  <si>
    <t>4.6 - 5.3</t>
  </si>
  <si>
    <t>220 - 330</t>
  </si>
  <si>
    <t>4.7 - 5.4</t>
  </si>
  <si>
    <t>180 - 290</t>
  </si>
  <si>
    <t>10 - 16</t>
  </si>
  <si>
    <t>12 - 18</t>
  </si>
  <si>
    <t>Revised BF TE Table (after integrating a separate lime calcination step):</t>
  </si>
  <si>
    <t>Direct CO₂ Emissions (kg CO₂/ton Hot Metal)</t>
  </si>
  <si>
    <t>100 - 150</t>
  </si>
  <si>
    <t>1.5 - 1.7</t>
  </si>
  <si>
    <t>$400 - 600</t>
  </si>
  <si>
    <t>50 - 80</t>
  </si>
  <si>
    <t>300 - 400</t>
  </si>
  <si>
    <t>0.4 - 0.5</t>
  </si>
  <si>
    <t>4.9 - 8.05 GJ</t>
  </si>
  <si>
    <r>
      <t xml:space="preserve">- </t>
    </r>
    <r>
      <rPr>
        <b/>
        <sz val="11"/>
        <color theme="1"/>
        <rFont val="Calibri"/>
        <family val="2"/>
        <scheme val="minor"/>
      </rPr>
      <t>Quicklime (CaO)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(replacing limestone)</t>
    </r>
  </si>
  <si>
    <t>0.056 - 0.084</t>
  </si>
  <si>
    <t>0.05 - 0.10</t>
  </si>
  <si>
    <t>120 - 180</t>
  </si>
  <si>
    <t>1.6 - 1.8</t>
  </si>
  <si>
    <t>$350 - 550</t>
  </si>
  <si>
    <t>40 - 70</t>
  </si>
  <si>
    <t>90 - 130</t>
  </si>
  <si>
    <t>1.5 - 1.6</t>
  </si>
  <si>
    <t>$450 - 650</t>
  </si>
  <si>
    <t>60 - 100</t>
  </si>
  <si>
    <t>350 - 450</t>
  </si>
  <si>
    <t>5.6 - 8.4 GJ</t>
  </si>
  <si>
    <t>im_cao</t>
  </si>
  <si>
    <t>Quicklime</t>
  </si>
  <si>
    <t>Shaft Kiln</t>
  </si>
  <si>
    <t>Rotary Kiln</t>
  </si>
  <si>
    <t>INPUT</t>
  </si>
  <si>
    <t>OUTPUT</t>
  </si>
  <si>
    <t>Blast Furnace</t>
  </si>
  <si>
    <t>Limestone decomposition kiln</t>
  </si>
  <si>
    <t>Refining and Casting</t>
  </si>
  <si>
    <t>COATAR</t>
  </si>
  <si>
    <t>Coking</t>
  </si>
  <si>
    <t>Pelletizing</t>
  </si>
  <si>
    <t>Input Quantity (tons/ton +J161Hot Metal)</t>
  </si>
  <si>
    <t>Blast Furnace (BF) TE Table with CCS</t>
  </si>
  <si>
    <t>BOF with CCS</t>
  </si>
  <si>
    <t>Comm-In</t>
  </si>
  <si>
    <t>Reduction (Sponge Iron Production)</t>
  </si>
  <si>
    <t>Pelletizing for DRI</t>
  </si>
  <si>
    <t>Cooling</t>
  </si>
  <si>
    <t>INDCO2P</t>
  </si>
  <si>
    <t>INDHH2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</si>
</sst>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7"/>
      </top>
      <bottom/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9" fontId="3" fillId="0" borderId="0" applyFont="0" applyFill="0" applyBorder="0" applyAlignment="0" applyProtection="0"/>
    <xf numFmtId="0" fontId="7" fillId="4" borderId="3" applyNumberFormat="0" applyAlignment="0" applyProtection="0"/>
  </cellStyleXfs>
  <cellXfs count="2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49" fontId="0" fillId="0" borderId="0" xfId="0" applyNumberFormat="1" applyAlignment="1">
      <alignment vertical="center"/>
    </xf>
    <xf numFmtId="0" fontId="3" fillId="2" borderId="0" xfId="1"/>
    <xf numFmtId="2" fontId="0" fillId="0" borderId="0" xfId="0" applyNumberFormat="1"/>
    <xf numFmtId="0" fontId="5" fillId="0" borderId="2" xfId="3"/>
    <xf numFmtId="0" fontId="4" fillId="0" borderId="1" xfId="2"/>
    <xf numFmtId="9" fontId="0" fillId="0" borderId="0" xfId="4" applyFont="1"/>
    <xf numFmtId="165" fontId="0" fillId="0" borderId="0" xfId="0" applyNumberFormat="1"/>
    <xf numFmtId="1" fontId="0" fillId="0" borderId="0" xfId="0" applyNumberFormat="1"/>
    <xf numFmtId="164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0" fontId="7" fillId="4" borderId="3" xfId="5"/>
    <xf numFmtId="0" fontId="8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6">
    <cellStyle name="20% - Accent1" xfId="1" builtinId="30"/>
    <cellStyle name="Heading 2" xfId="2" builtinId="17"/>
    <cellStyle name="Heading 3" xfId="3" builtinId="18"/>
    <cellStyle name="Input" xfId="5" builtinId="20"/>
    <cellStyle name="Normal" xfId="0" builtinId="0"/>
    <cellStyle name="Percent" xfId="4" builtinId="5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E9846D-0320-44F7-AB08-A96CEA8838B6}" name="Table11" displayName="Table11" ref="AA5:AF13" totalsRowShown="0">
  <tableColumns count="6">
    <tableColumn id="1" xr3:uid="{97D7719C-D952-4847-B761-8F100E7591CF}" name="Sets"/>
    <tableColumn id="2" xr3:uid="{598DCAC7-7930-470B-A04C-9ED020354BF6}" name="TechName"/>
    <tableColumn id="3" xr3:uid="{377DAF21-292F-4B7D-88B2-580361AE8C64}" name="TechDesc"/>
    <tableColumn id="4" xr3:uid="{42926568-D893-428F-87B9-AC380433991F}" name="Tact"/>
    <tableColumn id="5" xr3:uid="{0BA07D59-226D-432B-B821-05BC6C21CAA5}" name="Tcap"/>
    <tableColumn id="6" xr3:uid="{290C9CC3-C13E-4712-BB3A-3657205B5B53}" name="pcg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C77C0C-A684-4EC8-B786-0F253A2EC5C0}" name="Table10" displayName="Table10" ref="P5:X13" totalsRowShown="0" headerRowDxfId="10">
  <tableColumns count="9">
    <tableColumn id="1" xr3:uid="{723A95D1-C769-42ED-B6AF-099A89549354}" name="TechName"/>
    <tableColumn id="2" xr3:uid="{1F5C8E22-CDAF-499C-9519-64DB695758F1}" name="region"/>
    <tableColumn id="3" xr3:uid="{6E646806-533E-4FC6-BFEE-7EC631F76C30}" name="Comm-IN-A"/>
    <tableColumn id="4" xr3:uid="{4CDC5418-714D-4276-8867-82562E2FDBF1}" name="Comm-In"/>
    <tableColumn id="5" xr3:uid="{A5EB6E1C-5132-411B-B82B-D52EBEB463F6}" name="INPUT"/>
    <tableColumn id="6" xr3:uid="{71497B35-0886-4BC1-91AC-4BC79E3AB9E0}" name="EnInput"/>
    <tableColumn id="7" xr3:uid="{9F7581B9-32A3-4F40-AED2-E5A7AFBCE73F}" name="Comm-OUT"/>
    <tableColumn id="8" xr3:uid="{901C75C9-D9EE-43B1-89C4-8F3225C98810}" name="INVCOST"/>
    <tableColumn id="9" xr3:uid="{940E10DD-FEA0-4051-80EE-BEEEA8F538A8}" name="VAROM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1676F7-0A7D-4DAB-A8D0-C9B606FBAFBC}" name="Table12" displayName="Table12" ref="P21:W51" totalsRowShown="0" headerRowDxfId="9">
  <tableColumns count="8">
    <tableColumn id="1" xr3:uid="{F11E3D3F-7B8B-4354-B4D9-BDFC698AE355}" name="TechName"/>
    <tableColumn id="2" xr3:uid="{63511F19-64F2-44DD-8B11-EC0D1083D6DB}" name="region"/>
    <tableColumn id="3" xr3:uid="{B3AC0DD1-FCC2-4603-BD40-5422E9666966}" name="Comm-IN"/>
    <tableColumn id="4" xr3:uid="{1BB6BDCD-3C82-43F3-A708-32F03BB7BFB8}" name="INPUT"/>
    <tableColumn id="5" xr3:uid="{E3BC5858-44DD-4B5E-9E18-32963F6FDCBB}" name="Comm-OUT"/>
    <tableColumn id="6" xr3:uid="{3D2D9765-68A9-4F26-A1C7-CE00080C7CD5}" name="OUTPUT"/>
    <tableColumn id="7" xr3:uid="{26A109D6-851C-48F0-A1AA-626B07E659F7}" name="INVCOST"/>
    <tableColumn id="8" xr3:uid="{33FD3FE5-A73C-45EA-A4DD-7AE2C0323F75}" name="VAROM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4BEF6C1-54C8-46B0-B211-D07993F93FAE}" name="Table13" displayName="Table13" ref="P60:V66" totalsRowShown="0" headerRowDxfId="8">
  <tableColumns count="7">
    <tableColumn id="1" xr3:uid="{B43B07BE-3D0C-4242-AFAB-79DED0D31B7F}" name="TechName"/>
    <tableColumn id="2" xr3:uid="{67C530CD-43C0-4548-BDA0-A65A3002A6BE}" name="region"/>
    <tableColumn id="3" xr3:uid="{FD47DB55-1594-4350-8243-D2380994AFB1}" name="Comm-IN"/>
    <tableColumn id="4" xr3:uid="{95A653C3-E618-4938-ACE1-E4B0C275CCA1}" name="INPUT"/>
    <tableColumn id="5" xr3:uid="{87F94479-005F-414C-8A81-099268A9213C}" name="Comm-OUT"/>
    <tableColumn id="6" xr3:uid="{34B49CAF-3550-482D-B3D4-D99EC8CB2008}" name="INVCOST"/>
    <tableColumn id="7" xr3:uid="{42E5123D-1BC8-4298-9B73-4ADA0C1D9D36}" name="VAROM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D4351-00E1-45B7-A678-467400EA6F15}" name="Table1" displayName="Table1" ref="Q55:Z85" totalsRowShown="0">
  <tableColumns count="10">
    <tableColumn id="1" xr3:uid="{BCEE8E09-FAFB-4133-8676-0EE6931FBB35}" name="commgrp"/>
    <tableColumn id="2" xr3:uid="{BA8D657B-8A20-4001-BF45-567202DBD92F}" name="TechName"/>
    <tableColumn id="3" xr3:uid="{90AB5496-5DA9-418A-80F6-CC0036D67D02}" name="region"/>
    <tableColumn id="4" xr3:uid="{3E1B13B9-FAF6-421E-99F9-53C291CF3959}" name="Comm-IN"/>
    <tableColumn id="5" xr3:uid="{0894D1A1-9179-40CC-A624-628F79D238F9}" name="INPUT"/>
    <tableColumn id="6" xr3:uid="{F9C42582-BCD9-4DB1-A269-3528E40919D6}" name="Comm-OUT"/>
    <tableColumn id="7" xr3:uid="{D2E2B920-855C-4187-A312-071DDA6D6B49}" name="OUTPUT"/>
    <tableColumn id="8" xr3:uid="{E261AE9E-7E63-477B-9925-80C10CA32B9F}" name="INDCO2Nc~FLO_EMIS" dataDxfId="7"/>
    <tableColumn id="9" xr3:uid="{EED1B7D1-E677-4923-8494-77AD26A6276F}" name="INVCOST"/>
    <tableColumn id="10" xr3:uid="{E020E97B-298D-4C93-B3CD-361BDDE3A202}" name="VAROM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95BE0D-BA09-4D90-85C7-F6320062EF49}" name="Table2" displayName="Table2" ref="Q37:Z49" totalsRowShown="0" headerRowDxfId="6">
  <tableColumns count="10">
    <tableColumn id="1" xr3:uid="{01DBA5FA-CADD-485D-B454-8EBADAFB10C3}" name="TechName"/>
    <tableColumn id="2" xr3:uid="{0807594D-2311-4D37-B552-1DA13D82A6FD}" name="region"/>
    <tableColumn id="3" xr3:uid="{E5AD2837-F611-4F29-A791-4FB14B5FEDF7}" name="Comm-IN-A"/>
    <tableColumn id="4" xr3:uid="{61FD12E9-9ECD-4585-AF00-1A4B43BD3C39}" name="EnInput"/>
    <tableColumn id="5" xr3:uid="{3F82D4C3-D4EA-40E2-BCE4-779899AC079A}" name="Comm-IN"/>
    <tableColumn id="6" xr3:uid="{FA022427-3C20-4F21-B59F-1863A0ED5A35}" name="INPUT"/>
    <tableColumn id="7" xr3:uid="{92E97A8F-A0A0-400C-8E49-2E5F3935E448}" name="Comm-OUT"/>
    <tableColumn id="8" xr3:uid="{D12EA21B-B2B9-4324-8E28-850AD64C1BF9}" name="OUTPUT"/>
    <tableColumn id="9" xr3:uid="{96B1D7F3-BF5A-4E71-8ECD-9928F9AD1CBC}" name="INVCOST"/>
    <tableColumn id="10" xr3:uid="{7C3C3303-DE96-4B47-AD4F-AFC32C5B42ED}" name="VAROM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AE2353-5AFA-4BD7-A2AD-BD02C44BCB4D}" name="Table3" displayName="Table3" ref="Q167:W179" totalsRowShown="0" headerRowDxfId="5">
  <tableColumns count="7">
    <tableColumn id="1" xr3:uid="{AE7BBD19-46C4-4569-A10C-1308D9B624B9}" name="TechName"/>
    <tableColumn id="2" xr3:uid="{4277FF53-FBA6-4DF1-8732-9668E53B0E74}" name="region"/>
    <tableColumn id="3" xr3:uid="{D154A685-EE86-4AEF-86A8-7411F3785CC8}" name="Comm-IN"/>
    <tableColumn id="4" xr3:uid="{71B145D5-B61E-4D36-BC0D-A0F564012EDD}" name="INPUT"/>
    <tableColumn id="5" xr3:uid="{B1F9BBFD-B5F4-46B7-9D5D-0E47336C1FC5}" name="INVCOST"/>
    <tableColumn id="6" xr3:uid="{CF1EA3EE-B188-486E-8496-9BC0EE89DE26}" name="VAROM"/>
    <tableColumn id="7" xr3:uid="{E4388BF5-85D0-47D6-8993-790394AD8B70}" name="Comm-OUT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C26F4B-D331-4CA0-9A8E-AE44FFC3E2B2}" name="Table4" displayName="Table4" ref="AD4:AI16" totalsRowShown="0">
  <tableColumns count="6">
    <tableColumn id="1" xr3:uid="{C190F3B0-C282-4926-8888-02ECF24096FD}" name="Sets"/>
    <tableColumn id="2" xr3:uid="{1A017DBB-4CD5-421D-AF43-6B456BD2BC49}" name="TechName"/>
    <tableColumn id="3" xr3:uid="{F70051FB-1A1F-4FA7-AAAF-730C41E1A838}" name="TechDesc"/>
    <tableColumn id="4" xr3:uid="{F889F928-6BF1-4787-A82C-E90E8C1E7274}" name="Tact"/>
    <tableColumn id="5" xr3:uid="{3D57319F-2767-4DBE-9BE0-0A8BB36DA8D0}" name="Tcap"/>
    <tableColumn id="6" xr3:uid="{0ED0C15A-1CFE-4F1B-A934-F71C79F59F86}" name="pcg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67BEDD-036E-4140-9055-EB10F9440626}" name="Table5" displayName="Table5" ref="Q153:Y160" totalsRowShown="0" headerRowDxfId="4">
  <tableColumns count="9">
    <tableColumn id="1" xr3:uid="{D07C4A20-444B-488F-850B-8C63AAB4A8BE}" name="TechName"/>
    <tableColumn id="2" xr3:uid="{2265C4F8-68E5-4248-A6F3-E273E9AB718B}" name="region"/>
    <tableColumn id="3" xr3:uid="{CC080B6F-E477-4057-989E-1F694DC33ED5}" name="Comm-IN"/>
    <tableColumn id="4" xr3:uid="{B599161E-2D2E-4A10-A1FA-0A0EAB5E661A}" name="INDELC">
      <calculatedColumnFormula array="1">AvgRangePercent(C154,90)*3.6/1000</calculatedColumnFormula>
    </tableColumn>
    <tableColumn id="5" xr3:uid="{7982A735-9937-41DB-98D9-C889CCF198CF}" name="EFF"/>
    <tableColumn id="6" xr3:uid="{4F63ABAD-4C35-42DE-A415-AC09FE7DC402}" name="Share~im_stladditiv~FX">
      <calculatedColumnFormula array="1">AvgRangePercent(G154,50)</calculatedColumnFormula>
    </tableColumn>
    <tableColumn id="7" xr3:uid="{B4F8CF10-D9CA-464A-876C-6E323163487F}" name="INVCOST">
      <calculatedColumnFormula array="1">AvgRangePercent(I154,50)</calculatedColumnFormula>
    </tableColumn>
    <tableColumn id="8" xr3:uid="{BA087E76-61D4-4E73-9BAC-89D0954D9C63}" name="VAROM">
      <calculatedColumnFormula array="1">AvgRangePercent(J154,50)</calculatedColumnFormula>
    </tableColumn>
    <tableColumn id="9" xr3:uid="{7131CFB1-1660-43F4-B73F-E5F2AC085E2B}" name="Comm-OUT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7FF4C9-7AC5-4B20-96A6-595A4F0C387B}" name="Table6" displayName="Table6" ref="Q129:X144" totalsRowShown="0" headerRowDxfId="3">
  <tableColumns count="8">
    <tableColumn id="1" xr3:uid="{7F83027B-6DF0-40FB-AC63-24804F80B615}" name="TechName"/>
    <tableColumn id="2" xr3:uid="{0CBA3212-A213-4FD3-93AB-BD9D3A479D77}" name="region"/>
    <tableColumn id="3" xr3:uid="{196509DB-6015-4E56-B18F-C920AE419F83}" name="Comm-IN"/>
    <tableColumn id="4" xr3:uid="{668237B7-C01C-4D5C-8065-D845537F1818}" name="INPUT"/>
    <tableColumn id="5" xr3:uid="{6FA0EFB1-D678-4B4C-9AF3-F30CBD948E59}" name="INVCOST"/>
    <tableColumn id="6" xr3:uid="{2F5EA252-B091-4120-B880-A6E2BBB18F91}" name="VAROM"/>
    <tableColumn id="7" xr3:uid="{F51897E7-024C-431B-B7BE-C2DAC5F830A8}" name="Comm-OUT"/>
    <tableColumn id="8" xr3:uid="{6761F2D7-FF73-4475-81E2-16110D3407E5}" name="OUTPUT"/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568701-2E83-4E5C-B635-0E57F2B06A19}" name="Table7" displayName="Table7" ref="Q21:Z30" totalsRowShown="0" headerRowDxfId="2">
  <tableColumns count="10">
    <tableColumn id="1" xr3:uid="{370C0FF7-528B-403D-B1C2-5C399E0E26C3}" name="TechName"/>
    <tableColumn id="2" xr3:uid="{494EAD21-8897-4E8B-8FEA-81B0F407533E}" name="region"/>
    <tableColumn id="3" xr3:uid="{2144FE2A-0506-4914-B7D3-D6C2D4A681F2}" name="Comm-IN-A"/>
    <tableColumn id="4" xr3:uid="{25247AA3-A27B-4AF1-A6AA-8CE46D3713C6}" name="Comm-IN"/>
    <tableColumn id="5" xr3:uid="{E3148F09-90E2-47B6-8D87-16A4C248FE71}" name="INPUT"/>
    <tableColumn id="6" xr3:uid="{8D4B06E9-DEBA-415C-8F41-1B52080AE464}" name="EnInput"/>
    <tableColumn id="7" xr3:uid="{A089D06B-5214-436B-BCC1-16491650D37A}" name="INVCOST"/>
    <tableColumn id="8" xr3:uid="{7AADAB4A-967B-4104-859B-5CD1430477BC}" name="VAROM"/>
    <tableColumn id="9" xr3:uid="{E29452CF-33F8-4275-B44C-E5D1FF7C036B}" name="Comm-OUT"/>
    <tableColumn id="10" xr3:uid="{034123DF-308D-43C1-869C-F258A1150FA8}" name="OUTPUT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D5EC42-532A-4580-835F-DDFD59DD0C38}" name="Table8" displayName="Table8" ref="Q4:Y16" totalsRowShown="0" headerRowDxfId="1">
  <tableColumns count="9">
    <tableColumn id="1" xr3:uid="{C22198A4-65B3-4E85-A73E-2A66CFC75D93}" name="TechName"/>
    <tableColumn id="2" xr3:uid="{19C25783-2553-4D55-A9EF-F68D7D3614AF}" name="region"/>
    <tableColumn id="3" xr3:uid="{C1974A18-4806-4896-BDD1-CE17540D3C76}" name="Comm-IN-A"/>
    <tableColumn id="4" xr3:uid="{9820F226-77C4-4CEF-8123-E379027111F4}" name="Comm-IN"/>
    <tableColumn id="5" xr3:uid="{052D768E-756B-46BB-9254-76CB93B4545A}" name="INPUT"/>
    <tableColumn id="6" xr3:uid="{CB145E2F-EF6B-468F-8CA5-1016986313EA}" name="EnInput"/>
    <tableColumn id="7" xr3:uid="{5459AF27-C5C0-4002-9DD2-73DA1CFDCAD5}" name="INVCOST"/>
    <tableColumn id="8" xr3:uid="{D84E8B88-687A-4EB0-990C-CD694C4699D3}" name="VAROM"/>
    <tableColumn id="9" xr3:uid="{1F827DBF-35F8-4975-9641-F8DCDA799A63}" name="Comm-OUT"/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7A11D6-DA5D-41B8-9D63-9B4FAF06BB01}" name="Table9" displayName="Table9" ref="Q108:Y123" totalsRowShown="0" headerRowDxfId="0">
  <tableColumns count="9">
    <tableColumn id="1" xr3:uid="{3C8CA8F2-DA15-4F12-9E81-88311520B971}" name="TechName"/>
    <tableColumn id="2" xr3:uid="{152C17CC-312E-4E7B-9DD5-6A2E3F170032}" name="region"/>
    <tableColumn id="3" xr3:uid="{27B1C6AA-BC21-4650-819D-59B70066EF7E}" name="Comm-IN-A"/>
    <tableColumn id="4" xr3:uid="{8CB5C3E1-240D-4731-B076-2076926E74E3}" name="Comm-IN"/>
    <tableColumn id="5" xr3:uid="{F74FDA4D-9435-421D-A874-FBB720E92660}" name="INPUT">
      <calculatedColumnFormula>T130</calculatedColumnFormula>
    </tableColumn>
    <tableColumn id="6" xr3:uid="{6EBFE8E4-34C6-4A7A-904F-AA74D3A31A36}" name="INVCOST"/>
    <tableColumn id="7" xr3:uid="{30C86DB8-0447-4629-9773-87751B31E67F}" name="VAROM"/>
    <tableColumn id="8" xr3:uid="{AC388F11-75E6-43F8-8DC7-E48D1B9963A0}" name="Comm-OUT"/>
    <tableColumn id="9" xr3:uid="{82AD3CFB-4702-44D1-AAAA-919318E05B8D}" name="OUTPU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Relationship Id="rId9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FA3E-7DEF-4F07-87C5-B58659AF3444}">
  <sheetPr codeName="Sheet4"/>
  <dimension ref="B1:N27"/>
  <sheetViews>
    <sheetView workbookViewId="0">
      <selection activeCell="D28" sqref="D28"/>
    </sheetView>
  </sheetViews>
  <sheetFormatPr defaultColWidth="8.86328125" defaultRowHeight="14.25" x14ac:dyDescent="0.45"/>
  <cols>
    <col min="2" max="2" width="20.53125" customWidth="1"/>
    <col min="3" max="3" width="18.1328125" bestFit="1" customWidth="1"/>
  </cols>
  <sheetData>
    <row r="1" spans="2:14" x14ac:dyDescent="0.45">
      <c r="B1" t="s">
        <v>15</v>
      </c>
      <c r="I1" t="s">
        <v>513</v>
      </c>
    </row>
    <row r="2" spans="2:14" x14ac:dyDescent="0.45">
      <c r="B2" t="s">
        <v>18</v>
      </c>
      <c r="C2" t="s">
        <v>17</v>
      </c>
      <c r="D2" t="s">
        <v>16</v>
      </c>
      <c r="E2" t="s">
        <v>19</v>
      </c>
      <c r="F2" t="s">
        <v>41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</row>
    <row r="3" spans="2:14" x14ac:dyDescent="0.45">
      <c r="C3" t="s">
        <v>207</v>
      </c>
      <c r="D3" t="s">
        <v>0</v>
      </c>
      <c r="E3" s="1" t="s">
        <v>25</v>
      </c>
      <c r="F3" t="s">
        <v>13</v>
      </c>
      <c r="I3" t="s">
        <v>31</v>
      </c>
      <c r="J3" t="s">
        <v>520</v>
      </c>
      <c r="K3" t="s">
        <v>521</v>
      </c>
      <c r="M3" t="s">
        <v>522</v>
      </c>
    </row>
    <row r="4" spans="2:14" x14ac:dyDescent="0.45">
      <c r="C4" t="s">
        <v>208</v>
      </c>
      <c r="D4" t="s">
        <v>0</v>
      </c>
      <c r="E4" t="s">
        <v>21</v>
      </c>
      <c r="F4" t="s">
        <v>13</v>
      </c>
    </row>
    <row r="5" spans="2:14" x14ac:dyDescent="0.45">
      <c r="C5" t="s">
        <v>209</v>
      </c>
      <c r="D5" t="s">
        <v>0</v>
      </c>
      <c r="E5" t="s">
        <v>21</v>
      </c>
      <c r="F5" t="s">
        <v>13</v>
      </c>
    </row>
    <row r="6" spans="2:14" x14ac:dyDescent="0.45">
      <c r="C6" t="s">
        <v>206</v>
      </c>
      <c r="D6" t="s">
        <v>0</v>
      </c>
      <c r="E6" s="1" t="s">
        <v>25</v>
      </c>
      <c r="F6" t="s">
        <v>13</v>
      </c>
    </row>
    <row r="7" spans="2:14" x14ac:dyDescent="0.45">
      <c r="C7" s="1" t="s">
        <v>121</v>
      </c>
      <c r="D7" t="s">
        <v>20</v>
      </c>
      <c r="E7" t="s">
        <v>25</v>
      </c>
      <c r="F7" t="s">
        <v>13</v>
      </c>
    </row>
    <row r="8" spans="2:14" x14ac:dyDescent="0.45">
      <c r="C8" t="s">
        <v>210</v>
      </c>
      <c r="D8" t="s">
        <v>20</v>
      </c>
      <c r="E8" t="s">
        <v>21</v>
      </c>
      <c r="F8" t="s">
        <v>13</v>
      </c>
    </row>
    <row r="9" spans="2:14" x14ac:dyDescent="0.45">
      <c r="C9" t="s">
        <v>211</v>
      </c>
      <c r="D9" t="s">
        <v>20</v>
      </c>
      <c r="E9" t="s">
        <v>21</v>
      </c>
      <c r="F9" t="s">
        <v>13</v>
      </c>
    </row>
    <row r="10" spans="2:14" x14ac:dyDescent="0.45">
      <c r="C10" t="s">
        <v>160</v>
      </c>
      <c r="D10" t="s">
        <v>20</v>
      </c>
      <c r="E10" t="s">
        <v>21</v>
      </c>
      <c r="F10" t="s">
        <v>13</v>
      </c>
    </row>
    <row r="11" spans="2:14" x14ac:dyDescent="0.45">
      <c r="C11" t="s">
        <v>185</v>
      </c>
      <c r="D11" t="s">
        <v>20</v>
      </c>
      <c r="E11" t="s">
        <v>21</v>
      </c>
      <c r="F11" t="s">
        <v>13</v>
      </c>
    </row>
    <row r="12" spans="2:14" x14ac:dyDescent="0.45">
      <c r="C12" t="s">
        <v>142</v>
      </c>
      <c r="D12" t="s">
        <v>20</v>
      </c>
      <c r="E12" t="s">
        <v>21</v>
      </c>
      <c r="F12" t="s">
        <v>13</v>
      </c>
    </row>
    <row r="13" spans="2:14" x14ac:dyDescent="0.45">
      <c r="C13" t="s">
        <v>265</v>
      </c>
      <c r="D13" t="s">
        <v>20</v>
      </c>
      <c r="E13" s="1" t="s">
        <v>25</v>
      </c>
      <c r="F13" t="s">
        <v>13</v>
      </c>
    </row>
    <row r="14" spans="2:14" x14ac:dyDescent="0.45">
      <c r="C14" t="s">
        <v>264</v>
      </c>
      <c r="D14" t="s">
        <v>20</v>
      </c>
      <c r="E14" t="s">
        <v>21</v>
      </c>
      <c r="F14" t="s">
        <v>13</v>
      </c>
    </row>
    <row r="15" spans="2:14" x14ac:dyDescent="0.45">
      <c r="C15" t="s">
        <v>268</v>
      </c>
      <c r="D15" t="s">
        <v>20</v>
      </c>
      <c r="E15" t="s">
        <v>21</v>
      </c>
      <c r="F15" t="s">
        <v>13</v>
      </c>
    </row>
    <row r="16" spans="2:14" x14ac:dyDescent="0.45">
      <c r="C16" t="s">
        <v>270</v>
      </c>
      <c r="D16" t="s">
        <v>20</v>
      </c>
      <c r="E16" t="s">
        <v>21</v>
      </c>
      <c r="F16" t="s">
        <v>13</v>
      </c>
    </row>
    <row r="17" spans="2:6" x14ac:dyDescent="0.45">
      <c r="B17" t="s">
        <v>344</v>
      </c>
      <c r="C17" s="11" t="s">
        <v>342</v>
      </c>
      <c r="D17" t="s">
        <v>20</v>
      </c>
      <c r="E17" t="s">
        <v>21</v>
      </c>
      <c r="F17" t="s">
        <v>13</v>
      </c>
    </row>
    <row r="18" spans="2:6" x14ac:dyDescent="0.45">
      <c r="B18" t="s">
        <v>345</v>
      </c>
      <c r="C18" s="11" t="s">
        <v>340</v>
      </c>
      <c r="D18" t="s">
        <v>20</v>
      </c>
      <c r="E18" t="s">
        <v>21</v>
      </c>
      <c r="F18" t="s">
        <v>13</v>
      </c>
    </row>
    <row r="19" spans="2:6" x14ac:dyDescent="0.45">
      <c r="C19" s="11" t="s">
        <v>341</v>
      </c>
      <c r="D19" t="s">
        <v>20</v>
      </c>
      <c r="E19" t="s">
        <v>21</v>
      </c>
      <c r="F19" t="s">
        <v>13</v>
      </c>
    </row>
    <row r="20" spans="2:6" x14ac:dyDescent="0.45">
      <c r="C20" s="11" t="s">
        <v>338</v>
      </c>
      <c r="D20" t="s">
        <v>20</v>
      </c>
      <c r="E20" s="1" t="s">
        <v>25</v>
      </c>
      <c r="F20" t="s">
        <v>13</v>
      </c>
    </row>
    <row r="21" spans="2:6" x14ac:dyDescent="0.45">
      <c r="C21" s="11" t="s">
        <v>339</v>
      </c>
      <c r="D21" t="s">
        <v>20</v>
      </c>
      <c r="E21" s="1" t="s">
        <v>25</v>
      </c>
      <c r="F21" t="s">
        <v>13</v>
      </c>
    </row>
    <row r="22" spans="2:6" x14ac:dyDescent="0.45">
      <c r="C22" s="11" t="s">
        <v>343</v>
      </c>
      <c r="D22" t="s">
        <v>20</v>
      </c>
      <c r="E22" t="s">
        <v>21</v>
      </c>
      <c r="F22" t="s">
        <v>13</v>
      </c>
    </row>
    <row r="23" spans="2:6" x14ac:dyDescent="0.45">
      <c r="C23" s="11" t="s">
        <v>530</v>
      </c>
      <c r="D23" t="s">
        <v>20</v>
      </c>
      <c r="E23" t="s">
        <v>21</v>
      </c>
      <c r="F23" t="s">
        <v>13</v>
      </c>
    </row>
    <row r="24" spans="2:6" x14ac:dyDescent="0.45">
      <c r="C24" t="s">
        <v>524</v>
      </c>
      <c r="D24" t="s">
        <v>20</v>
      </c>
      <c r="E24" t="s">
        <v>21</v>
      </c>
      <c r="F24" t="s">
        <v>13</v>
      </c>
    </row>
    <row r="25" spans="2:6" x14ac:dyDescent="0.45">
      <c r="C25" t="s">
        <v>525</v>
      </c>
      <c r="D25" t="s">
        <v>20</v>
      </c>
      <c r="E25" t="s">
        <v>21</v>
      </c>
      <c r="F25" t="s">
        <v>13</v>
      </c>
    </row>
    <row r="26" spans="2:6" x14ac:dyDescent="0.45">
      <c r="C26" t="s">
        <v>526</v>
      </c>
      <c r="D26" t="s">
        <v>20</v>
      </c>
      <c r="E26" t="s">
        <v>21</v>
      </c>
      <c r="F26" t="s">
        <v>13</v>
      </c>
    </row>
    <row r="27" spans="2:6" x14ac:dyDescent="0.45">
      <c r="B27" t="s">
        <v>624</v>
      </c>
      <c r="C27" t="s">
        <v>623</v>
      </c>
      <c r="D27" t="s">
        <v>20</v>
      </c>
      <c r="E27" t="s">
        <v>21</v>
      </c>
      <c r="F27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3E5-58CC-4753-A291-8D22F806B405}">
  <sheetPr codeName="Sheet7"/>
  <dimension ref="B2:Q14"/>
  <sheetViews>
    <sheetView workbookViewId="0">
      <selection activeCell="Q15" sqref="Q15"/>
    </sheetView>
  </sheetViews>
  <sheetFormatPr defaultColWidth="8.86328125" defaultRowHeight="14.25" x14ac:dyDescent="0.45"/>
  <cols>
    <col min="2" max="2" width="11.33203125" bestFit="1" customWidth="1"/>
    <col min="3" max="3" width="16.6640625" bestFit="1" customWidth="1"/>
    <col min="4" max="4" width="20.46484375" bestFit="1" customWidth="1"/>
    <col min="5" max="5" width="4.6640625" bestFit="1" customWidth="1"/>
    <col min="6" max="6" width="5.53125" bestFit="1" customWidth="1"/>
    <col min="7" max="7" width="13.53125" bestFit="1" customWidth="1"/>
    <col min="8" max="8" width="16.6640625" bestFit="1" customWidth="1"/>
    <col min="9" max="9" width="8" bestFit="1" customWidth="1"/>
    <col min="10" max="10" width="10" bestFit="1" customWidth="1"/>
    <col min="11" max="11" width="14" bestFit="1" customWidth="1"/>
    <col min="13" max="13" width="11.33203125" bestFit="1" customWidth="1"/>
    <col min="14" max="14" width="15.1328125" bestFit="1" customWidth="1"/>
    <col min="15" max="15" width="16.6640625" bestFit="1" customWidth="1"/>
    <col min="16" max="16" width="11.53125" bestFit="1" customWidth="1"/>
    <col min="17" max="17" width="12" bestFit="1" customWidth="1"/>
    <col min="18" max="18" width="8.1328125" bestFit="1" customWidth="1"/>
    <col min="19" max="19" width="14.86328125" bestFit="1" customWidth="1"/>
    <col min="21" max="22" width="12" bestFit="1" customWidth="1"/>
  </cols>
  <sheetData>
    <row r="2" spans="2:17" x14ac:dyDescent="0.45">
      <c r="B2" t="s">
        <v>5</v>
      </c>
      <c r="N2" t="s">
        <v>32</v>
      </c>
    </row>
    <row r="3" spans="2:17" x14ac:dyDescent="0.45">
      <c r="B3" t="s">
        <v>7</v>
      </c>
      <c r="C3" t="s">
        <v>3</v>
      </c>
      <c r="D3" t="s">
        <v>8</v>
      </c>
      <c r="E3" t="s">
        <v>10</v>
      </c>
      <c r="F3" t="s">
        <v>9</v>
      </c>
      <c r="G3" t="s">
        <v>12</v>
      </c>
      <c r="N3" t="s">
        <v>34</v>
      </c>
      <c r="O3" t="s">
        <v>35</v>
      </c>
      <c r="P3" t="s">
        <v>24</v>
      </c>
      <c r="Q3" t="s">
        <v>22</v>
      </c>
    </row>
    <row r="4" spans="2:17" x14ac:dyDescent="0.45">
      <c r="B4" t="s">
        <v>11</v>
      </c>
      <c r="C4" t="str">
        <f>N4</f>
        <v>im_fs__coal</v>
      </c>
      <c r="E4" t="s">
        <v>13</v>
      </c>
      <c r="F4" t="s">
        <v>14</v>
      </c>
      <c r="G4" t="str">
        <f>P4</f>
        <v>ind_coal</v>
      </c>
      <c r="N4" t="str">
        <f>"im_fs_"&amp;MID(P4,4,32)</f>
        <v>im_fs__coal</v>
      </c>
      <c r="O4" t="s">
        <v>37</v>
      </c>
      <c r="P4" t="s">
        <v>526</v>
      </c>
      <c r="Q4" s="16">
        <f>1/24</f>
        <v>4.1666666666666664E-2</v>
      </c>
    </row>
    <row r="5" spans="2:17" x14ac:dyDescent="0.45">
      <c r="C5" t="str">
        <f>N5</f>
        <v>im_fs_cokcoal</v>
      </c>
      <c r="E5" t="s">
        <v>13</v>
      </c>
      <c r="F5" t="s">
        <v>14</v>
      </c>
      <c r="G5" t="str">
        <f>P5</f>
        <v>im_cokcoal</v>
      </c>
      <c r="N5" t="str">
        <f>"im_fs_"&amp;MID(P5,4,32)</f>
        <v>im_fs_cokcoal</v>
      </c>
      <c r="O5" t="s">
        <v>113</v>
      </c>
      <c r="P5" t="s">
        <v>340</v>
      </c>
      <c r="Q5" s="16">
        <f>1/28</f>
        <v>3.5714285714285712E-2</v>
      </c>
    </row>
    <row r="6" spans="2:17" x14ac:dyDescent="0.45">
      <c r="C6" t="str">
        <f t="shared" ref="C6:C8" si="0">N6</f>
        <v>im_fs__hydrogen</v>
      </c>
      <c r="E6" t="s">
        <v>13</v>
      </c>
      <c r="F6" t="s">
        <v>14</v>
      </c>
      <c r="G6" t="str">
        <f>P6</f>
        <v>ind_hydrogen</v>
      </c>
      <c r="N6" t="str">
        <f>"im_fs_"&amp;MID(P6,4,32)</f>
        <v>im_fs__hydrogen</v>
      </c>
      <c r="O6" t="s">
        <v>643</v>
      </c>
      <c r="P6" t="s">
        <v>525</v>
      </c>
      <c r="Q6" s="16">
        <f>1/120</f>
        <v>8.3333333333333332E-3</v>
      </c>
    </row>
    <row r="7" spans="2:17" x14ac:dyDescent="0.45">
      <c r="C7" t="str">
        <f t="shared" si="0"/>
        <v>im_fs__methane</v>
      </c>
      <c r="E7" t="s">
        <v>13</v>
      </c>
      <c r="F7" t="s">
        <v>14</v>
      </c>
      <c r="G7" t="str">
        <f>P7</f>
        <v>ind_methane</v>
      </c>
      <c r="N7" t="str">
        <f>"im_fs_"&amp;MID(P7,4,32)</f>
        <v>im_fs__methane</v>
      </c>
      <c r="O7" t="s">
        <v>36</v>
      </c>
      <c r="P7" t="s">
        <v>524</v>
      </c>
      <c r="Q7" s="16">
        <f>1/50</f>
        <v>0.02</v>
      </c>
    </row>
    <row r="8" spans="2:17" x14ac:dyDescent="0.45">
      <c r="C8" t="str">
        <f t="shared" si="0"/>
        <v>im_fs_OVC</v>
      </c>
      <c r="E8" t="s">
        <v>548</v>
      </c>
      <c r="F8" t="s">
        <v>549</v>
      </c>
      <c r="G8" t="str">
        <f>P8</f>
        <v>COAOVC</v>
      </c>
      <c r="N8" t="str">
        <f>"im_fs_"&amp;MID(P8,4,32)</f>
        <v>im_fs_OVC</v>
      </c>
      <c r="O8" t="s">
        <v>341</v>
      </c>
      <c r="P8" t="s">
        <v>511</v>
      </c>
      <c r="Q8">
        <v>30</v>
      </c>
    </row>
    <row r="11" spans="2:17" x14ac:dyDescent="0.45">
      <c r="N11" t="s">
        <v>32</v>
      </c>
    </row>
    <row r="12" spans="2:17" x14ac:dyDescent="0.45">
      <c r="N12" t="s">
        <v>562</v>
      </c>
      <c r="O12" t="s">
        <v>566</v>
      </c>
      <c r="P12" t="s">
        <v>565</v>
      </c>
    </row>
    <row r="13" spans="2:17" x14ac:dyDescent="0.45">
      <c r="N13" t="s">
        <v>526</v>
      </c>
      <c r="O13" t="s">
        <v>567</v>
      </c>
      <c r="P13">
        <f>24*94</f>
        <v>2256</v>
      </c>
    </row>
    <row r="14" spans="2:17" x14ac:dyDescent="0.45">
      <c r="N14" t="s">
        <v>524</v>
      </c>
      <c r="O14" t="s">
        <v>568</v>
      </c>
      <c r="P14">
        <f>50*55</f>
        <v>2750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8F21-9B20-4D7A-8429-FA69CF47510F}">
  <dimension ref="A3:AL188"/>
  <sheetViews>
    <sheetView topLeftCell="A43" workbookViewId="0">
      <selection activeCell="A65" sqref="A65"/>
    </sheetView>
  </sheetViews>
  <sheetFormatPr defaultColWidth="8.86328125" defaultRowHeight="14.25" x14ac:dyDescent="0.45"/>
  <cols>
    <col min="2" max="2" width="7.53125" bestFit="1" customWidth="1"/>
    <col min="3" max="3" width="13.6640625" bestFit="1" customWidth="1"/>
    <col min="4" max="4" width="28.53125" customWidth="1"/>
    <col min="5" max="6" width="12.1328125" bestFit="1" customWidth="1"/>
    <col min="7" max="7" width="7.6640625" bestFit="1" customWidth="1"/>
    <col min="8" max="8" width="12" bestFit="1" customWidth="1"/>
    <col min="9" max="9" width="9.53125" bestFit="1" customWidth="1"/>
    <col min="10" max="10" width="10.6640625" bestFit="1" customWidth="1"/>
    <col min="11" max="11" width="12.46484375" bestFit="1" customWidth="1"/>
    <col min="12" max="12" width="7.33203125" bestFit="1" customWidth="1"/>
    <col min="13" max="13" width="7.53125" bestFit="1" customWidth="1"/>
    <col min="14" max="15" width="9.33203125" bestFit="1" customWidth="1"/>
    <col min="16" max="16" width="13" bestFit="1" customWidth="1"/>
    <col min="17" max="17" width="13.6640625" bestFit="1" customWidth="1"/>
    <col min="18" max="18" width="9.46484375" bestFit="1" customWidth="1"/>
    <col min="19" max="19" width="13.33203125" bestFit="1" customWidth="1"/>
    <col min="20" max="20" width="13.86328125" bestFit="1" customWidth="1"/>
    <col min="21" max="21" width="13.46484375" bestFit="1" customWidth="1"/>
    <col min="22" max="22" width="7.33203125" bestFit="1" customWidth="1"/>
    <col min="23" max="23" width="9.1328125" bestFit="1" customWidth="1"/>
    <col min="24" max="24" width="8.33203125" bestFit="1" customWidth="1"/>
    <col min="25" max="25" width="12.53125" bestFit="1" customWidth="1"/>
    <col min="26" max="26" width="7.53125" bestFit="1" customWidth="1"/>
    <col min="27" max="27" width="14.1328125" bestFit="1" customWidth="1"/>
    <col min="28" max="28" width="7.6640625" bestFit="1" customWidth="1"/>
    <col min="29" max="29" width="8.33203125" bestFit="1" customWidth="1"/>
    <col min="30" max="30" width="11.6640625" bestFit="1" customWidth="1"/>
    <col min="31" max="31" width="11.46484375" bestFit="1" customWidth="1"/>
    <col min="32" max="32" width="6.33203125" bestFit="1" customWidth="1"/>
    <col min="33" max="33" width="7.33203125" bestFit="1" customWidth="1"/>
  </cols>
  <sheetData>
    <row r="3" spans="2:33" x14ac:dyDescent="0.45">
      <c r="B3" t="s">
        <v>457</v>
      </c>
      <c r="C3" t="s">
        <v>107</v>
      </c>
      <c r="D3" t="s">
        <v>108</v>
      </c>
      <c r="E3" t="s">
        <v>458</v>
      </c>
      <c r="F3" t="s">
        <v>459</v>
      </c>
      <c r="G3" t="s">
        <v>460</v>
      </c>
      <c r="H3" t="s">
        <v>461</v>
      </c>
      <c r="I3" t="s">
        <v>462</v>
      </c>
      <c r="J3" t="s">
        <v>463</v>
      </c>
      <c r="K3" t="s">
        <v>464</v>
      </c>
      <c r="L3" t="s">
        <v>66</v>
      </c>
      <c r="M3" t="s">
        <v>109</v>
      </c>
      <c r="N3" t="s">
        <v>78</v>
      </c>
      <c r="O3" t="s">
        <v>465</v>
      </c>
      <c r="P3" t="s">
        <v>466</v>
      </c>
      <c r="Q3" t="s">
        <v>467</v>
      </c>
      <c r="R3" t="s">
        <v>468</v>
      </c>
      <c r="S3" t="s">
        <v>469</v>
      </c>
      <c r="T3" t="s">
        <v>470</v>
      </c>
      <c r="U3" t="s">
        <v>471</v>
      </c>
      <c r="V3" t="s">
        <v>472</v>
      </c>
      <c r="W3" t="s">
        <v>71</v>
      </c>
      <c r="X3" t="s">
        <v>80</v>
      </c>
      <c r="Y3" t="s">
        <v>473</v>
      </c>
      <c r="Z3" t="s">
        <v>67</v>
      </c>
      <c r="AA3" t="s">
        <v>474</v>
      </c>
      <c r="AB3" t="s">
        <v>475</v>
      </c>
      <c r="AC3" t="s">
        <v>87</v>
      </c>
      <c r="AD3" t="s">
        <v>110</v>
      </c>
      <c r="AE3" t="s">
        <v>111</v>
      </c>
      <c r="AF3" t="s">
        <v>476</v>
      </c>
      <c r="AG3" t="s">
        <v>70</v>
      </c>
    </row>
    <row r="4" spans="2:33" x14ac:dyDescent="0.45">
      <c r="B4" t="s">
        <v>477</v>
      </c>
      <c r="C4" t="s">
        <v>478</v>
      </c>
      <c r="D4" t="s">
        <v>508</v>
      </c>
      <c r="E4" s="2">
        <v>5.2041630924</v>
      </c>
      <c r="F4" s="2"/>
      <c r="G4" s="2">
        <v>4.4760995063999998</v>
      </c>
      <c r="H4" s="2">
        <v>9.4339029132000007</v>
      </c>
      <c r="I4" s="2">
        <v>161.6211479664</v>
      </c>
      <c r="J4" s="2">
        <v>14.6534315616</v>
      </c>
      <c r="K4" s="2">
        <v>1.0297308996000001</v>
      </c>
      <c r="L4" s="2">
        <v>15.682777275599999</v>
      </c>
      <c r="M4" s="2">
        <v>20.040000969600001</v>
      </c>
      <c r="N4" s="2">
        <v>3143.1128589611999</v>
      </c>
      <c r="O4" s="2">
        <v>4.5219993947999999</v>
      </c>
      <c r="P4" s="2">
        <v>21.004053537600001</v>
      </c>
      <c r="Q4" s="2">
        <v>3.8611423224000001</v>
      </c>
      <c r="R4" s="2"/>
      <c r="S4" s="2">
        <v>6.204921336</v>
      </c>
      <c r="T4" s="2">
        <v>1.4379983279999999</v>
      </c>
      <c r="U4" s="2">
        <v>53.831508857999999</v>
      </c>
      <c r="V4" s="2"/>
      <c r="W4" s="2">
        <v>61.208997962399998</v>
      </c>
      <c r="X4" s="2">
        <v>432.34050682079999</v>
      </c>
      <c r="Y4" s="2">
        <v>0.56588788800000001</v>
      </c>
      <c r="Z4" s="2">
        <v>2.2299985368000002</v>
      </c>
      <c r="AA4" s="2">
        <v>1.9922385384000001</v>
      </c>
      <c r="AB4" s="2">
        <v>1.7901961308000001</v>
      </c>
      <c r="AC4" s="2">
        <v>138.85179719760001</v>
      </c>
      <c r="AD4" s="2"/>
      <c r="AE4" s="2">
        <v>18.124632079200001</v>
      </c>
      <c r="AF4" s="2">
        <v>0.91199808360000001</v>
      </c>
      <c r="AG4" s="2">
        <v>63.144999403200003</v>
      </c>
    </row>
    <row r="5" spans="2:33" x14ac:dyDescent="0.45">
      <c r="B5" t="s">
        <v>477</v>
      </c>
      <c r="C5" t="s">
        <v>478</v>
      </c>
      <c r="D5" t="s">
        <v>42</v>
      </c>
      <c r="E5" s="2"/>
      <c r="F5" s="2"/>
      <c r="G5" s="2"/>
      <c r="H5" s="2"/>
      <c r="I5" s="2">
        <v>2.1027072564</v>
      </c>
      <c r="J5" s="2">
        <v>1.6165234800000001E-2</v>
      </c>
      <c r="K5" s="2"/>
      <c r="L5" s="2">
        <v>140.1257943828</v>
      </c>
      <c r="M5" s="2">
        <v>6.8002005599999998E-2</v>
      </c>
      <c r="N5" s="2"/>
      <c r="O5" s="2">
        <v>8.6578837199999995E-2</v>
      </c>
      <c r="P5" s="2">
        <v>0.26987275440000003</v>
      </c>
      <c r="Q5" s="2">
        <v>6.6398461199999995E-2</v>
      </c>
      <c r="R5" s="2">
        <v>4.5468647999999997E-3</v>
      </c>
      <c r="S5" s="2">
        <v>4.9065109199999998E-2</v>
      </c>
      <c r="T5" s="2">
        <v>4.1072508000000001E-3</v>
      </c>
      <c r="U5" s="2">
        <v>0.65962615319999995</v>
      </c>
      <c r="V5" s="2">
        <v>2.17336788E-2</v>
      </c>
      <c r="W5" s="2">
        <v>3.9983939999999997E-3</v>
      </c>
      <c r="X5" s="2"/>
      <c r="Y5" s="2">
        <v>0.39450960359999998</v>
      </c>
      <c r="Z5" s="2"/>
      <c r="AA5" s="2"/>
      <c r="AB5" s="2">
        <v>0.58622736239999995</v>
      </c>
      <c r="AC5" s="2">
        <v>53.9444436012</v>
      </c>
      <c r="AD5" s="2"/>
      <c r="AE5" s="2"/>
      <c r="AF5" s="2"/>
      <c r="AG5" s="2">
        <v>8.4359833199999998E-2</v>
      </c>
    </row>
    <row r="6" spans="2:33" x14ac:dyDescent="0.45">
      <c r="B6" t="s">
        <v>477</v>
      </c>
      <c r="C6" t="s">
        <v>478</v>
      </c>
      <c r="D6" t="s">
        <v>38</v>
      </c>
      <c r="E6" s="2">
        <v>0.22661473679999999</v>
      </c>
      <c r="F6" s="2">
        <v>3.9657369599999999E-2</v>
      </c>
      <c r="G6" s="2">
        <v>0.1814307912</v>
      </c>
      <c r="H6" s="2">
        <v>22.8373778952</v>
      </c>
      <c r="I6" s="2">
        <v>150.2242429392</v>
      </c>
      <c r="J6" s="2">
        <v>355.47567364079998</v>
      </c>
      <c r="K6" s="2">
        <v>0.6735263292</v>
      </c>
      <c r="L6" s="2">
        <v>95.704172953200001</v>
      </c>
      <c r="M6" s="2">
        <v>9.3672197496000003</v>
      </c>
      <c r="N6" s="2">
        <v>2122.4897733563998</v>
      </c>
      <c r="O6" s="2">
        <v>3.0524870231999999</v>
      </c>
      <c r="P6" s="2">
        <v>13.4430276816</v>
      </c>
      <c r="Q6" s="2">
        <v>11.0219561532</v>
      </c>
      <c r="R6" s="2">
        <v>0.8686270224</v>
      </c>
      <c r="S6" s="2">
        <v>12.2207625972</v>
      </c>
      <c r="T6" s="2">
        <v>4.5049172508000002</v>
      </c>
      <c r="U6" s="2">
        <v>70.003618383599999</v>
      </c>
      <c r="V6" s="2">
        <v>1.8844075043999999</v>
      </c>
      <c r="W6" s="2">
        <v>28.4332789296</v>
      </c>
      <c r="X6" s="2">
        <v>1542.0741708384001</v>
      </c>
      <c r="Y6" s="2">
        <v>4.8671550000000001E-2</v>
      </c>
      <c r="Z6" s="2"/>
      <c r="AA6" s="2"/>
      <c r="AB6" s="2">
        <v>6.0100299827999999</v>
      </c>
      <c r="AC6" s="2">
        <v>98.8810665516</v>
      </c>
      <c r="AD6" s="2"/>
      <c r="AE6" s="2">
        <v>83.145979396800001</v>
      </c>
      <c r="AF6" s="2">
        <v>4.6196313839999998</v>
      </c>
      <c r="AG6" s="2">
        <v>8.8313386571999999</v>
      </c>
    </row>
    <row r="7" spans="2:33" x14ac:dyDescent="0.45">
      <c r="B7" t="s">
        <v>477</v>
      </c>
      <c r="C7" t="s">
        <v>478</v>
      </c>
      <c r="D7" t="s">
        <v>509</v>
      </c>
      <c r="E7" s="2"/>
      <c r="F7" s="2">
        <v>0.83406080159999996</v>
      </c>
      <c r="G7" s="2">
        <v>7.5567301992000004</v>
      </c>
      <c r="H7" s="2"/>
      <c r="I7" s="2">
        <v>195.95806191720001</v>
      </c>
      <c r="J7" s="2">
        <v>30.737421507600001</v>
      </c>
      <c r="K7" s="2">
        <v>0.78778410119999998</v>
      </c>
      <c r="L7" s="2">
        <v>44.5852792548</v>
      </c>
      <c r="M7" s="2">
        <v>19.907099377200002</v>
      </c>
      <c r="N7" s="2">
        <v>569.78817271560001</v>
      </c>
      <c r="O7" s="2">
        <v>5.8553988983999998</v>
      </c>
      <c r="P7" s="2">
        <v>18.5128824168</v>
      </c>
      <c r="Q7" s="2">
        <v>9.6562513007999993</v>
      </c>
      <c r="R7" s="2">
        <v>3.0562844508000002</v>
      </c>
      <c r="S7" s="2">
        <v>1.3166983584</v>
      </c>
      <c r="T7" s="2">
        <v>1.6164020628</v>
      </c>
      <c r="U7" s="2">
        <v>37.404243180000002</v>
      </c>
      <c r="V7" s="2"/>
      <c r="W7" s="2">
        <v>24.650099010000002</v>
      </c>
      <c r="X7" s="2">
        <v>75.001313620800005</v>
      </c>
      <c r="Y7" s="2">
        <v>0.50075802719999996</v>
      </c>
      <c r="Z7" s="2">
        <v>6.9965991611999998</v>
      </c>
      <c r="AA7" s="2">
        <v>2.5255154412</v>
      </c>
      <c r="AB7" s="2"/>
      <c r="AC7" s="2">
        <v>132.29669609640001</v>
      </c>
      <c r="AD7" s="2"/>
      <c r="AE7" s="2">
        <v>18.214024446</v>
      </c>
      <c r="AF7" s="2">
        <v>2.5893013391999999</v>
      </c>
      <c r="AG7" s="2">
        <v>0.1844997156</v>
      </c>
    </row>
    <row r="8" spans="2:33" x14ac:dyDescent="0.45">
      <c r="B8" t="s">
        <v>477</v>
      </c>
      <c r="C8" t="s">
        <v>478</v>
      </c>
      <c r="D8" t="s">
        <v>2</v>
      </c>
      <c r="E8" s="2">
        <v>3.0732786719999998</v>
      </c>
      <c r="F8" s="2">
        <v>1.1637503676000001</v>
      </c>
      <c r="G8" s="2">
        <v>23.895532979999999</v>
      </c>
      <c r="H8" s="2">
        <v>87.381233233200007</v>
      </c>
      <c r="I8" s="2">
        <v>433.31776455599999</v>
      </c>
      <c r="J8" s="2">
        <v>173.67332487479999</v>
      </c>
      <c r="K8" s="2">
        <v>17.1874043388</v>
      </c>
      <c r="L8" s="2">
        <v>85.630836823199999</v>
      </c>
      <c r="M8" s="2">
        <v>29.498400849599999</v>
      </c>
      <c r="N8" s="2">
        <v>2325.4847993735998</v>
      </c>
      <c r="O8" s="2">
        <v>33.443032150800001</v>
      </c>
      <c r="P8" s="2">
        <v>47.7534601224</v>
      </c>
      <c r="Q8" s="2">
        <v>30.067596309599999</v>
      </c>
      <c r="R8" s="2">
        <v>72.544474260000001</v>
      </c>
      <c r="S8" s="2">
        <v>17.0816918256</v>
      </c>
      <c r="T8" s="2">
        <v>53.5279532976</v>
      </c>
      <c r="U8" s="2">
        <v>174.2733184356</v>
      </c>
      <c r="V8" s="2">
        <v>45.951662368800001</v>
      </c>
      <c r="W8" s="2">
        <v>87.739200446400005</v>
      </c>
      <c r="X8" s="2">
        <v>350.63678791439997</v>
      </c>
      <c r="Y8" s="2">
        <v>68.281587543599997</v>
      </c>
      <c r="Z8" s="2">
        <v>19.429201278000001</v>
      </c>
      <c r="AA8" s="2">
        <v>1.6120603512</v>
      </c>
      <c r="AB8" s="2">
        <v>21.689101940400001</v>
      </c>
      <c r="AC8" s="2">
        <v>223.47734565959999</v>
      </c>
      <c r="AD8" s="2">
        <v>16.618644306</v>
      </c>
      <c r="AE8" s="2">
        <v>67.765535135999997</v>
      </c>
      <c r="AF8" s="2">
        <v>8.7959518235999994</v>
      </c>
      <c r="AG8" s="2">
        <v>204.41373575759999</v>
      </c>
    </row>
    <row r="9" spans="2:33" x14ac:dyDescent="0.45">
      <c r="B9" t="s">
        <v>477</v>
      </c>
      <c r="C9" t="s">
        <v>478</v>
      </c>
      <c r="D9" t="s">
        <v>1</v>
      </c>
      <c r="E9" s="2"/>
      <c r="F9" s="2"/>
      <c r="G9" s="2"/>
      <c r="H9" s="2">
        <v>35.699729911200002</v>
      </c>
      <c r="I9" s="2">
        <v>0.2346659532</v>
      </c>
      <c r="J9" s="2">
        <v>0.19284400800000001</v>
      </c>
      <c r="K9" s="2"/>
      <c r="L9" s="2"/>
      <c r="M9" s="2">
        <v>5.6999095200000002E-2</v>
      </c>
      <c r="N9" s="2">
        <v>194.727398112</v>
      </c>
      <c r="O9" s="2">
        <v>3.7920350016</v>
      </c>
      <c r="P9" s="2">
        <v>6.7552259544000002</v>
      </c>
      <c r="Q9" s="2">
        <v>1.30670028E-2</v>
      </c>
      <c r="R9" s="2">
        <v>7.0243827659999996</v>
      </c>
      <c r="S9" s="2">
        <v>1.323510282</v>
      </c>
      <c r="T9" s="2"/>
      <c r="U9" s="2">
        <v>53.475681099600003</v>
      </c>
      <c r="V9" s="2">
        <v>0.41823619919999999</v>
      </c>
      <c r="W9" s="2">
        <v>1.4100011964000001</v>
      </c>
      <c r="X9" s="2"/>
      <c r="Y9" s="2"/>
      <c r="Z9" s="2"/>
      <c r="AA9" s="2"/>
      <c r="AB9" s="2">
        <v>7.0003295999999998E-3</v>
      </c>
      <c r="AC9" s="2">
        <v>253.88065634040001</v>
      </c>
      <c r="AD9" s="2"/>
      <c r="AE9" s="2"/>
      <c r="AF9" s="2"/>
      <c r="AG9" s="2">
        <v>7.3272809988000001</v>
      </c>
    </row>
    <row r="10" spans="2:33" x14ac:dyDescent="0.45">
      <c r="B10" t="s">
        <v>477</v>
      </c>
      <c r="C10" t="s">
        <v>478</v>
      </c>
      <c r="D10" t="s">
        <v>39</v>
      </c>
      <c r="E10" s="2">
        <v>88.866860598000002</v>
      </c>
      <c r="F10" s="2">
        <v>10.662389582399999</v>
      </c>
      <c r="G10" s="2">
        <v>34.2095933628</v>
      </c>
      <c r="H10" s="2">
        <v>27.625004629199999</v>
      </c>
      <c r="I10" s="2">
        <v>199.60412832360001</v>
      </c>
      <c r="J10" s="2">
        <v>51.623193758399999</v>
      </c>
      <c r="K10" s="2">
        <v>8.4235694579999993</v>
      </c>
      <c r="L10" s="2">
        <v>54.722141701200002</v>
      </c>
      <c r="M10" s="2">
        <v>74.809801015199994</v>
      </c>
      <c r="N10" s="2">
        <v>929.78709341759998</v>
      </c>
      <c r="O10" s="2">
        <v>12.9721969008</v>
      </c>
      <c r="P10" s="2">
        <v>55.946709525599999</v>
      </c>
      <c r="Q10" s="2">
        <v>38.021582653199999</v>
      </c>
      <c r="R10" s="2">
        <v>55.646264757600001</v>
      </c>
      <c r="S10" s="2">
        <v>20.7240822216</v>
      </c>
      <c r="T10" s="2">
        <v>26.522636936400001</v>
      </c>
      <c r="U10" s="2">
        <v>134.18266946400001</v>
      </c>
      <c r="V10" s="2">
        <v>23.384638710000001</v>
      </c>
      <c r="W10" s="2">
        <v>94.027112532000004</v>
      </c>
      <c r="X10" s="2">
        <v>21.4709905944</v>
      </c>
      <c r="Y10" s="2">
        <v>47.968498357199998</v>
      </c>
      <c r="Z10" s="2">
        <v>154.0584013356</v>
      </c>
      <c r="AA10" s="2">
        <v>72.999139806000002</v>
      </c>
      <c r="AB10" s="2">
        <v>4.3404555599999999E-2</v>
      </c>
      <c r="AC10" s="2">
        <v>488.51987682240002</v>
      </c>
      <c r="AD10" s="2"/>
      <c r="AE10" s="2">
        <v>14.295598326</v>
      </c>
      <c r="AF10" s="2">
        <v>13.5855002988</v>
      </c>
      <c r="AG10" s="2">
        <v>393.06898852199998</v>
      </c>
    </row>
    <row r="11" spans="2:33" x14ac:dyDescent="0.45">
      <c r="B11" t="s">
        <v>477</v>
      </c>
      <c r="C11" t="s">
        <v>478</v>
      </c>
      <c r="D11" t="s">
        <v>40</v>
      </c>
      <c r="E11" s="2">
        <v>2.3829967692</v>
      </c>
      <c r="F11" s="2">
        <v>0.3915034812</v>
      </c>
      <c r="G11" s="2">
        <v>0.35065287360000003</v>
      </c>
      <c r="H11" s="2">
        <v>22.8644455572</v>
      </c>
      <c r="I11" s="2">
        <v>54.777553999200002</v>
      </c>
      <c r="J11" s="2">
        <v>50.859885689999999</v>
      </c>
      <c r="K11" s="2">
        <v>0.87116422319999998</v>
      </c>
      <c r="L11" s="2">
        <v>11.928758417999999</v>
      </c>
      <c r="M11" s="2">
        <v>0.1814391648</v>
      </c>
      <c r="N11" s="2">
        <v>28.547419471200001</v>
      </c>
      <c r="O11" s="2">
        <v>9.2687545872000001</v>
      </c>
      <c r="P11" s="2">
        <v>0.35197171560000001</v>
      </c>
      <c r="Q11" s="2">
        <v>0.74128550039999996</v>
      </c>
      <c r="R11" s="2">
        <v>3.3251146920000001</v>
      </c>
      <c r="S11" s="2">
        <v>0.13797599399999999</v>
      </c>
      <c r="T11" s="2">
        <v>3.3590863872000001</v>
      </c>
      <c r="U11" s="2">
        <v>7.3766391840000001</v>
      </c>
      <c r="V11" s="2">
        <v>0.93863869200000005</v>
      </c>
      <c r="W11" s="2">
        <v>0.59999774760000002</v>
      </c>
      <c r="X11" s="2">
        <v>24.166322643600001</v>
      </c>
      <c r="Y11" s="2">
        <v>0.50863758479999999</v>
      </c>
      <c r="Z11" s="2">
        <v>3.2494801500000001</v>
      </c>
      <c r="AA11" s="2"/>
      <c r="AB11" s="2">
        <v>0.61515815039999999</v>
      </c>
      <c r="AC11" s="2">
        <v>13.7755014696</v>
      </c>
      <c r="AD11" s="2"/>
      <c r="AE11" s="2">
        <v>0.64145125439999995</v>
      </c>
      <c r="AF11" s="2">
        <v>0.23132069999999999</v>
      </c>
      <c r="AG11" s="2">
        <v>3.6858033252000002</v>
      </c>
    </row>
    <row r="12" spans="2:33" x14ac:dyDescent="0.45">
      <c r="B12" t="s">
        <v>477</v>
      </c>
      <c r="C12" t="s">
        <v>478</v>
      </c>
      <c r="D12" t="s">
        <v>510</v>
      </c>
      <c r="E12" s="2">
        <v>7.6538388383999996</v>
      </c>
      <c r="F12" s="2">
        <v>1.3480700508000001</v>
      </c>
      <c r="G12" s="2">
        <v>3.2370788483999999</v>
      </c>
      <c r="H12" s="2">
        <v>27.373294213200001</v>
      </c>
      <c r="I12" s="2">
        <v>114.2444119212</v>
      </c>
      <c r="J12" s="2">
        <v>169.83155068919999</v>
      </c>
      <c r="K12" s="2">
        <v>12.2850006696</v>
      </c>
      <c r="L12" s="2">
        <v>71.299813982399996</v>
      </c>
      <c r="M12" s="2">
        <v>20.373094404</v>
      </c>
      <c r="N12" s="2">
        <v>1233.2233300175999</v>
      </c>
      <c r="O12" s="2">
        <v>12.853182924</v>
      </c>
      <c r="P12" s="2">
        <v>19.57569741</v>
      </c>
      <c r="Q12" s="2">
        <v>17.730080607600001</v>
      </c>
      <c r="R12" s="2">
        <v>19.215213930000001</v>
      </c>
      <c r="S12" s="2">
        <v>2.4194428632</v>
      </c>
      <c r="T12" s="2">
        <v>5.7615140951999999</v>
      </c>
      <c r="U12" s="2">
        <v>86.008247535600006</v>
      </c>
      <c r="V12" s="2">
        <v>2.2752243503999998</v>
      </c>
      <c r="W12" s="2"/>
      <c r="X12" s="2">
        <v>215.51669393040001</v>
      </c>
      <c r="Y12" s="2">
        <v>6.0331787999999997E-2</v>
      </c>
      <c r="Z12" s="2">
        <v>22.060500407999999</v>
      </c>
      <c r="AA12" s="2"/>
      <c r="AB12" s="2">
        <v>2.2235717988000001</v>
      </c>
      <c r="AC12" s="2">
        <v>768.67759334519997</v>
      </c>
      <c r="AD12" s="2"/>
      <c r="AE12" s="2">
        <v>4.6360101456000002</v>
      </c>
      <c r="AF12" s="2">
        <v>15.2278019064</v>
      </c>
      <c r="AG12" s="2">
        <v>77.531388487200005</v>
      </c>
    </row>
    <row r="13" spans="2:33" x14ac:dyDescent="0.45">
      <c r="B13" t="s">
        <v>477</v>
      </c>
      <c r="C13" t="s">
        <v>479</v>
      </c>
      <c r="D13" t="s">
        <v>480</v>
      </c>
      <c r="E13" s="2"/>
      <c r="F13" s="2"/>
      <c r="G13" s="2"/>
      <c r="H13" s="2"/>
      <c r="I13" s="2"/>
      <c r="J13" s="2"/>
      <c r="K13" s="2"/>
      <c r="L13" s="2">
        <v>-1.9303995024</v>
      </c>
      <c r="M13" s="2"/>
      <c r="N13" s="2"/>
      <c r="O13" s="2">
        <v>-2.46016368E-2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2:33" x14ac:dyDescent="0.45">
      <c r="B14" t="s">
        <v>477</v>
      </c>
      <c r="C14" t="s">
        <v>479</v>
      </c>
      <c r="D14" t="s">
        <v>113</v>
      </c>
      <c r="E14" s="2"/>
      <c r="F14" s="2"/>
      <c r="G14" s="2">
        <v>-0.42725037960000001</v>
      </c>
      <c r="H14" s="2"/>
      <c r="I14" s="2">
        <v>-598.91216478839999</v>
      </c>
      <c r="J14" s="2"/>
      <c r="K14" s="2"/>
      <c r="L14" s="2"/>
      <c r="M14" s="2"/>
      <c r="N14" s="2"/>
      <c r="O14" s="2"/>
      <c r="P14" s="2">
        <v>-26.4453821028</v>
      </c>
      <c r="Q14" s="2">
        <v>-39.825720828000001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>
        <v>-30.4214395248</v>
      </c>
      <c r="AG14" s="2"/>
    </row>
    <row r="15" spans="2:33" x14ac:dyDescent="0.45">
      <c r="B15" t="s">
        <v>477</v>
      </c>
      <c r="C15" t="s">
        <v>479</v>
      </c>
      <c r="D15" t="s">
        <v>37</v>
      </c>
      <c r="E15" s="2"/>
      <c r="F15" s="2"/>
      <c r="G15" s="2"/>
      <c r="H15" s="2"/>
      <c r="I15" s="2"/>
      <c r="J15" s="2">
        <v>-52.303485956400003</v>
      </c>
      <c r="K15" s="2">
        <v>-1.5677012051999999</v>
      </c>
      <c r="L15" s="2"/>
      <c r="M15" s="2"/>
      <c r="N15" s="2"/>
      <c r="O15" s="2">
        <v>-14.589679157999999</v>
      </c>
      <c r="P15" s="2">
        <v>-27.483151658400001</v>
      </c>
      <c r="Q15" s="2">
        <v>-36.4142491992</v>
      </c>
      <c r="R15" s="2">
        <v>-9.7702787987999997</v>
      </c>
      <c r="S15" s="2"/>
      <c r="T15" s="2">
        <v>-17.531651408399998</v>
      </c>
      <c r="U15" s="2">
        <v>-35.601051222000002</v>
      </c>
      <c r="V15" s="2">
        <v>-66.218160844799996</v>
      </c>
      <c r="W15" s="2">
        <v>-145.69006833</v>
      </c>
      <c r="X15" s="2">
        <v>-79.958036833199998</v>
      </c>
      <c r="Y15" s="2"/>
      <c r="Z15" s="2"/>
      <c r="AA15" s="2"/>
      <c r="AB15" s="2">
        <v>-3.0910013963999998</v>
      </c>
      <c r="AC15" s="2">
        <v>-61.871194810799999</v>
      </c>
      <c r="AD15" s="2"/>
      <c r="AE15" s="2"/>
      <c r="AF15" s="2"/>
      <c r="AG15" s="2">
        <v>-28.5996372408</v>
      </c>
    </row>
    <row r="16" spans="2:33" x14ac:dyDescent="0.45">
      <c r="B16" t="s">
        <v>477</v>
      </c>
      <c r="C16" t="s">
        <v>479</v>
      </c>
      <c r="D16" t="s">
        <v>511</v>
      </c>
      <c r="E16" s="2">
        <v>-20.2573419444</v>
      </c>
      <c r="F16" s="2"/>
      <c r="G16" s="2">
        <v>-30.542057046</v>
      </c>
      <c r="H16" s="2">
        <v>-55.129358242800002</v>
      </c>
      <c r="I16" s="2">
        <v>-1222.6949389691999</v>
      </c>
      <c r="J16" s="2">
        <v>-164.85661489680001</v>
      </c>
      <c r="K16" s="2">
        <v>-52.749999802799998</v>
      </c>
      <c r="L16" s="2">
        <v>-216.98588391839999</v>
      </c>
      <c r="M16" s="2">
        <v>-50.0815679436</v>
      </c>
      <c r="N16" s="2">
        <v>-9283.5099715283995</v>
      </c>
      <c r="O16" s="2">
        <v>-43.441759504799997</v>
      </c>
      <c r="P16" s="2">
        <v>-198.03445094880001</v>
      </c>
      <c r="Q16" s="2">
        <v>-79.094375355599993</v>
      </c>
      <c r="R16" s="2">
        <v>-36.863199763200001</v>
      </c>
      <c r="S16" s="2">
        <v>-36.418875613200001</v>
      </c>
      <c r="T16" s="2">
        <v>-25.619452066800001</v>
      </c>
      <c r="U16" s="2">
        <v>-339.4717269372</v>
      </c>
      <c r="V16" s="2">
        <v>-98.367220587600002</v>
      </c>
      <c r="W16" s="2">
        <v>-256.56074843760001</v>
      </c>
      <c r="X16" s="2">
        <v>-1010.5011197928</v>
      </c>
      <c r="Y16" s="2">
        <v>-2.6279538767999999</v>
      </c>
      <c r="Z16" s="2">
        <v>-39.536999100000003</v>
      </c>
      <c r="AA16" s="2">
        <v>-37.280820502799997</v>
      </c>
      <c r="AB16" s="2">
        <v>-5.9565017447999997</v>
      </c>
      <c r="AC16" s="2">
        <v>-481.01067098999999</v>
      </c>
      <c r="AD16" s="2"/>
      <c r="AE16" s="2">
        <v>-45.311580198000001</v>
      </c>
      <c r="AF16" s="2">
        <v>-53.848599375600003</v>
      </c>
      <c r="AG16" s="2">
        <v>-234.9033698808</v>
      </c>
    </row>
    <row r="17" spans="2:33" x14ac:dyDescent="0.45">
      <c r="B17" t="s">
        <v>477</v>
      </c>
      <c r="C17" t="s">
        <v>479</v>
      </c>
      <c r="D17" t="s">
        <v>481</v>
      </c>
      <c r="E17" s="2">
        <v>9.1899966923999994</v>
      </c>
      <c r="F17" s="2"/>
      <c r="G17" s="2">
        <v>14.342678892</v>
      </c>
      <c r="H17" s="2">
        <v>22.0065995448</v>
      </c>
      <c r="I17" s="2">
        <v>638.21024833319996</v>
      </c>
      <c r="J17" s="2">
        <v>76.858280837999999</v>
      </c>
      <c r="K17" s="2">
        <v>23.577876277200001</v>
      </c>
      <c r="L17" s="2">
        <v>71.178589375200005</v>
      </c>
      <c r="M17" s="2">
        <v>20.040000969600001</v>
      </c>
      <c r="N17" s="2">
        <v>4195.1790805212004</v>
      </c>
      <c r="O17" s="2">
        <v>21.861003574800002</v>
      </c>
      <c r="P17" s="2">
        <v>86.579188891200005</v>
      </c>
      <c r="Q17" s="2">
        <v>58.380755947200001</v>
      </c>
      <c r="R17" s="2">
        <v>17.070902442000001</v>
      </c>
      <c r="S17" s="2">
        <v>17.4344757804</v>
      </c>
      <c r="T17" s="2">
        <v>17.271998632799999</v>
      </c>
      <c r="U17" s="2">
        <v>145.53686075760001</v>
      </c>
      <c r="V17" s="2">
        <v>81.6670341648</v>
      </c>
      <c r="W17" s="2">
        <v>151.47100080359999</v>
      </c>
      <c r="X17" s="2">
        <v>432.34050682079999</v>
      </c>
      <c r="Y17" s="2">
        <v>1.0536207804</v>
      </c>
      <c r="Z17" s="2">
        <v>15.8230015812</v>
      </c>
      <c r="AA17" s="2">
        <v>16.176375874800001</v>
      </c>
      <c r="AB17" s="2">
        <v>3.6109056599999998</v>
      </c>
      <c r="AC17" s="2">
        <v>217.20155435999999</v>
      </c>
      <c r="AD17" s="2"/>
      <c r="AE17" s="2">
        <v>18.124632079200001</v>
      </c>
      <c r="AF17" s="2">
        <v>33.716999595600001</v>
      </c>
      <c r="AG17" s="2">
        <v>105.42599791559999</v>
      </c>
    </row>
    <row r="18" spans="2:33" x14ac:dyDescent="0.45">
      <c r="B18" t="s">
        <v>477</v>
      </c>
      <c r="C18" t="s">
        <v>479</v>
      </c>
      <c r="D18" t="s">
        <v>36</v>
      </c>
      <c r="E18" s="2"/>
      <c r="F18" s="2"/>
      <c r="G18" s="2"/>
      <c r="H18" s="2"/>
      <c r="I18" s="2">
        <v>90.485335126799995</v>
      </c>
      <c r="J18" s="2">
        <v>10.5564844764</v>
      </c>
      <c r="K18" s="2">
        <v>0.30276006840000003</v>
      </c>
      <c r="L18" s="2">
        <v>15.6157675416</v>
      </c>
      <c r="M18" s="2"/>
      <c r="N18" s="2">
        <v>802.25848007280001</v>
      </c>
      <c r="O18" s="2">
        <v>1.3510008108</v>
      </c>
      <c r="P18" s="2">
        <v>16.047380566800001</v>
      </c>
      <c r="Q18" s="2">
        <v>3.7537006607999999</v>
      </c>
      <c r="R18" s="2">
        <v>1.5897740147999999</v>
      </c>
      <c r="S18" s="2">
        <v>-1.1807990172</v>
      </c>
      <c r="T18" s="2"/>
      <c r="U18" s="2">
        <v>18.375400465199998</v>
      </c>
      <c r="V18" s="2"/>
      <c r="W18" s="2">
        <v>25.493998791599999</v>
      </c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2:33" x14ac:dyDescent="0.45">
      <c r="B19" t="s">
        <v>477</v>
      </c>
      <c r="C19" t="s">
        <v>479</v>
      </c>
      <c r="D19" t="s">
        <v>114</v>
      </c>
      <c r="E19" s="2"/>
      <c r="F19" s="2"/>
      <c r="G19" s="2"/>
      <c r="H19" s="2">
        <v>-4.6880897507999997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>
        <v>-1.3999989312000001</v>
      </c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2:33" x14ac:dyDescent="0.45">
      <c r="B20" t="s">
        <v>477</v>
      </c>
      <c r="C20" t="s">
        <v>479</v>
      </c>
      <c r="D20" t="s">
        <v>482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-1.1192070024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2:33" x14ac:dyDescent="0.45">
      <c r="B21" t="s">
        <v>477</v>
      </c>
      <c r="C21" t="s">
        <v>479</v>
      </c>
      <c r="D21" t="s">
        <v>483</v>
      </c>
      <c r="E21" s="2"/>
      <c r="F21" s="2"/>
      <c r="G21" s="2"/>
      <c r="H21" s="2"/>
      <c r="I21" s="2"/>
      <c r="J21" s="2"/>
      <c r="K21" s="2">
        <v>-0.47879826120000002</v>
      </c>
      <c r="L21" s="2"/>
      <c r="M21" s="2"/>
      <c r="N21" s="2"/>
      <c r="O21" s="2"/>
      <c r="P21" s="2">
        <v>-5.4547598195999996</v>
      </c>
      <c r="Q21" s="2">
        <v>-0.40279528079999999</v>
      </c>
      <c r="R21" s="2"/>
      <c r="S21" s="2"/>
      <c r="T21" s="2"/>
      <c r="U21" s="2"/>
      <c r="V21" s="2"/>
      <c r="W21" s="2"/>
      <c r="X21" s="2"/>
      <c r="Y21" s="2"/>
      <c r="Z21" s="2"/>
      <c r="AA21" s="2">
        <v>-0.31475106359999999</v>
      </c>
      <c r="AB21" s="2"/>
      <c r="AC21" s="2"/>
      <c r="AD21" s="2"/>
      <c r="AE21" s="2"/>
      <c r="AF21" s="2">
        <v>-0.62790276960000002</v>
      </c>
      <c r="AG21" s="2">
        <v>-15.714002430000001</v>
      </c>
    </row>
    <row r="22" spans="2:33" x14ac:dyDescent="0.45">
      <c r="B22" t="s">
        <v>477</v>
      </c>
      <c r="C22" t="s">
        <v>479</v>
      </c>
      <c r="D22" t="s">
        <v>484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-0.56899868040000001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2:33" x14ac:dyDescent="0.45">
      <c r="B23" t="s">
        <v>477</v>
      </c>
      <c r="C23" t="s">
        <v>479</v>
      </c>
      <c r="D23" t="s">
        <v>485</v>
      </c>
      <c r="E23" s="2"/>
      <c r="F23" s="2"/>
      <c r="G23" s="2">
        <v>-5.5497290039999996</v>
      </c>
      <c r="H23" s="2">
        <v>-7.9304230332000003</v>
      </c>
      <c r="I23" s="2">
        <v>-76.362760497599993</v>
      </c>
      <c r="J23" s="2">
        <v>-25.579204358399998</v>
      </c>
      <c r="K23" s="2">
        <v>-20.812000834799999</v>
      </c>
      <c r="L23" s="2"/>
      <c r="M23" s="2"/>
      <c r="N23" s="2"/>
      <c r="O23" s="2">
        <v>-3.5197967052000001</v>
      </c>
      <c r="P23" s="2">
        <v>-26.357731444799999</v>
      </c>
      <c r="Q23" s="2">
        <v>-18.718383121199999</v>
      </c>
      <c r="R23" s="2"/>
      <c r="S23" s="2">
        <v>-3.3538989419999998</v>
      </c>
      <c r="T23" s="2">
        <v>-6.0269990831999998</v>
      </c>
      <c r="U23" s="2">
        <v>-36.924310296000002</v>
      </c>
      <c r="V23" s="2">
        <v>-29.808646916400001</v>
      </c>
      <c r="W23" s="2"/>
      <c r="X23" s="2">
        <v>-18.750328405200001</v>
      </c>
      <c r="Y23" s="2"/>
      <c r="Z23" s="2">
        <v>-11.533001148</v>
      </c>
      <c r="AA23" s="2">
        <v>-7.4226688632000002</v>
      </c>
      <c r="AB23" s="2"/>
      <c r="AC23" s="2"/>
      <c r="AD23" s="2"/>
      <c r="AE23" s="2"/>
      <c r="AF23" s="2">
        <v>-10.896096758400001</v>
      </c>
      <c r="AG23" s="2">
        <v>-37.559598580799999</v>
      </c>
    </row>
    <row r="24" spans="2:33" x14ac:dyDescent="0.45">
      <c r="B24" t="s">
        <v>477</v>
      </c>
      <c r="C24" t="s">
        <v>486</v>
      </c>
      <c r="D24" t="s">
        <v>487</v>
      </c>
      <c r="E24" s="2"/>
      <c r="F24" s="2"/>
      <c r="G24" s="2"/>
      <c r="H24" s="2"/>
      <c r="I24" s="2">
        <v>-4.8722126544000002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2:33" x14ac:dyDescent="0.45">
      <c r="B25" t="s">
        <v>477</v>
      </c>
      <c r="C25" t="s">
        <v>486</v>
      </c>
      <c r="D25" t="s">
        <v>112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>
        <v>-5.0425777331999999</v>
      </c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2:33" x14ac:dyDescent="0.45">
      <c r="B26" t="s">
        <v>477</v>
      </c>
      <c r="C26" t="s">
        <v>486</v>
      </c>
      <c r="D26" t="s">
        <v>113</v>
      </c>
      <c r="E26" s="2">
        <v>-9.1368117719999997</v>
      </c>
      <c r="F26" s="2">
        <v>-8.1395118251999996</v>
      </c>
      <c r="G26" s="2">
        <v>-35.1777113136</v>
      </c>
      <c r="H26" s="2">
        <v>-81.103164314400004</v>
      </c>
      <c r="I26" s="2">
        <v>-1626.7068871020001</v>
      </c>
      <c r="J26" s="2">
        <v>-325.19364199559999</v>
      </c>
      <c r="K26" s="2">
        <v>-105.66482973479999</v>
      </c>
      <c r="L26" s="2">
        <v>-302.6010914172</v>
      </c>
      <c r="M26" s="2">
        <v>-88.389318376800006</v>
      </c>
      <c r="N26" s="2">
        <v>-16394.489188595999</v>
      </c>
      <c r="O26" s="2">
        <v>-77.990801864399998</v>
      </c>
      <c r="P26" s="2">
        <v>-520.92980769960002</v>
      </c>
      <c r="Q26" s="2">
        <v>-120.9798594324</v>
      </c>
      <c r="R26" s="2">
        <v>-63.577278129600003</v>
      </c>
      <c r="S26" s="2">
        <v>-36.011479039199997</v>
      </c>
      <c r="T26" s="2">
        <v>-29.268030553199999</v>
      </c>
      <c r="U26" s="2">
        <v>-603.27496111319999</v>
      </c>
      <c r="V26" s="2">
        <v>-122.35624062479999</v>
      </c>
      <c r="W26" s="2">
        <v>-332.57063705759998</v>
      </c>
      <c r="X26" s="2">
        <v>-1562.5273252320001</v>
      </c>
      <c r="Y26" s="2">
        <v>-85.426939663200002</v>
      </c>
      <c r="Z26" s="2">
        <v>-37.771207826400001</v>
      </c>
      <c r="AA26" s="2">
        <v>-41.321660281200003</v>
      </c>
      <c r="AB26" s="2"/>
      <c r="AC26" s="2">
        <v>-2085.10856595</v>
      </c>
      <c r="AD26" s="2"/>
      <c r="AE26" s="2">
        <v>-97.373739002400001</v>
      </c>
      <c r="AF26" s="2">
        <v>-52.718783021999997</v>
      </c>
      <c r="AG26" s="2">
        <v>-526.79997762840003</v>
      </c>
    </row>
    <row r="27" spans="2:33" x14ac:dyDescent="0.45">
      <c r="B27" t="s">
        <v>477</v>
      </c>
      <c r="C27" t="s">
        <v>486</v>
      </c>
      <c r="D27" t="s">
        <v>37</v>
      </c>
      <c r="E27" s="2"/>
      <c r="F27" s="2"/>
      <c r="G27" s="2"/>
      <c r="H27" s="2"/>
      <c r="I27" s="2">
        <v>-370.70306524080002</v>
      </c>
      <c r="J27" s="2">
        <v>-58.087525035600002</v>
      </c>
      <c r="K27" s="2">
        <v>-17.463301898400001</v>
      </c>
      <c r="L27" s="2"/>
      <c r="M27" s="2"/>
      <c r="N27" s="2">
        <v>-583.97467140720005</v>
      </c>
      <c r="O27" s="2"/>
      <c r="P27" s="2">
        <v>-0.76687940880000005</v>
      </c>
      <c r="Q27" s="2"/>
      <c r="R27" s="2">
        <v>-2.6063625492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2:33" x14ac:dyDescent="0.45">
      <c r="B28" t="s">
        <v>477</v>
      </c>
      <c r="C28" t="s">
        <v>486</v>
      </c>
      <c r="D28" t="s">
        <v>511</v>
      </c>
      <c r="E28" s="2">
        <v>8.3309406948000007</v>
      </c>
      <c r="F28" s="2">
        <v>5.5118970791999997</v>
      </c>
      <c r="G28" s="2">
        <v>34.365074367600002</v>
      </c>
      <c r="H28" s="2">
        <v>71.563741480800005</v>
      </c>
      <c r="I28" s="2">
        <v>1414.5477430031999</v>
      </c>
      <c r="J28" s="2">
        <v>306.3907231956</v>
      </c>
      <c r="K28" s="2">
        <v>75.186998200800005</v>
      </c>
      <c r="L28" s="2">
        <v>267.51852513360001</v>
      </c>
      <c r="M28" s="2">
        <v>66.665595787200004</v>
      </c>
      <c r="N28" s="2">
        <v>12673.382569016399</v>
      </c>
      <c r="O28" s="2">
        <v>55.523197958399997</v>
      </c>
      <c r="P28" s="2">
        <v>390.62160714240002</v>
      </c>
      <c r="Q28" s="2">
        <v>91.853974926000006</v>
      </c>
      <c r="R28" s="2">
        <v>47.948573375999999</v>
      </c>
      <c r="S28" s="2">
        <v>25.877823681599999</v>
      </c>
      <c r="T28" s="2">
        <v>22.912597944000002</v>
      </c>
      <c r="U28" s="2">
        <v>394.03536895079998</v>
      </c>
      <c r="V28" s="2">
        <v>87.169263922799999</v>
      </c>
      <c r="W28" s="2">
        <v>252.73603127519999</v>
      </c>
      <c r="X28" s="2">
        <v>1145.5632140364</v>
      </c>
      <c r="Y28" s="2">
        <v>64.068749834399995</v>
      </c>
      <c r="Z28" s="2">
        <v>28.392151993199999</v>
      </c>
      <c r="AA28" s="2">
        <v>32.556703337999998</v>
      </c>
      <c r="AB28" s="2"/>
      <c r="AC28" s="2">
        <v>1334.66098644</v>
      </c>
      <c r="AD28" s="2"/>
      <c r="AE28" s="2">
        <v>49.947590343599998</v>
      </c>
      <c r="AF28" s="2">
        <v>39.157201911599998</v>
      </c>
      <c r="AG28" s="2">
        <v>336.99887306639999</v>
      </c>
    </row>
    <row r="29" spans="2:33" x14ac:dyDescent="0.45">
      <c r="B29" t="s">
        <v>477</v>
      </c>
      <c r="C29" t="s">
        <v>486</v>
      </c>
      <c r="D29" t="s">
        <v>512</v>
      </c>
      <c r="E29" s="2"/>
      <c r="F29" s="2">
        <v>0.83406080159999996</v>
      </c>
      <c r="G29" s="2">
        <v>11.391554296800001</v>
      </c>
      <c r="H29" s="2">
        <v>13.0091035428</v>
      </c>
      <c r="I29" s="2">
        <v>399.88003289400001</v>
      </c>
      <c r="J29" s="2">
        <v>54.719587753200003</v>
      </c>
      <c r="K29" s="2">
        <v>22.386999632399998</v>
      </c>
      <c r="L29" s="2">
        <v>65.942803382400001</v>
      </c>
      <c r="M29" s="2">
        <v>21.5721018144</v>
      </c>
      <c r="N29" s="2">
        <v>1586.0163617999999</v>
      </c>
      <c r="O29" s="2">
        <v>14.2334997084</v>
      </c>
      <c r="P29" s="2">
        <v>114.20951494320001</v>
      </c>
      <c r="Q29" s="2">
        <v>24.8063043312</v>
      </c>
      <c r="R29" s="2">
        <v>13.127154555600001</v>
      </c>
      <c r="S29" s="2">
        <v>7.3457992151999996</v>
      </c>
      <c r="T29" s="2">
        <v>8.4815985059999992</v>
      </c>
      <c r="U29" s="2">
        <v>103.17522029040001</v>
      </c>
      <c r="V29" s="2"/>
      <c r="W29" s="2">
        <v>57.735900824399998</v>
      </c>
      <c r="X29" s="2">
        <v>187.5032798652</v>
      </c>
      <c r="Y29" s="2">
        <v>1.3777963308000001</v>
      </c>
      <c r="Z29" s="2">
        <v>7.3421985671999996</v>
      </c>
      <c r="AA29" s="2">
        <v>7.8063179076000004</v>
      </c>
      <c r="AB29" s="2"/>
      <c r="AC29" s="2">
        <v>234.34503498000001</v>
      </c>
      <c r="AD29" s="2"/>
      <c r="AE29" s="2">
        <v>18.214024446</v>
      </c>
      <c r="AF29" s="2">
        <v>11.579399265599999</v>
      </c>
      <c r="AG29" s="2">
        <v>56.195099809200002</v>
      </c>
    </row>
    <row r="30" spans="2:33" x14ac:dyDescent="0.45">
      <c r="B30" t="s">
        <v>477</v>
      </c>
      <c r="C30" t="s">
        <v>486</v>
      </c>
      <c r="D30" t="s">
        <v>36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>
        <v>-0.92339874</v>
      </c>
      <c r="AG30" s="2"/>
    </row>
    <row r="31" spans="2:33" x14ac:dyDescent="0.45">
      <c r="B31" t="s">
        <v>477</v>
      </c>
      <c r="C31" t="s">
        <v>486</v>
      </c>
      <c r="D31" t="s">
        <v>115</v>
      </c>
      <c r="E31" s="2"/>
      <c r="F31" s="2"/>
      <c r="G31" s="2"/>
      <c r="H31" s="2"/>
      <c r="I31" s="2">
        <v>-2.7432416015999999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2:33" x14ac:dyDescent="0.45">
      <c r="B32" t="s">
        <v>477</v>
      </c>
      <c r="C32" t="s">
        <v>486</v>
      </c>
      <c r="D32" t="s">
        <v>116</v>
      </c>
      <c r="E32" s="2"/>
      <c r="F32" s="2"/>
      <c r="G32" s="2">
        <v>-16.003737363599999</v>
      </c>
      <c r="H32" s="2"/>
      <c r="I32" s="2">
        <v>-13.605718356000001</v>
      </c>
      <c r="J32" s="2"/>
      <c r="K32" s="2"/>
      <c r="L32" s="2">
        <v>-42.941529014399997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v>-11.711999408400001</v>
      </c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2:38" x14ac:dyDescent="0.45">
      <c r="B33" t="s">
        <v>477</v>
      </c>
      <c r="C33" t="s">
        <v>486</v>
      </c>
      <c r="D33" t="s">
        <v>482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>
        <v>-0.63499939559999996</v>
      </c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2:38" x14ac:dyDescent="0.45">
      <c r="B34" t="s">
        <v>477</v>
      </c>
      <c r="C34" t="s">
        <v>486</v>
      </c>
      <c r="D34" t="s">
        <v>488</v>
      </c>
      <c r="E34" s="2"/>
      <c r="F34" s="2">
        <v>-0.84394164959999995</v>
      </c>
      <c r="G34" s="2"/>
      <c r="H34" s="2">
        <v>-2.4086283588000001</v>
      </c>
      <c r="I34" s="2"/>
      <c r="J34" s="2"/>
      <c r="K34" s="2"/>
      <c r="L34" s="2"/>
      <c r="M34" s="2"/>
      <c r="N34" s="2">
        <v>-594.36872897759997</v>
      </c>
      <c r="O34" s="2"/>
      <c r="P34" s="2">
        <v>-2.6430556643999998</v>
      </c>
      <c r="Q34" s="2"/>
      <c r="R34" s="2">
        <v>-2.0265744851999998</v>
      </c>
      <c r="S34" s="2"/>
      <c r="T34" s="2">
        <v>-1.9161057671999999</v>
      </c>
      <c r="U34" s="2"/>
      <c r="V34" s="2"/>
      <c r="W34" s="2"/>
      <c r="X34" s="2"/>
      <c r="Y34" s="2"/>
      <c r="Z34" s="2">
        <v>-1.7189995968</v>
      </c>
      <c r="AA34" s="2"/>
      <c r="AB34" s="2"/>
      <c r="AC34" s="2"/>
      <c r="AD34" s="2"/>
      <c r="AE34" s="2"/>
      <c r="AF34" s="2"/>
      <c r="AG34" s="2"/>
    </row>
    <row r="35" spans="2:38" x14ac:dyDescent="0.45">
      <c r="B35" t="s">
        <v>477</v>
      </c>
      <c r="C35" t="s">
        <v>486</v>
      </c>
      <c r="D35" t="s">
        <v>483</v>
      </c>
      <c r="E35" s="2"/>
      <c r="F35" s="2"/>
      <c r="G35" s="2"/>
      <c r="H35" s="2"/>
      <c r="I35" s="2">
        <v>-9.6581102399999992</v>
      </c>
      <c r="J35" s="2"/>
      <c r="K35" s="2">
        <v>-0.47879826120000002</v>
      </c>
      <c r="L35" s="2"/>
      <c r="M35" s="2"/>
      <c r="N35" s="2"/>
      <c r="O35" s="2">
        <v>-6.11984556E-2</v>
      </c>
      <c r="P35" s="2">
        <v>-3.6488883096000002</v>
      </c>
      <c r="Q35" s="2">
        <v>-0.32444350560000002</v>
      </c>
      <c r="R35" s="2">
        <v>-0.15827360039999999</v>
      </c>
      <c r="S35" s="2">
        <v>-0.21600119879999999</v>
      </c>
      <c r="T35" s="2">
        <v>-3.59981064E-2</v>
      </c>
      <c r="U35" s="2">
        <v>-1.7207999208</v>
      </c>
      <c r="V35" s="2"/>
      <c r="W35" s="2">
        <v>-1.0080014075999999</v>
      </c>
      <c r="X35" s="2">
        <v>-1.2054508956000001</v>
      </c>
      <c r="Y35" s="2"/>
      <c r="Z35" s="2"/>
      <c r="AA35" s="2">
        <v>-0.1715164488</v>
      </c>
      <c r="AB35" s="2"/>
      <c r="AC35" s="2"/>
      <c r="AD35" s="2"/>
      <c r="AE35" s="2"/>
      <c r="AF35" s="2"/>
      <c r="AG35" s="2">
        <v>-1.4823532872</v>
      </c>
    </row>
    <row r="36" spans="2:38" x14ac:dyDescent="0.45">
      <c r="B36" t="s">
        <v>477</v>
      </c>
      <c r="C36" t="s">
        <v>486</v>
      </c>
      <c r="D36" t="s">
        <v>484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-4.2987843396000001</v>
      </c>
      <c r="Q36" s="2">
        <v>-0.96996851640000004</v>
      </c>
      <c r="R36" s="2">
        <v>-0.3685807512</v>
      </c>
      <c r="S36" s="2">
        <v>-7.8000083999999997E-2</v>
      </c>
      <c r="T36" s="2"/>
      <c r="U36" s="2">
        <v>-8.2389985667999994</v>
      </c>
      <c r="V36" s="2"/>
      <c r="W36" s="2">
        <v>-1.0889992404</v>
      </c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2:38" x14ac:dyDescent="0.45">
      <c r="B37" t="s">
        <v>477</v>
      </c>
      <c r="C37" t="s">
        <v>486</v>
      </c>
      <c r="D37" t="s">
        <v>485</v>
      </c>
      <c r="E37" s="2"/>
      <c r="F37" s="2"/>
      <c r="G37" s="2"/>
      <c r="H37" s="2">
        <v>-13.0091035428</v>
      </c>
      <c r="I37" s="2">
        <v>-175.87969311239999</v>
      </c>
      <c r="J37" s="2">
        <v>-24.1441828452</v>
      </c>
      <c r="K37" s="2">
        <v>-19.5791012784</v>
      </c>
      <c r="L37" s="2">
        <v>-21.058544739599999</v>
      </c>
      <c r="M37" s="2"/>
      <c r="N37" s="2">
        <v>-345.71342512439998</v>
      </c>
      <c r="O37" s="2">
        <v>-7.5119984280000001</v>
      </c>
      <c r="P37" s="2">
        <v>-59.8083249564</v>
      </c>
      <c r="Q37" s="2">
        <v>-11.6061822252</v>
      </c>
      <c r="R37" s="2">
        <v>-0.3436357968</v>
      </c>
      <c r="S37" s="2">
        <v>-2.5802997192000001</v>
      </c>
      <c r="T37" s="2">
        <v>-4.7520012528000004</v>
      </c>
      <c r="U37" s="2">
        <v>-36.263239696799999</v>
      </c>
      <c r="V37" s="2">
        <v>-12.5482205988</v>
      </c>
      <c r="W37" s="2">
        <v>-24.3585763128</v>
      </c>
      <c r="X37" s="2">
        <v>-56.250985215599997</v>
      </c>
      <c r="Y37" s="2">
        <v>-0.87703830360000001</v>
      </c>
      <c r="Z37" s="2"/>
      <c r="AA37" s="2">
        <v>-6.4754765387999997</v>
      </c>
      <c r="AB37" s="2"/>
      <c r="AC37" s="2">
        <v>-41.683906403999998</v>
      </c>
      <c r="AD37" s="2"/>
      <c r="AE37" s="2"/>
      <c r="AF37" s="2">
        <v>-8.0479967507999994</v>
      </c>
      <c r="AG37" s="2">
        <v>-19.701502376400001</v>
      </c>
    </row>
    <row r="38" spans="2:38" x14ac:dyDescent="0.45"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2:38" x14ac:dyDescent="0.45">
      <c r="B39" s="1" t="s">
        <v>558</v>
      </c>
      <c r="E39" s="18">
        <f>IFERROR(-SUM(E25:E27)/E28,"")</f>
        <v>1.0967323027161875</v>
      </c>
      <c r="F39" s="18">
        <f t="shared" ref="F39:AG39" si="0">IFERROR(-SUM(F25:F27)/F28,"")</f>
        <v>1.4767169466780707</v>
      </c>
      <c r="G39" s="18">
        <f t="shared" si="0"/>
        <v>1.0236471755395404</v>
      </c>
      <c r="H39" s="18">
        <f t="shared" si="0"/>
        <v>1.1332996659510788</v>
      </c>
      <c r="I39" s="18">
        <f t="shared" si="0"/>
        <v>1.412048453099318</v>
      </c>
      <c r="J39" s="18">
        <f t="shared" si="0"/>
        <v>1.2509555218697437</v>
      </c>
      <c r="K39" s="18">
        <f t="shared" si="0"/>
        <v>1.6376253152754527</v>
      </c>
      <c r="L39" s="18">
        <f t="shared" si="0"/>
        <v>1.1311406986341586</v>
      </c>
      <c r="M39" s="18">
        <f t="shared" si="0"/>
        <v>1.3258610732129843</v>
      </c>
      <c r="N39" s="18">
        <f t="shared" si="0"/>
        <v>1.3396947316584418</v>
      </c>
      <c r="O39" s="18">
        <f t="shared" si="0"/>
        <v>1.4046525548264268</v>
      </c>
      <c r="P39" s="18">
        <f t="shared" si="0"/>
        <v>1.3355551192492456</v>
      </c>
      <c r="Q39" s="18">
        <f t="shared" si="0"/>
        <v>1.3170889940240973</v>
      </c>
      <c r="R39" s="18">
        <f t="shared" si="0"/>
        <v>1.3803046893555193</v>
      </c>
      <c r="S39" s="18">
        <f t="shared" si="0"/>
        <v>1.3915961203802996</v>
      </c>
      <c r="T39" s="18">
        <f t="shared" si="0"/>
        <v>1.2773772151343605</v>
      </c>
      <c r="U39" s="18">
        <f t="shared" si="0"/>
        <v>1.5310172858836082</v>
      </c>
      <c r="V39" s="18">
        <f t="shared" si="0"/>
        <v>1.403662657208655</v>
      </c>
      <c r="W39" s="18">
        <f t="shared" si="0"/>
        <v>1.3358333320632809</v>
      </c>
      <c r="X39" s="18">
        <f t="shared" si="0"/>
        <v>1.3639817568219776</v>
      </c>
      <c r="Y39" s="18">
        <f t="shared" si="0"/>
        <v>1.3333636114955423</v>
      </c>
      <c r="Z39" s="18">
        <f t="shared" si="0"/>
        <v>1.3303397303397895</v>
      </c>
      <c r="AA39" s="18">
        <f t="shared" si="0"/>
        <v>1.2692212676511874</v>
      </c>
      <c r="AB39" s="18" t="str">
        <f t="shared" si="0"/>
        <v/>
      </c>
      <c r="AC39" s="18">
        <f t="shared" si="0"/>
        <v>1.5622758042187941</v>
      </c>
      <c r="AD39" s="18" t="str">
        <f t="shared" si="0"/>
        <v/>
      </c>
      <c r="AE39" s="18">
        <f t="shared" si="0"/>
        <v>1.9495182516823242</v>
      </c>
      <c r="AF39" s="18">
        <f t="shared" si="0"/>
        <v>1.3463368281782793</v>
      </c>
      <c r="AG39" s="18">
        <f t="shared" si="0"/>
        <v>1.5632099087898224</v>
      </c>
    </row>
    <row r="40" spans="2:38" x14ac:dyDescent="0.45"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2:38" x14ac:dyDescent="0.45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2:38" x14ac:dyDescent="0.45">
      <c r="D42" t="s">
        <v>553</v>
      </c>
      <c r="E42" t="s">
        <v>554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2:38" x14ac:dyDescent="0.45">
      <c r="D43" t="s">
        <v>555</v>
      </c>
      <c r="E43" t="s">
        <v>458</v>
      </c>
      <c r="F43" t="s">
        <v>459</v>
      </c>
      <c r="G43" t="s">
        <v>460</v>
      </c>
      <c r="H43" s="2" t="s">
        <v>461</v>
      </c>
      <c r="I43" s="2" t="s">
        <v>462</v>
      </c>
      <c r="J43" s="2" t="s">
        <v>463</v>
      </c>
      <c r="K43" s="2" t="s">
        <v>464</v>
      </c>
      <c r="L43" s="2" t="s">
        <v>66</v>
      </c>
      <c r="M43" s="2" t="s">
        <v>109</v>
      </c>
      <c r="N43" s="2" t="s">
        <v>78</v>
      </c>
      <c r="O43" s="2" t="s">
        <v>465</v>
      </c>
      <c r="P43" s="2" t="s">
        <v>466</v>
      </c>
      <c r="Q43" s="2" t="s">
        <v>467</v>
      </c>
      <c r="R43" s="2" t="s">
        <v>468</v>
      </c>
      <c r="S43" s="2" t="s">
        <v>469</v>
      </c>
      <c r="T43" s="2" t="s">
        <v>470</v>
      </c>
      <c r="U43" s="2" t="s">
        <v>471</v>
      </c>
      <c r="V43" s="2" t="s">
        <v>472</v>
      </c>
      <c r="W43" s="2" t="s">
        <v>71</v>
      </c>
      <c r="X43" s="2" t="s">
        <v>80</v>
      </c>
      <c r="Y43" s="2" t="s">
        <v>473</v>
      </c>
      <c r="Z43" s="2" t="s">
        <v>67</v>
      </c>
      <c r="AA43" s="2" t="s">
        <v>474</v>
      </c>
      <c r="AB43" s="2" t="s">
        <v>475</v>
      </c>
      <c r="AC43" s="2" t="s">
        <v>87</v>
      </c>
      <c r="AD43" s="2" t="s">
        <v>110</v>
      </c>
      <c r="AE43" s="2" t="s">
        <v>111</v>
      </c>
      <c r="AF43" s="2" t="s">
        <v>476</v>
      </c>
      <c r="AG43" s="2" t="s">
        <v>70</v>
      </c>
    </row>
    <row r="44" spans="2:38" x14ac:dyDescent="0.45">
      <c r="D44" t="s">
        <v>508</v>
      </c>
      <c r="E44" s="2"/>
      <c r="F44" s="2"/>
      <c r="G44" s="2"/>
      <c r="H44" s="2"/>
      <c r="I44" s="2"/>
      <c r="J44" s="2"/>
      <c r="K44" s="2"/>
      <c r="L44" s="2"/>
      <c r="M44" s="2"/>
      <c r="N44" s="2">
        <v>3350.94139061544</v>
      </c>
      <c r="O44" s="2"/>
      <c r="P44" s="2">
        <v>13.7704797242032</v>
      </c>
      <c r="Q44" s="2"/>
      <c r="R44" s="2"/>
      <c r="S44" s="2">
        <v>3.4695614893808102</v>
      </c>
      <c r="T44" s="2"/>
      <c r="U44" s="2"/>
      <c r="V44" s="2"/>
      <c r="W44" s="2"/>
      <c r="X44" s="2">
        <v>86.549920316676307</v>
      </c>
      <c r="Y44" s="2"/>
      <c r="Z44" s="2">
        <v>4.0147223197632904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2:38" x14ac:dyDescent="0.45">
      <c r="D45" t="s">
        <v>38</v>
      </c>
      <c r="E45" s="2">
        <v>37.265149999999998</v>
      </c>
      <c r="F45" s="2">
        <v>9.3366500000000006</v>
      </c>
      <c r="G45" s="2">
        <v>15.4731540006996</v>
      </c>
      <c r="H45" s="2">
        <v>22.526399999999999</v>
      </c>
      <c r="I45" s="2">
        <v>474.79803910999999</v>
      </c>
      <c r="J45" s="2">
        <v>189.66447500000001</v>
      </c>
      <c r="K45" s="2">
        <v>20.02</v>
      </c>
      <c r="L45" s="2">
        <v>76.382137200000003</v>
      </c>
      <c r="M45" s="2"/>
      <c r="N45" s="2"/>
      <c r="O45" s="2">
        <v>20.440305184</v>
      </c>
      <c r="P45" s="2">
        <v>59.540367526996803</v>
      </c>
      <c r="Q45" s="2">
        <v>46.224157782399999</v>
      </c>
      <c r="R45" s="2">
        <v>27.328778755931499</v>
      </c>
      <c r="S45" s="2"/>
      <c r="T45" s="2">
        <v>17.70496</v>
      </c>
      <c r="U45" s="2">
        <v>106.0641052016</v>
      </c>
      <c r="V45" s="2">
        <v>43.578342362464497</v>
      </c>
      <c r="W45" s="2">
        <v>104.7322320992</v>
      </c>
      <c r="X45" s="2">
        <v>201.09670671315001</v>
      </c>
      <c r="Y45" s="2">
        <v>9.423</v>
      </c>
      <c r="Z45" s="2"/>
      <c r="AA45" s="2"/>
      <c r="AB45" s="2"/>
      <c r="AC45" s="2">
        <v>184.68555900000001</v>
      </c>
      <c r="AD45" s="2"/>
      <c r="AE45" s="2">
        <v>18.587805634199999</v>
      </c>
      <c r="AF45" s="2">
        <v>5.2650649224986203</v>
      </c>
      <c r="AG45" s="2">
        <v>109.103392</v>
      </c>
      <c r="AH45" s="2"/>
      <c r="AI45" s="2"/>
      <c r="AJ45" s="2"/>
      <c r="AK45" s="2"/>
      <c r="AL45" s="2"/>
    </row>
    <row r="46" spans="2:38" x14ac:dyDescent="0.45">
      <c r="D46" t="s">
        <v>2</v>
      </c>
      <c r="E46" s="2">
        <v>68.146535085503999</v>
      </c>
      <c r="F46" s="2">
        <v>10.565163665041601</v>
      </c>
      <c r="G46" s="2">
        <v>15.9246326390343</v>
      </c>
      <c r="H46" s="2">
        <v>9.7912588941176502</v>
      </c>
      <c r="I46" s="2">
        <v>294.98298547304802</v>
      </c>
      <c r="J46" s="2">
        <v>179.896506721523</v>
      </c>
      <c r="K46" s="2">
        <v>10.751598985489</v>
      </c>
      <c r="L46" s="2">
        <v>51.337336958516303</v>
      </c>
      <c r="M46" s="2">
        <v>28.269594842848299</v>
      </c>
      <c r="N46" s="2">
        <v>1385.3937586816</v>
      </c>
      <c r="O46" s="2">
        <v>14.9564779787219</v>
      </c>
      <c r="P46" s="2">
        <v>38.424967958602899</v>
      </c>
      <c r="Q46" s="2">
        <v>27.314333507267001</v>
      </c>
      <c r="R46" s="2">
        <v>74.678750044243898</v>
      </c>
      <c r="S46" s="2">
        <v>13.0158974263946</v>
      </c>
      <c r="T46" s="2">
        <v>42.413673609783302</v>
      </c>
      <c r="U46" s="2">
        <v>127.41234287034899</v>
      </c>
      <c r="V46" s="2">
        <v>27.048323205656999</v>
      </c>
      <c r="W46" s="2">
        <v>69.689345717919693</v>
      </c>
      <c r="X46" s="2">
        <v>306.955667790267</v>
      </c>
      <c r="Y46" s="2">
        <v>32.473976192730099</v>
      </c>
      <c r="Z46" s="2">
        <v>55.333680540089802</v>
      </c>
      <c r="AA46" s="2">
        <v>165.34756930619599</v>
      </c>
      <c r="AB46" s="2">
        <v>2.1724587275645701</v>
      </c>
      <c r="AC46" s="2">
        <v>133.83217072188199</v>
      </c>
      <c r="AD46" s="2">
        <v>31.2771856470589</v>
      </c>
      <c r="AE46" s="2">
        <v>15.7229308917964</v>
      </c>
      <c r="AF46" s="2">
        <v>11.225147712513801</v>
      </c>
      <c r="AG46" s="2">
        <v>234.62762810273699</v>
      </c>
      <c r="AH46" s="2"/>
      <c r="AI46" s="2"/>
      <c r="AJ46" s="2"/>
      <c r="AK46" s="2"/>
      <c r="AL46" s="2"/>
    </row>
    <row r="47" spans="2:38" x14ac:dyDescent="0.45">
      <c r="D47" t="s">
        <v>39</v>
      </c>
      <c r="E47" s="2"/>
      <c r="F47" s="2"/>
      <c r="G47" s="2"/>
      <c r="H47" s="2"/>
      <c r="I47" s="2"/>
      <c r="J47" s="2"/>
      <c r="K47" s="2"/>
      <c r="L47" s="2"/>
      <c r="M47" s="2">
        <v>31.95262</v>
      </c>
      <c r="N47" s="2">
        <v>1.7764500000000001</v>
      </c>
      <c r="O47" s="2"/>
      <c r="P47" s="2"/>
      <c r="Q47" s="2"/>
      <c r="R47" s="2"/>
      <c r="S47" s="2">
        <v>10.6014378842192</v>
      </c>
      <c r="T47" s="2"/>
      <c r="U47" s="2"/>
      <c r="V47" s="2"/>
      <c r="W47" s="2"/>
      <c r="X47" s="2"/>
      <c r="Y47" s="2"/>
      <c r="Z47" s="2">
        <v>18.6557521010367</v>
      </c>
      <c r="AA47" s="2">
        <v>67.770429000000107</v>
      </c>
      <c r="AB47" s="2">
        <v>0.42722870812692898</v>
      </c>
      <c r="AC47" s="2"/>
      <c r="AD47" s="2">
        <v>6.8512500000000101</v>
      </c>
      <c r="AE47" s="2"/>
      <c r="AF47" s="2">
        <v>16.0876983743014</v>
      </c>
      <c r="AG47" s="2"/>
      <c r="AH47" s="2"/>
      <c r="AI47" s="2"/>
      <c r="AJ47" s="2"/>
      <c r="AK47" s="2"/>
      <c r="AL47" s="2"/>
    </row>
    <row r="48" spans="2:38" x14ac:dyDescent="0.45">
      <c r="D48" t="s">
        <v>553</v>
      </c>
      <c r="E48" s="2" t="s">
        <v>556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6" x14ac:dyDescent="0.45">
      <c r="D49" t="s">
        <v>555</v>
      </c>
      <c r="E49" s="2" t="s">
        <v>458</v>
      </c>
      <c r="F49" s="2" t="s">
        <v>459</v>
      </c>
      <c r="G49" s="2" t="s">
        <v>460</v>
      </c>
      <c r="H49" s="2" t="s">
        <v>461</v>
      </c>
      <c r="I49" s="2" t="s">
        <v>462</v>
      </c>
      <c r="J49" s="2" t="s">
        <v>463</v>
      </c>
      <c r="K49" s="2" t="s">
        <v>464</v>
      </c>
      <c r="L49" s="2" t="s">
        <v>66</v>
      </c>
      <c r="M49" s="2" t="s">
        <v>109</v>
      </c>
      <c r="N49" s="2" t="s">
        <v>78</v>
      </c>
      <c r="O49" s="2" t="s">
        <v>465</v>
      </c>
      <c r="P49" s="2" t="s">
        <v>466</v>
      </c>
      <c r="Q49" s="2" t="s">
        <v>467</v>
      </c>
      <c r="R49" s="2" t="s">
        <v>468</v>
      </c>
      <c r="S49" s="2" t="s">
        <v>469</v>
      </c>
      <c r="T49" s="2" t="s">
        <v>470</v>
      </c>
      <c r="U49" s="2" t="s">
        <v>471</v>
      </c>
      <c r="V49" s="2" t="s">
        <v>472</v>
      </c>
      <c r="W49" s="2" t="s">
        <v>71</v>
      </c>
      <c r="X49" s="2" t="s">
        <v>80</v>
      </c>
      <c r="Y49" s="2" t="s">
        <v>473</v>
      </c>
      <c r="Z49" s="2" t="s">
        <v>67</v>
      </c>
      <c r="AA49" s="2" t="s">
        <v>474</v>
      </c>
      <c r="AB49" s="2" t="s">
        <v>475</v>
      </c>
      <c r="AC49" s="2" t="s">
        <v>87</v>
      </c>
      <c r="AD49" s="2" t="s">
        <v>110</v>
      </c>
      <c r="AE49" s="2" t="s">
        <v>111</v>
      </c>
      <c r="AF49" s="2" t="s">
        <v>476</v>
      </c>
      <c r="AG49" s="2" t="s">
        <v>70</v>
      </c>
    </row>
    <row r="50" spans="1:36" x14ac:dyDescent="0.45">
      <c r="D50" t="s">
        <v>113</v>
      </c>
      <c r="E50" s="2">
        <v>57.834000000000003</v>
      </c>
      <c r="F50" s="2">
        <v>117.33269474264399</v>
      </c>
      <c r="G50" s="2">
        <v>72.786975130798794</v>
      </c>
      <c r="H50" s="2">
        <v>113.530410440547</v>
      </c>
      <c r="I50" s="2">
        <v>2110.3989228391001</v>
      </c>
      <c r="J50" s="2">
        <v>1100.6530002555901</v>
      </c>
      <c r="K50" s="2">
        <v>202.912614442521</v>
      </c>
      <c r="L50" s="2">
        <v>417.92016346088502</v>
      </c>
      <c r="M50" s="2">
        <v>493.40447998153797</v>
      </c>
      <c r="N50" s="2">
        <v>14762.8886439701</v>
      </c>
      <c r="O50" s="2">
        <v>90.828341149101206</v>
      </c>
      <c r="P50" s="2">
        <v>341.433311181904</v>
      </c>
      <c r="Q50" s="2">
        <v>198.95569936199999</v>
      </c>
      <c r="R50" s="2">
        <v>117.745127947055</v>
      </c>
      <c r="S50" s="2">
        <v>60.563689105500004</v>
      </c>
      <c r="T50" s="2">
        <v>80.343483804588104</v>
      </c>
      <c r="U50" s="2">
        <v>456.51579693299999</v>
      </c>
      <c r="V50" s="2">
        <v>187.56771345787499</v>
      </c>
      <c r="W50" s="2">
        <v>447.97475784599999</v>
      </c>
      <c r="X50" s="2">
        <v>819.44889418319201</v>
      </c>
      <c r="Y50" s="2">
        <v>143.89793497750901</v>
      </c>
      <c r="Z50" s="2">
        <v>68.556387878999999</v>
      </c>
      <c r="AA50" s="2">
        <v>40.964332499999998</v>
      </c>
      <c r="AB50" s="2">
        <v>1.8388563576010799</v>
      </c>
      <c r="AC50" s="2">
        <v>1414.9464394125901</v>
      </c>
      <c r="AD50" s="2"/>
      <c r="AE50" s="2">
        <v>115.3703638584</v>
      </c>
      <c r="AF50" s="2">
        <v>91.905491821499993</v>
      </c>
      <c r="AG50" s="2">
        <v>624.72369511433101</v>
      </c>
      <c r="AH50" s="2"/>
      <c r="AI50" s="2"/>
      <c r="AJ50" s="2"/>
    </row>
    <row r="51" spans="1:36" x14ac:dyDescent="0.45">
      <c r="D51" t="s">
        <v>37</v>
      </c>
      <c r="E51" s="2"/>
      <c r="F51" s="2"/>
      <c r="G51" s="2"/>
      <c r="H51" s="2"/>
      <c r="I51" s="2"/>
      <c r="J51" s="2"/>
      <c r="K51" s="2"/>
      <c r="L51" s="2"/>
      <c r="M51" s="2"/>
      <c r="N51" s="2">
        <v>39.355200000000004</v>
      </c>
      <c r="O51" s="2"/>
      <c r="P51" s="2"/>
      <c r="Q51" s="2"/>
      <c r="R51" s="2"/>
      <c r="S51" s="2"/>
      <c r="T51" s="2"/>
      <c r="U51" s="2"/>
      <c r="V51" s="2"/>
      <c r="W51" s="2"/>
      <c r="X51" s="2">
        <v>469.596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x14ac:dyDescent="0.45">
      <c r="D52" t="s">
        <v>36</v>
      </c>
      <c r="E52" s="2">
        <v>168.41</v>
      </c>
      <c r="F52" s="2">
        <v>22.99</v>
      </c>
      <c r="G52" s="2">
        <v>21</v>
      </c>
      <c r="H52" s="2"/>
      <c r="I52" s="2">
        <v>43.23</v>
      </c>
      <c r="J52" s="2">
        <v>110.11</v>
      </c>
      <c r="K52" s="2"/>
      <c r="L52" s="2">
        <v>3.7</v>
      </c>
      <c r="M52" s="2">
        <v>11</v>
      </c>
      <c r="N52" s="2"/>
      <c r="O52" s="2"/>
      <c r="P52" s="2"/>
      <c r="Q52" s="2"/>
      <c r="R52" s="2"/>
      <c r="S52" s="2"/>
      <c r="T52" s="2"/>
      <c r="U52" s="2"/>
      <c r="V52" s="2"/>
      <c r="W52" s="2">
        <v>6.6</v>
      </c>
      <c r="X52" s="2">
        <v>137.5</v>
      </c>
      <c r="Y52" s="2">
        <v>80.400000000000006</v>
      </c>
      <c r="Z52" s="2">
        <v>68.2</v>
      </c>
      <c r="AA52" s="2">
        <v>589.226</v>
      </c>
      <c r="AB52" s="2"/>
      <c r="AC52" s="2">
        <v>88.55</v>
      </c>
      <c r="AD52" s="2">
        <v>69.3</v>
      </c>
      <c r="AE52" s="2">
        <v>21.124400000000001</v>
      </c>
      <c r="AF52" s="2"/>
      <c r="AG52" s="2">
        <v>70.400000000000006</v>
      </c>
      <c r="AH52" s="2"/>
      <c r="AI52" s="2"/>
      <c r="AJ52" s="2"/>
    </row>
    <row r="53" spans="1:36" x14ac:dyDescent="0.45"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x14ac:dyDescent="0.45">
      <c r="C54" t="s">
        <v>531</v>
      </c>
      <c r="D54" t="s">
        <v>555</v>
      </c>
      <c r="E54" s="2" t="s">
        <v>458</v>
      </c>
      <c r="F54" s="2" t="s">
        <v>459</v>
      </c>
      <c r="G54" s="2" t="s">
        <v>460</v>
      </c>
      <c r="H54" s="2" t="s">
        <v>461</v>
      </c>
      <c r="I54" s="2" t="s">
        <v>462</v>
      </c>
      <c r="J54" s="2" t="s">
        <v>463</v>
      </c>
      <c r="K54" s="2" t="s">
        <v>464</v>
      </c>
      <c r="L54" s="2" t="s">
        <v>66</v>
      </c>
      <c r="M54" s="2" t="s">
        <v>109</v>
      </c>
      <c r="N54" s="2" t="s">
        <v>78</v>
      </c>
      <c r="O54" s="2" t="s">
        <v>465</v>
      </c>
      <c r="P54" s="2" t="s">
        <v>466</v>
      </c>
      <c r="Q54" s="2" t="s">
        <v>467</v>
      </c>
      <c r="R54" s="2" t="s">
        <v>468</v>
      </c>
      <c r="S54" s="2" t="s">
        <v>469</v>
      </c>
      <c r="T54" s="2" t="s">
        <v>470</v>
      </c>
      <c r="U54" s="2" t="s">
        <v>471</v>
      </c>
      <c r="V54" s="2" t="s">
        <v>472</v>
      </c>
      <c r="W54" s="2" t="s">
        <v>71</v>
      </c>
      <c r="X54" s="2" t="s">
        <v>80</v>
      </c>
      <c r="Y54" s="2" t="s">
        <v>473</v>
      </c>
      <c r="Z54" s="2" t="s">
        <v>67</v>
      </c>
      <c r="AA54" s="2" t="s">
        <v>474</v>
      </c>
      <c r="AB54" s="2" t="s">
        <v>475</v>
      </c>
      <c r="AC54" s="2" t="s">
        <v>87</v>
      </c>
      <c r="AD54" s="2" t="s">
        <v>110</v>
      </c>
      <c r="AE54" s="2" t="s">
        <v>111</v>
      </c>
      <c r="AF54" s="2" t="s">
        <v>476</v>
      </c>
      <c r="AG54" s="2" t="s">
        <v>70</v>
      </c>
      <c r="AH54" s="2"/>
      <c r="AI54" s="2"/>
      <c r="AJ54" s="2"/>
    </row>
    <row r="55" spans="1:36" x14ac:dyDescent="0.45">
      <c r="A55">
        <v>30</v>
      </c>
      <c r="C55" t="s">
        <v>557</v>
      </c>
      <c r="D55" t="s">
        <v>341</v>
      </c>
      <c r="E55" s="2">
        <v>45.9</v>
      </c>
      <c r="F55" s="2">
        <v>17.549999999999997</v>
      </c>
      <c r="G55" s="2">
        <v>57.490438778430303</v>
      </c>
      <c r="H55" s="2">
        <v>76.95</v>
      </c>
      <c r="I55" s="2">
        <v>1586.43262125</v>
      </c>
      <c r="J55" s="2">
        <v>602.77500000000009</v>
      </c>
      <c r="K55" s="2">
        <v>67.5</v>
      </c>
      <c r="L55" s="2">
        <v>317.59829999999999</v>
      </c>
      <c r="M55" s="2">
        <v>105.435</v>
      </c>
      <c r="N55" s="2">
        <v>11044.372585500001</v>
      </c>
      <c r="O55" s="2">
        <v>69.823917000000009</v>
      </c>
      <c r="P55" s="2">
        <v>250.42926060000002</v>
      </c>
      <c r="Q55" s="2">
        <v>151.33500000000001</v>
      </c>
      <c r="R55" s="2">
        <v>93.354886944604203</v>
      </c>
      <c r="S55" s="2">
        <v>48.066419924999998</v>
      </c>
      <c r="T55" s="2">
        <v>60.480000000000004</v>
      </c>
      <c r="U55" s="2">
        <v>362.31412454999997</v>
      </c>
      <c r="V55" s="2">
        <v>148.8632646491067</v>
      </c>
      <c r="W55" s="2">
        <v>355.53552210000004</v>
      </c>
      <c r="X55" s="2">
        <v>650.35626522475502</v>
      </c>
      <c r="Y55" s="2">
        <v>12.15</v>
      </c>
      <c r="Z55" s="2">
        <v>54.409831650000001</v>
      </c>
      <c r="AA55" s="2">
        <v>32.511375000000001</v>
      </c>
      <c r="AB55" s="2">
        <v>1.4594098076198221</v>
      </c>
      <c r="AC55" s="2">
        <v>600.97950000000003</v>
      </c>
      <c r="AE55" s="2">
        <v>42.703133174999998</v>
      </c>
      <c r="AF55" s="2">
        <v>72.94086652499999</v>
      </c>
      <c r="AG55" s="2">
        <v>348.92099999999999</v>
      </c>
    </row>
    <row r="56" spans="1:36" x14ac:dyDescent="0.45"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E56" s="2"/>
      <c r="AF56" s="2"/>
      <c r="AG56" s="2"/>
    </row>
    <row r="57" spans="1:36" x14ac:dyDescent="0.45">
      <c r="B57" s="1" t="s">
        <v>559</v>
      </c>
      <c r="E57" s="19">
        <f>-SUM(E14:E16)/E55</f>
        <v>0.44133642580392157</v>
      </c>
      <c r="F57" s="19">
        <f t="shared" ref="F57:AC57" si="1">-SUM(F14:F16)/F55</f>
        <v>0</v>
      </c>
      <c r="G57" s="19">
        <f t="shared" si="1"/>
        <v>0.53868622476437422</v>
      </c>
      <c r="H57" s="19">
        <f t="shared" si="1"/>
        <v>0.71643090633918127</v>
      </c>
      <c r="I57" s="19">
        <f t="shared" si="1"/>
        <v>1.1482410783524475</v>
      </c>
      <c r="J57" s="19">
        <f t="shared" si="1"/>
        <v>0.36026726531989545</v>
      </c>
      <c r="K57" s="19">
        <f t="shared" si="1"/>
        <v>0.80470668160000003</v>
      </c>
      <c r="L57" s="19">
        <f t="shared" si="1"/>
        <v>0.68320858114920635</v>
      </c>
      <c r="M57" s="19">
        <f t="shared" si="1"/>
        <v>0.47499945884763123</v>
      </c>
      <c r="N57" s="19">
        <f t="shared" si="1"/>
        <v>0.84056472195773135</v>
      </c>
      <c r="O57" s="19">
        <f t="shared" si="1"/>
        <v>0.83111118877504386</v>
      </c>
      <c r="P57" s="19">
        <f t="shared" si="1"/>
        <v>1.0061243806188036</v>
      </c>
      <c r="Q57" s="19">
        <f t="shared" si="1"/>
        <v>1.026427101349985</v>
      </c>
      <c r="R57" s="19">
        <f t="shared" si="1"/>
        <v>0.49952905614541432</v>
      </c>
      <c r="S57" s="19">
        <f t="shared" si="1"/>
        <v>0.75767813933356931</v>
      </c>
      <c r="T57" s="19">
        <f t="shared" si="1"/>
        <v>0.71347724000000001</v>
      </c>
      <c r="U57" s="19">
        <f t="shared" si="1"/>
        <v>1.0352143423197937</v>
      </c>
      <c r="V57" s="19">
        <f t="shared" si="1"/>
        <v>1.1056144833337676</v>
      </c>
      <c r="W57" s="19">
        <f t="shared" si="1"/>
        <v>1.1313941695380314</v>
      </c>
      <c r="X57" s="19">
        <f t="shared" si="1"/>
        <v>1.676710466146045</v>
      </c>
      <c r="Y57" s="19">
        <f t="shared" si="1"/>
        <v>0.21629250014814813</v>
      </c>
      <c r="Z57" s="19">
        <f t="shared" si="1"/>
        <v>0.72665174474951721</v>
      </c>
      <c r="AA57" s="19">
        <f t="shared" si="1"/>
        <v>1.146700824028513</v>
      </c>
      <c r="AB57" s="19">
        <f t="shared" si="1"/>
        <v>6.1994260241102097</v>
      </c>
      <c r="AC57" s="19">
        <f t="shared" si="1"/>
        <v>0.90332842601253449</v>
      </c>
      <c r="AD57" s="20"/>
      <c r="AE57" s="19">
        <f>-SUM(AD14:AD16)/AE55</f>
        <v>0</v>
      </c>
      <c r="AF57" s="19">
        <f>-SUM(AE14:AE16)/AF55</f>
        <v>0.62120978755400125</v>
      </c>
      <c r="AG57" s="19">
        <f>-SUM(AF14:AF16)/AG55</f>
        <v>0.24151609934741677</v>
      </c>
    </row>
    <row r="58" spans="1:36" x14ac:dyDescent="0.45"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6" x14ac:dyDescent="0.45">
      <c r="B59" s="1" t="s">
        <v>560</v>
      </c>
      <c r="E59" s="21">
        <f>E8/E46</f>
        <v>4.5098091460467254E-2</v>
      </c>
      <c r="F59" s="21">
        <f t="shared" ref="F59:AG59" si="2">F8/F46</f>
        <v>0.11014977188196902</v>
      </c>
      <c r="G59" s="21">
        <f t="shared" si="2"/>
        <v>1.500539040469135</v>
      </c>
      <c r="H59" s="21">
        <f t="shared" si="2"/>
        <v>8.9244124967113798</v>
      </c>
      <c r="I59" s="21">
        <f t="shared" si="2"/>
        <v>1.4689585023390825</v>
      </c>
      <c r="J59" s="21">
        <f t="shared" si="2"/>
        <v>0.96540687776468948</v>
      </c>
      <c r="K59" s="21">
        <f t="shared" si="2"/>
        <v>1.5985905316964619</v>
      </c>
      <c r="L59" s="21">
        <f t="shared" si="2"/>
        <v>1.6680030928054359</v>
      </c>
      <c r="M59" s="21">
        <f t="shared" si="2"/>
        <v>1.0434674077779564</v>
      </c>
      <c r="N59" s="21">
        <f t="shared" si="2"/>
        <v>1.6785731744501511</v>
      </c>
      <c r="O59" s="21">
        <f t="shared" si="2"/>
        <v>2.2360232267501967</v>
      </c>
      <c r="P59" s="21">
        <f t="shared" si="2"/>
        <v>1.2427716315560013</v>
      </c>
      <c r="Q59" s="21">
        <f t="shared" si="2"/>
        <v>1.1007991940056121</v>
      </c>
      <c r="R59" s="21">
        <f t="shared" si="2"/>
        <v>0.97142057435375617</v>
      </c>
      <c r="S59" s="21">
        <f t="shared" si="2"/>
        <v>1.3123714228847931</v>
      </c>
      <c r="T59" s="21">
        <f t="shared" si="2"/>
        <v>1.2620447309061442</v>
      </c>
      <c r="U59" s="21">
        <f t="shared" si="2"/>
        <v>1.3677899213652742</v>
      </c>
      <c r="V59" s="21">
        <f t="shared" si="2"/>
        <v>1.6988728661446</v>
      </c>
      <c r="W59" s="21">
        <f t="shared" si="2"/>
        <v>1.2590045084013328</v>
      </c>
      <c r="X59" s="21">
        <f t="shared" si="2"/>
        <v>1.1423043283044341</v>
      </c>
      <c r="Y59" s="21">
        <f t="shared" si="2"/>
        <v>2.1026555891509857</v>
      </c>
      <c r="Z59" s="21">
        <f t="shared" si="2"/>
        <v>0.3511279403133748</v>
      </c>
      <c r="AA59" s="21">
        <f t="shared" si="2"/>
        <v>9.7495255476948341E-3</v>
      </c>
      <c r="AB59" s="21">
        <f t="shared" si="2"/>
        <v>9.9836658184593077</v>
      </c>
      <c r="AC59" s="21">
        <f t="shared" si="2"/>
        <v>1.6698327797731873</v>
      </c>
      <c r="AD59" s="21">
        <f t="shared" si="2"/>
        <v>0.53133438837911262</v>
      </c>
      <c r="AE59" s="21">
        <f t="shared" si="2"/>
        <v>4.3099811099060013</v>
      </c>
      <c r="AF59" s="21">
        <f t="shared" si="2"/>
        <v>0.78359341443625441</v>
      </c>
      <c r="AG59" s="21">
        <f t="shared" si="2"/>
        <v>0.87122619535706525</v>
      </c>
    </row>
    <row r="60" spans="1:36" x14ac:dyDescent="0.45"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6" x14ac:dyDescent="0.45"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6" x14ac:dyDescent="0.45"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6" x14ac:dyDescent="0.45">
      <c r="D63" t="s">
        <v>551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6" x14ac:dyDescent="0.45">
      <c r="A64" t="s">
        <v>0</v>
      </c>
      <c r="B64" t="s">
        <v>531</v>
      </c>
      <c r="C64" t="s">
        <v>490</v>
      </c>
      <c r="D64" t="s">
        <v>499</v>
      </c>
      <c r="E64" s="2" t="s">
        <v>458</v>
      </c>
      <c r="F64" s="2" t="s">
        <v>459</v>
      </c>
      <c r="G64" s="2" t="s">
        <v>460</v>
      </c>
      <c r="H64" s="2" t="s">
        <v>461</v>
      </c>
      <c r="I64" s="2" t="s">
        <v>462</v>
      </c>
      <c r="J64" s="2" t="s">
        <v>463</v>
      </c>
      <c r="K64" s="2" t="s">
        <v>464</v>
      </c>
      <c r="L64" s="2" t="s">
        <v>66</v>
      </c>
      <c r="M64" s="2" t="s">
        <v>109</v>
      </c>
      <c r="N64" s="2" t="s">
        <v>78</v>
      </c>
      <c r="O64" s="2" t="s">
        <v>465</v>
      </c>
      <c r="P64" s="2" t="s">
        <v>466</v>
      </c>
      <c r="Q64" s="2" t="s">
        <v>467</v>
      </c>
      <c r="R64" s="2" t="s">
        <v>468</v>
      </c>
      <c r="S64" s="2" t="s">
        <v>469</v>
      </c>
      <c r="T64" s="2" t="s">
        <v>470</v>
      </c>
      <c r="U64" s="2" t="s">
        <v>471</v>
      </c>
      <c r="V64" s="2" t="s">
        <v>472</v>
      </c>
      <c r="W64" s="2" t="s">
        <v>71</v>
      </c>
      <c r="X64" s="2" t="s">
        <v>80</v>
      </c>
      <c r="Y64" s="2" t="s">
        <v>473</v>
      </c>
      <c r="Z64" s="2" t="s">
        <v>67</v>
      </c>
      <c r="AA64" s="2" t="s">
        <v>474</v>
      </c>
      <c r="AB64" s="2" t="s">
        <v>475</v>
      </c>
      <c r="AC64" s="2" t="s">
        <v>87</v>
      </c>
      <c r="AD64" s="2" t="s">
        <v>110</v>
      </c>
      <c r="AE64" s="2" t="s">
        <v>111</v>
      </c>
      <c r="AF64" s="2" t="s">
        <v>476</v>
      </c>
      <c r="AG64" s="2" t="s">
        <v>70</v>
      </c>
      <c r="AH64" s="2" t="s">
        <v>552</v>
      </c>
      <c r="AI64" s="2" t="s">
        <v>562</v>
      </c>
      <c r="AJ64" s="2">
        <v>2025</v>
      </c>
    </row>
    <row r="65" spans="1:36" x14ac:dyDescent="0.45">
      <c r="A65" t="s">
        <v>491</v>
      </c>
      <c r="C65">
        <v>2019</v>
      </c>
      <c r="D65" t="s">
        <v>23</v>
      </c>
      <c r="E65" s="2">
        <v>0.47</v>
      </c>
      <c r="F65" s="2">
        <v>0</v>
      </c>
      <c r="G65" s="2">
        <v>2.5586220000000002</v>
      </c>
      <c r="H65" s="2">
        <v>3.1675330000000002</v>
      </c>
      <c r="I65" s="2">
        <v>122.427693</v>
      </c>
      <c r="J65" s="2">
        <v>31.968140999999999</v>
      </c>
      <c r="K65" s="2">
        <v>4.3362769999999999</v>
      </c>
      <c r="L65" s="2">
        <v>26.280335999999998</v>
      </c>
      <c r="M65" s="2">
        <v>6.3199540000000001</v>
      </c>
      <c r="N65" s="2">
        <v>862.54978769999605</v>
      </c>
      <c r="O65" s="2">
        <v>4.9846380000000003</v>
      </c>
      <c r="P65" s="2">
        <v>16.955181</v>
      </c>
      <c r="Q65" s="2">
        <v>10.754015000000001</v>
      </c>
      <c r="R65" s="2">
        <v>4.6056889999999999</v>
      </c>
      <c r="S65" s="2">
        <v>3.258337</v>
      </c>
      <c r="T65" s="2">
        <v>3.8800690000000002</v>
      </c>
      <c r="U65" s="2">
        <v>32.254986000000002</v>
      </c>
      <c r="V65" s="2">
        <v>9.877027</v>
      </c>
      <c r="W65" s="2">
        <v>25.519955</v>
      </c>
      <c r="X65" s="2">
        <v>74.099999999999994</v>
      </c>
      <c r="Y65" s="2">
        <v>0.24785799999999999</v>
      </c>
      <c r="Z65" s="2">
        <v>3.8454790000000001</v>
      </c>
      <c r="AA65" s="2">
        <v>2.5296249999999998</v>
      </c>
      <c r="AB65" s="2">
        <v>7.4218999999999993E-2</v>
      </c>
      <c r="AC65" s="2">
        <v>51.074620000000003</v>
      </c>
      <c r="AD65" s="2">
        <v>0</v>
      </c>
      <c r="AE65" s="2">
        <v>3.7913389999999998</v>
      </c>
      <c r="AF65" s="2">
        <v>5.6216929999999996</v>
      </c>
      <c r="AG65" s="2">
        <v>23.806066366103199</v>
      </c>
      <c r="AH65" s="17">
        <v>2019</v>
      </c>
    </row>
    <row r="66" spans="1:36" x14ac:dyDescent="0.45">
      <c r="A66" t="s">
        <v>492</v>
      </c>
      <c r="B66" s="2"/>
      <c r="C66">
        <v>2019</v>
      </c>
      <c r="D66" t="str">
        <f>Steel!Q130</f>
        <v>IMstlbof_Conventional BOF</v>
      </c>
      <c r="E66" s="2">
        <v>0.58406000000000002</v>
      </c>
      <c r="F66" s="2">
        <v>0</v>
      </c>
      <c r="G66" s="2">
        <v>2.839251</v>
      </c>
      <c r="H66" s="2">
        <v>4.0743879999999999</v>
      </c>
      <c r="I66" s="2">
        <v>123.69844999999999</v>
      </c>
      <c r="J66" s="2">
        <v>31.6587428307</v>
      </c>
      <c r="K66" s="2">
        <v>4.6900959999999996</v>
      </c>
      <c r="L66" s="2">
        <v>24.763999999999999</v>
      </c>
      <c r="M66" s="2">
        <v>7.2249999999999996</v>
      </c>
      <c r="N66" s="2">
        <v>880.94573600490003</v>
      </c>
      <c r="O66" s="2">
        <v>5.4443599999999996</v>
      </c>
      <c r="P66" s="2">
        <v>19.526648000000002</v>
      </c>
      <c r="Q66" s="2">
        <v>12.311996000000001</v>
      </c>
      <c r="R66" s="2">
        <v>4.206588</v>
      </c>
      <c r="S66" s="2">
        <v>3.7478690000000001</v>
      </c>
      <c r="T66" s="2">
        <v>4.2397900000000002</v>
      </c>
      <c r="U66" s="2">
        <v>28.250613999999999</v>
      </c>
      <c r="V66" s="2">
        <v>10.061361</v>
      </c>
      <c r="W66" s="2">
        <v>27.722068</v>
      </c>
      <c r="X66" s="2">
        <v>48.682802381557899</v>
      </c>
      <c r="Y66" s="2">
        <v>0.25048300000000001</v>
      </c>
      <c r="Z66" s="2">
        <v>4.2424819999999999</v>
      </c>
      <c r="AA66" s="2">
        <v>2.5350000000000001</v>
      </c>
      <c r="AB66" s="2">
        <v>0</v>
      </c>
      <c r="AC66" s="2">
        <v>46.86</v>
      </c>
      <c r="AD66" s="2">
        <v>0</v>
      </c>
      <c r="AE66" s="2">
        <v>3.3296790000000001</v>
      </c>
      <c r="AF66" s="2">
        <v>5.6873969999999998</v>
      </c>
      <c r="AG66" s="2">
        <v>26.6</v>
      </c>
      <c r="AH66" s="17">
        <v>2019</v>
      </c>
    </row>
    <row r="67" spans="1:36" x14ac:dyDescent="0.45">
      <c r="A67" t="s">
        <v>494</v>
      </c>
      <c r="C67">
        <v>2019</v>
      </c>
      <c r="D67" t="s">
        <v>23</v>
      </c>
      <c r="E67" s="2">
        <v>6.8225230000000003</v>
      </c>
      <c r="F67" s="2">
        <v>0</v>
      </c>
      <c r="G67" s="2">
        <v>1.085998</v>
      </c>
      <c r="H67" s="2">
        <v>0</v>
      </c>
      <c r="I67" s="2">
        <v>0</v>
      </c>
      <c r="J67" s="2">
        <v>0.71515300000000004</v>
      </c>
      <c r="K67" s="2">
        <v>0</v>
      </c>
      <c r="L67" s="2">
        <v>0</v>
      </c>
      <c r="M67" s="2">
        <v>1.439681</v>
      </c>
      <c r="N67" s="2">
        <v>1.1357811433431799</v>
      </c>
      <c r="O67" s="2">
        <v>0.11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0.47</v>
      </c>
      <c r="X67" s="2">
        <v>36.856999999999999</v>
      </c>
      <c r="Y67" s="2">
        <v>2.0931510000000002</v>
      </c>
      <c r="Z67" s="2">
        <v>5.9737679999999997</v>
      </c>
      <c r="AA67" s="2">
        <v>37.812246000000002</v>
      </c>
      <c r="AB67" s="2">
        <v>0</v>
      </c>
      <c r="AC67" s="2">
        <v>8.0299999999999994</v>
      </c>
      <c r="AD67" s="2">
        <v>5.78</v>
      </c>
      <c r="AE67" s="2">
        <v>0.66060799999999997</v>
      </c>
      <c r="AF67" s="2">
        <v>0</v>
      </c>
      <c r="AG67" s="2">
        <v>3.7746770000000001</v>
      </c>
      <c r="AH67" s="17">
        <v>2019</v>
      </c>
    </row>
    <row r="68" spans="1:36" x14ac:dyDescent="0.45">
      <c r="A68" t="s">
        <v>495</v>
      </c>
      <c r="B68" s="2"/>
      <c r="C68">
        <v>2019</v>
      </c>
      <c r="D68" t="str">
        <f>Steel!Q154</f>
        <v>IMstl_Electric Arc Furnace (EAF)</v>
      </c>
      <c r="E68" s="2">
        <v>10.22941</v>
      </c>
      <c r="F68" s="2">
        <v>1.1299999999999999</v>
      </c>
      <c r="G68" s="2">
        <v>2.9383240000000002</v>
      </c>
      <c r="H68" s="2">
        <v>0.98850000000000005</v>
      </c>
      <c r="I68" s="2">
        <v>46.997515999999997</v>
      </c>
      <c r="J68" s="2">
        <v>37.333403000000096</v>
      </c>
      <c r="K68" s="2">
        <v>1.469767</v>
      </c>
      <c r="L68" s="2">
        <v>7.2720000000000002</v>
      </c>
      <c r="M68" s="2">
        <v>5.6749999999999998</v>
      </c>
      <c r="N68" s="2">
        <v>114.4731747351</v>
      </c>
      <c r="O68" s="2">
        <v>2.75149</v>
      </c>
      <c r="P68" s="2">
        <v>5.2205750000000002</v>
      </c>
      <c r="Q68" s="2">
        <v>4.2236969999999996</v>
      </c>
      <c r="R68" s="2">
        <v>20.380009000000001</v>
      </c>
      <c r="S68" s="2">
        <v>2.72485</v>
      </c>
      <c r="T68" s="2">
        <v>11.380725999999999</v>
      </c>
      <c r="U68" s="2">
        <v>29.488714000000002</v>
      </c>
      <c r="V68" s="2">
        <v>4.3882899999999996</v>
      </c>
      <c r="W68" s="2">
        <v>11.905279</v>
      </c>
      <c r="X68" s="2">
        <v>62.681608210174304</v>
      </c>
      <c r="Y68" s="2">
        <v>3.6966269999999999</v>
      </c>
      <c r="Z68" s="2">
        <v>14.144513999999999</v>
      </c>
      <c r="AA68" s="2">
        <v>33.772827710000001</v>
      </c>
      <c r="AB68" s="2">
        <v>0.62080100000000005</v>
      </c>
      <c r="AC68" s="2">
        <v>23.5</v>
      </c>
      <c r="AD68" s="2">
        <v>8.1910000000000007</v>
      </c>
      <c r="AE68" s="2">
        <v>2.8220209999999999</v>
      </c>
      <c r="AF68" s="2">
        <v>1.5307519999999999</v>
      </c>
      <c r="AG68" s="2">
        <v>61.2</v>
      </c>
      <c r="AH68" s="17">
        <v>2019</v>
      </c>
    </row>
    <row r="69" spans="1:36" x14ac:dyDescent="0.45">
      <c r="A69" t="s">
        <v>561</v>
      </c>
      <c r="C69">
        <v>2019</v>
      </c>
      <c r="D69" t="str">
        <f>Steel!Q22</f>
        <v>IMstlbof_Coke Ovens</v>
      </c>
      <c r="E69" s="2">
        <f>E28/30</f>
        <v>0.27769802316000003</v>
      </c>
      <c r="F69" s="2">
        <f t="shared" ref="F69:AG69" si="3">F28/30</f>
        <v>0.18372990264</v>
      </c>
      <c r="G69" s="2">
        <f t="shared" si="3"/>
        <v>1.1455024789200001</v>
      </c>
      <c r="H69" s="2">
        <f t="shared" si="3"/>
        <v>2.3854580493599999</v>
      </c>
      <c r="I69" s="2">
        <f t="shared" si="3"/>
        <v>47.151591433439997</v>
      </c>
      <c r="J69" s="2">
        <f t="shared" si="3"/>
        <v>10.213024106520001</v>
      </c>
      <c r="K69" s="2">
        <f t="shared" si="3"/>
        <v>2.5062332733600003</v>
      </c>
      <c r="L69" s="2">
        <f t="shared" si="3"/>
        <v>8.9172841711200004</v>
      </c>
      <c r="M69" s="2">
        <f t="shared" si="3"/>
        <v>2.2221865262400002</v>
      </c>
      <c r="N69" s="2">
        <f t="shared" si="3"/>
        <v>422.44608563387999</v>
      </c>
      <c r="O69" s="2">
        <f t="shared" si="3"/>
        <v>1.85077326528</v>
      </c>
      <c r="P69" s="2">
        <f t="shared" si="3"/>
        <v>13.020720238080001</v>
      </c>
      <c r="Q69" s="2">
        <f t="shared" si="3"/>
        <v>3.0617991642000004</v>
      </c>
      <c r="R69" s="2">
        <f t="shared" si="3"/>
        <v>1.5982857792</v>
      </c>
      <c r="S69" s="2">
        <f t="shared" si="3"/>
        <v>0.86259412271999991</v>
      </c>
      <c r="T69" s="2">
        <f t="shared" si="3"/>
        <v>0.76375326480000005</v>
      </c>
      <c r="U69" s="2">
        <f t="shared" si="3"/>
        <v>13.134512298359999</v>
      </c>
      <c r="V69" s="2">
        <f t="shared" si="3"/>
        <v>2.90564213076</v>
      </c>
      <c r="W69" s="2">
        <f t="shared" si="3"/>
        <v>8.4245343758400004</v>
      </c>
      <c r="X69" s="2">
        <f t="shared" si="3"/>
        <v>38.185440467879999</v>
      </c>
      <c r="Y69" s="2">
        <f t="shared" si="3"/>
        <v>2.1356249944799996</v>
      </c>
      <c r="Z69" s="2">
        <f t="shared" si="3"/>
        <v>0.94640506644</v>
      </c>
      <c r="AA69" s="2">
        <f t="shared" si="3"/>
        <v>1.0852234446</v>
      </c>
      <c r="AB69" s="2">
        <f t="shared" si="3"/>
        <v>0</v>
      </c>
      <c r="AC69" s="2">
        <f t="shared" si="3"/>
        <v>44.488699548</v>
      </c>
      <c r="AD69" s="2">
        <f t="shared" si="3"/>
        <v>0</v>
      </c>
      <c r="AE69" s="2">
        <f t="shared" si="3"/>
        <v>1.66491967812</v>
      </c>
      <c r="AF69" s="2">
        <f t="shared" si="3"/>
        <v>1.3052400637199999</v>
      </c>
      <c r="AG69" s="2">
        <f t="shared" si="3"/>
        <v>11.23329576888</v>
      </c>
    </row>
    <row r="70" spans="1:36" x14ac:dyDescent="0.45">
      <c r="B70" t="s">
        <v>563</v>
      </c>
      <c r="C70">
        <v>2019</v>
      </c>
      <c r="E70" s="2">
        <f>E67</f>
        <v>6.8225230000000003</v>
      </c>
      <c r="F70" s="2">
        <f t="shared" ref="F70:AG70" si="4">F67</f>
        <v>0</v>
      </c>
      <c r="G70" s="2">
        <f t="shared" si="4"/>
        <v>1.085998</v>
      </c>
      <c r="H70" s="2">
        <f t="shared" si="4"/>
        <v>0</v>
      </c>
      <c r="I70" s="2">
        <f t="shared" si="4"/>
        <v>0</v>
      </c>
      <c r="J70" s="2">
        <f t="shared" si="4"/>
        <v>0.71515300000000004</v>
      </c>
      <c r="K70" s="2">
        <f t="shared" si="4"/>
        <v>0</v>
      </c>
      <c r="L70" s="2">
        <f t="shared" si="4"/>
        <v>0</v>
      </c>
      <c r="M70" s="2">
        <f t="shared" si="4"/>
        <v>1.439681</v>
      </c>
      <c r="N70" s="2">
        <f t="shared" si="4"/>
        <v>1.1357811433431799</v>
      </c>
      <c r="O70" s="2">
        <f t="shared" si="4"/>
        <v>0.11</v>
      </c>
      <c r="P70" s="2">
        <f t="shared" si="4"/>
        <v>0</v>
      </c>
      <c r="Q70" s="2">
        <f t="shared" si="4"/>
        <v>0</v>
      </c>
      <c r="R70" s="2">
        <f t="shared" si="4"/>
        <v>0</v>
      </c>
      <c r="S70" s="2">
        <f t="shared" si="4"/>
        <v>0</v>
      </c>
      <c r="T70" s="2">
        <f t="shared" si="4"/>
        <v>0</v>
      </c>
      <c r="U70" s="2">
        <f t="shared" si="4"/>
        <v>0</v>
      </c>
      <c r="V70" s="2">
        <f t="shared" si="4"/>
        <v>0</v>
      </c>
      <c r="W70" s="2">
        <f t="shared" si="4"/>
        <v>0.47</v>
      </c>
      <c r="X70" s="2">
        <f t="shared" si="4"/>
        <v>36.856999999999999</v>
      </c>
      <c r="Y70" s="2">
        <f t="shared" si="4"/>
        <v>2.0931510000000002</v>
      </c>
      <c r="Z70" s="2">
        <f t="shared" si="4"/>
        <v>5.9737679999999997</v>
      </c>
      <c r="AA70" s="2">
        <f t="shared" si="4"/>
        <v>37.812246000000002</v>
      </c>
      <c r="AB70" s="2">
        <f t="shared" si="4"/>
        <v>0</v>
      </c>
      <c r="AC70" s="2">
        <f t="shared" si="4"/>
        <v>8.0299999999999994</v>
      </c>
      <c r="AD70" s="2">
        <f t="shared" si="4"/>
        <v>5.78</v>
      </c>
      <c r="AE70" s="2">
        <f t="shared" si="4"/>
        <v>0.66060799999999997</v>
      </c>
      <c r="AF70" s="2">
        <f t="shared" si="4"/>
        <v>0</v>
      </c>
      <c r="AG70" s="2">
        <f t="shared" si="4"/>
        <v>3.7746770000000001</v>
      </c>
      <c r="AI70" t="s">
        <v>160</v>
      </c>
    </row>
    <row r="71" spans="1:36" x14ac:dyDescent="0.45">
      <c r="C71">
        <v>2025</v>
      </c>
      <c r="D71" t="str">
        <f>D66</f>
        <v>IMstlbof_Conventional BOF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J71">
        <v>0</v>
      </c>
    </row>
    <row r="72" spans="1:36" x14ac:dyDescent="0.45">
      <c r="C72">
        <v>2025</v>
      </c>
      <c r="D72" t="str">
        <f t="shared" ref="D72:D74" si="5">D67</f>
        <v>\I: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J72">
        <v>0</v>
      </c>
    </row>
    <row r="73" spans="1:36" x14ac:dyDescent="0.45">
      <c r="C73">
        <v>2025</v>
      </c>
      <c r="D73" t="str">
        <f t="shared" si="5"/>
        <v>IMstl_Electric Arc Furnace (EAF)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J73">
        <v>0</v>
      </c>
    </row>
    <row r="74" spans="1:36" x14ac:dyDescent="0.45">
      <c r="C74">
        <v>2025</v>
      </c>
      <c r="D74" t="str">
        <f t="shared" si="5"/>
        <v>IMstlbof_Coke Ovens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J74">
        <v>0</v>
      </c>
    </row>
    <row r="75" spans="1:36" x14ac:dyDescent="0.45">
      <c r="B75" t="str">
        <f>B70</f>
        <v>COM_BNDPRD</v>
      </c>
      <c r="C75">
        <v>2025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I75" t="s">
        <v>160</v>
      </c>
      <c r="AJ75">
        <v>0</v>
      </c>
    </row>
    <row r="76" spans="1:36" x14ac:dyDescent="0.45">
      <c r="AE76" s="2"/>
      <c r="AF76" s="2"/>
      <c r="AG76" s="2"/>
    </row>
    <row r="77" spans="1:36" x14ac:dyDescent="0.45">
      <c r="AE77" s="2"/>
      <c r="AF77" s="2"/>
      <c r="AG77" s="2"/>
    </row>
    <row r="78" spans="1:36" x14ac:dyDescent="0.45">
      <c r="AE78" s="2"/>
      <c r="AF78" s="2"/>
      <c r="AG78" s="2"/>
    </row>
    <row r="79" spans="1:36" x14ac:dyDescent="0.45">
      <c r="AE79" s="2"/>
      <c r="AF79" s="2"/>
      <c r="AG79" s="2"/>
    </row>
    <row r="80" spans="1:36" x14ac:dyDescent="0.45">
      <c r="AE80" s="2"/>
      <c r="AF80" s="2"/>
      <c r="AG80" s="2"/>
    </row>
    <row r="81" spans="5:33" x14ac:dyDescent="0.45">
      <c r="AE81" s="2"/>
      <c r="AF81" s="2"/>
      <c r="AG81" s="2"/>
    </row>
    <row r="82" spans="5:33" x14ac:dyDescent="0.45"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5:33" x14ac:dyDescent="0.45"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5:33" x14ac:dyDescent="0.45"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5:33" x14ac:dyDescent="0.45"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5:33" x14ac:dyDescent="0.45"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5:33" x14ac:dyDescent="0.45"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5:33" x14ac:dyDescent="0.45"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5:33" x14ac:dyDescent="0.45"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5:33" x14ac:dyDescent="0.45"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5:33" x14ac:dyDescent="0.45"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5:33" x14ac:dyDescent="0.45"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5:33" x14ac:dyDescent="0.45"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5:33" x14ac:dyDescent="0.45"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5:33" x14ac:dyDescent="0.45"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5:33" x14ac:dyDescent="0.45"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5:33" x14ac:dyDescent="0.45"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5:33" x14ac:dyDescent="0.45"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5:33" x14ac:dyDescent="0.45"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5:33" x14ac:dyDescent="0.45"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5:33" x14ac:dyDescent="0.45"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5:33" x14ac:dyDescent="0.45"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5:33" x14ac:dyDescent="0.45"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5:33" x14ac:dyDescent="0.45"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5:33" x14ac:dyDescent="0.45"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5:33" x14ac:dyDescent="0.45"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5:33" x14ac:dyDescent="0.45"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5:33" x14ac:dyDescent="0.45"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5:33" x14ac:dyDescent="0.45"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5:33" x14ac:dyDescent="0.45"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5:33" x14ac:dyDescent="0.45"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5:33" x14ac:dyDescent="0.45"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5:33" x14ac:dyDescent="0.45"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5:33" x14ac:dyDescent="0.45"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5:33" x14ac:dyDescent="0.45"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5:33" x14ac:dyDescent="0.45"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5:33" x14ac:dyDescent="0.45"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5:33" x14ac:dyDescent="0.45"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5:33" x14ac:dyDescent="0.45"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5:33" x14ac:dyDescent="0.45"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5:33" x14ac:dyDescent="0.45"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5:33" x14ac:dyDescent="0.45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5:33" x14ac:dyDescent="0.45"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5:33" x14ac:dyDescent="0.45"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5:33" x14ac:dyDescent="0.45"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5:33" x14ac:dyDescent="0.45"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5:33" x14ac:dyDescent="0.45"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5:33" x14ac:dyDescent="0.45"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5:33" x14ac:dyDescent="0.45"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5:33" x14ac:dyDescent="0.45"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5:33" x14ac:dyDescent="0.45"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5:33" x14ac:dyDescent="0.45"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5:33" x14ac:dyDescent="0.45"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5:33" x14ac:dyDescent="0.45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5:33" x14ac:dyDescent="0.45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5:33" x14ac:dyDescent="0.45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5:33" x14ac:dyDescent="0.45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5:33" x14ac:dyDescent="0.45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5:33" x14ac:dyDescent="0.45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5:33" x14ac:dyDescent="0.45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5:33" x14ac:dyDescent="0.45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5:33" x14ac:dyDescent="0.45"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5:33" x14ac:dyDescent="0.45"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5:33" x14ac:dyDescent="0.45"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5:33" x14ac:dyDescent="0.45"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5:33" x14ac:dyDescent="0.45"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5:33" x14ac:dyDescent="0.45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5:33" x14ac:dyDescent="0.45"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5:33" x14ac:dyDescent="0.45"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5:33" x14ac:dyDescent="0.45"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5:33" x14ac:dyDescent="0.45"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5:33" x14ac:dyDescent="0.45"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5:33" x14ac:dyDescent="0.45"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5:33" x14ac:dyDescent="0.45"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5:33" x14ac:dyDescent="0.45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5:33" x14ac:dyDescent="0.45"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5:33" x14ac:dyDescent="0.45"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5:33" x14ac:dyDescent="0.45"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5:33" x14ac:dyDescent="0.45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5:33" x14ac:dyDescent="0.45"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5:33" x14ac:dyDescent="0.45"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5:33" x14ac:dyDescent="0.45"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5:33" x14ac:dyDescent="0.45"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5:33" x14ac:dyDescent="0.45"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5:33" x14ac:dyDescent="0.45"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5:33" x14ac:dyDescent="0.45"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5:33" x14ac:dyDescent="0.45"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5:33" x14ac:dyDescent="0.45"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5:33" x14ac:dyDescent="0.45"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5:33" x14ac:dyDescent="0.45"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5:33" x14ac:dyDescent="0.45"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5:33" x14ac:dyDescent="0.45"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5:33" x14ac:dyDescent="0.45"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5:33" x14ac:dyDescent="0.45"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5:33" x14ac:dyDescent="0.45"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5:33" x14ac:dyDescent="0.45"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5:33" x14ac:dyDescent="0.45"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5:33" x14ac:dyDescent="0.45"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5:33" x14ac:dyDescent="0.45"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5:33" x14ac:dyDescent="0.45"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5:33" x14ac:dyDescent="0.45"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5:33" x14ac:dyDescent="0.45"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5:33" x14ac:dyDescent="0.45"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5:33" x14ac:dyDescent="0.45"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5:33" x14ac:dyDescent="0.45"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5:33" x14ac:dyDescent="0.45"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5:33" x14ac:dyDescent="0.45"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5:33" x14ac:dyDescent="0.45"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7E75-E13B-4568-92D4-ECAC8CA5D756}">
  <dimension ref="C2:AI32"/>
  <sheetViews>
    <sheetView workbookViewId="0">
      <selection activeCell="D7" sqref="D7"/>
    </sheetView>
  </sheetViews>
  <sheetFormatPr defaultColWidth="8.86328125" defaultRowHeight="14.25" x14ac:dyDescent="0.45"/>
  <cols>
    <col min="3" max="3" width="14" bestFit="1" customWidth="1"/>
    <col min="4" max="35" width="6.53125" bestFit="1" customWidth="1"/>
  </cols>
  <sheetData>
    <row r="2" spans="3:35" ht="17.25" thickBot="1" x14ac:dyDescent="0.55000000000000004">
      <c r="C2" s="14" t="s">
        <v>501</v>
      </c>
    </row>
    <row r="3" spans="3:35" ht="15" thickTop="1" thickBot="1" x14ac:dyDescent="0.5">
      <c r="C3" s="13" t="s">
        <v>45</v>
      </c>
      <c r="D3" s="13">
        <v>2019</v>
      </c>
      <c r="E3" s="13">
        <v>2020</v>
      </c>
      <c r="F3" s="13">
        <v>2021</v>
      </c>
      <c r="G3" s="13">
        <v>2022</v>
      </c>
      <c r="H3" s="13">
        <v>2023</v>
      </c>
      <c r="I3" s="13">
        <v>2024</v>
      </c>
      <c r="J3" s="13">
        <v>2025</v>
      </c>
      <c r="K3" s="13">
        <v>2026</v>
      </c>
      <c r="L3" s="13">
        <v>2027</v>
      </c>
      <c r="M3" s="13">
        <v>2028</v>
      </c>
      <c r="N3" s="13">
        <v>2029</v>
      </c>
      <c r="O3" s="13">
        <v>2030</v>
      </c>
      <c r="P3" s="13">
        <v>2031</v>
      </c>
      <c r="Q3" s="13">
        <v>2032</v>
      </c>
      <c r="R3" s="13">
        <v>2033</v>
      </c>
      <c r="S3" s="13">
        <v>2034</v>
      </c>
      <c r="T3" s="13">
        <v>2035</v>
      </c>
      <c r="U3" s="13">
        <v>2036</v>
      </c>
      <c r="V3" s="13">
        <v>2037</v>
      </c>
      <c r="W3" s="13">
        <v>2038</v>
      </c>
      <c r="X3" s="13">
        <v>2039</v>
      </c>
      <c r="Y3" s="13">
        <v>2040</v>
      </c>
      <c r="Z3" s="13">
        <v>2041</v>
      </c>
      <c r="AA3" s="13">
        <v>2042</v>
      </c>
      <c r="AB3" s="13">
        <v>2043</v>
      </c>
      <c r="AC3" s="13">
        <v>2044</v>
      </c>
      <c r="AD3" s="13">
        <v>2045</v>
      </c>
      <c r="AE3" s="13">
        <v>2046</v>
      </c>
      <c r="AF3" s="13">
        <v>2047</v>
      </c>
      <c r="AG3" s="13">
        <v>2048</v>
      </c>
      <c r="AH3" s="13">
        <v>2049</v>
      </c>
      <c r="AI3" s="13">
        <v>2050</v>
      </c>
    </row>
    <row r="4" spans="3:35" x14ac:dyDescent="0.45">
      <c r="C4" t="s">
        <v>458</v>
      </c>
      <c r="D4">
        <v>22.997611131582914</v>
      </c>
      <c r="E4">
        <v>20.793453768510979</v>
      </c>
      <c r="F4">
        <v>21.210338206678543</v>
      </c>
      <c r="G4">
        <v>23.608510338040979</v>
      </c>
      <c r="H4">
        <v>24.27463087705155</v>
      </c>
      <c r="I4">
        <v>24.922154983555526</v>
      </c>
      <c r="J4">
        <v>25.525093056089386</v>
      </c>
      <c r="K4">
        <v>26.038789531201395</v>
      </c>
      <c r="L4">
        <v>26.568705573900239</v>
      </c>
      <c r="M4">
        <v>27.112658364463634</v>
      </c>
      <c r="N4">
        <v>27.664298790397037</v>
      </c>
      <c r="O4">
        <v>28.218847634424503</v>
      </c>
      <c r="P4">
        <v>28.771609113708205</v>
      </c>
      <c r="Q4">
        <v>29.327350572311072</v>
      </c>
      <c r="R4">
        <v>29.88388155495289</v>
      </c>
      <c r="S4">
        <v>30.439455643106452</v>
      </c>
      <c r="T4">
        <v>30.992379220107413</v>
      </c>
      <c r="U4">
        <v>31.538309648777357</v>
      </c>
      <c r="V4">
        <v>32.081794685754247</v>
      </c>
      <c r="W4">
        <v>32.620930257212159</v>
      </c>
      <c r="X4">
        <v>33.15416132473829</v>
      </c>
      <c r="Y4">
        <v>33.680695293615479</v>
      </c>
      <c r="Z4">
        <v>34.197225101074025</v>
      </c>
      <c r="AA4">
        <v>34.707719265809672</v>
      </c>
      <c r="AB4">
        <v>35.2116153571639</v>
      </c>
      <c r="AC4">
        <v>35.708749842654683</v>
      </c>
      <c r="AD4">
        <v>36.199367560551124</v>
      </c>
      <c r="AE4">
        <v>36.685945761916443</v>
      </c>
      <c r="AF4">
        <v>37.167665239497403</v>
      </c>
      <c r="AG4">
        <v>37.645626605451888</v>
      </c>
      <c r="AH4">
        <v>38.12153738821803</v>
      </c>
      <c r="AI4">
        <v>38.596451327400395</v>
      </c>
    </row>
    <row r="5" spans="3:35" x14ac:dyDescent="0.45">
      <c r="C5" t="s">
        <v>459</v>
      </c>
      <c r="D5">
        <v>10.028818997976188</v>
      </c>
      <c r="E5">
        <v>9.9222407920642759</v>
      </c>
      <c r="F5">
        <v>8.563942390281829</v>
      </c>
      <c r="G5">
        <v>10.146921310288386</v>
      </c>
      <c r="H5">
        <v>10.572472732233605</v>
      </c>
      <c r="I5">
        <v>10.984450635860721</v>
      </c>
      <c r="J5">
        <v>11.442636420062307</v>
      </c>
      <c r="K5">
        <v>11.818146818349371</v>
      </c>
      <c r="L5">
        <v>12.206434512082618</v>
      </c>
      <c r="M5">
        <v>12.607234254928667</v>
      </c>
      <c r="N5">
        <v>13.019980032099872</v>
      </c>
      <c r="O5">
        <v>13.444342515732277</v>
      </c>
      <c r="P5">
        <v>13.875889191851744</v>
      </c>
      <c r="Q5">
        <v>14.319841486491258</v>
      </c>
      <c r="R5">
        <v>14.776260121176206</v>
      </c>
      <c r="S5">
        <v>15.245184596484956</v>
      </c>
      <c r="T5">
        <v>15.726554497002816</v>
      </c>
      <c r="U5">
        <v>16.215806296839755</v>
      </c>
      <c r="V5">
        <v>16.718353755431483</v>
      </c>
      <c r="W5">
        <v>17.234187683834669</v>
      </c>
      <c r="X5">
        <v>17.763458787060472</v>
      </c>
      <c r="Y5">
        <v>18.248681626367784</v>
      </c>
      <c r="Z5">
        <v>18.743397599739151</v>
      </c>
      <c r="AA5">
        <v>19.253650844884575</v>
      </c>
      <c r="AB5">
        <v>19.779779366453226</v>
      </c>
      <c r="AC5">
        <v>20.321896822611116</v>
      </c>
      <c r="AD5">
        <v>20.88023502556533</v>
      </c>
      <c r="AE5">
        <v>21.44949771931384</v>
      </c>
      <c r="AF5">
        <v>22.036375830024539</v>
      </c>
      <c r="AG5">
        <v>22.64116425253345</v>
      </c>
      <c r="AH5">
        <v>23.263975763828586</v>
      </c>
      <c r="AI5">
        <v>23.905025609184051</v>
      </c>
    </row>
    <row r="6" spans="3:35" x14ac:dyDescent="0.45">
      <c r="C6" t="s">
        <v>460</v>
      </c>
      <c r="D6">
        <v>7.2190147929308157</v>
      </c>
      <c r="E6">
        <v>6.3885976717499808</v>
      </c>
      <c r="F6">
        <v>7.8256538560662827</v>
      </c>
      <c r="G6">
        <v>7.99398540668117</v>
      </c>
      <c r="H6">
        <v>8.2503185742496417</v>
      </c>
      <c r="I6">
        <v>8.4239815392699047</v>
      </c>
      <c r="J6">
        <v>8.7473373420434193</v>
      </c>
      <c r="K6">
        <v>8.9576421112277131</v>
      </c>
      <c r="L6">
        <v>9.0787692021468018</v>
      </c>
      <c r="M6">
        <v>9.2000191314924411</v>
      </c>
      <c r="N6">
        <v>9.3247157125561362</v>
      </c>
      <c r="O6">
        <v>9.4532849836159585</v>
      </c>
      <c r="P6">
        <v>9.5894877601510817</v>
      </c>
      <c r="Q6">
        <v>9.6739831987255496</v>
      </c>
      <c r="R6">
        <v>9.7592862126843656</v>
      </c>
      <c r="S6">
        <v>9.8432025305714976</v>
      </c>
      <c r="T6">
        <v>9.9258717733172155</v>
      </c>
      <c r="U6">
        <v>10.00710189460246</v>
      </c>
      <c r="V6">
        <v>10.089362775925647</v>
      </c>
      <c r="W6">
        <v>10.168117409565646</v>
      </c>
      <c r="X6">
        <v>10.244922428850522</v>
      </c>
      <c r="Y6">
        <v>10.320993165214453</v>
      </c>
      <c r="Z6">
        <v>10.386165454037215</v>
      </c>
      <c r="AA6">
        <v>10.448760502352876</v>
      </c>
      <c r="AB6">
        <v>10.506892671776253</v>
      </c>
      <c r="AC6">
        <v>10.561074154342453</v>
      </c>
      <c r="AD6">
        <v>10.613524621841503</v>
      </c>
      <c r="AE6">
        <v>10.664640646090845</v>
      </c>
      <c r="AF6">
        <v>10.713951649426861</v>
      </c>
      <c r="AG6">
        <v>10.761215178870851</v>
      </c>
      <c r="AH6">
        <v>10.804300968471445</v>
      </c>
      <c r="AI6">
        <v>10.844208765008325</v>
      </c>
    </row>
    <row r="7" spans="3:35" x14ac:dyDescent="0.45">
      <c r="C7" t="s">
        <v>461</v>
      </c>
      <c r="D7">
        <v>7.0395496476132271</v>
      </c>
      <c r="E7">
        <v>7.3713440479498153</v>
      </c>
      <c r="F7">
        <v>8.6788126402635815</v>
      </c>
      <c r="G7">
        <v>7.3153979834769771</v>
      </c>
      <c r="H7">
        <v>7.5498325326988409</v>
      </c>
      <c r="I7">
        <v>7.7666058704229615</v>
      </c>
      <c r="J7">
        <v>8.0017932862116439</v>
      </c>
      <c r="K7">
        <v>8.2048971861221087</v>
      </c>
      <c r="L7">
        <v>8.4047342060999632</v>
      </c>
      <c r="M7">
        <v>8.6022764701850303</v>
      </c>
      <c r="N7">
        <v>8.7989163603112477</v>
      </c>
      <c r="O7">
        <v>8.9947097753109126</v>
      </c>
      <c r="P7">
        <v>9.184901480393199</v>
      </c>
      <c r="Q7">
        <v>9.3733328168344858</v>
      </c>
      <c r="R7">
        <v>9.5575022991804701</v>
      </c>
      <c r="S7">
        <v>9.7339565143492219</v>
      </c>
      <c r="T7">
        <v>9.9003478713604913</v>
      </c>
      <c r="U7">
        <v>10.053942266162787</v>
      </c>
      <c r="V7">
        <v>10.197751319830022</v>
      </c>
      <c r="W7">
        <v>10.331349720714837</v>
      </c>
      <c r="X7">
        <v>10.455060479131983</v>
      </c>
      <c r="Y7">
        <v>10.569224911922161</v>
      </c>
      <c r="Z7">
        <v>10.679202830602147</v>
      </c>
      <c r="AA7">
        <v>10.787157777545065</v>
      </c>
      <c r="AB7">
        <v>10.892858042164423</v>
      </c>
      <c r="AC7">
        <v>10.996229365363655</v>
      </c>
      <c r="AD7">
        <v>11.097291206683884</v>
      </c>
      <c r="AE7">
        <v>11.194763690489365</v>
      </c>
      <c r="AF7">
        <v>11.290872401311839</v>
      </c>
      <c r="AG7">
        <v>11.38509220744549</v>
      </c>
      <c r="AH7">
        <v>11.476349823777426</v>
      </c>
      <c r="AI7">
        <v>11.563888163975214</v>
      </c>
    </row>
    <row r="8" spans="3:35" x14ac:dyDescent="0.45">
      <c r="C8" t="s">
        <v>462</v>
      </c>
      <c r="D8">
        <v>124.75300831958101</v>
      </c>
      <c r="E8">
        <v>108.8504249953252</v>
      </c>
      <c r="F8">
        <v>127.0268109704804</v>
      </c>
      <c r="G8">
        <v>123.60153442693927</v>
      </c>
      <c r="H8">
        <v>126.60881052409191</v>
      </c>
      <c r="I8">
        <v>127.74431710749953</v>
      </c>
      <c r="J8">
        <v>127.28941108015511</v>
      </c>
      <c r="K8">
        <v>126.57582743211157</v>
      </c>
      <c r="L8">
        <v>125.61071279788872</v>
      </c>
      <c r="M8">
        <v>124.62206303340118</v>
      </c>
      <c r="N8">
        <v>123.59413329357405</v>
      </c>
      <c r="O8">
        <v>122.50060188804173</v>
      </c>
      <c r="P8">
        <v>121.37319253363289</v>
      </c>
      <c r="Q8">
        <v>119.90561160407714</v>
      </c>
      <c r="R8">
        <v>118.43243487401872</v>
      </c>
      <c r="S8">
        <v>116.93242165705391</v>
      </c>
      <c r="T8">
        <v>115.37825213302936</v>
      </c>
      <c r="U8">
        <v>113.83819612119402</v>
      </c>
      <c r="V8">
        <v>112.26176700129636</v>
      </c>
      <c r="W8">
        <v>110.65868761060698</v>
      </c>
      <c r="X8">
        <v>109.08345483334212</v>
      </c>
      <c r="Y8">
        <v>107.49438562063996</v>
      </c>
      <c r="Z8">
        <v>105.91797785629784</v>
      </c>
      <c r="AA8">
        <v>104.39279181042107</v>
      </c>
      <c r="AB8">
        <v>102.91373525375175</v>
      </c>
      <c r="AC8">
        <v>101.4562080615561</v>
      </c>
      <c r="AD8">
        <v>99.999725311137325</v>
      </c>
      <c r="AE8">
        <v>98.611821559962081</v>
      </c>
      <c r="AF8">
        <v>97.241048233718999</v>
      </c>
      <c r="AG8">
        <v>95.884087003157646</v>
      </c>
      <c r="AH8">
        <v>94.544381341900703</v>
      </c>
      <c r="AI8">
        <v>93.226857558882458</v>
      </c>
    </row>
    <row r="9" spans="3:35" x14ac:dyDescent="0.45">
      <c r="C9" t="s">
        <v>463</v>
      </c>
      <c r="D9">
        <v>127.01325627619423</v>
      </c>
      <c r="E9">
        <v>118.68516779231386</v>
      </c>
      <c r="F9">
        <v>126.1682131317687</v>
      </c>
      <c r="G9">
        <v>131.78459290548216</v>
      </c>
      <c r="H9">
        <v>138.59723922779705</v>
      </c>
      <c r="I9">
        <v>143.76058975408247</v>
      </c>
      <c r="J9">
        <v>149.18912899020614</v>
      </c>
      <c r="K9">
        <v>154.60306333216411</v>
      </c>
      <c r="L9">
        <v>159.73121749711146</v>
      </c>
      <c r="M9">
        <v>164.74092378261102</v>
      </c>
      <c r="N9">
        <v>169.67270780840312</v>
      </c>
      <c r="O9">
        <v>174.61983542259165</v>
      </c>
      <c r="P9">
        <v>179.82383909086778</v>
      </c>
      <c r="Q9">
        <v>185.2205865955444</v>
      </c>
      <c r="R9">
        <v>190.72700934506619</v>
      </c>
      <c r="S9">
        <v>196.35771359956308</v>
      </c>
      <c r="T9">
        <v>202.08265997017349</v>
      </c>
      <c r="U9">
        <v>207.89235250102701</v>
      </c>
      <c r="V9">
        <v>214.03534459436295</v>
      </c>
      <c r="W9">
        <v>220.30627454714769</v>
      </c>
      <c r="X9">
        <v>226.70150986418787</v>
      </c>
      <c r="Y9">
        <v>233.25811708871305</v>
      </c>
      <c r="Z9">
        <v>239.97621966453804</v>
      </c>
      <c r="AA9">
        <v>246.87018458294742</v>
      </c>
      <c r="AB9">
        <v>253.87606460485176</v>
      </c>
      <c r="AC9">
        <v>261.04807759621252</v>
      </c>
      <c r="AD9">
        <v>268.37258313848298</v>
      </c>
      <c r="AE9">
        <v>275.90192288188018</v>
      </c>
      <c r="AF9">
        <v>283.64878107396368</v>
      </c>
      <c r="AG9">
        <v>290.71112404398031</v>
      </c>
      <c r="AH9">
        <v>298.76817112155908</v>
      </c>
      <c r="AI9">
        <v>307.08900177995173</v>
      </c>
    </row>
    <row r="10" spans="3:35" x14ac:dyDescent="0.45">
      <c r="C10" t="s">
        <v>464</v>
      </c>
      <c r="D10">
        <v>6.7607193429670511</v>
      </c>
      <c r="E10">
        <v>6.26786183143538</v>
      </c>
      <c r="F10">
        <v>7.2317604646257339</v>
      </c>
      <c r="G10">
        <v>7.4426836084717429</v>
      </c>
      <c r="H10">
        <v>7.6015676770928637</v>
      </c>
      <c r="I10">
        <v>7.7954202636471104</v>
      </c>
      <c r="J10">
        <v>7.8771348015363101</v>
      </c>
      <c r="K10">
        <v>7.858974114506025</v>
      </c>
      <c r="L10">
        <v>7.8572029141810704</v>
      </c>
      <c r="M10">
        <v>7.8904126409121345</v>
      </c>
      <c r="N10">
        <v>7.951601352341104</v>
      </c>
      <c r="O10">
        <v>8.0167664048905838</v>
      </c>
      <c r="P10">
        <v>8.0819679117282828</v>
      </c>
      <c r="Q10">
        <v>8.1472161723914009</v>
      </c>
      <c r="R10">
        <v>8.2112192931937109</v>
      </c>
      <c r="S10">
        <v>8.2712970467961675</v>
      </c>
      <c r="T10">
        <v>8.3229260756140846</v>
      </c>
      <c r="U10">
        <v>8.3715408941318596</v>
      </c>
      <c r="V10">
        <v>8.4178448283035916</v>
      </c>
      <c r="W10">
        <v>8.4642554677905331</v>
      </c>
      <c r="X10">
        <v>8.508831258848133</v>
      </c>
      <c r="Y10">
        <v>8.5548263755542369</v>
      </c>
      <c r="Z10">
        <v>8.599624307140699</v>
      </c>
      <c r="AA10">
        <v>8.6437335175967078</v>
      </c>
      <c r="AB10">
        <v>8.6860394054255536</v>
      </c>
      <c r="AC10">
        <v>8.7238555387258643</v>
      </c>
      <c r="AD10">
        <v>8.7552359663902966</v>
      </c>
      <c r="AE10">
        <v>8.7829513439361868</v>
      </c>
      <c r="AF10">
        <v>8.8062565326113198</v>
      </c>
      <c r="AG10">
        <v>8.8252536658639951</v>
      </c>
      <c r="AH10">
        <v>8.8403495157237941</v>
      </c>
      <c r="AI10">
        <v>8.8525840914204732</v>
      </c>
    </row>
    <row r="11" spans="3:35" x14ac:dyDescent="0.45">
      <c r="C11" t="s">
        <v>66</v>
      </c>
      <c r="D11">
        <v>22.474897169146153</v>
      </c>
      <c r="E11">
        <v>22.980905404800737</v>
      </c>
      <c r="F11">
        <v>25.643773503438585</v>
      </c>
      <c r="G11">
        <v>26.634773042198859</v>
      </c>
      <c r="H11">
        <v>27.666749385503238</v>
      </c>
      <c r="I11">
        <v>29.148898759799671</v>
      </c>
      <c r="J11">
        <v>30.04650215631078</v>
      </c>
      <c r="K11">
        <v>30.622256550551484</v>
      </c>
      <c r="L11">
        <v>31.006777617564911</v>
      </c>
      <c r="M11">
        <v>31.324626745231413</v>
      </c>
      <c r="N11">
        <v>31.639651198909068</v>
      </c>
      <c r="O11">
        <v>31.966515268977741</v>
      </c>
      <c r="P11">
        <v>32.33306138574121</v>
      </c>
      <c r="Q11">
        <v>32.583051698917821</v>
      </c>
      <c r="R11">
        <v>32.83300086299522</v>
      </c>
      <c r="S11">
        <v>33.079133822386119</v>
      </c>
      <c r="T11">
        <v>33.326062378216498</v>
      </c>
      <c r="U11">
        <v>33.566786047438406</v>
      </c>
      <c r="V11">
        <v>33.806214956504334</v>
      </c>
      <c r="W11">
        <v>34.043137206181896</v>
      </c>
      <c r="X11">
        <v>34.276286942920528</v>
      </c>
      <c r="Y11">
        <v>34.507609363356444</v>
      </c>
      <c r="Z11">
        <v>34.75942627631288</v>
      </c>
      <c r="AA11">
        <v>35.007136455790302</v>
      </c>
      <c r="AB11">
        <v>35.25041797279836</v>
      </c>
      <c r="AC11">
        <v>35.488189929831179</v>
      </c>
      <c r="AD11">
        <v>35.718398096229343</v>
      </c>
      <c r="AE11">
        <v>35.940099371903521</v>
      </c>
      <c r="AF11">
        <v>36.15320179370557</v>
      </c>
      <c r="AG11">
        <v>36.35694594497609</v>
      </c>
      <c r="AH11">
        <v>36.550712766051966</v>
      </c>
      <c r="AI11">
        <v>36.734597384574791</v>
      </c>
    </row>
    <row r="12" spans="3:35" x14ac:dyDescent="0.45">
      <c r="C12" t="s">
        <v>109</v>
      </c>
      <c r="D12">
        <v>13.907153260176282</v>
      </c>
      <c r="E12">
        <v>13.066081202453756</v>
      </c>
      <c r="F12">
        <v>18.931933334509853</v>
      </c>
      <c r="G12">
        <v>15.206899814339108</v>
      </c>
      <c r="H12">
        <v>15.821936035986411</v>
      </c>
      <c r="I12">
        <v>15.598072076093933</v>
      </c>
      <c r="J12">
        <v>15.822421763216894</v>
      </c>
      <c r="K12">
        <v>16.112310895393136</v>
      </c>
      <c r="L12">
        <v>16.171003597502136</v>
      </c>
      <c r="M12">
        <v>16.211745800640969</v>
      </c>
      <c r="N12">
        <v>16.260702041938792</v>
      </c>
      <c r="O12">
        <v>16.307602231042583</v>
      </c>
      <c r="P12">
        <v>16.351650677358638</v>
      </c>
      <c r="Q12">
        <v>16.391090913526732</v>
      </c>
      <c r="R12">
        <v>16.431236933795347</v>
      </c>
      <c r="S12">
        <v>16.471036515787819</v>
      </c>
      <c r="T12">
        <v>16.507352312349045</v>
      </c>
      <c r="U12">
        <v>16.539309559412889</v>
      </c>
      <c r="V12">
        <v>16.564871552141469</v>
      </c>
      <c r="W12">
        <v>16.587167312754364</v>
      </c>
      <c r="X12">
        <v>16.606100581771287</v>
      </c>
      <c r="Y12">
        <v>16.622571956475053</v>
      </c>
      <c r="Z12">
        <v>16.642595597373717</v>
      </c>
      <c r="AA12">
        <v>16.659943444713473</v>
      </c>
      <c r="AB12">
        <v>16.673508966598312</v>
      </c>
      <c r="AC12">
        <v>16.681875832007659</v>
      </c>
      <c r="AD12">
        <v>16.682944191468831</v>
      </c>
      <c r="AE12">
        <v>16.67985184040711</v>
      </c>
      <c r="AF12">
        <v>16.672398018479676</v>
      </c>
      <c r="AG12">
        <v>16.658923762118931</v>
      </c>
      <c r="AH12">
        <v>16.642327418404324</v>
      </c>
      <c r="AI12">
        <v>16.62238111698387</v>
      </c>
    </row>
    <row r="13" spans="3:35" x14ac:dyDescent="0.45">
      <c r="C13" t="s">
        <v>78</v>
      </c>
      <c r="D13">
        <v>952.81794258796947</v>
      </c>
      <c r="E13">
        <v>1058.205541675552</v>
      </c>
      <c r="F13">
        <v>1000.6004071384946</v>
      </c>
      <c r="G13">
        <v>996.07545587191248</v>
      </c>
      <c r="H13">
        <v>1008.8499446701425</v>
      </c>
      <c r="I13">
        <v>994.84638180378988</v>
      </c>
      <c r="J13">
        <v>960.58456670688099</v>
      </c>
      <c r="K13">
        <v>921.75436543666399</v>
      </c>
      <c r="L13">
        <v>908.27144035793219</v>
      </c>
      <c r="M13">
        <v>894.77760530971875</v>
      </c>
      <c r="N13">
        <v>882.72343821982611</v>
      </c>
      <c r="O13">
        <v>869.27489824234533</v>
      </c>
      <c r="P13">
        <v>857.21347297260797</v>
      </c>
      <c r="Q13">
        <v>849.46238709552631</v>
      </c>
      <c r="R13">
        <v>840.48965476694002</v>
      </c>
      <c r="S13">
        <v>831.14662624794789</v>
      </c>
      <c r="T13">
        <v>823.02079535617997</v>
      </c>
      <c r="U13">
        <v>813.64822992105496</v>
      </c>
      <c r="V13">
        <v>806.04079014049694</v>
      </c>
      <c r="W13">
        <v>802.40270380737388</v>
      </c>
      <c r="X13">
        <v>798.23856931044918</v>
      </c>
      <c r="Y13">
        <v>794.80179116609986</v>
      </c>
      <c r="Z13">
        <v>792.24691420071349</v>
      </c>
      <c r="AA13">
        <v>789.24819339727082</v>
      </c>
      <c r="AB13">
        <v>786.03480018458265</v>
      </c>
      <c r="AC13">
        <v>782.69553292173873</v>
      </c>
      <c r="AD13">
        <v>779.36014330519856</v>
      </c>
      <c r="AE13">
        <v>775.99765225738861</v>
      </c>
      <c r="AF13">
        <v>772.64762093403033</v>
      </c>
      <c r="AG13">
        <v>769.39692752089559</v>
      </c>
      <c r="AH13">
        <v>766.34189239019213</v>
      </c>
      <c r="AI13">
        <v>763.65869405216961</v>
      </c>
    </row>
    <row r="14" spans="3:35" x14ac:dyDescent="0.45">
      <c r="C14" t="s">
        <v>465</v>
      </c>
      <c r="D14">
        <v>7.4645450726674163</v>
      </c>
      <c r="E14">
        <v>6.9393021008388684</v>
      </c>
      <c r="F14">
        <v>7.9792990680111959</v>
      </c>
      <c r="G14">
        <v>7.5382252318218548</v>
      </c>
      <c r="H14">
        <v>7.589575790584095</v>
      </c>
      <c r="I14">
        <v>7.6665052916082468</v>
      </c>
      <c r="J14">
        <v>7.6710709167134636</v>
      </c>
      <c r="K14">
        <v>7.7192513363793802</v>
      </c>
      <c r="L14">
        <v>7.747137350921351</v>
      </c>
      <c r="M14">
        <v>7.7680636487542696</v>
      </c>
      <c r="N14">
        <v>7.7889810517552949</v>
      </c>
      <c r="O14">
        <v>7.8123404945928687</v>
      </c>
      <c r="P14">
        <v>7.837157389422611</v>
      </c>
      <c r="Q14">
        <v>7.8585505947672578</v>
      </c>
      <c r="R14">
        <v>7.8758664302404355</v>
      </c>
      <c r="S14">
        <v>7.8897732089145451</v>
      </c>
      <c r="T14">
        <v>7.9065287946135623</v>
      </c>
      <c r="U14">
        <v>7.9256350606173518</v>
      </c>
      <c r="V14">
        <v>7.9375717853411256</v>
      </c>
      <c r="W14">
        <v>7.9466927609134643</v>
      </c>
      <c r="X14">
        <v>7.9549978954600435</v>
      </c>
      <c r="Y14">
        <v>7.9619795804116249</v>
      </c>
      <c r="Z14">
        <v>7.9691257659461128</v>
      </c>
      <c r="AA14">
        <v>7.9773688691274867</v>
      </c>
      <c r="AB14">
        <v>7.9868728000820148</v>
      </c>
      <c r="AC14">
        <v>7.9972512427978213</v>
      </c>
      <c r="AD14">
        <v>8.006286301089462</v>
      </c>
      <c r="AE14">
        <v>8.0174170630757438</v>
      </c>
      <c r="AF14">
        <v>8.0286114346523405</v>
      </c>
      <c r="AG14">
        <v>8.0365919159513606</v>
      </c>
      <c r="AH14">
        <v>8.0421571506495955</v>
      </c>
      <c r="AI14">
        <v>8.0448943957826149</v>
      </c>
    </row>
    <row r="15" spans="3:35" x14ac:dyDescent="0.45">
      <c r="C15" t="s">
        <v>466</v>
      </c>
      <c r="D15">
        <v>31.028203096958773</v>
      </c>
      <c r="E15">
        <v>28.961165767171664</v>
      </c>
      <c r="F15">
        <v>31.588213838287604</v>
      </c>
      <c r="G15">
        <v>30.876504013012376</v>
      </c>
      <c r="H15">
        <v>32.223180368696106</v>
      </c>
      <c r="I15">
        <v>33.168870369211952</v>
      </c>
      <c r="J15">
        <v>33.736044356457825</v>
      </c>
      <c r="K15">
        <v>34.147356324315631</v>
      </c>
      <c r="L15">
        <v>34.397639424815651</v>
      </c>
      <c r="M15">
        <v>34.642315971908737</v>
      </c>
      <c r="N15">
        <v>34.927378655263773</v>
      </c>
      <c r="O15">
        <v>35.263400116643702</v>
      </c>
      <c r="P15">
        <v>35.613735527525037</v>
      </c>
      <c r="Q15">
        <v>35.909567875884122</v>
      </c>
      <c r="R15">
        <v>36.188506845842937</v>
      </c>
      <c r="S15">
        <v>36.451673686291407</v>
      </c>
      <c r="T15">
        <v>36.700499990247756</v>
      </c>
      <c r="U15">
        <v>36.94330003191962</v>
      </c>
      <c r="V15">
        <v>37.159126776296162</v>
      </c>
      <c r="W15">
        <v>37.35612894279415</v>
      </c>
      <c r="X15">
        <v>37.535521485321645</v>
      </c>
      <c r="Y15">
        <v>37.696431127325248</v>
      </c>
      <c r="Z15">
        <v>37.838246778450035</v>
      </c>
      <c r="AA15">
        <v>37.963160679190004</v>
      </c>
      <c r="AB15">
        <v>38.074511251297487</v>
      </c>
      <c r="AC15">
        <v>38.175309035947876</v>
      </c>
      <c r="AD15">
        <v>38.267465859555735</v>
      </c>
      <c r="AE15">
        <v>38.349864636395345</v>
      </c>
      <c r="AF15">
        <v>38.417074287997679</v>
      </c>
      <c r="AG15">
        <v>38.471327936285682</v>
      </c>
      <c r="AH15">
        <v>38.525311477286529</v>
      </c>
      <c r="AI15">
        <v>38.583145683984988</v>
      </c>
    </row>
    <row r="16" spans="3:35" x14ac:dyDescent="0.45">
      <c r="C16" t="s">
        <v>467</v>
      </c>
      <c r="D16">
        <v>9.4483169598119403</v>
      </c>
      <c r="E16">
        <v>8.7155490716761221</v>
      </c>
      <c r="F16">
        <v>9.9648147010910115</v>
      </c>
      <c r="G16">
        <v>9.6572941213342904</v>
      </c>
      <c r="H16">
        <v>9.9527813154432749</v>
      </c>
      <c r="I16">
        <v>10.059882128857906</v>
      </c>
      <c r="J16">
        <v>10.19633067805095</v>
      </c>
      <c r="K16">
        <v>10.373599908950382</v>
      </c>
      <c r="L16">
        <v>10.408903203291381</v>
      </c>
      <c r="M16">
        <v>10.43695181375681</v>
      </c>
      <c r="N16">
        <v>10.462843934500976</v>
      </c>
      <c r="O16">
        <v>10.48934722155675</v>
      </c>
      <c r="P16">
        <v>10.520257549719013</v>
      </c>
      <c r="Q16">
        <v>10.516045652886998</v>
      </c>
      <c r="R16">
        <v>10.507662680388618</v>
      </c>
      <c r="S16">
        <v>10.499114270104554</v>
      </c>
      <c r="T16">
        <v>10.490911076032949</v>
      </c>
      <c r="U16">
        <v>10.48928189531966</v>
      </c>
      <c r="V16">
        <v>10.484917493788197</v>
      </c>
      <c r="W16">
        <v>10.47996712210489</v>
      </c>
      <c r="X16">
        <v>10.472792320938233</v>
      </c>
      <c r="Y16">
        <v>10.464091759240235</v>
      </c>
      <c r="Z16">
        <v>10.458584753980521</v>
      </c>
      <c r="AA16">
        <v>10.4533828689868</v>
      </c>
      <c r="AB16">
        <v>10.448421720344033</v>
      </c>
      <c r="AC16">
        <v>10.441936242200807</v>
      </c>
      <c r="AD16">
        <v>10.432604186861271</v>
      </c>
      <c r="AE16">
        <v>10.425823964099484</v>
      </c>
      <c r="AF16">
        <v>10.418405783224468</v>
      </c>
      <c r="AG16">
        <v>10.408898831883763</v>
      </c>
      <c r="AH16">
        <v>10.395909346481762</v>
      </c>
      <c r="AI16">
        <v>10.381368910182122</v>
      </c>
    </row>
    <row r="17" spans="3:35" x14ac:dyDescent="0.45">
      <c r="C17" t="s">
        <v>468</v>
      </c>
      <c r="D17">
        <v>28.681942284374234</v>
      </c>
      <c r="E17">
        <v>23.671866017020402</v>
      </c>
      <c r="F17">
        <v>31.530757271262416</v>
      </c>
      <c r="G17">
        <v>31.023990637149954</v>
      </c>
      <c r="H17">
        <v>32.101532341988879</v>
      </c>
      <c r="I17">
        <v>32.840143895151819</v>
      </c>
      <c r="J17">
        <v>33.428915234635326</v>
      </c>
      <c r="K17">
        <v>33.655018740941848</v>
      </c>
      <c r="L17">
        <v>33.822936977088339</v>
      </c>
      <c r="M17">
        <v>33.945606575880134</v>
      </c>
      <c r="N17">
        <v>34.077683403845406</v>
      </c>
      <c r="O17">
        <v>34.233079637333645</v>
      </c>
      <c r="P17">
        <v>34.393249818757283</v>
      </c>
      <c r="Q17">
        <v>34.4537522215454</v>
      </c>
      <c r="R17">
        <v>34.482584239083891</v>
      </c>
      <c r="S17">
        <v>34.48867806927025</v>
      </c>
      <c r="T17">
        <v>34.469307927617429</v>
      </c>
      <c r="U17">
        <v>34.460989804402004</v>
      </c>
      <c r="V17">
        <v>34.466131307332027</v>
      </c>
      <c r="W17">
        <v>34.471348733532515</v>
      </c>
      <c r="X17">
        <v>34.48229999063237</v>
      </c>
      <c r="Y17">
        <v>34.504314385543694</v>
      </c>
      <c r="Z17">
        <v>34.545748157358979</v>
      </c>
      <c r="AA17">
        <v>34.593006596323434</v>
      </c>
      <c r="AB17">
        <v>34.643188684333872</v>
      </c>
      <c r="AC17">
        <v>34.693194380591052</v>
      </c>
      <c r="AD17">
        <v>34.744782587911644</v>
      </c>
      <c r="AE17">
        <v>34.80837893551481</v>
      </c>
      <c r="AF17">
        <v>34.875787632397149</v>
      </c>
      <c r="AG17">
        <v>34.944121083823006</v>
      </c>
      <c r="AH17">
        <v>35.00337946654362</v>
      </c>
      <c r="AI17">
        <v>35.041352435899221</v>
      </c>
    </row>
    <row r="18" spans="3:35" x14ac:dyDescent="0.45">
      <c r="C18" t="s">
        <v>469</v>
      </c>
      <c r="D18">
        <v>11.671588145038825</v>
      </c>
      <c r="E18">
        <v>10.62258258891768</v>
      </c>
      <c r="F18">
        <v>11.258332436251102</v>
      </c>
      <c r="G18">
        <v>11.608128943403424</v>
      </c>
      <c r="H18">
        <v>12.193979849874204</v>
      </c>
      <c r="I18">
        <v>12.561876466575645</v>
      </c>
      <c r="J18">
        <v>12.820918066304648</v>
      </c>
      <c r="K18">
        <v>13.05903764231882</v>
      </c>
      <c r="L18">
        <v>13.227187771227277</v>
      </c>
      <c r="M18">
        <v>13.395173123949293</v>
      </c>
      <c r="N18">
        <v>13.555568044407119</v>
      </c>
      <c r="O18">
        <v>13.705416595765753</v>
      </c>
      <c r="P18">
        <v>13.844926616777842</v>
      </c>
      <c r="Q18">
        <v>13.948219765426167</v>
      </c>
      <c r="R18">
        <v>14.055315093377548</v>
      </c>
      <c r="S18">
        <v>14.166359830089863</v>
      </c>
      <c r="T18">
        <v>14.276863462966562</v>
      </c>
      <c r="U18">
        <v>14.384493982753606</v>
      </c>
      <c r="V18">
        <v>14.480955144062866</v>
      </c>
      <c r="W18">
        <v>14.575167608312025</v>
      </c>
      <c r="X18">
        <v>14.671554992143028</v>
      </c>
      <c r="Y18">
        <v>14.759943108486441</v>
      </c>
      <c r="Z18">
        <v>14.838256687006039</v>
      </c>
      <c r="AA18">
        <v>14.910290173114157</v>
      </c>
      <c r="AB18">
        <v>14.975461462087225</v>
      </c>
      <c r="AC18">
        <v>15.040403144112535</v>
      </c>
      <c r="AD18">
        <v>15.110312406059947</v>
      </c>
      <c r="AE18">
        <v>15.176603970673231</v>
      </c>
      <c r="AF18">
        <v>15.245791946511668</v>
      </c>
      <c r="AG18">
        <v>15.31196651846083</v>
      </c>
      <c r="AH18">
        <v>15.373000036116913</v>
      </c>
      <c r="AI18">
        <v>15.425890025697997</v>
      </c>
    </row>
    <row r="19" spans="3:35" x14ac:dyDescent="0.45">
      <c r="C19" t="s">
        <v>470</v>
      </c>
      <c r="D19">
        <v>17.1187710982922</v>
      </c>
      <c r="E19">
        <v>15.214443838075015</v>
      </c>
      <c r="F19">
        <v>18.87858555040879</v>
      </c>
      <c r="G19">
        <v>18.271265924418092</v>
      </c>
      <c r="H19">
        <v>18.808636987728157</v>
      </c>
      <c r="I19">
        <v>19.309418806925947</v>
      </c>
      <c r="J19">
        <v>19.651936970477355</v>
      </c>
      <c r="K19">
        <v>19.955998157248498</v>
      </c>
      <c r="L19">
        <v>20.043845962884244</v>
      </c>
      <c r="M19">
        <v>20.118276580436927</v>
      </c>
      <c r="N19">
        <v>20.199973783575341</v>
      </c>
      <c r="O19">
        <v>20.294732518062023</v>
      </c>
      <c r="P19">
        <v>20.359969450145908</v>
      </c>
      <c r="Q19">
        <v>20.347503026531232</v>
      </c>
      <c r="R19">
        <v>20.309970078666925</v>
      </c>
      <c r="S19">
        <v>20.252565622150435</v>
      </c>
      <c r="T19">
        <v>20.184503386335987</v>
      </c>
      <c r="U19">
        <v>20.113383982400343</v>
      </c>
      <c r="V19">
        <v>20.034570456659022</v>
      </c>
      <c r="W19">
        <v>19.956549388437914</v>
      </c>
      <c r="X19">
        <v>19.876827876956597</v>
      </c>
      <c r="Y19">
        <v>19.78753758022339</v>
      </c>
      <c r="Z19">
        <v>19.702591794122853</v>
      </c>
      <c r="AA19">
        <v>19.618284473157189</v>
      </c>
      <c r="AB19">
        <v>19.531926074434072</v>
      </c>
      <c r="AC19">
        <v>19.445031452691595</v>
      </c>
      <c r="AD19">
        <v>19.351740740607614</v>
      </c>
      <c r="AE19">
        <v>19.261681386120451</v>
      </c>
      <c r="AF19">
        <v>19.167904432579036</v>
      </c>
      <c r="AG19">
        <v>19.07290582810435</v>
      </c>
      <c r="AH19">
        <v>18.972743517356577</v>
      </c>
      <c r="AI19">
        <v>18.86594111838442</v>
      </c>
    </row>
    <row r="20" spans="3:35" x14ac:dyDescent="0.45">
      <c r="C20" t="s">
        <v>471</v>
      </c>
      <c r="D20">
        <v>41.356384561495155</v>
      </c>
      <c r="E20">
        <v>44.374071992880893</v>
      </c>
      <c r="F20">
        <v>50.310586884306986</v>
      </c>
      <c r="G20">
        <v>46.099093880208009</v>
      </c>
      <c r="H20">
        <v>47.422348431998884</v>
      </c>
      <c r="I20">
        <v>49.4370459842551</v>
      </c>
      <c r="J20">
        <v>51.346940518000189</v>
      </c>
      <c r="K20">
        <v>53.774027248099287</v>
      </c>
      <c r="L20">
        <v>54.93177042248476</v>
      </c>
      <c r="M20">
        <v>56.139197984302562</v>
      </c>
      <c r="N20">
        <v>57.402931292254451</v>
      </c>
      <c r="O20">
        <v>58.618595408325945</v>
      </c>
      <c r="P20">
        <v>59.518799955275412</v>
      </c>
      <c r="Q20">
        <v>60.286663592872856</v>
      </c>
      <c r="R20">
        <v>61.06355750719279</v>
      </c>
      <c r="S20">
        <v>61.825532759418159</v>
      </c>
      <c r="T20">
        <v>62.557719729118617</v>
      </c>
      <c r="U20">
        <v>63.272418486559701</v>
      </c>
      <c r="V20">
        <v>63.957813495940599</v>
      </c>
      <c r="W20">
        <v>64.639551729704323</v>
      </c>
      <c r="X20">
        <v>65.325505555640177</v>
      </c>
      <c r="Y20">
        <v>66.00359601594198</v>
      </c>
      <c r="Z20">
        <v>66.679765340937109</v>
      </c>
      <c r="AA20">
        <v>67.330714329371872</v>
      </c>
      <c r="AB20">
        <v>67.960702298741992</v>
      </c>
      <c r="AC20">
        <v>68.583236067618373</v>
      </c>
      <c r="AD20">
        <v>69.185410070161282</v>
      </c>
      <c r="AE20">
        <v>69.777304492636816</v>
      </c>
      <c r="AF20">
        <v>70.346026775229859</v>
      </c>
      <c r="AG20">
        <v>70.910960345654757</v>
      </c>
      <c r="AH20">
        <v>71.466928144204104</v>
      </c>
      <c r="AI20">
        <v>72.027355791091296</v>
      </c>
    </row>
    <row r="21" spans="3:35" x14ac:dyDescent="0.45">
      <c r="C21" t="s">
        <v>472</v>
      </c>
      <c r="D21">
        <v>15.597565877877887</v>
      </c>
      <c r="E21">
        <v>13.328801620406319</v>
      </c>
      <c r="F21">
        <v>15.013507371665135</v>
      </c>
      <c r="G21">
        <v>14.732153877305382</v>
      </c>
      <c r="H21">
        <v>15.107154157818609</v>
      </c>
      <c r="I21">
        <v>15.37515424890916</v>
      </c>
      <c r="J21">
        <v>15.540129216599379</v>
      </c>
      <c r="K21">
        <v>15.553896459286646</v>
      </c>
      <c r="L21">
        <v>15.517603735756072</v>
      </c>
      <c r="M21">
        <v>15.456912577553799</v>
      </c>
      <c r="N21">
        <v>15.401948444848971</v>
      </c>
      <c r="O21">
        <v>15.363224534279498</v>
      </c>
      <c r="P21">
        <v>15.336025982990394</v>
      </c>
      <c r="Q21">
        <v>15.289735604932156</v>
      </c>
      <c r="R21">
        <v>15.232159242717895</v>
      </c>
      <c r="S21">
        <v>15.173781562029472</v>
      </c>
      <c r="T21">
        <v>15.111992666368874</v>
      </c>
      <c r="U21">
        <v>15.050754424439367</v>
      </c>
      <c r="V21">
        <v>14.967659022978586</v>
      </c>
      <c r="W21">
        <v>14.884576933284084</v>
      </c>
      <c r="X21">
        <v>14.805236052939637</v>
      </c>
      <c r="Y21">
        <v>14.727443194789698</v>
      </c>
      <c r="Z21">
        <v>14.66409737411947</v>
      </c>
      <c r="AA21">
        <v>14.600653073412715</v>
      </c>
      <c r="AB21">
        <v>14.536975534817886</v>
      </c>
      <c r="AC21">
        <v>14.471607369042836</v>
      </c>
      <c r="AD21">
        <v>14.402937569682404</v>
      </c>
      <c r="AE21">
        <v>14.339339507973206</v>
      </c>
      <c r="AF21">
        <v>14.277553604780991</v>
      </c>
      <c r="AG21">
        <v>14.216191851534447</v>
      </c>
      <c r="AH21">
        <v>14.155113807443914</v>
      </c>
      <c r="AI21">
        <v>14.089929233548055</v>
      </c>
    </row>
    <row r="22" spans="3:35" x14ac:dyDescent="0.45">
      <c r="C22" t="s">
        <v>71</v>
      </c>
      <c r="D22">
        <v>37.652326700961758</v>
      </c>
      <c r="E22">
        <v>33.389314833509459</v>
      </c>
      <c r="F22">
        <v>37.928599800480761</v>
      </c>
      <c r="G22">
        <v>37.232170708099055</v>
      </c>
      <c r="H22">
        <v>39.284099615027934</v>
      </c>
      <c r="I22">
        <v>40.292650074176258</v>
      </c>
      <c r="J22">
        <v>40.504698938280171</v>
      </c>
      <c r="K22">
        <v>40.547887079711508</v>
      </c>
      <c r="L22">
        <v>40.594755837676928</v>
      </c>
      <c r="M22">
        <v>40.604341878472013</v>
      </c>
      <c r="N22">
        <v>40.643800812210237</v>
      </c>
      <c r="O22">
        <v>40.730214296559168</v>
      </c>
      <c r="P22">
        <v>40.807704289998981</v>
      </c>
      <c r="Q22">
        <v>40.763369504738449</v>
      </c>
      <c r="R22">
        <v>40.729573283202882</v>
      </c>
      <c r="S22">
        <v>40.720413185625702</v>
      </c>
      <c r="T22">
        <v>40.739164669366495</v>
      </c>
      <c r="U22">
        <v>40.78137219092126</v>
      </c>
      <c r="V22">
        <v>40.830143220880295</v>
      </c>
      <c r="W22">
        <v>40.88871227834391</v>
      </c>
      <c r="X22">
        <v>40.954713492016502</v>
      </c>
      <c r="Y22">
        <v>41.016275976315768</v>
      </c>
      <c r="Z22">
        <v>41.092905842827676</v>
      </c>
      <c r="AA22">
        <v>41.165679048329274</v>
      </c>
      <c r="AB22">
        <v>41.235333524106423</v>
      </c>
      <c r="AC22">
        <v>41.297509845711716</v>
      </c>
      <c r="AD22">
        <v>41.346284716061582</v>
      </c>
      <c r="AE22">
        <v>41.396404442877632</v>
      </c>
      <c r="AF22">
        <v>41.436980794194653</v>
      </c>
      <c r="AG22">
        <v>41.474711575294009</v>
      </c>
      <c r="AH22">
        <v>41.507991884174587</v>
      </c>
      <c r="AI22">
        <v>41.52406282338589</v>
      </c>
    </row>
    <row r="23" spans="3:35" x14ac:dyDescent="0.45">
      <c r="C23" t="s">
        <v>80</v>
      </c>
      <c r="D23">
        <v>109.96333062967545</v>
      </c>
      <c r="E23">
        <v>92.434190230895425</v>
      </c>
      <c r="F23">
        <v>103.96634879227629</v>
      </c>
      <c r="G23">
        <v>108.34529667303597</v>
      </c>
      <c r="H23">
        <v>116.28588550819886</v>
      </c>
      <c r="I23">
        <v>120.87820419620159</v>
      </c>
      <c r="J23">
        <v>127.66764902272915</v>
      </c>
      <c r="K23">
        <v>134.68728594042304</v>
      </c>
      <c r="L23">
        <v>141.98054844702406</v>
      </c>
      <c r="M23">
        <v>149.86205668850656</v>
      </c>
      <c r="N23">
        <v>158.18744869249844</v>
      </c>
      <c r="O23">
        <v>166.42625030819056</v>
      </c>
      <c r="P23">
        <v>174.48763852463807</v>
      </c>
      <c r="Q23">
        <v>182.52584995011105</v>
      </c>
      <c r="R23">
        <v>191.15568505232588</v>
      </c>
      <c r="S23">
        <v>200.34563479029549</v>
      </c>
      <c r="T23">
        <v>209.52161464459806</v>
      </c>
      <c r="U23">
        <v>218.72342909047649</v>
      </c>
      <c r="V23">
        <v>227.94198878319096</v>
      </c>
      <c r="W23">
        <v>237.73880934180031</v>
      </c>
      <c r="X23">
        <v>248.12229439392939</v>
      </c>
      <c r="Y23">
        <v>259.13821312492792</v>
      </c>
      <c r="Z23">
        <v>270.22417192614142</v>
      </c>
      <c r="AA23">
        <v>281.85421070923809</v>
      </c>
      <c r="AB23">
        <v>293.36288772942731</v>
      </c>
      <c r="AC23">
        <v>304.74956925509861</v>
      </c>
      <c r="AD23">
        <v>316.19272290917939</v>
      </c>
      <c r="AE23">
        <v>327.64226909072062</v>
      </c>
      <c r="AF23">
        <v>339.08793049311197</v>
      </c>
      <c r="AG23">
        <v>350.518200736457</v>
      </c>
      <c r="AH23">
        <v>361.86679716159961</v>
      </c>
      <c r="AI23">
        <v>373.0461189464072</v>
      </c>
    </row>
    <row r="24" spans="3:35" x14ac:dyDescent="0.45">
      <c r="C24" t="s">
        <v>473</v>
      </c>
      <c r="D24">
        <v>14.479682058447697</v>
      </c>
      <c r="E24">
        <v>11.60398883411505</v>
      </c>
      <c r="F24">
        <v>12.794748570264455</v>
      </c>
      <c r="G24">
        <v>13.630771644362774</v>
      </c>
      <c r="H24">
        <v>15.62653948485965</v>
      </c>
      <c r="I24">
        <v>15.93099025018682</v>
      </c>
      <c r="J24">
        <v>16.186714925543793</v>
      </c>
      <c r="K24">
        <v>16.502925347109308</v>
      </c>
      <c r="L24">
        <v>16.769291269710692</v>
      </c>
      <c r="M24">
        <v>17.031783728737377</v>
      </c>
      <c r="N24">
        <v>17.277346771744806</v>
      </c>
      <c r="O24">
        <v>17.547085297574341</v>
      </c>
      <c r="P24">
        <v>17.82759254597886</v>
      </c>
      <c r="Q24">
        <v>18.128852656640593</v>
      </c>
      <c r="R24">
        <v>18.442469363481059</v>
      </c>
      <c r="S24">
        <v>18.766732822075276</v>
      </c>
      <c r="T24">
        <v>19.101608966497441</v>
      </c>
      <c r="U24">
        <v>19.44894730299961</v>
      </c>
      <c r="V24">
        <v>19.81112917648322</v>
      </c>
      <c r="W24">
        <v>20.186144351795555</v>
      </c>
      <c r="X24">
        <v>20.574316785333618</v>
      </c>
      <c r="Y24">
        <v>20.977744656996958</v>
      </c>
      <c r="Z24">
        <v>21.399324760093794</v>
      </c>
      <c r="AA24">
        <v>21.848388227805</v>
      </c>
      <c r="AB24">
        <v>22.310226033867142</v>
      </c>
      <c r="AC24">
        <v>22.782304409525121</v>
      </c>
      <c r="AD24">
        <v>23.276277888497074</v>
      </c>
      <c r="AE24">
        <v>23.798858759725061</v>
      </c>
      <c r="AF24">
        <v>24.361257979101058</v>
      </c>
      <c r="AG24">
        <v>24.950762265177588</v>
      </c>
      <c r="AH24">
        <v>25.576202162291306</v>
      </c>
      <c r="AI24">
        <v>26.242646379915502</v>
      </c>
    </row>
    <row r="25" spans="3:35" x14ac:dyDescent="0.45">
      <c r="C25" t="s">
        <v>67</v>
      </c>
      <c r="D25">
        <v>26.478719235572623</v>
      </c>
      <c r="E25">
        <v>23.266962583067151</v>
      </c>
      <c r="F25">
        <v>28.370148730691472</v>
      </c>
      <c r="G25">
        <v>29.464011914553964</v>
      </c>
      <c r="H25">
        <v>30.663023362632437</v>
      </c>
      <c r="I25">
        <v>31.702310878651222</v>
      </c>
      <c r="J25">
        <v>32.410367400269294</v>
      </c>
      <c r="K25">
        <v>33.344874532311749</v>
      </c>
      <c r="L25">
        <v>34.078497285598466</v>
      </c>
      <c r="M25">
        <v>34.802647741636392</v>
      </c>
      <c r="N25">
        <v>35.521056356111011</v>
      </c>
      <c r="O25">
        <v>36.229578076415109</v>
      </c>
      <c r="P25">
        <v>36.88929121525797</v>
      </c>
      <c r="Q25">
        <v>37.571953986301956</v>
      </c>
      <c r="R25">
        <v>38.270947535870114</v>
      </c>
      <c r="S25">
        <v>38.990366893141839</v>
      </c>
      <c r="T25">
        <v>39.728359988306472</v>
      </c>
      <c r="U25">
        <v>40.47297285500764</v>
      </c>
      <c r="V25">
        <v>41.119707550386643</v>
      </c>
      <c r="W25">
        <v>41.752046890575279</v>
      </c>
      <c r="X25">
        <v>42.367105518319839</v>
      </c>
      <c r="Y25">
        <v>42.96392535968419</v>
      </c>
      <c r="Z25">
        <v>43.544864961383574</v>
      </c>
      <c r="AA25">
        <v>44.101312899381838</v>
      </c>
      <c r="AB25">
        <v>44.624919900528383</v>
      </c>
      <c r="AC25">
        <v>45.111326049724667</v>
      </c>
      <c r="AD25">
        <v>45.558020107192654</v>
      </c>
      <c r="AE25">
        <v>45.96264945615534</v>
      </c>
      <c r="AF25">
        <v>46.319461903177192</v>
      </c>
      <c r="AG25">
        <v>46.630309876992662</v>
      </c>
      <c r="AH25">
        <v>46.892569744454327</v>
      </c>
      <c r="AI25">
        <v>47.139181961117856</v>
      </c>
    </row>
    <row r="26" spans="3:35" x14ac:dyDescent="0.45">
      <c r="C26" t="s">
        <v>474</v>
      </c>
      <c r="D26">
        <v>42.15711468498526</v>
      </c>
      <c r="E26">
        <v>41.833016477313905</v>
      </c>
      <c r="F26">
        <v>39.678460377266262</v>
      </c>
      <c r="G26">
        <v>42.778801667658172</v>
      </c>
      <c r="H26">
        <v>44.12293429574347</v>
      </c>
      <c r="I26">
        <v>45.434529824255634</v>
      </c>
      <c r="J26">
        <v>46.928137280508004</v>
      </c>
      <c r="K26">
        <v>48.047710685835959</v>
      </c>
      <c r="L26">
        <v>49.179037095197494</v>
      </c>
      <c r="M26">
        <v>50.276608102335636</v>
      </c>
      <c r="N26">
        <v>51.387744166127057</v>
      </c>
      <c r="O26">
        <v>52.454881041686164</v>
      </c>
      <c r="P26">
        <v>53.536272824672253</v>
      </c>
      <c r="Q26">
        <v>54.607552230970157</v>
      </c>
      <c r="R26">
        <v>55.645436592641545</v>
      </c>
      <c r="S26">
        <v>56.687730618323734</v>
      </c>
      <c r="T26">
        <v>57.742866593953643</v>
      </c>
      <c r="U26">
        <v>58.825580989480741</v>
      </c>
      <c r="V26">
        <v>59.926437787677663</v>
      </c>
      <c r="W26">
        <v>61.030599713666071</v>
      </c>
      <c r="X26">
        <v>62.152543198661604</v>
      </c>
      <c r="Y26">
        <v>63.324427562081084</v>
      </c>
      <c r="Z26">
        <v>64.504209641800358</v>
      </c>
      <c r="AA26">
        <v>65.703091798215752</v>
      </c>
      <c r="AB26">
        <v>66.933140762869016</v>
      </c>
      <c r="AC26">
        <v>68.185046031193295</v>
      </c>
      <c r="AD26">
        <v>69.467257521314707</v>
      </c>
      <c r="AE26">
        <v>70.794375484653656</v>
      </c>
      <c r="AF26">
        <v>72.173293472998083</v>
      </c>
      <c r="AG26">
        <v>73.60370676644159</v>
      </c>
      <c r="AH26">
        <v>75.08842724275587</v>
      </c>
      <c r="AI26">
        <v>76.640905705288375</v>
      </c>
    </row>
    <row r="27" spans="3:35" x14ac:dyDescent="0.45">
      <c r="C27" t="s">
        <v>475</v>
      </c>
      <c r="D27">
        <v>1.222576771672724</v>
      </c>
      <c r="E27">
        <v>1.2230605134631511</v>
      </c>
      <c r="F27">
        <v>1.1145959011726343</v>
      </c>
      <c r="G27">
        <v>1.1826031541590811</v>
      </c>
      <c r="H27">
        <v>1.2186695071080651</v>
      </c>
      <c r="I27">
        <v>1.236229520186561</v>
      </c>
      <c r="J27">
        <v>1.2533176246118884</v>
      </c>
      <c r="K27">
        <v>1.2665286946010845</v>
      </c>
      <c r="L27">
        <v>1.2786650256013137</v>
      </c>
      <c r="M27">
        <v>1.2896892136273568</v>
      </c>
      <c r="N27">
        <v>1.2994025720142861</v>
      </c>
      <c r="O27">
        <v>1.3063742899888124</v>
      </c>
      <c r="P27">
        <v>1.3120969907074589</v>
      </c>
      <c r="Q27">
        <v>1.317714523838976</v>
      </c>
      <c r="R27">
        <v>1.3211263916228215</v>
      </c>
      <c r="S27">
        <v>1.3255234237509685</v>
      </c>
      <c r="T27">
        <v>1.3300806361562716</v>
      </c>
      <c r="U27">
        <v>1.3347698178765743</v>
      </c>
      <c r="V27">
        <v>1.3397357765297053</v>
      </c>
      <c r="W27">
        <v>1.3446998968334147</v>
      </c>
      <c r="X27">
        <v>1.3496710373005716</v>
      </c>
      <c r="Y27">
        <v>1.3565121268154727</v>
      </c>
      <c r="Z27">
        <v>1.3637147996803543</v>
      </c>
      <c r="AA27">
        <v>1.370765995166954</v>
      </c>
      <c r="AB27">
        <v>1.3779638151967804</v>
      </c>
      <c r="AC27">
        <v>1.3853271320591718</v>
      </c>
      <c r="AD27">
        <v>1.3924971928415084</v>
      </c>
      <c r="AE27">
        <v>1.3997962465160398</v>
      </c>
      <c r="AF27">
        <v>1.4069918872283393</v>
      </c>
      <c r="AG27">
        <v>1.4141595868181205</v>
      </c>
      <c r="AH27">
        <v>1.4212138374329804</v>
      </c>
      <c r="AI27">
        <v>1.4280021355265025</v>
      </c>
    </row>
    <row r="28" spans="3:35" x14ac:dyDescent="0.45">
      <c r="C28" t="s">
        <v>87</v>
      </c>
      <c r="D28">
        <v>46.625138841508154</v>
      </c>
      <c r="E28">
        <v>45.409571682221717</v>
      </c>
      <c r="F28">
        <v>43.198644228090266</v>
      </c>
      <c r="G28">
        <v>34.285739932637981</v>
      </c>
      <c r="H28">
        <v>34.890478889294684</v>
      </c>
      <c r="I28">
        <v>37.767885394546525</v>
      </c>
      <c r="J28">
        <v>41.089316450520833</v>
      </c>
      <c r="K28">
        <v>43.371461014787045</v>
      </c>
      <c r="L28">
        <v>45.653605579053263</v>
      </c>
      <c r="M28">
        <v>47.935750143319481</v>
      </c>
      <c r="N28">
        <v>50.217894707585693</v>
      </c>
      <c r="O28">
        <v>52.500039271851911</v>
      </c>
      <c r="P28">
        <v>52.664281788761727</v>
      </c>
      <c r="Q28">
        <v>52.872756468418636</v>
      </c>
      <c r="R28">
        <v>53.157830230170163</v>
      </c>
      <c r="S28">
        <v>53.482352750583274</v>
      </c>
      <c r="T28">
        <v>53.804851123228254</v>
      </c>
      <c r="U28">
        <v>54.103684705545035</v>
      </c>
      <c r="V28">
        <v>54.406928980742784</v>
      </c>
      <c r="W28">
        <v>54.682623376665518</v>
      </c>
      <c r="X28">
        <v>54.963180367700957</v>
      </c>
      <c r="Y28">
        <v>55.253237428990886</v>
      </c>
      <c r="Z28">
        <v>55.500111351754896</v>
      </c>
      <c r="AA28">
        <v>55.751005163136789</v>
      </c>
      <c r="AB28">
        <v>56.030258679941973</v>
      </c>
      <c r="AC28">
        <v>56.286432225252497</v>
      </c>
      <c r="AD28">
        <v>56.558770244018184</v>
      </c>
      <c r="AE28">
        <v>56.770791198232928</v>
      </c>
      <c r="AF28">
        <v>56.963244765963843</v>
      </c>
      <c r="AG28">
        <v>57.093699959771605</v>
      </c>
      <c r="AH28">
        <v>57.172814299774238</v>
      </c>
      <c r="AI28">
        <v>57.271972361839623</v>
      </c>
    </row>
    <row r="29" spans="3:35" x14ac:dyDescent="0.45">
      <c r="C29" t="s">
        <v>110</v>
      </c>
      <c r="D29">
        <v>10.705722293966211</v>
      </c>
      <c r="E29">
        <v>11.70000875201271</v>
      </c>
      <c r="F29">
        <v>11.889269457039251</v>
      </c>
      <c r="G29">
        <v>12.660909998884309</v>
      </c>
      <c r="H29">
        <v>13.024170488260765</v>
      </c>
      <c r="I29">
        <v>13.343455198813599</v>
      </c>
      <c r="J29">
        <v>13.589677524640482</v>
      </c>
      <c r="K29">
        <v>13.605526854409222</v>
      </c>
      <c r="L29">
        <v>13.618148315604765</v>
      </c>
      <c r="M29">
        <v>13.63550523270227</v>
      </c>
      <c r="N29">
        <v>13.642074589512662</v>
      </c>
      <c r="O29">
        <v>13.677478852603029</v>
      </c>
      <c r="P29">
        <v>13.71247862720829</v>
      </c>
      <c r="Q29">
        <v>13.730171866943376</v>
      </c>
      <c r="R29">
        <v>13.740633961387172</v>
      </c>
      <c r="S29">
        <v>13.749769629803575</v>
      </c>
      <c r="T29">
        <v>13.757977114177274</v>
      </c>
      <c r="U29">
        <v>13.765649152087867</v>
      </c>
      <c r="V29">
        <v>13.77801204995753</v>
      </c>
      <c r="W29">
        <v>13.794983930437693</v>
      </c>
      <c r="X29">
        <v>13.809247500364517</v>
      </c>
      <c r="Y29">
        <v>13.981682608063712</v>
      </c>
      <c r="Z29">
        <v>14.150476548472225</v>
      </c>
      <c r="AA29">
        <v>14.313496084418141</v>
      </c>
      <c r="AB29">
        <v>14.469727120381666</v>
      </c>
      <c r="AC29">
        <v>14.618296039700768</v>
      </c>
      <c r="AD29">
        <v>14.760759979882847</v>
      </c>
      <c r="AE29">
        <v>14.898261190411562</v>
      </c>
      <c r="AF29">
        <v>15.024857216599569</v>
      </c>
      <c r="AG29">
        <v>15.142442017130724</v>
      </c>
      <c r="AH29">
        <v>15.249961869024556</v>
      </c>
      <c r="AI29">
        <v>15.35482847553974</v>
      </c>
    </row>
    <row r="30" spans="3:35" x14ac:dyDescent="0.45">
      <c r="C30" t="s">
        <v>111</v>
      </c>
      <c r="D30">
        <v>5.0925038093696351</v>
      </c>
      <c r="E30">
        <v>4.0435744533054923</v>
      </c>
      <c r="F30">
        <v>5.5714327390536722</v>
      </c>
      <c r="G30">
        <v>6.5486788065444159</v>
      </c>
      <c r="H30">
        <v>6.7638912729639378</v>
      </c>
      <c r="I30">
        <v>7.0171930959615825</v>
      </c>
      <c r="J30">
        <v>7.2168584532390945</v>
      </c>
      <c r="K30">
        <v>7.3695518121970922</v>
      </c>
      <c r="L30">
        <v>7.5179142243905162</v>
      </c>
      <c r="M30">
        <v>7.6631081943813291</v>
      </c>
      <c r="N30">
        <v>7.7917938076638347</v>
      </c>
      <c r="O30">
        <v>7.9188016849468719</v>
      </c>
      <c r="P30">
        <v>8.0464889306512486</v>
      </c>
      <c r="Q30">
        <v>8.1717063363583087</v>
      </c>
      <c r="R30">
        <v>8.2980344487618662</v>
      </c>
      <c r="S30">
        <v>8.4252569050995856</v>
      </c>
      <c r="T30">
        <v>8.5532091480224484</v>
      </c>
      <c r="U30">
        <v>8.6772253776550539</v>
      </c>
      <c r="V30">
        <v>8.8011067253683031</v>
      </c>
      <c r="W30">
        <v>8.9256869014904954</v>
      </c>
      <c r="X30">
        <v>9.0508665847382481</v>
      </c>
      <c r="Y30">
        <v>9.1768310430675957</v>
      </c>
      <c r="Z30">
        <v>9.3000647965705863</v>
      </c>
      <c r="AA30">
        <v>9.4289274922865172</v>
      </c>
      <c r="AB30">
        <v>9.5620850502382577</v>
      </c>
      <c r="AC30">
        <v>9.6989245714166685</v>
      </c>
      <c r="AD30">
        <v>9.8372051002026932</v>
      </c>
      <c r="AE30">
        <v>9.9730050692562457</v>
      </c>
      <c r="AF30">
        <v>10.111401298510486</v>
      </c>
      <c r="AG30">
        <v>10.252492285789232</v>
      </c>
      <c r="AH30">
        <v>10.396730864377558</v>
      </c>
      <c r="AI30">
        <v>10.546069345502984</v>
      </c>
    </row>
    <row r="31" spans="3:35" x14ac:dyDescent="0.45">
      <c r="C31" t="s">
        <v>476</v>
      </c>
      <c r="D31">
        <v>10.981826429073115</v>
      </c>
      <c r="E31">
        <v>9.6059118284126583</v>
      </c>
      <c r="F31">
        <v>10.285721979791393</v>
      </c>
      <c r="G31">
        <v>10.071436105212408</v>
      </c>
      <c r="H31">
        <v>10.279485651253612</v>
      </c>
      <c r="I31">
        <v>10.553579323015128</v>
      </c>
      <c r="J31">
        <v>10.665260353422999</v>
      </c>
      <c r="K31">
        <v>10.740559402126218</v>
      </c>
      <c r="L31">
        <v>10.766256564625195</v>
      </c>
      <c r="M31">
        <v>10.785756675979634</v>
      </c>
      <c r="N31">
        <v>10.804414307812653</v>
      </c>
      <c r="O31">
        <v>10.82446492052946</v>
      </c>
      <c r="P31">
        <v>10.847103376591383</v>
      </c>
      <c r="Q31">
        <v>10.852908731878275</v>
      </c>
      <c r="R31">
        <v>10.858516802979164</v>
      </c>
      <c r="S31">
        <v>10.863509069639552</v>
      </c>
      <c r="T31">
        <v>10.870346483066712</v>
      </c>
      <c r="U31">
        <v>10.879872802087906</v>
      </c>
      <c r="V31">
        <v>10.899325989745638</v>
      </c>
      <c r="W31">
        <v>10.919515797628458</v>
      </c>
      <c r="X31">
        <v>10.939276508797727</v>
      </c>
      <c r="Y31">
        <v>10.954351332215182</v>
      </c>
      <c r="Z31">
        <v>10.969056758633423</v>
      </c>
      <c r="AA31">
        <v>10.980604265626752</v>
      </c>
      <c r="AB31">
        <v>10.989001958032732</v>
      </c>
      <c r="AC31">
        <v>10.994278094626322</v>
      </c>
      <c r="AD31">
        <v>10.996156093045165</v>
      </c>
      <c r="AE31">
        <v>10.996252193777446</v>
      </c>
      <c r="AF31">
        <v>10.994443547195303</v>
      </c>
      <c r="AG31">
        <v>10.990888646510719</v>
      </c>
      <c r="AH31">
        <v>10.985382951262659</v>
      </c>
      <c r="AI31">
        <v>10.974450854498182</v>
      </c>
    </row>
    <row r="32" spans="3:35" x14ac:dyDescent="0.45">
      <c r="C32" t="s">
        <v>70</v>
      </c>
      <c r="D32">
        <v>104.57150679454584</v>
      </c>
      <c r="E32">
        <v>85.714349831594944</v>
      </c>
      <c r="F32">
        <v>106.49413944129259</v>
      </c>
      <c r="G32">
        <v>114.95392052021387</v>
      </c>
      <c r="H32">
        <v>122.35708753266837</v>
      </c>
      <c r="I32">
        <v>124.69164513260671</v>
      </c>
      <c r="J32">
        <v>125.98970913153079</v>
      </c>
      <c r="K32">
        <v>126.40507168536497</v>
      </c>
      <c r="L32">
        <v>126.66550087285862</v>
      </c>
      <c r="M32">
        <v>126.94418769661175</v>
      </c>
      <c r="N32">
        <v>127.26331294721065</v>
      </c>
      <c r="O32">
        <v>127.63868813125541</v>
      </c>
      <c r="P32">
        <v>127.9626560899636</v>
      </c>
      <c r="Q32">
        <v>128.13893050456548</v>
      </c>
      <c r="R32">
        <v>128.28533904667381</v>
      </c>
      <c r="S32">
        <v>128.45242762387971</v>
      </c>
      <c r="T32">
        <v>128.64598766266326</v>
      </c>
      <c r="U32">
        <v>128.85959554322045</v>
      </c>
      <c r="V32">
        <v>129.0728322347814</v>
      </c>
      <c r="W32">
        <v>129.31253273573284</v>
      </c>
      <c r="X32">
        <v>129.58274474636045</v>
      </c>
      <c r="Y32">
        <v>129.87727084961261</v>
      </c>
      <c r="Z32">
        <v>130.1439770180788</v>
      </c>
      <c r="AA32">
        <v>130.47066954986653</v>
      </c>
      <c r="AB32">
        <v>130.82450622821293</v>
      </c>
      <c r="AC32">
        <v>131.20046991033146</v>
      </c>
      <c r="AD32">
        <v>131.58301264071812</v>
      </c>
      <c r="AE32">
        <v>131.88471727927976</v>
      </c>
      <c r="AF32">
        <v>132.18788046687061</v>
      </c>
      <c r="AG32">
        <v>132.50850754896047</v>
      </c>
      <c r="AH32">
        <v>132.83345691982063</v>
      </c>
      <c r="AI32">
        <v>133.17637621473048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8744-D239-43FE-B0CE-A18B009B64DE}">
  <sheetPr codeName="Sheet33"/>
  <dimension ref="A1:AF100"/>
  <sheetViews>
    <sheetView tabSelected="1" topLeftCell="L21" zoomScaleNormal="100" workbookViewId="0">
      <selection activeCell="Z43" sqref="Z43"/>
    </sheetView>
  </sheetViews>
  <sheetFormatPr defaultColWidth="8.86328125" defaultRowHeight="14.25" x14ac:dyDescent="0.45"/>
  <cols>
    <col min="1" max="1" width="26.46484375" customWidth="1"/>
    <col min="2" max="2" width="21.53125" customWidth="1"/>
    <col min="3" max="3" width="22" customWidth="1"/>
    <col min="5" max="5" width="21.53125" customWidth="1"/>
    <col min="6" max="6" width="24.1328125" customWidth="1"/>
    <col min="7" max="7" width="12.46484375" customWidth="1"/>
    <col min="8" max="8" width="16.46484375" customWidth="1"/>
    <col min="9" max="9" width="15.33203125" customWidth="1"/>
    <col min="10" max="10" width="24" customWidth="1"/>
    <col min="11" max="11" width="16.53125" customWidth="1"/>
    <col min="12" max="14" width="24.46484375" customWidth="1"/>
    <col min="16" max="16" width="40.53125" bestFit="1" customWidth="1"/>
    <col min="18" max="18" width="16.1328125" bestFit="1" customWidth="1"/>
    <col min="19" max="19" width="11.33203125" customWidth="1"/>
    <col min="20" max="20" width="13.46484375" customWidth="1"/>
    <col min="21" max="21" width="12.86328125" customWidth="1"/>
    <col min="22" max="22" width="13.46484375" customWidth="1"/>
    <col min="23" max="23" width="13.1328125" bestFit="1" customWidth="1"/>
    <col min="24" max="24" width="10.1328125" customWidth="1"/>
    <col min="27" max="27" width="11.33203125" bestFit="1" customWidth="1"/>
    <col min="28" max="28" width="40.53125" bestFit="1" customWidth="1"/>
    <col min="29" max="29" width="11.46484375" customWidth="1"/>
    <col min="32" max="32" width="12.53125" bestFit="1" customWidth="1"/>
  </cols>
  <sheetData>
    <row r="1" spans="1:32" ht="17.649999999999999" x14ac:dyDescent="0.45">
      <c r="A1" s="3" t="s">
        <v>117</v>
      </c>
      <c r="P1" s="3" t="s">
        <v>640</v>
      </c>
    </row>
    <row r="3" spans="1:32" x14ac:dyDescent="0.45">
      <c r="A3" s="1" t="s">
        <v>118</v>
      </c>
    </row>
    <row r="4" spans="1:32" x14ac:dyDescent="0.45">
      <c r="P4" s="22" t="s">
        <v>81</v>
      </c>
      <c r="AA4" s="22" t="s">
        <v>5</v>
      </c>
    </row>
    <row r="5" spans="1:32" x14ac:dyDescent="0.45">
      <c r="A5" s="4" t="s">
        <v>44</v>
      </c>
      <c r="B5" s="4" t="s">
        <v>45</v>
      </c>
      <c r="C5" s="4" t="s">
        <v>46</v>
      </c>
      <c r="D5" s="4" t="s">
        <v>47</v>
      </c>
      <c r="E5" s="4" t="s">
        <v>51</v>
      </c>
      <c r="F5" s="4" t="s">
        <v>119</v>
      </c>
      <c r="G5" s="4" t="s">
        <v>48</v>
      </c>
      <c r="H5" s="4" t="s">
        <v>120</v>
      </c>
      <c r="I5" s="4" t="s">
        <v>49</v>
      </c>
      <c r="J5" s="4" t="s">
        <v>77</v>
      </c>
      <c r="K5" s="4" t="s">
        <v>52</v>
      </c>
      <c r="P5" s="4" t="s">
        <v>3</v>
      </c>
      <c r="Q5" s="4" t="s">
        <v>74</v>
      </c>
      <c r="R5" s="4" t="s">
        <v>50</v>
      </c>
      <c r="S5" s="4" t="s">
        <v>638</v>
      </c>
      <c r="T5" s="4" t="s">
        <v>627</v>
      </c>
      <c r="U5" s="4" t="s">
        <v>31</v>
      </c>
      <c r="V5" s="4" t="s">
        <v>6</v>
      </c>
      <c r="W5" s="4" t="s">
        <v>4</v>
      </c>
      <c r="X5" s="4" t="s">
        <v>33</v>
      </c>
      <c r="AA5" t="s">
        <v>7</v>
      </c>
      <c r="AB5" t="s">
        <v>3</v>
      </c>
      <c r="AC5" t="s">
        <v>8</v>
      </c>
      <c r="AD5" t="s">
        <v>10</v>
      </c>
      <c r="AE5" t="s">
        <v>9</v>
      </c>
      <c r="AF5" t="s">
        <v>12</v>
      </c>
    </row>
    <row r="6" spans="1:32" x14ac:dyDescent="0.45">
      <c r="A6" s="5" t="s">
        <v>122</v>
      </c>
      <c r="B6" s="5" t="s">
        <v>123</v>
      </c>
      <c r="C6" s="5" t="s">
        <v>55</v>
      </c>
      <c r="D6" s="5" t="s">
        <v>124</v>
      </c>
      <c r="E6" s="5" t="s">
        <v>125</v>
      </c>
      <c r="F6" s="5" t="s">
        <v>126</v>
      </c>
      <c r="G6" s="5" t="s">
        <v>347</v>
      </c>
      <c r="H6" s="10" t="s">
        <v>57</v>
      </c>
      <c r="I6" s="5">
        <v>0</v>
      </c>
      <c r="J6" s="5" t="s">
        <v>127</v>
      </c>
      <c r="K6" s="5">
        <v>1</v>
      </c>
      <c r="P6" t="str">
        <f>"IMfedri_"&amp;A6</f>
        <v>IMfedri_Pelletizing Plants</v>
      </c>
      <c r="R6" t="str">
        <f>IF(U6&gt;0,"INDCOA,INDNGA","")</f>
        <v>INDCOA,INDNGA</v>
      </c>
      <c r="S6" t="s">
        <v>2</v>
      </c>
      <c r="T6" cm="1">
        <f t="array" ref="T6">AvgRangePercent(C6,90)*3.6/1000</f>
        <v>0.24480000000000002</v>
      </c>
      <c r="U6" cm="1">
        <f t="array" ref="U6">AvgRangePercent(D6,50)</f>
        <v>0.75</v>
      </c>
      <c r="V6" t="s">
        <v>210</v>
      </c>
      <c r="W6" cm="1">
        <f t="array" ref="W6">AvgRangePercent(G6,50)</f>
        <v>160</v>
      </c>
      <c r="X6" cm="1">
        <f t="array" ref="X6">AvgRangePercent(H6,50)</f>
        <v>10</v>
      </c>
      <c r="AA6" t="s">
        <v>11</v>
      </c>
      <c r="AB6" t="str">
        <f>IF(LEFT(P6,7)="IMfedri",P6,"\I:")</f>
        <v>IMfedri_Pelletizing Plants</v>
      </c>
      <c r="AD6" t="s">
        <v>13</v>
      </c>
      <c r="AE6" t="s">
        <v>14</v>
      </c>
    </row>
    <row r="7" spans="1:32" x14ac:dyDescent="0.45">
      <c r="A7" s="5"/>
      <c r="B7" s="5"/>
      <c r="C7" s="5"/>
      <c r="D7" s="5"/>
      <c r="E7" s="5"/>
      <c r="F7" s="5"/>
      <c r="G7" s="5"/>
      <c r="H7" s="10"/>
      <c r="I7" s="5"/>
      <c r="J7" s="5"/>
      <c r="K7" s="5"/>
      <c r="S7" t="s">
        <v>121</v>
      </c>
      <c r="T7" cm="1">
        <f t="array" ref="T7">AvgRangePercent(F6,50)</f>
        <v>1.0750000000000002</v>
      </c>
      <c r="AA7" t="s">
        <v>11</v>
      </c>
      <c r="AB7" t="str">
        <f>IF(LEFT(P12,7)="IMfedri",P12,"\I:")</f>
        <v>IMfedri_Sintering Plants</v>
      </c>
      <c r="AD7" t="s">
        <v>13</v>
      </c>
      <c r="AE7" t="s">
        <v>14</v>
      </c>
    </row>
    <row r="8" spans="1:32" x14ac:dyDescent="0.45">
      <c r="A8" s="5"/>
      <c r="B8" s="5" t="s">
        <v>128</v>
      </c>
      <c r="C8" s="5" t="s">
        <v>56</v>
      </c>
      <c r="D8" s="5" t="s">
        <v>83</v>
      </c>
      <c r="E8" s="5" t="s">
        <v>125</v>
      </c>
      <c r="F8" s="5" t="s">
        <v>126</v>
      </c>
      <c r="G8" s="10" t="s">
        <v>348</v>
      </c>
      <c r="H8" s="10" t="s">
        <v>63</v>
      </c>
      <c r="I8" s="5">
        <v>0</v>
      </c>
      <c r="J8" s="5" t="s">
        <v>127</v>
      </c>
      <c r="K8" s="5">
        <v>1</v>
      </c>
      <c r="Q8" t="str">
        <f>B8</f>
        <v>feBrazil</v>
      </c>
      <c r="R8" t="str">
        <f>IF(U8&gt;0,"INDCOA,INDNGA","")</f>
        <v>INDCOA,INDNGA</v>
      </c>
      <c r="S8" t="s">
        <v>2</v>
      </c>
      <c r="T8" cm="1">
        <f t="array" ref="T8">AvgRangePercent(C8,90)*3.6/1000</f>
        <v>0.2268</v>
      </c>
      <c r="U8" cm="1">
        <f t="array" ref="U8">AvgRangePercent(D8,50)</f>
        <v>0.60000000000000009</v>
      </c>
      <c r="V8" t="s">
        <v>210</v>
      </c>
      <c r="W8" cm="1">
        <f t="array" ref="W8">AvgRangePercent(G8,50)</f>
        <v>140</v>
      </c>
      <c r="X8" cm="1">
        <f t="array" ref="X8">AvgRangePercent(H8,50)</f>
        <v>8</v>
      </c>
      <c r="AA8" t="s">
        <v>11</v>
      </c>
      <c r="AB8" t="str">
        <f>IF(LEFT(P22,7)="IMfedri",P22,"\I:")</f>
        <v>IMfedri_Natural Gas-Based Midrex</v>
      </c>
      <c r="AD8" t="s">
        <v>13</v>
      </c>
      <c r="AE8" t="s">
        <v>14</v>
      </c>
      <c r="AF8" t="s">
        <v>160</v>
      </c>
    </row>
    <row r="9" spans="1:32" x14ac:dyDescent="0.45">
      <c r="A9" s="5"/>
      <c r="B9" s="5"/>
      <c r="C9" s="5"/>
      <c r="D9" s="5"/>
      <c r="E9" s="5"/>
      <c r="F9" s="5"/>
      <c r="G9" s="10"/>
      <c r="H9" s="10"/>
      <c r="I9" s="5"/>
      <c r="J9" s="5"/>
      <c r="K9" s="5"/>
      <c r="Q9" t="str">
        <f>B8</f>
        <v>feBrazil</v>
      </c>
      <c r="S9" t="s">
        <v>121</v>
      </c>
      <c r="T9" cm="1">
        <f t="array" ref="T9">AvgRangePercent(F8,50)</f>
        <v>1.0750000000000002</v>
      </c>
      <c r="AA9" t="s">
        <v>11</v>
      </c>
      <c r="AB9" t="str">
        <f>IF(LEFT(P28,7)="IMfedri",P28,"\I:")</f>
        <v>IMfedri_Coal-Based Rotary Kiln</v>
      </c>
      <c r="AD9" t="s">
        <v>13</v>
      </c>
      <c r="AE9" t="s">
        <v>14</v>
      </c>
      <c r="AF9" t="s">
        <v>160</v>
      </c>
    </row>
    <row r="10" spans="1:32" x14ac:dyDescent="0.45">
      <c r="A10" s="5"/>
      <c r="B10" s="5" t="s">
        <v>129</v>
      </c>
      <c r="C10" s="5" t="s">
        <v>59</v>
      </c>
      <c r="D10" s="5" t="s">
        <v>130</v>
      </c>
      <c r="E10" s="5" t="s">
        <v>131</v>
      </c>
      <c r="F10" s="5" t="s">
        <v>132</v>
      </c>
      <c r="G10" s="10" t="s">
        <v>72</v>
      </c>
      <c r="H10" s="10" t="s">
        <v>64</v>
      </c>
      <c r="I10" s="5">
        <v>0</v>
      </c>
      <c r="J10" s="5" t="s">
        <v>127</v>
      </c>
      <c r="K10" s="5">
        <v>1</v>
      </c>
      <c r="Q10" t="str">
        <f>B10</f>
        <v>feIndia</v>
      </c>
      <c r="R10" t="str">
        <f>IF(U10&gt;0,"INDCOA,INDNGA","")</f>
        <v>INDCOA,INDNGA</v>
      </c>
      <c r="S10" t="s">
        <v>2</v>
      </c>
      <c r="T10" cm="1">
        <f t="array" ref="T10">AvgRangePercent(C10,90)*3.6/1000</f>
        <v>0.26280000000000003</v>
      </c>
      <c r="U10" cm="1">
        <f t="array" ref="U10">AvgRangePercent(D10,50)</f>
        <v>0.89999999999999991</v>
      </c>
      <c r="V10" t="s">
        <v>210</v>
      </c>
      <c r="W10" cm="1">
        <f t="array" ref="W10">AvgRangePercent(G10,50)</f>
        <v>115</v>
      </c>
      <c r="X10" cm="1">
        <f t="array" ref="X10">AvgRangePercent(H10,50)</f>
        <v>11.5</v>
      </c>
      <c r="AA10" t="s">
        <v>11</v>
      </c>
      <c r="AB10" t="str">
        <f>IF(LEFT(P34,7)="IMfedri",P34,"\I:")</f>
        <v>IMfedri_Hydrogen-Based Reduction</v>
      </c>
      <c r="AD10" t="s">
        <v>13</v>
      </c>
      <c r="AE10" t="s">
        <v>14</v>
      </c>
      <c r="AF10" t="s">
        <v>160</v>
      </c>
    </row>
    <row r="11" spans="1:32" x14ac:dyDescent="0.45">
      <c r="A11" s="5"/>
      <c r="B11" s="5"/>
      <c r="C11" s="5"/>
      <c r="D11" s="5"/>
      <c r="E11" s="5"/>
      <c r="F11" s="5"/>
      <c r="G11" s="10"/>
      <c r="H11" s="10"/>
      <c r="I11" s="5"/>
      <c r="J11" s="5"/>
      <c r="K11" s="5"/>
      <c r="Q11" t="str">
        <f>B10</f>
        <v>feIndia</v>
      </c>
      <c r="S11" t="s">
        <v>121</v>
      </c>
      <c r="T11" cm="1">
        <f t="array" ref="T11">AvgRangePercent(F10,50)</f>
        <v>1.1000000000000001</v>
      </c>
      <c r="AA11" t="s">
        <v>11</v>
      </c>
      <c r="AB11" t="str">
        <f>IF(LEFT(P40,7)="IMfedri",P40,"\I:")</f>
        <v>IMfedri_Natural Gas-Based Midrex with CCS</v>
      </c>
      <c r="AD11" t="s">
        <v>13</v>
      </c>
      <c r="AE11" t="s">
        <v>14</v>
      </c>
      <c r="AF11" t="s">
        <v>160</v>
      </c>
    </row>
    <row r="12" spans="1:32" x14ac:dyDescent="0.45">
      <c r="A12" s="5" t="s">
        <v>133</v>
      </c>
      <c r="B12" s="5" t="s">
        <v>134</v>
      </c>
      <c r="C12" s="5" t="s">
        <v>58</v>
      </c>
      <c r="D12" s="5" t="s">
        <v>135</v>
      </c>
      <c r="E12" s="5" t="s">
        <v>136</v>
      </c>
      <c r="F12" s="5" t="s">
        <v>137</v>
      </c>
      <c r="G12" s="10" t="s">
        <v>138</v>
      </c>
      <c r="H12" s="10" t="s">
        <v>139</v>
      </c>
      <c r="I12" s="5" t="s">
        <v>140</v>
      </c>
      <c r="J12" s="5" t="s">
        <v>141</v>
      </c>
      <c r="K12" s="5">
        <v>1</v>
      </c>
      <c r="P12" t="str">
        <f>"IMfedri_"&amp;A12</f>
        <v>IMfedri_Sintering Plants</v>
      </c>
      <c r="R12" t="str">
        <f>IF(U12&gt;0,"INDCOA,INDNGA","")</f>
        <v>INDCOA,INDNGA</v>
      </c>
      <c r="S12" t="s">
        <v>2</v>
      </c>
      <c r="T12" cm="1">
        <f t="array" ref="T12">AvgRangePercent(C12,90)*3.6/1000</f>
        <v>0.17280000000000001</v>
      </c>
      <c r="U12" cm="1">
        <f t="array" ref="U12">AvgRangePercent(D12,50)</f>
        <v>1.75</v>
      </c>
      <c r="V12" t="s">
        <v>211</v>
      </c>
      <c r="W12" cm="1">
        <f t="array" ref="W12">AvgRangePercent(G12,50)</f>
        <v>14</v>
      </c>
      <c r="X12" cm="1">
        <f t="array" ref="X12">AvgRangePercent(H12,50)</f>
        <v>9.5</v>
      </c>
      <c r="AA12" t="s">
        <v>11</v>
      </c>
      <c r="AB12" t="str">
        <f>IF(LEFT(P46,7)="IMfedri",P46,"\I:")</f>
        <v>IMfedri_Coal-Based Rotary Kiln with CCS</v>
      </c>
      <c r="AD12" t="s">
        <v>13</v>
      </c>
      <c r="AE12" t="s">
        <v>14</v>
      </c>
      <c r="AF12" t="s">
        <v>160</v>
      </c>
    </row>
    <row r="13" spans="1:32" x14ac:dyDescent="0.45">
      <c r="A13" s="5"/>
      <c r="B13" s="5"/>
      <c r="C13" s="5"/>
      <c r="D13" s="5"/>
      <c r="E13" s="5"/>
      <c r="F13" s="5"/>
      <c r="G13" s="10"/>
      <c r="H13" s="10"/>
      <c r="I13" s="5"/>
      <c r="J13" s="5"/>
      <c r="K13" s="5"/>
      <c r="S13" t="s">
        <v>121</v>
      </c>
      <c r="T13" cm="1">
        <f t="array" ref="T13">AvgRangePercent(F12,50)</f>
        <v>1.2000000000000002</v>
      </c>
      <c r="AA13" t="s">
        <v>11</v>
      </c>
      <c r="AB13" t="str">
        <f>IF(LEFT(P61,7)="IMfedri",P61,"\I:")</f>
        <v>IMfedri_Cooling Systems</v>
      </c>
      <c r="AD13" t="s">
        <v>13</v>
      </c>
      <c r="AE13" t="s">
        <v>14</v>
      </c>
    </row>
    <row r="14" spans="1:32" x14ac:dyDescent="0.45">
      <c r="A14" s="5"/>
      <c r="B14" s="5"/>
      <c r="C14" s="5"/>
      <c r="D14" s="5"/>
      <c r="E14" s="5"/>
      <c r="F14" s="5"/>
      <c r="G14" s="10"/>
      <c r="H14" s="10"/>
      <c r="I14" s="5"/>
      <c r="J14" s="5"/>
      <c r="K14" s="5"/>
    </row>
    <row r="17" spans="1:23" ht="17.649999999999999" x14ac:dyDescent="0.45">
      <c r="A17" s="3" t="s">
        <v>145</v>
      </c>
      <c r="P17" s="3" t="s">
        <v>639</v>
      </c>
    </row>
    <row r="19" spans="1:23" x14ac:dyDescent="0.45">
      <c r="A19" s="1" t="s">
        <v>146</v>
      </c>
    </row>
    <row r="20" spans="1:23" x14ac:dyDescent="0.45">
      <c r="P20" s="22" t="s">
        <v>81</v>
      </c>
    </row>
    <row r="21" spans="1:23" x14ac:dyDescent="0.45">
      <c r="A21" s="4" t="s">
        <v>44</v>
      </c>
      <c r="B21" s="4" t="s">
        <v>45</v>
      </c>
      <c r="C21" s="4" t="s">
        <v>147</v>
      </c>
      <c r="D21" s="4" t="s">
        <v>148</v>
      </c>
      <c r="E21" s="4" t="s">
        <v>149</v>
      </c>
      <c r="F21" s="4" t="s">
        <v>51</v>
      </c>
      <c r="G21" s="4" t="s">
        <v>150</v>
      </c>
      <c r="H21" s="4" t="s">
        <v>151</v>
      </c>
      <c r="I21" s="4" t="s">
        <v>152</v>
      </c>
      <c r="J21" s="4" t="s">
        <v>153</v>
      </c>
      <c r="K21" s="4" t="s">
        <v>77</v>
      </c>
      <c r="L21" s="4" t="s">
        <v>52</v>
      </c>
      <c r="M21" s="4"/>
      <c r="N21" s="4"/>
      <c r="P21" s="4" t="s">
        <v>3</v>
      </c>
      <c r="Q21" s="4" t="s">
        <v>74</v>
      </c>
      <c r="R21" s="4" t="s">
        <v>527</v>
      </c>
      <c r="S21" s="4" t="s">
        <v>627</v>
      </c>
      <c r="T21" s="4" t="s">
        <v>6</v>
      </c>
      <c r="U21" s="4" t="s">
        <v>628</v>
      </c>
      <c r="V21" s="4" t="s">
        <v>4</v>
      </c>
      <c r="W21" s="4" t="s">
        <v>33</v>
      </c>
    </row>
    <row r="22" spans="1:23" x14ac:dyDescent="0.45">
      <c r="A22" s="5" t="s">
        <v>154</v>
      </c>
      <c r="B22" s="5" t="s">
        <v>123</v>
      </c>
      <c r="C22" s="5" t="s">
        <v>155</v>
      </c>
      <c r="D22" s="5">
        <v>0</v>
      </c>
      <c r="E22" s="5" t="s">
        <v>156</v>
      </c>
      <c r="F22" s="5" t="s">
        <v>157</v>
      </c>
      <c r="G22" s="5" t="s">
        <v>158</v>
      </c>
      <c r="H22" s="5" t="s">
        <v>349</v>
      </c>
      <c r="I22" s="5" t="s">
        <v>58</v>
      </c>
      <c r="J22" s="5" t="s">
        <v>28</v>
      </c>
      <c r="K22" s="5" t="s">
        <v>159</v>
      </c>
      <c r="L22" s="5">
        <v>1</v>
      </c>
      <c r="M22" s="5"/>
      <c r="N22" s="5"/>
      <c r="P22" t="str">
        <f>"IMfedri_"&amp;A22</f>
        <v>IMfedri_Natural Gas-Based Midrex</v>
      </c>
      <c r="R22" t="s">
        <v>2</v>
      </c>
      <c r="S22" cm="1">
        <f t="array" ref="S22">AvgRangePercent(C22,90)*3.6/1000</f>
        <v>0.3528</v>
      </c>
      <c r="T22" t="s">
        <v>160</v>
      </c>
      <c r="U22">
        <v>1</v>
      </c>
      <c r="V22" cm="1">
        <f t="array" ref="V22">AvgRangePercent(H22,50)</f>
        <v>435</v>
      </c>
      <c r="W22" cm="1">
        <f t="array" ref="W22">AvgRangePercent(I22,50)</f>
        <v>40</v>
      </c>
    </row>
    <row r="23" spans="1:23" x14ac:dyDescent="0.4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R23" t="s">
        <v>210</v>
      </c>
      <c r="S23" cm="1">
        <f t="array" ref="S23">AvgRangePercent(G22,50)</f>
        <v>1.45</v>
      </c>
    </row>
    <row r="24" spans="1:23" x14ac:dyDescent="0.4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R24" t="s">
        <v>524</v>
      </c>
      <c r="S24" cm="1">
        <f t="array" ref="S24">AvgRangePercent(E22,50)/50</f>
        <v>0.22</v>
      </c>
    </row>
    <row r="25" spans="1:23" x14ac:dyDescent="0.45">
      <c r="A25" s="5"/>
      <c r="B25" s="5"/>
      <c r="C25" s="5"/>
      <c r="D25" s="5"/>
      <c r="E25" s="5"/>
      <c r="F25" s="5" t="s">
        <v>350</v>
      </c>
      <c r="G25" s="5" t="s">
        <v>91</v>
      </c>
      <c r="H25" s="5"/>
      <c r="I25" s="5"/>
      <c r="J25" s="5"/>
      <c r="K25" s="5"/>
      <c r="L25" s="5"/>
      <c r="M25" s="5"/>
      <c r="N25" s="5"/>
      <c r="Q25" t="str">
        <f>B28</f>
        <v>feBrazil</v>
      </c>
      <c r="R25" t="s">
        <v>2</v>
      </c>
      <c r="S25" cm="1">
        <f t="array" ref="S25">AvgRangePercent(C28,90)*3.6/1000</f>
        <v>0.42480000000000001</v>
      </c>
      <c r="T25" t="s">
        <v>160</v>
      </c>
      <c r="U25">
        <v>1</v>
      </c>
      <c r="V25" cm="1">
        <f t="array" ref="V25">AvgRangePercent(H28,50)</f>
        <v>385</v>
      </c>
      <c r="W25" cm="1">
        <f t="array" ref="W25">AvgRangePercent(I28,50)</f>
        <v>35</v>
      </c>
    </row>
    <row r="26" spans="1:23" x14ac:dyDescent="0.4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Q26" t="str">
        <f>B28</f>
        <v>feBrazil</v>
      </c>
      <c r="R26" t="s">
        <v>210</v>
      </c>
      <c r="S26" cm="1">
        <f t="array" ref="S26">AvgRangePercent(G28,50)</f>
        <v>1.35</v>
      </c>
    </row>
    <row r="27" spans="1:23" x14ac:dyDescent="0.4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Q27" t="str">
        <f>B28</f>
        <v>feBrazil</v>
      </c>
      <c r="R27" t="s">
        <v>524</v>
      </c>
      <c r="S27" cm="1">
        <f t="array" ref="S27">AvgRangePercent(E28,50)/50</f>
        <v>0.2</v>
      </c>
    </row>
    <row r="28" spans="1:23" x14ac:dyDescent="0.45">
      <c r="A28" s="5"/>
      <c r="B28" s="5" t="s">
        <v>128</v>
      </c>
      <c r="C28" s="5" t="s">
        <v>162</v>
      </c>
      <c r="D28" s="5">
        <v>0</v>
      </c>
      <c r="E28" s="5" t="s">
        <v>102</v>
      </c>
      <c r="F28" s="5" t="s">
        <v>157</v>
      </c>
      <c r="G28" s="5" t="s">
        <v>163</v>
      </c>
      <c r="H28" s="5" t="s">
        <v>351</v>
      </c>
      <c r="I28" s="5" t="s">
        <v>352</v>
      </c>
      <c r="J28" s="5" t="s">
        <v>104</v>
      </c>
      <c r="K28" s="5" t="s">
        <v>159</v>
      </c>
      <c r="L28" s="5">
        <v>1</v>
      </c>
      <c r="M28" s="5"/>
      <c r="N28" s="5"/>
      <c r="P28" t="str">
        <f>"IMfedri_"&amp;A34</f>
        <v>IMfedri_Coal-Based Rotary Kiln</v>
      </c>
      <c r="R28" t="s">
        <v>2</v>
      </c>
      <c r="S28" cm="1">
        <f t="array" ref="S28">AvgRangePercent(C34,90)*3.6/1000</f>
        <v>0.28079999999999999</v>
      </c>
      <c r="T28" t="s">
        <v>160</v>
      </c>
      <c r="U28">
        <v>1</v>
      </c>
      <c r="V28" cm="1">
        <f t="array" ref="V28">AvgRangePercent(H34,50)</f>
        <v>255</v>
      </c>
      <c r="W28" cm="1">
        <f t="array" ref="W28">AvgRangePercent(I34,50)</f>
        <v>27.5</v>
      </c>
    </row>
    <row r="29" spans="1:23" x14ac:dyDescent="0.4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R29" t="s">
        <v>210</v>
      </c>
      <c r="S29" cm="1">
        <f t="array" ref="S29">AvgRangePercent(G34,50)</f>
        <v>1.5</v>
      </c>
    </row>
    <row r="30" spans="1:23" x14ac:dyDescent="0.4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R30" t="s">
        <v>526</v>
      </c>
      <c r="S30" cm="1">
        <f t="array" ref="S30">AvgRangePercent(G37,50)</f>
        <v>1</v>
      </c>
    </row>
    <row r="31" spans="1:23" x14ac:dyDescent="0.45">
      <c r="A31" s="5"/>
      <c r="B31" s="5"/>
      <c r="C31" s="5"/>
      <c r="D31" s="5"/>
      <c r="E31" s="5"/>
      <c r="F31" s="5" t="s">
        <v>350</v>
      </c>
      <c r="G31" s="5" t="s">
        <v>90</v>
      </c>
      <c r="H31" s="5"/>
      <c r="I31" s="5"/>
      <c r="J31" s="5"/>
      <c r="K31" s="5"/>
      <c r="L31" s="5"/>
      <c r="M31" s="5"/>
      <c r="N31" s="5"/>
      <c r="Q31" t="str">
        <f>B39</f>
        <v>feChina</v>
      </c>
      <c r="R31" t="s">
        <v>2</v>
      </c>
      <c r="S31" cm="1">
        <f t="array" ref="S31">AvgRangePercent(C39,90)*3.6/1000</f>
        <v>0.29880000000000001</v>
      </c>
      <c r="T31" t="s">
        <v>160</v>
      </c>
      <c r="U31">
        <v>1</v>
      </c>
      <c r="V31" cm="1">
        <f t="array" ref="V31">AvgRangePercent(H39,50)</f>
        <v>275</v>
      </c>
      <c r="W31" cm="1">
        <f t="array" ref="W31">AvgRangePercent(I39,50)</f>
        <v>30</v>
      </c>
    </row>
    <row r="32" spans="1:23" x14ac:dyDescent="0.4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Q32" t="str">
        <f>B39</f>
        <v>feChina</v>
      </c>
      <c r="R32" t="s">
        <v>210</v>
      </c>
      <c r="S32" cm="1">
        <f t="array" ref="S32">AvgRangePercent(G39,50)</f>
        <v>1.2999999999999998</v>
      </c>
    </row>
    <row r="33" spans="1:26" x14ac:dyDescent="0.4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Q33" t="str">
        <f>B39</f>
        <v>feChina</v>
      </c>
      <c r="R33" t="s">
        <v>526</v>
      </c>
      <c r="S33" cm="1">
        <f t="array" ref="S33">AvgRangePercent(G40,50)</f>
        <v>0.9</v>
      </c>
    </row>
    <row r="34" spans="1:26" x14ac:dyDescent="0.45">
      <c r="A34" s="5" t="s">
        <v>164</v>
      </c>
      <c r="B34" s="5" t="s">
        <v>80</v>
      </c>
      <c r="C34" s="5" t="s">
        <v>97</v>
      </c>
      <c r="D34" s="5">
        <v>0</v>
      </c>
      <c r="E34" s="5" t="s">
        <v>353</v>
      </c>
      <c r="F34" s="5" t="s">
        <v>157</v>
      </c>
      <c r="G34" s="5" t="s">
        <v>60</v>
      </c>
      <c r="H34" s="5" t="s">
        <v>354</v>
      </c>
      <c r="I34" s="5" t="s">
        <v>62</v>
      </c>
      <c r="J34" s="5" t="s">
        <v>167</v>
      </c>
      <c r="K34" s="5" t="s">
        <v>159</v>
      </c>
      <c r="L34" s="5">
        <v>1</v>
      </c>
      <c r="M34" s="5"/>
      <c r="N34" s="5"/>
      <c r="P34" t="str">
        <f>"IMfedri_"&amp;A41</f>
        <v>IMfedri_Hydrogen-Based Reduction</v>
      </c>
      <c r="R34" t="s">
        <v>2</v>
      </c>
      <c r="S34" cm="1">
        <f t="array" ref="S34">AvgRangePercent(C41,90)*3.6/1000</f>
        <v>0.52200000000000002</v>
      </c>
      <c r="T34" t="s">
        <v>160</v>
      </c>
      <c r="U34">
        <v>1</v>
      </c>
      <c r="V34" cm="1">
        <f t="array" ref="V34">AvgRangePercent(H41,50)</f>
        <v>550</v>
      </c>
      <c r="W34" cm="1">
        <f t="array" ref="W34">AvgRangePercent(I41,50)</f>
        <v>27.5</v>
      </c>
    </row>
    <row r="35" spans="1:26" x14ac:dyDescent="0.4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R35" t="s">
        <v>210</v>
      </c>
      <c r="S35" cm="1">
        <f t="array" ref="S35">AvgRangePercent(G41,50)</f>
        <v>1.45</v>
      </c>
    </row>
    <row r="36" spans="1:26" x14ac:dyDescent="0.4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R36" t="s">
        <v>525</v>
      </c>
      <c r="S36" cm="1">
        <f t="array" ref="S36">AvgRangePercent(G42,50)</f>
        <v>6.5000000000000002E-2</v>
      </c>
    </row>
    <row r="37" spans="1:26" x14ac:dyDescent="0.45">
      <c r="A37" s="5"/>
      <c r="B37" s="5"/>
      <c r="C37" s="5"/>
      <c r="D37" s="5"/>
      <c r="E37" s="5"/>
      <c r="F37" s="5" t="s">
        <v>168</v>
      </c>
      <c r="G37" s="5" t="s">
        <v>227</v>
      </c>
      <c r="H37" s="5"/>
      <c r="I37" s="5"/>
      <c r="J37" s="5"/>
      <c r="K37" s="5"/>
      <c r="L37" s="5"/>
      <c r="M37" s="5"/>
      <c r="N37" s="5"/>
      <c r="Q37" t="str">
        <f>B43</f>
        <v>feUSA</v>
      </c>
      <c r="R37" t="s">
        <v>2</v>
      </c>
      <c r="S37" cm="1">
        <f t="array" ref="S37">AvgRangePercent(C43,90)*3.6/1000</f>
        <v>0.52200000000000002</v>
      </c>
      <c r="T37" t="s">
        <v>160</v>
      </c>
      <c r="U37">
        <v>1</v>
      </c>
      <c r="V37" cm="1">
        <f t="array" ref="V37">AvgRangePercent(H43,50)</f>
        <v>585</v>
      </c>
      <c r="W37" cm="1">
        <f t="array" ref="W37">AvgRangePercent(I43,50)</f>
        <v>27.5</v>
      </c>
    </row>
    <row r="38" spans="1:26" x14ac:dyDescent="0.45">
      <c r="A38" s="5"/>
      <c r="B38" s="5"/>
      <c r="C38" s="5"/>
      <c r="D38" s="5"/>
      <c r="E38" s="5"/>
      <c r="F38" s="5" t="s">
        <v>169</v>
      </c>
      <c r="G38" s="5" t="s">
        <v>170</v>
      </c>
      <c r="H38" s="5"/>
      <c r="I38" s="5"/>
      <c r="J38" s="5"/>
      <c r="K38" s="5"/>
      <c r="L38" s="5"/>
      <c r="M38" s="5"/>
      <c r="N38" s="5"/>
      <c r="Q38" t="str">
        <f>B43</f>
        <v>feUSA</v>
      </c>
      <c r="R38" t="s">
        <v>210</v>
      </c>
      <c r="S38" cm="1">
        <f t="array" ref="S38">AvgRangePercent(G43,50)</f>
        <v>1.45</v>
      </c>
    </row>
    <row r="39" spans="1:26" x14ac:dyDescent="0.45">
      <c r="A39" s="5"/>
      <c r="B39" s="5" t="s">
        <v>134</v>
      </c>
      <c r="C39" s="5" t="s">
        <v>61</v>
      </c>
      <c r="D39" s="5">
        <v>0</v>
      </c>
      <c r="E39" s="5" t="s">
        <v>69</v>
      </c>
      <c r="F39" s="5" t="s">
        <v>165</v>
      </c>
      <c r="G39" s="5" t="s">
        <v>171</v>
      </c>
      <c r="H39" s="5" t="s">
        <v>85</v>
      </c>
      <c r="I39" s="5" t="s">
        <v>355</v>
      </c>
      <c r="J39" s="5" t="s">
        <v>103</v>
      </c>
      <c r="K39" s="5" t="s">
        <v>159</v>
      </c>
      <c r="L39" s="5">
        <v>1</v>
      </c>
      <c r="M39" s="5"/>
      <c r="N39" s="5"/>
      <c r="Q39" t="str">
        <f>B43</f>
        <v>feUSA</v>
      </c>
      <c r="R39" t="s">
        <v>525</v>
      </c>
      <c r="S39" cm="1">
        <f t="array" ref="S39">AvgRangePercent(G44,50)</f>
        <v>5.5000000000000007E-2</v>
      </c>
    </row>
    <row r="40" spans="1:26" x14ac:dyDescent="0.45">
      <c r="A40" s="5"/>
      <c r="B40" s="5"/>
      <c r="C40" s="5"/>
      <c r="D40" s="5"/>
      <c r="E40" s="5"/>
      <c r="F40" s="5" t="s">
        <v>168</v>
      </c>
      <c r="G40" s="5" t="s">
        <v>86</v>
      </c>
      <c r="H40" s="5"/>
      <c r="I40" s="5"/>
      <c r="J40" s="5"/>
      <c r="K40" s="5"/>
      <c r="L40" s="5"/>
      <c r="M40" s="5"/>
      <c r="N40" s="5"/>
      <c r="P40" t="str">
        <f>"IMfedri_"&amp;A48&amp;" with CCS"</f>
        <v>IMfedri_Natural Gas-Based Midrex with CCS</v>
      </c>
      <c r="R40" t="s">
        <v>2</v>
      </c>
      <c r="S40" cm="1">
        <f t="array" ref="S40">AvgRangePercent(C48,90)*3.6/1000</f>
        <v>0.42480000000000001</v>
      </c>
      <c r="T40" t="s">
        <v>160</v>
      </c>
      <c r="U40">
        <v>1</v>
      </c>
      <c r="V40" cm="1">
        <f t="array" ref="V40">AvgRangePercent(H48,50)</f>
        <v>475</v>
      </c>
      <c r="W40" cm="1">
        <f t="array" ref="W40">AvgRangePercent(I48,50)</f>
        <v>50</v>
      </c>
    </row>
    <row r="41" spans="1:26" x14ac:dyDescent="0.45">
      <c r="A41" s="5" t="s">
        <v>172</v>
      </c>
      <c r="B41" s="5" t="s">
        <v>123</v>
      </c>
      <c r="C41" s="5" t="s">
        <v>603</v>
      </c>
      <c r="D41" s="5">
        <v>0</v>
      </c>
      <c r="E41" s="5">
        <v>0</v>
      </c>
      <c r="F41" s="5" t="s">
        <v>157</v>
      </c>
      <c r="G41" s="5" t="s">
        <v>158</v>
      </c>
      <c r="H41" s="5" t="s">
        <v>356</v>
      </c>
      <c r="I41" s="5" t="s">
        <v>236</v>
      </c>
      <c r="J41" s="5">
        <v>0</v>
      </c>
      <c r="K41" s="5" t="s">
        <v>159</v>
      </c>
      <c r="L41" s="5">
        <v>1</v>
      </c>
      <c r="M41" s="5"/>
      <c r="N41" s="5"/>
      <c r="R41" t="s">
        <v>210</v>
      </c>
      <c r="S41" cm="1">
        <f t="array" ref="S41">AvgRangePercent(G22,50)</f>
        <v>1.45</v>
      </c>
    </row>
    <row r="42" spans="1:26" x14ac:dyDescent="0.45">
      <c r="A42" s="5"/>
      <c r="B42" s="5"/>
      <c r="C42" s="5"/>
      <c r="D42" s="5"/>
      <c r="E42" s="5"/>
      <c r="F42" s="5" t="s">
        <v>173</v>
      </c>
      <c r="G42" s="5" t="s">
        <v>174</v>
      </c>
      <c r="H42" s="5"/>
      <c r="I42" s="5"/>
      <c r="J42" s="5"/>
      <c r="K42" s="5"/>
      <c r="L42" s="5"/>
      <c r="M42" s="5"/>
      <c r="N42" s="5"/>
      <c r="R42" t="s">
        <v>524</v>
      </c>
      <c r="S42">
        <f>S24</f>
        <v>0.22</v>
      </c>
    </row>
    <row r="43" spans="1:26" x14ac:dyDescent="0.45">
      <c r="A43" s="5"/>
      <c r="B43" s="5" t="s">
        <v>489</v>
      </c>
      <c r="C43" s="5" t="s">
        <v>603</v>
      </c>
      <c r="D43" s="5">
        <v>0</v>
      </c>
      <c r="E43" s="5">
        <v>0</v>
      </c>
      <c r="F43" s="5" t="s">
        <v>157</v>
      </c>
      <c r="G43" s="5" t="s">
        <v>158</v>
      </c>
      <c r="H43" s="5" t="s">
        <v>357</v>
      </c>
      <c r="I43" s="5" t="s">
        <v>236</v>
      </c>
      <c r="J43" s="5">
        <v>0</v>
      </c>
      <c r="K43" s="5" t="s">
        <v>159</v>
      </c>
      <c r="L43" s="5">
        <v>1</v>
      </c>
      <c r="M43" s="5"/>
      <c r="N43" s="5"/>
      <c r="Q43" t="str">
        <f>B51</f>
        <v>feBrazil</v>
      </c>
      <c r="R43" t="s">
        <v>2</v>
      </c>
      <c r="S43" cm="1">
        <f t="array" ref="S43">AvgRangePercent(C51,90)*3.6/1000</f>
        <v>0.46079999999999999</v>
      </c>
      <c r="T43" t="s">
        <v>160</v>
      </c>
      <c r="U43">
        <v>1</v>
      </c>
      <c r="V43" cm="1">
        <f t="array" ref="V43">AvgRangePercent(H51,50)</f>
        <v>440</v>
      </c>
      <c r="W43" cm="1">
        <f t="array" ref="W43">AvgRangePercent(I51,50)</f>
        <v>45</v>
      </c>
    </row>
    <row r="44" spans="1:26" x14ac:dyDescent="0.45">
      <c r="A44" s="5"/>
      <c r="B44" s="5"/>
      <c r="C44" s="5"/>
      <c r="D44" s="5"/>
      <c r="E44" s="5"/>
      <c r="F44" s="5" t="s">
        <v>173</v>
      </c>
      <c r="G44" s="5" t="s">
        <v>176</v>
      </c>
      <c r="H44" s="5"/>
      <c r="I44" s="5"/>
      <c r="J44" s="5"/>
      <c r="K44" s="5"/>
      <c r="L44" s="5"/>
      <c r="M44" s="5"/>
      <c r="N44" s="5"/>
      <c r="Q44" t="str">
        <f>B51</f>
        <v>feBrazil</v>
      </c>
      <c r="R44" t="s">
        <v>210</v>
      </c>
      <c r="S44" cm="1">
        <f t="array" ref="S44">AvgRangePercent(G28,50)</f>
        <v>1.35</v>
      </c>
      <c r="Y44" s="4"/>
      <c r="Z44" s="4"/>
    </row>
    <row r="45" spans="1:26" x14ac:dyDescent="0.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Q45" t="str">
        <f>B51</f>
        <v>feBrazil</v>
      </c>
      <c r="R45" t="s">
        <v>524</v>
      </c>
      <c r="S45">
        <f>S27</f>
        <v>0.2</v>
      </c>
      <c r="Y45" s="4"/>
      <c r="Z45" s="4"/>
    </row>
    <row r="46" spans="1:26" x14ac:dyDescent="0.4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P46" t="str">
        <f>"IMfedri_"&amp;A54&amp;" with CCS"</f>
        <v>IMfedri_Coal-Based Rotary Kiln with CCS</v>
      </c>
      <c r="R46" t="s">
        <v>2</v>
      </c>
      <c r="S46" cm="1">
        <f t="array" ref="S46">AvgRangePercent(C54,90)*3.6/1000</f>
        <v>0.31680000000000003</v>
      </c>
      <c r="T46" t="s">
        <v>160</v>
      </c>
      <c r="U46">
        <v>1</v>
      </c>
      <c r="V46" cm="1">
        <f t="array" ref="V46">AvgRangePercent(H54,50)</f>
        <v>325</v>
      </c>
      <c r="W46" cm="1">
        <f t="array" ref="W46">AvgRangePercent(I54,50)</f>
        <v>32.5</v>
      </c>
    </row>
    <row r="47" spans="1:26" x14ac:dyDescent="0.45">
      <c r="A47" s="4" t="s">
        <v>44</v>
      </c>
      <c r="B47" s="4" t="s">
        <v>45</v>
      </c>
      <c r="C47" s="4" t="s">
        <v>147</v>
      </c>
      <c r="D47" s="4" t="s">
        <v>148</v>
      </c>
      <c r="E47" s="4" t="s">
        <v>149</v>
      </c>
      <c r="F47" s="4" t="s">
        <v>51</v>
      </c>
      <c r="G47" s="4"/>
      <c r="H47" s="4" t="s">
        <v>151</v>
      </c>
      <c r="I47" s="4" t="s">
        <v>152</v>
      </c>
      <c r="J47" s="4" t="s">
        <v>367</v>
      </c>
      <c r="K47" s="4" t="s">
        <v>77</v>
      </c>
      <c r="L47" s="4" t="s">
        <v>363</v>
      </c>
      <c r="M47" s="4"/>
      <c r="N47" s="4"/>
      <c r="O47" s="5"/>
      <c r="R47" t="s">
        <v>210</v>
      </c>
      <c r="S47" cm="1">
        <f t="array" ref="S47">AvgRangePercent(G34,50)</f>
        <v>1.5</v>
      </c>
    </row>
    <row r="48" spans="1:26" x14ac:dyDescent="0.45">
      <c r="A48" s="7" t="s">
        <v>154</v>
      </c>
      <c r="B48" s="7" t="s">
        <v>123</v>
      </c>
      <c r="C48" s="5" t="s">
        <v>162</v>
      </c>
      <c r="D48" s="5" t="s">
        <v>143</v>
      </c>
      <c r="E48" s="5" t="s">
        <v>382</v>
      </c>
      <c r="F48" s="5" t="s">
        <v>368</v>
      </c>
      <c r="G48" s="5"/>
      <c r="H48" s="5" t="s">
        <v>383</v>
      </c>
      <c r="I48" s="5" t="s">
        <v>384</v>
      </c>
      <c r="J48" s="5" t="s">
        <v>369</v>
      </c>
      <c r="K48" s="5" t="s">
        <v>159</v>
      </c>
      <c r="L48" s="5" t="s">
        <v>370</v>
      </c>
      <c r="M48" s="5"/>
      <c r="N48" s="5"/>
      <c r="O48" s="5"/>
      <c r="R48" t="s">
        <v>526</v>
      </c>
      <c r="S48" cm="1">
        <f t="array" ref="S48">AvgRangePercent(G37,50)</f>
        <v>1</v>
      </c>
    </row>
    <row r="49" spans="1:26" x14ac:dyDescent="0.45">
      <c r="A49" s="7"/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Q49" t="str">
        <f>B57</f>
        <v>feChina</v>
      </c>
      <c r="R49" t="s">
        <v>2</v>
      </c>
      <c r="S49" cm="1">
        <f t="array" ref="S49">AvgRangePercent(C57,90)*3.6/1000</f>
        <v>0.31680000000000003</v>
      </c>
      <c r="T49" t="s">
        <v>160</v>
      </c>
      <c r="U49">
        <v>1</v>
      </c>
      <c r="V49" cm="1">
        <f t="array" ref="V49">AvgRangePercent(H57,50)</f>
        <v>305</v>
      </c>
      <c r="W49" cm="1">
        <f t="array" ref="W49">AvgRangePercent(I57,50)</f>
        <v>32.5</v>
      </c>
    </row>
    <row r="50" spans="1:26" x14ac:dyDescent="0.45">
      <c r="A50" s="7"/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Q50" t="str">
        <f>B57</f>
        <v>feChina</v>
      </c>
      <c r="R50" t="s">
        <v>210</v>
      </c>
      <c r="S50" cm="1">
        <f t="array" ref="S50">AvgRangePercent(G39,50)</f>
        <v>1.2999999999999998</v>
      </c>
    </row>
    <row r="51" spans="1:26" x14ac:dyDescent="0.45">
      <c r="A51" s="5"/>
      <c r="B51" s="7" t="s">
        <v>128</v>
      </c>
      <c r="C51" s="5" t="s">
        <v>385</v>
      </c>
      <c r="D51" s="5" t="s">
        <v>386</v>
      </c>
      <c r="E51" s="5" t="s">
        <v>387</v>
      </c>
      <c r="F51" s="5" t="s">
        <v>368</v>
      </c>
      <c r="G51" s="5"/>
      <c r="H51" s="5" t="s">
        <v>388</v>
      </c>
      <c r="I51" s="5" t="s">
        <v>389</v>
      </c>
      <c r="J51" s="5" t="s">
        <v>371</v>
      </c>
      <c r="K51" s="5" t="s">
        <v>159</v>
      </c>
      <c r="L51" s="5" t="s">
        <v>372</v>
      </c>
      <c r="M51" s="5"/>
      <c r="N51" s="5"/>
      <c r="O51" s="5"/>
      <c r="Q51" t="str">
        <f>B57</f>
        <v>feChina</v>
      </c>
      <c r="R51" t="s">
        <v>526</v>
      </c>
      <c r="S51" cm="1">
        <f t="array" ref="S51">AvgRangePercent(G40,50)</f>
        <v>0.9</v>
      </c>
    </row>
    <row r="52" spans="1:26" x14ac:dyDescent="0.45">
      <c r="A52" s="5"/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26" x14ac:dyDescent="0.45">
      <c r="A53" s="5"/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26" x14ac:dyDescent="0.45">
      <c r="A54" s="7" t="s">
        <v>164</v>
      </c>
      <c r="B54" s="7" t="s">
        <v>80</v>
      </c>
      <c r="C54" s="5" t="s">
        <v>390</v>
      </c>
      <c r="D54" s="5" t="s">
        <v>143</v>
      </c>
      <c r="E54" s="5" t="s">
        <v>391</v>
      </c>
      <c r="F54" s="5" t="s">
        <v>373</v>
      </c>
      <c r="G54" s="5"/>
      <c r="H54" s="5" t="s">
        <v>392</v>
      </c>
      <c r="I54" s="5" t="s">
        <v>393</v>
      </c>
      <c r="J54" s="5" t="s">
        <v>374</v>
      </c>
      <c r="K54" s="5" t="s">
        <v>159</v>
      </c>
      <c r="L54" s="5" t="s">
        <v>375</v>
      </c>
      <c r="M54" s="5"/>
      <c r="N54" s="5"/>
      <c r="O54" s="5"/>
    </row>
    <row r="55" spans="1:26" x14ac:dyDescent="0.45">
      <c r="A55" s="7"/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26" ht="17.649999999999999" x14ac:dyDescent="0.45">
      <c r="A56" s="7"/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3" t="s">
        <v>641</v>
      </c>
    </row>
    <row r="57" spans="1:26" x14ac:dyDescent="0.45">
      <c r="A57" s="5"/>
      <c r="B57" s="7" t="s">
        <v>134</v>
      </c>
      <c r="C57" s="5" t="s">
        <v>390</v>
      </c>
      <c r="D57" s="5" t="s">
        <v>143</v>
      </c>
      <c r="E57" s="5" t="s">
        <v>394</v>
      </c>
      <c r="F57" s="5" t="s">
        <v>376</v>
      </c>
      <c r="G57" s="5"/>
      <c r="H57" s="5" t="s">
        <v>395</v>
      </c>
      <c r="I57" s="5" t="s">
        <v>393</v>
      </c>
      <c r="J57" s="5" t="s">
        <v>377</v>
      </c>
      <c r="K57" s="5" t="s">
        <v>159</v>
      </c>
      <c r="L57" s="5" t="s">
        <v>378</v>
      </c>
      <c r="M57" s="5"/>
      <c r="N57" s="5"/>
      <c r="O57" s="5"/>
    </row>
    <row r="58" spans="1:26" x14ac:dyDescent="0.45">
      <c r="A58" s="7" t="s">
        <v>172</v>
      </c>
      <c r="B58" s="7" t="s">
        <v>123</v>
      </c>
      <c r="C58" s="5" t="s">
        <v>362</v>
      </c>
      <c r="D58" s="5">
        <v>0</v>
      </c>
      <c r="E58" s="5">
        <v>0</v>
      </c>
      <c r="F58" s="5" t="s">
        <v>379</v>
      </c>
      <c r="G58" s="5"/>
      <c r="H58" s="5" t="s">
        <v>396</v>
      </c>
      <c r="I58" s="5" t="s">
        <v>397</v>
      </c>
      <c r="J58" s="5">
        <v>0</v>
      </c>
      <c r="K58" s="5" t="s">
        <v>159</v>
      </c>
      <c r="L58" s="5" t="s">
        <v>381</v>
      </c>
      <c r="M58" s="5"/>
      <c r="N58" s="5"/>
      <c r="O58" s="5"/>
    </row>
    <row r="59" spans="1:26" x14ac:dyDescent="0.45">
      <c r="A59" s="5"/>
      <c r="B59" s="7" t="s">
        <v>489</v>
      </c>
      <c r="C59" s="5" t="s">
        <v>175</v>
      </c>
      <c r="D59" s="5">
        <v>0</v>
      </c>
      <c r="E59" s="5">
        <v>0</v>
      </c>
      <c r="F59" s="5" t="s">
        <v>379</v>
      </c>
      <c r="G59" s="5"/>
      <c r="H59" s="5" t="s">
        <v>398</v>
      </c>
      <c r="I59" s="5" t="s">
        <v>397</v>
      </c>
      <c r="J59" s="5">
        <v>0</v>
      </c>
      <c r="K59" s="5" t="s">
        <v>159</v>
      </c>
      <c r="L59" s="5" t="s">
        <v>381</v>
      </c>
      <c r="M59" s="5"/>
      <c r="N59" s="5"/>
      <c r="O59" s="5"/>
      <c r="P59" s="22" t="s">
        <v>81</v>
      </c>
    </row>
    <row r="60" spans="1:26" x14ac:dyDescent="0.4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P60" s="4" t="s">
        <v>3</v>
      </c>
      <c r="Q60" s="4" t="s">
        <v>74</v>
      </c>
      <c r="R60" s="4" t="s">
        <v>527</v>
      </c>
      <c r="S60" s="4" t="s">
        <v>627</v>
      </c>
      <c r="T60" s="4" t="s">
        <v>6</v>
      </c>
      <c r="U60" s="4" t="s">
        <v>4</v>
      </c>
      <c r="V60" s="4" t="s">
        <v>33</v>
      </c>
      <c r="Y60" s="4"/>
      <c r="Z60" s="4"/>
    </row>
    <row r="61" spans="1:26" ht="17.649999999999999" x14ac:dyDescent="0.45">
      <c r="A61" s="3" t="s">
        <v>399</v>
      </c>
      <c r="E61" s="5"/>
      <c r="F61" s="5"/>
      <c r="G61" s="5"/>
      <c r="H61" s="5"/>
      <c r="I61" s="5"/>
      <c r="J61" s="5"/>
      <c r="K61" s="5"/>
      <c r="L61" s="5"/>
      <c r="M61" s="5"/>
      <c r="N61" s="5"/>
      <c r="P61" t="str">
        <f>"IMfedri_"&amp;A82</f>
        <v>IMfedri_Cooling Systems</v>
      </c>
      <c r="R61" t="s">
        <v>2</v>
      </c>
      <c r="S61" cm="1">
        <f t="array" ref="S61">AvgRangePercent(C82,90)*3.6/1000</f>
        <v>3.4200000000000001E-2</v>
      </c>
      <c r="T61" t="s">
        <v>185</v>
      </c>
      <c r="U61" cm="1">
        <f t="array" ref="U61">AvgRangePercent(G82,50)</f>
        <v>120</v>
      </c>
      <c r="V61" cm="1">
        <f t="array" ref="V61">AvgRangePercent(H82,50)</f>
        <v>3</v>
      </c>
      <c r="Y61" s="4"/>
      <c r="Z61" s="4"/>
    </row>
    <row r="62" spans="1:26" x14ac:dyDescent="0.45">
      <c r="E62" s="5"/>
      <c r="F62" s="5"/>
      <c r="G62" s="5"/>
      <c r="H62" s="5"/>
      <c r="I62" s="5"/>
      <c r="J62" s="5"/>
      <c r="K62" s="5"/>
      <c r="L62" s="5"/>
      <c r="M62" s="5"/>
      <c r="N62" s="5"/>
      <c r="R62" t="s">
        <v>160</v>
      </c>
      <c r="S62">
        <v>1</v>
      </c>
      <c r="Y62" s="4"/>
      <c r="Z62" s="4"/>
    </row>
    <row r="63" spans="1:26" x14ac:dyDescent="0.45">
      <c r="A63" s="4" t="s">
        <v>43</v>
      </c>
      <c r="B63" s="4" t="s">
        <v>154</v>
      </c>
      <c r="C63" s="4" t="s">
        <v>164</v>
      </c>
      <c r="D63" s="4" t="s">
        <v>172</v>
      </c>
      <c r="E63" s="5"/>
      <c r="F63" s="5"/>
      <c r="G63" s="5"/>
      <c r="H63" s="5"/>
      <c r="I63" s="5"/>
      <c r="J63" s="5"/>
      <c r="K63" s="5"/>
      <c r="L63" s="5"/>
      <c r="M63" s="5"/>
      <c r="N63" s="5"/>
      <c r="R63" t="s">
        <v>88</v>
      </c>
      <c r="S63" cm="1">
        <f t="array" ref="S63">AvgRangePercent(F82,50)</f>
        <v>0.75</v>
      </c>
      <c r="Y63" s="4"/>
      <c r="Z63" s="4"/>
    </row>
    <row r="64" spans="1:26" x14ac:dyDescent="0.45">
      <c r="A64" s="25" t="s">
        <v>147</v>
      </c>
      <c r="B64" s="7" t="s">
        <v>400</v>
      </c>
      <c r="C64" s="7" t="s">
        <v>402</v>
      </c>
      <c r="D64" s="7" t="s">
        <v>404</v>
      </c>
      <c r="E64" s="5"/>
      <c r="F64" s="5"/>
      <c r="G64" s="5"/>
      <c r="H64" s="5"/>
      <c r="I64" s="5"/>
      <c r="J64" s="5"/>
      <c r="K64" s="5"/>
      <c r="L64" s="5"/>
      <c r="M64" s="5"/>
      <c r="N64" s="5"/>
      <c r="Q64" t="str">
        <f>B85</f>
        <v>feIndia</v>
      </c>
      <c r="R64" t="s">
        <v>2</v>
      </c>
      <c r="S64" cm="1">
        <f t="array" ref="S64">AvgRangePercent(C85,90)*3.6/1000</f>
        <v>2.7720000000000002E-2</v>
      </c>
      <c r="T64" t="s">
        <v>185</v>
      </c>
      <c r="U64" cm="1">
        <f t="array" ref="U64">AvgRangePercent(G85,50)</f>
        <v>95</v>
      </c>
      <c r="V64" cm="1">
        <f t="array" ref="V64">AvgRangePercent(H85,50)</f>
        <v>2.5</v>
      </c>
      <c r="Y64" s="4"/>
      <c r="Z64" s="4"/>
    </row>
    <row r="65" spans="1:26" x14ac:dyDescent="0.45">
      <c r="A65" s="25"/>
      <c r="B65" s="7" t="s">
        <v>401</v>
      </c>
      <c r="C65" s="7" t="s">
        <v>403</v>
      </c>
      <c r="D65" s="7" t="s">
        <v>405</v>
      </c>
      <c r="E65" s="5"/>
      <c r="F65" s="5"/>
      <c r="G65" s="5"/>
      <c r="H65" s="5"/>
      <c r="I65" s="5"/>
      <c r="J65" s="5"/>
      <c r="K65" s="5"/>
      <c r="L65" s="5"/>
      <c r="M65" s="5"/>
      <c r="N65" s="5"/>
      <c r="Q65" t="str">
        <f>B85</f>
        <v>feIndia</v>
      </c>
      <c r="R65" t="s">
        <v>160</v>
      </c>
      <c r="S65">
        <v>1</v>
      </c>
      <c r="Y65" s="4"/>
      <c r="Z65" s="4"/>
    </row>
    <row r="66" spans="1:26" x14ac:dyDescent="0.45">
      <c r="A66" s="25" t="s">
        <v>149</v>
      </c>
      <c r="B66" s="7" t="s">
        <v>406</v>
      </c>
      <c r="C66" s="7" t="s">
        <v>408</v>
      </c>
      <c r="D66" s="26">
        <v>0</v>
      </c>
      <c r="E66" s="5"/>
      <c r="F66" s="5"/>
      <c r="G66" s="5"/>
      <c r="H66" s="5"/>
      <c r="I66" s="5"/>
      <c r="J66" s="5"/>
      <c r="K66" s="5"/>
      <c r="L66" s="5"/>
      <c r="M66" s="5"/>
      <c r="N66" s="5"/>
      <c r="Q66" t="str">
        <f>B85</f>
        <v>feIndia</v>
      </c>
      <c r="R66" t="s">
        <v>88</v>
      </c>
      <c r="S66" cm="1">
        <f t="array" ref="S66">AvgRangePercent(F85,50)</f>
        <v>0.89999999999999991</v>
      </c>
      <c r="Y66" s="4"/>
      <c r="Z66" s="4"/>
    </row>
    <row r="67" spans="1:26" x14ac:dyDescent="0.45">
      <c r="A67" s="25"/>
      <c r="B67" s="7" t="s">
        <v>407</v>
      </c>
      <c r="C67" s="7" t="s">
        <v>409</v>
      </c>
      <c r="D67" s="26"/>
      <c r="E67" s="5"/>
      <c r="F67" s="5"/>
      <c r="G67" s="5"/>
      <c r="H67" s="5"/>
      <c r="I67" s="5"/>
      <c r="J67" s="5"/>
      <c r="K67" s="5"/>
      <c r="L67" s="5"/>
      <c r="M67" s="5"/>
      <c r="N67" s="5"/>
      <c r="Y67" s="4"/>
      <c r="Z67" s="4"/>
    </row>
    <row r="68" spans="1:26" x14ac:dyDescent="0.45">
      <c r="A68" s="25" t="s">
        <v>148</v>
      </c>
      <c r="B68" s="7" t="s">
        <v>410</v>
      </c>
      <c r="C68" s="7" t="s">
        <v>410</v>
      </c>
      <c r="D68" s="26">
        <v>0</v>
      </c>
      <c r="E68" s="5"/>
      <c r="F68" s="5"/>
      <c r="G68" s="5"/>
      <c r="H68" s="5"/>
      <c r="I68" s="5"/>
      <c r="J68" s="5"/>
      <c r="K68" s="5"/>
      <c r="L68" s="5"/>
      <c r="M68" s="5"/>
      <c r="N68" s="5"/>
      <c r="Y68" s="4"/>
      <c r="Z68" s="4"/>
    </row>
    <row r="69" spans="1:26" x14ac:dyDescent="0.45">
      <c r="A69" s="25"/>
      <c r="B69" s="7" t="s">
        <v>411</v>
      </c>
      <c r="C69" s="7" t="s">
        <v>411</v>
      </c>
      <c r="D69" s="26"/>
      <c r="E69" s="5"/>
      <c r="F69" s="5"/>
      <c r="G69" s="5"/>
      <c r="H69" s="5"/>
      <c r="I69" s="5"/>
      <c r="J69" s="5"/>
      <c r="K69" s="5"/>
      <c r="L69" s="5"/>
      <c r="M69" s="5"/>
      <c r="N69" s="5"/>
      <c r="Y69" s="4"/>
      <c r="Z69" s="4"/>
    </row>
    <row r="70" spans="1:26" x14ac:dyDescent="0.45">
      <c r="A70" s="25" t="s">
        <v>151</v>
      </c>
      <c r="B70" s="7" t="s">
        <v>412</v>
      </c>
      <c r="C70" s="7" t="s">
        <v>414</v>
      </c>
      <c r="D70" s="26" t="s">
        <v>416</v>
      </c>
      <c r="E70" s="5"/>
      <c r="F70" s="5"/>
      <c r="G70" s="5"/>
      <c r="H70" s="5"/>
      <c r="I70" s="5"/>
      <c r="J70" s="5"/>
      <c r="K70" s="5"/>
      <c r="L70" s="5"/>
      <c r="M70" s="5"/>
      <c r="N70" s="5"/>
      <c r="Y70" s="4"/>
      <c r="Z70" s="4"/>
    </row>
    <row r="71" spans="1:26" x14ac:dyDescent="0.45">
      <c r="A71" s="25"/>
      <c r="B71" s="7" t="s">
        <v>413</v>
      </c>
      <c r="C71" s="7" t="s">
        <v>415</v>
      </c>
      <c r="D71" s="26"/>
      <c r="E71" s="5"/>
      <c r="F71" s="5"/>
      <c r="G71" s="5"/>
      <c r="H71" s="5"/>
      <c r="I71" s="5"/>
      <c r="J71" s="5"/>
      <c r="K71" s="5"/>
      <c r="L71" s="5"/>
      <c r="M71" s="5"/>
      <c r="N71" s="5"/>
      <c r="Y71" s="4"/>
      <c r="Z71" s="4"/>
    </row>
    <row r="72" spans="1:26" x14ac:dyDescent="0.45">
      <c r="A72" s="25" t="s">
        <v>152</v>
      </c>
      <c r="B72" s="7" t="s">
        <v>417</v>
      </c>
      <c r="C72" s="7" t="s">
        <v>419</v>
      </c>
      <c r="D72" s="26" t="s">
        <v>380</v>
      </c>
      <c r="E72" s="5"/>
      <c r="F72" s="5"/>
      <c r="G72" s="5"/>
      <c r="H72" s="5"/>
      <c r="I72" s="5"/>
      <c r="J72" s="5"/>
      <c r="K72" s="5"/>
      <c r="L72" s="5"/>
      <c r="M72" s="5"/>
      <c r="N72" s="5"/>
      <c r="Y72" s="4"/>
      <c r="Z72" s="4"/>
    </row>
    <row r="73" spans="1:26" x14ac:dyDescent="0.45">
      <c r="A73" s="25"/>
      <c r="B73" s="7" t="s">
        <v>418</v>
      </c>
      <c r="C73" s="7" t="s">
        <v>420</v>
      </c>
      <c r="D73" s="26"/>
      <c r="E73" s="5"/>
      <c r="F73" s="5"/>
      <c r="G73" s="5"/>
      <c r="H73" s="5"/>
      <c r="I73" s="5"/>
      <c r="J73" s="5"/>
      <c r="K73" s="5"/>
      <c r="L73" s="5"/>
      <c r="M73" s="5"/>
      <c r="N73" s="5"/>
      <c r="Y73" s="4"/>
      <c r="Z73" s="4"/>
    </row>
    <row r="74" spans="1:26" x14ac:dyDescent="0.45">
      <c r="A74" s="25" t="s">
        <v>367</v>
      </c>
      <c r="B74" s="7" t="s">
        <v>421</v>
      </c>
      <c r="C74" s="7" t="s">
        <v>423</v>
      </c>
      <c r="D74" s="26">
        <v>0</v>
      </c>
      <c r="E74" s="5"/>
      <c r="F74" s="5"/>
      <c r="G74" s="5"/>
      <c r="H74" s="5"/>
      <c r="I74" s="5"/>
      <c r="J74" s="5"/>
      <c r="K74" s="5"/>
      <c r="L74" s="5"/>
      <c r="M74" s="5"/>
      <c r="N74" s="5"/>
      <c r="Y74" s="4"/>
      <c r="Z74" s="4"/>
    </row>
    <row r="75" spans="1:26" x14ac:dyDescent="0.45">
      <c r="A75" s="25"/>
      <c r="B75" s="7" t="s">
        <v>422</v>
      </c>
      <c r="C75" s="7" t="s">
        <v>424</v>
      </c>
      <c r="D75" s="26"/>
      <c r="E75" s="5"/>
      <c r="F75" s="5"/>
      <c r="G75" s="5"/>
      <c r="H75" s="5"/>
      <c r="I75" s="5"/>
      <c r="J75" s="5"/>
      <c r="K75" s="5"/>
      <c r="L75" s="5"/>
      <c r="M75" s="5"/>
      <c r="N75" s="5"/>
      <c r="Y75" s="4"/>
      <c r="Z75" s="4"/>
    </row>
    <row r="77" spans="1:26" ht="17.649999999999999" x14ac:dyDescent="0.45">
      <c r="A77" s="3" t="s">
        <v>177</v>
      </c>
    </row>
    <row r="79" spans="1:26" x14ac:dyDescent="0.45">
      <c r="A79" s="1" t="s">
        <v>178</v>
      </c>
    </row>
    <row r="81" spans="1:11" x14ac:dyDescent="0.45">
      <c r="A81" s="4" t="s">
        <v>44</v>
      </c>
      <c r="B81" s="4" t="s">
        <v>45</v>
      </c>
      <c r="C81" s="4" t="s">
        <v>147</v>
      </c>
      <c r="D81" s="4" t="s">
        <v>149</v>
      </c>
      <c r="E81" s="4" t="s">
        <v>51</v>
      </c>
      <c r="F81" s="4" t="s">
        <v>119</v>
      </c>
      <c r="G81" s="4" t="s">
        <v>151</v>
      </c>
      <c r="H81" s="4" t="s">
        <v>179</v>
      </c>
      <c r="I81" s="4" t="s">
        <v>153</v>
      </c>
      <c r="J81" s="4" t="s">
        <v>77</v>
      </c>
      <c r="K81" s="4" t="s">
        <v>52</v>
      </c>
    </row>
    <row r="82" spans="1:11" x14ac:dyDescent="0.45">
      <c r="A82" s="5" t="s">
        <v>180</v>
      </c>
      <c r="B82" s="5" t="s">
        <v>123</v>
      </c>
      <c r="C82" s="10" t="s">
        <v>75</v>
      </c>
      <c r="D82" s="5">
        <v>0</v>
      </c>
      <c r="E82" s="5" t="s">
        <v>181</v>
      </c>
      <c r="F82" s="5" t="s">
        <v>124</v>
      </c>
      <c r="G82" s="10" t="s">
        <v>358</v>
      </c>
      <c r="H82" s="10" t="s">
        <v>183</v>
      </c>
      <c r="I82" s="5">
        <v>0</v>
      </c>
      <c r="J82" s="5" t="s">
        <v>184</v>
      </c>
      <c r="K82" s="5">
        <v>1</v>
      </c>
    </row>
    <row r="83" spans="1:11" x14ac:dyDescent="0.45">
      <c r="A83" s="5"/>
      <c r="B83" s="5"/>
      <c r="C83" s="10"/>
      <c r="D83" s="5"/>
      <c r="E83" s="5"/>
      <c r="F83" s="5"/>
      <c r="G83" s="10"/>
      <c r="H83" s="10"/>
      <c r="I83" s="5"/>
      <c r="J83" s="5"/>
      <c r="K83" s="5"/>
    </row>
    <row r="84" spans="1:11" x14ac:dyDescent="0.45">
      <c r="A84" s="5"/>
      <c r="B84" s="5"/>
      <c r="C84" s="10"/>
      <c r="D84" s="5"/>
      <c r="E84" s="5"/>
      <c r="F84" s="5"/>
      <c r="G84" s="10"/>
      <c r="H84" s="10"/>
      <c r="I84" s="5"/>
      <c r="J84" s="5"/>
      <c r="K84" s="5"/>
    </row>
    <row r="85" spans="1:11" x14ac:dyDescent="0.45">
      <c r="A85" s="5"/>
      <c r="B85" s="5" t="s">
        <v>129</v>
      </c>
      <c r="C85" s="10" t="s">
        <v>182</v>
      </c>
      <c r="D85" s="5">
        <v>0</v>
      </c>
      <c r="E85" s="5" t="s">
        <v>186</v>
      </c>
      <c r="F85" s="5" t="s">
        <v>130</v>
      </c>
      <c r="G85" s="10" t="s">
        <v>65</v>
      </c>
      <c r="H85" s="10" t="s">
        <v>79</v>
      </c>
      <c r="I85" s="5">
        <v>0</v>
      </c>
      <c r="J85" s="5" t="s">
        <v>184</v>
      </c>
      <c r="K85" s="5">
        <v>1</v>
      </c>
    </row>
    <row r="86" spans="1:11" x14ac:dyDescent="0.45">
      <c r="A86" s="5"/>
      <c r="B86" s="5"/>
      <c r="C86" s="10"/>
      <c r="D86" s="5"/>
      <c r="E86" s="5"/>
      <c r="F86" s="5"/>
      <c r="G86" s="10"/>
      <c r="H86" s="10"/>
      <c r="I86" s="5"/>
      <c r="J86" s="5"/>
      <c r="K86" s="5"/>
    </row>
    <row r="87" spans="1:11" x14ac:dyDescent="0.45">
      <c r="A87" s="5"/>
      <c r="B87" s="5"/>
      <c r="C87" s="10"/>
      <c r="D87" s="5"/>
      <c r="E87" s="5"/>
      <c r="F87" s="5"/>
      <c r="G87" s="10"/>
      <c r="H87" s="10"/>
      <c r="I87" s="5"/>
      <c r="J87" s="5"/>
      <c r="K87" s="5"/>
    </row>
    <row r="88" spans="1:11" x14ac:dyDescent="0.45">
      <c r="A88" s="5" t="s">
        <v>187</v>
      </c>
      <c r="B88" s="5" t="s">
        <v>123</v>
      </c>
      <c r="C88" s="5" t="s">
        <v>68</v>
      </c>
      <c r="D88" s="5">
        <v>0</v>
      </c>
      <c r="E88" s="5" t="s">
        <v>188</v>
      </c>
      <c r="F88" s="5">
        <v>0.05</v>
      </c>
      <c r="G88" s="10" t="s">
        <v>54</v>
      </c>
      <c r="H88" s="10" t="s">
        <v>189</v>
      </c>
      <c r="I88" s="5">
        <v>0</v>
      </c>
      <c r="J88" s="5" t="s">
        <v>190</v>
      </c>
      <c r="K88" s="5">
        <v>1</v>
      </c>
    </row>
    <row r="89" spans="1:11" x14ac:dyDescent="0.45">
      <c r="A89" s="5"/>
      <c r="B89" s="5" t="s">
        <v>128</v>
      </c>
      <c r="C89" s="5" t="s">
        <v>73</v>
      </c>
      <c r="D89" s="5">
        <v>0</v>
      </c>
      <c r="E89" s="5" t="s">
        <v>191</v>
      </c>
      <c r="F89" s="5">
        <v>0.04</v>
      </c>
      <c r="G89" s="10" t="s">
        <v>53</v>
      </c>
      <c r="H89" s="10" t="s">
        <v>189</v>
      </c>
      <c r="I89" s="5">
        <v>0</v>
      </c>
      <c r="J89" s="5" t="s">
        <v>190</v>
      </c>
      <c r="K89" s="5">
        <v>1</v>
      </c>
    </row>
    <row r="92" spans="1:11" ht="17.649999999999999" x14ac:dyDescent="0.45">
      <c r="A92" s="3" t="s">
        <v>192</v>
      </c>
    </row>
    <row r="94" spans="1:11" x14ac:dyDescent="0.45">
      <c r="A94" s="1" t="s">
        <v>193</v>
      </c>
    </row>
    <row r="96" spans="1:11" x14ac:dyDescent="0.45">
      <c r="A96" s="4" t="s">
        <v>44</v>
      </c>
      <c r="B96" s="4" t="s">
        <v>45</v>
      </c>
      <c r="C96" s="4" t="s">
        <v>147</v>
      </c>
      <c r="D96" s="4" t="s">
        <v>149</v>
      </c>
      <c r="E96" s="4" t="s">
        <v>51</v>
      </c>
      <c r="F96" s="4" t="s">
        <v>119</v>
      </c>
      <c r="G96" s="4" t="s">
        <v>151</v>
      </c>
      <c r="H96" s="4" t="s">
        <v>179</v>
      </c>
      <c r="I96" s="4" t="s">
        <v>153</v>
      </c>
      <c r="J96" s="4" t="s">
        <v>77</v>
      </c>
      <c r="K96" s="4" t="s">
        <v>52</v>
      </c>
    </row>
    <row r="97" spans="1:11" x14ac:dyDescent="0.45">
      <c r="A97" s="5" t="s">
        <v>194</v>
      </c>
      <c r="B97" s="5" t="s">
        <v>123</v>
      </c>
      <c r="C97" s="5">
        <v>0</v>
      </c>
      <c r="D97" s="5" t="s">
        <v>195</v>
      </c>
      <c r="E97" s="5" t="s">
        <v>184</v>
      </c>
      <c r="F97" s="5">
        <v>1</v>
      </c>
      <c r="G97" s="10" t="s">
        <v>75</v>
      </c>
      <c r="H97" s="10" t="s">
        <v>183</v>
      </c>
      <c r="I97" s="5" t="s">
        <v>196</v>
      </c>
      <c r="J97" s="5" t="s">
        <v>197</v>
      </c>
      <c r="K97" s="5">
        <v>1</v>
      </c>
    </row>
    <row r="98" spans="1:11" x14ac:dyDescent="0.45">
      <c r="A98" s="5"/>
      <c r="B98" s="5" t="s">
        <v>129</v>
      </c>
      <c r="C98" s="5">
        <v>0</v>
      </c>
      <c r="D98" s="5" t="s">
        <v>198</v>
      </c>
      <c r="E98" s="5" t="s">
        <v>184</v>
      </c>
      <c r="F98" s="5">
        <v>1</v>
      </c>
      <c r="G98" s="10" t="s">
        <v>63</v>
      </c>
      <c r="H98" s="10" t="s">
        <v>82</v>
      </c>
      <c r="I98" s="5" t="s">
        <v>199</v>
      </c>
      <c r="J98" s="5" t="s">
        <v>197</v>
      </c>
      <c r="K98" s="5">
        <v>1</v>
      </c>
    </row>
    <row r="99" spans="1:11" x14ac:dyDescent="0.45">
      <c r="A99" s="5" t="s">
        <v>200</v>
      </c>
      <c r="B99" s="5" t="s">
        <v>128</v>
      </c>
      <c r="C99" s="10" t="s">
        <v>75</v>
      </c>
      <c r="D99" s="5" t="s">
        <v>201</v>
      </c>
      <c r="E99" s="5" t="s">
        <v>190</v>
      </c>
      <c r="F99" s="5">
        <v>1</v>
      </c>
      <c r="G99" s="10" t="s">
        <v>189</v>
      </c>
      <c r="H99" s="10" t="s">
        <v>84</v>
      </c>
      <c r="I99" s="5" t="s">
        <v>202</v>
      </c>
      <c r="J99" s="5" t="s">
        <v>197</v>
      </c>
      <c r="K99" s="5">
        <v>1</v>
      </c>
    </row>
    <row r="100" spans="1:11" x14ac:dyDescent="0.45">
      <c r="A100" s="5"/>
      <c r="B100" s="5" t="s">
        <v>134</v>
      </c>
      <c r="C100" s="10" t="s">
        <v>53</v>
      </c>
      <c r="D100" s="5" t="s">
        <v>201</v>
      </c>
      <c r="E100" s="5" t="s">
        <v>190</v>
      </c>
      <c r="F100" s="5">
        <v>1</v>
      </c>
      <c r="G100" s="10" t="s">
        <v>76</v>
      </c>
      <c r="H100" s="5" t="s">
        <v>203</v>
      </c>
      <c r="I100" s="5" t="s">
        <v>202</v>
      </c>
      <c r="J100" s="5" t="s">
        <v>197</v>
      </c>
      <c r="K100" s="5">
        <v>1</v>
      </c>
    </row>
  </sheetData>
  <mergeCells count="11">
    <mergeCell ref="A72:A73"/>
    <mergeCell ref="D72:D73"/>
    <mergeCell ref="A74:A75"/>
    <mergeCell ref="D74:D75"/>
    <mergeCell ref="A64:A65"/>
    <mergeCell ref="A66:A67"/>
    <mergeCell ref="D66:D67"/>
    <mergeCell ref="A68:A69"/>
    <mergeCell ref="D68:D69"/>
    <mergeCell ref="A70:A71"/>
    <mergeCell ref="D70:D7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C1D0-63EA-4F93-A332-D75BF7DA9D40}">
  <dimension ref="A1:AI179"/>
  <sheetViews>
    <sheetView topLeftCell="M92" zoomScale="106" zoomScaleNormal="106" workbookViewId="0">
      <selection activeCell="U109" sqref="U109"/>
    </sheetView>
  </sheetViews>
  <sheetFormatPr defaultColWidth="8.86328125" defaultRowHeight="14.25" x14ac:dyDescent="0.45"/>
  <cols>
    <col min="1" max="1" width="18.53125" customWidth="1"/>
    <col min="2" max="2" width="9.53125" customWidth="1"/>
    <col min="3" max="3" width="10.86328125" customWidth="1"/>
    <col min="4" max="4" width="9.6640625" customWidth="1"/>
    <col min="5" max="5" width="26.86328125" customWidth="1"/>
    <col min="6" max="6" width="19.86328125" customWidth="1"/>
    <col min="7" max="7" width="14.33203125" customWidth="1"/>
    <col min="8" max="8" width="10.6640625" customWidth="1"/>
    <col min="9" max="9" width="13.53125" customWidth="1"/>
    <col min="10" max="10" width="11.46484375" customWidth="1"/>
    <col min="11" max="11" width="13.53125" customWidth="1"/>
    <col min="12" max="12" width="20.46484375" customWidth="1"/>
    <col min="16" max="16" width="31.1328125" customWidth="1"/>
    <col min="17" max="17" width="34.33203125" bestFit="1" customWidth="1"/>
    <col min="18" max="18" width="27.6640625" bestFit="1" customWidth="1"/>
    <col min="19" max="19" width="35.86328125" bestFit="1" customWidth="1"/>
    <col min="20" max="20" width="16" bestFit="1" customWidth="1"/>
    <col min="21" max="21" width="13.46484375" bestFit="1" customWidth="1"/>
    <col min="22" max="22" width="22.86328125" bestFit="1" customWidth="1"/>
    <col min="23" max="23" width="11.33203125" bestFit="1" customWidth="1"/>
    <col min="24" max="24" width="20.6640625" bestFit="1" customWidth="1"/>
    <col min="25" max="25" width="15.46484375" bestFit="1" customWidth="1"/>
    <col min="26" max="26" width="8.86328125" bestFit="1" customWidth="1"/>
    <col min="27" max="27" width="14.53125" bestFit="1" customWidth="1"/>
    <col min="30" max="30" width="12.53125" bestFit="1" customWidth="1"/>
    <col min="31" max="31" width="36.6640625" bestFit="1" customWidth="1"/>
    <col min="32" max="32" width="13.1328125" bestFit="1" customWidth="1"/>
    <col min="33" max="33" width="6.86328125" bestFit="1" customWidth="1"/>
    <col min="34" max="34" width="11.46484375" customWidth="1"/>
    <col min="35" max="35" width="10.6640625" bestFit="1" customWidth="1"/>
    <col min="37" max="37" width="10.6640625" bestFit="1" customWidth="1"/>
  </cols>
  <sheetData>
    <row r="1" spans="1:35" ht="17.649999999999999" x14ac:dyDescent="0.45">
      <c r="Q1" s="3" t="s">
        <v>634</v>
      </c>
    </row>
    <row r="2" spans="1:35" ht="17.649999999999999" x14ac:dyDescent="0.45">
      <c r="A2" s="3" t="s">
        <v>337</v>
      </c>
    </row>
    <row r="3" spans="1:35" x14ac:dyDescent="0.45">
      <c r="Q3" s="22" t="s">
        <v>81</v>
      </c>
      <c r="AD3" s="22" t="s">
        <v>5</v>
      </c>
    </row>
    <row r="4" spans="1:35" x14ac:dyDescent="0.45">
      <c r="A4" s="4" t="s">
        <v>44</v>
      </c>
      <c r="B4" s="4" t="s">
        <v>45</v>
      </c>
      <c r="C4" s="4" t="s">
        <v>336</v>
      </c>
      <c r="D4" s="4" t="s">
        <v>335</v>
      </c>
      <c r="E4" s="4" t="s">
        <v>334</v>
      </c>
      <c r="F4" s="4" t="s">
        <v>51</v>
      </c>
      <c r="G4" s="4" t="s">
        <v>333</v>
      </c>
      <c r="H4" s="4" t="s">
        <v>332</v>
      </c>
      <c r="I4" s="4" t="s">
        <v>331</v>
      </c>
      <c r="J4" s="4" t="s">
        <v>330</v>
      </c>
      <c r="K4" s="4" t="s">
        <v>77</v>
      </c>
      <c r="L4" s="4" t="s">
        <v>52</v>
      </c>
      <c r="Q4" s="4" t="s">
        <v>3</v>
      </c>
      <c r="R4" s="4" t="s">
        <v>74</v>
      </c>
      <c r="S4" s="4" t="s">
        <v>50</v>
      </c>
      <c r="T4" s="4" t="s">
        <v>527</v>
      </c>
      <c r="U4" s="4" t="s">
        <v>627</v>
      </c>
      <c r="V4" s="4" t="s">
        <v>31</v>
      </c>
      <c r="W4" s="4" t="s">
        <v>4</v>
      </c>
      <c r="X4" s="4" t="s">
        <v>33</v>
      </c>
      <c r="Y4" s="4" t="s">
        <v>6</v>
      </c>
      <c r="AD4" t="s">
        <v>7</v>
      </c>
      <c r="AE4" t="s">
        <v>3</v>
      </c>
      <c r="AF4" t="s">
        <v>8</v>
      </c>
      <c r="AG4" t="s">
        <v>10</v>
      </c>
      <c r="AH4" t="s">
        <v>9</v>
      </c>
      <c r="AI4" t="s">
        <v>12</v>
      </c>
    </row>
    <row r="5" spans="1:35" x14ac:dyDescent="0.45">
      <c r="A5" s="7" t="s">
        <v>329</v>
      </c>
      <c r="B5" s="5" t="s">
        <v>123</v>
      </c>
      <c r="C5" s="5" t="s">
        <v>95</v>
      </c>
      <c r="D5" s="5">
        <v>0</v>
      </c>
      <c r="E5" s="5" t="s">
        <v>98</v>
      </c>
      <c r="F5" s="5" t="s">
        <v>326</v>
      </c>
      <c r="G5" s="5" t="s">
        <v>325</v>
      </c>
      <c r="H5" s="5" t="s">
        <v>233</v>
      </c>
      <c r="I5" s="5" t="s">
        <v>240</v>
      </c>
      <c r="J5" s="5" t="s">
        <v>96</v>
      </c>
      <c r="K5" s="5" t="s">
        <v>322</v>
      </c>
      <c r="L5" s="5">
        <v>1</v>
      </c>
      <c r="Q5" t="str">
        <f>"IMstlbof_"&amp;A5</f>
        <v>IMstlbof_Straight Grate Pelletizing</v>
      </c>
      <c r="S5" t="str">
        <f>IF(V5&gt;0,"INDCOA,INDNGA,INDBFG","")</f>
        <v>INDCOA,INDNGA,INDBFG</v>
      </c>
      <c r="T5" t="s">
        <v>2</v>
      </c>
      <c r="U5" cm="1">
        <f t="array" ref="U5">AvgRangePercent(C5,90)*3.6/1000</f>
        <v>0.12240000000000001</v>
      </c>
      <c r="V5" cm="1">
        <f t="array" ref="V5">AvgRangePercent(E5,10)</f>
        <v>2.6</v>
      </c>
      <c r="W5" cm="1">
        <f t="array" ref="W5">AvgRangePercent(H5,50)</f>
        <v>40</v>
      </c>
      <c r="X5" cm="1">
        <f t="array" ref="X5">AvgRangePercent(I5,50)</f>
        <v>22.5</v>
      </c>
      <c r="Y5" t="s">
        <v>342</v>
      </c>
      <c r="AD5" t="s">
        <v>11</v>
      </c>
      <c r="AE5" t="str">
        <f t="shared" ref="AE5" si="0">IF(LEFT(Q5,8)="IMstlbof",Q5,"\I:")</f>
        <v>IMstlbof_Straight Grate Pelletizing</v>
      </c>
      <c r="AG5" t="s">
        <v>13</v>
      </c>
      <c r="AH5" t="s">
        <v>14</v>
      </c>
    </row>
    <row r="6" spans="1:35" x14ac:dyDescent="0.45">
      <c r="A6" s="5"/>
      <c r="B6" s="5"/>
      <c r="C6" s="5"/>
      <c r="D6" s="5"/>
      <c r="E6" s="5"/>
      <c r="F6" s="5" t="s">
        <v>276</v>
      </c>
      <c r="G6" s="5" t="s">
        <v>275</v>
      </c>
      <c r="H6" s="5"/>
      <c r="I6" s="5"/>
      <c r="J6" s="5"/>
      <c r="K6" s="5"/>
      <c r="L6" s="5"/>
      <c r="T6" t="s">
        <v>121</v>
      </c>
      <c r="U6" cm="1">
        <f t="array" ref="U6">AvgRangePercent(G5,10)</f>
        <v>1.0550000000000002</v>
      </c>
      <c r="AD6" t="s">
        <v>11</v>
      </c>
      <c r="AE6" t="str">
        <f>IF(LEFT(Q22,8)="IMstlbof",Q22,"\I:")</f>
        <v>IMstlbof_Coke Ovens</v>
      </c>
      <c r="AG6" t="s">
        <v>13</v>
      </c>
      <c r="AH6" t="s">
        <v>14</v>
      </c>
    </row>
    <row r="7" spans="1:35" x14ac:dyDescent="0.45">
      <c r="A7" s="5"/>
      <c r="B7" s="5"/>
      <c r="C7" s="5"/>
      <c r="D7" s="5"/>
      <c r="E7" s="5"/>
      <c r="F7" s="5" t="s">
        <v>274</v>
      </c>
      <c r="G7" s="5" t="s">
        <v>273</v>
      </c>
      <c r="H7" s="5"/>
      <c r="I7" s="5"/>
      <c r="J7" s="5"/>
      <c r="K7" s="5"/>
      <c r="L7" s="5"/>
      <c r="T7" t="s">
        <v>338</v>
      </c>
      <c r="U7" cm="1">
        <f t="array" ref="U7">AvgRangePercent(G6,50)</f>
        <v>0.04</v>
      </c>
      <c r="AD7" t="s">
        <v>11</v>
      </c>
      <c r="AE7" t="str">
        <f>IF(LEFT(R56,8)="IMstlbof",R56,"\I:")</f>
        <v>IMstlbof_Modern BF</v>
      </c>
      <c r="AG7" t="s">
        <v>13</v>
      </c>
      <c r="AH7" t="s">
        <v>14</v>
      </c>
      <c r="AI7" t="s">
        <v>343</v>
      </c>
    </row>
    <row r="8" spans="1:35" x14ac:dyDescent="0.4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T8" t="s">
        <v>339</v>
      </c>
      <c r="U8" cm="1">
        <f t="array" ref="U8">AvgRangePercent(G7,50)</f>
        <v>1.9999999999999997E-2</v>
      </c>
      <c r="AD8" t="s">
        <v>11</v>
      </c>
      <c r="AE8" t="str">
        <f>IF(LEFT(R71,8)="IMstlbof",R71,"\I:")</f>
        <v>IMstlbof_Modern BF with CCS</v>
      </c>
      <c r="AG8" t="s">
        <v>13</v>
      </c>
      <c r="AH8" t="s">
        <v>14</v>
      </c>
      <c r="AI8" t="s">
        <v>343</v>
      </c>
    </row>
    <row r="9" spans="1:35" x14ac:dyDescent="0.45">
      <c r="A9" s="5"/>
      <c r="B9" s="5" t="s">
        <v>129</v>
      </c>
      <c r="C9" s="5" t="s">
        <v>93</v>
      </c>
      <c r="D9" s="5">
        <v>0</v>
      </c>
      <c r="E9" s="5" t="s">
        <v>204</v>
      </c>
      <c r="F9" s="5" t="s">
        <v>328</v>
      </c>
      <c r="G9" s="5" t="s">
        <v>327</v>
      </c>
      <c r="H9" s="5" t="s">
        <v>269</v>
      </c>
      <c r="I9" s="5" t="s">
        <v>252</v>
      </c>
      <c r="J9" s="5" t="s">
        <v>29</v>
      </c>
      <c r="K9" s="5" t="s">
        <v>322</v>
      </c>
      <c r="L9" s="5">
        <v>1</v>
      </c>
      <c r="R9" t="str">
        <f t="shared" ref="R9" si="1">B9</f>
        <v>feIndia</v>
      </c>
      <c r="S9" t="str">
        <f>IF(V9&gt;0,"INDCOA,INDNGA,INDBFG","")</f>
        <v>INDCOA,INDNGA,INDBFG</v>
      </c>
      <c r="T9" t="s">
        <v>2</v>
      </c>
      <c r="U9" cm="1">
        <f t="array" ref="U9">AvgRangePercent(C9,90)*3.6/1000</f>
        <v>0.1404</v>
      </c>
      <c r="V9" cm="1">
        <f t="array" ref="V9">AvgRangePercent(E9,10)</f>
        <v>3.1</v>
      </c>
      <c r="W9" cm="1">
        <f t="array" ref="W9">AvgRangePercent(H9,50)</f>
        <v>30</v>
      </c>
      <c r="X9" cm="1">
        <f t="array" ref="X9">AvgRangePercent(I9,50)</f>
        <v>15</v>
      </c>
      <c r="Y9" t="s">
        <v>342</v>
      </c>
      <c r="AD9" t="s">
        <v>11</v>
      </c>
      <c r="AE9" t="str">
        <f>IF(LEFT(Q109,8)="IMstlbof",Q109,"\I:")</f>
        <v>IMstlbof_Conventional BOF with CCS</v>
      </c>
      <c r="AG9" t="s">
        <v>13</v>
      </c>
      <c r="AH9" t="s">
        <v>14</v>
      </c>
      <c r="AI9" t="s">
        <v>268</v>
      </c>
    </row>
    <row r="10" spans="1:35" x14ac:dyDescent="0.45">
      <c r="A10" s="5"/>
      <c r="B10" s="5"/>
      <c r="C10" s="5"/>
      <c r="D10" s="5"/>
      <c r="E10" s="5"/>
      <c r="F10" s="5" t="s">
        <v>276</v>
      </c>
      <c r="G10" s="5" t="s">
        <v>275</v>
      </c>
      <c r="H10" s="5"/>
      <c r="I10" s="5"/>
      <c r="J10" s="5"/>
      <c r="K10" s="5"/>
      <c r="L10" s="5"/>
      <c r="R10" t="str">
        <f>B9</f>
        <v>feIndia</v>
      </c>
      <c r="T10" t="s">
        <v>121</v>
      </c>
      <c r="U10" cm="1">
        <f t="array" ref="U10">AvgRangePercent(G9,10)</f>
        <v>1.06</v>
      </c>
      <c r="AD10" t="s">
        <v>11</v>
      </c>
      <c r="AE10" t="str">
        <f>IF(LEFT(Q130,8)="IMstlbof",Q130,"\I:")</f>
        <v>IMstlbof_Conventional BOF</v>
      </c>
      <c r="AG10" t="s">
        <v>13</v>
      </c>
      <c r="AH10" t="s">
        <v>14</v>
      </c>
      <c r="AI10" t="s">
        <v>268</v>
      </c>
    </row>
    <row r="11" spans="1:35" x14ac:dyDescent="0.45">
      <c r="A11" s="5"/>
      <c r="B11" s="5"/>
      <c r="C11" s="5"/>
      <c r="D11" s="5"/>
      <c r="E11" s="5"/>
      <c r="F11" s="5" t="s">
        <v>274</v>
      </c>
      <c r="G11" s="5" t="s">
        <v>273</v>
      </c>
      <c r="H11" s="5"/>
      <c r="I11" s="5"/>
      <c r="J11" s="5"/>
      <c r="K11" s="5"/>
      <c r="L11" s="5"/>
      <c r="R11" t="str">
        <f>B9</f>
        <v>feIndia</v>
      </c>
      <c r="T11" t="s">
        <v>338</v>
      </c>
      <c r="U11" cm="1">
        <f t="array" ref="U11">AvgRangePercent(G10,50)</f>
        <v>0.04</v>
      </c>
      <c r="AD11" t="s">
        <v>11</v>
      </c>
      <c r="AE11" t="str">
        <f>IF(LEFT(Q154,5)="IMstl",Q154,"\I:")</f>
        <v>IMstl_Electric Arc Furnace (EAF)</v>
      </c>
      <c r="AG11" t="s">
        <v>13</v>
      </c>
      <c r="AH11" t="s">
        <v>14</v>
      </c>
    </row>
    <row r="12" spans="1:35" x14ac:dyDescent="0.4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R12" t="str">
        <f>B9</f>
        <v>feIndia</v>
      </c>
      <c r="T12" t="s">
        <v>339</v>
      </c>
      <c r="U12" cm="1">
        <f t="array" ref="U12">AvgRangePercent(G11,50)</f>
        <v>1.9999999999999997E-2</v>
      </c>
      <c r="AD12" t="s">
        <v>11</v>
      </c>
      <c r="AE12" t="str">
        <f>IF(LEFT(Q157,5)="IMstl",Q157,"\I:")</f>
        <v>IMstl_Induction Furnace</v>
      </c>
      <c r="AG12" t="s">
        <v>13</v>
      </c>
      <c r="AH12" t="s">
        <v>14</v>
      </c>
    </row>
    <row r="13" spans="1:35" x14ac:dyDescent="0.45">
      <c r="A13" s="5"/>
      <c r="B13" s="5" t="s">
        <v>128</v>
      </c>
      <c r="C13" s="5" t="s">
        <v>92</v>
      </c>
      <c r="D13" s="5">
        <v>0</v>
      </c>
      <c r="E13" s="5" t="s">
        <v>311</v>
      </c>
      <c r="F13" s="5" t="s">
        <v>326</v>
      </c>
      <c r="G13" s="5" t="s">
        <v>325</v>
      </c>
      <c r="H13" s="5" t="s">
        <v>324</v>
      </c>
      <c r="I13" s="5" t="s">
        <v>323</v>
      </c>
      <c r="J13" s="5" t="s">
        <v>101</v>
      </c>
      <c r="K13" s="5" t="s">
        <v>322</v>
      </c>
      <c r="L13" s="5">
        <v>1</v>
      </c>
      <c r="R13" t="str">
        <f>B13</f>
        <v>feBrazil</v>
      </c>
      <c r="S13" t="str">
        <f>IF(V13&gt;0,"INDCOA,INDNGA,INDBFG","")</f>
        <v>INDCOA,INDNGA,INDBFG</v>
      </c>
      <c r="T13" t="s">
        <v>2</v>
      </c>
      <c r="U13" cm="1">
        <f t="array" ref="U13">AvgRangePercent(C13,90)*3.6/1000</f>
        <v>0.10440000000000001</v>
      </c>
      <c r="V13" cm="1">
        <f t="array" ref="V13">AvgRangePercent(E13,10)</f>
        <v>2.1</v>
      </c>
      <c r="W13" cm="1">
        <f t="array" ref="W13">AvgRangePercent(H13,50)</f>
        <v>35</v>
      </c>
      <c r="X13" cm="1">
        <f t="array" ref="X13">AvgRangePercent(I13,50)</f>
        <v>18.5</v>
      </c>
      <c r="Y13" t="s">
        <v>342</v>
      </c>
      <c r="AD13" t="s">
        <v>11</v>
      </c>
      <c r="AE13" t="str">
        <f>IF(LEFT(Q168,5)="IMstl",Q168,"\I:")</f>
        <v>IMstl_Ladle Refining Furnace</v>
      </c>
      <c r="AG13" t="s">
        <v>13</v>
      </c>
      <c r="AH13" t="s">
        <v>14</v>
      </c>
    </row>
    <row r="14" spans="1:35" x14ac:dyDescent="0.45">
      <c r="A14" s="5"/>
      <c r="B14" s="5"/>
      <c r="C14" s="5"/>
      <c r="D14" s="5"/>
      <c r="E14" s="5"/>
      <c r="F14" s="5" t="s">
        <v>276</v>
      </c>
      <c r="G14" s="5" t="s">
        <v>275</v>
      </c>
      <c r="H14" s="5"/>
      <c r="I14" s="5"/>
      <c r="J14" s="5"/>
      <c r="K14" s="5"/>
      <c r="L14" s="5"/>
      <c r="R14" t="str">
        <f>B13</f>
        <v>feBrazil</v>
      </c>
      <c r="T14" t="s">
        <v>121</v>
      </c>
      <c r="U14" cm="1">
        <f t="array" ref="U14">AvgRangePercent(G13,10)</f>
        <v>1.0550000000000002</v>
      </c>
      <c r="AD14" t="s">
        <v>11</v>
      </c>
      <c r="AE14" t="str">
        <f>IF(LEFT(Q174,5)="IMstl",Q174,"\I:")</f>
        <v>IMstl_Continuous Casting</v>
      </c>
      <c r="AG14" t="s">
        <v>13</v>
      </c>
      <c r="AH14" t="s">
        <v>14</v>
      </c>
    </row>
    <row r="15" spans="1:35" x14ac:dyDescent="0.45">
      <c r="A15" s="5"/>
      <c r="B15" s="5"/>
      <c r="C15" s="5"/>
      <c r="D15" s="5"/>
      <c r="E15" s="5"/>
      <c r="F15" s="5" t="s">
        <v>274</v>
      </c>
      <c r="G15" s="5" t="s">
        <v>273</v>
      </c>
      <c r="H15" s="5"/>
      <c r="I15" s="5"/>
      <c r="J15" s="5"/>
      <c r="K15" s="5"/>
      <c r="L15" s="5"/>
      <c r="R15" t="str">
        <f>B13</f>
        <v>feBrazil</v>
      </c>
      <c r="T15" t="s">
        <v>338</v>
      </c>
      <c r="U15" cm="1">
        <f t="array" ref="U15">AvgRangePercent(G14,50)</f>
        <v>0.04</v>
      </c>
      <c r="AD15" t="s">
        <v>11</v>
      </c>
      <c r="AE15" t="str">
        <f>IF(LEFT(Q38,5)="IMstl",Q38,"\I:")</f>
        <v>IMstl_Shaft Kiln</v>
      </c>
      <c r="AG15" t="s">
        <v>13</v>
      </c>
      <c r="AH15" t="s">
        <v>14</v>
      </c>
    </row>
    <row r="16" spans="1:35" x14ac:dyDescent="0.4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R16" t="str">
        <f>B13</f>
        <v>feBrazil</v>
      </c>
      <c r="T16" t="s">
        <v>339</v>
      </c>
      <c r="U16" cm="1">
        <f t="array" ref="U16">AvgRangePercent(G15,50)</f>
        <v>1.9999999999999997E-2</v>
      </c>
      <c r="AD16" t="s">
        <v>11</v>
      </c>
      <c r="AE16" t="str">
        <f>IF(LEFT(Q44,5)="IMstl",Q44,"\I:")</f>
        <v>IMstl_Rotary Kiln</v>
      </c>
      <c r="AG16" t="s">
        <v>13</v>
      </c>
      <c r="AH16" t="s">
        <v>14</v>
      </c>
    </row>
    <row r="18" spans="1:30" ht="17.649999999999999" x14ac:dyDescent="0.45">
      <c r="Q18" s="3" t="s">
        <v>633</v>
      </c>
    </row>
    <row r="19" spans="1:30" ht="17.649999999999999" x14ac:dyDescent="0.45">
      <c r="A19" s="3" t="s">
        <v>321</v>
      </c>
    </row>
    <row r="20" spans="1:30" x14ac:dyDescent="0.45">
      <c r="Q20" s="22" t="s">
        <v>81</v>
      </c>
    </row>
    <row r="21" spans="1:30" x14ac:dyDescent="0.45">
      <c r="A21" s="4" t="s">
        <v>44</v>
      </c>
      <c r="B21" s="4" t="s">
        <v>45</v>
      </c>
      <c r="C21" s="4" t="s">
        <v>320</v>
      </c>
      <c r="D21" s="4" t="s">
        <v>319</v>
      </c>
      <c r="E21" s="4" t="s">
        <v>318</v>
      </c>
      <c r="F21" s="4" t="s">
        <v>51</v>
      </c>
      <c r="G21" s="4" t="s">
        <v>317</v>
      </c>
      <c r="H21" s="4" t="s">
        <v>316</v>
      </c>
      <c r="I21" s="4" t="s">
        <v>315</v>
      </c>
      <c r="J21" s="4" t="s">
        <v>314</v>
      </c>
      <c r="K21" s="4" t="s">
        <v>77</v>
      </c>
      <c r="L21" s="4" t="s">
        <v>52</v>
      </c>
      <c r="M21" t="s">
        <v>537</v>
      </c>
      <c r="Q21" s="4" t="s">
        <v>3</v>
      </c>
      <c r="R21" s="4" t="s">
        <v>74</v>
      </c>
      <c r="S21" s="4" t="s">
        <v>50</v>
      </c>
      <c r="T21" s="4" t="s">
        <v>527</v>
      </c>
      <c r="U21" s="23" t="s">
        <v>627</v>
      </c>
      <c r="V21" s="4" t="s">
        <v>31</v>
      </c>
      <c r="W21" s="4" t="s">
        <v>4</v>
      </c>
      <c r="X21" s="4" t="s">
        <v>33</v>
      </c>
      <c r="Y21" s="4" t="s">
        <v>6</v>
      </c>
      <c r="Z21" s="4" t="s">
        <v>628</v>
      </c>
    </row>
    <row r="22" spans="1:30" x14ac:dyDescent="0.45">
      <c r="A22" s="7" t="s">
        <v>346</v>
      </c>
      <c r="B22" s="5" t="s">
        <v>123</v>
      </c>
      <c r="C22" s="5" t="s">
        <v>99</v>
      </c>
      <c r="D22" s="5">
        <v>0</v>
      </c>
      <c r="E22" s="5" t="s">
        <v>311</v>
      </c>
      <c r="F22" s="5" t="s">
        <v>310</v>
      </c>
      <c r="G22" s="5" t="s">
        <v>163</v>
      </c>
      <c r="H22" s="5" t="s">
        <v>105</v>
      </c>
      <c r="I22" s="5" t="s">
        <v>236</v>
      </c>
      <c r="J22" s="5" t="s">
        <v>309</v>
      </c>
      <c r="K22" s="5" t="s">
        <v>308</v>
      </c>
      <c r="L22" s="5">
        <v>1</v>
      </c>
      <c r="M22" t="s">
        <v>538</v>
      </c>
      <c r="Q22" t="str">
        <f>"IMstlbof_"&amp;A22</f>
        <v>IMstlbof_Coke Ovens</v>
      </c>
      <c r="S22" t="str">
        <f>IF(V22&gt;0,"INDNGA,INDCOA","")</f>
        <v>INDNGA,INDCOA</v>
      </c>
      <c r="T22" t="s">
        <v>2</v>
      </c>
      <c r="U22" cm="1">
        <f t="array" ref="U22">AvgRangePercent(C22,90)*3.6/1000</f>
        <v>0.24480000000000002</v>
      </c>
      <c r="V22" cm="1">
        <f t="array" ref="V22">AvgRangePercent(E22,50)</f>
        <v>2.5</v>
      </c>
      <c r="W22" cm="1">
        <f t="array" ref="W22">AvgRangePercent(H22,50)</f>
        <v>50</v>
      </c>
      <c r="X22" cm="1">
        <f t="array" ref="X22">AvgRangePercent(I22,50)</f>
        <v>27.5</v>
      </c>
      <c r="Y22" t="s">
        <v>341</v>
      </c>
      <c r="Z22">
        <v>1</v>
      </c>
    </row>
    <row r="23" spans="1:30" x14ac:dyDescent="0.45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T23" t="s">
        <v>340</v>
      </c>
      <c r="U23" cm="1">
        <f t="array" ref="U23">AvgRangePercent(G22,50)</f>
        <v>1.35</v>
      </c>
      <c r="Y23" t="s">
        <v>512</v>
      </c>
      <c r="Z23" s="12" cm="1">
        <f t="array" ref="Z23">AvgRangePercent(M22,10)</f>
        <v>5.6879999999999997</v>
      </c>
    </row>
    <row r="24" spans="1:30" x14ac:dyDescent="0.45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Y24" t="s">
        <v>632</v>
      </c>
      <c r="Z24">
        <v>1.8</v>
      </c>
    </row>
    <row r="25" spans="1:30" x14ac:dyDescent="0.45">
      <c r="A25" s="7"/>
      <c r="B25" s="6" t="s">
        <v>134</v>
      </c>
      <c r="C25" s="6" t="s">
        <v>313</v>
      </c>
      <c r="D25" s="6">
        <v>0</v>
      </c>
      <c r="E25" s="6" t="s">
        <v>98</v>
      </c>
      <c r="F25" s="6" t="s">
        <v>310</v>
      </c>
      <c r="G25" s="6" t="s">
        <v>166</v>
      </c>
      <c r="H25" s="6" t="s">
        <v>233</v>
      </c>
      <c r="I25" s="6" t="s">
        <v>94</v>
      </c>
      <c r="J25" s="6" t="s">
        <v>312</v>
      </c>
      <c r="K25" s="6" t="s">
        <v>308</v>
      </c>
      <c r="L25" s="6">
        <v>1</v>
      </c>
      <c r="M25" t="s">
        <v>538</v>
      </c>
      <c r="R25" t="str">
        <f>B25</f>
        <v>feChina</v>
      </c>
      <c r="T25" t="s">
        <v>2</v>
      </c>
      <c r="U25" cm="1">
        <f t="array" ref="U25">AvgRangePercent(C25,90)*3.6/1000</f>
        <v>0.21059999999999998</v>
      </c>
      <c r="V25" cm="1">
        <f t="array" ref="V25">AvgRangePercent(E25,50)</f>
        <v>3</v>
      </c>
      <c r="W25" cm="1">
        <f t="array" ref="W25">AvgRangePercent(H25,50)</f>
        <v>40</v>
      </c>
      <c r="X25" cm="1">
        <f t="array" ref="X25">AvgRangePercent(I25,50)</f>
        <v>20</v>
      </c>
      <c r="Y25" t="s">
        <v>341</v>
      </c>
      <c r="Z25">
        <v>1</v>
      </c>
    </row>
    <row r="26" spans="1:30" x14ac:dyDescent="0.45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R26" t="str">
        <f>B25</f>
        <v>feChina</v>
      </c>
      <c r="T26" t="s">
        <v>340</v>
      </c>
      <c r="U26" cm="1">
        <f t="array" ref="U26">AvgRangePercent(G25,50)</f>
        <v>1.4</v>
      </c>
      <c r="Y26" t="s">
        <v>512</v>
      </c>
      <c r="Z26" s="12" cm="1">
        <f t="array" ref="Z26">AvgRangePercent(M25,10)</f>
        <v>5.6879999999999997</v>
      </c>
    </row>
    <row r="27" spans="1:30" x14ac:dyDescent="0.45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R27" t="str">
        <f>B25</f>
        <v>feChina</v>
      </c>
      <c r="Y27" t="s">
        <v>632</v>
      </c>
      <c r="Z27">
        <v>1.8</v>
      </c>
    </row>
    <row r="28" spans="1:30" x14ac:dyDescent="0.45">
      <c r="A28" s="7"/>
      <c r="B28" s="6" t="s">
        <v>489</v>
      </c>
      <c r="C28" s="6" t="s">
        <v>100</v>
      </c>
      <c r="D28" s="6">
        <v>0</v>
      </c>
      <c r="E28" s="6" t="s">
        <v>311</v>
      </c>
      <c r="F28" s="6" t="s">
        <v>310</v>
      </c>
      <c r="G28" s="6" t="s">
        <v>163</v>
      </c>
      <c r="H28" s="6" t="s">
        <v>99</v>
      </c>
      <c r="I28" s="6" t="s">
        <v>229</v>
      </c>
      <c r="J28" s="6" t="s">
        <v>309</v>
      </c>
      <c r="K28" s="6" t="s">
        <v>308</v>
      </c>
      <c r="L28" s="6">
        <v>1</v>
      </c>
      <c r="M28" t="s">
        <v>539</v>
      </c>
      <c r="R28" t="str">
        <f>B28</f>
        <v>feUSA</v>
      </c>
      <c r="T28" t="s">
        <v>2</v>
      </c>
      <c r="U28" cm="1">
        <f t="array" ref="U28">AvgRangePercent(C28,90)*3.6/1000</f>
        <v>0.26280000000000003</v>
      </c>
      <c r="V28" cm="1">
        <f t="array" ref="V28">AvgRangePercent(E28,50)</f>
        <v>2.5</v>
      </c>
      <c r="W28" cm="1">
        <f t="array" ref="W28">AvgRangePercent(H28,50)</f>
        <v>60</v>
      </c>
      <c r="X28" cm="1">
        <f t="array" ref="X28">AvgRangePercent(I28,50)</f>
        <v>32.5</v>
      </c>
      <c r="Y28" t="s">
        <v>341</v>
      </c>
      <c r="Z28">
        <v>1</v>
      </c>
    </row>
    <row r="29" spans="1:30" x14ac:dyDescent="0.45">
      <c r="A29" s="7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R29" t="str">
        <f>B28</f>
        <v>feUSA</v>
      </c>
      <c r="T29" t="s">
        <v>340</v>
      </c>
      <c r="U29" cm="1">
        <f t="array" ref="U29">AvgRangePercent(G28,50)</f>
        <v>1.35</v>
      </c>
      <c r="Y29" t="s">
        <v>512</v>
      </c>
      <c r="Z29" s="12" cm="1">
        <f t="array" ref="Z29">AvgRangePercent(M28,10)</f>
        <v>6.22</v>
      </c>
    </row>
    <row r="30" spans="1:30" x14ac:dyDescent="0.45">
      <c r="R30" t="str">
        <f>B28</f>
        <v>feUSA</v>
      </c>
      <c r="Y30" t="s">
        <v>632</v>
      </c>
      <c r="Z30">
        <v>1.8</v>
      </c>
    </row>
    <row r="32" spans="1:30" x14ac:dyDescent="0.45">
      <c r="AD32" s="4"/>
    </row>
    <row r="34" spans="1:26" ht="17.649999999999999" x14ac:dyDescent="0.45">
      <c r="Q34" s="3" t="s">
        <v>630</v>
      </c>
    </row>
    <row r="35" spans="1:26" ht="17.649999999999999" x14ac:dyDescent="0.45">
      <c r="A35" s="3" t="s">
        <v>570</v>
      </c>
    </row>
    <row r="36" spans="1:26" x14ac:dyDescent="0.45">
      <c r="Q36" s="22" t="s">
        <v>81</v>
      </c>
    </row>
    <row r="37" spans="1:26" x14ac:dyDescent="0.45">
      <c r="A37" s="4" t="s">
        <v>44</v>
      </c>
      <c r="B37" s="4" t="s">
        <v>45</v>
      </c>
      <c r="C37" s="4" t="s">
        <v>571</v>
      </c>
      <c r="D37" s="4" t="s">
        <v>572</v>
      </c>
      <c r="E37" s="4" t="s">
        <v>573</v>
      </c>
      <c r="F37" s="4" t="s">
        <v>51</v>
      </c>
      <c r="G37" s="4" t="s">
        <v>574</v>
      </c>
      <c r="H37" s="4" t="s">
        <v>575</v>
      </c>
      <c r="I37" s="4" t="s">
        <v>576</v>
      </c>
      <c r="J37" s="4" t="s">
        <v>577</v>
      </c>
      <c r="K37" s="4" t="s">
        <v>77</v>
      </c>
      <c r="L37" s="4" t="s">
        <v>52</v>
      </c>
      <c r="Q37" s="4" t="s">
        <v>3</v>
      </c>
      <c r="R37" s="4" t="s">
        <v>74</v>
      </c>
      <c r="S37" s="4" t="s">
        <v>50</v>
      </c>
      <c r="T37" s="4" t="s">
        <v>31</v>
      </c>
      <c r="U37" s="4" t="s">
        <v>527</v>
      </c>
      <c r="V37" s="4" t="s">
        <v>627</v>
      </c>
      <c r="W37" s="4" t="s">
        <v>6</v>
      </c>
      <c r="X37" s="24" t="s">
        <v>628</v>
      </c>
      <c r="Y37" s="4" t="s">
        <v>4</v>
      </c>
      <c r="Z37" s="4" t="s">
        <v>33</v>
      </c>
    </row>
    <row r="38" spans="1:26" x14ac:dyDescent="0.45">
      <c r="A38" s="7" t="s">
        <v>625</v>
      </c>
      <c r="B38" s="5" t="s">
        <v>123</v>
      </c>
      <c r="C38" s="5" t="s">
        <v>73</v>
      </c>
      <c r="D38" s="5" t="s">
        <v>578</v>
      </c>
      <c r="E38" s="5" t="s">
        <v>579</v>
      </c>
      <c r="F38" s="5" t="s">
        <v>580</v>
      </c>
      <c r="G38" s="5" t="s">
        <v>581</v>
      </c>
      <c r="H38" s="5" t="s">
        <v>582</v>
      </c>
      <c r="I38" s="10" t="s">
        <v>600</v>
      </c>
      <c r="J38" s="7" t="s">
        <v>583</v>
      </c>
      <c r="K38" s="5" t="s">
        <v>584</v>
      </c>
      <c r="L38" s="5">
        <v>1</v>
      </c>
      <c r="Q38" t="str">
        <f>"IMstl_"&amp;A38</f>
        <v>IMstl_Shaft Kiln</v>
      </c>
      <c r="S38" t="str">
        <f>IF(T38&gt;0,"INDCOA,INDNGA,INDBFG","")</f>
        <v>INDCOA,INDNGA,INDBFG</v>
      </c>
      <c r="T38" cm="1">
        <f t="array" ref="T38">AvgRangePercent(D38,50)</f>
        <v>3.6</v>
      </c>
      <c r="U38" t="s">
        <v>338</v>
      </c>
      <c r="V38" cm="1">
        <f t="array" ref="V38">AvgRangePercent(G38,0)</f>
        <v>1.8</v>
      </c>
      <c r="W38" t="s">
        <v>623</v>
      </c>
      <c r="X38">
        <v>1</v>
      </c>
      <c r="Y38" cm="1">
        <f t="array" ref="Y38">AvgRangePercent(H38,50)</f>
        <v>150</v>
      </c>
      <c r="Z38" cm="1">
        <f t="array" ref="Z38">AvgRangePercent(I38,50)</f>
        <v>15</v>
      </c>
    </row>
    <row r="39" spans="1:26" x14ac:dyDescent="0.45">
      <c r="A39" s="7"/>
      <c r="B39" s="5"/>
      <c r="C39" s="5"/>
      <c r="D39" s="5"/>
      <c r="E39" s="5"/>
      <c r="F39" s="5"/>
      <c r="G39" s="5"/>
      <c r="H39" s="5"/>
      <c r="I39" s="10"/>
      <c r="J39" s="7"/>
      <c r="K39" s="5"/>
      <c r="L39" s="5"/>
      <c r="U39" t="s">
        <v>2</v>
      </c>
      <c r="V39" cm="1">
        <f t="array" ref="V39">AvgRangePercent(C38,90)*3.6/1000</f>
        <v>8.6400000000000005E-2</v>
      </c>
      <c r="W39" t="s">
        <v>642</v>
      </c>
      <c r="X39" cm="1">
        <f t="array" ref="X39">AvgRangePercent(J38,50)</f>
        <v>850</v>
      </c>
    </row>
    <row r="40" spans="1:26" x14ac:dyDescent="0.45">
      <c r="A40" s="7" t="s">
        <v>625</v>
      </c>
      <c r="B40" s="5" t="s">
        <v>489</v>
      </c>
      <c r="C40" s="5" t="s">
        <v>73</v>
      </c>
      <c r="D40" s="5" t="s">
        <v>585</v>
      </c>
      <c r="E40" s="5" t="s">
        <v>579</v>
      </c>
      <c r="F40" s="5" t="s">
        <v>580</v>
      </c>
      <c r="G40" s="5" t="s">
        <v>581</v>
      </c>
      <c r="H40" s="5" t="s">
        <v>586</v>
      </c>
      <c r="I40" s="5" t="s">
        <v>587</v>
      </c>
      <c r="J40" s="7" t="s">
        <v>583</v>
      </c>
      <c r="K40" s="5" t="s">
        <v>584</v>
      </c>
      <c r="L40" s="5">
        <v>1</v>
      </c>
      <c r="R40" t="str">
        <f>B40</f>
        <v>feUSA</v>
      </c>
      <c r="T40" cm="1">
        <f t="array" ref="T40">AvgRangePercent(D40,50)</f>
        <v>3.6999999999999997</v>
      </c>
      <c r="U40" t="s">
        <v>338</v>
      </c>
      <c r="V40" cm="1">
        <f t="array" ref="V40">AvgRangePercent(G40,0)</f>
        <v>1.8</v>
      </c>
      <c r="W40" t="s">
        <v>623</v>
      </c>
      <c r="X40">
        <v>1</v>
      </c>
      <c r="Y40" cm="1">
        <f t="array" ref="Y40">AvgRangePercent(H40,50)</f>
        <v>170</v>
      </c>
      <c r="Z40" cm="1">
        <f t="array" ref="Z40">AvgRangePercent(I40,50)</f>
        <v>17</v>
      </c>
    </row>
    <row r="41" spans="1:26" x14ac:dyDescent="0.45">
      <c r="A41" s="7"/>
      <c r="B41" s="5"/>
      <c r="C41" s="5"/>
      <c r="D41" s="5"/>
      <c r="E41" s="5"/>
      <c r="F41" s="5"/>
      <c r="G41" s="5"/>
      <c r="H41" s="5"/>
      <c r="I41" s="5"/>
      <c r="J41" s="7"/>
      <c r="K41" s="5"/>
      <c r="L41" s="5"/>
      <c r="R41" t="str">
        <f>B40</f>
        <v>feUSA</v>
      </c>
      <c r="U41" t="s">
        <v>2</v>
      </c>
      <c r="V41" cm="1">
        <f t="array" ref="V41">AvgRangePercent(C40,90)*3.6/1000</f>
        <v>8.6400000000000005E-2</v>
      </c>
      <c r="W41" t="s">
        <v>642</v>
      </c>
      <c r="X41" cm="1">
        <f t="array" ref="X41">AvgRangePercent(J40,50)</f>
        <v>850</v>
      </c>
    </row>
    <row r="42" spans="1:26" x14ac:dyDescent="0.45">
      <c r="A42" s="7" t="s">
        <v>625</v>
      </c>
      <c r="B42" s="5" t="s">
        <v>129</v>
      </c>
      <c r="C42" s="5" t="s">
        <v>73</v>
      </c>
      <c r="D42" s="5" t="s">
        <v>588</v>
      </c>
      <c r="E42" s="5" t="s">
        <v>579</v>
      </c>
      <c r="F42" s="5" t="s">
        <v>580</v>
      </c>
      <c r="G42" s="5" t="s">
        <v>581</v>
      </c>
      <c r="H42" s="5" t="s">
        <v>589</v>
      </c>
      <c r="I42" s="10" t="s">
        <v>599</v>
      </c>
      <c r="J42" s="7" t="s">
        <v>583</v>
      </c>
      <c r="K42" s="5" t="s">
        <v>584</v>
      </c>
      <c r="L42" s="5">
        <v>1</v>
      </c>
      <c r="R42" t="str">
        <f>B42</f>
        <v>feIndia</v>
      </c>
      <c r="T42" cm="1">
        <f t="array" ref="T42">AvgRangePercent(D42,50)</f>
        <v>3.8</v>
      </c>
      <c r="U42" t="s">
        <v>338</v>
      </c>
      <c r="V42" cm="1">
        <f t="array" ref="V42">AvgRangePercent(G42,0)</f>
        <v>1.8</v>
      </c>
      <c r="W42" t="s">
        <v>623</v>
      </c>
      <c r="X42">
        <v>1</v>
      </c>
      <c r="Y42" cm="1">
        <f t="array" ref="Y42">AvgRangePercent(H42,50)</f>
        <v>135</v>
      </c>
      <c r="Z42" cm="1">
        <f t="array" ref="Z42">AvgRangePercent(I42,50)</f>
        <v>13</v>
      </c>
    </row>
    <row r="43" spans="1:26" x14ac:dyDescent="0.45">
      <c r="A43" s="7"/>
      <c r="B43" s="5"/>
      <c r="C43" s="5"/>
      <c r="D43" s="5"/>
      <c r="E43" s="5"/>
      <c r="F43" s="5"/>
      <c r="G43" s="5"/>
      <c r="H43" s="5"/>
      <c r="I43" s="10"/>
      <c r="J43" s="7"/>
      <c r="K43" s="5"/>
      <c r="L43" s="5"/>
      <c r="R43" t="str">
        <f>B42</f>
        <v>feIndia</v>
      </c>
      <c r="U43" t="s">
        <v>2</v>
      </c>
      <c r="V43" cm="1">
        <f t="array" ref="V43">AvgRangePercent(C42,90)*3.6/1000</f>
        <v>8.6400000000000005E-2</v>
      </c>
      <c r="W43" t="s">
        <v>642</v>
      </c>
      <c r="X43" cm="1">
        <f t="array" ref="X43">AvgRangePercent(J42,50)</f>
        <v>850</v>
      </c>
    </row>
    <row r="44" spans="1:26" x14ac:dyDescent="0.45">
      <c r="A44" s="7" t="s">
        <v>626</v>
      </c>
      <c r="B44" s="5" t="s">
        <v>123</v>
      </c>
      <c r="C44" s="5" t="s">
        <v>68</v>
      </c>
      <c r="D44" s="5" t="s">
        <v>591</v>
      </c>
      <c r="E44" s="5" t="s">
        <v>579</v>
      </c>
      <c r="F44" s="5" t="s">
        <v>580</v>
      </c>
      <c r="G44" s="5" t="s">
        <v>592</v>
      </c>
      <c r="H44" s="5" t="s">
        <v>593</v>
      </c>
      <c r="I44" s="5" t="s">
        <v>594</v>
      </c>
      <c r="J44" s="7" t="s">
        <v>583</v>
      </c>
      <c r="K44" s="5" t="s">
        <v>584</v>
      </c>
      <c r="L44" s="5">
        <v>1</v>
      </c>
      <c r="Q44" t="str">
        <f>"IMstl_"&amp;A44</f>
        <v>IMstl_Rotary Kiln</v>
      </c>
      <c r="S44" t="str">
        <f>IF(T44&gt;0,"INDCOA,INDNGA,INDBFG","")</f>
        <v>INDCOA,INDNGA,INDBFG</v>
      </c>
      <c r="T44" cm="1">
        <f t="array" ref="T44">AvgRangePercent(D44,50)</f>
        <v>4.8499999999999996</v>
      </c>
      <c r="U44" t="s">
        <v>338</v>
      </c>
      <c r="V44" cm="1">
        <f t="array" ref="V44">AvgRangePercent(G44,0)</f>
        <v>1.8</v>
      </c>
      <c r="W44" t="s">
        <v>623</v>
      </c>
      <c r="X44">
        <v>1</v>
      </c>
      <c r="Y44" cm="1">
        <f t="array" ref="Y44">AvgRangePercent(H44,50)</f>
        <v>250</v>
      </c>
      <c r="Z44" cm="1">
        <f t="array" ref="Z44">AvgRangePercent(I44,50)</f>
        <v>24</v>
      </c>
    </row>
    <row r="45" spans="1:26" x14ac:dyDescent="0.45">
      <c r="A45" s="7"/>
      <c r="B45" s="5"/>
      <c r="C45" s="5"/>
      <c r="D45" s="5"/>
      <c r="E45" s="5"/>
      <c r="F45" s="5"/>
      <c r="G45" s="5"/>
      <c r="H45" s="5"/>
      <c r="I45" s="5"/>
      <c r="J45" s="7"/>
      <c r="K45" s="5"/>
      <c r="L45" s="5"/>
      <c r="U45" t="s">
        <v>2</v>
      </c>
      <c r="V45" cm="1">
        <f t="array" ref="V45">AvgRangePercent(C44,90)*3.6/1000</f>
        <v>0.10440000000000001</v>
      </c>
      <c r="W45" t="s">
        <v>642</v>
      </c>
      <c r="X45" cm="1">
        <f t="array" ref="X45">AvgRangePercent(J44,50)</f>
        <v>850</v>
      </c>
    </row>
    <row r="46" spans="1:26" x14ac:dyDescent="0.45">
      <c r="A46" s="7" t="s">
        <v>626</v>
      </c>
      <c r="B46" s="5" t="s">
        <v>489</v>
      </c>
      <c r="C46" s="5" t="s">
        <v>68</v>
      </c>
      <c r="D46" s="5" t="s">
        <v>595</v>
      </c>
      <c r="E46" s="5" t="s">
        <v>579</v>
      </c>
      <c r="F46" s="5" t="s">
        <v>580</v>
      </c>
      <c r="G46" s="5" t="s">
        <v>592</v>
      </c>
      <c r="H46" s="5" t="s">
        <v>596</v>
      </c>
      <c r="I46" s="5" t="s">
        <v>62</v>
      </c>
      <c r="J46" s="7" t="s">
        <v>583</v>
      </c>
      <c r="K46" s="5" t="s">
        <v>584</v>
      </c>
      <c r="L46" s="5">
        <v>1</v>
      </c>
      <c r="R46" t="str">
        <f>B46</f>
        <v>feUSA</v>
      </c>
      <c r="T46" cm="1">
        <f t="array" ref="T46">AvgRangePercent(D46,50)</f>
        <v>4.9499999999999993</v>
      </c>
      <c r="U46" t="s">
        <v>338</v>
      </c>
      <c r="V46" cm="1">
        <f t="array" ref="V46">AvgRangePercent(G46,0)</f>
        <v>1.8</v>
      </c>
      <c r="W46" t="s">
        <v>623</v>
      </c>
      <c r="X46">
        <v>1</v>
      </c>
      <c r="Y46" cm="1">
        <f t="array" ref="Y46">AvgRangePercent(H46,50)</f>
        <v>275</v>
      </c>
      <c r="Z46" cm="1">
        <f t="array" ref="Z46">AvgRangePercent(I46,50)</f>
        <v>27.5</v>
      </c>
    </row>
    <row r="47" spans="1:26" x14ac:dyDescent="0.45">
      <c r="A47" s="7"/>
      <c r="B47" s="5"/>
      <c r="C47" s="5"/>
      <c r="D47" s="5"/>
      <c r="E47" s="5"/>
      <c r="F47" s="5"/>
      <c r="G47" s="5"/>
      <c r="H47" s="5"/>
      <c r="I47" s="5"/>
      <c r="J47" s="7"/>
      <c r="K47" s="5"/>
      <c r="L47" s="5"/>
      <c r="R47" t="str">
        <f>B46</f>
        <v>feUSA</v>
      </c>
      <c r="U47" t="s">
        <v>2</v>
      </c>
      <c r="V47" cm="1">
        <f t="array" ref="V47">AvgRangePercent(C46,90)*3.6/1000</f>
        <v>0.10440000000000001</v>
      </c>
      <c r="W47" t="s">
        <v>642</v>
      </c>
      <c r="X47" cm="1">
        <f t="array" ref="X47">AvgRangePercent(J46,50)</f>
        <v>850</v>
      </c>
    </row>
    <row r="48" spans="1:26" x14ac:dyDescent="0.45">
      <c r="A48" s="7" t="s">
        <v>626</v>
      </c>
      <c r="B48" s="5" t="s">
        <v>129</v>
      </c>
      <c r="C48" s="5" t="s">
        <v>68</v>
      </c>
      <c r="D48" s="5" t="s">
        <v>597</v>
      </c>
      <c r="E48" s="5" t="s">
        <v>579</v>
      </c>
      <c r="F48" s="5" t="s">
        <v>580</v>
      </c>
      <c r="G48" s="5" t="s">
        <v>592</v>
      </c>
      <c r="H48" s="5" t="s">
        <v>598</v>
      </c>
      <c r="I48" s="5" t="s">
        <v>590</v>
      </c>
      <c r="J48" s="7" t="s">
        <v>583</v>
      </c>
      <c r="K48" s="5" t="s">
        <v>584</v>
      </c>
      <c r="L48" s="5">
        <v>1</v>
      </c>
      <c r="R48" t="str">
        <f>B48</f>
        <v>feIndia</v>
      </c>
      <c r="T48" cm="1">
        <f t="array" ref="T48">AvgRangePercent(D48,50)</f>
        <v>5.0500000000000007</v>
      </c>
      <c r="U48" t="s">
        <v>338</v>
      </c>
      <c r="V48" cm="1">
        <f t="array" ref="V48">AvgRangePercent(G48,0)</f>
        <v>1.8</v>
      </c>
      <c r="W48" t="s">
        <v>623</v>
      </c>
      <c r="X48">
        <v>1</v>
      </c>
      <c r="Y48" cm="1">
        <f t="array" ref="Y48">AvgRangePercent(H48,50)</f>
        <v>235</v>
      </c>
      <c r="Z48" cm="1">
        <f t="array" ref="Z48">AvgRangePercent(I48,50)</f>
        <v>22</v>
      </c>
    </row>
    <row r="49" spans="1:26" x14ac:dyDescent="0.45">
      <c r="A49" s="7"/>
      <c r="B49" s="5"/>
      <c r="C49" s="5"/>
      <c r="D49" s="5"/>
      <c r="E49" s="5"/>
      <c r="F49" s="5"/>
      <c r="G49" s="5"/>
      <c r="H49" s="5"/>
      <c r="I49" s="5"/>
      <c r="J49" s="7"/>
      <c r="K49" s="5"/>
      <c r="L49" s="5"/>
      <c r="R49" t="str">
        <f>B48</f>
        <v>feIndia</v>
      </c>
      <c r="U49" t="s">
        <v>2</v>
      </c>
      <c r="V49" cm="1">
        <f t="array" ref="V49">AvgRangePercent(C48,90)*3.6/1000</f>
        <v>0.10440000000000001</v>
      </c>
      <c r="W49" t="s">
        <v>642</v>
      </c>
      <c r="X49" cm="1">
        <f t="array" ref="X49">AvgRangePercent(J48,50)</f>
        <v>850</v>
      </c>
    </row>
    <row r="52" spans="1:26" ht="17.649999999999999" x14ac:dyDescent="0.45">
      <c r="Q52" s="3" t="s">
        <v>629</v>
      </c>
    </row>
    <row r="53" spans="1:26" ht="17.649999999999999" x14ac:dyDescent="0.45">
      <c r="A53" s="3" t="s">
        <v>601</v>
      </c>
    </row>
    <row r="54" spans="1:26" x14ac:dyDescent="0.45">
      <c r="Q54" s="22" t="s">
        <v>569</v>
      </c>
    </row>
    <row r="55" spans="1:26" x14ac:dyDescent="0.45">
      <c r="A55" s="4" t="s">
        <v>44</v>
      </c>
      <c r="B55" s="4" t="s">
        <v>45</v>
      </c>
      <c r="C55" s="4" t="s">
        <v>306</v>
      </c>
      <c r="D55" s="4" t="s">
        <v>305</v>
      </c>
      <c r="E55" s="4" t="s">
        <v>304</v>
      </c>
      <c r="F55" s="4" t="s">
        <v>51</v>
      </c>
      <c r="G55" s="4" t="s">
        <v>303</v>
      </c>
      <c r="H55" s="4" t="s">
        <v>302</v>
      </c>
      <c r="I55" s="4" t="s">
        <v>301</v>
      </c>
      <c r="J55" s="4" t="s">
        <v>602</v>
      </c>
      <c r="K55" s="4" t="s">
        <v>77</v>
      </c>
      <c r="L55" s="4" t="s">
        <v>52</v>
      </c>
      <c r="Q55" t="s">
        <v>566</v>
      </c>
      <c r="R55" t="s">
        <v>3</v>
      </c>
      <c r="S55" t="s">
        <v>74</v>
      </c>
      <c r="T55" t="s">
        <v>527</v>
      </c>
      <c r="U55" t="s">
        <v>627</v>
      </c>
      <c r="V55" t="s">
        <v>6</v>
      </c>
      <c r="W55" t="s">
        <v>628</v>
      </c>
      <c r="X55" t="s">
        <v>564</v>
      </c>
      <c r="Y55" t="s">
        <v>4</v>
      </c>
      <c r="Z55" t="s">
        <v>33</v>
      </c>
    </row>
    <row r="56" spans="1:26" x14ac:dyDescent="0.45">
      <c r="A56" s="7" t="s">
        <v>299</v>
      </c>
      <c r="B56" s="5" t="s">
        <v>123</v>
      </c>
      <c r="C56" s="5" t="s">
        <v>603</v>
      </c>
      <c r="D56" s="5">
        <v>0</v>
      </c>
      <c r="E56" s="5">
        <v>0</v>
      </c>
      <c r="F56" s="5" t="s">
        <v>294</v>
      </c>
      <c r="G56" s="5" t="s">
        <v>604</v>
      </c>
      <c r="H56" s="5" t="s">
        <v>605</v>
      </c>
      <c r="I56" s="5" t="s">
        <v>606</v>
      </c>
      <c r="J56" s="5" t="s">
        <v>607</v>
      </c>
      <c r="K56" s="5" t="s">
        <v>292</v>
      </c>
      <c r="L56" s="5">
        <v>1</v>
      </c>
      <c r="Q56" t="s">
        <v>341</v>
      </c>
      <c r="R56" t="str">
        <f>"IMstlbof_"&amp;A56</f>
        <v>IMstlbof_Modern BF</v>
      </c>
      <c r="T56" t="s">
        <v>342</v>
      </c>
      <c r="U56" cm="1">
        <f t="array" ref="U56">AvgRangePercent(G56,20)</f>
        <v>1.54</v>
      </c>
      <c r="V56" t="s">
        <v>343</v>
      </c>
      <c r="W56">
        <v>1</v>
      </c>
      <c r="X56" s="12">
        <f>(U57*30*113-W57*65)/U57</f>
        <v>2591.2222222222222</v>
      </c>
      <c r="Y56" cm="1">
        <f t="array" ref="Y56">AvgRangePercent(H56,50)</f>
        <v>500</v>
      </c>
      <c r="Z56" cm="1">
        <f t="array" ref="Z56">AvgRangePercent(I56,50)</f>
        <v>65</v>
      </c>
    </row>
    <row r="57" spans="1:26" x14ac:dyDescent="0.45">
      <c r="A57" s="5"/>
      <c r="B57" s="5"/>
      <c r="C57" s="5"/>
      <c r="D57" s="5"/>
      <c r="E57" s="5"/>
      <c r="F57" s="5" t="s">
        <v>291</v>
      </c>
      <c r="G57" s="5" t="s">
        <v>608</v>
      </c>
      <c r="H57" s="5"/>
      <c r="I57" s="5"/>
      <c r="J57" s="5"/>
      <c r="K57" s="5" t="s">
        <v>543</v>
      </c>
      <c r="L57" s="5" t="s">
        <v>609</v>
      </c>
      <c r="T57" t="s">
        <v>341</v>
      </c>
      <c r="U57" cm="1">
        <f t="array" ref="U57">AvgRangePercent(G57,50)</f>
        <v>0.45</v>
      </c>
      <c r="V57" t="s">
        <v>481</v>
      </c>
      <c r="W57" cm="1">
        <f t="array" ref="W57">AvgRangePercent(L57,20)</f>
        <v>5.53</v>
      </c>
      <c r="X57" s="12"/>
    </row>
    <row r="58" spans="1:26" x14ac:dyDescent="0.45">
      <c r="A58" s="5"/>
      <c r="B58" s="5"/>
      <c r="C58" s="5"/>
      <c r="D58" s="5"/>
      <c r="E58" s="5"/>
      <c r="F58" s="5" t="s">
        <v>610</v>
      </c>
      <c r="G58" s="7" t="s">
        <v>611</v>
      </c>
      <c r="H58" s="5"/>
      <c r="I58" s="5"/>
      <c r="J58" s="5"/>
      <c r="K58" s="5"/>
      <c r="L58" s="5"/>
      <c r="T58" t="s">
        <v>623</v>
      </c>
      <c r="U58" cm="1">
        <f t="array" ref="U58">AvgRangePercent(G58,50)</f>
        <v>7.0000000000000007E-2</v>
      </c>
      <c r="X58" s="12"/>
    </row>
    <row r="59" spans="1:26" x14ac:dyDescent="0.45">
      <c r="A59" s="5"/>
      <c r="B59" s="5"/>
      <c r="C59" s="5"/>
      <c r="D59" s="5"/>
      <c r="E59" s="5"/>
      <c r="F59" s="5" t="s">
        <v>288</v>
      </c>
      <c r="G59" s="5" t="s">
        <v>612</v>
      </c>
      <c r="H59" s="5"/>
      <c r="I59" s="5"/>
      <c r="J59" s="5"/>
      <c r="K59" s="5"/>
      <c r="L59" s="5"/>
      <c r="T59" t="s">
        <v>339</v>
      </c>
      <c r="U59" cm="1">
        <f t="array" ref="U59">AvgRangePercent(G59,50)</f>
        <v>7.5000000000000011E-2</v>
      </c>
      <c r="X59" s="12"/>
    </row>
    <row r="60" spans="1:26" x14ac:dyDescent="0.45">
      <c r="A60" s="7" t="s">
        <v>299</v>
      </c>
      <c r="B60" s="5" t="s">
        <v>129</v>
      </c>
      <c r="C60" s="5" t="s">
        <v>613</v>
      </c>
      <c r="D60" s="5">
        <v>0</v>
      </c>
      <c r="E60" s="5">
        <v>0</v>
      </c>
      <c r="F60" s="5" t="s">
        <v>294</v>
      </c>
      <c r="G60" s="5" t="s">
        <v>614</v>
      </c>
      <c r="H60" s="5" t="s">
        <v>615</v>
      </c>
      <c r="I60" s="5" t="s">
        <v>616</v>
      </c>
      <c r="J60" s="5" t="s">
        <v>607</v>
      </c>
      <c r="K60" s="5" t="s">
        <v>292</v>
      </c>
      <c r="L60" s="5">
        <v>1</v>
      </c>
      <c r="T60" t="s">
        <v>2</v>
      </c>
      <c r="U60" cm="1">
        <f t="array" ref="U60">AvgRangePercent(C56,90)*3.6/1000</f>
        <v>0.52200000000000002</v>
      </c>
      <c r="X60" s="12"/>
    </row>
    <row r="61" spans="1:26" x14ac:dyDescent="0.45">
      <c r="A61" s="5"/>
      <c r="B61" s="5"/>
      <c r="C61" s="5"/>
      <c r="D61" s="5"/>
      <c r="E61" s="5"/>
      <c r="F61" s="5" t="s">
        <v>291</v>
      </c>
      <c r="G61" s="5" t="s">
        <v>608</v>
      </c>
      <c r="H61" s="5"/>
      <c r="I61" s="5"/>
      <c r="J61" s="5"/>
      <c r="K61" s="5" t="s">
        <v>543</v>
      </c>
      <c r="L61" s="5" t="s">
        <v>609</v>
      </c>
      <c r="Q61" t="s">
        <v>341</v>
      </c>
      <c r="S61" t="str">
        <f>B60</f>
        <v>feIndia</v>
      </c>
      <c r="T61" t="s">
        <v>342</v>
      </c>
      <c r="U61" cm="1">
        <f t="array" ref="U61">AvgRangePercent(G60,20)</f>
        <v>1.6400000000000001</v>
      </c>
      <c r="V61" t="s">
        <v>343</v>
      </c>
      <c r="W61">
        <v>1</v>
      </c>
      <c r="X61" s="12">
        <f>(U62*30*113-W62*65)/U62</f>
        <v>2591.2222222222222</v>
      </c>
      <c r="Y61" cm="1">
        <f t="array" ref="Y61">AvgRangePercent(H60,50)</f>
        <v>450</v>
      </c>
      <c r="Z61" cm="1">
        <f t="array" ref="Z61">AvgRangePercent(I60,50)</f>
        <v>55</v>
      </c>
    </row>
    <row r="62" spans="1:26" x14ac:dyDescent="0.45">
      <c r="A62" s="5"/>
      <c r="B62" s="5"/>
      <c r="C62" s="5"/>
      <c r="D62" s="5"/>
      <c r="E62" s="5"/>
      <c r="F62" s="5" t="s">
        <v>610</v>
      </c>
      <c r="G62" s="7" t="s">
        <v>611</v>
      </c>
      <c r="H62" s="5"/>
      <c r="I62" s="5"/>
      <c r="J62" s="5"/>
      <c r="K62" s="5"/>
      <c r="L62" s="5"/>
      <c r="S62" t="str">
        <f>B60</f>
        <v>feIndia</v>
      </c>
      <c r="T62" t="s">
        <v>341</v>
      </c>
      <c r="U62" cm="1">
        <f t="array" ref="U62">AvgRangePercent(G61,50)</f>
        <v>0.45</v>
      </c>
      <c r="V62" t="s">
        <v>481</v>
      </c>
      <c r="W62" cm="1">
        <f t="array" ref="W62">AvgRangePercent(L61,20)</f>
        <v>5.53</v>
      </c>
      <c r="X62" s="12"/>
    </row>
    <row r="63" spans="1:26" x14ac:dyDescent="0.45">
      <c r="A63" s="5"/>
      <c r="B63" s="5"/>
      <c r="C63" s="5"/>
      <c r="D63" s="5"/>
      <c r="E63" s="5"/>
      <c r="F63" s="5" t="s">
        <v>288</v>
      </c>
      <c r="G63" s="5" t="s">
        <v>612</v>
      </c>
      <c r="H63" s="5"/>
      <c r="I63" s="5"/>
      <c r="J63" s="5"/>
      <c r="K63" s="5"/>
      <c r="L63" s="5"/>
      <c r="S63" t="str">
        <f>B60</f>
        <v>feIndia</v>
      </c>
      <c r="T63" t="s">
        <v>623</v>
      </c>
      <c r="U63" cm="1">
        <f t="array" ref="U63">AvgRangePercent(G62,50)</f>
        <v>7.0000000000000007E-2</v>
      </c>
      <c r="X63" s="12"/>
    </row>
    <row r="64" spans="1:26" x14ac:dyDescent="0.45">
      <c r="A64" s="7" t="s">
        <v>299</v>
      </c>
      <c r="B64" s="5" t="s">
        <v>489</v>
      </c>
      <c r="C64" s="5" t="s">
        <v>617</v>
      </c>
      <c r="D64" s="5">
        <v>0</v>
      </c>
      <c r="E64" s="5">
        <v>0</v>
      </c>
      <c r="F64" s="5" t="s">
        <v>294</v>
      </c>
      <c r="G64" s="5" t="s">
        <v>618</v>
      </c>
      <c r="H64" s="5" t="s">
        <v>619</v>
      </c>
      <c r="I64" s="5" t="s">
        <v>620</v>
      </c>
      <c r="J64" s="5" t="s">
        <v>621</v>
      </c>
      <c r="K64" s="5" t="s">
        <v>292</v>
      </c>
      <c r="L64" s="5">
        <v>1</v>
      </c>
      <c r="S64" t="str">
        <f>B60</f>
        <v>feIndia</v>
      </c>
      <c r="T64" t="s">
        <v>339</v>
      </c>
      <c r="U64" cm="1">
        <f t="array" ref="U64">AvgRangePercent(G63,50)</f>
        <v>7.5000000000000011E-2</v>
      </c>
      <c r="X64" s="12"/>
    </row>
    <row r="65" spans="1:26" x14ac:dyDescent="0.45">
      <c r="A65" s="5"/>
      <c r="B65" s="5"/>
      <c r="C65" s="5"/>
      <c r="D65" s="5"/>
      <c r="E65" s="5"/>
      <c r="F65" s="5" t="s">
        <v>291</v>
      </c>
      <c r="G65" s="5" t="s">
        <v>608</v>
      </c>
      <c r="H65" s="5"/>
      <c r="I65" s="5"/>
      <c r="J65" s="5"/>
      <c r="K65" s="5" t="s">
        <v>543</v>
      </c>
      <c r="L65" s="5" t="s">
        <v>622</v>
      </c>
      <c r="S65" t="str">
        <f>B60</f>
        <v>feIndia</v>
      </c>
      <c r="T65" t="s">
        <v>2</v>
      </c>
      <c r="U65" cm="1">
        <f t="array" ref="U65">AvgRangePercent(C60,90)*3.6/1000</f>
        <v>0.62639999999999996</v>
      </c>
      <c r="X65" s="12"/>
    </row>
    <row r="66" spans="1:26" x14ac:dyDescent="0.45">
      <c r="A66" s="5"/>
      <c r="B66" s="5"/>
      <c r="C66" s="5"/>
      <c r="D66" s="5"/>
      <c r="E66" s="5"/>
      <c r="F66" s="5" t="s">
        <v>610</v>
      </c>
      <c r="G66" s="7" t="s">
        <v>611</v>
      </c>
      <c r="H66" s="5"/>
      <c r="I66" s="5"/>
      <c r="J66" s="5"/>
      <c r="K66" s="5"/>
      <c r="L66" s="5"/>
      <c r="Q66" t="s">
        <v>341</v>
      </c>
      <c r="S66" t="str">
        <f>B64</f>
        <v>feUSA</v>
      </c>
      <c r="T66" t="s">
        <v>342</v>
      </c>
      <c r="U66" cm="1">
        <f t="array" ref="U66">AvgRangePercent(G64,20)</f>
        <v>1.52</v>
      </c>
      <c r="V66" t="s">
        <v>343</v>
      </c>
      <c r="W66">
        <v>1</v>
      </c>
      <c r="X66" s="12">
        <f>(U67*30*113-W67*65)/U67</f>
        <v>2500.2222222222222</v>
      </c>
      <c r="Y66" cm="1">
        <f t="array" ref="Y66">AvgRangePercent(H64,50)</f>
        <v>550</v>
      </c>
      <c r="Z66" cm="1">
        <f t="array" ref="Z66">AvgRangePercent(I64,50)</f>
        <v>80</v>
      </c>
    </row>
    <row r="67" spans="1:26" x14ac:dyDescent="0.45">
      <c r="A67" s="5"/>
      <c r="B67" s="5"/>
      <c r="C67" s="5"/>
      <c r="D67" s="5"/>
      <c r="E67" s="5"/>
      <c r="F67" s="5" t="s">
        <v>288</v>
      </c>
      <c r="G67" s="5" t="s">
        <v>612</v>
      </c>
      <c r="H67" s="5"/>
      <c r="I67" s="5"/>
      <c r="J67" s="5"/>
      <c r="K67" s="5"/>
      <c r="L67" s="5"/>
      <c r="S67" t="str">
        <f>B64</f>
        <v>feUSA</v>
      </c>
      <c r="T67" t="s">
        <v>341</v>
      </c>
      <c r="U67" cm="1">
        <f t="array" ref="U67">AvgRangePercent(G65,50)</f>
        <v>0.45</v>
      </c>
      <c r="V67" t="s">
        <v>481</v>
      </c>
      <c r="W67" cm="1">
        <f t="array" ref="W67">AvgRangePercent(L65,20)</f>
        <v>6.16</v>
      </c>
      <c r="X67" s="12"/>
    </row>
    <row r="68" spans="1:26" x14ac:dyDescent="0.45">
      <c r="S68" t="str">
        <f>B64</f>
        <v>feUSA</v>
      </c>
      <c r="T68" t="s">
        <v>623</v>
      </c>
      <c r="U68" cm="1">
        <f t="array" ref="U68">AvgRangePercent(G66,50)</f>
        <v>7.0000000000000007E-2</v>
      </c>
      <c r="X68" s="12"/>
    </row>
    <row r="69" spans="1:26" x14ac:dyDescent="0.45">
      <c r="S69" t="str">
        <f>B64</f>
        <v>feUSA</v>
      </c>
      <c r="T69" t="s">
        <v>339</v>
      </c>
      <c r="U69" cm="1">
        <f t="array" ref="U69">AvgRangePercent(G67,50)</f>
        <v>7.5000000000000011E-2</v>
      </c>
      <c r="X69" s="12"/>
    </row>
    <row r="70" spans="1:26" ht="17.649999999999999" x14ac:dyDescent="0.45">
      <c r="A70" s="3" t="s">
        <v>636</v>
      </c>
      <c r="S70" t="str">
        <f>B64</f>
        <v>feUSA</v>
      </c>
      <c r="T70" t="s">
        <v>2</v>
      </c>
      <c r="U70" cm="1">
        <f t="array" ref="U70">AvgRangePercent(C64,90)*3.6/1000</f>
        <v>0.4536</v>
      </c>
      <c r="X70" s="12"/>
    </row>
    <row r="71" spans="1:26" x14ac:dyDescent="0.45">
      <c r="F71" s="5"/>
      <c r="G71" s="5"/>
      <c r="Q71" t="s">
        <v>341</v>
      </c>
      <c r="R71" t="str">
        <f>"IMstlbof_"&amp;A73&amp;" with CCS"</f>
        <v>IMstlbof_Modern BF with CCS</v>
      </c>
      <c r="T71" t="s">
        <v>342</v>
      </c>
      <c r="U71" cm="1">
        <f t="array" ref="U71">AvgRangePercent(G56,20)</f>
        <v>1.54</v>
      </c>
      <c r="V71" t="s">
        <v>343</v>
      </c>
      <c r="W71">
        <v>1</v>
      </c>
      <c r="X71" s="12">
        <f>X61</f>
        <v>2591.2222222222222</v>
      </c>
      <c r="Y71" cm="1">
        <f t="array" ref="Y71">AvgRangePercent(G73,50)</f>
        <v>550</v>
      </c>
      <c r="Z71" cm="1">
        <f t="array" ref="Z71">AvgRangePercent(H73,50)</f>
        <v>80</v>
      </c>
    </row>
    <row r="72" spans="1:26" x14ac:dyDescent="0.45">
      <c r="A72" s="4" t="s">
        <v>44</v>
      </c>
      <c r="B72" s="4" t="s">
        <v>45</v>
      </c>
      <c r="C72" s="4" t="s">
        <v>306</v>
      </c>
      <c r="D72" s="4" t="s">
        <v>304</v>
      </c>
      <c r="E72" s="4" t="s">
        <v>51</v>
      </c>
      <c r="F72" s="4" t="s">
        <v>303</v>
      </c>
      <c r="G72" s="4" t="s">
        <v>302</v>
      </c>
      <c r="H72" s="4" t="s">
        <v>301</v>
      </c>
      <c r="I72" s="4" t="s">
        <v>430</v>
      </c>
      <c r="J72" s="4" t="s">
        <v>77</v>
      </c>
      <c r="K72" s="4" t="s">
        <v>52</v>
      </c>
      <c r="L72" s="4" t="s">
        <v>431</v>
      </c>
      <c r="M72" s="4" t="s">
        <v>546</v>
      </c>
      <c r="N72" s="4"/>
      <c r="T72" t="s">
        <v>341</v>
      </c>
      <c r="U72" cm="1">
        <f t="array" ref="U72">AvgRangePercent(G57,50)</f>
        <v>0.45</v>
      </c>
      <c r="V72" t="s">
        <v>481</v>
      </c>
      <c r="W72" cm="1">
        <f t="array" ref="W72">AvgRangePercent(M73,20)</f>
        <v>5.53</v>
      </c>
      <c r="X72" s="12"/>
    </row>
    <row r="73" spans="1:26" x14ac:dyDescent="0.45">
      <c r="A73" s="7" t="s">
        <v>299</v>
      </c>
      <c r="B73" s="7" t="s">
        <v>123</v>
      </c>
      <c r="C73" s="5" t="s">
        <v>359</v>
      </c>
      <c r="D73" s="5">
        <v>0</v>
      </c>
      <c r="E73" s="5" t="s">
        <v>432</v>
      </c>
      <c r="F73" s="5" t="s">
        <v>438</v>
      </c>
      <c r="G73" s="5" t="s">
        <v>439</v>
      </c>
      <c r="H73" s="5" t="s">
        <v>440</v>
      </c>
      <c r="I73" s="5" t="s">
        <v>433</v>
      </c>
      <c r="J73" s="5" t="s">
        <v>292</v>
      </c>
      <c r="K73" s="5">
        <v>1</v>
      </c>
      <c r="L73" s="5" t="s">
        <v>434</v>
      </c>
      <c r="M73" t="s">
        <v>547</v>
      </c>
      <c r="T73" t="s">
        <v>623</v>
      </c>
      <c r="U73" cm="1">
        <f t="array" ref="U73">AvgRangePercent(G58,50)</f>
        <v>7.0000000000000007E-2</v>
      </c>
      <c r="X73" s="12"/>
    </row>
    <row r="74" spans="1:26" x14ac:dyDescent="0.45">
      <c r="A74" s="7"/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T74" t="s">
        <v>339</v>
      </c>
      <c r="U74" cm="1">
        <f t="array" ref="U74">AvgRangePercent(G59,50)</f>
        <v>7.5000000000000011E-2</v>
      </c>
      <c r="X74" s="12"/>
    </row>
    <row r="75" spans="1:26" x14ac:dyDescent="0.45">
      <c r="A75" s="7"/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T75" t="s">
        <v>2</v>
      </c>
      <c r="U75" cm="1">
        <f t="array" ref="U75">AvgRangePercent(C73,90)*3.6/1000</f>
        <v>0.62639999999999996</v>
      </c>
      <c r="X75" s="12"/>
    </row>
    <row r="76" spans="1:26" x14ac:dyDescent="0.45">
      <c r="A76" s="7"/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Q76" t="s">
        <v>341</v>
      </c>
      <c r="S76" t="str">
        <f>B78</f>
        <v>feIndia</v>
      </c>
      <c r="T76" t="s">
        <v>342</v>
      </c>
      <c r="U76" cm="1">
        <f t="array" ref="U76">AvgRangePercent(G60,20)</f>
        <v>1.6400000000000001</v>
      </c>
      <c r="V76" t="s">
        <v>343</v>
      </c>
      <c r="W76">
        <v>1</v>
      </c>
      <c r="X76" s="12">
        <f>X61</f>
        <v>2591.2222222222222</v>
      </c>
      <c r="Y76" cm="1">
        <f t="array" ref="Y76">AvgRangePercent(G78,50)</f>
        <v>550</v>
      </c>
      <c r="Z76" cm="1">
        <f t="array" ref="Z76">AvgRangePercent(H78,50)</f>
        <v>80</v>
      </c>
    </row>
    <row r="77" spans="1:26" x14ac:dyDescent="0.45">
      <c r="A77" s="7"/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S77" t="str">
        <f>B78</f>
        <v>feIndia</v>
      </c>
      <c r="T77" t="s">
        <v>341</v>
      </c>
      <c r="U77" cm="1">
        <f t="array" ref="U77">AvgRangePercent(G61,50)</f>
        <v>0.45</v>
      </c>
      <c r="V77" t="s">
        <v>481</v>
      </c>
      <c r="W77" cm="1">
        <f t="array" ref="W77">AvgRangePercent(M78,20)</f>
        <v>5.53</v>
      </c>
      <c r="X77" s="12"/>
    </row>
    <row r="78" spans="1:26" x14ac:dyDescent="0.45">
      <c r="A78" s="5"/>
      <c r="B78" s="7" t="s">
        <v>129</v>
      </c>
      <c r="C78" s="5" t="s">
        <v>441</v>
      </c>
      <c r="D78" s="5">
        <v>0</v>
      </c>
      <c r="E78" s="5" t="s">
        <v>432</v>
      </c>
      <c r="F78" s="5" t="s">
        <v>438</v>
      </c>
      <c r="G78" s="5" t="s">
        <v>439</v>
      </c>
      <c r="H78" s="5" t="s">
        <v>440</v>
      </c>
      <c r="I78" s="5" t="s">
        <v>433</v>
      </c>
      <c r="J78" s="5" t="s">
        <v>292</v>
      </c>
      <c r="K78" s="5">
        <v>1</v>
      </c>
      <c r="L78" s="5" t="s">
        <v>435</v>
      </c>
      <c r="M78" t="s">
        <v>547</v>
      </c>
      <c r="S78" t="str">
        <f>B78</f>
        <v>feIndia</v>
      </c>
      <c r="T78" t="s">
        <v>623</v>
      </c>
      <c r="U78" cm="1">
        <f t="array" ref="U78">AvgRangePercent(G62,50)</f>
        <v>7.0000000000000007E-2</v>
      </c>
      <c r="X78" s="12"/>
    </row>
    <row r="79" spans="1:26" x14ac:dyDescent="0.45">
      <c r="A79" s="5"/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S79" t="str">
        <f>B78</f>
        <v>feIndia</v>
      </c>
      <c r="T79" t="s">
        <v>339</v>
      </c>
      <c r="U79" cm="1">
        <f t="array" ref="U79">AvgRangePercent(G59,50)</f>
        <v>7.5000000000000011E-2</v>
      </c>
      <c r="X79" s="12"/>
    </row>
    <row r="80" spans="1:26" x14ac:dyDescent="0.45">
      <c r="A80" s="5"/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S80" t="str">
        <f>B78</f>
        <v>feIndia</v>
      </c>
      <c r="T80" t="s">
        <v>2</v>
      </c>
      <c r="U80" cm="1">
        <f t="array" ref="U80">AvgRangePercent(C78,90)*3.6/1000</f>
        <v>0.63</v>
      </c>
      <c r="X80" s="12"/>
    </row>
    <row r="81" spans="1:26" x14ac:dyDescent="0.45">
      <c r="A81" s="5"/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Q81" t="s">
        <v>341</v>
      </c>
      <c r="S81" t="str">
        <f>B83</f>
        <v>feUSA</v>
      </c>
      <c r="T81" t="s">
        <v>342</v>
      </c>
      <c r="U81" cm="1">
        <f t="array" ref="U81">AvgRangePercent(G64,20)</f>
        <v>1.52</v>
      </c>
      <c r="V81" t="s">
        <v>343</v>
      </c>
      <c r="W81">
        <v>1</v>
      </c>
      <c r="X81" s="12">
        <f>X66</f>
        <v>2500.2222222222222</v>
      </c>
      <c r="Y81" cm="1">
        <f t="array" ref="Y81">AvgRangePercent(G83,50)</f>
        <v>500</v>
      </c>
      <c r="Z81" cm="1">
        <f t="array" ref="Z81">AvgRangePercent(H83,50)</f>
        <v>70</v>
      </c>
    </row>
    <row r="82" spans="1:26" x14ac:dyDescent="0.45">
      <c r="A82" s="5"/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S82" t="str">
        <f>B83</f>
        <v>feUSA</v>
      </c>
      <c r="T82" t="s">
        <v>341</v>
      </c>
      <c r="U82" cm="1">
        <f t="array" ref="U82">AvgRangePercent(G65,50)</f>
        <v>0.45</v>
      </c>
      <c r="V82" t="s">
        <v>481</v>
      </c>
      <c r="W82" cm="1">
        <f t="array" ref="W82">AvgRangePercent(M83,20)</f>
        <v>6.16</v>
      </c>
      <c r="X82" s="12"/>
    </row>
    <row r="83" spans="1:26" x14ac:dyDescent="0.45">
      <c r="A83" s="5"/>
      <c r="B83" s="5" t="s">
        <v>489</v>
      </c>
      <c r="C83" s="5" t="s">
        <v>442</v>
      </c>
      <c r="D83" s="5">
        <v>0</v>
      </c>
      <c r="E83" s="5" t="s">
        <v>432</v>
      </c>
      <c r="F83" s="5" t="s">
        <v>443</v>
      </c>
      <c r="G83" s="5" t="s">
        <v>364</v>
      </c>
      <c r="H83" s="5" t="s">
        <v>444</v>
      </c>
      <c r="I83" s="5" t="s">
        <v>436</v>
      </c>
      <c r="J83" s="5" t="s">
        <v>292</v>
      </c>
      <c r="K83" s="5">
        <v>1</v>
      </c>
      <c r="L83" s="5" t="s">
        <v>437</v>
      </c>
      <c r="M83" t="s">
        <v>545</v>
      </c>
      <c r="S83" t="str">
        <f>B83</f>
        <v>feUSA</v>
      </c>
      <c r="T83" t="s">
        <v>623</v>
      </c>
      <c r="U83" cm="1">
        <f t="array" ref="U83">AvgRangePercent(G66,50)</f>
        <v>7.0000000000000007E-2</v>
      </c>
      <c r="X83" s="12"/>
    </row>
    <row r="84" spans="1:26" x14ac:dyDescent="0.45">
      <c r="S84" t="str">
        <f>B83</f>
        <v>feUSA</v>
      </c>
      <c r="T84" t="s">
        <v>339</v>
      </c>
      <c r="U84" cm="1">
        <f t="array" ref="U84">AvgRangePercent(G67,50)</f>
        <v>7.5000000000000011E-2</v>
      </c>
      <c r="X84" s="12"/>
    </row>
    <row r="85" spans="1:26" x14ac:dyDescent="0.45">
      <c r="S85" t="str">
        <f>B83</f>
        <v>feUSA</v>
      </c>
      <c r="T85" t="s">
        <v>2</v>
      </c>
      <c r="U85" cm="1">
        <f t="array" ref="U85">AvgRangePercent(C83,90)*3.6/1000</f>
        <v>0.52560000000000007</v>
      </c>
      <c r="X85" s="12"/>
    </row>
    <row r="88" spans="1:26" ht="17.649999999999999" x14ac:dyDescent="0.45">
      <c r="A88" s="3" t="s">
        <v>307</v>
      </c>
    </row>
    <row r="90" spans="1:26" x14ac:dyDescent="0.45">
      <c r="A90" s="4" t="s">
        <v>44</v>
      </c>
      <c r="B90" s="4" t="s">
        <v>45</v>
      </c>
      <c r="C90" s="4" t="s">
        <v>306</v>
      </c>
      <c r="D90" s="4" t="s">
        <v>305</v>
      </c>
      <c r="E90" s="4" t="s">
        <v>304</v>
      </c>
      <c r="F90" s="4" t="s">
        <v>51</v>
      </c>
      <c r="G90" s="4" t="s">
        <v>635</v>
      </c>
      <c r="H90" s="4" t="s">
        <v>302</v>
      </c>
      <c r="I90" s="4" t="s">
        <v>301</v>
      </c>
      <c r="J90" s="4" t="s">
        <v>300</v>
      </c>
      <c r="K90" s="4" t="s">
        <v>77</v>
      </c>
      <c r="L90" s="4" t="s">
        <v>52</v>
      </c>
    </row>
    <row r="91" spans="1:26" x14ac:dyDescent="0.45">
      <c r="A91" s="7" t="s">
        <v>299</v>
      </c>
      <c r="B91" s="5" t="s">
        <v>123</v>
      </c>
      <c r="C91" s="5" t="s">
        <v>106</v>
      </c>
      <c r="D91" s="5">
        <v>0</v>
      </c>
      <c r="E91" s="5">
        <v>0</v>
      </c>
      <c r="F91" s="5" t="s">
        <v>294</v>
      </c>
      <c r="G91" s="5" t="s">
        <v>298</v>
      </c>
      <c r="H91" t="s">
        <v>366</v>
      </c>
      <c r="I91" s="5" t="s">
        <v>238</v>
      </c>
      <c r="J91" t="s">
        <v>360</v>
      </c>
      <c r="K91" s="5" t="s">
        <v>292</v>
      </c>
      <c r="L91" s="5">
        <v>1</v>
      </c>
    </row>
    <row r="92" spans="1:26" x14ac:dyDescent="0.45">
      <c r="A92" s="5"/>
      <c r="B92" s="5"/>
      <c r="C92" s="5"/>
      <c r="D92" s="5"/>
      <c r="E92" s="5"/>
      <c r="F92" s="5" t="s">
        <v>291</v>
      </c>
      <c r="G92" s="5" t="s">
        <v>290</v>
      </c>
      <c r="H92" s="5"/>
      <c r="I92" s="5"/>
      <c r="J92" s="5"/>
      <c r="K92" s="5" t="s">
        <v>543</v>
      </c>
      <c r="L92" t="s">
        <v>544</v>
      </c>
    </row>
    <row r="93" spans="1:26" x14ac:dyDescent="0.45">
      <c r="A93" s="5"/>
      <c r="B93" s="5"/>
      <c r="C93" s="5"/>
      <c r="D93" s="5"/>
      <c r="E93" s="5"/>
      <c r="F93" s="5" t="s">
        <v>289</v>
      </c>
      <c r="G93" s="5" t="s">
        <v>27</v>
      </c>
      <c r="H93" s="5"/>
      <c r="I93" s="5"/>
      <c r="J93" s="5"/>
      <c r="K93" s="5"/>
      <c r="L93" s="5"/>
    </row>
    <row r="94" spans="1:26" x14ac:dyDescent="0.45">
      <c r="A94" s="5"/>
      <c r="B94" s="5"/>
      <c r="C94" s="5"/>
      <c r="D94" s="5"/>
      <c r="E94" s="5"/>
      <c r="F94" s="5" t="s">
        <v>288</v>
      </c>
      <c r="G94" s="5" t="s">
        <v>26</v>
      </c>
      <c r="H94" s="5"/>
      <c r="I94" s="5"/>
      <c r="J94" s="5"/>
      <c r="K94" s="5"/>
      <c r="L94" s="5"/>
    </row>
    <row r="95" spans="1:26" x14ac:dyDescent="0.45">
      <c r="A95" s="5"/>
      <c r="B95" s="5" t="s">
        <v>129</v>
      </c>
      <c r="C95" s="5" t="s">
        <v>297</v>
      </c>
      <c r="D95" s="5">
        <v>0</v>
      </c>
      <c r="E95" s="5">
        <v>0</v>
      </c>
      <c r="F95" s="5" t="s">
        <v>294</v>
      </c>
      <c r="G95" s="5" t="s">
        <v>296</v>
      </c>
      <c r="H95" t="s">
        <v>425</v>
      </c>
      <c r="I95" s="5" t="s">
        <v>239</v>
      </c>
      <c r="J95" t="s">
        <v>360</v>
      </c>
      <c r="K95" s="5" t="s">
        <v>292</v>
      </c>
      <c r="L95" s="5">
        <v>1</v>
      </c>
    </row>
    <row r="96" spans="1:26" x14ac:dyDescent="0.45">
      <c r="A96" s="5"/>
      <c r="B96" s="5"/>
      <c r="C96" s="5"/>
      <c r="D96" s="5"/>
      <c r="E96" s="5"/>
      <c r="F96" s="5" t="s">
        <v>291</v>
      </c>
      <c r="G96" s="5" t="s">
        <v>290</v>
      </c>
      <c r="H96" s="5"/>
      <c r="I96" s="5"/>
      <c r="J96" s="5"/>
      <c r="K96" s="5" t="s">
        <v>543</v>
      </c>
      <c r="L96" t="s">
        <v>544</v>
      </c>
    </row>
    <row r="97" spans="1:30" x14ac:dyDescent="0.45">
      <c r="A97" s="5"/>
      <c r="B97" s="5"/>
      <c r="C97" s="5"/>
      <c r="D97" s="5"/>
      <c r="E97" s="5"/>
      <c r="F97" s="5" t="s">
        <v>289</v>
      </c>
      <c r="G97" s="5" t="s">
        <v>27</v>
      </c>
      <c r="H97" s="5"/>
      <c r="I97" s="5"/>
      <c r="J97" s="5"/>
      <c r="K97" s="5"/>
      <c r="L97" s="5"/>
    </row>
    <row r="98" spans="1:30" x14ac:dyDescent="0.45">
      <c r="A98" s="5"/>
      <c r="B98" s="5"/>
      <c r="C98" s="5"/>
      <c r="D98" s="5"/>
      <c r="E98" s="5"/>
      <c r="F98" s="5" t="s">
        <v>288</v>
      </c>
      <c r="G98" s="5" t="s">
        <v>26</v>
      </c>
      <c r="H98" s="5"/>
      <c r="I98" s="5"/>
      <c r="J98" s="5"/>
      <c r="K98" s="5"/>
      <c r="L98" s="5"/>
    </row>
    <row r="99" spans="1:30" x14ac:dyDescent="0.45">
      <c r="A99" s="5"/>
      <c r="B99" s="5" t="s">
        <v>489</v>
      </c>
      <c r="C99" s="5" t="s">
        <v>295</v>
      </c>
      <c r="D99" s="5">
        <v>0</v>
      </c>
      <c r="E99" s="5">
        <v>0</v>
      </c>
      <c r="F99" s="5" t="s">
        <v>294</v>
      </c>
      <c r="G99" s="5" t="s">
        <v>293</v>
      </c>
      <c r="H99" t="s">
        <v>426</v>
      </c>
      <c r="I99" s="5" t="s">
        <v>228</v>
      </c>
      <c r="J99" t="s">
        <v>361</v>
      </c>
      <c r="K99" s="5" t="s">
        <v>292</v>
      </c>
      <c r="L99" s="5">
        <v>1</v>
      </c>
    </row>
    <row r="100" spans="1:30" x14ac:dyDescent="0.45">
      <c r="A100" s="5"/>
      <c r="B100" s="5"/>
      <c r="C100" s="5"/>
      <c r="D100" s="5"/>
      <c r="E100" s="5"/>
      <c r="F100" s="5" t="s">
        <v>291</v>
      </c>
      <c r="G100" s="5" t="s">
        <v>290</v>
      </c>
      <c r="H100" s="5"/>
      <c r="I100" s="5"/>
      <c r="J100" s="5"/>
      <c r="K100" s="5" t="s">
        <v>543</v>
      </c>
      <c r="L100" t="s">
        <v>545</v>
      </c>
    </row>
    <row r="101" spans="1:30" x14ac:dyDescent="0.45">
      <c r="A101" s="5"/>
      <c r="B101" s="5"/>
      <c r="C101" s="5"/>
      <c r="D101" s="5"/>
      <c r="E101" s="5"/>
      <c r="F101" s="5" t="s">
        <v>289</v>
      </c>
      <c r="G101" s="5" t="s">
        <v>27</v>
      </c>
      <c r="H101" s="5"/>
      <c r="I101" s="5"/>
      <c r="J101" s="5"/>
      <c r="K101" s="5"/>
      <c r="L101" s="5"/>
    </row>
    <row r="102" spans="1:30" x14ac:dyDescent="0.45">
      <c r="F102" s="5" t="s">
        <v>288</v>
      </c>
      <c r="G102" s="5" t="s">
        <v>26</v>
      </c>
    </row>
    <row r="105" spans="1:30" ht="17.649999999999999" x14ac:dyDescent="0.45">
      <c r="P105" s="4"/>
      <c r="Q105" s="3" t="s">
        <v>637</v>
      </c>
      <c r="R105" s="4"/>
      <c r="S105" s="4"/>
      <c r="T105" s="4"/>
      <c r="U105" s="4"/>
      <c r="W105" s="4"/>
      <c r="X105" s="4"/>
      <c r="Y105" s="4"/>
      <c r="Z105" s="4"/>
      <c r="AA105" s="4"/>
      <c r="AB105" s="4"/>
      <c r="AC105" s="4"/>
    </row>
    <row r="106" spans="1:30" ht="17.649999999999999" x14ac:dyDescent="0.45">
      <c r="A106" s="3" t="s">
        <v>445</v>
      </c>
      <c r="AD106" s="4"/>
    </row>
    <row r="107" spans="1:30" x14ac:dyDescent="0.45">
      <c r="Q107" s="22" t="s">
        <v>81</v>
      </c>
    </row>
    <row r="108" spans="1:30" x14ac:dyDescent="0.45">
      <c r="A108" s="4" t="s">
        <v>44</v>
      </c>
      <c r="B108" s="4" t="s">
        <v>45</v>
      </c>
      <c r="C108" s="4" t="s">
        <v>286</v>
      </c>
      <c r="D108" s="4" t="s">
        <v>284</v>
      </c>
      <c r="E108" s="4" t="s">
        <v>51</v>
      </c>
      <c r="F108" s="4" t="s">
        <v>283</v>
      </c>
      <c r="G108" s="4" t="s">
        <v>282</v>
      </c>
      <c r="H108" s="4" t="s">
        <v>281</v>
      </c>
      <c r="I108" s="4" t="s">
        <v>446</v>
      </c>
      <c r="J108" s="4" t="s">
        <v>77</v>
      </c>
      <c r="K108" s="4" t="s">
        <v>52</v>
      </c>
      <c r="L108" s="4" t="s">
        <v>431</v>
      </c>
      <c r="M108" t="s">
        <v>540</v>
      </c>
      <c r="Q108" s="4" t="s">
        <v>3</v>
      </c>
      <c r="R108" s="4" t="s">
        <v>74</v>
      </c>
      <c r="S108" s="4" t="s">
        <v>50</v>
      </c>
      <c r="T108" s="4" t="s">
        <v>527</v>
      </c>
      <c r="U108" s="4" t="s">
        <v>627</v>
      </c>
      <c r="V108" s="4" t="s">
        <v>4</v>
      </c>
      <c r="W108" s="4" t="s">
        <v>33</v>
      </c>
      <c r="X108" s="4" t="s">
        <v>6</v>
      </c>
      <c r="Y108" s="4" t="s">
        <v>628</v>
      </c>
    </row>
    <row r="109" spans="1:30" x14ac:dyDescent="0.45">
      <c r="A109" s="7" t="s">
        <v>279</v>
      </c>
      <c r="B109" s="7" t="s">
        <v>123</v>
      </c>
      <c r="C109" s="5" t="s">
        <v>228</v>
      </c>
      <c r="D109" s="5">
        <v>0</v>
      </c>
      <c r="E109" s="5" t="s">
        <v>447</v>
      </c>
      <c r="F109" s="5" t="s">
        <v>452</v>
      </c>
      <c r="G109" s="5" t="s">
        <v>453</v>
      </c>
      <c r="H109" s="5" t="s">
        <v>454</v>
      </c>
      <c r="I109" s="5" t="s">
        <v>365</v>
      </c>
      <c r="J109" s="5" t="s">
        <v>231</v>
      </c>
      <c r="K109" s="5">
        <v>1</v>
      </c>
      <c r="L109" s="5" t="s">
        <v>448</v>
      </c>
      <c r="M109" s="5" t="s">
        <v>541</v>
      </c>
      <c r="N109" s="5"/>
      <c r="Q109" t="str">
        <f>"IMstlbof_"&amp;A109&amp;" with CCS"</f>
        <v>IMstlbof_Conventional BOF with CCS</v>
      </c>
      <c r="S109" t="str">
        <f>IF(Y110&gt;0,"INDCOA,INDNGA,INDBFG","")</f>
        <v>INDCOA,INDNGA,INDBFG</v>
      </c>
      <c r="T109" t="s">
        <v>2</v>
      </c>
      <c r="U109" cm="1">
        <f t="array" ref="U109">AvgRangePercent(C109,90)*3.6/1000</f>
        <v>0.34560000000000002</v>
      </c>
      <c r="V109" cm="1">
        <f t="array" ref="V109">AvgRangePercent(G109,50)</f>
        <v>250</v>
      </c>
      <c r="W109" cm="1">
        <f t="array" ref="W109">AvgRangePercent(H109,50)</f>
        <v>55</v>
      </c>
      <c r="X109" t="s">
        <v>268</v>
      </c>
      <c r="Y109">
        <v>1</v>
      </c>
    </row>
    <row r="110" spans="1:30" x14ac:dyDescent="0.45">
      <c r="A110" s="7"/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T110" t="s">
        <v>343</v>
      </c>
      <c r="U110">
        <f>T131</f>
        <v>0.95</v>
      </c>
      <c r="X110" t="s">
        <v>481</v>
      </c>
      <c r="Y110" cm="1">
        <f t="array" ref="Y110">AvgRangePercent(M109,50)</f>
        <v>0.95</v>
      </c>
    </row>
    <row r="111" spans="1:30" x14ac:dyDescent="0.45">
      <c r="A111" s="7"/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T111" t="s">
        <v>338</v>
      </c>
      <c r="U111">
        <f>T132</f>
        <v>0.04</v>
      </c>
      <c r="X111" t="s">
        <v>567</v>
      </c>
      <c r="Y111">
        <f>X131</f>
        <v>60</v>
      </c>
    </row>
    <row r="112" spans="1:30" x14ac:dyDescent="0.45">
      <c r="A112" s="7"/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T112" t="s">
        <v>339</v>
      </c>
      <c r="U112">
        <f>T133</f>
        <v>1.9999999999999997E-2</v>
      </c>
    </row>
    <row r="113" spans="1:25" x14ac:dyDescent="0.45">
      <c r="A113" s="7"/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T113" t="s">
        <v>523</v>
      </c>
      <c r="U113">
        <f>T134</f>
        <v>5.5E-2</v>
      </c>
    </row>
    <row r="114" spans="1:25" x14ac:dyDescent="0.45">
      <c r="A114" s="5"/>
      <c r="B114" s="7" t="s">
        <v>129</v>
      </c>
      <c r="C114" s="5" t="s">
        <v>232</v>
      </c>
      <c r="D114" s="5">
        <v>0</v>
      </c>
      <c r="E114" s="5" t="s">
        <v>447</v>
      </c>
      <c r="F114" s="5" t="s">
        <v>452</v>
      </c>
      <c r="G114" s="5" t="s">
        <v>453</v>
      </c>
      <c r="H114" s="5" t="s">
        <v>454</v>
      </c>
      <c r="I114" s="5" t="s">
        <v>365</v>
      </c>
      <c r="J114" s="5" t="s">
        <v>231</v>
      </c>
      <c r="K114" s="5">
        <v>1</v>
      </c>
      <c r="L114" s="5" t="s">
        <v>449</v>
      </c>
      <c r="M114" s="5" t="s">
        <v>541</v>
      </c>
      <c r="N114" s="5"/>
      <c r="R114" t="str">
        <f t="shared" ref="R114:R119" si="2">B114</f>
        <v>feIndia</v>
      </c>
      <c r="T114" t="s">
        <v>2</v>
      </c>
      <c r="U114" cm="1">
        <f t="array" ref="U114">AvgRangePercent(C114,90)*3.6/1000</f>
        <v>0.38160000000000005</v>
      </c>
      <c r="V114" cm="1">
        <f t="array" ref="V114">AvgRangePercent(G114,50)</f>
        <v>250</v>
      </c>
      <c r="W114" cm="1">
        <f t="array" ref="W114">AvgRangePercent(H114,50)</f>
        <v>55</v>
      </c>
      <c r="X114" t="s">
        <v>268</v>
      </c>
      <c r="Y114">
        <v>1</v>
      </c>
    </row>
    <row r="115" spans="1:25" x14ac:dyDescent="0.45">
      <c r="A115" s="5"/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R115" t="str">
        <f>B114</f>
        <v>feIndia</v>
      </c>
      <c r="T115" t="s">
        <v>343</v>
      </c>
      <c r="U115">
        <f>T136</f>
        <v>0.95</v>
      </c>
      <c r="X115" t="s">
        <v>481</v>
      </c>
      <c r="Y115" cm="1">
        <f t="array" ref="Y115">AvgRangePercent(M114,50)</f>
        <v>0.95</v>
      </c>
    </row>
    <row r="116" spans="1:25" x14ac:dyDescent="0.45">
      <c r="A116" s="5"/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R116" t="str">
        <f>B114</f>
        <v>feIndia</v>
      </c>
      <c r="T116" t="s">
        <v>338</v>
      </c>
      <c r="U116">
        <f>T137</f>
        <v>0.04</v>
      </c>
      <c r="X116" t="s">
        <v>567</v>
      </c>
      <c r="Y116">
        <f>X136</f>
        <v>60</v>
      </c>
    </row>
    <row r="117" spans="1:25" x14ac:dyDescent="0.45">
      <c r="A117" s="5"/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R117" t="str">
        <f>B114</f>
        <v>feIndia</v>
      </c>
      <c r="T117" t="s">
        <v>339</v>
      </c>
      <c r="U117">
        <f>T138</f>
        <v>1.9999999999999997E-2</v>
      </c>
    </row>
    <row r="118" spans="1:25" x14ac:dyDescent="0.45">
      <c r="A118" s="5"/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R118" t="str">
        <f>B114</f>
        <v>feIndia</v>
      </c>
      <c r="T118" t="s">
        <v>523</v>
      </c>
      <c r="U118">
        <f>T139</f>
        <v>5.5E-2</v>
      </c>
    </row>
    <row r="119" spans="1:25" x14ac:dyDescent="0.45">
      <c r="A119" s="5"/>
      <c r="B119" s="5" t="s">
        <v>489</v>
      </c>
      <c r="C119" s="5" t="s">
        <v>232</v>
      </c>
      <c r="D119" s="5">
        <v>0</v>
      </c>
      <c r="E119" s="5" t="s">
        <v>447</v>
      </c>
      <c r="F119" s="5" t="s">
        <v>452</v>
      </c>
      <c r="G119" s="5" t="s">
        <v>455</v>
      </c>
      <c r="H119" s="5" t="s">
        <v>456</v>
      </c>
      <c r="I119" s="5" t="s">
        <v>450</v>
      </c>
      <c r="J119" s="5" t="s">
        <v>231</v>
      </c>
      <c r="K119" s="5">
        <v>1</v>
      </c>
      <c r="L119" s="5" t="s">
        <v>451</v>
      </c>
      <c r="M119" t="s">
        <v>542</v>
      </c>
      <c r="R119" t="str">
        <f t="shared" si="2"/>
        <v>feUSA</v>
      </c>
      <c r="T119" t="s">
        <v>2</v>
      </c>
      <c r="U119" cm="1">
        <f t="array" ref="U119">AvgRangePercent(C119,90)*3.6/1000</f>
        <v>0.38160000000000005</v>
      </c>
      <c r="V119" cm="1">
        <f t="array" ref="V119">AvgRangePercent(G119,50)</f>
        <v>240</v>
      </c>
      <c r="W119" cm="1">
        <f t="array" ref="W119">AvgRangePercent(H119,50)</f>
        <v>45</v>
      </c>
      <c r="X119" t="s">
        <v>268</v>
      </c>
      <c r="Y119">
        <v>1</v>
      </c>
    </row>
    <row r="120" spans="1:25" x14ac:dyDescent="0.45">
      <c r="F120" s="5"/>
      <c r="G120" s="5"/>
      <c r="T120" t="s">
        <v>343</v>
      </c>
      <c r="U120">
        <f>T141</f>
        <v>0.95</v>
      </c>
      <c r="X120" t="s">
        <v>481</v>
      </c>
      <c r="Y120" cm="1">
        <f t="array" ref="Y120">AvgRangePercent(M119,50)</f>
        <v>1.0499999999999998</v>
      </c>
    </row>
    <row r="121" spans="1:25" x14ac:dyDescent="0.45">
      <c r="F121" s="5"/>
      <c r="G121" s="5"/>
      <c r="T121" t="s">
        <v>338</v>
      </c>
      <c r="U121">
        <f>T142</f>
        <v>0.04</v>
      </c>
      <c r="X121" t="s">
        <v>567</v>
      </c>
      <c r="Y121">
        <f>X141</f>
        <v>70</v>
      </c>
    </row>
    <row r="122" spans="1:25" x14ac:dyDescent="0.45">
      <c r="F122" s="5"/>
      <c r="G122" s="5"/>
      <c r="T122" t="s">
        <v>339</v>
      </c>
      <c r="U122">
        <f>T143</f>
        <v>1.9999999999999997E-2</v>
      </c>
    </row>
    <row r="123" spans="1:25" x14ac:dyDescent="0.45">
      <c r="F123" s="5"/>
      <c r="G123" s="5"/>
      <c r="T123" t="s">
        <v>523</v>
      </c>
      <c r="U123">
        <f>T144</f>
        <v>5.5E-2</v>
      </c>
    </row>
    <row r="124" spans="1:25" x14ac:dyDescent="0.45">
      <c r="F124" s="5"/>
      <c r="G124" s="5"/>
    </row>
    <row r="125" spans="1:25" x14ac:dyDescent="0.45">
      <c r="F125" s="5"/>
      <c r="G125" s="5"/>
    </row>
    <row r="126" spans="1:25" ht="17.649999999999999" x14ac:dyDescent="0.45">
      <c r="Q126" s="3" t="s">
        <v>492</v>
      </c>
    </row>
    <row r="127" spans="1:25" ht="17.649999999999999" x14ac:dyDescent="0.45">
      <c r="A127" s="3" t="s">
        <v>287</v>
      </c>
    </row>
    <row r="128" spans="1:25" x14ac:dyDescent="0.45">
      <c r="Q128" s="22" t="s">
        <v>81</v>
      </c>
    </row>
    <row r="129" spans="1:26" x14ac:dyDescent="0.45">
      <c r="A129" s="4" t="s">
        <v>44</v>
      </c>
      <c r="B129" s="4" t="s">
        <v>45</v>
      </c>
      <c r="C129" s="4" t="s">
        <v>286</v>
      </c>
      <c r="D129" s="4" t="s">
        <v>285</v>
      </c>
      <c r="E129" s="4" t="s">
        <v>284</v>
      </c>
      <c r="F129" s="4" t="s">
        <v>51</v>
      </c>
      <c r="G129" s="4" t="s">
        <v>283</v>
      </c>
      <c r="H129" s="4" t="s">
        <v>282</v>
      </c>
      <c r="I129" s="4" t="s">
        <v>281</v>
      </c>
      <c r="J129" s="4" t="s">
        <v>280</v>
      </c>
      <c r="K129" s="4" t="s">
        <v>77</v>
      </c>
      <c r="L129" s="4" t="s">
        <v>52</v>
      </c>
      <c r="Q129" s="4" t="s">
        <v>3</v>
      </c>
      <c r="R129" s="4" t="s">
        <v>74</v>
      </c>
      <c r="S129" s="23" t="s">
        <v>527</v>
      </c>
      <c r="T129" s="4" t="s">
        <v>627</v>
      </c>
      <c r="U129" s="4" t="s">
        <v>4</v>
      </c>
      <c r="V129" s="4" t="s">
        <v>33</v>
      </c>
      <c r="W129" s="4" t="s">
        <v>6</v>
      </c>
      <c r="X129" s="4" t="s">
        <v>628</v>
      </c>
      <c r="Z129" s="4"/>
    </row>
    <row r="130" spans="1:26" x14ac:dyDescent="0.45">
      <c r="A130" s="7" t="s">
        <v>279</v>
      </c>
      <c r="B130" s="5" t="s">
        <v>123</v>
      </c>
      <c r="C130" s="5" t="s">
        <v>238</v>
      </c>
      <c r="D130" s="5">
        <v>0</v>
      </c>
      <c r="E130" s="5">
        <v>0</v>
      </c>
      <c r="F130" s="5" t="s">
        <v>278</v>
      </c>
      <c r="G130" s="5" t="s">
        <v>161</v>
      </c>
      <c r="H130" t="s">
        <v>427</v>
      </c>
      <c r="I130" s="5" t="s">
        <v>233</v>
      </c>
      <c r="J130" t="s">
        <v>99</v>
      </c>
      <c r="K130" s="5" t="s">
        <v>231</v>
      </c>
      <c r="L130" s="5">
        <v>1</v>
      </c>
      <c r="Q130" t="str">
        <f>"IMstlbof_"&amp;A130</f>
        <v>IMstlbof_Conventional BOF</v>
      </c>
      <c r="S130" t="s">
        <v>2</v>
      </c>
      <c r="T130" cm="1">
        <f t="array" ref="T130">AvgRangePercent(C130,90)*3.6/1000</f>
        <v>0.2772</v>
      </c>
      <c r="U130" cm="1">
        <f t="array" ref="U130">AvgRangePercent(H130,50)</f>
        <v>200</v>
      </c>
      <c r="V130" cm="1">
        <f t="array" ref="V130">AvgRangePercent(I130,50)</f>
        <v>40</v>
      </c>
      <c r="W130" t="s">
        <v>268</v>
      </c>
      <c r="X130">
        <v>1</v>
      </c>
    </row>
    <row r="131" spans="1:26" x14ac:dyDescent="0.45">
      <c r="A131" s="5"/>
      <c r="B131" s="5"/>
      <c r="C131" s="5"/>
      <c r="D131" s="5"/>
      <c r="E131" s="5"/>
      <c r="F131" s="5" t="s">
        <v>276</v>
      </c>
      <c r="G131" s="5" t="s">
        <v>275</v>
      </c>
      <c r="H131" s="5"/>
      <c r="I131" s="5"/>
      <c r="J131" s="5"/>
      <c r="K131" s="5"/>
      <c r="L131" s="5"/>
      <c r="S131" t="s">
        <v>343</v>
      </c>
      <c r="T131" cm="1">
        <f t="array" ref="T131">AvgRangePercent(G130,50)</f>
        <v>0.95</v>
      </c>
      <c r="W131" t="s">
        <v>567</v>
      </c>
      <c r="X131" cm="1">
        <f t="array" ref="X131">AvgRangePercent(J130,50)</f>
        <v>60</v>
      </c>
    </row>
    <row r="132" spans="1:26" x14ac:dyDescent="0.45">
      <c r="A132" s="5"/>
      <c r="B132" s="5"/>
      <c r="C132" s="5"/>
      <c r="D132" s="5"/>
      <c r="E132" s="5"/>
      <c r="F132" s="5" t="s">
        <v>274</v>
      </c>
      <c r="G132" s="5" t="s">
        <v>273</v>
      </c>
      <c r="H132" s="5"/>
      <c r="I132" s="5"/>
      <c r="J132" s="5"/>
      <c r="K132" s="5"/>
      <c r="L132" s="5"/>
      <c r="S132" t="s">
        <v>338</v>
      </c>
      <c r="T132" cm="1">
        <f t="array" ref="T132">AvgRangePercent(G131,50)</f>
        <v>0.04</v>
      </c>
    </row>
    <row r="133" spans="1:26" x14ac:dyDescent="0.45">
      <c r="A133" s="5"/>
      <c r="B133" s="5"/>
      <c r="C133" s="5"/>
      <c r="D133" s="5"/>
      <c r="E133" s="5"/>
      <c r="F133" t="s">
        <v>272</v>
      </c>
      <c r="G133" t="s">
        <v>271</v>
      </c>
      <c r="H133" s="5"/>
      <c r="I133" s="5"/>
      <c r="J133" s="5"/>
      <c r="K133" s="5"/>
      <c r="L133" s="5"/>
      <c r="S133" t="s">
        <v>339</v>
      </c>
      <c r="T133" cm="1">
        <f t="array" ref="T133">AvgRangePercent(G132,50)</f>
        <v>1.9999999999999997E-2</v>
      </c>
    </row>
    <row r="134" spans="1:26" x14ac:dyDescent="0.45">
      <c r="A134" s="5"/>
      <c r="B134" s="5"/>
      <c r="C134" s="5"/>
      <c r="D134" s="5"/>
      <c r="E134" s="5"/>
      <c r="H134" s="5"/>
      <c r="I134" s="5"/>
      <c r="J134" s="5"/>
      <c r="K134" s="5"/>
      <c r="L134" s="5"/>
      <c r="S134" t="s">
        <v>523</v>
      </c>
      <c r="T134" cm="1">
        <f t="array" ref="T134">AvgRangePercent(G133,50)</f>
        <v>5.5E-2</v>
      </c>
    </row>
    <row r="135" spans="1:26" x14ac:dyDescent="0.45">
      <c r="B135" s="5" t="s">
        <v>129</v>
      </c>
      <c r="C135" s="5" t="s">
        <v>228</v>
      </c>
      <c r="D135" s="5">
        <v>0</v>
      </c>
      <c r="E135" s="5">
        <v>0</v>
      </c>
      <c r="F135" s="5" t="s">
        <v>277</v>
      </c>
      <c r="G135" s="5" t="s">
        <v>161</v>
      </c>
      <c r="H135" t="s">
        <v>428</v>
      </c>
      <c r="I135" s="5" t="s">
        <v>269</v>
      </c>
      <c r="J135" t="s">
        <v>99</v>
      </c>
      <c r="K135" s="5" t="s">
        <v>231</v>
      </c>
      <c r="L135" s="5">
        <v>1</v>
      </c>
      <c r="R135" t="str">
        <f>B135</f>
        <v>feIndia</v>
      </c>
      <c r="S135" t="s">
        <v>2</v>
      </c>
      <c r="T135" cm="1">
        <f t="array" ref="T135">AvgRangePercent(C135,90)*3.6/1000</f>
        <v>0.34560000000000002</v>
      </c>
      <c r="U135" cm="1">
        <f t="array" ref="U135">AvgRangePercent(H135,50)</f>
        <v>175</v>
      </c>
      <c r="V135" cm="1">
        <f t="array" ref="V135">AvgRangePercent(I135,50)</f>
        <v>30</v>
      </c>
      <c r="W135" t="s">
        <v>268</v>
      </c>
      <c r="X135">
        <v>1</v>
      </c>
    </row>
    <row r="136" spans="1:26" x14ac:dyDescent="0.45">
      <c r="B136" s="5"/>
      <c r="C136" s="5"/>
      <c r="D136" s="5"/>
      <c r="E136" s="5"/>
      <c r="F136" s="5" t="s">
        <v>276</v>
      </c>
      <c r="G136" s="5" t="s">
        <v>275</v>
      </c>
      <c r="H136" s="5"/>
      <c r="I136" s="5"/>
      <c r="J136" s="5"/>
      <c r="K136" s="5"/>
      <c r="L136" s="5"/>
      <c r="R136" t="str">
        <f>B135</f>
        <v>feIndia</v>
      </c>
      <c r="S136" t="s">
        <v>343</v>
      </c>
      <c r="T136" cm="1">
        <f t="array" ref="T136">AvgRangePercent(G135,50)</f>
        <v>0.95</v>
      </c>
      <c r="W136" t="s">
        <v>567</v>
      </c>
      <c r="X136" cm="1">
        <f t="array" ref="X136">AvgRangePercent(J135,50)</f>
        <v>60</v>
      </c>
    </row>
    <row r="137" spans="1:26" x14ac:dyDescent="0.45">
      <c r="B137" s="5"/>
      <c r="C137" s="5"/>
      <c r="D137" s="5"/>
      <c r="E137" s="5"/>
      <c r="F137" s="5" t="s">
        <v>274</v>
      </c>
      <c r="G137" s="5" t="s">
        <v>273</v>
      </c>
      <c r="H137" s="5"/>
      <c r="I137" s="5"/>
      <c r="J137" s="5"/>
      <c r="K137" s="5"/>
      <c r="L137" s="5"/>
      <c r="R137" t="str">
        <f>B135</f>
        <v>feIndia</v>
      </c>
      <c r="S137" t="s">
        <v>338</v>
      </c>
      <c r="T137" cm="1">
        <f t="array" ref="T137">AvgRangePercent(G136,50)</f>
        <v>0.04</v>
      </c>
    </row>
    <row r="138" spans="1:26" x14ac:dyDescent="0.45">
      <c r="B138" s="5"/>
      <c r="C138" s="5"/>
      <c r="D138" s="5"/>
      <c r="E138" s="5"/>
      <c r="F138" t="s">
        <v>272</v>
      </c>
      <c r="G138" t="s">
        <v>271</v>
      </c>
      <c r="H138" s="5"/>
      <c r="I138" s="5"/>
      <c r="J138" s="5"/>
      <c r="K138" s="5"/>
      <c r="L138" s="5"/>
      <c r="R138" t="str">
        <f>B135</f>
        <v>feIndia</v>
      </c>
      <c r="S138" t="s">
        <v>339</v>
      </c>
      <c r="T138" cm="1">
        <f t="array" ref="T138">AvgRangePercent(G137,50)</f>
        <v>1.9999999999999997E-2</v>
      </c>
    </row>
    <row r="139" spans="1:26" x14ac:dyDescent="0.45">
      <c r="B139" s="5"/>
      <c r="C139" s="5"/>
      <c r="D139" s="5"/>
      <c r="E139" s="5"/>
      <c r="H139" s="5"/>
      <c r="I139" s="5"/>
      <c r="J139" s="5"/>
      <c r="K139" s="5"/>
      <c r="L139" s="5"/>
      <c r="R139" t="str">
        <f>B135</f>
        <v>feIndia</v>
      </c>
      <c r="S139" t="s">
        <v>523</v>
      </c>
      <c r="T139" cm="1">
        <f t="array" ref="T139">AvgRangePercent(G138,50)</f>
        <v>5.5E-2</v>
      </c>
    </row>
    <row r="140" spans="1:26" x14ac:dyDescent="0.45">
      <c r="B140" s="5" t="s">
        <v>489</v>
      </c>
      <c r="C140" s="5" t="s">
        <v>99</v>
      </c>
      <c r="D140" s="5">
        <v>0</v>
      </c>
      <c r="E140" s="5">
        <v>0</v>
      </c>
      <c r="F140" s="5" t="s">
        <v>277</v>
      </c>
      <c r="G140" s="5" t="s">
        <v>161</v>
      </c>
      <c r="H140" t="s">
        <v>429</v>
      </c>
      <c r="I140" s="5" t="s">
        <v>105</v>
      </c>
      <c r="J140" t="s">
        <v>97</v>
      </c>
      <c r="K140" s="5" t="s">
        <v>231</v>
      </c>
      <c r="L140" s="5">
        <v>1</v>
      </c>
      <c r="R140" t="str">
        <f>B140</f>
        <v>feUSA</v>
      </c>
      <c r="S140" t="s">
        <v>2</v>
      </c>
      <c r="T140" cm="1">
        <f t="array" ref="T140">AvgRangePercent(C140,90)*3.6/1000</f>
        <v>0.24480000000000002</v>
      </c>
      <c r="U140" cm="1">
        <f t="array" ref="U140">AvgRangePercent(H140,50)</f>
        <v>240</v>
      </c>
      <c r="V140" cm="1">
        <f t="array" ref="V140">AvgRangePercent(I140,50)</f>
        <v>50</v>
      </c>
      <c r="W140" t="s">
        <v>268</v>
      </c>
      <c r="X140">
        <v>1</v>
      </c>
    </row>
    <row r="141" spans="1:26" x14ac:dyDescent="0.45">
      <c r="F141" s="5" t="s">
        <v>276</v>
      </c>
      <c r="G141" s="5" t="s">
        <v>275</v>
      </c>
      <c r="R141" t="str">
        <f>B140</f>
        <v>feUSA</v>
      </c>
      <c r="S141" t="s">
        <v>343</v>
      </c>
      <c r="T141" cm="1">
        <f t="array" ref="T141">AvgRangePercent(G140,50)</f>
        <v>0.95</v>
      </c>
      <c r="W141" t="s">
        <v>567</v>
      </c>
      <c r="X141" cm="1">
        <f t="array" ref="X141">AvgRangePercent(J140,50)</f>
        <v>70</v>
      </c>
    </row>
    <row r="142" spans="1:26" x14ac:dyDescent="0.45">
      <c r="F142" s="5" t="s">
        <v>274</v>
      </c>
      <c r="G142" s="5" t="s">
        <v>273</v>
      </c>
      <c r="R142" t="str">
        <f>B140</f>
        <v>feUSA</v>
      </c>
      <c r="S142" t="s">
        <v>338</v>
      </c>
      <c r="T142" cm="1">
        <f t="array" ref="T142">AvgRangePercent(G141,50)</f>
        <v>0.04</v>
      </c>
    </row>
    <row r="143" spans="1:26" x14ac:dyDescent="0.45">
      <c r="F143" t="s">
        <v>272</v>
      </c>
      <c r="G143" t="s">
        <v>271</v>
      </c>
      <c r="R143" t="str">
        <f>B140</f>
        <v>feUSA</v>
      </c>
      <c r="S143" t="s">
        <v>339</v>
      </c>
      <c r="T143" cm="1">
        <f t="array" ref="T143">AvgRangePercent(G142,50)</f>
        <v>1.9999999999999997E-2</v>
      </c>
    </row>
    <row r="144" spans="1:26" ht="17.649999999999999" x14ac:dyDescent="0.45">
      <c r="A144" s="3" t="s">
        <v>212</v>
      </c>
      <c r="R144" t="str">
        <f>B140</f>
        <v>feUSA</v>
      </c>
      <c r="S144" t="s">
        <v>523</v>
      </c>
      <c r="T144" cm="1">
        <f t="array" ref="T144">AvgRangePercent(G143,50)</f>
        <v>5.5E-2</v>
      </c>
    </row>
    <row r="145" spans="1:25" x14ac:dyDescent="0.45">
      <c r="A145" s="8"/>
    </row>
    <row r="146" spans="1:25" x14ac:dyDescent="0.45">
      <c r="A146" s="9" t="s">
        <v>213</v>
      </c>
    </row>
    <row r="147" spans="1:25" x14ac:dyDescent="0.45">
      <c r="A147" s="9" t="s">
        <v>214</v>
      </c>
    </row>
    <row r="148" spans="1:25" x14ac:dyDescent="0.45">
      <c r="A148" s="9" t="s">
        <v>215</v>
      </c>
    </row>
    <row r="149" spans="1:25" ht="17.649999999999999" x14ac:dyDescent="0.45">
      <c r="A149" s="9" t="s">
        <v>216</v>
      </c>
      <c r="Q149" s="3" t="s">
        <v>495</v>
      </c>
    </row>
    <row r="150" spans="1:25" x14ac:dyDescent="0.45">
      <c r="A150" s="9" t="s">
        <v>217</v>
      </c>
    </row>
    <row r="152" spans="1:25" x14ac:dyDescent="0.45">
      <c r="Q152" s="22" t="s">
        <v>81</v>
      </c>
    </row>
    <row r="153" spans="1:25" x14ac:dyDescent="0.45">
      <c r="A153" s="4" t="s">
        <v>44</v>
      </c>
      <c r="B153" s="4" t="s">
        <v>45</v>
      </c>
      <c r="C153" t="s">
        <v>218</v>
      </c>
      <c r="D153" t="s">
        <v>219</v>
      </c>
      <c r="E153" t="s">
        <v>220</v>
      </c>
      <c r="F153" s="4" t="s">
        <v>51</v>
      </c>
      <c r="G153" s="4" t="s">
        <v>266</v>
      </c>
      <c r="H153" t="s">
        <v>221</v>
      </c>
      <c r="I153" t="s">
        <v>222</v>
      </c>
      <c r="J153" t="s">
        <v>223</v>
      </c>
      <c r="K153" t="s">
        <v>224</v>
      </c>
      <c r="L153" s="4" t="s">
        <v>77</v>
      </c>
      <c r="M153" s="4"/>
      <c r="N153" s="4"/>
      <c r="Q153" s="4" t="s">
        <v>3</v>
      </c>
      <c r="R153" s="4" t="s">
        <v>74</v>
      </c>
      <c r="S153" s="4" t="s">
        <v>527</v>
      </c>
      <c r="T153" s="4" t="s">
        <v>2</v>
      </c>
      <c r="U153" t="s">
        <v>22</v>
      </c>
      <c r="V153" s="4" t="s">
        <v>529</v>
      </c>
      <c r="W153" s="4" t="s">
        <v>4</v>
      </c>
      <c r="X153" s="4" t="s">
        <v>33</v>
      </c>
      <c r="Y153" s="4" t="s">
        <v>6</v>
      </c>
    </row>
    <row r="154" spans="1:25" x14ac:dyDescent="0.45">
      <c r="A154" s="5" t="s">
        <v>225</v>
      </c>
      <c r="B154" s="5" t="s">
        <v>123</v>
      </c>
      <c r="C154" s="5">
        <v>750</v>
      </c>
      <c r="D154" s="5">
        <v>0</v>
      </c>
      <c r="E154" s="5">
        <v>0</v>
      </c>
      <c r="F154" s="5" t="s">
        <v>226</v>
      </c>
      <c r="G154" t="s">
        <v>267</v>
      </c>
      <c r="H154" s="5" t="s">
        <v>227</v>
      </c>
      <c r="I154" s="5" t="s">
        <v>228</v>
      </c>
      <c r="J154" s="5" t="s">
        <v>229</v>
      </c>
      <c r="K154" s="5" t="s">
        <v>230</v>
      </c>
      <c r="L154" s="5" t="s">
        <v>231</v>
      </c>
      <c r="M154" s="5"/>
      <c r="N154" s="5"/>
      <c r="Q154" t="str">
        <f>"IMstl_"&amp;A154</f>
        <v>IMstl_Electric Arc Furnace (EAF)</v>
      </c>
      <c r="S154" t="s">
        <v>528</v>
      </c>
      <c r="T154" cm="1">
        <f t="array" ref="T154">AvgRangePercent(C154,90)*3.6/1000</f>
        <v>2.7</v>
      </c>
      <c r="U154" s="15">
        <f>1/(1+V154)</f>
        <v>0.97323600973236002</v>
      </c>
      <c r="V154" cm="1">
        <f t="array" ref="V154">AvgRangePercent(G154,50)</f>
        <v>2.7500000000000004E-2</v>
      </c>
      <c r="W154" cm="1">
        <f t="array" ref="W154">AvgRangePercent(I154,50)</f>
        <v>80</v>
      </c>
      <c r="X154" cm="1">
        <f t="array" ref="X154">AvgRangePercent(J154,50)</f>
        <v>32.5</v>
      </c>
      <c r="Y154" t="s">
        <v>264</v>
      </c>
    </row>
    <row r="155" spans="1:25" x14ac:dyDescent="0.45">
      <c r="A155" s="5"/>
      <c r="B155" s="5" t="s">
        <v>489</v>
      </c>
      <c r="C155" s="5">
        <v>750</v>
      </c>
      <c r="D155" s="5">
        <v>0</v>
      </c>
      <c r="E155" s="5">
        <v>0</v>
      </c>
      <c r="F155" s="5" t="s">
        <v>226</v>
      </c>
      <c r="G155" t="s">
        <v>267</v>
      </c>
      <c r="H155" s="5" t="s">
        <v>227</v>
      </c>
      <c r="I155" s="5" t="s">
        <v>232</v>
      </c>
      <c r="J155" s="5" t="s">
        <v>233</v>
      </c>
      <c r="K155" s="5" t="s">
        <v>234</v>
      </c>
      <c r="L155" s="5" t="s">
        <v>231</v>
      </c>
      <c r="M155" s="5"/>
      <c r="N155" s="5"/>
      <c r="R155" t="str">
        <f>B155</f>
        <v>feUSA</v>
      </c>
      <c r="T155" cm="1">
        <f t="array" ref="T155">AvgRangePercent(C155,90)*3.6/1000</f>
        <v>2.7</v>
      </c>
      <c r="V155" cm="1">
        <f t="array" ref="V155">AvgRangePercent(G155,50)</f>
        <v>2.7500000000000004E-2</v>
      </c>
      <c r="W155" cm="1">
        <f t="array" ref="W155">AvgRangePercent(I155,50)</f>
        <v>90</v>
      </c>
      <c r="X155" cm="1">
        <f t="array" ref="X155">AvgRangePercent(J155,50)</f>
        <v>40</v>
      </c>
    </row>
    <row r="156" spans="1:25" x14ac:dyDescent="0.45">
      <c r="A156" s="5"/>
      <c r="B156" s="5" t="s">
        <v>129</v>
      </c>
      <c r="C156" s="5">
        <v>750</v>
      </c>
      <c r="D156" s="5">
        <v>0</v>
      </c>
      <c r="E156" s="5">
        <v>0</v>
      </c>
      <c r="F156" s="5" t="s">
        <v>226</v>
      </c>
      <c r="G156" t="s">
        <v>267</v>
      </c>
      <c r="H156" s="5" t="s">
        <v>227</v>
      </c>
      <c r="I156" s="5" t="s">
        <v>235</v>
      </c>
      <c r="J156" s="5" t="s">
        <v>236</v>
      </c>
      <c r="K156" s="5" t="s">
        <v>144</v>
      </c>
      <c r="L156" s="5" t="s">
        <v>231</v>
      </c>
      <c r="M156" s="5"/>
      <c r="N156" s="5"/>
      <c r="R156" t="str">
        <f>B156</f>
        <v>feIndia</v>
      </c>
      <c r="T156" cm="1">
        <f t="array" ref="T156">AvgRangePercent(C156,90)*3.6/1000</f>
        <v>2.7</v>
      </c>
      <c r="V156" cm="1">
        <f t="array" ref="V156">AvgRangePercent(G156,50)</f>
        <v>2.7500000000000004E-2</v>
      </c>
      <c r="W156" cm="1">
        <f t="array" ref="W156">AvgRangePercent(I156,50)</f>
        <v>70</v>
      </c>
      <c r="X156" cm="1">
        <f t="array" ref="X156">AvgRangePercent(J156,50)</f>
        <v>27.5</v>
      </c>
    </row>
    <row r="157" spans="1:25" x14ac:dyDescent="0.45">
      <c r="A157" s="5" t="s">
        <v>237</v>
      </c>
      <c r="B157" s="5" t="s">
        <v>123</v>
      </c>
      <c r="C157" s="5">
        <v>650</v>
      </c>
      <c r="D157" s="5">
        <v>0</v>
      </c>
      <c r="E157" s="5">
        <v>0</v>
      </c>
      <c r="F157" s="5" t="s">
        <v>226</v>
      </c>
      <c r="G157" t="s">
        <v>267</v>
      </c>
      <c r="H157" s="5" t="s">
        <v>161</v>
      </c>
      <c r="I157" s="5" t="s">
        <v>238</v>
      </c>
      <c r="J157" s="5" t="s">
        <v>236</v>
      </c>
      <c r="K157" s="5" t="s">
        <v>230</v>
      </c>
      <c r="L157" s="5" t="s">
        <v>231</v>
      </c>
      <c r="M157" s="5"/>
      <c r="N157" s="5"/>
      <c r="Q157" t="str">
        <f>"IMstl_"&amp;A157</f>
        <v>IMstl_Induction Furnace</v>
      </c>
      <c r="S157" t="s">
        <v>550</v>
      </c>
      <c r="T157" cm="1">
        <f t="array" ref="T157">AvgRangePercent(C157,90)*3.6/1000</f>
        <v>2.34</v>
      </c>
      <c r="U157" s="15">
        <f>1/(1+V157)</f>
        <v>0.97323600973236002</v>
      </c>
      <c r="V157" cm="1">
        <f t="array" ref="V157">AvgRangePercent(G157,50)</f>
        <v>2.7500000000000004E-2</v>
      </c>
      <c r="W157" cm="1">
        <f t="array" ref="W157">AvgRangePercent(I157,50)</f>
        <v>65</v>
      </c>
      <c r="X157" cm="1">
        <f t="array" ref="X157">AvgRangePercent(J157,50)</f>
        <v>27.5</v>
      </c>
      <c r="Y157" t="s">
        <v>264</v>
      </c>
    </row>
    <row r="158" spans="1:25" x14ac:dyDescent="0.45">
      <c r="A158" s="5"/>
      <c r="B158" s="5" t="s">
        <v>489</v>
      </c>
      <c r="C158" s="5">
        <v>650</v>
      </c>
      <c r="D158" s="5">
        <v>0</v>
      </c>
      <c r="E158" s="5">
        <v>0</v>
      </c>
      <c r="F158" s="5" t="s">
        <v>226</v>
      </c>
      <c r="G158" t="s">
        <v>267</v>
      </c>
      <c r="H158" s="5" t="s">
        <v>161</v>
      </c>
      <c r="I158" s="5" t="s">
        <v>30</v>
      </c>
      <c r="J158" s="5" t="s">
        <v>229</v>
      </c>
      <c r="K158" s="5" t="s">
        <v>230</v>
      </c>
      <c r="L158" s="5" t="s">
        <v>231</v>
      </c>
      <c r="M158" s="5"/>
      <c r="N158" s="5"/>
      <c r="R158" t="str">
        <f>B158</f>
        <v>feUSA</v>
      </c>
      <c r="T158" cm="1">
        <f t="array" ref="T158">AvgRangePercent(C158,90)*3.6/1000</f>
        <v>2.34</v>
      </c>
      <c r="V158" cm="1">
        <f t="array" ref="V158">AvgRangePercent(G158,50)</f>
        <v>2.7500000000000004E-2</v>
      </c>
      <c r="W158" cm="1">
        <f t="array" ref="W158">AvgRangePercent(I158,50)</f>
        <v>75</v>
      </c>
      <c r="X158" cm="1">
        <f t="array" ref="X158">AvgRangePercent(J158,50)</f>
        <v>32.5</v>
      </c>
    </row>
    <row r="159" spans="1:25" x14ac:dyDescent="0.45">
      <c r="A159" s="5"/>
      <c r="B159" s="5" t="s">
        <v>129</v>
      </c>
      <c r="C159" s="5">
        <v>650</v>
      </c>
      <c r="D159" s="5">
        <v>0</v>
      </c>
      <c r="E159" s="5">
        <v>0</v>
      </c>
      <c r="F159" s="5" t="s">
        <v>226</v>
      </c>
      <c r="G159" t="s">
        <v>267</v>
      </c>
      <c r="H159" s="5" t="s">
        <v>161</v>
      </c>
      <c r="I159" s="5" t="s">
        <v>239</v>
      </c>
      <c r="J159" s="5" t="s">
        <v>240</v>
      </c>
      <c r="K159" s="5" t="s">
        <v>238</v>
      </c>
      <c r="L159" s="5" t="s">
        <v>231</v>
      </c>
      <c r="M159" s="5"/>
      <c r="N159" s="5"/>
      <c r="R159" t="str">
        <f>B159</f>
        <v>feIndia</v>
      </c>
      <c r="T159" cm="1">
        <f t="array" ref="T159">AvgRangePercent(C159,90)*3.6/1000</f>
        <v>2.34</v>
      </c>
      <c r="V159" cm="1">
        <f t="array" ref="V159">AvgRangePercent(G159,50)</f>
        <v>2.7500000000000004E-2</v>
      </c>
      <c r="W159" cm="1">
        <f t="array" ref="W159">AvgRangePercent(I159,50)</f>
        <v>55</v>
      </c>
      <c r="X159" cm="1">
        <f t="array" ref="X159">AvgRangePercent(J159,50)</f>
        <v>22.5</v>
      </c>
    </row>
    <row r="160" spans="1:25" x14ac:dyDescent="0.45">
      <c r="A160" s="5"/>
      <c r="B160" s="5" t="s">
        <v>134</v>
      </c>
      <c r="C160" s="5">
        <v>650</v>
      </c>
      <c r="D160" s="5">
        <v>0</v>
      </c>
      <c r="E160" s="5">
        <v>0</v>
      </c>
      <c r="F160" s="5" t="s">
        <v>226</v>
      </c>
      <c r="G160" t="s">
        <v>267</v>
      </c>
      <c r="H160" s="5" t="s">
        <v>161</v>
      </c>
      <c r="I160" s="5" t="s">
        <v>238</v>
      </c>
      <c r="J160" s="5" t="s">
        <v>236</v>
      </c>
      <c r="K160" s="5" t="s">
        <v>235</v>
      </c>
      <c r="L160" s="5" t="s">
        <v>231</v>
      </c>
      <c r="M160" s="5"/>
      <c r="N160" s="5"/>
      <c r="R160" t="str">
        <f>B160</f>
        <v>feChina</v>
      </c>
      <c r="T160" cm="1">
        <f t="array" ref="T160">AvgRangePercent(C160,90)*3.6/1000</f>
        <v>2.34</v>
      </c>
      <c r="V160" cm="1">
        <f t="array" ref="V160">AvgRangePercent(G160,50)</f>
        <v>2.7500000000000004E-2</v>
      </c>
      <c r="W160" cm="1">
        <f t="array" ref="W160">AvgRangePercent(I160,50)</f>
        <v>65</v>
      </c>
      <c r="X160" cm="1">
        <f t="array" ref="X160">AvgRangePercent(J160,50)</f>
        <v>27.5</v>
      </c>
    </row>
    <row r="161" spans="1:23" x14ac:dyDescent="0.45">
      <c r="A161" s="5"/>
      <c r="B161" s="5"/>
      <c r="C161" s="5"/>
      <c r="D161" s="5"/>
      <c r="E161" s="5"/>
      <c r="F161" s="5"/>
      <c r="H161" s="5"/>
      <c r="I161" s="5"/>
      <c r="J161" s="5"/>
      <c r="K161" s="5"/>
      <c r="L161" s="5"/>
      <c r="M161" s="5"/>
      <c r="N161" s="5"/>
    </row>
    <row r="163" spans="1:23" ht="17.649999999999999" x14ac:dyDescent="0.45">
      <c r="Q163" s="3" t="s">
        <v>631</v>
      </c>
    </row>
    <row r="164" spans="1:23" ht="17.649999999999999" x14ac:dyDescent="0.45">
      <c r="Q164" s="3"/>
    </row>
    <row r="166" spans="1:23" x14ac:dyDescent="0.45">
      <c r="A166" s="4" t="s">
        <v>44</v>
      </c>
      <c r="B166" s="4" t="s">
        <v>45</v>
      </c>
      <c r="C166" s="4" t="s">
        <v>241</v>
      </c>
      <c r="D166" s="4" t="s">
        <v>242</v>
      </c>
      <c r="E166" s="4" t="s">
        <v>243</v>
      </c>
      <c r="F166" s="4" t="s">
        <v>51</v>
      </c>
      <c r="G166" s="4" t="s">
        <v>244</v>
      </c>
      <c r="H166" s="4" t="s">
        <v>245</v>
      </c>
      <c r="I166" s="4" t="s">
        <v>246</v>
      </c>
      <c r="J166" s="4" t="s">
        <v>247</v>
      </c>
      <c r="K166" s="4" t="s">
        <v>77</v>
      </c>
      <c r="L166" s="4" t="s">
        <v>52</v>
      </c>
      <c r="Q166" s="22" t="s">
        <v>81</v>
      </c>
    </row>
    <row r="167" spans="1:23" x14ac:dyDescent="0.45">
      <c r="A167" s="7" t="s">
        <v>248</v>
      </c>
      <c r="B167" s="5" t="s">
        <v>123</v>
      </c>
      <c r="C167" s="5" t="s">
        <v>238</v>
      </c>
      <c r="D167" s="5">
        <v>0</v>
      </c>
      <c r="E167" s="5">
        <v>0</v>
      </c>
      <c r="F167" s="5" t="s">
        <v>249</v>
      </c>
      <c r="G167" s="5" t="s">
        <v>250</v>
      </c>
      <c r="H167" s="5" t="s">
        <v>94</v>
      </c>
      <c r="I167" s="5" t="s">
        <v>205</v>
      </c>
      <c r="J167" s="5">
        <v>0</v>
      </c>
      <c r="K167" s="5" t="s">
        <v>251</v>
      </c>
      <c r="L167" s="5">
        <v>1</v>
      </c>
      <c r="Q167" s="4" t="s">
        <v>3</v>
      </c>
      <c r="R167" s="4" t="s">
        <v>74</v>
      </c>
      <c r="S167" s="4" t="s">
        <v>527</v>
      </c>
      <c r="T167" s="4" t="s">
        <v>627</v>
      </c>
      <c r="U167" s="4" t="s">
        <v>4</v>
      </c>
      <c r="V167" s="4" t="s">
        <v>33</v>
      </c>
      <c r="W167" s="4" t="s">
        <v>6</v>
      </c>
    </row>
    <row r="168" spans="1:23" x14ac:dyDescent="0.45">
      <c r="A168" s="7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Q168" t="str">
        <f>"IMstl_"&amp;A167</f>
        <v>IMstl_Ladle Refining Furnace</v>
      </c>
      <c r="S168" t="s">
        <v>264</v>
      </c>
      <c r="T168" cm="1">
        <f t="array" ref="T168">AvgRangePercent(G167,0)</f>
        <v>1.02</v>
      </c>
      <c r="U168" cm="1">
        <f t="array" ref="U168">AvgRangePercent(H167,50)</f>
        <v>20</v>
      </c>
      <c r="V168" cm="1">
        <f t="array" ref="V168">AvgRangePercent(I167,50)</f>
        <v>11.5</v>
      </c>
      <c r="W168" t="s">
        <v>268</v>
      </c>
    </row>
    <row r="169" spans="1:23" x14ac:dyDescent="0.45">
      <c r="A169" s="5"/>
      <c r="B169" s="5" t="s">
        <v>489</v>
      </c>
      <c r="C169" s="5" t="s">
        <v>228</v>
      </c>
      <c r="D169" s="5">
        <v>0</v>
      </c>
      <c r="E169" s="5">
        <v>0</v>
      </c>
      <c r="F169" s="5" t="s">
        <v>249</v>
      </c>
      <c r="G169" s="5" t="s">
        <v>250</v>
      </c>
      <c r="H169" s="5" t="s">
        <v>92</v>
      </c>
      <c r="I169" s="5" t="s">
        <v>252</v>
      </c>
      <c r="J169" s="5">
        <v>0</v>
      </c>
      <c r="K169" s="5" t="s">
        <v>251</v>
      </c>
      <c r="L169" s="5">
        <v>1</v>
      </c>
      <c r="S169" t="s">
        <v>2</v>
      </c>
      <c r="T169" cm="1">
        <f t="array" ref="T169">AvgRangePercent(C167,90)*3.6/1000</f>
        <v>0.2772</v>
      </c>
    </row>
    <row r="170" spans="1:23" x14ac:dyDescent="0.4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R170" t="str">
        <f>B169</f>
        <v>feUSA</v>
      </c>
      <c r="S170" t="s">
        <v>264</v>
      </c>
      <c r="T170" cm="1">
        <f t="array" ref="T170">AvgRangePercent(G169,0)</f>
        <v>1.02</v>
      </c>
      <c r="U170" cm="1">
        <f t="array" ref="U170">AvgRangePercent(H169,50)</f>
        <v>25</v>
      </c>
      <c r="V170" cm="1">
        <f t="array" ref="V170">AvgRangePercent(I169,50)</f>
        <v>15</v>
      </c>
      <c r="W170" t="s">
        <v>268</v>
      </c>
    </row>
    <row r="171" spans="1:23" x14ac:dyDescent="0.45">
      <c r="A171" s="5"/>
      <c r="B171" s="5" t="s">
        <v>129</v>
      </c>
      <c r="C171" s="5" t="s">
        <v>253</v>
      </c>
      <c r="D171" s="5">
        <v>0</v>
      </c>
      <c r="E171" s="5">
        <v>0</v>
      </c>
      <c r="F171" s="5" t="s">
        <v>249</v>
      </c>
      <c r="G171" s="5" t="s">
        <v>250</v>
      </c>
      <c r="H171" s="5" t="s">
        <v>252</v>
      </c>
      <c r="I171" s="5" t="s">
        <v>89</v>
      </c>
      <c r="J171" s="5">
        <v>0</v>
      </c>
      <c r="K171" s="5" t="s">
        <v>251</v>
      </c>
      <c r="L171" s="5">
        <v>1</v>
      </c>
      <c r="R171" t="str">
        <f>B169</f>
        <v>feUSA</v>
      </c>
      <c r="S171" t="s">
        <v>2</v>
      </c>
      <c r="T171" cm="1">
        <f t="array" ref="T171">AvgRangePercent(C169,90)*3.6/1000</f>
        <v>0.34560000000000002</v>
      </c>
    </row>
    <row r="172" spans="1:23" x14ac:dyDescent="0.45">
      <c r="R172" t="str">
        <f>B171</f>
        <v>feIndia</v>
      </c>
      <c r="S172" t="s">
        <v>264</v>
      </c>
      <c r="T172" cm="1">
        <f t="array" ref="T172">AvgRangePercent(G171,0)</f>
        <v>1.02</v>
      </c>
      <c r="U172" cm="1">
        <f t="array" ref="U172">AvgRangePercent(H171,50)</f>
        <v>15</v>
      </c>
      <c r="V172" cm="1">
        <f t="array" ref="V172">AvgRangePercent(I171,50)</f>
        <v>7.5</v>
      </c>
      <c r="W172" t="s">
        <v>268</v>
      </c>
    </row>
    <row r="173" spans="1:23" x14ac:dyDescent="0.45">
      <c r="R173" t="str">
        <f>B171</f>
        <v>feIndia</v>
      </c>
      <c r="S173" t="s">
        <v>2</v>
      </c>
      <c r="T173" cm="1">
        <f t="array" ref="T173">AvgRangePercent(C171,90)*3.6/1000</f>
        <v>0.41760000000000003</v>
      </c>
    </row>
    <row r="174" spans="1:23" x14ac:dyDescent="0.45">
      <c r="A174" s="4" t="s">
        <v>44</v>
      </c>
      <c r="B174" s="4" t="s">
        <v>45</v>
      </c>
      <c r="C174" s="4" t="s">
        <v>254</v>
      </c>
      <c r="D174" s="4" t="s">
        <v>255</v>
      </c>
      <c r="E174" s="4" t="s">
        <v>256</v>
      </c>
      <c r="F174" s="4" t="s">
        <v>51</v>
      </c>
      <c r="G174" s="4" t="s">
        <v>257</v>
      </c>
      <c r="H174" s="4" t="s">
        <v>258</v>
      </c>
      <c r="I174" s="4" t="s">
        <v>259</v>
      </c>
      <c r="J174" s="4" t="s">
        <v>260</v>
      </c>
      <c r="K174" s="4" t="s">
        <v>77</v>
      </c>
      <c r="L174" s="4" t="s">
        <v>52</v>
      </c>
      <c r="Q174" t="str">
        <f>"IMstl_"&amp;A175</f>
        <v>IMstl_Continuous Casting</v>
      </c>
      <c r="S174" t="s">
        <v>268</v>
      </c>
      <c r="T174" cm="1">
        <f t="array" ref="T174">AvgRangePercent(G175,0)</f>
        <v>1.02</v>
      </c>
      <c r="U174" cm="1">
        <f t="array" ref="U174">AvgRangePercent(H175,50)</f>
        <v>40</v>
      </c>
      <c r="V174" cm="1">
        <f t="array" ref="V174">AvgRangePercent(I175,50)</f>
        <v>20</v>
      </c>
      <c r="W174" t="s">
        <v>270</v>
      </c>
    </row>
    <row r="175" spans="1:23" x14ac:dyDescent="0.45">
      <c r="A175" s="7" t="s">
        <v>261</v>
      </c>
      <c r="B175" s="5" t="s">
        <v>123</v>
      </c>
      <c r="C175" s="5" t="s">
        <v>105</v>
      </c>
      <c r="D175" s="5">
        <v>0</v>
      </c>
      <c r="E175" s="5">
        <v>0</v>
      </c>
      <c r="F175" s="5" t="s">
        <v>262</v>
      </c>
      <c r="G175" s="5" t="s">
        <v>250</v>
      </c>
      <c r="H175" s="5" t="s">
        <v>233</v>
      </c>
      <c r="I175" s="5" t="s">
        <v>94</v>
      </c>
      <c r="J175" s="5">
        <v>0</v>
      </c>
      <c r="K175" s="5" t="s">
        <v>263</v>
      </c>
      <c r="L175" s="5">
        <v>1</v>
      </c>
      <c r="S175" t="s">
        <v>2</v>
      </c>
      <c r="T175" cm="1">
        <f t="array" ref="T175">AvgRangePercent(C175,90)*3.6/1000</f>
        <v>0.20880000000000001</v>
      </c>
    </row>
    <row r="176" spans="1:23" x14ac:dyDescent="0.45">
      <c r="A176" s="7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R176" t="str">
        <f>B177</f>
        <v>feUSA</v>
      </c>
      <c r="S176" t="s">
        <v>268</v>
      </c>
      <c r="T176" cm="1">
        <f t="array" ref="T176">AvgRangePercent(G177,0)</f>
        <v>1.02</v>
      </c>
      <c r="U176" cm="1">
        <f t="array" ref="U176">AvgRangePercent(H177,50)</f>
        <v>50</v>
      </c>
      <c r="V176" cm="1">
        <f t="array" ref="V176">AvgRangePercent(I177,50)</f>
        <v>25</v>
      </c>
      <c r="W176" t="s">
        <v>270</v>
      </c>
    </row>
    <row r="177" spans="1:23" x14ac:dyDescent="0.45">
      <c r="A177" s="5"/>
      <c r="B177" s="5" t="s">
        <v>489</v>
      </c>
      <c r="C177" s="5" t="s">
        <v>99</v>
      </c>
      <c r="D177" s="5">
        <v>0</v>
      </c>
      <c r="E177" s="5">
        <v>0</v>
      </c>
      <c r="F177" s="5" t="s">
        <v>262</v>
      </c>
      <c r="G177" s="5" t="s">
        <v>250</v>
      </c>
      <c r="H177" s="5" t="s">
        <v>105</v>
      </c>
      <c r="I177" s="5" t="s">
        <v>92</v>
      </c>
      <c r="J177" s="5">
        <v>0</v>
      </c>
      <c r="K177" s="5" t="s">
        <v>263</v>
      </c>
      <c r="L177" s="5">
        <v>1</v>
      </c>
      <c r="R177" t="str">
        <f>B177</f>
        <v>feUSA</v>
      </c>
      <c r="S177" t="s">
        <v>2</v>
      </c>
      <c r="T177" cm="1">
        <f t="array" ref="T177">AvgRangePercent(C177,90)*3.6/1000</f>
        <v>0.24480000000000002</v>
      </c>
    </row>
    <row r="178" spans="1:23" x14ac:dyDescent="0.4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R178" t="str">
        <f>B179</f>
        <v>feIndia</v>
      </c>
      <c r="S178" t="s">
        <v>268</v>
      </c>
      <c r="T178" cm="1">
        <f t="array" ref="T178">AvgRangePercent(G179,0)</f>
        <v>1.02</v>
      </c>
      <c r="U178" cm="1">
        <f t="array" ref="U178">AvgRangePercent(H179,50)</f>
        <v>30</v>
      </c>
      <c r="V178" cm="1">
        <f t="array" ref="V178">AvgRangePercent(I179,50)</f>
        <v>15</v>
      </c>
      <c r="W178" t="s">
        <v>270</v>
      </c>
    </row>
    <row r="179" spans="1:23" x14ac:dyDescent="0.45">
      <c r="A179" s="5"/>
      <c r="B179" s="5" t="s">
        <v>129</v>
      </c>
      <c r="C179" s="5" t="s">
        <v>97</v>
      </c>
      <c r="D179" s="5">
        <v>0</v>
      </c>
      <c r="E179" s="5">
        <v>0</v>
      </c>
      <c r="F179" s="5" t="s">
        <v>262</v>
      </c>
      <c r="G179" s="5" t="s">
        <v>250</v>
      </c>
      <c r="H179" s="5" t="s">
        <v>269</v>
      </c>
      <c r="I179" s="5" t="s">
        <v>252</v>
      </c>
      <c r="J179" s="5">
        <v>0</v>
      </c>
      <c r="K179" s="5" t="s">
        <v>263</v>
      </c>
      <c r="L179" s="5">
        <v>1</v>
      </c>
      <c r="R179" t="str">
        <f>B179</f>
        <v>feIndia</v>
      </c>
      <c r="S179" t="s">
        <v>2</v>
      </c>
      <c r="T179" cm="1">
        <f t="array" ref="T179">AvgRangePercent(C179,90)*3.6/1000</f>
        <v>0.28079999999999999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D1CE-580D-4E1E-AC78-D3C2448D9C5E}">
  <dimension ref="A2:AI76"/>
  <sheetViews>
    <sheetView topLeftCell="D1" workbookViewId="0">
      <selection activeCell="H48" sqref="H48"/>
    </sheetView>
  </sheetViews>
  <sheetFormatPr defaultColWidth="8.86328125" defaultRowHeight="14.25" x14ac:dyDescent="0.45"/>
  <cols>
    <col min="4" max="4" width="32.1328125" bestFit="1" customWidth="1"/>
    <col min="5" max="5" width="10.33203125" bestFit="1" customWidth="1"/>
    <col min="6" max="6" width="5" bestFit="1" customWidth="1"/>
    <col min="7" max="8" width="12" bestFit="1" customWidth="1"/>
    <col min="9" max="9" width="7.53125" bestFit="1" customWidth="1"/>
    <col min="10" max="10" width="11.86328125" bestFit="1" customWidth="1"/>
    <col min="11" max="11" width="9.46484375" bestFit="1" customWidth="1"/>
    <col min="12" max="12" width="10.53125" bestFit="1" customWidth="1"/>
    <col min="13" max="13" width="12.33203125" bestFit="1" customWidth="1"/>
    <col min="14" max="14" width="5.86328125" bestFit="1" customWidth="1"/>
    <col min="15" max="15" width="7.46484375" bestFit="1" customWidth="1"/>
    <col min="16" max="16" width="6" bestFit="1" customWidth="1"/>
    <col min="18" max="18" width="12.86328125" bestFit="1" customWidth="1"/>
    <col min="19" max="19" width="13.53125" bestFit="1" customWidth="1"/>
    <col min="20" max="20" width="9.33203125" bestFit="1" customWidth="1"/>
    <col min="21" max="21" width="13.1328125" bestFit="1" customWidth="1"/>
    <col min="22" max="22" width="13.6640625" bestFit="1" customWidth="1"/>
    <col min="23" max="23" width="13.33203125" bestFit="1" customWidth="1"/>
    <col min="24" max="24" width="6.86328125" bestFit="1" customWidth="1"/>
    <col min="25" max="25" width="9" bestFit="1" customWidth="1"/>
    <col min="26" max="26" width="5.46484375" bestFit="1" customWidth="1"/>
    <col min="27" max="27" width="12.46484375" bestFit="1" customWidth="1"/>
    <col min="28" max="28" width="7.46484375" bestFit="1" customWidth="1"/>
    <col min="29" max="29" width="14" bestFit="1" customWidth="1"/>
    <col min="30" max="30" width="7.53125" bestFit="1" customWidth="1"/>
    <col min="31" max="31" width="6.53125" bestFit="1" customWidth="1"/>
    <col min="32" max="32" width="11.53125" bestFit="1" customWidth="1"/>
    <col min="33" max="33" width="11.33203125" bestFit="1" customWidth="1"/>
    <col min="34" max="34" width="3.53125" bestFit="1" customWidth="1"/>
    <col min="35" max="35" width="4.53125" bestFit="1" customWidth="1"/>
  </cols>
  <sheetData>
    <row r="2" spans="1:35" x14ac:dyDescent="0.45">
      <c r="E2" t="s">
        <v>500</v>
      </c>
    </row>
    <row r="3" spans="1:35" x14ac:dyDescent="0.45">
      <c r="D3" t="s">
        <v>499</v>
      </c>
      <c r="E3" t="s">
        <v>507</v>
      </c>
      <c r="F3" t="s">
        <v>490</v>
      </c>
      <c r="G3" t="s">
        <v>458</v>
      </c>
      <c r="H3" t="s">
        <v>459</v>
      </c>
      <c r="I3" t="s">
        <v>460</v>
      </c>
      <c r="J3" t="s">
        <v>461</v>
      </c>
      <c r="K3" t="s">
        <v>462</v>
      </c>
      <c r="L3" t="s">
        <v>463</v>
      </c>
      <c r="M3" t="s">
        <v>464</v>
      </c>
      <c r="N3" t="s">
        <v>66</v>
      </c>
      <c r="O3" t="s">
        <v>109</v>
      </c>
      <c r="P3" t="s">
        <v>78</v>
      </c>
      <c r="Q3" t="s">
        <v>465</v>
      </c>
      <c r="R3" t="s">
        <v>466</v>
      </c>
      <c r="S3" t="s">
        <v>467</v>
      </c>
      <c r="T3" t="s">
        <v>468</v>
      </c>
      <c r="U3" t="s">
        <v>469</v>
      </c>
      <c r="V3" t="s">
        <v>470</v>
      </c>
      <c r="W3" t="s">
        <v>471</v>
      </c>
      <c r="X3" t="s">
        <v>472</v>
      </c>
      <c r="Y3" t="s">
        <v>71</v>
      </c>
      <c r="Z3" t="s">
        <v>80</v>
      </c>
      <c r="AA3" t="s">
        <v>473</v>
      </c>
      <c r="AB3" t="s">
        <v>67</v>
      </c>
      <c r="AC3" t="s">
        <v>474</v>
      </c>
      <c r="AD3" t="s">
        <v>475</v>
      </c>
      <c r="AE3" t="s">
        <v>87</v>
      </c>
      <c r="AF3" t="s">
        <v>110</v>
      </c>
      <c r="AG3" t="s">
        <v>111</v>
      </c>
      <c r="AH3" t="s">
        <v>476</v>
      </c>
      <c r="AI3" t="s">
        <v>70</v>
      </c>
    </row>
    <row r="4" spans="1:35" x14ac:dyDescent="0.45">
      <c r="A4" t="s">
        <v>491</v>
      </c>
      <c r="B4" t="s">
        <v>505</v>
      </c>
      <c r="D4" t="str">
        <f>VLOOKUP(E4,$A$4:$B$11,2,FALSE)</f>
        <v>IMstlbof_Modern BF</v>
      </c>
      <c r="E4" t="s">
        <v>491</v>
      </c>
      <c r="F4">
        <v>2019</v>
      </c>
      <c r="G4" s="2">
        <v>2</v>
      </c>
      <c r="H4" s="2">
        <v>1.3</v>
      </c>
      <c r="I4" s="2">
        <v>1.45</v>
      </c>
      <c r="J4" s="2">
        <v>5.3</v>
      </c>
      <c r="K4" s="2">
        <v>14.88</v>
      </c>
      <c r="L4" s="2">
        <v>12.33</v>
      </c>
      <c r="M4" s="2">
        <v>2</v>
      </c>
      <c r="N4" s="2">
        <v>3</v>
      </c>
      <c r="O4" s="2"/>
      <c r="P4" s="2">
        <v>52.947346000000003</v>
      </c>
      <c r="Q4" s="2">
        <v>2.85</v>
      </c>
      <c r="R4" s="2">
        <v>12.17</v>
      </c>
      <c r="S4" s="2">
        <v>11.21</v>
      </c>
      <c r="T4" s="2">
        <v>11.5</v>
      </c>
      <c r="U4" s="2">
        <v>3.6</v>
      </c>
      <c r="V4" s="2"/>
      <c r="W4" s="2">
        <v>14.625</v>
      </c>
      <c r="X4" s="2">
        <v>5.1100000000000003</v>
      </c>
      <c r="Y4" s="2">
        <v>4.8</v>
      </c>
      <c r="Z4" s="2">
        <v>4.51</v>
      </c>
      <c r="AA4" s="2">
        <v>0.78</v>
      </c>
      <c r="AB4" s="2">
        <v>1.4510000000000001</v>
      </c>
      <c r="AC4" s="2"/>
      <c r="AD4" s="2"/>
      <c r="AE4" s="2">
        <v>2.145</v>
      </c>
      <c r="AF4" s="2"/>
      <c r="AG4" s="2">
        <v>0.25</v>
      </c>
      <c r="AH4" s="2">
        <v>4.0999999999999996</v>
      </c>
      <c r="AI4" s="2">
        <v>1.929</v>
      </c>
    </row>
    <row r="5" spans="1:35" x14ac:dyDescent="0.45">
      <c r="A5" t="s">
        <v>492</v>
      </c>
      <c r="B5" t="s">
        <v>506</v>
      </c>
      <c r="D5" t="str">
        <f t="shared" ref="D5:D68" si="0">VLOOKUP(E5,$A$4:$B$11,2,FALSE)</f>
        <v>IMstlbof_Conventional BOF</v>
      </c>
      <c r="E5" t="s">
        <v>492</v>
      </c>
      <c r="F5">
        <v>2019</v>
      </c>
      <c r="G5" s="2">
        <v>3.8777780000000002</v>
      </c>
      <c r="H5" s="2">
        <v>1.3</v>
      </c>
      <c r="I5" s="2">
        <v>5.0999999999999996</v>
      </c>
      <c r="J5" s="2">
        <v>6</v>
      </c>
      <c r="K5" s="2">
        <v>17.72</v>
      </c>
      <c r="L5" s="2">
        <v>19.899999999999999</v>
      </c>
      <c r="M5" s="2">
        <v>1.95</v>
      </c>
      <c r="N5" s="2">
        <v>3</v>
      </c>
      <c r="O5" s="2">
        <v>0.6</v>
      </c>
      <c r="P5" s="2">
        <v>59.897528999999999</v>
      </c>
      <c r="Q5" s="2">
        <v>2.964</v>
      </c>
      <c r="R5" s="2">
        <v>13.57</v>
      </c>
      <c r="S5" s="2">
        <v>13.1</v>
      </c>
      <c r="T5" s="2">
        <v>11.5</v>
      </c>
      <c r="U5" s="2">
        <v>8</v>
      </c>
      <c r="V5" s="2">
        <v>4.2</v>
      </c>
      <c r="W5" s="2">
        <v>17.89</v>
      </c>
      <c r="X5" s="2">
        <v>5.0999999999999996</v>
      </c>
      <c r="Y5" s="2">
        <v>5.2</v>
      </c>
      <c r="Z5" s="2">
        <v>4.7</v>
      </c>
      <c r="AA5" s="2">
        <v>0.57999999999999996</v>
      </c>
      <c r="AB5" s="2">
        <v>2.6</v>
      </c>
      <c r="AC5" s="2">
        <v>3.4</v>
      </c>
      <c r="AD5" s="2"/>
      <c r="AE5" s="2">
        <v>1.7</v>
      </c>
      <c r="AF5" s="2">
        <v>1.18</v>
      </c>
      <c r="AG5" s="2">
        <v>1.9</v>
      </c>
      <c r="AH5" s="2">
        <v>4.5999999999999996</v>
      </c>
      <c r="AI5" s="2">
        <v>3</v>
      </c>
    </row>
    <row r="6" spans="1:35" x14ac:dyDescent="0.45">
      <c r="A6" t="s">
        <v>493</v>
      </c>
      <c r="B6" t="s">
        <v>504</v>
      </c>
      <c r="D6" t="str">
        <f t="shared" si="0"/>
        <v>IMfedri_Coal-Based Rotary Kiln</v>
      </c>
      <c r="E6" t="s">
        <v>493</v>
      </c>
      <c r="F6">
        <v>2019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>
        <v>0.98</v>
      </c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45">
      <c r="A7" t="s">
        <v>494</v>
      </c>
      <c r="B7" t="s">
        <v>502</v>
      </c>
      <c r="D7" t="str">
        <f t="shared" si="0"/>
        <v>IMstl_Electric Arc Furnace (EAF)</v>
      </c>
      <c r="E7" t="s">
        <v>495</v>
      </c>
      <c r="F7">
        <v>2019</v>
      </c>
      <c r="G7" s="2">
        <v>5.84</v>
      </c>
      <c r="H7" s="2">
        <v>2.3553329999999999</v>
      </c>
      <c r="I7" s="2">
        <v>1.45</v>
      </c>
      <c r="J7" s="2">
        <v>2.6</v>
      </c>
      <c r="K7" s="2">
        <v>3.4</v>
      </c>
      <c r="L7" s="2">
        <v>7.125</v>
      </c>
      <c r="M7" s="2">
        <v>0.59</v>
      </c>
      <c r="N7" s="2">
        <v>0.52</v>
      </c>
      <c r="O7" s="2">
        <v>0.5</v>
      </c>
      <c r="P7" s="2">
        <v>12.509499</v>
      </c>
      <c r="Q7" s="2">
        <v>2.21</v>
      </c>
      <c r="R7" s="2">
        <v>2.25</v>
      </c>
      <c r="S7" s="2">
        <v>2.2599999999999998</v>
      </c>
      <c r="T7" s="2">
        <v>2.4500000000000002</v>
      </c>
      <c r="U7" s="2">
        <v>3.8260000000000001</v>
      </c>
      <c r="V7" s="2">
        <v>2.1</v>
      </c>
      <c r="W7" s="2">
        <v>9.92</v>
      </c>
      <c r="X7" s="2">
        <v>1.1000000000000001</v>
      </c>
      <c r="Y7" s="2">
        <v>1.9</v>
      </c>
      <c r="Z7" s="2">
        <v>1.1000000000000001</v>
      </c>
      <c r="AA7" s="2">
        <v>7.86</v>
      </c>
      <c r="AB7" s="2">
        <v>1.35</v>
      </c>
      <c r="AC7" s="2">
        <v>10.145</v>
      </c>
      <c r="AD7" s="2">
        <v>0.9</v>
      </c>
      <c r="AE7" s="2">
        <v>1.7</v>
      </c>
      <c r="AF7" s="2">
        <v>1.2</v>
      </c>
      <c r="AG7" s="2">
        <v>0.2</v>
      </c>
      <c r="AH7" s="2">
        <v>1.2</v>
      </c>
      <c r="AI7" s="2">
        <v>6.1</v>
      </c>
    </row>
    <row r="8" spans="1:35" x14ac:dyDescent="0.45">
      <c r="A8" t="s">
        <v>495</v>
      </c>
      <c r="B8" t="s">
        <v>503</v>
      </c>
      <c r="D8" t="str">
        <f t="shared" si="0"/>
        <v>IMfedri_Natural Gas-Based Midrex</v>
      </c>
      <c r="E8" t="s">
        <v>496</v>
      </c>
      <c r="F8">
        <v>2019</v>
      </c>
      <c r="G8" s="2">
        <v>4.25</v>
      </c>
      <c r="H8" s="2">
        <v>1.07</v>
      </c>
      <c r="I8" s="2"/>
      <c r="J8" s="2"/>
      <c r="K8" s="2">
        <v>0.14000000000000001</v>
      </c>
      <c r="L8" s="2">
        <v>1.2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2.52</v>
      </c>
      <c r="AB8" s="2">
        <v>1.4</v>
      </c>
      <c r="AC8" s="2">
        <v>1.6</v>
      </c>
      <c r="AD8" s="2"/>
      <c r="AE8" s="2"/>
      <c r="AF8" s="2"/>
      <c r="AG8" s="2">
        <v>0.04</v>
      </c>
      <c r="AH8" s="2"/>
      <c r="AI8" s="2"/>
    </row>
    <row r="9" spans="1:35" x14ac:dyDescent="0.45">
      <c r="A9" t="s">
        <v>496</v>
      </c>
      <c r="B9" t="s">
        <v>502</v>
      </c>
      <c r="D9" t="str">
        <f t="shared" si="0"/>
        <v>IMstlbof_Modern BF</v>
      </c>
      <c r="E9" t="s">
        <v>491</v>
      </c>
      <c r="F9">
        <v>2018</v>
      </c>
      <c r="G9" s="2"/>
      <c r="H9" s="2"/>
      <c r="I9" s="2"/>
      <c r="J9" s="2"/>
      <c r="K9" s="2">
        <v>10</v>
      </c>
      <c r="L9" s="2">
        <v>3</v>
      </c>
      <c r="M9" s="2">
        <v>3</v>
      </c>
      <c r="N9" s="2"/>
      <c r="O9" s="2">
        <v>2.4</v>
      </c>
      <c r="P9" s="2">
        <v>53.041890000000002</v>
      </c>
      <c r="Q9" s="2">
        <v>1.05</v>
      </c>
      <c r="R9" s="2">
        <v>8.4499999999999993</v>
      </c>
      <c r="S9" s="2"/>
      <c r="T9" s="2"/>
      <c r="U9" s="2"/>
      <c r="V9" s="2">
        <v>4.4800000000000004</v>
      </c>
      <c r="W9" s="2">
        <v>11.09</v>
      </c>
      <c r="X9" s="2">
        <v>6.97</v>
      </c>
      <c r="Y9" s="2">
        <v>3.96</v>
      </c>
      <c r="Z9" s="2">
        <v>22.46</v>
      </c>
      <c r="AA9" s="2"/>
      <c r="AB9" s="2">
        <v>10.885999999999999</v>
      </c>
      <c r="AC9" s="2"/>
      <c r="AD9" s="2"/>
      <c r="AE9" s="2">
        <v>14.54</v>
      </c>
      <c r="AF9" s="2"/>
      <c r="AG9" s="2">
        <v>3.17</v>
      </c>
      <c r="AH9" s="2">
        <v>4.7</v>
      </c>
      <c r="AI9" s="2">
        <v>4.0439999999999996</v>
      </c>
    </row>
    <row r="10" spans="1:35" x14ac:dyDescent="0.45">
      <c r="A10" t="s">
        <v>497</v>
      </c>
      <c r="B10" t="s">
        <v>23</v>
      </c>
      <c r="D10" t="str">
        <f t="shared" si="0"/>
        <v>IMstlbof_Conventional BOF</v>
      </c>
      <c r="E10" t="s">
        <v>492</v>
      </c>
      <c r="F10">
        <v>2018</v>
      </c>
      <c r="G10" s="2"/>
      <c r="H10" s="2"/>
      <c r="I10" s="2"/>
      <c r="J10" s="2"/>
      <c r="K10" s="2">
        <v>34.04</v>
      </c>
      <c r="L10" s="2">
        <v>5.2</v>
      </c>
      <c r="M10" s="2">
        <v>3.2</v>
      </c>
      <c r="N10" s="2">
        <v>1</v>
      </c>
      <c r="O10" s="2">
        <v>2.5</v>
      </c>
      <c r="P10" s="2">
        <v>60.612971999999999</v>
      </c>
      <c r="Q10" s="2">
        <v>1.77</v>
      </c>
      <c r="R10" s="2">
        <v>9.6</v>
      </c>
      <c r="S10" s="2"/>
      <c r="T10" s="2"/>
      <c r="U10" s="2"/>
      <c r="V10" s="2">
        <v>1.2</v>
      </c>
      <c r="W10" s="2">
        <v>9.9499999999999993</v>
      </c>
      <c r="X10" s="2">
        <v>6.75</v>
      </c>
      <c r="Y10" s="2">
        <v>3.8</v>
      </c>
      <c r="Z10" s="2">
        <v>10.4</v>
      </c>
      <c r="AA10" s="2"/>
      <c r="AB10" s="2">
        <v>4.4000000000000004</v>
      </c>
      <c r="AC10" s="2"/>
      <c r="AD10" s="2"/>
      <c r="AE10" s="2">
        <v>14.4</v>
      </c>
      <c r="AF10" s="2"/>
      <c r="AG10" s="2">
        <v>4.5</v>
      </c>
      <c r="AH10" s="2">
        <v>4.5999999999999996</v>
      </c>
      <c r="AI10" s="2">
        <v>5</v>
      </c>
    </row>
    <row r="11" spans="1:35" x14ac:dyDescent="0.45">
      <c r="A11" t="s">
        <v>498</v>
      </c>
      <c r="B11" t="s">
        <v>23</v>
      </c>
      <c r="D11" t="str">
        <f t="shared" si="0"/>
        <v>IMfedri_Coal-Based Rotary Kiln</v>
      </c>
      <c r="E11" t="s">
        <v>493</v>
      </c>
      <c r="F11">
        <v>2018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1.44</v>
      </c>
      <c r="AA11" s="2"/>
      <c r="AB11" s="2"/>
      <c r="AC11" s="2"/>
      <c r="AD11" s="2"/>
      <c r="AE11" s="2"/>
      <c r="AF11" s="2"/>
      <c r="AG11" s="2"/>
      <c r="AH11" s="2"/>
      <c r="AI11" s="2"/>
    </row>
    <row r="12" spans="1:35" x14ac:dyDescent="0.45">
      <c r="D12" t="str">
        <f t="shared" si="0"/>
        <v>IMstl_Electric Arc Furnace (EAF)</v>
      </c>
      <c r="E12" t="s">
        <v>495</v>
      </c>
      <c r="F12">
        <v>2018</v>
      </c>
      <c r="G12" s="2">
        <v>5.05</v>
      </c>
      <c r="H12" s="2">
        <v>1.36</v>
      </c>
      <c r="I12" s="2">
        <v>1.8</v>
      </c>
      <c r="J12" s="2">
        <v>0.8</v>
      </c>
      <c r="K12" s="2">
        <v>6.3</v>
      </c>
      <c r="L12" s="2">
        <v>8.9</v>
      </c>
      <c r="M12" s="2">
        <v>0.8</v>
      </c>
      <c r="N12" s="2">
        <v>0.9</v>
      </c>
      <c r="O12" s="2">
        <v>0.45</v>
      </c>
      <c r="P12" s="2">
        <v>12.421906</v>
      </c>
      <c r="Q12" s="2">
        <v>1.3625</v>
      </c>
      <c r="R12" s="2">
        <v>0.92</v>
      </c>
      <c r="S12" s="2">
        <v>2.9</v>
      </c>
      <c r="T12" s="2">
        <v>4.6500000000000004</v>
      </c>
      <c r="U12" s="2">
        <v>1.54</v>
      </c>
      <c r="V12" s="2">
        <v>2.5</v>
      </c>
      <c r="W12" s="2">
        <v>7</v>
      </c>
      <c r="X12" s="2">
        <v>0.7</v>
      </c>
      <c r="Y12" s="2">
        <v>1.1000000000000001</v>
      </c>
      <c r="Z12" s="2">
        <v>5.35</v>
      </c>
      <c r="AA12" s="2">
        <v>2.04</v>
      </c>
      <c r="AB12" s="2">
        <v>1.5</v>
      </c>
      <c r="AC12" s="2">
        <v>8.4499999999999993</v>
      </c>
      <c r="AD12" s="2"/>
      <c r="AE12" s="2">
        <v>3</v>
      </c>
      <c r="AF12" s="2">
        <v>0.7</v>
      </c>
      <c r="AG12" s="2">
        <v>1.5</v>
      </c>
      <c r="AH12" s="2">
        <v>1.22</v>
      </c>
      <c r="AI12" s="2">
        <v>5.17</v>
      </c>
    </row>
    <row r="13" spans="1:35" x14ac:dyDescent="0.45">
      <c r="D13" t="str">
        <f t="shared" si="0"/>
        <v>IMfedri_Natural Gas-Based Midrex</v>
      </c>
      <c r="E13" t="s">
        <v>496</v>
      </c>
      <c r="F13">
        <v>2018</v>
      </c>
      <c r="G13" s="2">
        <v>2.5</v>
      </c>
      <c r="H13" s="2">
        <v>1.02</v>
      </c>
      <c r="I13" s="2">
        <v>1.2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3</v>
      </c>
      <c r="AA13" s="2">
        <v>0.1</v>
      </c>
      <c r="AB13" s="2">
        <v>4.0999999999999996</v>
      </c>
      <c r="AC13" s="2">
        <v>4.45</v>
      </c>
      <c r="AD13" s="2"/>
      <c r="AE13" s="2"/>
      <c r="AF13" s="2"/>
      <c r="AG13" s="2">
        <v>0.33</v>
      </c>
      <c r="AH13" s="2"/>
      <c r="AI13" s="2"/>
    </row>
    <row r="14" spans="1:35" x14ac:dyDescent="0.45">
      <c r="D14" t="str">
        <f t="shared" si="0"/>
        <v>\I:</v>
      </c>
      <c r="E14" t="s">
        <v>497</v>
      </c>
      <c r="F14">
        <v>2018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1.6</v>
      </c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45">
      <c r="D15" t="str">
        <f t="shared" si="0"/>
        <v>IMstlbof_Modern BF</v>
      </c>
      <c r="E15" t="s">
        <v>491</v>
      </c>
      <c r="F15">
        <v>2017</v>
      </c>
      <c r="G15" s="2"/>
      <c r="H15" s="2"/>
      <c r="I15" s="2"/>
      <c r="J15" s="2"/>
      <c r="K15" s="2">
        <v>21.6</v>
      </c>
      <c r="L15" s="2">
        <v>18.399999999999999</v>
      </c>
      <c r="M15" s="2"/>
      <c r="N15" s="2">
        <v>8.02</v>
      </c>
      <c r="O15" s="2">
        <v>3.1739999999999999</v>
      </c>
      <c r="P15" s="2">
        <v>54.720927000000003</v>
      </c>
      <c r="Q15" s="2">
        <v>2.48</v>
      </c>
      <c r="R15" s="2"/>
      <c r="S15" s="2"/>
      <c r="T15" s="2"/>
      <c r="U15" s="2"/>
      <c r="V15" s="2"/>
      <c r="W15" s="2">
        <v>7.4</v>
      </c>
      <c r="X15" s="2"/>
      <c r="Y15" s="2">
        <v>2.34</v>
      </c>
      <c r="Z15" s="2">
        <v>0.7</v>
      </c>
      <c r="AA15" s="2"/>
      <c r="AB15" s="2"/>
      <c r="AC15" s="2"/>
      <c r="AD15" s="2"/>
      <c r="AE15" s="2">
        <v>10.4</v>
      </c>
      <c r="AF15" s="2"/>
      <c r="AG15" s="2"/>
      <c r="AH15" s="2"/>
      <c r="AI15" s="2">
        <v>2.81</v>
      </c>
    </row>
    <row r="16" spans="1:35" x14ac:dyDescent="0.45">
      <c r="D16" t="str">
        <f t="shared" si="0"/>
        <v>IMstlbof_Conventional BOF</v>
      </c>
      <c r="E16" t="s">
        <v>492</v>
      </c>
      <c r="F16">
        <v>2017</v>
      </c>
      <c r="G16" s="2"/>
      <c r="H16" s="2"/>
      <c r="I16" s="2"/>
      <c r="J16" s="2"/>
      <c r="K16" s="2">
        <v>26.9</v>
      </c>
      <c r="L16" s="2">
        <v>18.600000000000001</v>
      </c>
      <c r="M16" s="2"/>
      <c r="N16" s="2">
        <v>7.6</v>
      </c>
      <c r="O16" s="2">
        <v>2.7</v>
      </c>
      <c r="P16" s="2">
        <v>62.4</v>
      </c>
      <c r="Q16" s="2">
        <v>2.6</v>
      </c>
      <c r="R16" s="2"/>
      <c r="S16" s="2"/>
      <c r="T16" s="2"/>
      <c r="U16" s="2"/>
      <c r="V16" s="2"/>
      <c r="W16" s="2">
        <v>8.3699999999999992</v>
      </c>
      <c r="X16" s="2"/>
      <c r="Y16" s="2">
        <v>2.4</v>
      </c>
      <c r="Z16" s="2">
        <v>7.3</v>
      </c>
      <c r="AA16" s="2"/>
      <c r="AB16" s="2"/>
      <c r="AC16" s="2"/>
      <c r="AD16" s="2"/>
      <c r="AE16" s="2">
        <v>10.199999999999999</v>
      </c>
      <c r="AF16" s="2"/>
      <c r="AG16" s="2"/>
      <c r="AH16" s="2"/>
      <c r="AI16" s="2">
        <v>4.0999999999999996</v>
      </c>
    </row>
    <row r="17" spans="4:35" x14ac:dyDescent="0.45">
      <c r="D17" t="str">
        <f t="shared" si="0"/>
        <v>IMstl_Electric Arc Furnace (EAF)</v>
      </c>
      <c r="E17" t="s">
        <v>495</v>
      </c>
      <c r="F17">
        <v>2017</v>
      </c>
      <c r="G17" s="2">
        <v>2.65</v>
      </c>
      <c r="H17" s="2"/>
      <c r="I17" s="2">
        <v>0.4</v>
      </c>
      <c r="J17" s="2">
        <v>0.18</v>
      </c>
      <c r="K17" s="2">
        <v>3.7</v>
      </c>
      <c r="L17" s="2">
        <v>7.85</v>
      </c>
      <c r="M17" s="2">
        <v>0.7</v>
      </c>
      <c r="N17" s="2">
        <v>0.65</v>
      </c>
      <c r="O17" s="2">
        <v>0.36</v>
      </c>
      <c r="P17" s="2">
        <v>11.895061999999999</v>
      </c>
      <c r="Q17" s="2">
        <v>0.5</v>
      </c>
      <c r="R17" s="2">
        <v>0.38500000000000001</v>
      </c>
      <c r="S17" s="2">
        <v>0.3</v>
      </c>
      <c r="T17" s="2">
        <v>1.95</v>
      </c>
      <c r="U17" s="2">
        <v>0.5</v>
      </c>
      <c r="V17" s="2">
        <v>1</v>
      </c>
      <c r="W17" s="2">
        <v>5.25</v>
      </c>
      <c r="X17" s="2">
        <v>0.65</v>
      </c>
      <c r="Y17" s="2">
        <v>1</v>
      </c>
      <c r="Z17" s="2">
        <v>4.5999999999999996</v>
      </c>
      <c r="AA17" s="2">
        <v>0.91</v>
      </c>
      <c r="AB17" s="2">
        <v>2</v>
      </c>
      <c r="AC17" s="2">
        <v>5.24</v>
      </c>
      <c r="AD17" s="2"/>
      <c r="AE17" s="2">
        <v>2.5</v>
      </c>
      <c r="AF17" s="2">
        <v>1</v>
      </c>
      <c r="AG17" s="2">
        <v>0.5</v>
      </c>
      <c r="AH17" s="2">
        <v>0.5</v>
      </c>
      <c r="AI17" s="2">
        <v>5.5069999999999997</v>
      </c>
    </row>
    <row r="18" spans="4:35" x14ac:dyDescent="0.45">
      <c r="D18" t="str">
        <f t="shared" si="0"/>
        <v>IMfedri_Natural Gas-Based Midrex</v>
      </c>
      <c r="E18" t="s">
        <v>496</v>
      </c>
      <c r="F18">
        <v>2017</v>
      </c>
      <c r="G18" s="2"/>
      <c r="H18" s="2"/>
      <c r="I18" s="2"/>
      <c r="J18" s="2"/>
      <c r="K18" s="2"/>
      <c r="L18" s="2">
        <v>2.4700000000000002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>
        <v>6.6</v>
      </c>
      <c r="AA18" s="2"/>
      <c r="AB18" s="2"/>
      <c r="AC18" s="2">
        <v>8.9</v>
      </c>
      <c r="AD18" s="2"/>
      <c r="AE18" s="2"/>
      <c r="AF18" s="2"/>
      <c r="AG18" s="2"/>
      <c r="AH18" s="2"/>
      <c r="AI18" s="2"/>
    </row>
    <row r="19" spans="4:35" x14ac:dyDescent="0.45">
      <c r="D19" t="str">
        <f t="shared" si="0"/>
        <v>\I:</v>
      </c>
      <c r="E19" t="s">
        <v>497</v>
      </c>
      <c r="F19">
        <v>2017</v>
      </c>
      <c r="G19" s="2"/>
      <c r="H19" s="2"/>
      <c r="I19" s="2"/>
      <c r="J19" s="2"/>
      <c r="K19" s="2">
        <v>4.7699999999999996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4:35" x14ac:dyDescent="0.45">
      <c r="D20" t="str">
        <f t="shared" si="0"/>
        <v>IMstlbof_Modern BF</v>
      </c>
      <c r="E20" t="s">
        <v>491</v>
      </c>
      <c r="F20">
        <v>2016</v>
      </c>
      <c r="G20" s="2"/>
      <c r="H20" s="2"/>
      <c r="I20" s="2"/>
      <c r="J20" s="2"/>
      <c r="K20" s="2">
        <v>4.0999999999999996</v>
      </c>
      <c r="L20" s="2">
        <v>1.7</v>
      </c>
      <c r="M20" s="2"/>
      <c r="N20" s="2">
        <v>5.34</v>
      </c>
      <c r="O20" s="2">
        <v>2.2360000000000002</v>
      </c>
      <c r="P20" s="2">
        <v>53.537101999999997</v>
      </c>
      <c r="Q20" s="2"/>
      <c r="R20" s="2"/>
      <c r="S20" s="2"/>
      <c r="T20" s="2"/>
      <c r="U20" s="2"/>
      <c r="V20" s="2"/>
      <c r="W20" s="2">
        <v>3.78</v>
      </c>
      <c r="X20" s="2"/>
      <c r="Y20" s="2">
        <v>5.2</v>
      </c>
      <c r="Z20" s="2">
        <v>0.68</v>
      </c>
      <c r="AA20" s="2"/>
      <c r="AB20" s="2"/>
      <c r="AC20" s="2"/>
      <c r="AD20" s="2"/>
      <c r="AE20" s="2">
        <v>9.5500000000000007</v>
      </c>
      <c r="AF20" s="2"/>
      <c r="AG20" s="2"/>
      <c r="AH20" s="2"/>
      <c r="AI20" s="2"/>
    </row>
    <row r="21" spans="4:35" x14ac:dyDescent="0.45">
      <c r="D21" t="str">
        <f t="shared" si="0"/>
        <v>IMstlbof_Conventional BOF</v>
      </c>
      <c r="E21" t="s">
        <v>492</v>
      </c>
      <c r="F21">
        <v>2016</v>
      </c>
      <c r="G21" s="2"/>
      <c r="H21" s="2"/>
      <c r="I21" s="2"/>
      <c r="J21" s="2"/>
      <c r="K21" s="2">
        <v>4.5</v>
      </c>
      <c r="L21" s="2">
        <v>1.7</v>
      </c>
      <c r="M21" s="2"/>
      <c r="N21" s="2">
        <v>5</v>
      </c>
      <c r="O21" s="2">
        <v>3.2</v>
      </c>
      <c r="P21" s="2">
        <v>64.012895999999998</v>
      </c>
      <c r="Q21" s="2"/>
      <c r="R21" s="2"/>
      <c r="S21" s="2"/>
      <c r="T21" s="2"/>
      <c r="U21" s="2"/>
      <c r="V21" s="2"/>
      <c r="W21" s="2">
        <v>3.8</v>
      </c>
      <c r="X21" s="2"/>
      <c r="Y21" s="2">
        <v>6</v>
      </c>
      <c r="Z21" s="2">
        <v>5</v>
      </c>
      <c r="AA21" s="2"/>
      <c r="AB21" s="2"/>
      <c r="AC21" s="2"/>
      <c r="AD21" s="2"/>
      <c r="AE21" s="2">
        <v>10.199999999999999</v>
      </c>
      <c r="AF21" s="2"/>
      <c r="AG21" s="2"/>
      <c r="AH21" s="2"/>
      <c r="AI21" s="2">
        <v>1</v>
      </c>
    </row>
    <row r="22" spans="4:35" x14ac:dyDescent="0.45">
      <c r="D22" t="str">
        <f t="shared" si="0"/>
        <v>IMfedri_Coal-Based Rotary Kiln</v>
      </c>
      <c r="E22" t="s">
        <v>493</v>
      </c>
      <c r="F22">
        <v>2016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v>1.5</v>
      </c>
      <c r="AA22" s="2"/>
      <c r="AB22" s="2"/>
      <c r="AC22" s="2"/>
      <c r="AD22" s="2"/>
      <c r="AE22" s="2"/>
      <c r="AF22" s="2"/>
      <c r="AG22" s="2"/>
      <c r="AH22" s="2"/>
      <c r="AI22" s="2"/>
    </row>
    <row r="23" spans="4:35" x14ac:dyDescent="0.45">
      <c r="D23" t="str">
        <f t="shared" si="0"/>
        <v>IMstl_Electric Arc Furnace (EAF)</v>
      </c>
      <c r="E23" t="s">
        <v>495</v>
      </c>
      <c r="F23">
        <v>2016</v>
      </c>
      <c r="G23" s="2">
        <v>0.16</v>
      </c>
      <c r="H23" s="2"/>
      <c r="I23" s="2">
        <v>0.13</v>
      </c>
      <c r="J23" s="2">
        <v>0.08</v>
      </c>
      <c r="K23" s="2">
        <v>4.92</v>
      </c>
      <c r="L23" s="2">
        <v>5.7960000000000003</v>
      </c>
      <c r="M23" s="2"/>
      <c r="N23" s="2">
        <v>0.62</v>
      </c>
      <c r="O23" s="2">
        <v>0.36</v>
      </c>
      <c r="P23" s="2">
        <v>12.246667</v>
      </c>
      <c r="Q23" s="2"/>
      <c r="R23" s="2">
        <v>0.79</v>
      </c>
      <c r="S23" s="2">
        <v>0.22</v>
      </c>
      <c r="T23" s="2">
        <v>1.7</v>
      </c>
      <c r="U23" s="2"/>
      <c r="V23" s="2">
        <v>1</v>
      </c>
      <c r="W23" s="2">
        <v>3.1749999999999998</v>
      </c>
      <c r="X23" s="2">
        <v>0.47499999999999998</v>
      </c>
      <c r="Y23" s="2">
        <v>0.57999999999999996</v>
      </c>
      <c r="Z23" s="2">
        <v>3.75</v>
      </c>
      <c r="AA23" s="2">
        <v>0.55000000000000004</v>
      </c>
      <c r="AB23" s="2">
        <v>4</v>
      </c>
      <c r="AC23" s="2">
        <v>3.9</v>
      </c>
      <c r="AD23" s="2"/>
      <c r="AE23" s="2">
        <v>4</v>
      </c>
      <c r="AF23" s="2">
        <v>4.5</v>
      </c>
      <c r="AG23" s="2">
        <v>0.5</v>
      </c>
      <c r="AH23" s="2"/>
      <c r="AI23" s="2">
        <v>5.1033887499999997</v>
      </c>
    </row>
    <row r="24" spans="4:35" x14ac:dyDescent="0.45">
      <c r="D24" t="str">
        <f t="shared" si="0"/>
        <v>IMfedri_Natural Gas-Based Midrex</v>
      </c>
      <c r="E24" t="s">
        <v>496</v>
      </c>
      <c r="F24">
        <v>2016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1.7</v>
      </c>
      <c r="AD24" s="2"/>
      <c r="AE24" s="2"/>
      <c r="AF24" s="2">
        <v>1</v>
      </c>
      <c r="AG24" s="2"/>
      <c r="AH24" s="2"/>
      <c r="AI24" s="2"/>
    </row>
    <row r="25" spans="4:35" x14ac:dyDescent="0.45">
      <c r="D25" t="str">
        <f t="shared" si="0"/>
        <v>IMstlbof_Modern BF</v>
      </c>
      <c r="E25" t="s">
        <v>491</v>
      </c>
      <c r="F25">
        <v>2015</v>
      </c>
      <c r="G25" s="2"/>
      <c r="H25" s="2"/>
      <c r="I25" s="2"/>
      <c r="J25" s="2"/>
      <c r="K25" s="2">
        <v>7.8</v>
      </c>
      <c r="L25" s="2">
        <v>0.42</v>
      </c>
      <c r="M25" s="2"/>
      <c r="N25" s="2">
        <v>4.3600000000000003</v>
      </c>
      <c r="O25" s="2"/>
      <c r="P25" s="2">
        <v>53.774918999999997</v>
      </c>
      <c r="Q25" s="2"/>
      <c r="R25" s="2"/>
      <c r="S25" s="2"/>
      <c r="T25" s="2"/>
      <c r="U25" s="2"/>
      <c r="V25" s="2"/>
      <c r="W25" s="2">
        <v>2.57</v>
      </c>
      <c r="X25" s="2"/>
      <c r="Y25" s="2">
        <v>11.6</v>
      </c>
      <c r="Z25" s="2">
        <v>9.51</v>
      </c>
      <c r="AA25" s="2"/>
      <c r="AB25" s="2"/>
      <c r="AC25" s="2"/>
      <c r="AD25" s="2"/>
      <c r="AE25" s="2">
        <v>10.35</v>
      </c>
      <c r="AF25" s="2"/>
      <c r="AG25" s="2"/>
      <c r="AH25" s="2"/>
      <c r="AI25" s="2">
        <v>5.2649999999999997</v>
      </c>
    </row>
    <row r="26" spans="4:35" x14ac:dyDescent="0.45">
      <c r="D26" t="str">
        <f t="shared" si="0"/>
        <v>IMstlbof_Conventional BOF</v>
      </c>
      <c r="E26" t="s">
        <v>492</v>
      </c>
      <c r="F26">
        <v>2015</v>
      </c>
      <c r="G26" s="2"/>
      <c r="H26" s="2"/>
      <c r="I26" s="2"/>
      <c r="J26" s="2"/>
      <c r="K26" s="2">
        <v>6.9</v>
      </c>
      <c r="L26" s="2">
        <v>0.24</v>
      </c>
      <c r="M26" s="2"/>
      <c r="N26" s="2">
        <v>4.5</v>
      </c>
      <c r="O26" s="2"/>
      <c r="P26" s="2">
        <v>60.291780000000003</v>
      </c>
      <c r="Q26" s="2"/>
      <c r="R26" s="2"/>
      <c r="S26" s="2"/>
      <c r="T26" s="2"/>
      <c r="U26" s="2"/>
      <c r="V26" s="2"/>
      <c r="W26" s="2">
        <v>2.7</v>
      </c>
      <c r="X26" s="2"/>
      <c r="Y26" s="2">
        <v>11.56</v>
      </c>
      <c r="Z26" s="2">
        <v>4.5599999999999996</v>
      </c>
      <c r="AA26" s="2"/>
      <c r="AB26" s="2"/>
      <c r="AC26" s="2"/>
      <c r="AD26" s="2"/>
      <c r="AE26" s="2">
        <v>7.5</v>
      </c>
      <c r="AF26" s="2"/>
      <c r="AG26" s="2"/>
      <c r="AH26" s="2"/>
      <c r="AI26" s="2">
        <v>7.8</v>
      </c>
    </row>
    <row r="27" spans="4:35" x14ac:dyDescent="0.45">
      <c r="D27" t="str">
        <f t="shared" si="0"/>
        <v>IMfedri_Coal-Based Rotary Kiln</v>
      </c>
      <c r="E27" t="s">
        <v>493</v>
      </c>
      <c r="F27">
        <v>2015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>
        <v>3.07</v>
      </c>
      <c r="AA27" s="2"/>
      <c r="AB27" s="2"/>
      <c r="AC27" s="2"/>
      <c r="AD27" s="2"/>
      <c r="AE27" s="2"/>
      <c r="AF27" s="2"/>
      <c r="AG27" s="2"/>
      <c r="AH27" s="2"/>
      <c r="AI27" s="2"/>
    </row>
    <row r="28" spans="4:35" x14ac:dyDescent="0.45">
      <c r="D28" t="str">
        <f t="shared" si="0"/>
        <v>IMstl_Electric Arc Furnace (EAF)</v>
      </c>
      <c r="E28" t="s">
        <v>495</v>
      </c>
      <c r="F28">
        <v>2015</v>
      </c>
      <c r="G28" s="2">
        <v>0.1</v>
      </c>
      <c r="H28" s="2"/>
      <c r="I28" s="2">
        <v>7.4999999999999997E-2</v>
      </c>
      <c r="J28" s="2">
        <v>7.4999999999999997E-2</v>
      </c>
      <c r="K28" s="2">
        <v>5.09</v>
      </c>
      <c r="L28" s="2">
        <v>5.61</v>
      </c>
      <c r="M28" s="2"/>
      <c r="N28" s="2">
        <v>1.2</v>
      </c>
      <c r="O28" s="2">
        <v>0.95</v>
      </c>
      <c r="P28" s="2">
        <v>11.955912</v>
      </c>
      <c r="Q28" s="2"/>
      <c r="R28" s="2">
        <v>1.3</v>
      </c>
      <c r="S28" s="2">
        <v>0.8</v>
      </c>
      <c r="T28" s="2">
        <v>1.3</v>
      </c>
      <c r="U28" s="2"/>
      <c r="V28" s="2">
        <v>0.75</v>
      </c>
      <c r="W28" s="2">
        <v>2.14</v>
      </c>
      <c r="X28" s="2">
        <v>0.46</v>
      </c>
      <c r="Y28" s="2">
        <v>1.03</v>
      </c>
      <c r="Z28" s="2">
        <v>4.306</v>
      </c>
      <c r="AA28" s="2">
        <v>0.25</v>
      </c>
      <c r="AB28" s="2">
        <v>2.2000000000000002</v>
      </c>
      <c r="AC28" s="2">
        <v>2.33</v>
      </c>
      <c r="AD28" s="2"/>
      <c r="AE28" s="2">
        <v>3.8</v>
      </c>
      <c r="AF28" s="2">
        <v>6</v>
      </c>
      <c r="AG28" s="2">
        <v>0.25</v>
      </c>
      <c r="AH28" s="2"/>
      <c r="AI28" s="2">
        <v>4.2469999999999999</v>
      </c>
    </row>
    <row r="29" spans="4:35" x14ac:dyDescent="0.45">
      <c r="D29" t="str">
        <f t="shared" si="0"/>
        <v>IMfedri_Natural Gas-Based Midrex</v>
      </c>
      <c r="E29" t="s">
        <v>496</v>
      </c>
      <c r="F29">
        <v>2015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>
        <v>1.6</v>
      </c>
      <c r="AD29" s="2"/>
      <c r="AE29" s="2">
        <v>2.8</v>
      </c>
      <c r="AF29" s="2">
        <v>5.3</v>
      </c>
      <c r="AG29" s="2"/>
      <c r="AH29" s="2"/>
      <c r="AI29" s="2"/>
    </row>
    <row r="30" spans="4:35" x14ac:dyDescent="0.45">
      <c r="D30" t="str">
        <f t="shared" si="0"/>
        <v>IMstlbof_Modern BF</v>
      </c>
      <c r="E30" t="s">
        <v>491</v>
      </c>
      <c r="F30">
        <v>2014</v>
      </c>
      <c r="G30" s="2"/>
      <c r="H30" s="2"/>
      <c r="I30" s="2">
        <v>3.89</v>
      </c>
      <c r="J30" s="2"/>
      <c r="K30" s="2">
        <v>8</v>
      </c>
      <c r="L30" s="2"/>
      <c r="M30" s="2"/>
      <c r="N30" s="2"/>
      <c r="O30" s="2"/>
      <c r="P30" s="2">
        <v>41.345357</v>
      </c>
      <c r="Q30" s="2"/>
      <c r="R30" s="2"/>
      <c r="S30" s="2"/>
      <c r="T30" s="2"/>
      <c r="U30" s="2"/>
      <c r="V30" s="2"/>
      <c r="W30" s="2">
        <v>1.7</v>
      </c>
      <c r="X30" s="2"/>
      <c r="Y30" s="2"/>
      <c r="Z30" s="2">
        <v>1.57</v>
      </c>
      <c r="AA30" s="2"/>
      <c r="AB30" s="2"/>
      <c r="AC30" s="2"/>
      <c r="AD30" s="2"/>
      <c r="AE30" s="2">
        <v>5.05</v>
      </c>
      <c r="AF30" s="2"/>
      <c r="AG30" s="2"/>
      <c r="AH30" s="2"/>
      <c r="AI30" s="2">
        <v>5.8170000000000002</v>
      </c>
    </row>
    <row r="31" spans="4:35" x14ac:dyDescent="0.45">
      <c r="D31" t="str">
        <f t="shared" si="0"/>
        <v>IMstlbof_Conventional BOF</v>
      </c>
      <c r="E31" t="s">
        <v>492</v>
      </c>
      <c r="F31">
        <v>2014</v>
      </c>
      <c r="G31" s="2"/>
      <c r="H31" s="2"/>
      <c r="I31" s="2"/>
      <c r="J31" s="2"/>
      <c r="K31" s="2">
        <v>10.15</v>
      </c>
      <c r="L31" s="2"/>
      <c r="M31" s="2"/>
      <c r="N31" s="2">
        <v>4.5</v>
      </c>
      <c r="O31" s="2"/>
      <c r="P31" s="2">
        <v>62.613</v>
      </c>
      <c r="Q31" s="2"/>
      <c r="R31" s="2"/>
      <c r="S31" s="2"/>
      <c r="T31" s="2"/>
      <c r="U31" s="2"/>
      <c r="V31" s="2"/>
      <c r="W31" s="2">
        <v>1.3</v>
      </c>
      <c r="X31" s="2"/>
      <c r="Y31" s="2">
        <v>1.3</v>
      </c>
      <c r="Z31" s="2">
        <v>4.28</v>
      </c>
      <c r="AA31" s="2"/>
      <c r="AB31" s="2"/>
      <c r="AC31" s="2"/>
      <c r="AD31" s="2"/>
      <c r="AE31" s="2">
        <v>4.5</v>
      </c>
      <c r="AF31" s="2"/>
      <c r="AG31" s="2"/>
      <c r="AH31" s="2"/>
      <c r="AI31" s="2">
        <v>6.8</v>
      </c>
    </row>
    <row r="32" spans="4:35" x14ac:dyDescent="0.45">
      <c r="D32" t="str">
        <f t="shared" si="0"/>
        <v>IMfedri_Coal-Based Rotary Kiln</v>
      </c>
      <c r="E32" t="s">
        <v>493</v>
      </c>
      <c r="F32">
        <v>2014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>
        <v>3.3050000000000002</v>
      </c>
      <c r="AA32" s="2"/>
      <c r="AB32" s="2"/>
      <c r="AC32" s="2"/>
      <c r="AD32" s="2"/>
      <c r="AE32" s="2"/>
      <c r="AF32" s="2"/>
      <c r="AG32" s="2"/>
      <c r="AH32" s="2"/>
      <c r="AI32" s="2"/>
    </row>
    <row r="33" spans="4:35" x14ac:dyDescent="0.45">
      <c r="D33" t="str">
        <f t="shared" si="0"/>
        <v>IMstl_Electric Arc Furnace (EAF)</v>
      </c>
      <c r="E33" t="s">
        <v>495</v>
      </c>
      <c r="F33">
        <v>2014</v>
      </c>
      <c r="G33" s="2">
        <v>0.1</v>
      </c>
      <c r="H33" s="2"/>
      <c r="I33" s="2">
        <v>1.2</v>
      </c>
      <c r="J33" s="2"/>
      <c r="K33" s="2">
        <v>5.41</v>
      </c>
      <c r="L33" s="2">
        <v>3.97</v>
      </c>
      <c r="M33" s="2"/>
      <c r="N33" s="2">
        <v>0.96</v>
      </c>
      <c r="O33" s="2">
        <v>1.2</v>
      </c>
      <c r="P33" s="2">
        <v>12.373334</v>
      </c>
      <c r="Q33" s="2"/>
      <c r="R33" s="2">
        <v>1.3</v>
      </c>
      <c r="S33" s="2">
        <v>1.2</v>
      </c>
      <c r="T33" s="2">
        <v>1.43</v>
      </c>
      <c r="U33" s="2"/>
      <c r="V33" s="2">
        <v>0.75</v>
      </c>
      <c r="W33" s="2">
        <v>2</v>
      </c>
      <c r="X33" s="2">
        <v>0.1</v>
      </c>
      <c r="Y33" s="2">
        <v>1.0149999999999999</v>
      </c>
      <c r="Z33" s="2">
        <v>4.7</v>
      </c>
      <c r="AA33" s="2">
        <v>0.18</v>
      </c>
      <c r="AB33" s="2">
        <v>1.55</v>
      </c>
      <c r="AC33" s="2">
        <v>3.24</v>
      </c>
      <c r="AD33" s="2"/>
      <c r="AE33" s="2">
        <v>2.4</v>
      </c>
      <c r="AF33" s="2"/>
      <c r="AG33" s="2"/>
      <c r="AH33" s="2"/>
      <c r="AI33" s="2">
        <v>4.702</v>
      </c>
    </row>
    <row r="34" spans="4:35" x14ac:dyDescent="0.45">
      <c r="D34" t="str">
        <f t="shared" si="0"/>
        <v>IMfedri_Natural Gas-Based Midrex</v>
      </c>
      <c r="E34" t="s">
        <v>496</v>
      </c>
      <c r="F34">
        <v>2014</v>
      </c>
      <c r="G34" s="2"/>
      <c r="H34" s="2"/>
      <c r="I34" s="2">
        <v>0.9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>
        <v>5.0060000000000002</v>
      </c>
      <c r="AD34" s="2"/>
      <c r="AE34" s="2"/>
      <c r="AF34" s="2"/>
      <c r="AG34" s="2"/>
      <c r="AH34" s="2"/>
      <c r="AI34" s="2"/>
    </row>
    <row r="35" spans="4:35" x14ac:dyDescent="0.45">
      <c r="D35" t="str">
        <f t="shared" si="0"/>
        <v>IMstlbof_Modern BF</v>
      </c>
      <c r="E35" t="s">
        <v>491</v>
      </c>
      <c r="F35">
        <v>2013</v>
      </c>
      <c r="G35" s="2"/>
      <c r="H35" s="2"/>
      <c r="I35" s="2"/>
      <c r="J35" s="2"/>
      <c r="K35" s="2">
        <v>11.61</v>
      </c>
      <c r="L35" s="2"/>
      <c r="M35" s="2"/>
      <c r="N35" s="2">
        <v>1</v>
      </c>
      <c r="O35" s="2"/>
      <c r="P35" s="2">
        <v>50.426566000000001</v>
      </c>
      <c r="Q35" s="2"/>
      <c r="R35" s="2"/>
      <c r="S35" s="2"/>
      <c r="T35" s="2"/>
      <c r="U35" s="2"/>
      <c r="V35" s="2"/>
      <c r="W35" s="2">
        <v>10.27</v>
      </c>
      <c r="X35" s="2"/>
      <c r="Y35" s="2"/>
      <c r="Z35" s="2">
        <v>21.53</v>
      </c>
      <c r="AA35" s="2"/>
      <c r="AB35" s="2"/>
      <c r="AC35" s="2"/>
      <c r="AD35" s="2"/>
      <c r="AE35" s="2"/>
      <c r="AF35" s="2"/>
      <c r="AG35" s="2"/>
      <c r="AH35" s="2"/>
      <c r="AI35" s="2">
        <v>1.7430000000000001</v>
      </c>
    </row>
    <row r="36" spans="4:35" x14ac:dyDescent="0.45">
      <c r="D36" t="str">
        <f t="shared" si="0"/>
        <v>IMstlbof_Conventional BOF</v>
      </c>
      <c r="E36" t="s">
        <v>492</v>
      </c>
      <c r="F36">
        <v>2013</v>
      </c>
      <c r="G36" s="2"/>
      <c r="H36" s="2"/>
      <c r="I36" s="2"/>
      <c r="J36" s="2"/>
      <c r="K36" s="2">
        <v>6.73</v>
      </c>
      <c r="L36" s="2"/>
      <c r="M36" s="2"/>
      <c r="N36" s="2">
        <v>1</v>
      </c>
      <c r="O36" s="2"/>
      <c r="P36" s="2">
        <v>59.3</v>
      </c>
      <c r="Q36" s="2"/>
      <c r="R36" s="2"/>
      <c r="S36" s="2"/>
      <c r="T36" s="2"/>
      <c r="U36" s="2"/>
      <c r="V36" s="2"/>
      <c r="W36" s="2">
        <v>8.52</v>
      </c>
      <c r="X36" s="2"/>
      <c r="Y36" s="2">
        <v>3.24</v>
      </c>
      <c r="Z36" s="2">
        <v>4.6100000000000003</v>
      </c>
      <c r="AA36" s="2"/>
      <c r="AB36" s="2"/>
      <c r="AC36" s="2"/>
      <c r="AD36" s="2"/>
      <c r="AE36" s="2">
        <v>3.9</v>
      </c>
      <c r="AF36" s="2"/>
      <c r="AG36" s="2"/>
      <c r="AH36" s="2"/>
      <c r="AI36" s="2">
        <v>2.8</v>
      </c>
    </row>
    <row r="37" spans="4:35" x14ac:dyDescent="0.45">
      <c r="D37" t="str">
        <f t="shared" si="0"/>
        <v>IMfedri_Coal-Based Rotary Kiln</v>
      </c>
      <c r="E37" t="s">
        <v>493</v>
      </c>
      <c r="F37">
        <v>2013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v>3.73</v>
      </c>
      <c r="AA37" s="2"/>
      <c r="AB37" s="2"/>
      <c r="AC37" s="2"/>
      <c r="AD37" s="2"/>
      <c r="AE37" s="2"/>
      <c r="AF37" s="2"/>
      <c r="AG37" s="2"/>
      <c r="AH37" s="2"/>
      <c r="AI37" s="2"/>
    </row>
    <row r="38" spans="4:35" x14ac:dyDescent="0.45">
      <c r="D38" t="str">
        <f t="shared" si="0"/>
        <v>IMstl_Electric Arc Furnace (EAF)</v>
      </c>
      <c r="E38" t="s">
        <v>495</v>
      </c>
      <c r="F38">
        <v>2013</v>
      </c>
      <c r="G38" s="2">
        <v>2.15</v>
      </c>
      <c r="H38" s="2"/>
      <c r="I38" s="2"/>
      <c r="J38" s="2"/>
      <c r="K38" s="2">
        <v>6.2960000000000003</v>
      </c>
      <c r="L38" s="2">
        <v>3.85</v>
      </c>
      <c r="M38" s="2"/>
      <c r="N38" s="2">
        <v>0.71</v>
      </c>
      <c r="O38" s="2">
        <v>1.8</v>
      </c>
      <c r="P38" s="2">
        <v>12.288674</v>
      </c>
      <c r="Q38" s="2"/>
      <c r="R38" s="2">
        <v>0.8</v>
      </c>
      <c r="S38" s="2"/>
      <c r="T38" s="2">
        <v>1.25</v>
      </c>
      <c r="U38" s="2"/>
      <c r="V38" s="2">
        <v>0.7</v>
      </c>
      <c r="W38" s="2">
        <v>3</v>
      </c>
      <c r="X38" s="2">
        <v>0.09</v>
      </c>
      <c r="Y38" s="2">
        <v>1.2</v>
      </c>
      <c r="Z38" s="2">
        <v>4.8099999999999996</v>
      </c>
      <c r="AA38" s="2">
        <v>0.15</v>
      </c>
      <c r="AB38" s="2">
        <v>1.6</v>
      </c>
      <c r="AC38" s="2">
        <v>2.15</v>
      </c>
      <c r="AD38" s="2"/>
      <c r="AE38" s="2">
        <v>2.2000000000000002</v>
      </c>
      <c r="AF38" s="2"/>
      <c r="AG38" s="2"/>
      <c r="AH38" s="2"/>
      <c r="AI38" s="2">
        <v>4.8600000000000003</v>
      </c>
    </row>
    <row r="39" spans="4:35" x14ac:dyDescent="0.45">
      <c r="D39" t="str">
        <f t="shared" si="0"/>
        <v>IMfedri_Natural Gas-Based Midrex</v>
      </c>
      <c r="E39" t="s">
        <v>496</v>
      </c>
      <c r="F39">
        <v>2013</v>
      </c>
      <c r="G39" s="2">
        <v>3.8</v>
      </c>
      <c r="H39" s="2"/>
      <c r="I39" s="2"/>
      <c r="J39" s="2"/>
      <c r="K39" s="2">
        <v>0.01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>
        <v>1.5</v>
      </c>
      <c r="AD39" s="2"/>
      <c r="AE39" s="2"/>
      <c r="AF39" s="2"/>
      <c r="AG39" s="2"/>
      <c r="AH39" s="2"/>
      <c r="AI39" s="2"/>
    </row>
    <row r="40" spans="4:35" x14ac:dyDescent="0.45">
      <c r="D40" t="str">
        <f t="shared" si="0"/>
        <v>\I:</v>
      </c>
      <c r="E40" t="s">
        <v>497</v>
      </c>
      <c r="F40">
        <v>2013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>
        <v>1.74</v>
      </c>
      <c r="AA40" s="2"/>
      <c r="AB40" s="2"/>
      <c r="AC40" s="2"/>
      <c r="AD40" s="2"/>
      <c r="AE40" s="2"/>
      <c r="AF40" s="2"/>
      <c r="AG40" s="2"/>
      <c r="AH40" s="2"/>
      <c r="AI40" s="2"/>
    </row>
    <row r="41" spans="4:35" x14ac:dyDescent="0.45">
      <c r="D41" t="str">
        <f t="shared" si="0"/>
        <v>IMstlbof_Modern BF</v>
      </c>
      <c r="E41" t="s">
        <v>491</v>
      </c>
      <c r="F41">
        <v>2012</v>
      </c>
      <c r="G41" s="2"/>
      <c r="H41" s="2"/>
      <c r="I41" s="2"/>
      <c r="J41" s="2"/>
      <c r="K41" s="2">
        <v>7.6</v>
      </c>
      <c r="L41" s="2">
        <v>0.7</v>
      </c>
      <c r="M41" s="2"/>
      <c r="N41" s="2">
        <v>4.3</v>
      </c>
      <c r="O41" s="2"/>
      <c r="P41" s="2">
        <v>51.981234000000001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>
        <v>2.1480000000000001</v>
      </c>
    </row>
    <row r="42" spans="4:35" x14ac:dyDescent="0.45">
      <c r="D42" t="str">
        <f t="shared" si="0"/>
        <v>IMstlbof_Conventional BOF</v>
      </c>
      <c r="E42" t="s">
        <v>492</v>
      </c>
      <c r="F42">
        <v>2012</v>
      </c>
      <c r="G42" s="2"/>
      <c r="H42" s="2"/>
      <c r="I42" s="2"/>
      <c r="J42" s="2"/>
      <c r="K42" s="2">
        <v>6.6</v>
      </c>
      <c r="L42" s="2"/>
      <c r="M42" s="2"/>
      <c r="N42" s="2">
        <v>4.8</v>
      </c>
      <c r="O42" s="2"/>
      <c r="P42" s="2">
        <v>60.760612999999999</v>
      </c>
      <c r="Q42" s="2"/>
      <c r="R42" s="2"/>
      <c r="S42" s="2"/>
      <c r="T42" s="2"/>
      <c r="U42" s="2"/>
      <c r="V42" s="2"/>
      <c r="W42" s="2"/>
      <c r="X42" s="2"/>
      <c r="Y42" s="2">
        <v>2.76</v>
      </c>
      <c r="Z42" s="2">
        <v>4.75</v>
      </c>
      <c r="AA42" s="2"/>
      <c r="AB42" s="2"/>
      <c r="AC42" s="2"/>
      <c r="AD42" s="2"/>
      <c r="AE42" s="2"/>
      <c r="AF42" s="2"/>
      <c r="AG42" s="2"/>
      <c r="AH42" s="2"/>
      <c r="AI42" s="2">
        <v>2.7</v>
      </c>
    </row>
    <row r="43" spans="4:35" x14ac:dyDescent="0.45">
      <c r="D43" t="str">
        <f t="shared" si="0"/>
        <v>IMstl_Electric Arc Furnace (EAF)</v>
      </c>
      <c r="E43" t="s">
        <v>495</v>
      </c>
      <c r="F43">
        <v>2012</v>
      </c>
      <c r="G43" s="2">
        <v>2</v>
      </c>
      <c r="H43" s="2"/>
      <c r="I43" s="2"/>
      <c r="J43" s="2"/>
      <c r="K43" s="2">
        <v>6.2</v>
      </c>
      <c r="L43" s="2">
        <v>7.73</v>
      </c>
      <c r="M43" s="2"/>
      <c r="N43" s="2">
        <v>0.75</v>
      </c>
      <c r="O43" s="2">
        <v>0.6</v>
      </c>
      <c r="P43" s="2">
        <v>12.17</v>
      </c>
      <c r="Q43" s="2"/>
      <c r="R43" s="2"/>
      <c r="S43" s="2"/>
      <c r="T43" s="2">
        <v>1.2</v>
      </c>
      <c r="U43" s="2"/>
      <c r="V43" s="2">
        <v>0.65</v>
      </c>
      <c r="W43" s="2">
        <v>2.62</v>
      </c>
      <c r="X43" s="2">
        <v>0.05</v>
      </c>
      <c r="Y43" s="2">
        <v>1.1000000000000001</v>
      </c>
      <c r="Z43" s="2">
        <v>32</v>
      </c>
      <c r="AA43" s="2">
        <v>0.13500000000000001</v>
      </c>
      <c r="AB43" s="2">
        <v>1.3</v>
      </c>
      <c r="AC43" s="2">
        <v>2.4500000000000002</v>
      </c>
      <c r="AD43" s="2"/>
      <c r="AE43" s="2">
        <v>2</v>
      </c>
      <c r="AF43" s="2"/>
      <c r="AG43" s="2"/>
      <c r="AH43" s="2"/>
      <c r="AI43" s="2">
        <v>6.2569999999999997</v>
      </c>
    </row>
    <row r="44" spans="4:35" x14ac:dyDescent="0.45">
      <c r="D44" t="str">
        <f t="shared" si="0"/>
        <v>IMfedri_Natural Gas-Based Midrex</v>
      </c>
      <c r="E44" t="s">
        <v>496</v>
      </c>
      <c r="F44">
        <v>2012</v>
      </c>
      <c r="G44" s="2"/>
      <c r="H44" s="2"/>
      <c r="I44" s="2"/>
      <c r="J44" s="2"/>
      <c r="K44" s="2"/>
      <c r="L44" s="2">
        <v>1.54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>
        <v>1.6</v>
      </c>
      <c r="AD44" s="2"/>
      <c r="AE44" s="2"/>
      <c r="AF44" s="2"/>
      <c r="AG44" s="2"/>
      <c r="AH44" s="2"/>
      <c r="AI44" s="2"/>
    </row>
    <row r="45" spans="4:35" x14ac:dyDescent="0.45">
      <c r="D45" t="str">
        <f t="shared" si="0"/>
        <v>IMstlbof_Modern BF</v>
      </c>
      <c r="E45" t="s">
        <v>491</v>
      </c>
      <c r="F45">
        <v>2011</v>
      </c>
      <c r="G45" s="2"/>
      <c r="H45" s="2"/>
      <c r="I45" s="2"/>
      <c r="J45" s="2"/>
      <c r="K45" s="2"/>
      <c r="L45" s="2"/>
      <c r="M45" s="2"/>
      <c r="N45" s="2">
        <v>6.3</v>
      </c>
      <c r="O45" s="2"/>
      <c r="P45" s="2">
        <v>54.057141000000001</v>
      </c>
      <c r="Q45" s="2"/>
      <c r="R45" s="2"/>
      <c r="S45" s="2"/>
      <c r="T45" s="2"/>
      <c r="U45" s="2"/>
      <c r="V45" s="2"/>
      <c r="W45" s="2"/>
      <c r="X45" s="2"/>
      <c r="Y45" s="2">
        <v>4.79</v>
      </c>
      <c r="Z45" s="2"/>
      <c r="AA45" s="2"/>
      <c r="AB45" s="2"/>
      <c r="AC45" s="2">
        <v>4</v>
      </c>
      <c r="AD45" s="2"/>
      <c r="AE45" s="2"/>
      <c r="AF45" s="2"/>
      <c r="AG45" s="2"/>
      <c r="AH45" s="2"/>
      <c r="AI45" s="2">
        <v>2.09</v>
      </c>
    </row>
    <row r="46" spans="4:35" x14ac:dyDescent="0.45">
      <c r="D46" t="str">
        <f t="shared" si="0"/>
        <v>IMstlbof_Conventional BOF</v>
      </c>
      <c r="E46" t="s">
        <v>492</v>
      </c>
      <c r="F46">
        <v>2011</v>
      </c>
      <c r="G46" s="2"/>
      <c r="H46" s="2"/>
      <c r="I46" s="2"/>
      <c r="J46" s="2"/>
      <c r="K46" s="2">
        <v>4.7</v>
      </c>
      <c r="L46" s="2"/>
      <c r="M46" s="2"/>
      <c r="N46" s="2">
        <v>5.2</v>
      </c>
      <c r="O46" s="2"/>
      <c r="P46" s="2">
        <v>60.922896000000001</v>
      </c>
      <c r="Q46" s="2"/>
      <c r="R46" s="2"/>
      <c r="S46" s="2"/>
      <c r="T46" s="2"/>
      <c r="U46" s="2"/>
      <c r="V46" s="2"/>
      <c r="W46" s="2"/>
      <c r="X46" s="2"/>
      <c r="Y46" s="2"/>
      <c r="Z46" s="2">
        <v>9.6999999999999993</v>
      </c>
      <c r="AA46" s="2"/>
      <c r="AB46" s="2"/>
      <c r="AC46" s="2"/>
      <c r="AD46" s="2"/>
      <c r="AE46" s="2"/>
      <c r="AF46" s="2"/>
      <c r="AG46" s="2"/>
      <c r="AH46" s="2"/>
      <c r="AI46" s="2">
        <v>3</v>
      </c>
    </row>
    <row r="47" spans="4:35" x14ac:dyDescent="0.45">
      <c r="D47" t="str">
        <f t="shared" si="0"/>
        <v>IMfedri_Coal-Based Rotary Kiln</v>
      </c>
      <c r="E47" t="s">
        <v>493</v>
      </c>
      <c r="F47">
        <v>2011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>
        <v>1.57</v>
      </c>
      <c r="AA47" s="2"/>
      <c r="AB47" s="2"/>
      <c r="AC47" s="2"/>
      <c r="AD47" s="2"/>
      <c r="AE47" s="2"/>
      <c r="AF47" s="2"/>
      <c r="AG47" s="2"/>
      <c r="AH47" s="2"/>
      <c r="AI47" s="2"/>
    </row>
    <row r="48" spans="4:35" x14ac:dyDescent="0.45">
      <c r="D48" t="str">
        <f t="shared" si="0"/>
        <v>IMstl_Electric Arc Furnace (EAF)</v>
      </c>
      <c r="E48" t="s">
        <v>495</v>
      </c>
      <c r="F48">
        <v>2011</v>
      </c>
      <c r="G48" s="2">
        <v>2.85</v>
      </c>
      <c r="H48" s="2"/>
      <c r="I48" s="2"/>
      <c r="J48" s="2"/>
      <c r="K48" s="2">
        <v>5.2240000000000002</v>
      </c>
      <c r="L48" s="2">
        <v>6.55</v>
      </c>
      <c r="M48" s="2"/>
      <c r="N48" s="2">
        <v>1.02</v>
      </c>
      <c r="O48" s="2">
        <v>1.35</v>
      </c>
      <c r="P48" s="2">
        <v>11.82</v>
      </c>
      <c r="Q48" s="2"/>
      <c r="R48" s="2"/>
      <c r="S48" s="2"/>
      <c r="T48" s="2">
        <v>1.45</v>
      </c>
      <c r="U48" s="2"/>
      <c r="V48" s="2">
        <v>1.05</v>
      </c>
      <c r="W48" s="2">
        <v>1.8759999999999999</v>
      </c>
      <c r="X48" s="2">
        <v>0.7</v>
      </c>
      <c r="Y48" s="2">
        <v>1.1000000000000001</v>
      </c>
      <c r="Z48" s="2">
        <v>3.8460000000000001</v>
      </c>
      <c r="AA48" s="2"/>
      <c r="AB48" s="2">
        <v>1.45</v>
      </c>
      <c r="AC48" s="2">
        <v>5</v>
      </c>
      <c r="AD48" s="2"/>
      <c r="AE48" s="2">
        <v>2</v>
      </c>
      <c r="AF48" s="2"/>
      <c r="AG48" s="2"/>
      <c r="AH48" s="2"/>
      <c r="AI48" s="2">
        <v>5.0759999999999996</v>
      </c>
    </row>
    <row r="49" spans="4:35" x14ac:dyDescent="0.45">
      <c r="D49" t="str">
        <f t="shared" si="0"/>
        <v>IMfedri_Natural Gas-Based Midrex</v>
      </c>
      <c r="E49" t="s">
        <v>496</v>
      </c>
      <c r="F49">
        <v>2011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>
        <v>0.6</v>
      </c>
      <c r="Z49" s="2"/>
      <c r="AA49" s="2"/>
      <c r="AB49" s="2">
        <v>0.7</v>
      </c>
      <c r="AC49" s="2">
        <v>7.96</v>
      </c>
      <c r="AD49" s="2"/>
      <c r="AE49" s="2"/>
      <c r="AF49" s="2"/>
      <c r="AG49" s="2"/>
      <c r="AH49" s="2"/>
      <c r="AI49" s="2"/>
    </row>
    <row r="50" spans="4:35" x14ac:dyDescent="0.45">
      <c r="D50" t="str">
        <f t="shared" si="0"/>
        <v>IMstlbof_Modern BF</v>
      </c>
      <c r="E50" t="s">
        <v>491</v>
      </c>
      <c r="F50">
        <v>2010</v>
      </c>
      <c r="G50" s="2"/>
      <c r="H50" s="2"/>
      <c r="I50" s="2">
        <v>0.24</v>
      </c>
      <c r="J50" s="2">
        <v>0.72499999999999998</v>
      </c>
      <c r="K50" s="2">
        <v>8.9700000000000006</v>
      </c>
      <c r="L50" s="2">
        <v>8.1</v>
      </c>
      <c r="M50" s="2"/>
      <c r="N50" s="2">
        <v>9.1199999999999992</v>
      </c>
      <c r="O50" s="2"/>
      <c r="P50" s="2">
        <v>97.485197999999997</v>
      </c>
      <c r="Q50" s="2"/>
      <c r="R50" s="2"/>
      <c r="S50" s="2"/>
      <c r="T50" s="2"/>
      <c r="U50" s="2"/>
      <c r="V50" s="2"/>
      <c r="W50" s="2">
        <v>5.4950000000000001</v>
      </c>
      <c r="X50" s="2">
        <v>1.1000000000000001</v>
      </c>
      <c r="Y50" s="2"/>
      <c r="Z50" s="2">
        <v>22.605</v>
      </c>
      <c r="AA50" s="2">
        <v>0.12</v>
      </c>
      <c r="AB50" s="2"/>
      <c r="AC50" s="2">
        <v>0.3</v>
      </c>
      <c r="AD50" s="2">
        <v>0.2</v>
      </c>
      <c r="AE50" s="2">
        <v>4.2718579999999999</v>
      </c>
      <c r="AF50" s="2"/>
      <c r="AG50" s="2"/>
      <c r="AH50" s="2"/>
      <c r="AI50" s="2"/>
    </row>
    <row r="51" spans="4:35" x14ac:dyDescent="0.45">
      <c r="D51" t="str">
        <f t="shared" si="0"/>
        <v>IMstlbof_Conventional BOF</v>
      </c>
      <c r="E51" t="s">
        <v>492</v>
      </c>
      <c r="F51">
        <v>2010</v>
      </c>
      <c r="G51" s="2"/>
      <c r="H51" s="2"/>
      <c r="I51" s="2"/>
      <c r="J51" s="2"/>
      <c r="K51" s="2">
        <v>6</v>
      </c>
      <c r="L51" s="2"/>
      <c r="M51" s="2"/>
      <c r="N51" s="2">
        <v>1.25</v>
      </c>
      <c r="O51" s="2"/>
      <c r="P51" s="2">
        <v>59.45</v>
      </c>
      <c r="Q51" s="2"/>
      <c r="R51" s="2"/>
      <c r="S51" s="2"/>
      <c r="T51" s="2"/>
      <c r="U51" s="2"/>
      <c r="V51" s="2"/>
      <c r="W51" s="2"/>
      <c r="X51" s="2"/>
      <c r="Y51" s="2"/>
      <c r="Z51" s="2">
        <v>7</v>
      </c>
      <c r="AA51" s="2"/>
      <c r="AB51" s="2"/>
      <c r="AC51" s="2"/>
      <c r="AD51" s="2"/>
      <c r="AE51" s="2"/>
      <c r="AF51" s="2"/>
      <c r="AG51" s="2"/>
      <c r="AH51" s="2"/>
      <c r="AI51" s="2"/>
    </row>
    <row r="52" spans="4:35" x14ac:dyDescent="0.45">
      <c r="D52" t="str">
        <f t="shared" si="0"/>
        <v>IMfedri_Coal-Based Rotary Kiln</v>
      </c>
      <c r="E52" t="s">
        <v>493</v>
      </c>
      <c r="F52">
        <v>2010</v>
      </c>
      <c r="G52" s="2"/>
      <c r="H52" s="2"/>
      <c r="I52" s="2"/>
      <c r="J52" s="2"/>
      <c r="K52" s="2"/>
      <c r="L52" s="2"/>
      <c r="M52" s="2"/>
      <c r="N52" s="2"/>
      <c r="O52" s="2"/>
      <c r="P52" s="2">
        <v>1.522</v>
      </c>
      <c r="Q52" s="2"/>
      <c r="R52" s="2"/>
      <c r="S52" s="2"/>
      <c r="T52" s="2"/>
      <c r="U52" s="2"/>
      <c r="V52" s="2"/>
      <c r="W52" s="2"/>
      <c r="X52" s="2"/>
      <c r="Y52" s="2"/>
      <c r="Z52" s="2">
        <v>3.6315</v>
      </c>
      <c r="AA52" s="2"/>
      <c r="AB52" s="2"/>
      <c r="AC52" s="2"/>
      <c r="AD52" s="2"/>
      <c r="AE52" s="2"/>
      <c r="AF52" s="2"/>
      <c r="AG52" s="2"/>
      <c r="AH52" s="2"/>
      <c r="AI52" s="2"/>
    </row>
    <row r="53" spans="4:35" x14ac:dyDescent="0.45">
      <c r="D53" t="str">
        <f t="shared" si="0"/>
        <v>IMstl_Electric Arc Furnace (EAF)</v>
      </c>
      <c r="E53" t="s">
        <v>495</v>
      </c>
      <c r="F53">
        <v>2010</v>
      </c>
      <c r="G53" s="2">
        <v>0.6</v>
      </c>
      <c r="H53" s="2"/>
      <c r="I53" s="2"/>
      <c r="J53" s="2"/>
      <c r="K53" s="2">
        <v>6.2949999999999999</v>
      </c>
      <c r="L53" s="2">
        <v>3.56</v>
      </c>
      <c r="M53" s="2"/>
      <c r="N53" s="2">
        <v>1</v>
      </c>
      <c r="O53" s="2"/>
      <c r="P53" s="2">
        <v>12.525359999999999</v>
      </c>
      <c r="Q53" s="2"/>
      <c r="R53" s="2"/>
      <c r="S53" s="2"/>
      <c r="T53" s="2">
        <v>1.8</v>
      </c>
      <c r="U53" s="2"/>
      <c r="V53" s="2">
        <v>1.2749999999999999</v>
      </c>
      <c r="W53" s="2">
        <v>2.053204</v>
      </c>
      <c r="X53" s="2">
        <v>1.25</v>
      </c>
      <c r="Y53" s="2">
        <v>2</v>
      </c>
      <c r="Z53" s="2">
        <v>5</v>
      </c>
      <c r="AA53" s="2"/>
      <c r="AB53" s="2">
        <v>1.01</v>
      </c>
      <c r="AC53" s="2">
        <v>7.2</v>
      </c>
      <c r="AD53" s="2"/>
      <c r="AE53" s="2">
        <v>3</v>
      </c>
      <c r="AF53" s="2"/>
      <c r="AG53" s="2"/>
      <c r="AH53" s="2"/>
      <c r="AI53" s="2">
        <v>4.8289999999999997</v>
      </c>
    </row>
    <row r="54" spans="4:35" x14ac:dyDescent="0.45">
      <c r="D54" t="str">
        <f t="shared" si="0"/>
        <v>IMfedri_Natural Gas-Based Midrex</v>
      </c>
      <c r="E54" t="s">
        <v>496</v>
      </c>
      <c r="F54">
        <v>2010</v>
      </c>
      <c r="G54" s="2"/>
      <c r="H54" s="2"/>
      <c r="I54" s="2"/>
      <c r="J54" s="2"/>
      <c r="K54" s="2">
        <v>1.54</v>
      </c>
      <c r="L54" s="2">
        <v>4.8</v>
      </c>
      <c r="M54" s="2"/>
      <c r="N54" s="2">
        <v>0.37</v>
      </c>
      <c r="O54" s="2">
        <v>1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v>2.9</v>
      </c>
      <c r="AA54" s="2">
        <v>5.42</v>
      </c>
      <c r="AB54" s="2"/>
      <c r="AC54" s="2">
        <v>12.25</v>
      </c>
      <c r="AD54" s="2"/>
      <c r="AE54" s="2">
        <v>5.25</v>
      </c>
      <c r="AF54" s="2"/>
      <c r="AG54" s="2">
        <v>1.5504</v>
      </c>
      <c r="AH54" s="2"/>
      <c r="AI54" s="2">
        <v>6.4</v>
      </c>
    </row>
    <row r="55" spans="4:35" x14ac:dyDescent="0.45">
      <c r="D55" t="str">
        <f t="shared" si="0"/>
        <v>\I:</v>
      </c>
      <c r="E55" t="s">
        <v>498</v>
      </c>
      <c r="F55">
        <v>2010</v>
      </c>
      <c r="G55" s="2"/>
      <c r="H55" s="2"/>
      <c r="I55" s="2"/>
      <c r="J55" s="2">
        <v>1.45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>
        <v>8</v>
      </c>
      <c r="X55" s="2"/>
      <c r="Y55" s="2"/>
      <c r="Z55" s="2">
        <v>2.5</v>
      </c>
      <c r="AA55" s="2"/>
      <c r="AB55" s="2"/>
      <c r="AC55" s="2">
        <v>0.5</v>
      </c>
      <c r="AD55" s="2"/>
      <c r="AE55" s="2">
        <v>3.3</v>
      </c>
      <c r="AF55" s="2"/>
      <c r="AG55" s="2"/>
      <c r="AH55" s="2"/>
      <c r="AI55" s="2"/>
    </row>
    <row r="56" spans="4:35" x14ac:dyDescent="0.45">
      <c r="D56" t="str">
        <f t="shared" si="0"/>
        <v>\I:</v>
      </c>
      <c r="E56" t="s">
        <v>497</v>
      </c>
      <c r="F56">
        <v>2010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>
        <v>0.76</v>
      </c>
      <c r="AH56" s="2"/>
      <c r="AI56" s="2"/>
    </row>
    <row r="57" spans="4:35" x14ac:dyDescent="0.45">
      <c r="D57" t="str">
        <f t="shared" si="0"/>
        <v>IMstlbof_Modern BF</v>
      </c>
      <c r="E57" t="s">
        <v>491</v>
      </c>
      <c r="F57">
        <v>2009</v>
      </c>
      <c r="G57" s="2"/>
      <c r="H57" s="2"/>
      <c r="I57" s="2"/>
      <c r="J57" s="2"/>
      <c r="K57" s="2">
        <v>2.2999999999999998</v>
      </c>
      <c r="L57" s="2"/>
      <c r="M57" s="2"/>
      <c r="N57" s="2"/>
      <c r="O57" s="2"/>
      <c r="P57" s="2">
        <v>52.081279000000002</v>
      </c>
      <c r="Q57" s="2"/>
      <c r="R57" s="2"/>
      <c r="S57" s="2"/>
      <c r="T57" s="2"/>
      <c r="U57" s="2"/>
      <c r="V57" s="2"/>
      <c r="W57" s="2"/>
      <c r="X57" s="2"/>
      <c r="Y57" s="2"/>
      <c r="Z57" s="2">
        <v>4.5</v>
      </c>
      <c r="AA57" s="2"/>
      <c r="AB57" s="2"/>
      <c r="AC57" s="2"/>
      <c r="AD57" s="2"/>
      <c r="AE57" s="2"/>
      <c r="AF57" s="2"/>
      <c r="AG57" s="2"/>
      <c r="AH57" s="2"/>
      <c r="AI57" s="2"/>
    </row>
    <row r="58" spans="4:35" x14ac:dyDescent="0.45">
      <c r="D58" t="str">
        <f t="shared" si="0"/>
        <v>IMstlbof_Conventional BOF</v>
      </c>
      <c r="E58" t="s">
        <v>492</v>
      </c>
      <c r="F58">
        <v>2009</v>
      </c>
      <c r="G58" s="2"/>
      <c r="H58" s="2"/>
      <c r="I58" s="2"/>
      <c r="J58" s="2"/>
      <c r="K58" s="2">
        <v>3.89</v>
      </c>
      <c r="L58" s="2"/>
      <c r="M58" s="2"/>
      <c r="N58" s="2"/>
      <c r="O58" s="2"/>
      <c r="P58" s="2">
        <v>58.794666999999997</v>
      </c>
      <c r="Q58" s="2"/>
      <c r="R58" s="2"/>
      <c r="S58" s="2"/>
      <c r="T58" s="2"/>
      <c r="U58" s="2"/>
      <c r="V58" s="2"/>
      <c r="W58" s="2"/>
      <c r="X58" s="2"/>
      <c r="Y58" s="2"/>
      <c r="Z58" s="2">
        <v>4.2</v>
      </c>
      <c r="AA58" s="2"/>
      <c r="AB58" s="2"/>
      <c r="AC58" s="2"/>
      <c r="AD58" s="2"/>
      <c r="AE58" s="2"/>
      <c r="AF58" s="2"/>
      <c r="AG58" s="2"/>
      <c r="AH58" s="2"/>
      <c r="AI58" s="2"/>
    </row>
    <row r="59" spans="4:35" x14ac:dyDescent="0.45">
      <c r="D59" t="str">
        <f t="shared" si="0"/>
        <v>IMfedri_Coal-Based Rotary Kiln</v>
      </c>
      <c r="E59" t="s">
        <v>493</v>
      </c>
      <c r="F59">
        <v>2009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>
        <v>0.34</v>
      </c>
      <c r="AA59" s="2"/>
      <c r="AB59" s="2"/>
      <c r="AC59" s="2"/>
      <c r="AD59" s="2"/>
      <c r="AE59" s="2"/>
      <c r="AF59" s="2"/>
      <c r="AG59" s="2"/>
      <c r="AH59" s="2"/>
      <c r="AI59" s="2"/>
    </row>
    <row r="60" spans="4:35" x14ac:dyDescent="0.45">
      <c r="D60" t="str">
        <f t="shared" si="0"/>
        <v>IMstl_Electric Arc Furnace (EAF)</v>
      </c>
      <c r="E60" t="s">
        <v>495</v>
      </c>
      <c r="F60">
        <v>2009</v>
      </c>
      <c r="G60" s="2">
        <v>0.14000000000000001</v>
      </c>
      <c r="H60" s="2"/>
      <c r="I60" s="2"/>
      <c r="J60" s="2"/>
      <c r="K60" s="2">
        <v>4.58</v>
      </c>
      <c r="L60" s="2">
        <v>2.323</v>
      </c>
      <c r="M60" s="2"/>
      <c r="N60" s="2">
        <v>1.2</v>
      </c>
      <c r="O60" s="2"/>
      <c r="P60" s="2">
        <v>12.307486000000001</v>
      </c>
      <c r="Q60" s="2"/>
      <c r="R60" s="2"/>
      <c r="S60" s="2"/>
      <c r="T60" s="2">
        <v>2.2000000000000002</v>
      </c>
      <c r="U60" s="2"/>
      <c r="V60" s="2">
        <v>2.4</v>
      </c>
      <c r="W60" s="2">
        <v>2.77</v>
      </c>
      <c r="X60" s="2">
        <v>0.68</v>
      </c>
      <c r="Y60" s="2">
        <v>1.2</v>
      </c>
      <c r="Z60" s="2">
        <v>2.31</v>
      </c>
      <c r="AA60" s="2"/>
      <c r="AB60" s="2">
        <v>1.2</v>
      </c>
      <c r="AC60" s="2">
        <v>4.4000000000000004</v>
      </c>
      <c r="AD60" s="2"/>
      <c r="AE60" s="2">
        <v>3</v>
      </c>
      <c r="AF60" s="2"/>
      <c r="AG60" s="2"/>
      <c r="AH60" s="2"/>
      <c r="AI60" s="2">
        <v>5.89</v>
      </c>
    </row>
    <row r="61" spans="4:35" x14ac:dyDescent="0.45">
      <c r="D61" t="str">
        <f t="shared" si="0"/>
        <v>IMfedri_Natural Gas-Based Midrex</v>
      </c>
      <c r="E61" t="s">
        <v>496</v>
      </c>
      <c r="F61">
        <v>2009</v>
      </c>
      <c r="G61" s="2">
        <v>1.76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>
        <v>7</v>
      </c>
      <c r="AD61" s="2"/>
      <c r="AE61" s="2"/>
      <c r="AF61" s="2"/>
      <c r="AG61" s="2"/>
      <c r="AH61" s="2"/>
      <c r="AI61" s="2"/>
    </row>
    <row r="62" spans="4:35" x14ac:dyDescent="0.45">
      <c r="D62" t="str">
        <f t="shared" si="0"/>
        <v>IMstlbof_Modern BF</v>
      </c>
      <c r="E62" t="s">
        <v>491</v>
      </c>
      <c r="F62">
        <v>2008</v>
      </c>
      <c r="G62" s="2">
        <v>1.4</v>
      </c>
      <c r="H62" s="2"/>
      <c r="I62" s="2"/>
      <c r="J62" s="2"/>
      <c r="K62" s="2">
        <v>3.6</v>
      </c>
      <c r="L62" s="2"/>
      <c r="M62" s="2"/>
      <c r="N62" s="2"/>
      <c r="O62" s="2"/>
      <c r="P62" s="2">
        <v>44.158959000000003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4:35" x14ac:dyDescent="0.45">
      <c r="D63" t="str">
        <f t="shared" si="0"/>
        <v>IMstlbof_Conventional BOF</v>
      </c>
      <c r="E63" t="s">
        <v>492</v>
      </c>
      <c r="F63">
        <v>2008</v>
      </c>
      <c r="G63" s="2"/>
      <c r="H63" s="2"/>
      <c r="I63" s="2"/>
      <c r="J63" s="2"/>
      <c r="K63" s="2">
        <v>6.98</v>
      </c>
      <c r="L63" s="2"/>
      <c r="M63" s="2"/>
      <c r="N63" s="2"/>
      <c r="O63" s="2"/>
      <c r="P63" s="2">
        <v>58.875734000000001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4:35" x14ac:dyDescent="0.45">
      <c r="D64" t="str">
        <f t="shared" si="0"/>
        <v>IMstl_Electric Arc Furnace (EAF)</v>
      </c>
      <c r="E64" t="s">
        <v>495</v>
      </c>
      <c r="F64">
        <v>2008</v>
      </c>
      <c r="G64" s="2">
        <v>3</v>
      </c>
      <c r="H64" s="2"/>
      <c r="I64" s="2"/>
      <c r="J64" s="2"/>
      <c r="K64" s="2">
        <v>5.8</v>
      </c>
      <c r="L64" s="2">
        <v>2.85</v>
      </c>
      <c r="M64" s="2"/>
      <c r="N64" s="2">
        <v>1.8</v>
      </c>
      <c r="O64" s="2"/>
      <c r="P64" s="2">
        <v>12.219033</v>
      </c>
      <c r="Q64" s="2"/>
      <c r="R64" s="2"/>
      <c r="S64" s="2"/>
      <c r="T64" s="2">
        <v>1.2</v>
      </c>
      <c r="U64" s="2"/>
      <c r="V64" s="2">
        <v>1</v>
      </c>
      <c r="W64" s="2">
        <v>2.25</v>
      </c>
      <c r="X64" s="2"/>
      <c r="Y64" s="2">
        <v>1.3</v>
      </c>
      <c r="Z64" s="2"/>
      <c r="AA64" s="2"/>
      <c r="AB64" s="2">
        <v>1.57</v>
      </c>
      <c r="AC64" s="2">
        <v>1</v>
      </c>
      <c r="AD64" s="2"/>
      <c r="AE64" s="2">
        <v>2.1</v>
      </c>
      <c r="AF64" s="2"/>
      <c r="AG64" s="2"/>
      <c r="AH64" s="2"/>
      <c r="AI64" s="2">
        <v>5.3310000000000004</v>
      </c>
    </row>
    <row r="65" spans="4:35" x14ac:dyDescent="0.45">
      <c r="D65" t="str">
        <f t="shared" si="0"/>
        <v>IMfedri_Natural Gas-Based Midrex</v>
      </c>
      <c r="E65" t="s">
        <v>496</v>
      </c>
      <c r="F65">
        <v>2008</v>
      </c>
      <c r="G65" s="2">
        <v>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4:35" x14ac:dyDescent="0.45">
      <c r="D66" t="str">
        <f t="shared" si="0"/>
        <v>IMstlbof_Modern BF</v>
      </c>
      <c r="E66" t="s">
        <v>491</v>
      </c>
      <c r="F66">
        <v>2007</v>
      </c>
      <c r="G66" s="2"/>
      <c r="H66" s="2"/>
      <c r="I66" s="2"/>
      <c r="J66" s="2"/>
      <c r="K66" s="2">
        <v>34.299999999999997</v>
      </c>
      <c r="L66" s="2"/>
      <c r="M66" s="2"/>
      <c r="N66" s="2"/>
      <c r="O66" s="2"/>
      <c r="P66" s="2">
        <v>53.842236999999997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4:35" x14ac:dyDescent="0.45">
      <c r="D67" t="str">
        <f t="shared" si="0"/>
        <v>IMstlbof_Conventional BOF</v>
      </c>
      <c r="E67" t="s">
        <v>492</v>
      </c>
      <c r="F67">
        <v>2007</v>
      </c>
      <c r="G67" s="2"/>
      <c r="H67" s="2"/>
      <c r="I67" s="2"/>
      <c r="J67" s="2"/>
      <c r="K67" s="2">
        <v>11.4</v>
      </c>
      <c r="L67" s="2"/>
      <c r="M67" s="2"/>
      <c r="N67" s="2"/>
      <c r="O67" s="2"/>
      <c r="P67" s="2">
        <v>59.575733999999997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4:35" x14ac:dyDescent="0.45">
      <c r="D68" t="str">
        <f t="shared" si="0"/>
        <v>IMstl_Electric Arc Furnace (EAF)</v>
      </c>
      <c r="E68" t="s">
        <v>495</v>
      </c>
      <c r="F68">
        <v>2007</v>
      </c>
      <c r="G68" s="2"/>
      <c r="H68" s="2"/>
      <c r="I68" s="2"/>
      <c r="J68" s="2"/>
      <c r="K68" s="2">
        <v>3.7</v>
      </c>
      <c r="L68" s="2">
        <v>1.75</v>
      </c>
      <c r="M68" s="2"/>
      <c r="N68" s="2">
        <v>1</v>
      </c>
      <c r="O68" s="2"/>
      <c r="P68" s="2">
        <v>12.137845</v>
      </c>
      <c r="Q68" s="2"/>
      <c r="R68" s="2"/>
      <c r="S68" s="2"/>
      <c r="T68" s="2">
        <v>1.7050000000000001</v>
      </c>
      <c r="U68" s="2"/>
      <c r="V68" s="2">
        <v>1.1499999999999999</v>
      </c>
      <c r="W68" s="2">
        <v>2.2999999999999998</v>
      </c>
      <c r="X68" s="2"/>
      <c r="Y68" s="2"/>
      <c r="Z68" s="2"/>
      <c r="AA68" s="2"/>
      <c r="AB68" s="2"/>
      <c r="AC68" s="2"/>
      <c r="AD68" s="2"/>
      <c r="AE68" s="2">
        <v>3</v>
      </c>
      <c r="AF68" s="2"/>
      <c r="AG68" s="2"/>
      <c r="AH68" s="2"/>
      <c r="AI68" s="2">
        <v>4.6040000000000001</v>
      </c>
    </row>
    <row r="69" spans="4:35" x14ac:dyDescent="0.45">
      <c r="D69" t="str">
        <f t="shared" ref="D69:D76" si="1">VLOOKUP(E69,$A$4:$B$11,2,FALSE)</f>
        <v>IMfedri_Natural Gas-Based Midrex</v>
      </c>
      <c r="E69" t="s">
        <v>496</v>
      </c>
      <c r="F69">
        <v>2007</v>
      </c>
      <c r="G69" s="2"/>
      <c r="H69" s="2"/>
      <c r="I69" s="2"/>
      <c r="J69" s="2"/>
      <c r="K69" s="2">
        <v>2.2400000000000002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4:35" x14ac:dyDescent="0.45">
      <c r="D70" t="str">
        <f t="shared" si="1"/>
        <v>IMstlbof_Modern BF</v>
      </c>
      <c r="E70" t="s">
        <v>491</v>
      </c>
      <c r="F70">
        <v>2006</v>
      </c>
      <c r="G70" s="2"/>
      <c r="H70" s="2"/>
      <c r="I70" s="2"/>
      <c r="J70" s="2"/>
      <c r="K70" s="2"/>
      <c r="L70" s="2"/>
      <c r="M70" s="2"/>
      <c r="N70" s="2"/>
      <c r="O70" s="2"/>
      <c r="P70" s="2">
        <v>50.211041000000002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4:35" x14ac:dyDescent="0.45">
      <c r="D71" t="str">
        <f t="shared" si="1"/>
        <v>IMstlbof_Conventional BOF</v>
      </c>
      <c r="E71" t="s">
        <v>492</v>
      </c>
      <c r="F71">
        <v>2006</v>
      </c>
      <c r="G71" s="2"/>
      <c r="H71" s="2"/>
      <c r="I71" s="2"/>
      <c r="J71" s="2"/>
      <c r="K71" s="2"/>
      <c r="L71" s="2"/>
      <c r="M71" s="2"/>
      <c r="N71" s="2"/>
      <c r="O71" s="2"/>
      <c r="P71" s="2">
        <v>61.2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4:35" x14ac:dyDescent="0.45">
      <c r="D72" t="str">
        <f t="shared" si="1"/>
        <v>IMstl_Electric Arc Furnace (EAF)</v>
      </c>
      <c r="E72" t="s">
        <v>495</v>
      </c>
      <c r="F72">
        <v>2006</v>
      </c>
      <c r="G72" s="2"/>
      <c r="H72" s="2"/>
      <c r="I72" s="2"/>
      <c r="J72" s="2"/>
      <c r="K72" s="2">
        <v>3.125</v>
      </c>
      <c r="L72" s="2">
        <v>0.81</v>
      </c>
      <c r="M72" s="2"/>
      <c r="N72" s="2">
        <v>0.5</v>
      </c>
      <c r="O72" s="2"/>
      <c r="P72" s="2">
        <v>11.75</v>
      </c>
      <c r="Q72" s="2"/>
      <c r="R72" s="2"/>
      <c r="S72" s="2"/>
      <c r="T72" s="2">
        <v>1.74</v>
      </c>
      <c r="U72" s="2"/>
      <c r="V72" s="2"/>
      <c r="W72" s="2">
        <v>2</v>
      </c>
      <c r="X72" s="2"/>
      <c r="Y72" s="2"/>
      <c r="Z72" s="2"/>
      <c r="AA72" s="2"/>
      <c r="AB72" s="2"/>
      <c r="AC72" s="2"/>
      <c r="AD72" s="2"/>
      <c r="AE72" s="2">
        <v>2.7</v>
      </c>
      <c r="AF72" s="2"/>
      <c r="AG72" s="2"/>
      <c r="AH72" s="2"/>
      <c r="AI72" s="2">
        <v>5.3860000000000001</v>
      </c>
    </row>
    <row r="73" spans="4:35" x14ac:dyDescent="0.45">
      <c r="D73" t="str">
        <f t="shared" si="1"/>
        <v>IMstlbof_Modern BF</v>
      </c>
      <c r="E73" t="s">
        <v>491</v>
      </c>
      <c r="F73">
        <v>2005</v>
      </c>
      <c r="G73" s="2"/>
      <c r="H73" s="2"/>
      <c r="I73" s="2"/>
      <c r="J73" s="2"/>
      <c r="K73" s="2"/>
      <c r="L73" s="2"/>
      <c r="M73" s="2"/>
      <c r="N73" s="2"/>
      <c r="O73" s="2"/>
      <c r="P73" s="2">
        <v>54.490476999999998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4:35" x14ac:dyDescent="0.45">
      <c r="D74" t="str">
        <f t="shared" si="1"/>
        <v>IMstlbof_Conventional BOF</v>
      </c>
      <c r="E74" t="s">
        <v>492</v>
      </c>
      <c r="F74">
        <v>2005</v>
      </c>
      <c r="G74" s="2"/>
      <c r="H74" s="2"/>
      <c r="I74" s="2"/>
      <c r="J74" s="2"/>
      <c r="K74" s="2"/>
      <c r="L74" s="2"/>
      <c r="M74" s="2"/>
      <c r="N74" s="2"/>
      <c r="O74" s="2"/>
      <c r="P74" s="2">
        <v>59.436447999999999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4:35" x14ac:dyDescent="0.45">
      <c r="D75" t="str">
        <f t="shared" si="1"/>
        <v>IMfedri_Coal-Based Rotary Kiln</v>
      </c>
      <c r="E75" t="s">
        <v>493</v>
      </c>
      <c r="F75">
        <v>2005</v>
      </c>
      <c r="G75" s="2"/>
      <c r="H75" s="2"/>
      <c r="I75" s="2"/>
      <c r="J75" s="2"/>
      <c r="K75" s="2"/>
      <c r="L75" s="2"/>
      <c r="M75" s="2"/>
      <c r="N75" s="2"/>
      <c r="O75" s="2"/>
      <c r="P75" s="2">
        <v>0.3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4:35" x14ac:dyDescent="0.45">
      <c r="D76" t="str">
        <f t="shared" si="1"/>
        <v>IMstl_Electric Arc Furnace (EAF)</v>
      </c>
      <c r="E76" t="s">
        <v>495</v>
      </c>
      <c r="F76">
        <v>2005</v>
      </c>
      <c r="G76" s="2"/>
      <c r="H76" s="2"/>
      <c r="I76" s="2"/>
      <c r="J76" s="2"/>
      <c r="K76" s="2">
        <v>2</v>
      </c>
      <c r="L76" s="2">
        <v>1</v>
      </c>
      <c r="M76" s="2"/>
      <c r="N76" s="2">
        <v>0.75</v>
      </c>
      <c r="O76" s="2"/>
      <c r="P76" s="2">
        <v>12.71355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>
        <v>2.6</v>
      </c>
      <c r="AF76" s="2"/>
      <c r="AG76" s="2"/>
      <c r="AH76" s="2"/>
      <c r="AI7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8FA3-254E-4C5B-B166-9F49E5E58412}">
  <dimension ref="C2:AS33"/>
  <sheetViews>
    <sheetView workbookViewId="0">
      <selection activeCell="H34" sqref="H34"/>
    </sheetView>
  </sheetViews>
  <sheetFormatPr defaultColWidth="8.86328125" defaultRowHeight="14.25" x14ac:dyDescent="0.45"/>
  <cols>
    <col min="3" max="3" width="14" bestFit="1" customWidth="1"/>
    <col min="4" max="4" width="10" bestFit="1" customWidth="1"/>
    <col min="5" max="5" width="9.6640625" bestFit="1" customWidth="1"/>
    <col min="6" max="6" width="11.1328125" bestFit="1" customWidth="1"/>
    <col min="7" max="38" width="5.53125" bestFit="1" customWidth="1"/>
    <col min="39" max="39" width="3.53125" bestFit="1" customWidth="1"/>
    <col min="41" max="41" width="13.1328125" bestFit="1" customWidth="1"/>
    <col min="42" max="42" width="10.46484375" bestFit="1" customWidth="1"/>
    <col min="43" max="43" width="9.33203125" bestFit="1" customWidth="1"/>
    <col min="44" max="44" width="4.53125" bestFit="1" customWidth="1"/>
    <col min="45" max="45" width="5.53125" bestFit="1" customWidth="1"/>
  </cols>
  <sheetData>
    <row r="2" spans="3:45" ht="17.25" thickBot="1" x14ac:dyDescent="0.55000000000000004">
      <c r="F2" s="14" t="s">
        <v>536</v>
      </c>
      <c r="AO2" s="14" t="s">
        <v>5</v>
      </c>
    </row>
    <row r="3" spans="3:45" ht="15" thickTop="1" thickBot="1" x14ac:dyDescent="0.5">
      <c r="C3" s="13" t="s">
        <v>45</v>
      </c>
      <c r="D3" s="13" t="s">
        <v>531</v>
      </c>
      <c r="E3" s="13" t="s">
        <v>499</v>
      </c>
      <c r="F3" s="13" t="s">
        <v>6</v>
      </c>
      <c r="G3" s="13">
        <v>2019</v>
      </c>
      <c r="H3" s="13">
        <v>2020</v>
      </c>
      <c r="I3" s="13">
        <v>2021</v>
      </c>
      <c r="J3" s="13">
        <v>2022</v>
      </c>
      <c r="K3" s="13">
        <v>2023</v>
      </c>
      <c r="L3" s="13">
        <v>2024</v>
      </c>
      <c r="M3" s="13">
        <v>2025</v>
      </c>
      <c r="N3" s="13">
        <v>2026</v>
      </c>
      <c r="O3" s="13">
        <v>2027</v>
      </c>
      <c r="P3" s="13">
        <v>2028</v>
      </c>
      <c r="Q3" s="13">
        <v>2029</v>
      </c>
      <c r="R3" s="13">
        <v>2030</v>
      </c>
      <c r="S3" s="13">
        <v>2031</v>
      </c>
      <c r="T3" s="13">
        <v>2032</v>
      </c>
      <c r="U3" s="13">
        <v>2033</v>
      </c>
      <c r="V3" s="13">
        <v>2034</v>
      </c>
      <c r="W3" s="13">
        <v>2035</v>
      </c>
      <c r="X3" s="13">
        <v>2036</v>
      </c>
      <c r="Y3" s="13">
        <v>2037</v>
      </c>
      <c r="Z3" s="13">
        <v>2038</v>
      </c>
      <c r="AA3" s="13">
        <v>2039</v>
      </c>
      <c r="AB3" s="13">
        <v>2040</v>
      </c>
      <c r="AC3" s="13">
        <v>2041</v>
      </c>
      <c r="AD3" s="13">
        <v>2042</v>
      </c>
      <c r="AE3" s="13">
        <v>2043</v>
      </c>
      <c r="AF3" s="13">
        <v>2044</v>
      </c>
      <c r="AG3" s="13">
        <v>2045</v>
      </c>
      <c r="AH3" s="13">
        <v>2046</v>
      </c>
      <c r="AI3" s="13">
        <v>2047</v>
      </c>
      <c r="AJ3" s="13">
        <v>2048</v>
      </c>
      <c r="AK3" s="13">
        <v>2049</v>
      </c>
      <c r="AL3" s="13">
        <v>2050</v>
      </c>
      <c r="AM3" s="13">
        <v>0</v>
      </c>
      <c r="AO3" s="13" t="s">
        <v>7</v>
      </c>
      <c r="AP3" s="13" t="s">
        <v>3</v>
      </c>
      <c r="AQ3" s="13" t="s">
        <v>8</v>
      </c>
      <c r="AR3" s="13" t="s">
        <v>10</v>
      </c>
      <c r="AS3" s="13" t="s">
        <v>9</v>
      </c>
    </row>
    <row r="4" spans="3:45" x14ac:dyDescent="0.45">
      <c r="C4" t="s">
        <v>458</v>
      </c>
      <c r="D4" t="s">
        <v>532</v>
      </c>
      <c r="E4" t="s">
        <v>533</v>
      </c>
      <c r="F4" t="s">
        <v>530</v>
      </c>
      <c r="G4" s="2">
        <v>6.7461307039089098</v>
      </c>
      <c r="H4" s="2">
        <v>7.2685744315973304</v>
      </c>
      <c r="I4" s="2">
        <v>6.8548734472637802</v>
      </c>
      <c r="J4" s="2">
        <v>6.75218278379546</v>
      </c>
      <c r="K4" s="2">
        <v>6.96934654805787</v>
      </c>
      <c r="L4" s="2">
        <v>7.4233732350126997</v>
      </c>
      <c r="M4" s="2">
        <v>8.0079091891788394</v>
      </c>
      <c r="N4" s="2">
        <v>8.3015338294933407</v>
      </c>
      <c r="O4" s="2">
        <v>8.3074390872097705</v>
      </c>
      <c r="P4" s="2">
        <v>8.3535382758376198</v>
      </c>
      <c r="Q4" s="2">
        <v>8.5394732919951206</v>
      </c>
      <c r="R4" s="2">
        <v>8.7180477395327003</v>
      </c>
      <c r="S4" s="2">
        <v>8.7875830559665697</v>
      </c>
      <c r="T4" s="2">
        <v>8.8934300581540402</v>
      </c>
      <c r="U4" s="2">
        <v>9.0112816588249594</v>
      </c>
      <c r="V4" s="2">
        <v>9.2508302220715795</v>
      </c>
      <c r="W4" s="2">
        <v>9.5778012092510494</v>
      </c>
      <c r="X4" s="2">
        <v>9.8168591473960305</v>
      </c>
      <c r="Y4" s="2">
        <v>9.9382403441185296</v>
      </c>
      <c r="Z4" s="2">
        <v>10.559865029025101</v>
      </c>
      <c r="AA4" s="2">
        <v>10.636072593388</v>
      </c>
      <c r="AB4" s="2">
        <v>10.7280048699335</v>
      </c>
      <c r="AC4" s="2">
        <v>10.969368806405299</v>
      </c>
      <c r="AD4" s="2">
        <v>11.075040435053699</v>
      </c>
      <c r="AE4" s="2">
        <v>11.2391878850772</v>
      </c>
      <c r="AF4" s="2">
        <v>11.488139369167399</v>
      </c>
      <c r="AG4" s="2">
        <v>11.8275422020854</v>
      </c>
      <c r="AH4" s="2">
        <v>12.213315848049501</v>
      </c>
      <c r="AI4" s="2">
        <v>12.4218479157399</v>
      </c>
      <c r="AJ4" s="2">
        <v>12.531035842845601</v>
      </c>
      <c r="AK4" s="2">
        <v>12.48839880957</v>
      </c>
      <c r="AL4" s="2">
        <v>12.7767899117505</v>
      </c>
      <c r="AM4" s="2">
        <v>5</v>
      </c>
      <c r="AO4" t="s">
        <v>534</v>
      </c>
      <c r="AP4" t="str">
        <f>E4</f>
        <v>sup_scrap</v>
      </c>
      <c r="AR4" t="s">
        <v>13</v>
      </c>
      <c r="AS4" t="s">
        <v>14</v>
      </c>
    </row>
    <row r="5" spans="3:45" x14ac:dyDescent="0.45">
      <c r="C5" t="s">
        <v>459</v>
      </c>
      <c r="D5" t="s">
        <v>532</v>
      </c>
      <c r="E5" t="s">
        <v>533</v>
      </c>
      <c r="F5" t="s">
        <v>530</v>
      </c>
      <c r="G5" s="2">
        <v>2.3047059418643498</v>
      </c>
      <c r="H5" s="2">
        <v>2.8047365410479999</v>
      </c>
      <c r="I5" s="2">
        <v>2.4402596554448799</v>
      </c>
      <c r="J5" s="2">
        <v>2.72300591625938</v>
      </c>
      <c r="K5" s="2">
        <v>3.4845503047870401</v>
      </c>
      <c r="L5" s="2">
        <v>3.7488104402437199</v>
      </c>
      <c r="M5" s="2">
        <v>3.8748886720160001</v>
      </c>
      <c r="N5" s="2">
        <v>4.0416768856770799</v>
      </c>
      <c r="O5" s="2">
        <v>4.3477321167323799</v>
      </c>
      <c r="P5" s="2">
        <v>4.8260257421300796</v>
      </c>
      <c r="Q5" s="2">
        <v>5.15881133836647</v>
      </c>
      <c r="R5" s="2">
        <v>5.3223504384180398</v>
      </c>
      <c r="S5" s="2">
        <v>5.4771680509291301</v>
      </c>
      <c r="T5" s="2">
        <v>5.67738027048705</v>
      </c>
      <c r="U5" s="2">
        <v>5.9549382625223304</v>
      </c>
      <c r="V5" s="2">
        <v>5.9097910960519799</v>
      </c>
      <c r="W5" s="2">
        <v>5.8561675055470204</v>
      </c>
      <c r="X5" s="2">
        <v>5.8490469799473503</v>
      </c>
      <c r="Y5" s="2">
        <v>6.0032537634415402</v>
      </c>
      <c r="Z5" s="2">
        <v>6.4618735724173204</v>
      </c>
      <c r="AA5" s="2">
        <v>6.8956389221473797</v>
      </c>
      <c r="AB5" s="2">
        <v>7.3454312055148296</v>
      </c>
      <c r="AC5" s="2">
        <v>7.6987496438892498</v>
      </c>
      <c r="AD5" s="2">
        <v>7.9263980950172197</v>
      </c>
      <c r="AE5" s="2">
        <v>8.1588851063649397</v>
      </c>
      <c r="AF5" s="2">
        <v>8.2524867612120598</v>
      </c>
      <c r="AG5" s="2">
        <v>8.5538574977525208</v>
      </c>
      <c r="AH5" s="2">
        <v>8.8830664918689806</v>
      </c>
      <c r="AI5" s="2">
        <v>9.1544125198422499</v>
      </c>
      <c r="AJ5" s="2">
        <v>9.3678529822380003</v>
      </c>
      <c r="AK5" s="2">
        <v>9.7010720817023905</v>
      </c>
      <c r="AL5" s="2">
        <v>10.1221085991323</v>
      </c>
      <c r="AM5" s="2">
        <v>5</v>
      </c>
    </row>
    <row r="6" spans="3:45" x14ac:dyDescent="0.45">
      <c r="C6" t="s">
        <v>460</v>
      </c>
      <c r="D6" t="s">
        <v>532</v>
      </c>
      <c r="E6" t="s">
        <v>533</v>
      </c>
      <c r="F6" t="s">
        <v>530</v>
      </c>
      <c r="G6" s="2">
        <v>4.7767849755231602</v>
      </c>
      <c r="H6" s="2">
        <v>3.9420639220217302</v>
      </c>
      <c r="I6" s="2">
        <v>5.6285610226560499</v>
      </c>
      <c r="J6" s="2">
        <v>5.1497985759201397</v>
      </c>
      <c r="K6" s="2">
        <v>3.4490997693452199</v>
      </c>
      <c r="L6" s="2">
        <v>3.5770935234218801</v>
      </c>
      <c r="M6" s="2">
        <v>3.93841704295532</v>
      </c>
      <c r="N6" s="2">
        <v>4.4158883692048301</v>
      </c>
      <c r="O6" s="2">
        <v>4.9704224513349802</v>
      </c>
      <c r="P6" s="2">
        <v>5.4768848530399898</v>
      </c>
      <c r="Q6" s="2">
        <v>5.6811860424137199</v>
      </c>
      <c r="R6" s="2">
        <v>6.0352741317361502</v>
      </c>
      <c r="S6" s="2">
        <v>6.4654219176368297</v>
      </c>
      <c r="T6" s="2">
        <v>7.0006976040037303</v>
      </c>
      <c r="U6" s="2">
        <v>7.17553439377832</v>
      </c>
      <c r="V6" s="2">
        <v>7.0612423934735498</v>
      </c>
      <c r="W6" s="2">
        <v>7.2114236118293498</v>
      </c>
      <c r="X6" s="2">
        <v>7.4515380028170997</v>
      </c>
      <c r="Y6" s="2">
        <v>7.72158605477608</v>
      </c>
      <c r="Z6" s="2">
        <v>7.5899414080241696</v>
      </c>
      <c r="AA6" s="2">
        <v>7.1302010092836303</v>
      </c>
      <c r="AB6" s="2">
        <v>7.1338857167391696</v>
      </c>
      <c r="AC6" s="2">
        <v>7.2368154807490397</v>
      </c>
      <c r="AD6" s="2">
        <v>7.5715046612565304</v>
      </c>
      <c r="AE6" s="2">
        <v>7.5998734299007698</v>
      </c>
      <c r="AF6" s="2">
        <v>8.6516757304909202</v>
      </c>
      <c r="AG6" s="2">
        <v>8.9000798816251692</v>
      </c>
      <c r="AH6" s="2">
        <v>9.2198465111867502</v>
      </c>
      <c r="AI6" s="2">
        <v>9.3101718501645507</v>
      </c>
      <c r="AJ6" s="2">
        <v>9.4910139579861799</v>
      </c>
      <c r="AK6" s="2">
        <v>9.6047250750397293</v>
      </c>
      <c r="AL6" s="2">
        <v>9.4128296438833399</v>
      </c>
      <c r="AM6" s="2">
        <v>5</v>
      </c>
    </row>
    <row r="7" spans="3:45" x14ac:dyDescent="0.45">
      <c r="C7" t="s">
        <v>461</v>
      </c>
      <c r="D7" t="s">
        <v>532</v>
      </c>
      <c r="E7" t="s">
        <v>533</v>
      </c>
      <c r="F7" t="s">
        <v>530</v>
      </c>
      <c r="G7" s="2">
        <v>4.5403474240863302</v>
      </c>
      <c r="H7" s="2">
        <v>3.7762274240605298</v>
      </c>
      <c r="I7" s="2">
        <v>3.7988761748889002</v>
      </c>
      <c r="J7" s="2">
        <v>3.9948734021480901</v>
      </c>
      <c r="K7" s="2">
        <v>3.9041075694063498</v>
      </c>
      <c r="L7" s="2">
        <v>4.3280813475159396</v>
      </c>
      <c r="M7" s="2">
        <v>4.6284915938041902</v>
      </c>
      <c r="N7" s="2">
        <v>4.9246649416833703</v>
      </c>
      <c r="O7" s="2">
        <v>5.3469706965052204</v>
      </c>
      <c r="P7" s="2">
        <v>5.6509463203967503</v>
      </c>
      <c r="Q7" s="2">
        <v>5.6007919098433501</v>
      </c>
      <c r="R7" s="2">
        <v>5.2462189645073698</v>
      </c>
      <c r="S7" s="2">
        <v>5.3973281081818696</v>
      </c>
      <c r="T7" s="2">
        <v>5.4344258746668404</v>
      </c>
      <c r="U7" s="2">
        <v>5.5557705648517501</v>
      </c>
      <c r="V7" s="2">
        <v>5.5625120151223397</v>
      </c>
      <c r="W7" s="2">
        <v>4.98994610443168</v>
      </c>
      <c r="X7" s="2">
        <v>4.3955164653093401</v>
      </c>
      <c r="Y7" s="2">
        <v>3.9786247684025202</v>
      </c>
      <c r="Z7" s="2">
        <v>4.0136496021507302</v>
      </c>
      <c r="AA7" s="2">
        <v>4.0884892812966998</v>
      </c>
      <c r="AB7" s="2">
        <v>3.9783358138095699</v>
      </c>
      <c r="AC7" s="2">
        <v>4.2025818445633298</v>
      </c>
      <c r="AD7" s="2">
        <v>4.45089119514983</v>
      </c>
      <c r="AE7" s="2">
        <v>4.5598226204165098</v>
      </c>
      <c r="AF7" s="2">
        <v>4.6647923629346604</v>
      </c>
      <c r="AG7" s="2">
        <v>4.8005456393930004</v>
      </c>
      <c r="AH7" s="2">
        <v>5.0115842567831903</v>
      </c>
      <c r="AI7" s="2">
        <v>5.3165480309134798</v>
      </c>
      <c r="AJ7" s="2">
        <v>5.7029410864457901</v>
      </c>
      <c r="AK7" s="2">
        <v>5.98725297325573</v>
      </c>
      <c r="AL7" s="2">
        <v>6.2729220680848599</v>
      </c>
      <c r="AM7" s="2">
        <v>5</v>
      </c>
    </row>
    <row r="8" spans="3:45" x14ac:dyDescent="0.45">
      <c r="C8" t="s">
        <v>462</v>
      </c>
      <c r="D8" t="s">
        <v>532</v>
      </c>
      <c r="E8" t="s">
        <v>533</v>
      </c>
      <c r="F8" t="s">
        <v>530</v>
      </c>
      <c r="G8" s="2">
        <v>59.155480085796597</v>
      </c>
      <c r="H8" s="2">
        <v>49.6083690201663</v>
      </c>
      <c r="I8" s="2">
        <v>55.561036228069</v>
      </c>
      <c r="J8" s="2">
        <v>57.099781546306801</v>
      </c>
      <c r="K8" s="2">
        <v>61.658136314920299</v>
      </c>
      <c r="L8" s="2">
        <v>61.6742321016131</v>
      </c>
      <c r="M8" s="2">
        <v>62.9014149491056</v>
      </c>
      <c r="N8" s="2">
        <v>66.978622241249496</v>
      </c>
      <c r="O8" s="2">
        <v>71.427364711841406</v>
      </c>
      <c r="P8" s="2">
        <v>72.538366004175401</v>
      </c>
      <c r="Q8" s="2">
        <v>67.939856437331898</v>
      </c>
      <c r="R8" s="2">
        <v>64.644875790524594</v>
      </c>
      <c r="S8" s="2">
        <v>63.5818897010029</v>
      </c>
      <c r="T8" s="2">
        <v>67.470412707142401</v>
      </c>
      <c r="U8" s="2">
        <v>71.680991968903996</v>
      </c>
      <c r="V8" s="2">
        <v>76.887501538781393</v>
      </c>
      <c r="W8" s="2">
        <v>80.0766029028009</v>
      </c>
      <c r="X8" s="2">
        <v>82.073869472480098</v>
      </c>
      <c r="Y8" s="2">
        <v>82.943703154617296</v>
      </c>
      <c r="Z8" s="2">
        <v>83.456718456307399</v>
      </c>
      <c r="AA8" s="2">
        <v>81.606498183322302</v>
      </c>
      <c r="AB8" s="2">
        <v>80.4205126551973</v>
      </c>
      <c r="AC8" s="2">
        <v>79.400385738674601</v>
      </c>
      <c r="AD8" s="2">
        <v>79.976040142487903</v>
      </c>
      <c r="AE8" s="2">
        <v>81.109063310000707</v>
      </c>
      <c r="AF8" s="2">
        <v>84.097233598073899</v>
      </c>
      <c r="AG8" s="2">
        <v>87.317266838861201</v>
      </c>
      <c r="AH8" s="2">
        <v>89.781388193859996</v>
      </c>
      <c r="AI8" s="2">
        <v>92.183327070291895</v>
      </c>
      <c r="AJ8" s="2">
        <v>94.768689387442194</v>
      </c>
      <c r="AK8" s="2">
        <v>94.6554993946705</v>
      </c>
      <c r="AL8" s="2">
        <v>93.368314055940402</v>
      </c>
      <c r="AM8" s="2">
        <v>5</v>
      </c>
    </row>
    <row r="9" spans="3:45" x14ac:dyDescent="0.45">
      <c r="C9" t="s">
        <v>463</v>
      </c>
      <c r="D9" t="s">
        <v>532</v>
      </c>
      <c r="E9" t="s">
        <v>533</v>
      </c>
      <c r="F9" t="s">
        <v>530</v>
      </c>
      <c r="G9" s="2">
        <v>40.818908178480498</v>
      </c>
      <c r="H9" s="2">
        <v>42.178761701341003</v>
      </c>
      <c r="I9" s="2">
        <v>35.538227519329602</v>
      </c>
      <c r="J9" s="2">
        <v>36.564656729455798</v>
      </c>
      <c r="K9" s="2">
        <v>37.243392909120303</v>
      </c>
      <c r="L9" s="2">
        <v>37.974624918238902</v>
      </c>
      <c r="M9" s="2">
        <v>38.792105850157903</v>
      </c>
      <c r="N9" s="2">
        <v>40.394499564599499</v>
      </c>
      <c r="O9" s="2">
        <v>43.779270841175801</v>
      </c>
      <c r="P9" s="2">
        <v>44.462230088686802</v>
      </c>
      <c r="Q9" s="2">
        <v>44.413391295718597</v>
      </c>
      <c r="R9" s="2">
        <v>44.375764615239902</v>
      </c>
      <c r="S9" s="2">
        <v>45.262998454671099</v>
      </c>
      <c r="T9" s="2">
        <v>47.106920062175298</v>
      </c>
      <c r="U9" s="2">
        <v>52.184174817603498</v>
      </c>
      <c r="V9" s="2">
        <v>52.945174640566499</v>
      </c>
      <c r="W9" s="2">
        <v>53.632231015004997</v>
      </c>
      <c r="X9" s="2">
        <v>55.239837727524502</v>
      </c>
      <c r="Y9" s="2">
        <v>57.246309091892101</v>
      </c>
      <c r="Z9" s="2">
        <v>59.5840971794944</v>
      </c>
      <c r="AA9" s="2">
        <v>61.635332246902998</v>
      </c>
      <c r="AB9" s="2">
        <v>63.043304590551898</v>
      </c>
      <c r="AC9" s="2">
        <v>64.380184772363805</v>
      </c>
      <c r="AD9" s="2">
        <v>66.555758957973097</v>
      </c>
      <c r="AE9" s="2">
        <v>68.599152638732903</v>
      </c>
      <c r="AF9" s="2">
        <v>70.771978095049406</v>
      </c>
      <c r="AG9" s="2">
        <v>72.145549162126102</v>
      </c>
      <c r="AH9" s="2">
        <v>74.2675381204633</v>
      </c>
      <c r="AI9" s="2">
        <v>76.769323576413498</v>
      </c>
      <c r="AJ9" s="2">
        <v>79.267902720381898</v>
      </c>
      <c r="AK9" s="2">
        <v>81.005904905020898</v>
      </c>
      <c r="AL9" s="2">
        <v>84.632519591854702</v>
      </c>
      <c r="AM9" s="2">
        <v>5</v>
      </c>
    </row>
    <row r="10" spans="3:45" x14ac:dyDescent="0.45">
      <c r="C10" t="s">
        <v>464</v>
      </c>
      <c r="D10" t="s">
        <v>532</v>
      </c>
      <c r="E10" t="s">
        <v>533</v>
      </c>
      <c r="F10" t="s">
        <v>530</v>
      </c>
      <c r="G10" s="2">
        <v>7.0846903463927697</v>
      </c>
      <c r="H10" s="2">
        <v>7.7371406570097996</v>
      </c>
      <c r="I10" s="2">
        <v>7.6069975835962502</v>
      </c>
      <c r="J10" s="2">
        <v>7.7450480328837097</v>
      </c>
      <c r="K10" s="2">
        <v>7.1428208915474602</v>
      </c>
      <c r="L10" s="2">
        <v>7.5659376948529404</v>
      </c>
      <c r="M10" s="2">
        <v>8.1225713245585904</v>
      </c>
      <c r="N10" s="2">
        <v>8.8413699510093693</v>
      </c>
      <c r="O10" s="2">
        <v>9.2477860284967708</v>
      </c>
      <c r="P10" s="2">
        <v>9.5375666660481802</v>
      </c>
      <c r="Q10" s="2">
        <v>9.0546129709671899</v>
      </c>
      <c r="R10" s="2">
        <v>8.8543151943058405</v>
      </c>
      <c r="S10" s="2">
        <v>8.8103487123678299</v>
      </c>
      <c r="T10" s="2">
        <v>9.4957621145282403</v>
      </c>
      <c r="U10" s="2">
        <v>9.9248847336036103</v>
      </c>
      <c r="V10" s="2">
        <v>10.1095944540997</v>
      </c>
      <c r="W10" s="2">
        <v>9.9606147730915104</v>
      </c>
      <c r="X10" s="2">
        <v>9.8515464242970499</v>
      </c>
      <c r="Y10" s="2">
        <v>9.7499855565166609</v>
      </c>
      <c r="Z10" s="2">
        <v>9.6704089822816695</v>
      </c>
      <c r="AA10" s="2">
        <v>9.5202895435732806</v>
      </c>
      <c r="AB10" s="2">
        <v>9.7598017686039604</v>
      </c>
      <c r="AC10" s="2">
        <v>9.9778877721852108</v>
      </c>
      <c r="AD10" s="2">
        <v>10.2376363000675</v>
      </c>
      <c r="AE10" s="2">
        <v>10.2500711581914</v>
      </c>
      <c r="AF10" s="2">
        <v>10.398750437145701</v>
      </c>
      <c r="AG10" s="2">
        <v>10.5485535935942</v>
      </c>
      <c r="AH10" s="2">
        <v>10.6291755885052</v>
      </c>
      <c r="AI10" s="2">
        <v>10.5567506753814</v>
      </c>
      <c r="AJ10" s="2">
        <v>10.460942795209</v>
      </c>
      <c r="AK10" s="2">
        <v>10.3716475698176</v>
      </c>
      <c r="AL10" s="2">
        <v>10.4277126962835</v>
      </c>
      <c r="AM10" s="2">
        <v>5</v>
      </c>
    </row>
    <row r="11" spans="3:45" x14ac:dyDescent="0.45">
      <c r="C11" t="s">
        <v>66</v>
      </c>
      <c r="D11" t="s">
        <v>532</v>
      </c>
      <c r="E11" t="s">
        <v>533</v>
      </c>
      <c r="F11" t="s">
        <v>530</v>
      </c>
      <c r="G11" s="2">
        <v>9.8392374322478595</v>
      </c>
      <c r="H11" s="2">
        <v>10.298280692726101</v>
      </c>
      <c r="I11" s="2">
        <v>13.6519363855798</v>
      </c>
      <c r="J11" s="2">
        <v>11.173926115314</v>
      </c>
      <c r="K11" s="2">
        <v>10.863574617253301</v>
      </c>
      <c r="L11" s="2">
        <v>11.5925479527669</v>
      </c>
      <c r="M11" s="2">
        <v>12.2785078681237</v>
      </c>
      <c r="N11" s="2">
        <v>12.7087811413849</v>
      </c>
      <c r="O11" s="2">
        <v>13.5372558189437</v>
      </c>
      <c r="P11" s="2">
        <v>14.692604630800799</v>
      </c>
      <c r="Q11" s="2">
        <v>15.6198242023888</v>
      </c>
      <c r="R11" s="2">
        <v>16.992730641003298</v>
      </c>
      <c r="S11" s="2">
        <v>17.909111546609701</v>
      </c>
      <c r="T11" s="2">
        <v>18.865217113184301</v>
      </c>
      <c r="U11" s="2">
        <v>19.360197168496999</v>
      </c>
      <c r="V11" s="2">
        <v>19.008063612259601</v>
      </c>
      <c r="W11" s="2">
        <v>18.6478971829908</v>
      </c>
      <c r="X11" s="2">
        <v>17.945584244034102</v>
      </c>
      <c r="Y11" s="2">
        <v>18.186158660402</v>
      </c>
      <c r="Z11" s="2">
        <v>18.541863156563402</v>
      </c>
      <c r="AA11" s="2">
        <v>19.170192521442601</v>
      </c>
      <c r="AB11" s="2">
        <v>20.190825201114102</v>
      </c>
      <c r="AC11" s="2">
        <v>21.227206868690001</v>
      </c>
      <c r="AD11" s="2">
        <v>21.892383461973001</v>
      </c>
      <c r="AE11" s="2">
        <v>22.040197182664802</v>
      </c>
      <c r="AF11" s="2">
        <v>22.440657825770501</v>
      </c>
      <c r="AG11" s="2">
        <v>22.6626549614925</v>
      </c>
      <c r="AH11" s="2">
        <v>23.3005646107312</v>
      </c>
      <c r="AI11" s="2">
        <v>24.0863272604606</v>
      </c>
      <c r="AJ11" s="2">
        <v>25.226151339232601</v>
      </c>
      <c r="AK11" s="2">
        <v>26.025540481949701</v>
      </c>
      <c r="AL11" s="2">
        <v>25.662603007021001</v>
      </c>
      <c r="AM11" s="2">
        <v>5</v>
      </c>
    </row>
    <row r="12" spans="3:45" x14ac:dyDescent="0.45">
      <c r="C12" t="s">
        <v>109</v>
      </c>
      <c r="D12" t="s">
        <v>532</v>
      </c>
      <c r="E12" t="s">
        <v>533</v>
      </c>
      <c r="F12" t="s">
        <v>530</v>
      </c>
      <c r="G12" s="2">
        <v>3.63483182161246</v>
      </c>
      <c r="H12" s="2">
        <v>2.78166726379943</v>
      </c>
      <c r="I12" s="2">
        <v>3.9517182581290902</v>
      </c>
      <c r="J12" s="2">
        <v>3.5425888145869502</v>
      </c>
      <c r="K12" s="2">
        <v>2.9517490559597399</v>
      </c>
      <c r="L12" s="2">
        <v>4.4568552384851596</v>
      </c>
      <c r="M12" s="2">
        <v>4.4134172012520603</v>
      </c>
      <c r="N12" s="2">
        <v>4.5855752177657401</v>
      </c>
      <c r="O12" s="2">
        <v>4.8578526092591403</v>
      </c>
      <c r="P12" s="2">
        <v>4.9499309183612796</v>
      </c>
      <c r="Q12" s="2">
        <v>5.0462811236484004</v>
      </c>
      <c r="R12" s="2">
        <v>5.13269039183493</v>
      </c>
      <c r="S12" s="2">
        <v>5.2147286949428597</v>
      </c>
      <c r="T12" s="2">
        <v>5.29254408945385</v>
      </c>
      <c r="U12" s="2">
        <v>5.3623760991785296</v>
      </c>
      <c r="V12" s="2">
        <v>5.4318603001963099</v>
      </c>
      <c r="W12" s="2">
        <v>5.49875586116843</v>
      </c>
      <c r="X12" s="2">
        <v>5.5614439337693904</v>
      </c>
      <c r="Y12" s="2">
        <v>5.6191827292953702</v>
      </c>
      <c r="Z12" s="2">
        <v>5.6728371738907404</v>
      </c>
      <c r="AA12" s="2">
        <v>5.72197110056615</v>
      </c>
      <c r="AB12" s="2">
        <v>5.7668032263592401</v>
      </c>
      <c r="AC12" s="2">
        <v>5.8305595886983301</v>
      </c>
      <c r="AD12" s="2">
        <v>5.8897075219794699</v>
      </c>
      <c r="AE12" s="2">
        <v>5.9434231231503096</v>
      </c>
      <c r="AF12" s="2">
        <v>5.9909194032439297</v>
      </c>
      <c r="AG12" s="2">
        <v>6.0307090389163198</v>
      </c>
      <c r="AH12" s="2">
        <v>6.06414266037154</v>
      </c>
      <c r="AI12" s="2">
        <v>6.0908029359870497</v>
      </c>
      <c r="AJ12" s="2">
        <v>6.1094836698841997</v>
      </c>
      <c r="AK12" s="2">
        <v>6.1214993930133401</v>
      </c>
      <c r="AL12" s="2">
        <v>6.1272911074820797</v>
      </c>
      <c r="AM12" s="2">
        <v>5</v>
      </c>
    </row>
    <row r="13" spans="3:45" x14ac:dyDescent="0.45">
      <c r="C13" t="s">
        <v>78</v>
      </c>
      <c r="D13" t="s">
        <v>532</v>
      </c>
      <c r="E13" t="s">
        <v>533</v>
      </c>
      <c r="F13" t="s">
        <v>530</v>
      </c>
      <c r="G13" s="2">
        <v>219.53309350418499</v>
      </c>
      <c r="H13" s="2">
        <v>233.170000728703</v>
      </c>
      <c r="I13" s="2">
        <v>258.38957510840402</v>
      </c>
      <c r="J13" s="2">
        <v>248.75496694559499</v>
      </c>
      <c r="K13" s="2">
        <v>273.05022471396097</v>
      </c>
      <c r="L13" s="2">
        <v>286.86640998703001</v>
      </c>
      <c r="M13" s="2">
        <v>301.22071182918899</v>
      </c>
      <c r="N13" s="2">
        <v>291.28515700787199</v>
      </c>
      <c r="O13" s="2">
        <v>295.85547462412597</v>
      </c>
      <c r="P13" s="2">
        <v>284.36503512622198</v>
      </c>
      <c r="Q13" s="2">
        <v>277.11679508861698</v>
      </c>
      <c r="R13" s="2">
        <v>266.67077462286898</v>
      </c>
      <c r="S13" s="2">
        <v>277.90810597313998</v>
      </c>
      <c r="T13" s="2">
        <v>281.28811275648701</v>
      </c>
      <c r="U13" s="2">
        <v>294.26648142034497</v>
      </c>
      <c r="V13" s="2">
        <v>292.17776553714799</v>
      </c>
      <c r="W13" s="2">
        <v>296.82520453369398</v>
      </c>
      <c r="X13" s="2">
        <v>301.14452198974499</v>
      </c>
      <c r="Y13" s="2">
        <v>306.969810231373</v>
      </c>
      <c r="Z13" s="2">
        <v>311.88255654176697</v>
      </c>
      <c r="AA13" s="2">
        <v>321.092206773697</v>
      </c>
      <c r="AB13" s="2">
        <v>331.58293215901398</v>
      </c>
      <c r="AC13" s="2">
        <v>340.65713249407099</v>
      </c>
      <c r="AD13" s="2">
        <v>347.06113485580602</v>
      </c>
      <c r="AE13" s="2">
        <v>351.74249301602498</v>
      </c>
      <c r="AF13" s="2">
        <v>355.97326447536602</v>
      </c>
      <c r="AG13" s="2">
        <v>359.14827834365701</v>
      </c>
      <c r="AH13" s="2">
        <v>364.062599759823</v>
      </c>
      <c r="AI13" s="2">
        <v>370.50952968399298</v>
      </c>
      <c r="AJ13" s="2">
        <v>379.58532741961199</v>
      </c>
      <c r="AK13" s="2">
        <v>388.24805297867999</v>
      </c>
      <c r="AL13" s="2">
        <v>395.80545289598399</v>
      </c>
      <c r="AM13" s="2">
        <v>5</v>
      </c>
    </row>
    <row r="14" spans="3:45" x14ac:dyDescent="0.45">
      <c r="C14" t="s">
        <v>465</v>
      </c>
      <c r="D14" t="s">
        <v>532</v>
      </c>
      <c r="E14" t="s">
        <v>533</v>
      </c>
      <c r="F14" t="s">
        <v>530</v>
      </c>
      <c r="G14" s="2">
        <v>5.2011112486395099</v>
      </c>
      <c r="H14" s="2">
        <v>6.8904848376753796</v>
      </c>
      <c r="I14" s="2">
        <v>7.1962883487864904</v>
      </c>
      <c r="J14" s="2">
        <v>5.6051718998040903</v>
      </c>
      <c r="K14" s="2">
        <v>5.2586491159059001</v>
      </c>
      <c r="L14" s="2">
        <v>5.4296253260022098</v>
      </c>
      <c r="M14" s="2">
        <v>5.4846081506125497</v>
      </c>
      <c r="N14" s="2">
        <v>5.7458963293066896</v>
      </c>
      <c r="O14" s="2">
        <v>6.1726324503188303</v>
      </c>
      <c r="P14" s="2">
        <v>6.5529246469421496</v>
      </c>
      <c r="Q14" s="2">
        <v>6.3082667214710204</v>
      </c>
      <c r="R14" s="2">
        <v>5.9402174904308103</v>
      </c>
      <c r="S14" s="2">
        <v>5.7064594811225602</v>
      </c>
      <c r="T14" s="2">
        <v>5.8493761674172999</v>
      </c>
      <c r="U14" s="2">
        <v>5.8902412707553404</v>
      </c>
      <c r="V14" s="2">
        <v>6.0869884168525203</v>
      </c>
      <c r="W14" s="2">
        <v>6.7981713307767002</v>
      </c>
      <c r="X14" s="2">
        <v>7.17404521778366</v>
      </c>
      <c r="Y14" s="2">
        <v>7.3708707127403699</v>
      </c>
      <c r="Z14" s="2">
        <v>7.4172443342135299</v>
      </c>
      <c r="AA14" s="2">
        <v>7.5114131960850399</v>
      </c>
      <c r="AB14" s="2">
        <v>7.6443564256799199</v>
      </c>
      <c r="AC14" s="2">
        <v>7.8317805556684004</v>
      </c>
      <c r="AD14" s="2">
        <v>7.8824175584146401</v>
      </c>
      <c r="AE14" s="2">
        <v>7.8556053067232803</v>
      </c>
      <c r="AF14" s="2">
        <v>7.8576921733408698</v>
      </c>
      <c r="AG14" s="2">
        <v>7.83238794425242</v>
      </c>
      <c r="AH14" s="2">
        <v>7.8834414513537503</v>
      </c>
      <c r="AI14" s="2">
        <v>7.8766996506649196</v>
      </c>
      <c r="AJ14" s="2">
        <v>7.7582531101157697</v>
      </c>
      <c r="AK14" s="2">
        <v>7.5455930810412699</v>
      </c>
      <c r="AL14" s="2">
        <v>7.2256101466920502</v>
      </c>
      <c r="AM14" s="2">
        <v>5</v>
      </c>
    </row>
    <row r="15" spans="3:45" x14ac:dyDescent="0.45">
      <c r="C15" t="s">
        <v>466</v>
      </c>
      <c r="D15" t="s">
        <v>532</v>
      </c>
      <c r="E15" t="s">
        <v>533</v>
      </c>
      <c r="F15" t="s">
        <v>530</v>
      </c>
      <c r="G15" s="2">
        <v>16.5579505253693</v>
      </c>
      <c r="H15" s="2">
        <v>16.570965928443499</v>
      </c>
      <c r="I15" s="2">
        <v>15.852192316625599</v>
      </c>
      <c r="J15" s="2">
        <v>13.3644016543671</v>
      </c>
      <c r="K15" s="2">
        <v>12.3290795602461</v>
      </c>
      <c r="L15" s="2">
        <v>13.2310435590176</v>
      </c>
      <c r="M15" s="2">
        <v>13.4824448253078</v>
      </c>
      <c r="N15" s="2">
        <v>14.362489527342101</v>
      </c>
      <c r="O15" s="2">
        <v>14.7898794017936</v>
      </c>
      <c r="P15" s="2">
        <v>15.021649687858</v>
      </c>
      <c r="Q15" s="2">
        <v>16.519791361517498</v>
      </c>
      <c r="R15" s="2">
        <v>16.021677354921898</v>
      </c>
      <c r="S15" s="2">
        <v>15.361521212136999</v>
      </c>
      <c r="T15" s="2">
        <v>12.469073995190501</v>
      </c>
      <c r="U15" s="2">
        <v>12.116131944816001</v>
      </c>
      <c r="V15" s="2">
        <v>14.107456670809</v>
      </c>
      <c r="W15" s="2">
        <v>14.3861372506967</v>
      </c>
      <c r="X15" s="2">
        <v>12.6685697284673</v>
      </c>
      <c r="Y15" s="2">
        <v>13.023081375935799</v>
      </c>
      <c r="Z15" s="2">
        <v>15.548422073740801</v>
      </c>
      <c r="AA15" s="2">
        <v>13.7054681399719</v>
      </c>
      <c r="AB15" s="2">
        <v>13.786612090652699</v>
      </c>
      <c r="AC15" s="2">
        <v>13.664357383485701</v>
      </c>
      <c r="AD15" s="2">
        <v>14.6759799813687</v>
      </c>
      <c r="AE15" s="2">
        <v>15.5006791139269</v>
      </c>
      <c r="AF15" s="2">
        <v>16.513592174568</v>
      </c>
      <c r="AG15" s="2">
        <v>16.784148848407</v>
      </c>
      <c r="AH15" s="2">
        <v>17.111637846701601</v>
      </c>
      <c r="AI15" s="2">
        <v>17.3555615118281</v>
      </c>
      <c r="AJ15" s="2">
        <v>17.248850131360399</v>
      </c>
      <c r="AK15" s="2">
        <v>17.776208701434399</v>
      </c>
      <c r="AL15" s="2">
        <v>18.4121859697761</v>
      </c>
      <c r="AM15" s="2">
        <v>5</v>
      </c>
    </row>
    <row r="16" spans="3:45" x14ac:dyDescent="0.45">
      <c r="C16" t="s">
        <v>467</v>
      </c>
      <c r="D16" t="s">
        <v>532</v>
      </c>
      <c r="E16" t="s">
        <v>533</v>
      </c>
      <c r="F16" t="s">
        <v>530</v>
      </c>
      <c r="G16" s="2">
        <v>7.8488254034271598</v>
      </c>
      <c r="H16" s="2">
        <v>7.7758823062517797</v>
      </c>
      <c r="I16" s="2">
        <v>8.5212931557920495</v>
      </c>
      <c r="J16" s="2">
        <v>9.1368170182143906</v>
      </c>
      <c r="K16" s="2">
        <v>7.56492115592921</v>
      </c>
      <c r="L16" s="2">
        <v>7.7934144057343699</v>
      </c>
      <c r="M16" s="2">
        <v>7.7389640067321297</v>
      </c>
      <c r="N16" s="2">
        <v>7.8414466341794</v>
      </c>
      <c r="O16" s="2">
        <v>8.0366834989354494</v>
      </c>
      <c r="P16" s="2">
        <v>8.24202152199077</v>
      </c>
      <c r="Q16" s="2">
        <v>7.9094519756581203</v>
      </c>
      <c r="R16" s="2">
        <v>7.8168009272086998</v>
      </c>
      <c r="S16" s="2">
        <v>7.8492758630485104</v>
      </c>
      <c r="T16" s="2">
        <v>8.1324218103749999</v>
      </c>
      <c r="U16" s="2">
        <v>8.0330459113713406</v>
      </c>
      <c r="V16" s="2">
        <v>8.1597473512945609</v>
      </c>
      <c r="W16" s="2">
        <v>8.4126243413556399</v>
      </c>
      <c r="X16" s="2">
        <v>9.1458221795212893</v>
      </c>
      <c r="Y16" s="2">
        <v>9.6562097084515592</v>
      </c>
      <c r="Z16" s="2">
        <v>10.0090640111803</v>
      </c>
      <c r="AA16" s="2">
        <v>9.9818505905581105</v>
      </c>
      <c r="AB16" s="2">
        <v>10.1037502964698</v>
      </c>
      <c r="AC16" s="2">
        <v>10.305101109480001</v>
      </c>
      <c r="AD16" s="2">
        <v>10.5812117550356</v>
      </c>
      <c r="AE16" s="2">
        <v>10.534902278135901</v>
      </c>
      <c r="AF16" s="2">
        <v>10.7445419561157</v>
      </c>
      <c r="AG16" s="2">
        <v>10.917803784560901</v>
      </c>
      <c r="AH16" s="2">
        <v>11.1638585268696</v>
      </c>
      <c r="AI16" s="2">
        <v>11.184015978557801</v>
      </c>
      <c r="AJ16" s="2">
        <v>11.220043041317799</v>
      </c>
      <c r="AK16" s="2">
        <v>11.2327525167236</v>
      </c>
      <c r="AL16" s="2">
        <v>11.1821690908405</v>
      </c>
      <c r="AM16" s="2">
        <v>5</v>
      </c>
    </row>
    <row r="17" spans="3:39" x14ac:dyDescent="0.45">
      <c r="C17" t="s">
        <v>468</v>
      </c>
      <c r="D17" t="s">
        <v>532</v>
      </c>
      <c r="E17" t="s">
        <v>533</v>
      </c>
      <c r="F17" t="s">
        <v>530</v>
      </c>
      <c r="G17" s="2">
        <v>18.5800448030874</v>
      </c>
      <c r="H17" s="2">
        <v>18.111623848253501</v>
      </c>
      <c r="I17" s="2">
        <v>19.211588276493099</v>
      </c>
      <c r="J17" s="2">
        <v>17.5717514066387</v>
      </c>
      <c r="K17" s="2">
        <v>18.423280862103901</v>
      </c>
      <c r="L17" s="2">
        <v>18.685611562921501</v>
      </c>
      <c r="M17" s="2">
        <v>19.170209135405301</v>
      </c>
      <c r="N17" s="2">
        <v>19.409629192079301</v>
      </c>
      <c r="O17" s="2">
        <v>20.3167375017014</v>
      </c>
      <c r="P17" s="2">
        <v>21.428468919429701</v>
      </c>
      <c r="Q17" s="2">
        <v>21.819634771218901</v>
      </c>
      <c r="R17" s="2">
        <v>21.797891882533499</v>
      </c>
      <c r="S17" s="2">
        <v>21.078767143962001</v>
      </c>
      <c r="T17" s="2">
        <v>20.206126305789599</v>
      </c>
      <c r="U17" s="2">
        <v>18.849951624315601</v>
      </c>
      <c r="V17" s="2">
        <v>17.536831915436</v>
      </c>
      <c r="W17" s="2">
        <v>17.7079397379227</v>
      </c>
      <c r="X17" s="2">
        <v>19.002176786553399</v>
      </c>
      <c r="Y17" s="2">
        <v>20.235390348536999</v>
      </c>
      <c r="Z17" s="2">
        <v>20.9688626579089</v>
      </c>
      <c r="AA17" s="2">
        <v>21.241914668629899</v>
      </c>
      <c r="AB17" s="2">
        <v>22.255174376101898</v>
      </c>
      <c r="AC17" s="2">
        <v>23.0058692047275</v>
      </c>
      <c r="AD17" s="2">
        <v>24.332858136663798</v>
      </c>
      <c r="AE17" s="2">
        <v>25.4807256480149</v>
      </c>
      <c r="AF17" s="2">
        <v>26.479558139774799</v>
      </c>
      <c r="AG17" s="2">
        <v>26.481639520345301</v>
      </c>
      <c r="AH17" s="2">
        <v>27.152221379325201</v>
      </c>
      <c r="AI17" s="2">
        <v>28.520952155175902</v>
      </c>
      <c r="AJ17" s="2">
        <v>29.342422212061699</v>
      </c>
      <c r="AK17" s="2">
        <v>30.352115795849301</v>
      </c>
      <c r="AL17" s="2">
        <v>30.269738386373799</v>
      </c>
      <c r="AM17" s="2">
        <v>5</v>
      </c>
    </row>
    <row r="18" spans="3:39" x14ac:dyDescent="0.45">
      <c r="C18" t="s">
        <v>469</v>
      </c>
      <c r="D18" t="s">
        <v>532</v>
      </c>
      <c r="E18" t="s">
        <v>533</v>
      </c>
      <c r="F18" t="s">
        <v>530</v>
      </c>
      <c r="G18" s="2">
        <v>8.9968721333754793</v>
      </c>
      <c r="H18" s="2">
        <v>8.5641430007677197</v>
      </c>
      <c r="I18" s="2">
        <v>8.4847867038264901</v>
      </c>
      <c r="J18" s="2">
        <v>9.1398732978582107</v>
      </c>
      <c r="K18" s="2">
        <v>8.4715768418211095</v>
      </c>
      <c r="L18" s="2">
        <v>8.4980408525206208</v>
      </c>
      <c r="M18" s="2">
        <v>8.8736104527312598</v>
      </c>
      <c r="N18" s="2">
        <v>9.2157987602426203</v>
      </c>
      <c r="O18" s="2">
        <v>9.7541416238026404</v>
      </c>
      <c r="P18" s="2">
        <v>10.0036687486093</v>
      </c>
      <c r="Q18" s="2">
        <v>9.7418241933165</v>
      </c>
      <c r="R18" s="2">
        <v>8.8335971423040895</v>
      </c>
      <c r="S18" s="2">
        <v>7.9082396608679497</v>
      </c>
      <c r="T18" s="2">
        <v>6.7378784239967304</v>
      </c>
      <c r="U18" s="2">
        <v>6.7647641556445599</v>
      </c>
      <c r="V18" s="2">
        <v>6.5939997377223003</v>
      </c>
      <c r="W18" s="2">
        <v>6.2324572441259196</v>
      </c>
      <c r="X18" s="2">
        <v>6.9699022954657499</v>
      </c>
      <c r="Y18" s="2">
        <v>7.3162230309295602</v>
      </c>
      <c r="Z18" s="2">
        <v>7.69509838951008</v>
      </c>
      <c r="AA18" s="2">
        <v>7.85409034316032</v>
      </c>
      <c r="AB18" s="2">
        <v>7.3947069463102197</v>
      </c>
      <c r="AC18" s="2">
        <v>7.3338571312960603</v>
      </c>
      <c r="AD18" s="2">
        <v>8.2731303604264106</v>
      </c>
      <c r="AE18" s="2">
        <v>8.4239844945389404</v>
      </c>
      <c r="AF18" s="2">
        <v>9.0979231749455494</v>
      </c>
      <c r="AG18" s="2">
        <v>9.7403281722085993</v>
      </c>
      <c r="AH18" s="2">
        <v>9.8894146760727697</v>
      </c>
      <c r="AI18" s="2">
        <v>9.9859599103262795</v>
      </c>
      <c r="AJ18" s="2">
        <v>9.9143467997165402</v>
      </c>
      <c r="AK18" s="2">
        <v>10.143052002453601</v>
      </c>
      <c r="AL18" s="2">
        <v>10.6590764410485</v>
      </c>
      <c r="AM18" s="2">
        <v>5</v>
      </c>
    </row>
    <row r="19" spans="3:39" x14ac:dyDescent="0.45">
      <c r="C19" t="s">
        <v>470</v>
      </c>
      <c r="D19" t="s">
        <v>532</v>
      </c>
      <c r="E19" t="s">
        <v>533</v>
      </c>
      <c r="F19" t="s">
        <v>530</v>
      </c>
      <c r="G19" s="2">
        <v>10.6842837538737</v>
      </c>
      <c r="H19" s="2">
        <v>10.183233669874101</v>
      </c>
      <c r="I19" s="2">
        <v>12.1556643638958</v>
      </c>
      <c r="J19" s="2">
        <v>11.003135126762601</v>
      </c>
      <c r="K19" s="2">
        <v>11.348121414871899</v>
      </c>
      <c r="L19" s="2">
        <v>13.1626123494986</v>
      </c>
      <c r="M19" s="2">
        <v>13.3941762763986</v>
      </c>
      <c r="N19" s="2">
        <v>13.884924777648999</v>
      </c>
      <c r="O19" s="2">
        <v>14.073289230894</v>
      </c>
      <c r="P19" s="2">
        <v>13.9490369497987</v>
      </c>
      <c r="Q19" s="2">
        <v>12.941664198698399</v>
      </c>
      <c r="R19" s="2">
        <v>12.188891025755799</v>
      </c>
      <c r="S19" s="2">
        <v>11.241243314474501</v>
      </c>
      <c r="T19" s="2">
        <v>10.516666479696999</v>
      </c>
      <c r="U19" s="2">
        <v>9.8412365698408397</v>
      </c>
      <c r="V19" s="2">
        <v>10.0431245492298</v>
      </c>
      <c r="W19" s="2">
        <v>10.7845482172802</v>
      </c>
      <c r="X19" s="2">
        <v>10.96666969072</v>
      </c>
      <c r="Y19" s="2">
        <v>10.9958954138056</v>
      </c>
      <c r="Z19" s="2">
        <v>10.9051184562587</v>
      </c>
      <c r="AA19" s="2">
        <v>10.587363419751499</v>
      </c>
      <c r="AB19" s="2">
        <v>10.186342499289299</v>
      </c>
      <c r="AC19" s="2">
        <v>9.7113215487559508</v>
      </c>
      <c r="AD19" s="2">
        <v>10.0693827038404</v>
      </c>
      <c r="AE19" s="2">
        <v>10.547657758094299</v>
      </c>
      <c r="AF19" s="2">
        <v>11.4359519300935</v>
      </c>
      <c r="AG19" s="2">
        <v>11.883018695241599</v>
      </c>
      <c r="AH19" s="2">
        <v>12.344376192980199</v>
      </c>
      <c r="AI19" s="2">
        <v>12.524812310599099</v>
      </c>
      <c r="AJ19" s="2">
        <v>12.361158988740099</v>
      </c>
      <c r="AK19" s="2">
        <v>12.231602841100599</v>
      </c>
      <c r="AL19" s="2">
        <v>12.0046081357708</v>
      </c>
      <c r="AM19" s="2">
        <v>5</v>
      </c>
    </row>
    <row r="20" spans="3:39" x14ac:dyDescent="0.45">
      <c r="C20" t="s">
        <v>471</v>
      </c>
      <c r="D20" t="s">
        <v>532</v>
      </c>
      <c r="E20" t="s">
        <v>533</v>
      </c>
      <c r="F20" t="s">
        <v>530</v>
      </c>
      <c r="G20" s="2">
        <v>35.417123111951199</v>
      </c>
      <c r="H20" s="2">
        <v>33.562540534202398</v>
      </c>
      <c r="I20" s="2">
        <v>35.7298416089223</v>
      </c>
      <c r="J20" s="2">
        <v>31.370874354824</v>
      </c>
      <c r="K20" s="2">
        <v>33.285705896185</v>
      </c>
      <c r="L20" s="2">
        <v>36.348467608678703</v>
      </c>
      <c r="M20" s="2">
        <v>41.444114819730999</v>
      </c>
      <c r="N20" s="2">
        <v>43.8869170710622</v>
      </c>
      <c r="O20" s="2">
        <v>46.404314125721697</v>
      </c>
      <c r="P20" s="2">
        <v>48.111753791252802</v>
      </c>
      <c r="Q20" s="2">
        <v>49.154312476060802</v>
      </c>
      <c r="R20" s="2">
        <v>49.5717304831199</v>
      </c>
      <c r="S20" s="2">
        <v>49.680190487950298</v>
      </c>
      <c r="T20" s="2">
        <v>50.094503314445802</v>
      </c>
      <c r="U20" s="2">
        <v>50.4281183276061</v>
      </c>
      <c r="V20" s="2">
        <v>49.953409515066198</v>
      </c>
      <c r="W20" s="2">
        <v>50.024939802953902</v>
      </c>
      <c r="X20" s="2">
        <v>51.087548203411899</v>
      </c>
      <c r="Y20" s="2">
        <v>52.305527438806301</v>
      </c>
      <c r="Z20" s="2">
        <v>53.941265093957703</v>
      </c>
      <c r="AA20" s="2">
        <v>54.575586017914603</v>
      </c>
      <c r="AB20" s="2">
        <v>54.837423391682101</v>
      </c>
      <c r="AC20" s="2">
        <v>54.588175661466302</v>
      </c>
      <c r="AD20" s="2">
        <v>55.329263421175497</v>
      </c>
      <c r="AE20" s="2">
        <v>56.613979955522801</v>
      </c>
      <c r="AF20" s="2">
        <v>57.922035244376502</v>
      </c>
      <c r="AG20" s="2">
        <v>58.526704964914899</v>
      </c>
      <c r="AH20" s="2">
        <v>59.055585265607696</v>
      </c>
      <c r="AI20" s="2">
        <v>59.120302113498497</v>
      </c>
      <c r="AJ20" s="2">
        <v>58.6204550455667</v>
      </c>
      <c r="AK20" s="2">
        <v>57.012756202907099</v>
      </c>
      <c r="AL20" s="2">
        <v>54.368702068339999</v>
      </c>
      <c r="AM20" s="2">
        <v>5</v>
      </c>
    </row>
    <row r="21" spans="3:39" x14ac:dyDescent="0.45">
      <c r="C21" t="s">
        <v>472</v>
      </c>
      <c r="D21" t="s">
        <v>532</v>
      </c>
      <c r="E21" t="s">
        <v>533</v>
      </c>
      <c r="F21" t="s">
        <v>530</v>
      </c>
      <c r="G21" s="2">
        <v>13.4449706842232</v>
      </c>
      <c r="H21" s="2">
        <v>12.9207483337171</v>
      </c>
      <c r="I21" s="2">
        <v>12.754782970758299</v>
      </c>
      <c r="J21" s="2">
        <v>12.641306703761799</v>
      </c>
      <c r="K21" s="2">
        <v>11.057580270591799</v>
      </c>
      <c r="L21" s="2">
        <v>12.7004694809175</v>
      </c>
      <c r="M21" s="2">
        <v>13.103157193454299</v>
      </c>
      <c r="N21" s="2">
        <v>13.560840085245999</v>
      </c>
      <c r="O21" s="2">
        <v>13.9984657031455</v>
      </c>
      <c r="P21" s="2">
        <v>14.546592210803</v>
      </c>
      <c r="Q21" s="2">
        <v>14.555399949926001</v>
      </c>
      <c r="R21" s="2">
        <v>14.4366775878552</v>
      </c>
      <c r="S21" s="2">
        <v>14.422808780384001</v>
      </c>
      <c r="T21" s="2">
        <v>14.3755870127509</v>
      </c>
      <c r="U21" s="2">
        <v>14.1469745279267</v>
      </c>
      <c r="V21" s="2">
        <v>13.5488265214985</v>
      </c>
      <c r="W21" s="2">
        <v>13.6927112131582</v>
      </c>
      <c r="X21" s="2">
        <v>14.2414344520746</v>
      </c>
      <c r="Y21" s="2">
        <v>14.955115671360399</v>
      </c>
      <c r="Z21" s="2">
        <v>15.344049380685099</v>
      </c>
      <c r="AA21" s="2">
        <v>14.877776701615</v>
      </c>
      <c r="AB21" s="2">
        <v>14.758455002817801</v>
      </c>
      <c r="AC21" s="2">
        <v>14.4260220407863</v>
      </c>
      <c r="AD21" s="2">
        <v>15.966276056368001</v>
      </c>
      <c r="AE21" s="2">
        <v>16.575123886554501</v>
      </c>
      <c r="AF21" s="2">
        <v>17.3951452804578</v>
      </c>
      <c r="AG21" s="2">
        <v>16.850859662163199</v>
      </c>
      <c r="AH21" s="2">
        <v>16.517259282626899</v>
      </c>
      <c r="AI21" s="2">
        <v>16.460518940096499</v>
      </c>
      <c r="AJ21" s="2">
        <v>16.0090569154627</v>
      </c>
      <c r="AK21" s="2">
        <v>16.2699200825368</v>
      </c>
      <c r="AL21" s="2">
        <v>16.5502233983179</v>
      </c>
      <c r="AM21" s="2">
        <v>5</v>
      </c>
    </row>
    <row r="22" spans="3:39" x14ac:dyDescent="0.45">
      <c r="C22" t="s">
        <v>71</v>
      </c>
      <c r="D22" t="s">
        <v>532</v>
      </c>
      <c r="E22" t="s">
        <v>533</v>
      </c>
      <c r="F22" t="s">
        <v>530</v>
      </c>
      <c r="G22" s="2">
        <v>24.668002981854599</v>
      </c>
      <c r="H22" s="2">
        <v>24.017796024585401</v>
      </c>
      <c r="I22" s="2">
        <v>27.214444334103799</v>
      </c>
      <c r="J22" s="2">
        <v>27.452341021837999</v>
      </c>
      <c r="K22" s="2">
        <v>24.594318549325301</v>
      </c>
      <c r="L22" s="2">
        <v>25.006665994059599</v>
      </c>
      <c r="M22" s="2">
        <v>27.700088122298499</v>
      </c>
      <c r="N22" s="2">
        <v>27.9927611319067</v>
      </c>
      <c r="O22" s="2">
        <v>28.059589726166301</v>
      </c>
      <c r="P22" s="2">
        <v>28.132372682752401</v>
      </c>
      <c r="Q22" s="2">
        <v>27.729065167215801</v>
      </c>
      <c r="R22" s="2">
        <v>28.378544331272501</v>
      </c>
      <c r="S22" s="2">
        <v>28.96381257865</v>
      </c>
      <c r="T22" s="2">
        <v>29.5079371104048</v>
      </c>
      <c r="U22" s="2">
        <v>29.050454261177901</v>
      </c>
      <c r="V22" s="2">
        <v>28.550779190997901</v>
      </c>
      <c r="W22" s="2">
        <v>28.709993590440799</v>
      </c>
      <c r="X22" s="2">
        <v>28.383969091779701</v>
      </c>
      <c r="Y22" s="2">
        <v>27.827466879303302</v>
      </c>
      <c r="Z22" s="2">
        <v>27.308231676032701</v>
      </c>
      <c r="AA22" s="2">
        <v>26.581146020660999</v>
      </c>
      <c r="AB22" s="2">
        <v>25.9042658391662</v>
      </c>
      <c r="AC22" s="2">
        <v>24.598663944808202</v>
      </c>
      <c r="AD22" s="2">
        <v>25.0542180122365</v>
      </c>
      <c r="AE22" s="2">
        <v>25.4974383656048</v>
      </c>
      <c r="AF22" s="2">
        <v>26.6965886613464</v>
      </c>
      <c r="AG22" s="2">
        <v>26.913148056264099</v>
      </c>
      <c r="AH22" s="2">
        <v>27.419986892525198</v>
      </c>
      <c r="AI22" s="2">
        <v>27.319889013712601</v>
      </c>
      <c r="AJ22" s="2">
        <v>27.114470284754201</v>
      </c>
      <c r="AK22" s="2">
        <v>26.872080669313299</v>
      </c>
      <c r="AL22" s="2">
        <v>26.417059199345399</v>
      </c>
      <c r="AM22" s="2">
        <v>5</v>
      </c>
    </row>
    <row r="23" spans="3:39" x14ac:dyDescent="0.45">
      <c r="C23" t="s">
        <v>80</v>
      </c>
      <c r="D23" t="s">
        <v>532</v>
      </c>
      <c r="E23" t="s">
        <v>533</v>
      </c>
      <c r="F23" t="s">
        <v>530</v>
      </c>
      <c r="G23" s="2">
        <v>25.415963865905201</v>
      </c>
      <c r="H23" s="2">
        <v>19.520110173837601</v>
      </c>
      <c r="I23" s="2">
        <v>26.006543632708802</v>
      </c>
      <c r="J23" s="2">
        <v>29.1947751489048</v>
      </c>
      <c r="K23" s="2">
        <v>30.137847258450801</v>
      </c>
      <c r="L23" s="2">
        <v>31.381657140278101</v>
      </c>
      <c r="M23" s="2">
        <v>33.143533109906002</v>
      </c>
      <c r="N23" s="2">
        <v>35.193356197431399</v>
      </c>
      <c r="O23" s="2">
        <v>37.351705614910401</v>
      </c>
      <c r="P23" s="2">
        <v>39.514695701955802</v>
      </c>
      <c r="Q23" s="2">
        <v>41.856884850902397</v>
      </c>
      <c r="R23" s="2">
        <v>43.875309198982002</v>
      </c>
      <c r="S23" s="2">
        <v>45.798532240041503</v>
      </c>
      <c r="T23" s="2">
        <v>47.194795434157598</v>
      </c>
      <c r="U23" s="2">
        <v>48.655870981395097</v>
      </c>
      <c r="V23" s="2">
        <v>50.480375054137298</v>
      </c>
      <c r="W23" s="2">
        <v>52.691775301380197</v>
      </c>
      <c r="X23" s="2">
        <v>55.309540510026501</v>
      </c>
      <c r="Y23" s="2">
        <v>58.092628591512003</v>
      </c>
      <c r="Z23" s="2">
        <v>60.616779696322901</v>
      </c>
      <c r="AA23" s="2">
        <v>62.377895139736502</v>
      </c>
      <c r="AB23" s="2">
        <v>64.114976616973806</v>
      </c>
      <c r="AC23" s="2">
        <v>66.238175822719001</v>
      </c>
      <c r="AD23" s="2">
        <v>69.1410584920323</v>
      </c>
      <c r="AE23" s="2">
        <v>72.199525650510694</v>
      </c>
      <c r="AF23" s="2">
        <v>75.194480023711094</v>
      </c>
      <c r="AG23" s="2">
        <v>78.074151344538095</v>
      </c>
      <c r="AH23" s="2">
        <v>80.731883603734204</v>
      </c>
      <c r="AI23" s="2">
        <v>83.569500195931397</v>
      </c>
      <c r="AJ23" s="2">
        <v>86.451302917457895</v>
      </c>
      <c r="AK23" s="2">
        <v>89.204905633352098</v>
      </c>
      <c r="AL23" s="2">
        <v>92.1528148353067</v>
      </c>
      <c r="AM23" s="2">
        <v>5</v>
      </c>
    </row>
    <row r="24" spans="3:39" x14ac:dyDescent="0.45">
      <c r="C24" t="s">
        <v>473</v>
      </c>
      <c r="D24" t="s">
        <v>532</v>
      </c>
      <c r="E24" t="s">
        <v>533</v>
      </c>
      <c r="F24" t="s">
        <v>530</v>
      </c>
      <c r="G24" s="2">
        <v>6.3021231015764601</v>
      </c>
      <c r="H24" s="2">
        <v>5.8195175867145297</v>
      </c>
      <c r="I24" s="2">
        <v>7.87383110648602</v>
      </c>
      <c r="J24" s="2">
        <v>7.5556894363820604</v>
      </c>
      <c r="K24" s="2">
        <v>6.4063717317120803</v>
      </c>
      <c r="L24" s="2">
        <v>6.4081150294979397</v>
      </c>
      <c r="M24" s="2">
        <v>6.3682873246029104</v>
      </c>
      <c r="N24" s="2">
        <v>6.6217788908607496</v>
      </c>
      <c r="O24" s="2">
        <v>7.3078027114464899</v>
      </c>
      <c r="P24" s="2">
        <v>7.87811717714537</v>
      </c>
      <c r="Q24" s="2">
        <v>8.0690841041994208</v>
      </c>
      <c r="R24" s="2">
        <v>8.1016635624638997</v>
      </c>
      <c r="S24" s="2">
        <v>8.2808567159137692</v>
      </c>
      <c r="T24" s="2">
        <v>8.9048302492018401</v>
      </c>
      <c r="U24" s="2">
        <v>9.4469440027605707</v>
      </c>
      <c r="V24" s="2">
        <v>9.6171674103301594</v>
      </c>
      <c r="W24" s="2">
        <v>9.6195172491567593</v>
      </c>
      <c r="X24" s="2">
        <v>9.4740102374239203</v>
      </c>
      <c r="Y24" s="2">
        <v>9.4038104385279393</v>
      </c>
      <c r="Z24" s="2">
        <v>9.0329889779394392</v>
      </c>
      <c r="AA24" s="2">
        <v>9.0632910271433307</v>
      </c>
      <c r="AB24" s="2">
        <v>9.3202001025537804</v>
      </c>
      <c r="AC24" s="2">
        <v>9.5279642840872008</v>
      </c>
      <c r="AD24" s="2">
        <v>9.8068559489040599</v>
      </c>
      <c r="AE24" s="2">
        <v>10.1402448848443</v>
      </c>
      <c r="AF24" s="2">
        <v>10.828838990113599</v>
      </c>
      <c r="AG24" s="2">
        <v>11.439918124279</v>
      </c>
      <c r="AH24" s="2">
        <v>12.290519059977701</v>
      </c>
      <c r="AI24" s="2">
        <v>12.981891970612301</v>
      </c>
      <c r="AJ24" s="2">
        <v>13.573262690298</v>
      </c>
      <c r="AK24" s="2">
        <v>13.9008685114804</v>
      </c>
      <c r="AL24" s="2">
        <v>13.7251762488526</v>
      </c>
      <c r="AM24" s="2">
        <v>5</v>
      </c>
    </row>
    <row r="25" spans="3:39" x14ac:dyDescent="0.45">
      <c r="C25" t="s">
        <v>67</v>
      </c>
      <c r="D25" t="s">
        <v>532</v>
      </c>
      <c r="E25" t="s">
        <v>533</v>
      </c>
      <c r="F25" t="s">
        <v>530</v>
      </c>
      <c r="G25" s="2">
        <v>7.1292791579040102</v>
      </c>
      <c r="H25" s="2">
        <v>8.1867563669044596</v>
      </c>
      <c r="I25" s="2">
        <v>10.5301019157532</v>
      </c>
      <c r="J25" s="2">
        <v>9.7505372929430507</v>
      </c>
      <c r="K25" s="2">
        <v>11.0137626088923</v>
      </c>
      <c r="L25" s="2">
        <v>11.464341190695899</v>
      </c>
      <c r="M25" s="2">
        <v>11.5501129780498</v>
      </c>
      <c r="N25" s="2">
        <v>10.217805413724401</v>
      </c>
      <c r="O25" s="2">
        <v>8.7893564693726791</v>
      </c>
      <c r="P25" s="2">
        <v>8.6363060673835008</v>
      </c>
      <c r="Q25" s="2">
        <v>8.2644138259030395</v>
      </c>
      <c r="R25" s="2">
        <v>8.2477740849399996</v>
      </c>
      <c r="S25" s="2">
        <v>9.2832171238346195</v>
      </c>
      <c r="T25" s="2">
        <v>10.494729574478599</v>
      </c>
      <c r="U25" s="2">
        <v>11.8245158658117</v>
      </c>
      <c r="V25" s="2">
        <v>12.1706759770383</v>
      </c>
      <c r="W25" s="2">
        <v>12.073808508297001</v>
      </c>
      <c r="X25" s="2">
        <v>12.1044784477475</v>
      </c>
      <c r="Y25" s="2">
        <v>12.3122791015043</v>
      </c>
      <c r="Z25" s="2">
        <v>13.6558081952231</v>
      </c>
      <c r="AA25" s="2">
        <v>14.7495286009945</v>
      </c>
      <c r="AB25" s="2">
        <v>15.535965302691199</v>
      </c>
      <c r="AC25" s="2">
        <v>15.6234175471439</v>
      </c>
      <c r="AD25" s="2">
        <v>15.83977743114</v>
      </c>
      <c r="AE25" s="2">
        <v>16.284678562919499</v>
      </c>
      <c r="AF25" s="2">
        <v>16.710292053683499</v>
      </c>
      <c r="AG25" s="2">
        <v>17.1142952304427</v>
      </c>
      <c r="AH25" s="2">
        <v>17.397309678505302</v>
      </c>
      <c r="AI25" s="2">
        <v>17.691294701860699</v>
      </c>
      <c r="AJ25" s="2">
        <v>17.856920373381399</v>
      </c>
      <c r="AK25" s="2">
        <v>17.902395294030899</v>
      </c>
      <c r="AL25" s="2">
        <v>17.957201630645901</v>
      </c>
      <c r="AM25" s="2">
        <v>5</v>
      </c>
    </row>
    <row r="26" spans="3:39" x14ac:dyDescent="0.45">
      <c r="C26" t="s">
        <v>474</v>
      </c>
      <c r="D26" t="s">
        <v>532</v>
      </c>
      <c r="E26" t="s">
        <v>533</v>
      </c>
      <c r="F26" t="s">
        <v>530</v>
      </c>
      <c r="G26" s="2">
        <v>13.159496944845399</v>
      </c>
      <c r="H26" s="2">
        <v>13.085256795431</v>
      </c>
      <c r="I26" s="2">
        <v>13.033062838702101</v>
      </c>
      <c r="J26" s="2">
        <v>11.2478069167291</v>
      </c>
      <c r="K26" s="2">
        <v>13.3445889432122</v>
      </c>
      <c r="L26" s="2">
        <v>13.8429257691777</v>
      </c>
      <c r="M26" s="2">
        <v>14.428701774504599</v>
      </c>
      <c r="N26" s="2">
        <v>14.991118615808601</v>
      </c>
      <c r="O26" s="2">
        <v>15.3061513417085</v>
      </c>
      <c r="P26" s="2">
        <v>15.813868772387901</v>
      </c>
      <c r="Q26" s="2">
        <v>15.9818710915038</v>
      </c>
      <c r="R26" s="2">
        <v>16.071207686865598</v>
      </c>
      <c r="S26" s="2">
        <v>16.2271461232002</v>
      </c>
      <c r="T26" s="2">
        <v>16.350660955422399</v>
      </c>
      <c r="U26" s="2">
        <v>16.3959651114987</v>
      </c>
      <c r="V26" s="2">
        <v>16.294406731458899</v>
      </c>
      <c r="W26" s="2">
        <v>16.550826040244001</v>
      </c>
      <c r="X26" s="2">
        <v>16.850555296523002</v>
      </c>
      <c r="Y26" s="2">
        <v>17.088812903553698</v>
      </c>
      <c r="Z26" s="2">
        <v>17.311229323810998</v>
      </c>
      <c r="AA26" s="2">
        <v>17.713628369783699</v>
      </c>
      <c r="AB26" s="2">
        <v>18.3689324332632</v>
      </c>
      <c r="AC26" s="2">
        <v>19.652613648643602</v>
      </c>
      <c r="AD26" s="2">
        <v>19.833860936943999</v>
      </c>
      <c r="AE26" s="2">
        <v>21.063868436023</v>
      </c>
      <c r="AF26" s="2">
        <v>22.0134323465618</v>
      </c>
      <c r="AG26" s="2">
        <v>23.744621672242999</v>
      </c>
      <c r="AH26" s="2">
        <v>24.909022679772001</v>
      </c>
      <c r="AI26" s="2">
        <v>26.283882015382598</v>
      </c>
      <c r="AJ26" s="2">
        <v>27.938953046890799</v>
      </c>
      <c r="AK26" s="2">
        <v>29.2199283627113</v>
      </c>
      <c r="AL26" s="2">
        <v>31.093027220157701</v>
      </c>
      <c r="AM26" s="2">
        <v>5</v>
      </c>
    </row>
    <row r="27" spans="3:39" x14ac:dyDescent="0.45">
      <c r="C27" t="s">
        <v>475</v>
      </c>
      <c r="D27" t="s">
        <v>532</v>
      </c>
      <c r="E27" t="s">
        <v>533</v>
      </c>
      <c r="F27" t="s">
        <v>530</v>
      </c>
      <c r="G27" s="2">
        <v>1.3854929722028899</v>
      </c>
      <c r="H27" s="2">
        <v>1.3163003483095499</v>
      </c>
      <c r="I27" s="2">
        <v>1.05582771943176</v>
      </c>
      <c r="J27" s="2">
        <v>0.80410148893914801</v>
      </c>
      <c r="K27" s="2">
        <v>0.63418077720084898</v>
      </c>
      <c r="L27" s="2">
        <v>0.157803081980736</v>
      </c>
      <c r="M27" s="2">
        <v>0.43247495377815298</v>
      </c>
      <c r="N27" s="2">
        <v>0.50739917862623496</v>
      </c>
      <c r="O27" s="2">
        <v>0.93174538292567999</v>
      </c>
      <c r="P27" s="2">
        <v>1.53777843945336</v>
      </c>
      <c r="Q27" s="2">
        <v>1.6833141326010701</v>
      </c>
      <c r="R27" s="2">
        <v>1.84225477605851</v>
      </c>
      <c r="S27" s="2">
        <v>1.5926703725164399</v>
      </c>
      <c r="T27" s="2">
        <v>1.8019601351630199</v>
      </c>
      <c r="U27" s="2">
        <v>1.8895192916107</v>
      </c>
      <c r="V27" s="2">
        <v>2.0709315299862201</v>
      </c>
      <c r="W27" s="2">
        <v>2.0889562463789901</v>
      </c>
      <c r="X27" s="2">
        <v>1.95997298786925</v>
      </c>
      <c r="Y27" s="2">
        <v>1.8589286779279499</v>
      </c>
      <c r="Z27" s="2">
        <v>1.75853325453126</v>
      </c>
      <c r="AA27" s="2">
        <v>1.7358017441757501</v>
      </c>
      <c r="AB27" s="2">
        <v>1.6683288550417099</v>
      </c>
      <c r="AC27" s="2">
        <v>1.65172387580043</v>
      </c>
      <c r="AD27" s="2">
        <v>1.64279236547736</v>
      </c>
      <c r="AE27" s="2">
        <v>1.65377608569826</v>
      </c>
      <c r="AF27" s="2">
        <v>1.6719174535932</v>
      </c>
      <c r="AG27" s="2">
        <v>1.66818312654553</v>
      </c>
      <c r="AH27" s="2">
        <v>1.67940846905527</v>
      </c>
      <c r="AI27" s="2">
        <v>1.6859720979116499</v>
      </c>
      <c r="AJ27" s="2">
        <v>1.6896959397895299</v>
      </c>
      <c r="AK27" s="2">
        <v>1.73213506408829</v>
      </c>
      <c r="AL27" s="2">
        <v>1.7714693977083</v>
      </c>
      <c r="AM27" s="2">
        <v>5</v>
      </c>
    </row>
    <row r="28" spans="3:39" x14ac:dyDescent="0.45">
      <c r="C28" t="s">
        <v>87</v>
      </c>
      <c r="D28" t="s">
        <v>532</v>
      </c>
      <c r="E28" t="s">
        <v>533</v>
      </c>
      <c r="F28" t="s">
        <v>530</v>
      </c>
      <c r="G28" s="2">
        <v>39.080005325011598</v>
      </c>
      <c r="H28" s="2">
        <v>40.037213158544297</v>
      </c>
      <c r="I28" s="2">
        <v>41.0610528381196</v>
      </c>
      <c r="J28" s="2">
        <v>51.567816399378998</v>
      </c>
      <c r="K28" s="2">
        <v>58.981714801384797</v>
      </c>
      <c r="L28" s="2">
        <v>57.323092238826902</v>
      </c>
      <c r="M28" s="2">
        <v>57.688968395930601</v>
      </c>
      <c r="N28" s="2">
        <v>59.000847264005401</v>
      </c>
      <c r="O28" s="2">
        <v>63.548164913373</v>
      </c>
      <c r="P28" s="2">
        <v>67.857178632482402</v>
      </c>
      <c r="Q28" s="2">
        <v>68.690853103426704</v>
      </c>
      <c r="R28" s="2">
        <v>68.426892697576704</v>
      </c>
      <c r="S28" s="2">
        <v>69.369436487955298</v>
      </c>
      <c r="T28" s="2">
        <v>73.434425488296299</v>
      </c>
      <c r="U28" s="2">
        <v>75.584970822003001</v>
      </c>
      <c r="V28" s="2">
        <v>71.604418954626098</v>
      </c>
      <c r="W28" s="2">
        <v>63.950384952646303</v>
      </c>
      <c r="X28" s="2">
        <v>57.635111978553503</v>
      </c>
      <c r="Y28" s="2">
        <v>56.058953809709898</v>
      </c>
      <c r="Z28" s="2">
        <v>57.823519652907599</v>
      </c>
      <c r="AA28" s="2">
        <v>58.940910779036201</v>
      </c>
      <c r="AB28" s="2">
        <v>60.272740947577297</v>
      </c>
      <c r="AC28" s="2">
        <v>59.532302646657001</v>
      </c>
      <c r="AD28" s="2">
        <v>58.589797325812697</v>
      </c>
      <c r="AE28" s="2">
        <v>57.603049027140401</v>
      </c>
      <c r="AF28" s="2">
        <v>57.948894786586401</v>
      </c>
      <c r="AG28" s="2">
        <v>58.376422964714202</v>
      </c>
      <c r="AH28" s="2">
        <v>58.445934985527202</v>
      </c>
      <c r="AI28" s="2">
        <v>58.160621393886998</v>
      </c>
      <c r="AJ28" s="2">
        <v>56.758503896841603</v>
      </c>
      <c r="AK28" s="2">
        <v>53.598332080291499</v>
      </c>
      <c r="AL28" s="2">
        <v>48.937953554058502</v>
      </c>
      <c r="AM28" s="2">
        <v>5</v>
      </c>
    </row>
    <row r="29" spans="3:39" x14ac:dyDescent="0.45">
      <c r="C29" t="s">
        <v>110</v>
      </c>
      <c r="D29" t="s">
        <v>532</v>
      </c>
      <c r="E29" t="s">
        <v>533</v>
      </c>
      <c r="F29" t="s">
        <v>530</v>
      </c>
      <c r="G29" s="2">
        <v>4.9599156373227</v>
      </c>
      <c r="H29" s="2">
        <v>4.7898450338371399</v>
      </c>
      <c r="I29" s="2">
        <v>4.4732748140173504</v>
      </c>
      <c r="J29" s="2">
        <v>4.6605748302970502</v>
      </c>
      <c r="K29" s="2">
        <v>4.5022078848233198</v>
      </c>
      <c r="L29" s="2">
        <v>4.4099150240775504</v>
      </c>
      <c r="M29" s="2">
        <v>4.3415344871160197</v>
      </c>
      <c r="N29" s="2">
        <v>4.3959698221775998</v>
      </c>
      <c r="O29" s="2">
        <v>4.5686753319755002</v>
      </c>
      <c r="P29" s="2">
        <v>4.7986112036397497</v>
      </c>
      <c r="Q29" s="2">
        <v>4.8968016247807098</v>
      </c>
      <c r="R29" s="2">
        <v>4.8913407189089204</v>
      </c>
      <c r="S29" s="2">
        <v>5.0392872069272201</v>
      </c>
      <c r="T29" s="2">
        <v>5.3196303387421997</v>
      </c>
      <c r="U29" s="2">
        <v>5.7175040587531099</v>
      </c>
      <c r="V29" s="2">
        <v>6.2187506574984601</v>
      </c>
      <c r="W29" s="2">
        <v>6.3958973942645603</v>
      </c>
      <c r="X29" s="2">
        <v>6.3693564466715697</v>
      </c>
      <c r="Y29" s="2">
        <v>6.11748907469328</v>
      </c>
      <c r="Z29" s="2">
        <v>6.1591724289112699</v>
      </c>
      <c r="AA29" s="2">
        <v>6.3679923021678899</v>
      </c>
      <c r="AB29" s="2">
        <v>6.5914020561643696</v>
      </c>
      <c r="AC29" s="2">
        <v>6.8477629038647096</v>
      </c>
      <c r="AD29" s="2">
        <v>6.9715904709628402</v>
      </c>
      <c r="AE29" s="2">
        <v>7.0803572660577698</v>
      </c>
      <c r="AF29" s="2">
        <v>7.2474983175398</v>
      </c>
      <c r="AG29" s="2">
        <v>7.5629348729077801</v>
      </c>
      <c r="AH29" s="2">
        <v>7.9115535232017802</v>
      </c>
      <c r="AI29" s="2">
        <v>8.2608002802287093</v>
      </c>
      <c r="AJ29" s="2">
        <v>8.6257705769707496</v>
      </c>
      <c r="AK29" s="2">
        <v>9.0719503353312199</v>
      </c>
      <c r="AL29" s="2">
        <v>9.4870754878322892</v>
      </c>
      <c r="AM29" s="2">
        <v>5</v>
      </c>
    </row>
    <row r="30" spans="3:39" x14ac:dyDescent="0.45">
      <c r="C30" t="s">
        <v>111</v>
      </c>
      <c r="D30" t="s">
        <v>532</v>
      </c>
      <c r="E30" t="s">
        <v>533</v>
      </c>
      <c r="F30" t="s">
        <v>530</v>
      </c>
      <c r="G30" s="2">
        <v>3.8149894342713599</v>
      </c>
      <c r="H30" s="2">
        <v>3.3292665832598498</v>
      </c>
      <c r="I30" s="2">
        <v>3.0606951031521801</v>
      </c>
      <c r="J30" s="2">
        <v>2.9821324341811599</v>
      </c>
      <c r="K30" s="2">
        <v>2.4897480765002502</v>
      </c>
      <c r="L30" s="2">
        <v>2.65474803166338</v>
      </c>
      <c r="M30" s="2">
        <v>2.7775771089239201</v>
      </c>
      <c r="N30" s="2">
        <v>3.0227459799331799</v>
      </c>
      <c r="O30" s="2">
        <v>3.1751099730266099</v>
      </c>
      <c r="P30" s="2">
        <v>3.2733217152403098</v>
      </c>
      <c r="Q30" s="2">
        <v>3.0875697468399199</v>
      </c>
      <c r="R30" s="2">
        <v>2.9561463021099099</v>
      </c>
      <c r="S30" s="2">
        <v>3.0271710648831598</v>
      </c>
      <c r="T30" s="2">
        <v>3.33868988583695</v>
      </c>
      <c r="U30" s="2">
        <v>3.5191511512769602</v>
      </c>
      <c r="V30" s="2">
        <v>3.5100637407035502</v>
      </c>
      <c r="W30" s="2">
        <v>3.4008699130698901</v>
      </c>
      <c r="X30" s="2">
        <v>3.2477329543660498</v>
      </c>
      <c r="Y30" s="2">
        <v>3.19810599323363</v>
      </c>
      <c r="Z30" s="2">
        <v>3.1816694803705801</v>
      </c>
      <c r="AA30" s="2">
        <v>3.42443097571384</v>
      </c>
      <c r="AB30" s="2">
        <v>3.6975727125336699</v>
      </c>
      <c r="AC30" s="2">
        <v>4.2279287636190501</v>
      </c>
      <c r="AD30" s="2">
        <v>4.5027044569805401</v>
      </c>
      <c r="AE30" s="2">
        <v>4.6743667993022999</v>
      </c>
      <c r="AF30" s="2">
        <v>4.7745511948743404</v>
      </c>
      <c r="AG30" s="2">
        <v>4.8590522657032098</v>
      </c>
      <c r="AH30" s="2">
        <v>5.2305650970963002</v>
      </c>
      <c r="AI30" s="2">
        <v>5.4296130481698999</v>
      </c>
      <c r="AJ30" s="2">
        <v>5.7721228898374699</v>
      </c>
      <c r="AK30" s="2">
        <v>5.9449741231296098</v>
      </c>
      <c r="AL30" s="2">
        <v>5.8672445659439401</v>
      </c>
      <c r="AM30" s="2">
        <v>5</v>
      </c>
    </row>
    <row r="31" spans="3:39" x14ac:dyDescent="0.45">
      <c r="C31" t="s">
        <v>476</v>
      </c>
      <c r="D31" t="s">
        <v>532</v>
      </c>
      <c r="E31" t="s">
        <v>533</v>
      </c>
      <c r="F31" t="s">
        <v>530</v>
      </c>
      <c r="G31" s="2">
        <v>13.152686977592399</v>
      </c>
      <c r="H31" s="2">
        <v>13.5357242528833</v>
      </c>
      <c r="I31" s="2">
        <v>13.2710862899727</v>
      </c>
      <c r="J31" s="2">
        <v>12.4635367297744</v>
      </c>
      <c r="K31" s="2">
        <v>11.472220872264</v>
      </c>
      <c r="L31" s="2">
        <v>11.769683208055801</v>
      </c>
      <c r="M31" s="2">
        <v>11.998928574677301</v>
      </c>
      <c r="N31" s="2">
        <v>12.647863338406999</v>
      </c>
      <c r="O31" s="2">
        <v>13.573044172705</v>
      </c>
      <c r="P31" s="2">
        <v>13.5359644156578</v>
      </c>
      <c r="Q31" s="2">
        <v>12.4389024985839</v>
      </c>
      <c r="R31" s="2">
        <v>11.599880982857799</v>
      </c>
      <c r="S31" s="2">
        <v>11.313866267717801</v>
      </c>
      <c r="T31" s="2">
        <v>11.7342560464624</v>
      </c>
      <c r="U31" s="2">
        <v>11.9820193081691</v>
      </c>
      <c r="V31" s="2">
        <v>12.4959122216464</v>
      </c>
      <c r="W31" s="2">
        <v>12.843559077588401</v>
      </c>
      <c r="X31" s="2">
        <v>12.8210241512131</v>
      </c>
      <c r="Y31" s="2">
        <v>12.567834061749901</v>
      </c>
      <c r="Z31" s="2">
        <v>12.2441276252554</v>
      </c>
      <c r="AA31" s="2">
        <v>11.6485153499574</v>
      </c>
      <c r="AB31" s="2">
        <v>11.396905303616601</v>
      </c>
      <c r="AC31" s="2">
        <v>11.1503530090804</v>
      </c>
      <c r="AD31" s="2">
        <v>11.282064774610101</v>
      </c>
      <c r="AE31" s="2">
        <v>11.2850465825996</v>
      </c>
      <c r="AF31" s="2">
        <v>11.7153270823858</v>
      </c>
      <c r="AG31" s="2">
        <v>12.172634614636801</v>
      </c>
      <c r="AH31" s="2">
        <v>12.4402190776312</v>
      </c>
      <c r="AI31" s="2">
        <v>12.376921041229</v>
      </c>
      <c r="AJ31" s="2">
        <v>12.1225299404946</v>
      </c>
      <c r="AK31" s="2">
        <v>11.799111309056499</v>
      </c>
      <c r="AL31" s="2">
        <v>11.585705320506801</v>
      </c>
      <c r="AM31" s="2">
        <v>5</v>
      </c>
    </row>
    <row r="32" spans="3:39" x14ac:dyDescent="0.45">
      <c r="C32" t="s">
        <v>70</v>
      </c>
      <c r="D32" t="s">
        <v>532</v>
      </c>
      <c r="E32" t="s">
        <v>533</v>
      </c>
      <c r="F32" t="s">
        <v>530</v>
      </c>
      <c r="G32" s="2">
        <v>103.810147459345</v>
      </c>
      <c r="H32" s="2">
        <v>98.792447216391594</v>
      </c>
      <c r="I32" s="2">
        <v>100.12194785119</v>
      </c>
      <c r="J32" s="2">
        <v>101.059412483958</v>
      </c>
      <c r="K32" s="2">
        <v>103.13203695022</v>
      </c>
      <c r="L32" s="2">
        <v>103.518103228953</v>
      </c>
      <c r="M32" s="2">
        <v>103.508721124799</v>
      </c>
      <c r="N32" s="2">
        <v>101.855359914207</v>
      </c>
      <c r="O32" s="2">
        <v>98.892063753288497</v>
      </c>
      <c r="P32" s="2">
        <v>98.228752357137097</v>
      </c>
      <c r="Q32" s="2">
        <v>100.05498351761599</v>
      </c>
      <c r="R32" s="2">
        <v>103.507176056758</v>
      </c>
      <c r="S32" s="2">
        <v>104.275602033483</v>
      </c>
      <c r="T32" s="2">
        <v>104.648603263897</v>
      </c>
      <c r="U32" s="2">
        <v>105.31815815377099</v>
      </c>
      <c r="V32" s="2">
        <v>106.535064042515</v>
      </c>
      <c r="W32" s="2">
        <v>107.805718437957</v>
      </c>
      <c r="X32" s="2">
        <v>108.49226360531</v>
      </c>
      <c r="Y32" s="2">
        <v>106.86272159667401</v>
      </c>
      <c r="Z32" s="2">
        <v>105.626213471043</v>
      </c>
      <c r="AA32" s="2">
        <v>105.84308057263</v>
      </c>
      <c r="AB32" s="2">
        <v>108.832323552673</v>
      </c>
      <c r="AC32" s="2">
        <v>110.44263210445401</v>
      </c>
      <c r="AD32" s="2">
        <v>110.791388073205</v>
      </c>
      <c r="AE32" s="2">
        <v>110.920523865196</v>
      </c>
      <c r="AF32" s="2">
        <v>110.66779263269601</v>
      </c>
      <c r="AG32" s="2">
        <v>110.355469003839</v>
      </c>
      <c r="AH32" s="2">
        <v>110.0164612535</v>
      </c>
      <c r="AI32" s="2">
        <v>110.25926109438799</v>
      </c>
      <c r="AJ32" s="2">
        <v>110.827329439267</v>
      </c>
      <c r="AK32" s="2">
        <v>111.349258497603</v>
      </c>
      <c r="AL32" s="2">
        <v>111.932018351297</v>
      </c>
      <c r="AM32" s="2">
        <v>5</v>
      </c>
    </row>
    <row r="33" spans="4:28" x14ac:dyDescent="0.45">
      <c r="D33" s="1" t="s">
        <v>535</v>
      </c>
      <c r="E33" s="1" t="s">
        <v>533</v>
      </c>
      <c r="F33" s="1"/>
      <c r="G33" s="1">
        <v>308.44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commodities</vt:lpstr>
      <vt:lpstr>feedstock</vt:lpstr>
      <vt:lpstr>IEA Balance</vt:lpstr>
      <vt:lpstr>Demand</vt:lpstr>
      <vt:lpstr>DRI</vt:lpstr>
      <vt:lpstr>Steel</vt:lpstr>
      <vt:lpstr>Existing stock</vt:lpstr>
      <vt:lpstr>Scrap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2024-10-08T05:10:44Z</cp:lastPrinted>
  <dcterms:created xsi:type="dcterms:W3CDTF">2024-10-04T11:43:33Z</dcterms:created>
  <dcterms:modified xsi:type="dcterms:W3CDTF">2026-01-27T09:36:31Z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{BA37990B-134F-48B5-B684-DD00B5184FA5}</vt:lpwstr>
  </property>
</Properties>
</file>